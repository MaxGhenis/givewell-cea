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Aggregation across vaccines" sheetId="3" r:id="rId7"/>
    <sheet state="visible" name="Treatment effect" sheetId="4" r:id="rId8"/>
    <sheet state="visible" name="Disease burden" sheetId="5" r:id="rId9"/>
    <sheet state="visible" name="Vaccine coverage" sheetId="6" r:id="rId10"/>
    <sheet state="visible" name="Vaccine efficacy" sheetId="7" r:id="rId11"/>
    <sheet state="visible" name="LeverageFunging" sheetId="8" r:id="rId12"/>
    <sheet state="visible" name="Inputs" sheetId="9" r:id="rId13"/>
    <sheet state="visible" name="GBD estimates" sheetId="10" r:id="rId14"/>
    <sheet state="visible" name="Simple CEA" sheetId="11" r:id="rId15"/>
    <sheet state="visible" name="Confidence intervals" sheetId="12" r:id="rId16"/>
    <sheet state="visible" name="Sensitivity analysi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1">
      <text>
        <t xml:space="preserve">These values incorporate our rough best guess that vaccine-preventable disease burden among 5-14-year-olds will be 10% lower than it currently is by the time the target population reaches this age group.</t>
      </text>
    </comment>
    <comment authorId="0" ref="E52">
      <text>
        <t xml:space="preserve">These values incorporate our rough best guess that vaccination rates for current 5-14-year-olds were 50% lower than they are currently during the time period in which this age group would have been scheduled to receive child vaccinations.</t>
      </text>
    </comment>
    <comment authorId="0" ref="E53">
      <text>
        <t xml:space="preserve">These values incorporate our rough best guess that vaccine efficacy will have declined by 10% by the time vaccinated children reach this age group.</t>
      </text>
    </comment>
    <comment authorId="0" ref="E64">
      <text>
        <t xml:space="preserve">These values incorporate our rough best guess that vaccine-preventable disease burden among 15-49-year-olds will be 30% lower than it currently is by the time the target population reaches this age group.</t>
      </text>
    </comment>
    <comment authorId="0" ref="E65">
      <text>
        <t xml:space="preserve">These values incorporate our rough best guess that vaccination rates for current 15-49-year-olds were 80% lower than they are currently during the time period in which this age group would have been scheduled to receive child vaccinations.</t>
      </text>
    </comment>
    <comment authorId="0" ref="E66">
      <text>
        <t xml:space="preserve">These values incorporate our rough best guess that vaccine efficacy will have declined by 40% by the time vaccinated children reach this age group.</t>
      </text>
    </comment>
    <comment authorId="0" ref="E77">
      <text>
        <t xml:space="preserve">These values incorporate our rough best guess that vaccine-preventable disease burden among 50-74-year-olds will be 60% lower than it currently is by the time the target population reaches this age group.</t>
      </text>
    </comment>
    <comment authorId="0" ref="E78">
      <text>
        <t xml:space="preserve">These values incorporate our rough best guess that vaccination rates for current 50-74-year-olds were 90% lower than they are currently during the time period in which this age group would have been scheduled to receive child vaccinations.</t>
      </text>
    </comment>
    <comment authorId="0" ref="E79">
      <text>
        <t xml:space="preserve">These values incorporate our rough best guess that vaccine efficacy will have declined by 70% by the time vaccinated children reach this age group.</t>
      </text>
    </comment>
    <comment authorId="0" ref="E226">
      <text>
        <t xml:space="preserve">We account for the impact of post-program effects differently for states where we currently fund New Incentives' operations vs. prospective states where New Incentives does not currently operate.
- We think the potential for harm is caused when the program first enters a given area, and materializes when the program exits. Our estimate of cost-effectiveness without a post-program effects adjustment captures the marginal impact of continued funding in areas where we currently support New Incentives' program.
- In areas where New Incentives does not operate, we apply a location-specific adjustment to account for the fact that, by introducing the program where it had not previously operated, the program is introducing the potential for harm. For more, on how we estimate the location-specific adjustment see https://www.givewell.org/international/technical/programs/new-incentives#What_happens_to_vaccination_rates_if_the_program_ends</t>
      </text>
    </comment>
    <comment authorId="0" ref="E26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For a 3 year grant, enter the middle year (i.e., for a 2024-2026 grant, enter 2025). For a 4 year grant, enter the average of the two middle years (i.e. for a 2024-2027 grant, enter 2025.5.)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53">
      <text>
        <t xml:space="preserve">This value is copied from a previous version of our cost-effectiveness analysis before we added a column for Cohort 17 in Kaduna, to avoid double counting Kaduna inputs.  
See here: https://docs.google.com/spreadsheets/d/11WUg59i_kWye42fO45cpMmD-O0wFX_CioJl0D19Suyg/edit#gid=2049178531&amp;range=H153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2">
      <text>
        <t xml:space="preserve">Data collection for MICS 2017 ran from Sep 2016 - Jan 2017, and data collection for MICS 2021 ran from Sep - Dec 2021, so approximately five years elapsed between the surveys. See "Fieldwork" dates in the MICS 2017 Report, p. iii (https://www.unicef.org/nigeria/sites/unicef.org.nigeria/files/2018-09/Nigeria-MICS-2016-17.pdf) and MICS 2021 Report, p. iii (https://www.unicef.org/nigeria/media/6316/file/2021%20MICS%20full%20report%20.pdf). 
This formula calculates the average annual growth rate between the average vaccination coverage in 2016 and 2021. </t>
      </text>
    </comment>
    <comment authorId="0" ref="H133">
      <text>
        <t xml:space="preserve">We assume that the under 5 population represented by GBD 2021 consists of children born between 2017 and 2021. We assume that vaccination coverage was increasing annually over that period, so to estimate vaccination coverage across that cohort, we estimate vaccination coverage for the midpoint of the cohort (2019) and assume that roughly approximates vaccination coverage for the whole cohort. 
Data collection for MICS 2021 ran from September to December 2021. Vaccination coverage was measured for children aged 12-23 months, so we assume the children for whom vaccination coverage was measured were born mostly in 2020. 
Since we expect vaccination coverage was increasing by roughly 5% each year from 2017 to 2021, we use this formula to adjust the MICS estimates downward by one year to roughly reflect what we expect vaccination coverage was in 2019, the midpoint between 2017 and 2021.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We use the single dose efficacy as a benchmark because the other studies included here were based on the the efficacy of a single dose of the measles vaccine.</t>
      </text>
    </comment>
    <comment authorId="0" ref="A57">
      <text>
        <t xml:space="preserve">These parameters do not play a role in estimating the cost-effectiveness of New Incentives' program. We calculate these values to help us explain our reasoning in our published report on New Incentives' program. See this section of our invention report: https://www.givewell.org/international/technical/programs/new-incentives#Overall_efficacy_across_vaccines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Upstream costs cause downstream costs.</t>
      </text>
    </comment>
    <comment authorId="0" ref="E27">
      <text>
        <t xml:space="preserve">Upstream costs cause downstream costs.</t>
      </text>
    </comment>
    <comment authorId="0" ref="A57">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73">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78">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E17">
      <text>
        <t xml:space="preserve">Abubakar et al 2013, Chapter 4, Figure 23
https://www.ncbi.nlm.nih.gov/books/NBK260967/
See here for more information: https://www.givewell.org/international/technical/programs/new-incentives#Meta-analyses_of_vaccine_efficacy</t>
      </text>
    </comment>
    <comment authorId="0" ref="E18">
      <text>
        <t xml:space="preserve">Based on meta-analyses from the Lives Saved Tool (LiST). See here for more information: https://www.givewell.org/international/technical/programs/new-incentives#Meta-analyses_of_vaccine_efficacy
For the DTP vaccine, we rely on the LiST meta-analysis result for the pertussis vaccine, because pertussis is responsible for a large majority of under-five deaths from diphtheria, tetanus, and pertusis.
We use the results from the meta-analysis underlying the LiST results (Fulton et al. 2016) pertaining to the whole cell pertussis vaccine rather than the acellular vaccine (which is what is used in LiST) because the whole cell form of the vaccine is used in Nigeria.</t>
      </text>
    </comment>
    <comment authorId="0" ref="AX18">
      <text>
        <t xml:space="preserve">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
We use the same underlying meta-analysis informing the LiST efficacy values (Fulton et al. 2016), but rely on the set of results pertaining to the whole-cell pertussis vaccine.</t>
      </text>
    </comment>
    <comment authorId="0" ref="E19">
      <text>
        <t xml:space="preserve">Based on Thumburu et al. 2015. 
https://doi.org/10.1177/2051013615575871
"Pooled vaccine efficacy using a fixed effects model against confirmed invasive Hib disease following the 3, 2 and 1 primary dose schedule were 82% [95% confidence interval (CI) 73-87], 79% (95% CI 54–90) and 65% (95% CI 23–84), respectively, and the overall efficacy was 80% (95% CI 72–85)." (abstract)
See here for more information: https://www.givewell.org/international/technical/programs/new-incentives#Meta-analyses_of_vaccine_efficacy</t>
      </text>
    </comment>
    <comment authorId="0" ref="E20">
      <text>
        <t xml:space="preserve">Based on two studies (Cutts et al. 2005 and Klugman et al. 2003) included in the meta-analyses from the Lives Saved Tool (LiST). See here for more information: https://www.givewell.org/international/technical/programs/new-incentives#Meta-analyses_of_vaccine_efficacy</t>
      </text>
    </comment>
    <comment authorId="0" ref="E21">
      <text>
        <t xml:space="preserve">Based on meta-analyses from the Lives Saved Tool (LiST). See here for more information: https://www.givewell.org/international/technical/programs/new-incentives#Meta-analyses_of_vaccine_efficacy</t>
      </text>
    </comment>
    <comment authorId="0" ref="AX21">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2">
      <text>
        <t xml:space="preserve">Based on meta-analyses from the Lives Saved Tool (LiST). See here for more information: https://www.givewell.org/international/technical/programs/new-incentives#Meta-analyses_of_vaccine_efficacy</t>
      </text>
    </comment>
    <comment authorId="0" ref="AX22">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3">
      <text>
        <t xml:space="preserve">Based on meta-analyses from the Lives Saved Tool (LiST). See here for more information: https://www.givewell.org/international/technical/programs/new-incentives#Meta-analyses_of_vaccine_efficacy
The meta-analysis finds that the efficacy of two doses of the measles vaccine is 98%. Because the two-dose measles efficacy value was based on observational and serological studies rather than RCTs, we apply a slight discount to the efficacy.</t>
      </text>
    </comment>
    <comment authorId="0" ref="AX23">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6">
      <text>
        <t xml:space="preserve">IDinsight conducted two pilots to test the feasibility of using oral fluid measles antibody tests to validate caregiver-reported vaccination status. Both of these pilots found low agreement between the test and caregiver-reported vaccination status, as well as administrative records (e.g., child health cards). Among children reported to be vaccinated, just 22% tested positive for measles antibodies.
IDinsight's pilots were not designed to measure vaccine efficacy, and we put relatively little weight on the possibility that the results of the pilots are fully explained by low vaccine efficacy in Nigeria. However, in order to incorporate the information from the pilots into our CEA, we first estimate the measles vaccine efficacy rate that would explain the study results if one were to assume that they were fully explained by low vaccine efficacy in Nigeria. Based a number of uncertain best guesses, we estimate that the results of the pilots correspond with a measles vaccine efficacy rate of 26%. We assign 20% weight to this figure in our estimate of vaccine efficacy in New Incentives' program areas.
See our calculations here: https://docs.google.com/spreadsheets/d/19L_WlsGaLBDh2i0kgq8lCI3aAKx8XZ9fD4DO5ux_lW0/edit#gid=385883853
</t>
      </text>
    </comment>
    <comment authorId="0" ref="E27">
      <text>
        <t xml:space="preserve">Fowotade et al. 2015 is a seroconversion study conducted in Nigeria that tested immune response among children who had received the measles vaccine.
"The seroconversion pattern showed that 196 (68.6%) of the infants developed protective antibody titers."</t>
      </text>
    </comment>
    <comment authorId="0" ref="E28">
      <text>
        <t xml:space="preserve">Uzicanin and Zimmerman 2011 is a meta-analysis of measles vaccine efficacy that includes both global and Africa-specific efficacy estimates. We use the Africa-specific efficacy estimate for this parameter.
Table 2. By WHO Region: AFR, Median, p.S145</t>
      </text>
    </comment>
    <comment authorId="0" ref="E29">
      <text>
        <t xml:space="preserve">These weights are our rough best guess at the relevance of each source of evidence to New Incentives' program.</t>
      </text>
    </comment>
    <comment authorId="0" ref="E30">
      <text>
        <t xml:space="preserve">These weights are our rough best guess at the relevance of each source of evidence to New Incentives' program.
For more information about GiveWell's analysis, see this section of our intervention report: 
https://www.givewell.org/international/technical/programs/new-incentives#Biomarker_pilots_of_measles_immunity_in_Nigeria</t>
      </text>
    </comment>
    <comment authorId="0" ref="E31">
      <text>
        <t xml:space="preserve">These weights are our rough best guess at the relevance of each source of evidence to New Incentives' program.</t>
      </text>
    </comment>
    <comment authorId="0" ref="E32">
      <text>
        <t xml:space="preserve">These weights are our rough best guess at the relevance of each source of evidence to New Incentives' program.</t>
      </text>
    </comment>
    <comment authorId="0" ref="E33">
      <text>
        <t xml:space="preserve">This estimate is our rough best guess about the extent to which poor measles vaccine efficacy would imply problems with other vaccines.</t>
      </text>
    </comment>
    <comment authorId="0" ref="E36">
      <text>
        <t xml:space="preserve">"In the meta-analyses we rely on for our primary analysis of vaccine efficacy, we use 'intention-to-treat' estimates where possible. These estimate the impact of a vaccine on all RCT participants assigned to receive the vaccine, whether or not they actually received it. This is different from our cost-effectiveness analysis, which models the impact of actually being vaccinated.
We account for this with a rough guess that 95% of the participants in the treatment groups of the studies in the meta-analyses we use were actually vaccinated. This is a rough guess and we haven’t investigated the underlying studies in detail. We incorporate this in our analysis by dividing our estimates of vaccine efficacy by 95%."
https://www.givewell.org/international/technical/programs/new-incentives#Adjustment_for_imperfect_coverage_in_vaccine_trials</t>
      </text>
    </comment>
    <comment authorId="0" ref="AL42">
      <text>
        <t xml:space="preserve">Note that this includes cohorts 32, 34, and 36, which we have broken out into separate columns. We broke out columns for specific cohorts because, as of September 2024, two out of the three surveyed cohorts have estimated cost-effectiveness that exceeds our funding threshold even though Niger as a whole does not. We continue to include an overall column for Niger to inform our estimate of state-level cost-effectiveness.</t>
      </text>
    </comment>
    <comment authorId="0" ref="AL43">
      <text>
        <t xml:space="preserve">Although surveys began in December 2023, they primarily took place in 2024, so we use this as the starting year to best reflect the survey timing.</t>
      </text>
    </comment>
    <comment authorId="0" ref="AM43">
      <text>
        <t xml:space="preserve">Although surveys began in December 2023, they primarily took place in 2024, so we use this as the starting year to best reflect the survey timing.</t>
      </text>
    </comment>
    <comment authorId="0" ref="AN43">
      <text>
        <t xml:space="preserve">Although surveys began in December 2023, they primarily took place in 2024, so we use this as the starting year to best reflect the survey timing.</t>
      </text>
    </comment>
    <comment authorId="0" ref="AV43">
      <text>
        <t xml:space="preserve">Although surveys began in December 2023, they primarily took place in 2024, so we use this as the starting year to best reflect the survey timing.</t>
      </text>
    </comment>
    <comment authorId="0" ref="E45">
      <text>
        <t xml:space="preserve">For states in which only some local government areas (LGAs) were covered by New Incentives'  coverage surveys, we place weight on the coverage surveys equal to the proportion of LGAs covered plus an additional 50% upward adjustment. We default to placing more weight on the results of New Incentives'  coverage surveys than on the results of the 2021 MICS survey because we have a better understanding of the methodology behind the  coverage surveys and more confidence in the representativeness of their results.</t>
      </text>
    </comment>
    <comment authorId="0" ref="E55">
      <text>
        <t xml:space="preserve">We estimate the impact of self-report bias on the results of New Incentives' rapid coverage assessments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rapid assessments imply that &lt;90% of children reported to have received the BCG vaccine developed a detectable scar, which we take as evidence that vaccination rates are being slightly underreported in these assessments.
See our calculations here: https://docs.google.com/spreadsheets/d/1KmpcCIpC8AT5lyv0Mzik0Q3naaSRzYKVbHn2tZdqhAs/edit?usp=sharing</t>
      </text>
    </comment>
    <comment authorId="0" ref="AX58">
      <text>
        <t xml:space="preserve">See pages 174-175.</t>
      </text>
    </comment>
    <comment authorId="0" ref="AX59">
      <text>
        <t xml:space="preserve">See pages 174-175.</t>
      </text>
    </comment>
    <comment authorId="0" ref="AX60">
      <text>
        <t xml:space="preserve">See pages 174-175.</t>
      </text>
    </comment>
    <comment authorId="0" ref="AX61">
      <text>
        <t xml:space="preserve">See pages 174-175.</t>
      </text>
    </comment>
    <comment authorId="0" ref="AX62">
      <text>
        <t xml:space="preserve">See pages 174-175.</t>
      </text>
    </comment>
    <comment authorId="0" ref="AX63">
      <text>
        <t xml:space="preserve">See pages 174-175.</t>
      </text>
    </comment>
    <comment authorId="0" ref="AX64">
      <text>
        <t xml:space="preserve">See pages 174-175.</t>
      </text>
    </comment>
    <comment authorId="0" ref="AX65">
      <text>
        <t xml:space="preserve">See pages 174-175.</t>
      </text>
    </comment>
    <comment authorId="0" ref="E66">
      <text>
        <t xml:space="preserve">Note that coverage for the second dose of the measles vaccine is measured for children between 24-35 months of age whereas coverage for all other doses is measured when children are between 12-23 months of age.</t>
      </text>
    </comment>
    <comment authorId="0" ref="AX66">
      <text>
        <t xml:space="preserve">See pages 179</t>
      </text>
    </comment>
    <comment authorId="0" ref="AX69">
      <text>
        <t xml:space="preserve">See page 56.</t>
      </text>
    </comment>
    <comment authorId="0" ref="AX70">
      <text>
        <t xml:space="preserve">See page 56.</t>
      </text>
    </comment>
    <comment authorId="0" ref="AX71">
      <text>
        <t xml:space="preserve">See page 56.</t>
      </text>
    </comment>
    <comment authorId="0" ref="AX72">
      <text>
        <t xml:space="preserve">See page 56.</t>
      </text>
    </comment>
    <comment authorId="0" ref="AX73">
      <text>
        <t xml:space="preserve">See page 56.</t>
      </text>
    </comment>
    <comment authorId="0" ref="E76">
      <text>
        <t xml:space="preserve">Unlike New Incentives' rapid coverage assessments, surveyors for the MICS 2021 survey also checked children's vaccination cards for records of having received certain vaccines, which we expect to be less susceptible to bias than self-report.</t>
      </text>
    </comment>
    <comment authorId="0" ref="E77">
      <text>
        <t xml:space="preserve">Unlike New Incentives' rapid coverage assessments, surveyors for the MICS 2017 survey also checked children's vaccination cards for records of having received certain vaccines, which we expect to be less susceptible to bias than self-report.</t>
      </text>
    </comment>
    <comment authorId="0" ref="AX80">
      <text>
        <t xml:space="preserve">Based on an unpublished analysis of vaccination rates in Nigeria from 2013-2021. </t>
      </text>
    </comment>
    <comment authorId="0" ref="E83">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4">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7">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 </t>
      </text>
    </comment>
    <comment authorId="0" ref="E88">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89">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92">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3">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6">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7">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8">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9">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0">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1">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2">
      <text>
        <t xml:space="preserve">Our estimates of the proportion of vaccine efficacy provided by individual vaccine doses are rough guesses based on a quick literature review. 
For the rotavirus vaccine, we base our estimates of first dose efficacy on a pooled analysis from Clark et al. 2023 of post-licensure studies conducted in LMICs that report rotavirus vaccine effectiveness for both the first and last dose:
-  "To calculate the efficacy of one dose we multiplied the full 2/3-dose efficacy by a ratio of 0.75 (95% confidence interval 0.55-0.96) for LMICs and 0.94 (95% confidence interval 0.83-1.00) for high-income countries (HICs). These ratios were calculated by pooling data from all post-licensure studies that report rotavirus vaccine effectiveness for both the first and last dose (supplementary appendix, pages 8-9). The studies were identified from a recent global review by Burnett and colleagues"
- See here: https://pmc.ncbi.nlm.nih.gov/articles/PMC10689250/
This is corroborated by other evidence we've reviewed, largely from high income settings, which suggest that a fairly large proportion of vaccine efficacy is provided by the first first dose: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3">
      <text>
        <t xml:space="preserve">Our estimates of the proportion of vaccine efficacy provided by individual vaccine doses are rough guesses based on a quick literature review. 
For the rotavirus vaccine, we assume that the first dose confers a significant share of the protection (see cell note above), and that the last dose in a 3-dose series provides the least protection based on a meta-analysis of observational, post-licensure studies of rotavirus vaccines.
From, Burnett et al. 2020: "The median relative difference in vaccine effectiveness between one dose and three doses of RotaTeq was 17% (IQR 15 to 33) and between two doses and three doses of RotaTeq was 2% (–3 to 8) in the low-mortality stratum (figure 5)"
https://www.thelancet.com/journals/langlo/article/PIIS2214-109X(20)30262-X/fulltext
</t>
      </text>
    </comment>
    <comment authorId="0" ref="E104">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the rotavirus vaccine, we found several relevant studies, which suggest that a fairly large proportion of vaccine efficacy is provided by the first dose. Many of these studies were conducted on 2-dose rather than 3-dose rotavirus vaccines. Nigeria uses a 3-dose vaccine, and we assume that the efficacy of the first dose is large but somewhat smaller than would be implied based on the 2-dose studies: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5">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06">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67">
      <text>
        <t xml:space="preserve">We obtained this value using the GBD 2019 results tool. We are unable to provide a useful reference link because the tool now requires a log in.</t>
      </text>
    </comment>
    <comment authorId="0" ref="E169">
      <text>
        <t xml:space="preserve">We obtained this value using the GBD 2019 results tool. We are unable to provide a useful reference link because the tool now requires a log in.</t>
      </text>
    </comment>
    <comment authorId="0" ref="E193">
      <text>
        <t xml:space="preserve">We guess that vaccination rates have increased over time in Nigeria, so percent vaccinated is lower for older cohorts in the current IHME data.</t>
      </text>
    </comment>
    <comment authorId="0" ref="E194">
      <text>
        <t xml:space="preserve">The meta-analyses we use are based on short-term vaccine effects. We guess effects are muted in the long-term. Current parameters are highly speculative.</t>
      </text>
    </comment>
    <comment authorId="0" ref="E195">
      <text>
        <t xml:space="preserve">Probability of death from diseases addressed by vaccines may fall over time. This would lower the baseline mortality rate for individuals once they enter into older age groups.
Current parameters are highly speculative.</t>
      </text>
    </comment>
    <comment authorId="0" ref="E196">
      <text>
        <t xml:space="preserve">We guess that vaccination rates have increased over time in Nigeria, so percent vaccinated is lower for older cohorts in the current IHME data.</t>
      </text>
    </comment>
    <comment authorId="0" ref="E197">
      <text>
        <t xml:space="preserve">The meta-analyses we use are based on short-term vaccine effects. We guess effects are muted in the long-term. Current parameters are highly speculative.</t>
      </text>
    </comment>
    <comment authorId="0" ref="E198">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199">
      <text>
        <t xml:space="preserve">Probability of death from diseases addressed by vaccines may fall over time. This would lower the baseline mortality rate for individuals once they enter into older age groups.
Current parameters are highly speculative.</t>
      </text>
    </comment>
    <comment authorId="0" ref="E200">
      <text>
        <t xml:space="preserve">We guess that vaccination rates have increased over time in Nigeria, so percent vaccinated is lower for older cohorts in the current IHME data.</t>
      </text>
    </comment>
    <comment authorId="0" ref="E201">
      <text>
        <t xml:space="preserve">The meta-analyses we use are based on short-term vaccine effects. We guess effects are muted in the long-term. Current parameters are highly speculative.</t>
      </text>
    </comment>
    <comment authorId="0" ref="E202">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203">
      <text>
        <t xml:space="preserve">Probability of death from diseases addressed by vaccines may fall over time. This would lower the baseline mortality rate for individuals once they enter into older age groups.
Current parameters are highly speculative.</t>
      </text>
    </comment>
    <comment authorId="0" ref="E218">
      <text>
        <t xml:space="preserve">We estimate the impact of self-report bias on the results of the New Incentives RCT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RCT imply that only 65% of children reported to have received the BCG vaccine developed a detectable scar, which we take as evidence that vaccination rates are being overreported in these assessments by about 28%.
See our calculations here: https://docs.google.com/spreadsheets/d/1Xy0Zi8Uh7-AnIVLvYDG8u6w7KAyAcQDwRB4CmPaVlLA/edit#gid=36758249</t>
      </text>
    </comment>
    <comment authorId="0" ref="E231">
      <text>
        <t xml:space="preserve">The second dose of the measles vaccine had not been introduced at the time of the New Incentives RCT. As a very rough guess, we assume the program would be 15% less effective at increasing uptake of the second dose relative to the first (i.e. the program would be 85% as effective at increasing uptake of the second dose)
This is an assumption based on program monitoring data which suggests that the retention rate through the second measles dose is roughly 14% lower than retention through the first as of 2023. 
For more, see here: https://docs.google.com/spreadsheets/d/1zSLAGWqQXJvGDXTl-pIMuX3wANz9wVSWT3Zd3FQScdM/edit?gid=49295687#gid=49295687&amp;range=I14:I15</t>
      </text>
    </comment>
    <comment authorId="0" ref="E241">
      <text>
        <t xml:space="preserve">This input is highly uncertain. We  benchmark to the value we use for insecticide-treated net distributions and seasonal malaria chemoprevention.
For more information, see this section of our New Incentives intervention report: https://www.givewell.org/international/technical/programs/new-incentives#Adjustment_for_all-cause_mortality_effect</t>
      </text>
    </comment>
    <comment authorId="0" ref="E242">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E245">
      <text>
        <t xml:space="preserve">We discount the value of deaths averted through the program in future years in order to account for intertemporal uncertainty, e.g., possible fundamental changes which would render the program ineffective.</t>
      </text>
    </comment>
    <comment authorId="0" ref="E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X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252">
      <text>
        <t xml:space="preserve">We assume income effects from averting vaccine-preventable diseases are the same as income effects from averted malaria, proportional to mortalities averted by each program. We may update this assumption based on an analysis of the symptoms each disease causes and how likely it is that averting those symptoms will lead to increased income later in life, but we haven't done this systematically yet.</t>
      </text>
    </comment>
    <comment authorId="0" ref="E255">
      <text>
        <t xml:space="preserve">In 2023, the average one-way transportation cost for caregivers who reported a non-zero transportation cost was 149 naira. We double that figure to estimate the cost of a round trip visit to a health clinic. 
See our summary of New Incentives' monitoring results here: https://docs.google.com/spreadsheets/d/1zSLAGWqQXJvGDXTl-pIMuX3wANz9wVSWT3Zd3FQScdM/edit#gid=49295687</t>
      </text>
    </comment>
    <comment authorId="0" ref="E256">
      <text>
        <t xml:space="preserve">In 2023, the percentage of disbursements where a caregivers reported no transportation cost to get to the clinic was 68%.
See our summary of New Incentives' monitoring results here: https://docs.google.com/spreadsheets/d/1zSLAGWqQXJvGDXTl-pIMuX3wANz9wVSWT3Zd3FQScdM/edit#gid=49295687</t>
      </text>
    </comment>
    <comment authorId="0" ref="E265">
      <text>
        <t xml:space="preserve">As of April 25, 2024, the Nigerian Central Bank reported a naira:USD market exchange rate of approximately 1,165 naira per $1. 
See here: https://www.cbn.gov.ng/rates/exchratebycurrency.asp</t>
      </text>
    </comment>
    <comment authorId="0" ref="E266">
      <text>
        <t xml:space="preserve">We base our estimate of average household size on the results of the 2021 Malaria Indicator Survey (MIS) from Nigeria. Average household size reported in the 2021 MIS ranges from 5.7 to 8.1 in states where New Incentives operates, averaging 6.7. We use this average value across all states in the CEA, including prospective states where New Incentives does not yet operate. We have opted not to vary this estimate by state, because this parameter has a negligible effect on estimated cost-effectiveness of the program.</t>
      </text>
    </comment>
    <comment authorId="0" ref="E267">
      <text>
        <t xml:space="preserve">We assume the same baseline annual consumption per capita as we do for recipients of cash transfers in GiveDirectly's programs. 
Note: as of November 2025, this is an outdated value. We plan to update this according to our new analysis in a forthcoming version of this CEA. See the new calculation here: https://docs.google.com/spreadsheets/d/1o0l0xucYBa8rjVKwDHh_K5PZTN6GeoenaKz77bTMXa4/edit?gid=1110574950#gid=1110574950&amp;range=B10</t>
      </text>
    </comment>
    <comment authorId="0" ref="H28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28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288">
      <text>
        <t xml:space="preserve">Scenario: The program is delivered to people who don't benefit or minimally benefit because they have received the program from another source.
We adjust for this elsewhere in our model.</t>
      </text>
    </comment>
    <comment authorId="0" ref="E289">
      <text>
        <t xml:space="preserve">Scenario: Pills, ITNs, etc. are poorly made, counterfeit, or otherwise largely or fully ineffective at achieving the expected outcome. 
Possibility of ineffective vaccines is adjusted for elsewhere in the model.</t>
      </text>
    </comment>
    <comment authorId="0" ref="E290">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E292">
      <text>
        <t xml:space="preserve">Scenario: If we've received monitoring results for some program years and locations but not others, program coverage could be worse (systematically or coincidentally) in the years/locations for which we have not seen monitoring results.
To date, New Incentives monitoring has been comprehensive of its activities.</t>
      </text>
    </comment>
    <comment authorId="0" ref="E293">
      <text>
        <t xml:space="preserve">Scenario: The monitoring results we've received could be biased in ways we're unaware of, leading us to believe program coverage was higher than it really was.
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E295">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t>
      </text>
    </comment>
    <comment authorId="0" ref="E296">
      <text>
        <t xml:space="preserve">Scenario: Grantee encounters non-funding bottlenecks to allocating funding and holds funding for a long time. At an extreme, grantee is unable to spend money, draws down funding over time on work to identify opportunities to spend money for a time, and then shifts to another program.
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E297">
      <text>
        <t xml:space="preserve">Scenario: Grantee runs multiple programs and shifts funds from non-GiveWell sources or fundraising effort out of the program that we want to fund as a result of receiving GiveWell-directed funding.
Not applicable: single program organization.</t>
      </text>
    </comment>
    <comment authorId="0" ref="C2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grantees. The "Supplemental intervention-level adjustments" spreadsheet linked in the final column includes more details on how these adjustments are calculated and some brief justifications.</t>
      </text>
    </comment>
    <comment authorId="0" ref="AN313">
      <text>
        <t xml:space="preserve">In our post-program adjustment calculations, we estimate location-specific adjustments for Niger (state) and Niger (Cohorts 32 &amp; 36).
For Niger (Cohort 34), as a simplification, we use the same adjustment as Niger state. This may underestimate the actual adjustment in this location, but we currently do not expect additional precision to be decision relevant.</t>
      </text>
    </comment>
    <comment authorId="0" ref="E322">
      <text>
        <t xml:space="preserve">The government would provide additional funding to fully cover the intervention. The philanthropic donation therefore funges with the government and value of donating is equivalent to the marginal value of government funds.
We believe there is a small probability that  government costs would replace philanthropic costs. We would guess the likelihood of this scenario is not high because CCTs are not mentioned in the demand creation strategy plan included in the Nsipss: https://nigeriahealthwatch.com/wp-content/uploads/bsk-pdf-manager/2019/09/18.04.2018_Nigeria-Strategy-for-Immunization-and-PHC-Strengthening_3rd_Version-Final.pdf. 
However, we would guess there is some probability government costs would replace philanthropic costs. For our reasoning, see: https://www.givewell.org/international/technical/programs/new-incentives#What_would_happen_if_GiveWell_did_not_fund_the_program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Institute for Health Metrics and Evaluation (IHME). Used with permission. All rights reserved.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t>
      </text>
    </comment>
    <comment authorId="0" ref="A27">
      <text>
        <t xml:space="preserve">These intervals are based on GiveWell staff members’ subjective levels of uncertainty for each parameter. See this footnote in our intervention report for more details on our methodology:
https://www.givewell.org/international/technical/programs/new-incentives#confidence-interval-explanation</t>
      </text>
    </comment>
  </commentList>
</comments>
</file>

<file path=xl/sharedStrings.xml><?xml version="1.0" encoding="utf-8"?>
<sst xmlns="http://schemas.openxmlformats.org/spreadsheetml/2006/main" count="31932" uniqueCount="1098">
  <si>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</si>
  <si>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</si>
  <si>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</si>
  <si>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</si>
  <si>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Aggregation across vaccines</t>
  </si>
  <si>
    <t>This sheet contains our calculations for pulling CEA parameters from other supplementary sheets and aggregating them across vaccines before entering them in the "Main CEA" sheet.</t>
  </si>
  <si>
    <t>Treatment effect</t>
  </si>
  <si>
    <t>This sheet contains our calculations of the effect of New Incentives' program on vaccine uptake.</t>
  </si>
  <si>
    <t>Disease burden</t>
  </si>
  <si>
    <t>This sheet contains our calculations of vaccine-preventable disease burden among New Incentives' target population.</t>
  </si>
  <si>
    <t>Vaccine coverage</t>
  </si>
  <si>
    <t>This sheet contains our calculations of baseline vaccination coverage among New Incentives' target population, as well as vaccination coverage among populations represented by GBD disease burden estimates.</t>
  </si>
  <si>
    <t>Vaccine efficacy</t>
  </si>
  <si>
    <t>This sheet contains our calculations of the effect of vaccination on disease incidence for each vaccine incentivized by New Incentives' program.</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</si>
  <si>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</si>
  <si>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</si>
  <si>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</si>
  <si>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</si>
  <si>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</si>
  <si>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</si>
  <si>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</si>
  <si>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</si>
  <si>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</si>
  <si>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</si>
  <si>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</si>
  <si>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</si>
  <si>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</si>
  <si>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</si>
  <si>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BCG vaccine</t>
  </si>
  <si>
    <t>The Bacillus Calmette-Guerin (BCG) vaccine is designed to prevent tuberculosis and other mycobacterial infections. BCG is one of the vaccines directly incentivized by New Incentives' program.</t>
  </si>
  <si>
    <t>Penta vaccine</t>
  </si>
  <si>
    <t>The pentavalent vaccine (referred to as Penta in this CEA) is a 5-in-1 vaccine that is designed to prevent diphtheria, pertussis, tetanus, hepatitis B, and H. influenza type B infections. Penta is one of the vaccines directly incentivized by New Incentives' program.</t>
  </si>
  <si>
    <t>DTP vaccine</t>
  </si>
  <si>
    <t>The DTP vaccine is designed to prevent diphtheria, pertussis, and tetanus. In Nigeria, the DTP vaccine is typically delivered as part of the Penta vaccine, which is one of the vaccines directly incentivized by New Incentives' program.</t>
  </si>
  <si>
    <t>Hib vaccine</t>
  </si>
  <si>
    <t>The HiB vaccine is designed to prevent H. influenzae type B (Hib) infections. In Nigeria, the Hib vaccine is typically delivered as part of the Penta vaccine, which is one of the vaccines directly incentivized by New Incentives' program.</t>
  </si>
  <si>
    <t>PCV vaccine</t>
  </si>
  <si>
    <t>The pneumococcal conjugate vaccine (PCV) is designed to prevent pneumococcal infections. PCV is one of the vaccines directly incentivized by New Incentives' program.</t>
  </si>
  <si>
    <t>The efficacy rate of a vaccine refers to the reduction in vaccine-targeted disease incidence among people who receive the vaccine compared to those who do not receive the vaccine.</t>
  </si>
  <si>
    <t>Vaccine-preventable causes</t>
  </si>
  <si>
    <t>In this CEA, we use "vaccine-preventable causes" to refer to causes of disease incidence and mortality that are addressable by the specific set of vaccines directly incentivized by New Incentives' program.</t>
  </si>
  <si>
    <t>Vaccine-preventable mortalities</t>
  </si>
  <si>
    <t>In this CEA, we use "vaccine-preventable mortalities" to refer to mortalities that we expect would be averted if all children were fully vaccinated with the set of vaccines directly incentivized by New Incentives' program. Because vaccines are not 100% effective, the number of "vaccine-preventable mortalities" will always represent a subset of "mortalities from vaccine-preventable causes."</t>
  </si>
  <si>
    <t>MICS survey</t>
  </si>
  <si>
    <t>Multiple Indicator Cluster Surveys (MICS) are standardized household surveys implemented in many countries to collect data on a variety of indicators, including child vaccination rates.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</si>
  <si>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</si>
  <si>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</si>
  <si>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</si>
  <si>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</si>
  <si>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</si>
  <si>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</si>
  <si>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</si>
  <si>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</si>
  <si>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</si>
  <si>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</si>
  <si>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</si>
  <si>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</si>
  <si>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</si>
  <si>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</si>
  <si>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</si>
  <si>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</si>
  <si>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</si>
  <si>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</si>
  <si>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</si>
  <si>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</si>
  <si>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</si>
  <si>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</si>
  <si>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</si>
  <si>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</si>
  <si>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</si>
  <si>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</si>
  <si>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</si>
  <si>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</si>
  <si>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</si>
  <si>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</si>
  <si>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</si>
  <si>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</si>
  <si>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</si>
  <si>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</si>
  <si>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</si>
  <si>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</si>
  <si>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</si>
  <si>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</si>
  <si>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</si>
  <si>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</si>
  <si>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</si>
  <si>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</si>
  <si>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</si>
  <si>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</si>
  <si>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</si>
  <si>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</si>
  <si>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</si>
  <si>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</si>
  <si>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analysis of New Incentives cost per infant immunized</t>
  </si>
  <si>
    <t>GW's analysis of the biomarkers pilot results for Nigeria</t>
  </si>
  <si>
    <t>GW's analysis of self-report bias in vaccine coverage sources for New Incentives</t>
  </si>
  <si>
    <t>GW's analysis of disease etiology for lower respiratory infections and meningitis</t>
  </si>
  <si>
    <t>GW's analysis of average household size in Northwest Nigeria</t>
  </si>
  <si>
    <t>GW's analysis of post-program effects for New Incentives</t>
  </si>
  <si>
    <t>GW's analysis of vaccination coverage found in New Incentives' rapid assessments</t>
  </si>
  <si>
    <t>Analyses referenced across GiveWell's CEAs</t>
  </si>
  <si>
    <t>GW's moral weights and discount rate</t>
  </si>
  <si>
    <t>GW's supplemental intervention-level adjustments</t>
  </si>
  <si>
    <t>GW's write-up on treatment costs averted by health-improving interventions</t>
  </si>
  <si>
    <t>GWs benchmark for evaluating cost effectiveness</t>
  </si>
  <si>
    <t>GW's analysis of the counterfactual value of other actors' spending</t>
  </si>
  <si>
    <t>GW's analysis of the counterfactual value of Global Fund spending</t>
  </si>
  <si>
    <t>New Incentives – current states of operation</t>
  </si>
  <si>
    <t>New Incentives – prospective states</t>
  </si>
  <si>
    <t>Nigeria</t>
  </si>
  <si>
    <t>Main calculations</t>
  </si>
  <si>
    <t>unit</t>
  </si>
  <si>
    <t>type</t>
  </si>
  <si>
    <t>Overall</t>
  </si>
  <si>
    <t>Bauchi</t>
  </si>
  <si>
    <t>Gombe</t>
  </si>
  <si>
    <t>Jigawa</t>
  </si>
  <si>
    <t>Kaduna - cohort 17</t>
  </si>
  <si>
    <t>Kano</t>
  </si>
  <si>
    <t>Katsina</t>
  </si>
  <si>
    <t>Kebbi</t>
  </si>
  <si>
    <t>Sokoto</t>
  </si>
  <si>
    <t>Zamfara</t>
  </si>
  <si>
    <t>Abia</t>
  </si>
  <si>
    <t>Adamawa</t>
  </si>
  <si>
    <t>Akwa Ibom</t>
  </si>
  <si>
    <t>Anambra</t>
  </si>
  <si>
    <t>Bayelsa</t>
  </si>
  <si>
    <t>Benue</t>
  </si>
  <si>
    <t>Borno</t>
  </si>
  <si>
    <t>Cross River</t>
  </si>
  <si>
    <t>Delta</t>
  </si>
  <si>
    <t>Ebonyi</t>
  </si>
  <si>
    <t>Edo</t>
  </si>
  <si>
    <t>Ekiti</t>
  </si>
  <si>
    <t>Enugu</t>
  </si>
  <si>
    <t>FCT</t>
  </si>
  <si>
    <t>Imo</t>
  </si>
  <si>
    <t>Kaduna</t>
  </si>
  <si>
    <t>Kogi</t>
  </si>
  <si>
    <t>Kwara</t>
  </si>
  <si>
    <t>Lagos</t>
  </si>
  <si>
    <t>Nasarawa</t>
  </si>
  <si>
    <t>Niger</t>
  </si>
  <si>
    <t>Niger - 
cohorts 32 &amp; 36</t>
  </si>
  <si>
    <t>Niger - 
cohort 34</t>
  </si>
  <si>
    <t>Ogun</t>
  </si>
  <si>
    <t>Ondo</t>
  </si>
  <si>
    <t>Osun</t>
  </si>
  <si>
    <t>Oyo</t>
  </si>
  <si>
    <t>Plateau</t>
  </si>
  <si>
    <t>Rivers</t>
  </si>
  <si>
    <t>Taraba</t>
  </si>
  <si>
    <t>Yobe</t>
  </si>
  <si>
    <t>Final cost-effectiveness estimate (pulled from below for visibility)</t>
  </si>
  <si>
    <t>feed</t>
  </si>
  <si>
    <t>Grantee costs</t>
  </si>
  <si>
    <t>GiveWell costs</t>
  </si>
  <si>
    <t>Grant size</t>
  </si>
  <si>
    <t>Spending attributable to grantee</t>
  </si>
  <si>
    <t>Total spending contributed by grantee</t>
  </si>
  <si>
    <t>calc</t>
  </si>
  <si>
    <t>-</t>
  </si>
  <si>
    <t>Cost per child enrolled</t>
  </si>
  <si>
    <t>Cost per infant enrolled in the program</t>
  </si>
  <si>
    <t>input</t>
  </si>
  <si>
    <t>Adjustment for repeat enrollments</t>
  </si>
  <si>
    <t>Adjusted cost per infant enrolled in the program</t>
  </si>
  <si>
    <t>Outputs</t>
  </si>
  <si>
    <t>Total children enrolled</t>
  </si>
  <si>
    <t>Total children enrolled in the program</t>
  </si>
  <si>
    <t>Counterfactual vaccination coverage</t>
  </si>
  <si>
    <t>Proportion of children in the target population who would be vaccinated in the absence of the program, aggregated across vaccines</t>
  </si>
  <si>
    <t>supp</t>
  </si>
  <si>
    <t>Corresponding proportion of children who would not be vaccinated in the absence of the program, aggregated across incentivized vaccines</t>
  </si>
  <si>
    <t>Effect of the program on vaccination coverage</t>
  </si>
  <si>
    <t>Reduction in the proportion of children who are unvaccinated as a result of New Incentives' program, based on GW's analysis of the New Incentives RCT, aggregated across vaccines</t>
  </si>
  <si>
    <t>Internal validity adjustment</t>
  </si>
  <si>
    <t>Reduction in the proportion of children who are unvaccinated as a result of New Incentives' program</t>
  </si>
  <si>
    <t>Corresponding increase in the proportion of children who are vaccinated as a result of New Incentives' program</t>
  </si>
  <si>
    <t>Total proportion of children in the target population who are vaccinated</t>
  </si>
  <si>
    <t>Number of children vaccinated as a result of New Incentives' program</t>
  </si>
  <si>
    <t>Children in the target population</t>
  </si>
  <si>
    <t>Children counterfactually vaccinated</t>
  </si>
  <si>
    <t>Outcomes</t>
  </si>
  <si>
    <t>Mortality reduction among people under age 5</t>
  </si>
  <si>
    <t>Probability that a person will die of a vaccine-preventable cause before reaching age 5, adjusted for deaths occurring before the age of vaccination</t>
  </si>
  <si>
    <t>Proportion of people under age 5 represented in GBD 2021 disease burden estimates who were vaccinated, aggregated across vaccines</t>
  </si>
  <si>
    <t>Proportion of vaccine-preventable disease incidence averted by full vaccination among people under age 5, aggregated across vaccines</t>
  </si>
  <si>
    <t>Probability that an unvaccinated person will die of a vaccine-preventable cause before reaching age 5, adjusted for deaths occurring before the age of vaccination</t>
  </si>
  <si>
    <t>Mortalities indirectly attributable to vaccine-preventable disease per mortality directly caused by vaccine-preventable disease</t>
  </si>
  <si>
    <t>Probability that an unvaccinated person will die of a vaccine-preventable cause before reaching age 5, including mortalities indirectly attributable to vaccine-preventable disease</t>
  </si>
  <si>
    <t>Ratio of the reduction in vaccine-preventable disease mortality to the reduction in vaccine-preventable disease incidence</t>
  </si>
  <si>
    <t>Total deaths averted among people under age 5</t>
  </si>
  <si>
    <t>Mortality reduction among people age 5 through age 14</t>
  </si>
  <si>
    <t>Probability that a 5-year-old will die of a vaccine-preventable cause before reaching age 15</t>
  </si>
  <si>
    <t>Proportion of 5-14-year-olds represented in GBD 2021 disease burden estimates who were vaccinated, aggregated across vaccines</t>
  </si>
  <si>
    <t>Proportion of vaccine-preventable disease incidence averted by full vaccination among 5-14-year-olds, aggregated across vaccines</t>
  </si>
  <si>
    <t>Probability that an unvaccinated 5-year-old will die of a vaccine-preventable cause before reaching age 15</t>
  </si>
  <si>
    <t>Probability that an unvaccinated 5-year-old will die of a vaccine-preventable cause before reaching age 15, including mortalities indirectly attributable to vaccine-preventable disease</t>
  </si>
  <si>
    <t>Deaths averted among people age 5 through 14</t>
  </si>
  <si>
    <t>Discount rate for deaths averted in the future</t>
  </si>
  <si>
    <t>Average years between vaccination and a mortality occuring among 5-15-year-olds</t>
  </si>
  <si>
    <t>Discounted deaths averted among people age 5 through age 14</t>
  </si>
  <si>
    <t>Mortality reduction among people age 15 through age 49</t>
  </si>
  <si>
    <t>Probability that a 15-year-old will die of a vaccine-preventable cause before reaching age 50</t>
  </si>
  <si>
    <t>Proportion of 15-49-year-olds represented in GBD 2021 disease burden estimates who were vaccinated, aggregated across vaccines</t>
  </si>
  <si>
    <t>Proportion of vaccine-preventable disease incidence averted by full vaccination among 15-49-year-olds, aggregated across vaccines</t>
  </si>
  <si>
    <t>Probability that an unvaccinated 15-year-old will die of a vaccine-preventable cause before reaching age 50</t>
  </si>
  <si>
    <t>Probability that an unvaccinated 15-year-old will die of a vaccine-preventable cause before reaching age 50, including mortalities indirectly attributable to vaccine-preventable disease</t>
  </si>
  <si>
    <t>Deaths averted among people age 15 through 49</t>
  </si>
  <si>
    <t>Average years between vaccination and a mortality occuring among 15-49-year-olds</t>
  </si>
  <si>
    <t>Discounted deaths averted among people age 15 through age 49</t>
  </si>
  <si>
    <t>Mortality reduction among people age 50 through age 74</t>
  </si>
  <si>
    <t>Probability that a 50-year-old will die of a vaccine-preventable cause before reaching age 75</t>
  </si>
  <si>
    <t>Proportion of 50-74-year-olds represented in GBD 2021 disease burden estimates who were vaccinated, aggregated across vaccines</t>
  </si>
  <si>
    <t>Proportion of vaccine-preventable disease incidence averted by full vaccination among 50-74-year-olds, aggregated across vaccines</t>
  </si>
  <si>
    <t>Probability that an unvaccinated 50-year-old will die of a vaccine-preventable cause before reaching age 75</t>
  </si>
  <si>
    <t>Probability that an unvaccinated 50-year-old will die of a vaccine-preventable cause before reaching age 75, including mortalities indirectly attributable to vaccine-preventable disease</t>
  </si>
  <si>
    <t>Deaths averted among people age 50 through 74</t>
  </si>
  <si>
    <t>Average years between vaccination and a mortality occuring among 50-74-year-olds</t>
  </si>
  <si>
    <t>Discounted deaths averted among people age 50 through age 74</t>
  </si>
  <si>
    <t>Long-term income increases</t>
  </si>
  <si>
    <t>Ratio of value generated from income increases to value generated from mortalities averted among people under age 15 by seasonal malaria chemoprevention (SMC)</t>
  </si>
  <si>
    <t>Adjustment for income increases generated by New Incentives' program compared to SMC</t>
  </si>
  <si>
    <t>Ratio of value generated from income increases to value generated from mortalities averted among people under age 15 by New Incentives' program</t>
  </si>
  <si>
    <t xml:space="preserve">Value assigned to averting a death from vaccine-preventable disease of a person under age 5 </t>
  </si>
  <si>
    <t>Value assigned to averting a death from vaccine-preventable disease of a person age 5-14</t>
  </si>
  <si>
    <t>Units of value generated from deaths averted among people under age 15</t>
  </si>
  <si>
    <t>Units of value generated from long-term income increases</t>
  </si>
  <si>
    <t>Consumption increases</t>
  </si>
  <si>
    <t>Travel cost of bringing a child to a health clinic for vaccination (when travel is not free)</t>
  </si>
  <si>
    <t>Percentage of disbursements where a caregiver reported no transportation cost</t>
  </si>
  <si>
    <t>Number of routine vaccination visits incentivized by New Incentives' program</t>
  </si>
  <si>
    <t>Total travel costs of bringing a child to all incentivized vaccination visits</t>
  </si>
  <si>
    <t>Size of cash transfer disbursed for the routine vaccination visit at birth</t>
  </si>
  <si>
    <t>Size of cash transfer disbursed for the routine vaccination visit at 6 weeks</t>
  </si>
  <si>
    <t>Size of cash transfer disbursed for the routine vaccination visit at 10 weeks</t>
  </si>
  <si>
    <t>Size of cash transfer disbursed for the routine vaccination visit at 14 weeks</t>
  </si>
  <si>
    <t>Size of cash transfer disbursed for the routine vaccination visit at 9 months</t>
  </si>
  <si>
    <t>Size of cash transfer disbursed for the routine vaccination visit at 15 months</t>
  </si>
  <si>
    <t xml:space="preserve">Size of cash transfer for completion of the full routine immunization schedule </t>
  </si>
  <si>
    <t>Total cash transfer disbursed across the full routine immunization schedule</t>
  </si>
  <si>
    <t>₦</t>
  </si>
  <si>
    <t>Nigerian naira per U.S. dollar</t>
  </si>
  <si>
    <t>Total travel costs of bringing a child to all incentivized vaccination visits (in U.S. dollars)</t>
  </si>
  <si>
    <t>Total cash transfer disbursed across the full routine immunization schedule (in U.S. dollars)</t>
  </si>
  <si>
    <t>Net increase in household consumption from bringing a child to all incentivized vaccination visits</t>
  </si>
  <si>
    <t>Average number of people per household</t>
  </si>
  <si>
    <t>Increase in consumption per person</t>
  </si>
  <si>
    <t>Baseline annual consumption per capita</t>
  </si>
  <si>
    <t>Increase in ln(consumption) per person</t>
  </si>
  <si>
    <t>Total units of increase in ln(consumption)</t>
  </si>
  <si>
    <t>Value of outcomes</t>
  </si>
  <si>
    <t>Units of value from mortality reduction among people under age 5</t>
  </si>
  <si>
    <t>Units of value from under-5 deaths averted (before accounting for leverage and funging)</t>
  </si>
  <si>
    <t>Units of value from mortality reduction among people age 5 through 14</t>
  </si>
  <si>
    <t>Units of value from 5-14 deaths averted (before accounting for leverage and funging)</t>
  </si>
  <si>
    <t>Units of value from mortality reduction among people age 15 through 49</t>
  </si>
  <si>
    <t>Value assigned to averting a death from vaccine-preventable disease of a person age 15-49</t>
  </si>
  <si>
    <t>Units of value from 15-49 deaths averted (before accounting for leverage and funging)</t>
  </si>
  <si>
    <t>Units of value from mortality reduction among people age 50 through 74</t>
  </si>
  <si>
    <t>Value assigned to averting a death from vaccine-preventable disease of a person age 50-74</t>
  </si>
  <si>
    <t>Units of value from 50-74 deaths averted (before accounting for leverage and funging)</t>
  </si>
  <si>
    <t>Units of value from long-term income increases for people under age 15</t>
  </si>
  <si>
    <t>Units of value generated from long-term income increases per infant counterfactually vaccinated</t>
  </si>
  <si>
    <t>Units of value from long-term income increases (before accounting for leverage and funging)</t>
  </si>
  <si>
    <t>Units of value from consumption increases</t>
  </si>
  <si>
    <t>Value assigned to increasing ln(consumption) by one unit for one person for one year</t>
  </si>
  <si>
    <t>Units of value from consumption increases (before accounting for leverage and funging)</t>
  </si>
  <si>
    <t>Summary of outcomes and initial cost-effectiveness (before final adjustments)</t>
  </si>
  <si>
    <t>Summary of outcomes</t>
  </si>
  <si>
    <t>People benefiting from consumption increases</t>
  </si>
  <si>
    <t>Value of individual outcomes</t>
  </si>
  <si>
    <t>Value generated per person benefiting from consumption increases</t>
  </si>
  <si>
    <t>Total value of outcomes</t>
  </si>
  <si>
    <t>Units of value from under-5 deaths averted (before final adjustments)</t>
  </si>
  <si>
    <t>Units of value from 5-14 deaths averted (before final adjustments)</t>
  </si>
  <si>
    <t>Units of value from 15-49 deaths averted (before final adjustments)</t>
  </si>
  <si>
    <t>Units of value from 50-74 deaths averted (before final adjustments)</t>
  </si>
  <si>
    <t>Units of value from long-term income increases (before final adjustments)</t>
  </si>
  <si>
    <t>Units of value from consumption increases (before final adjustments)</t>
  </si>
  <si>
    <t>Initial cost-effectiveness (before final adjustments)</t>
  </si>
  <si>
    <t>Total units of value from all outcomes (before final adjustments)</t>
  </si>
  <si>
    <t>Units of value generated per dollar (before final adjustments)</t>
  </si>
  <si>
    <t>Units of value per dollar spent, benchmark</t>
  </si>
  <si>
    <t>Cost-effectiveness in terms of multiples of our benchmark (before final adjustments)</t>
  </si>
  <si>
    <t>Proportion of impact attributed to different outcomes</t>
  </si>
  <si>
    <t>Proportion of total units of value attributed to mortality reduction among people under age 5</t>
  </si>
  <si>
    <t>Proportion of total units of value attributed to mortality reduction among 5-14-year-olds</t>
  </si>
  <si>
    <t>Proportion of total units of value attributed to mortality reduction among 15-49-year-olds</t>
  </si>
  <si>
    <t>Proportion of total units of value attributed to mortality reduction among 50-74-year-olds</t>
  </si>
  <si>
    <t>Proportion of total units of value attributed to long-term income increases</t>
  </si>
  <si>
    <t>Proportion of total units of value attributed to consumption increases</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</si>
  <si>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</si>
  <si>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</si>
  <si>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</si>
  <si>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</si>
  <si>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</si>
  <si>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</si>
  <si>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</si>
  <si>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recipients don't receive cash or it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</si>
  <si>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</si>
  <si>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</si>
  <si>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</si>
  <si>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</si>
  <si>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</si>
  <si>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</si>
  <si>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</si>
  <si>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</si>
  <si>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</si>
  <si>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</si>
  <si>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Morbidity effects from directly incentivized vaccines and rotavirus</t>
  </si>
  <si>
    <t>Morbidity effects of indirectly incentivized vaccines besides rotavirus (i.e., polio, yellow fever, rubella, mumps, varicella meningitis A)</t>
  </si>
  <si>
    <t>Inflation</t>
  </si>
  <si>
    <t>Treatment costs averted from prevention</t>
  </si>
  <si>
    <t>Investment of income increases</t>
  </si>
  <si>
    <t>Increased clinic utilization</t>
  </si>
  <si>
    <t>Adjustments affecting cost per life saved</t>
  </si>
  <si>
    <t>Lower likelihood of infecting others</t>
  </si>
  <si>
    <t>Herd immunity</t>
  </si>
  <si>
    <t>Mortality effects of indirectly incentivized vaccines besides rotavirus (i.e., polio, yellow fever, rubella, mumps, varicella meningitis A)</t>
  </si>
  <si>
    <t>Effects during outbreaks</t>
  </si>
  <si>
    <t>Vaccine-derived polio outbreaks</t>
  </si>
  <si>
    <t>Serotype replacement</t>
  </si>
  <si>
    <t>Increased timeliness of vaccination</t>
  </si>
  <si>
    <t>Post-program effects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</si>
  <si>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</si>
  <si>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</si>
  <si>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</si>
  <si>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</si>
  <si>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</si>
  <si>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</si>
  <si>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</si>
  <si>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</si>
  <si>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</si>
  <si>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our benchmark, after all adjustments</t>
  </si>
  <si>
    <t>Counterfactual impact</t>
  </si>
  <si>
    <t>Adjustments affecting program outputs (people counterfactually vaccinated)</t>
  </si>
  <si>
    <t>Leverage and funging adjustment for counterfactual impact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</si>
  <si>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</si>
  <si>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</si>
  <si>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</si>
  <si>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</si>
  <si>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</si>
  <si>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vaccinated who wouldn't have been vaccinated otherwise</t>
  </si>
  <si>
    <t>Cost per person counterfactually vaccinated</t>
  </si>
  <si>
    <t>Counterfactual program outcomes</t>
  </si>
  <si>
    <t>Total deaths averted that wouldn't have been averted otherwise</t>
  </si>
  <si>
    <t>Cost per death counterfactually averted</t>
  </si>
  <si>
    <t>Final cost-effectiveness estimate (pulled from "Main calcs" sheet for visibility)</t>
  </si>
  <si>
    <t>Baseline coverage for the target population</t>
  </si>
  <si>
    <t>Baseline vaccination coverage for the target population</t>
  </si>
  <si>
    <t>Baseline proportion of children in the target population who receive the BCG vaccine</t>
  </si>
  <si>
    <t>Baseline proportion of children in the target population who receive the 1st dose of the Penta vaccine</t>
  </si>
  <si>
    <t>Baseline proportion of children in the target population who receive the 2nd dose of the Penta vaccine</t>
  </si>
  <si>
    <t>Baseline proportion of children in the target population who receive the 3rd dose of the Penta vaccine</t>
  </si>
  <si>
    <t>Baseline proportion of children in the target population who receive the 1st dose of the PCV vaccine</t>
  </si>
  <si>
    <t>Baseline proportion of children in the target population who receive the 2nd dose of the PCV vaccine</t>
  </si>
  <si>
    <t>Baseline proportion of children in the target population who receive the 3rd dose of the PCV vaccine</t>
  </si>
  <si>
    <t>Baseline proportion of children in the target population who receive the 1st dose of the rotavirus vaccine</t>
  </si>
  <si>
    <t>Baseline proportion of children in the target population who receive the 2nd dose of the rotavirus vaccine</t>
  </si>
  <si>
    <t>Baseline proportion of children in the target population who receive the 3rd dose of the rotavirus vaccine</t>
  </si>
  <si>
    <t>Baseline proportion of children in the target population who receive the 1st dose of the measles vaccine</t>
  </si>
  <si>
    <t>Baseline proportion of children in the target population who receive the 2nd dose of the measles vaccine</t>
  </si>
  <si>
    <t>Proportion of vaccine-preventable mortalities that could be prevented by each vaccine dose</t>
  </si>
  <si>
    <t>Proportion of vaccine-preventable mortalities among people under age 5 that could be prevented by the BCG vaccine</t>
  </si>
  <si>
    <t>Proportion of vaccine-preventable mortalities among people under age 5 that could be prevented by the 1st dose of the Penta vaccine</t>
  </si>
  <si>
    <t>Proportion of vaccine-preventable mortalities among people under age 5 that could be prevented by the 2nd dose of the Penta vaccine</t>
  </si>
  <si>
    <t>Proportion of vaccine-preventable mortalities among people under age 5 that could be prevented by the 3rd dose of the Penta vaccine</t>
  </si>
  <si>
    <t>Proportion of vaccine-preventable mortalities among people under age 5 that could be prevented by the 1st dose of the PCV vaccine</t>
  </si>
  <si>
    <t>Proportion of vaccine-preventable mortalities among people under age 5 that could be prevented by the 2nd dose of the PCV vaccine</t>
  </si>
  <si>
    <t>Proportion of vaccine-preventable mortalities among people under age 5 that could be prevented by the 3rd dose of the PCV vaccine</t>
  </si>
  <si>
    <t>Proportion of vaccine-preventable mortalities among people under age 5 that could be prevented by the 1st dose of the rotavirus vaccine</t>
  </si>
  <si>
    <t>Proportion of vaccine-preventable mortalities among people under age 5 that could be prevented by the 2nd dose of the rotavirus vaccine</t>
  </si>
  <si>
    <t>Proportion of vaccine-preventable mortalities among people under age 5 that could be prevented by the 3rd dose of the rotavirus vaccine</t>
  </si>
  <si>
    <t>Proportion of vaccine-preventable mortalities among people under age 5 that could be prevented by the 1st dose of the measles vaccine</t>
  </si>
  <si>
    <t>Proportion of vaccine-preventable mortalities among people under age 5 that could be prevented by the 2nd dose of the measles vaccine</t>
  </si>
  <si>
    <t>Baseline vaccination coverage for the target population, aggregated across vaccines</t>
  </si>
  <si>
    <r>
      <rPr>
        <rFont val="Calibri, Arial"/>
        <color theme="1"/>
        <sz val="11.0"/>
      </rPr>
      <t>Proportion of children in the target population who would not be vaccinated in the absence of the program, aggregated across vaccines -</t>
    </r>
    <r>
      <rPr>
        <rFont val="Calibri, Arial"/>
        <color theme="1"/>
        <sz val="11.0"/>
      </rPr>
      <t xml:space="preserve"> in year of baseline measurement</t>
    </r>
  </si>
  <si>
    <t>Effective year of baseline measurement</t>
  </si>
  <si>
    <t>Counterfactual change in the proportion of unvaccinated children per year in the absence of New Incentives</t>
  </si>
  <si>
    <t>Middle year of grant period</t>
  </si>
  <si>
    <r>
      <rPr>
        <rFont val="Calibri, Arial"/>
        <color theme="1"/>
        <sz val="11.0"/>
      </rPr>
      <t>Proportion of children in the target population who would not be vaccinated in the absence of the program, aggregated across vaccines -</t>
    </r>
    <r>
      <rPr>
        <rFont val="Calibri, Arial"/>
        <b/>
        <color theme="1"/>
        <sz val="11.0"/>
      </rPr>
      <t xml:space="preserve"> </t>
    </r>
    <r>
      <rPr>
        <rFont val="Calibri, Arial"/>
        <color theme="1"/>
        <sz val="11.0"/>
      </rPr>
      <t>in middle year of grant period</t>
    </r>
  </si>
  <si>
    <r>
      <rPr>
        <rFont val="Calibri, Arial"/>
        <color theme="1"/>
        <sz val="11.0"/>
      </rPr>
      <t>Proportion of children in the target population who would be vaccinated in the absence of the program, aggregated across vaccines -</t>
    </r>
    <r>
      <rPr>
        <rFont val="Calibri, Arial"/>
        <b/>
        <color theme="1"/>
        <sz val="11.0"/>
      </rPr>
      <t xml:space="preserve"> </t>
    </r>
    <r>
      <rPr>
        <rFont val="Calibri, Arial"/>
        <color theme="1"/>
        <sz val="11.0"/>
      </rPr>
      <t>in middle year of grant period</t>
    </r>
  </si>
  <si>
    <t>Vaccine efficacy and coverage for people under age 5, aggregated across vaccines</t>
  </si>
  <si>
    <t>Vaccine efficacy with universal coverage</t>
  </si>
  <si>
    <t>BCG vaccine efficacy rate with universal coverage</t>
  </si>
  <si>
    <t>DTP vaccine efficacy rate with universal coverage (part of the Penta vaccine)</t>
  </si>
  <si>
    <t>Hib vaccine efficacy rate with universal coverage (part of the Penta vaccine)</t>
  </si>
  <si>
    <t>PCV vaccine efficacy rate with universal coverage</t>
  </si>
  <si>
    <t>Rotavirus vaccine efficacy rate with universal coverage</t>
  </si>
  <si>
    <t>Measles vaccine efficacy rate with universal coverage</t>
  </si>
  <si>
    <t>Proportion of deaths from vaccine-preventable causes among unvaccinated people under age 5 that are addressable by each vaccine, adjusted for deaths occurring before the age of vaccination</t>
  </si>
  <si>
    <t>Proportion of deaths from vaccine-preventable causes among unvaccinated people under age 5 that are addressable by the BCG vaccine, adjusted for deaths occurring before the age of vaccination</t>
  </si>
  <si>
    <t>Proportion of deaths from vaccine-preventable causes among unvaccinated people under age 5 that are addressable by the DTP vaccine, adjusted for deaths occurring before the age of vaccination</t>
  </si>
  <si>
    <t>Proportion of deaths from vaccine-preventable causes among unvaccinated people under age 5 that are addressable by the Hib vaccine, adjusted for deaths occurring before the age of vaccination</t>
  </si>
  <si>
    <t>Proportion of deaths from vaccine-preventable causes among unvaccinated people under age 5 that are addressable by the PCV vaccine, adjusted for deaths occurring before the age of vaccination</t>
  </si>
  <si>
    <t>Proportion of deaths from vaccine-preventable causes among unvaccinated people under age 5 that are addressable by the rotavirus vaccine, adjusted for deaths occurring before the age of vaccination</t>
  </si>
  <si>
    <t>Proportion of deaths from vaccine-preventable causes among unvaccinated people under age 5 that are addressable by the measles vaccine, adjusted for deaths occurring before the age of vaccination</t>
  </si>
  <si>
    <t>Vaccine efficacy for people under age 5, aggregated across vaccines</t>
  </si>
  <si>
    <t>Vaccine coverage for populations under age 5 represented by GBD 2021, aggregated across doses</t>
  </si>
  <si>
    <t>Proportion of people under age 5 represented in GBD 2021 disease burden estimates who received the BCG vaccine</t>
  </si>
  <si>
    <t>Proportion of people under age 5 represented in GBD 2021 disease burden estimates who received the DTP vaccine, aggregated across doses</t>
  </si>
  <si>
    <t>Proportion of people under age 5 represented in GBD 2021 disease burden estimates who received the Hib vaccine, aggregated across doses</t>
  </si>
  <si>
    <t>Proportion of people under age 5 represented in GBD 2021 disease burden estimates who received the PCV vaccine, aggregated across doses</t>
  </si>
  <si>
    <t>Proportion of people under age 5 represented in GBD 2021 disease burden estimates who received the rotavirus vaccine, aggregated across doses</t>
  </si>
  <si>
    <t>Proportion of people under age 5 represented in GBD 2021 disease burden estimates who received the measles vaccine</t>
  </si>
  <si>
    <t>Vaccine coverage for populations under age 5 represented by GBD 2021, aggregated across vaccines</t>
  </si>
  <si>
    <t>Vaccine efficacy and coverage for older age groups, aggregated across vaccines</t>
  </si>
  <si>
    <t>Effect of vaccination on disease incidence among 5-14-year-olds</t>
  </si>
  <si>
    <t>Proportion of vaccine-preventable disease incidence averted by BCG vaccination among 5-14-year-olds</t>
  </si>
  <si>
    <t>Proportion of vaccine-preventable disease incidence averted by DTP vaccination among 5-14-year-olds</t>
  </si>
  <si>
    <t>Proportion of vaccine-preventable disease incidence averted by Hib vaccination among 5-14-year-olds</t>
  </si>
  <si>
    <t>Proportion of vaccine-preventable disease incidence averted by PCV vaccination among 5-14-year-olds</t>
  </si>
  <si>
    <t>Proportion of vaccine-preventable disease incidence averted by rotavirus vaccination among 5-14-year-olds</t>
  </si>
  <si>
    <t>Proportion of vaccine-preventable disease incidence averted by measles vaccination among 5-14-year-olds</t>
  </si>
  <si>
    <t>Proportion of deaths from vaccine-preventable causes among unvaccinated 5-14-year-olds that are addressable by each vaccine</t>
  </si>
  <si>
    <t>Proportion of deaths from vaccine-preventable causes among unvaccinated 5-14-year-olds that are addressable by the BCG vaccine</t>
  </si>
  <si>
    <t>Proportion of deaths from vaccine-preventable causes among unvaccinated 5-14-year-olds that are addressable by the DTP vaccine</t>
  </si>
  <si>
    <t>Proportion of deaths from vaccine-preventable causes among unvaccinated 5-14-year-olds that are addressable by the Hib vaccine</t>
  </si>
  <si>
    <t>Proportion of deaths from vaccine-preventable causes among unvaccinated 5-14-year-olds that are addressable by the PCV vaccine</t>
  </si>
  <si>
    <t>Proportion of deaths from vaccine-preventable causes among unvaccinated 5-14-year-olds that are addressable by the rotavirus vaccine</t>
  </si>
  <si>
    <t>Proportion of deaths from vaccine-preventable causes among unvaccinated 5-14-year-olds that are addressable by the measles vaccine</t>
  </si>
  <si>
    <t>Vaccine efficacy, aggregated across vaccines</t>
  </si>
  <si>
    <t>Vaccine coverage for 5-14-year-old populations represented by GBD 2021, aggregated across doses</t>
  </si>
  <si>
    <t>Adjustment for lower vaccine coverage among 5-14-year-olds represented in GBD 2021 disease burden estimates</t>
  </si>
  <si>
    <t>Proportion of 5-14-year-olds represented in GBD 2021 disease burden estimates who received the BCG vaccine</t>
  </si>
  <si>
    <t>Proportion of 5-14-year-olds represented in GBD 2021 disease burden estimates who received the DTP vaccine, aggregated across doses</t>
  </si>
  <si>
    <t>Proportion of 5-14-year-olds represented in GBD 2021 disease burden estimates who received the Hib vaccine, aggregated across doses</t>
  </si>
  <si>
    <t>Proportion of 5-14-year-olds represented in GBD 2021 disease burden estimates who received the PCV vaccine, aggregated across doses</t>
  </si>
  <si>
    <t>Proportion of 5-14-year-olds represented in GBD 2021 disease burden estimates who received the rotavirus vaccine, aggregated across doses</t>
  </si>
  <si>
    <t>Proportion of 5-14-year-olds represented in GBD 2021 disease burden estimates who received the measles vaccine</t>
  </si>
  <si>
    <t>Vaccine coverage for 5-14-year-old populations represented by GBD 2021, aggregated across vaccines</t>
  </si>
  <si>
    <t>Effect of vaccination on disease incidence among 15-49-year-olds</t>
  </si>
  <si>
    <t>Proportion of vaccine-preventable disease incidence averted by BCG vaccination among 15-49-year-olds</t>
  </si>
  <si>
    <t>Proportion of vaccine-preventable disease incidence averted by DTP vaccination among 15-49-year-olds</t>
  </si>
  <si>
    <t>Proportion of vaccine-preventable disease incidence averted by Hib vaccination among 15-49-year-olds</t>
  </si>
  <si>
    <t>Proportion of vaccine-preventable disease incidence averted by PCV vaccination among 15-49-year-olds</t>
  </si>
  <si>
    <t>Proportion of vaccine-preventable disease incidence averted by rotavirus vaccination among 15-49-year-olds</t>
  </si>
  <si>
    <t>Proportion of vaccine-preventable disease incidence averted by measles vaccination among 15-49-year-olds</t>
  </si>
  <si>
    <t>Proportion of deaths from vaccine-preventable causes among unvaccinated 15-49-year-olds that are addressable by each vaccine</t>
  </si>
  <si>
    <t>Proportion of deaths from vaccine-preventable causes among unvaccinated 15-49-year-olds that are addressable by the BCG vaccine</t>
  </si>
  <si>
    <t>Proportion of deaths from vaccine-preventable causes among unvaccinated 15-49-year-olds that are addressable by the DTP vaccine</t>
  </si>
  <si>
    <t>Proportion of deaths from vaccine-preventable causes among unvaccinated 15-49-year-olds that are addressable by the Hib vaccine</t>
  </si>
  <si>
    <t>Proportion of deaths from vaccine-preventable causes among unvaccinated 15-49-year-olds that are addressable by the PCV vaccine</t>
  </si>
  <si>
    <t>Proportion of deaths from vaccine-preventable causes among unvaccinated 15-49-year-olds that are addressable by the rotavirus vaccine</t>
  </si>
  <si>
    <t>Proportion of deaths from vaccine-preventable causes among unvaccinated 15-49-year-olds that are addressable by the measles vaccine</t>
  </si>
  <si>
    <t>Vaccine coverage for 15-49-year-old populations represented by GBD 2021, aggregated across doses</t>
  </si>
  <si>
    <t>Adjustment for lower vaccine coverage among 15-49-year-olds represented in GBD 2021 disease burden estimates</t>
  </si>
  <si>
    <t>Proportion of 15-49-year-olds represented in GBD 2021 disease burden estimates who received the BCG vaccine</t>
  </si>
  <si>
    <t>Proportion of 15-49-year-olds represented in GBD 2021 disease burden estimates who received the DTP vaccine, aggregated across doses</t>
  </si>
  <si>
    <t>Proportion of 15-49-year-olds represented in GBD 2021 disease burden estimates who received the Hib vaccine, aggregated across doses</t>
  </si>
  <si>
    <t>Proportion of 15-49-year-olds represented in GBD 2021 disease burden estimates who received the PCV vaccine, aggregated across doses</t>
  </si>
  <si>
    <t>Proportion of 15-49-year-olds represented in GBD 2021 disease burden estimates who received the rotavirus vaccine, aggregated across doses</t>
  </si>
  <si>
    <t>Proportion of 15-49-year-olds represented in GBD 2021 disease burden estimates who received the measles vaccine</t>
  </si>
  <si>
    <t>Vaccine coverage for 15-49-year-old populations represented by GBD 2021, aggregated across vaccines</t>
  </si>
  <si>
    <t>Effect of vaccination on disease incidence among 50-74-year-olds</t>
  </si>
  <si>
    <t>Proportion of vaccine-preventable disease incidence averted by BCG vaccination among 50-74-year-olds</t>
  </si>
  <si>
    <t>Proportion of vaccine-preventable disease incidence averted by DTP vaccination among 50-74-year-olds</t>
  </si>
  <si>
    <t>Proportion of vaccine-preventable disease incidence averted by Hib vaccination among 50-74-year-olds</t>
  </si>
  <si>
    <t>Proportion of vaccine-preventable disease incidence averted by PCV vaccination among 50-74-year-olds</t>
  </si>
  <si>
    <t>Proportion of vaccine-preventable disease incidence averted by rotavirus vaccination among 50-74-year-olds</t>
  </si>
  <si>
    <t>Proportion of vaccine-preventable disease incidence averted by measles vaccination among 50-74-year-olds</t>
  </si>
  <si>
    <t>Proportion of deaths from vaccine-preventable causes among unvaccinated 50-74-year-olds that are addressable by each vaccine</t>
  </si>
  <si>
    <t>Proportion of deaths from vaccine-preventable causes among unvaccinated 50-74-year-olds that are addressable by the BCG vaccine</t>
  </si>
  <si>
    <t>Proportion of deaths from vaccine-preventable causes among unvaccinated 50-74-year-olds that are addressable by the DTP vaccine</t>
  </si>
  <si>
    <t>Proportion of deaths from vaccine-preventable causes among unvaccinated 50-74-year-olds that are addressable by the Hib vaccine</t>
  </si>
  <si>
    <t>Proportion of deaths from vaccine-preventable causes among unvaccinated 50-74-year-olds that are addressable by the PCV vaccine</t>
  </si>
  <si>
    <t>Proportion of deaths from vaccine-preventable causes among unvaccinated 50-74-year-olds that are addressable by the rotavirus vaccine</t>
  </si>
  <si>
    <t>Proportion of deaths from vaccine-preventable causes among unvaccinated 50-74-year-olds that are addressable by the measles vaccine</t>
  </si>
  <si>
    <t>Vaccine coverage for 50-74-year-old populations represented by GBD 2021, aggregated across doses</t>
  </si>
  <si>
    <t>Adjustment for lower vaccine coverage among 50-74-year-olds represented in GBD 2021 disease burden estimates</t>
  </si>
  <si>
    <t>Proportion of 50-74-year-olds represented in GBD 2021 disease burden estimates who received the BCG vaccine</t>
  </si>
  <si>
    <t>Proportion of 50-74-year-olds represented in GBD 2021 disease burden estimates who received the DTP vaccine, aggregated across doses</t>
  </si>
  <si>
    <t>Proportion of 50-74-year-olds represented in GBD 2021 disease burden estimates who received the Hib vaccine, aggregated across doses</t>
  </si>
  <si>
    <t>Proportion of 50-74-year-olds represented in GBD 2021 disease burden estimates who received the PCV vaccine, aggregated across doses</t>
  </si>
  <si>
    <t>Proportion of 50-74-year-olds represented in GBD 2021 disease burden estimates who received the rotavirus vaccine, aggregated across doses</t>
  </si>
  <si>
    <t>Proportion of 50-74-year-olds represented in GBD 2021 disease burden estimates who received the measles vaccine</t>
  </si>
  <si>
    <t>Vaccine coverage for 50-74-year-old populations represented by GBD 2021, aggregated across vaccines</t>
  </si>
  <si>
    <t>Vaccination coverage rates for the control group of the New Incentives RCT</t>
  </si>
  <si>
    <t>Proportion of children in the New Incentives RCT control group who reported receiving the BCG vaccine</t>
  </si>
  <si>
    <t>Proportion of children in the New Incentives RCT control group who reported receiving the 1st dose of the Penta vaccine</t>
  </si>
  <si>
    <t>Proportion of children in the New Incentives RCT control group who reported receiving the 2nd dose of the Penta vaccine</t>
  </si>
  <si>
    <t>Proportion of children in the New Incentives RCT control group who reported receiving the 3rd dose of the Penta vaccine</t>
  </si>
  <si>
    <t>Proportion of children in the New Incentives RCT control group who reported receiving the 1st dose of the PCV vaccine</t>
  </si>
  <si>
    <t>Proportion of children in the New Incentives RCT control group who reported receiving the 2nd dose of the PCV vaccine</t>
  </si>
  <si>
    <t>Proportion of children in the New Incentives RCT control group who reported receiving the 3rd dose of the PCV vaccine</t>
  </si>
  <si>
    <t>Proportion of children in the New Incentives RCT control group who reported receiving the measles vaccine</t>
  </si>
  <si>
    <t>Adjustment for self-report bias</t>
  </si>
  <si>
    <t>Adjustment for self-report bias in the New Incentives RCT</t>
  </si>
  <si>
    <t>Vaccination coverage rates for the control group of the New Incentives RCT, adjusted for self-report bias</t>
  </si>
  <si>
    <t>Proportion of children in the New Incentives RCT control group who received the BCG vaccine</t>
  </si>
  <si>
    <t>Proportion of children in the New Incentives RCT control group who received the 1st dose of the Penta vaccine</t>
  </si>
  <si>
    <t>Proportion of children in the New Incentives RCT control group who received the 2nd dose of the Penta vaccine</t>
  </si>
  <si>
    <t>Proportion of children in the New Incentives RCT control group who received the 3rd dose of the Penta vaccine</t>
  </si>
  <si>
    <t>Proportion of children in the New Incentives RCT control group who received the 1st dose of the PCV vaccine</t>
  </si>
  <si>
    <t>Proportion of children in the New Incentives RCT control group who received the 2nd dose of the PCV vaccine</t>
  </si>
  <si>
    <t>Proportion of children in the New Incentives RCT control group who received the 3rd dose of the PCV vaccine</t>
  </si>
  <si>
    <t>Proportion of children in the New Incentives RCT control group who received the measles vaccine</t>
  </si>
  <si>
    <t>Average proportion of vaccine-preventable mortalities that could be prevented by each vaccine dose in RCT states (Jigawa, Katsina, Zamfara)</t>
  </si>
  <si>
    <t>Proportion of vaccine-preventable mortalities among people under age 5 that could be prevented by the BCG vaccine in RCT states</t>
  </si>
  <si>
    <t>Proportion of vaccine-preventable mortalities among people under age 5 that could be prevented by the 1st dose of the Penta vaccine in RCT states</t>
  </si>
  <si>
    <t>Proportion of vaccine-preventable mortalities among people under age 5 that could be prevented by the 2nd dose of the Penta vaccine in RCT states</t>
  </si>
  <si>
    <t>Proportion of vaccine-preventable mortalities among people under age 5 that could be prevented by the 3rd dose of the Penta vaccine in RCT states</t>
  </si>
  <si>
    <t>Proportion of vaccine-preventable mortalities among people under age 5 that could be prevented by the 1st dose of the PCV vaccine in RCT states</t>
  </si>
  <si>
    <t>Proportion of vaccine-preventable mortalities among people under age 5 that could be prevented by the 2nd dose of the PCV vaccine in RCT states</t>
  </si>
  <si>
    <t>Proportion of vaccine-preventable mortalities among people under age 5 that could be prevented by the 3rd dose of the PCV vaccine in RCT states</t>
  </si>
  <si>
    <t>Proportion of vaccine-preventable mortalities among people under age 5 that could be prevented by the 1st dose of the measles vaccine in RCT states</t>
  </si>
  <si>
    <t>Vaccination coverage rates for the control group of the New Incentives RCT, adjusted for self-report bias, aggregated across vaccines</t>
  </si>
  <si>
    <t>Proportion of children in the New Incentives RCT control group who were vaccinated, aggregated across vaccines</t>
  </si>
  <si>
    <t>Corresponding proportion of children in the New Incentives RCT control group who were not vaccinated, aggregated across vaccines</t>
  </si>
  <si>
    <t>Treatment effects found by the New Incentives' RCT</t>
  </si>
  <si>
    <t>Increase in the proportion of children receiving the BCG vaccine</t>
  </si>
  <si>
    <t>Increase in the proportion of children receiving the 1st dose of the Penta vaccine</t>
  </si>
  <si>
    <t>Increase in the proportion of children receiving the 2nd dose of the Penta vaccine</t>
  </si>
  <si>
    <t>Increase in the proportion of children receiving the 3rd dose of the Penta vaccine</t>
  </si>
  <si>
    <t>Increase in the proportion of children receiving the 1st dose of the PCV vaccine</t>
  </si>
  <si>
    <t>Increase in the proportion of children receiving the 2nd dose of the PCV vaccine</t>
  </si>
  <si>
    <t>Increase in the proportion of children receiving the 3rd dose of the PCV vaccine</t>
  </si>
  <si>
    <t>Increase in the proportion of children receiving the 1st dose of the measles vaccine</t>
  </si>
  <si>
    <t>Treatment effect found by the New Incentives RCT, aggregated across vaccines</t>
  </si>
  <si>
    <t>Increase in proportion of children who are vaccinated, aggregated across vaccines</t>
  </si>
  <si>
    <t>Implied reduction in the proportion of children who are unvaccinated as a result of New Incentives program</t>
  </si>
  <si>
    <t>Treatment effects, adjusted for second measles dose</t>
  </si>
  <si>
    <t>Reduction in the proportion of children who do not receive the second dose of the measles vaccine as a result of New Incentives' program, relative to the program's impact on the first dose</t>
  </si>
  <si>
    <t>Reduction in the proportion of children who do not receive the second dose of the measles vaccine as a result of New Incentives' program</t>
  </si>
  <si>
    <t>Average proportion of vaccine-preventable mortalities that could be prevented by each vaccine in RCT states (Jigawa, Katsina, Zamfara)</t>
  </si>
  <si>
    <t>Average proportion of vaccine-preventable mortalities that could be prevented by the second dose of the vaccine in RCT states</t>
  </si>
  <si>
    <t>Average proportion of vaccine-preventable mortalities that could be prevented by all other doses of the vaccine in RCT states</t>
  </si>
  <si>
    <t>Tuberculosis</t>
  </si>
  <si>
    <t>Probability of dying of tuberculosis</t>
  </si>
  <si>
    <t>Probability that a person will die of tuberculosis before reaching age 5</t>
  </si>
  <si>
    <t>Probability that a 5-year-old will die of tuberculosis before reaching age 15</t>
  </si>
  <si>
    <t>Probability that a 15-year-old will die of tuberculosis before reaching age 50</t>
  </si>
  <si>
    <t>Probability that a 50-year-old will die of tuberculosis before reaching age 75</t>
  </si>
  <si>
    <t>Tuberculosis mortalities occurring before the age of vaccination</t>
  </si>
  <si>
    <t>Proportion of tuberculosis mortalities among people under age 5 that occur prior to the age of BCG vaccination (birth)</t>
  </si>
  <si>
    <t>Probability that a person will die of tuberculosis before reaching age 5, adjusted for deaths occurring before the age of vaccination</t>
  </si>
  <si>
    <t>Diphtheria</t>
  </si>
  <si>
    <t>Probability of dying of diphtheria</t>
  </si>
  <si>
    <t>Probability that a person will die of diphtheria before reaching age 5</t>
  </si>
  <si>
    <t>Probability that a 5-year-old will die of diphtheria before reaching age 15</t>
  </si>
  <si>
    <t>Probability that a 15-year-old will die of diphtheria before reaching age 50</t>
  </si>
  <si>
    <t>Probability that a 50-year-old will die of diphtheria before reaching age 75</t>
  </si>
  <si>
    <t>Diphtheria mortalities occurring before the age of vaccination</t>
  </si>
  <si>
    <t>Diphtheria mortalities per year among people under age 5</t>
  </si>
  <si>
    <t>Diphtheria mortalities per year among people under age 1</t>
  </si>
  <si>
    <t>Proportion of diphtheria mortalities among people under age 5 that occur before age 1</t>
  </si>
  <si>
    <t>Assumed proportion of diphtheria mortalities among people under age 1 occurring before the age of Penta vaccination (6 weeks)</t>
  </si>
  <si>
    <t>Proportion of diphtheria mortalities among people under age 5 that occur before the age of Penta vaccination (6 weeks)</t>
  </si>
  <si>
    <t>Probability that a person will die of diphtheria before reaching age 5, adjusted for deaths occurring before the age of vaccination</t>
  </si>
  <si>
    <t>Pertussis</t>
  </si>
  <si>
    <t>Probability of dying of pertussis</t>
  </si>
  <si>
    <t>Probability that a person will die of pertussis before reaching age 5</t>
  </si>
  <si>
    <t>Probability that a 5-year-old will die of pertussis before reaching age 15</t>
  </si>
  <si>
    <t>Probability that a 15-year-old will die of pertussis before reaching age 50</t>
  </si>
  <si>
    <t>Probability that a 50-year-old will die of pertussis before reaching age 75</t>
  </si>
  <si>
    <t>Pertussis mortalities occurring before the age of vaccination</t>
  </si>
  <si>
    <t>Pertussis mortalities per year among people under age 5</t>
  </si>
  <si>
    <t>Pertussis mortalities per year among people under age 1</t>
  </si>
  <si>
    <t>Proportion of pertussis mortalities among people under age 5 that occur before age 1</t>
  </si>
  <si>
    <t>Assumed proportion of pertussis mortalities among people under age 1 occurring before the age of Penta vaccination (6 weeks)</t>
  </si>
  <si>
    <t>Proportion of pertussis mortalities among people under age 5 that occur before the age of Penta vaccination (6 weeks)</t>
  </si>
  <si>
    <t>Probability that a person will die of pertussis before reaching age 5, adjusted for deaths occurring before the age of vaccination</t>
  </si>
  <si>
    <t>Tetanus</t>
  </si>
  <si>
    <t>Probability of dying of tetanus</t>
  </si>
  <si>
    <t>Probability that a person will die of tetanus before reaching age 5</t>
  </si>
  <si>
    <t>Probability that a 5-year-old will die of tetanus before reaching age 15</t>
  </si>
  <si>
    <t>Probability that a 15-year-old will die of tetanus before reaching age 50</t>
  </si>
  <si>
    <t>Probability that a 50-year-old will die of tetanus before reaching age 75</t>
  </si>
  <si>
    <t>Tetanus mortalities occurring before the age of vaccination</t>
  </si>
  <si>
    <t>Tetanus mortalities per year among people under age 5</t>
  </si>
  <si>
    <t>Early neonatal tetanus mortalities per year (babies under 7 days old)</t>
  </si>
  <si>
    <t>Late neonatal tetanus mortalities per year (babies between 7 and 27 days old)</t>
  </si>
  <si>
    <t>Tetanus mortalities per year among people under age 1</t>
  </si>
  <si>
    <t>Proportion of tetanus mortalities among people under age 5 that occur during the neonatal period (babies between 0 and 27 days old)</t>
  </si>
  <si>
    <t>Assumed ratio of tetanus mortalities among people under age 5 occurring after the neonatal period but before the age of Penta vaccination (6 weeks) to tetanus mortalities occurring in the neonatal period</t>
  </si>
  <si>
    <t>Proportion of tetanus mortalities among people under age 5 that occur before age 1</t>
  </si>
  <si>
    <t>Proportion of tetanus mortalities among people under age 5 that occur before the age of Penta vaccination (6 weeks)</t>
  </si>
  <si>
    <t>Probability that a person will die of tetanus before reaching age 5, adjusted for deaths occurring before the age of vaccination</t>
  </si>
  <si>
    <t>Lower respiratory infections</t>
  </si>
  <si>
    <t>Probability of dying of a lower respiratory infection</t>
  </si>
  <si>
    <t>Probability that a person will die of a lower respiratory infection before reaching age 5</t>
  </si>
  <si>
    <t>Probability that a 5-year-old will die of a lower respiratory infection before reaching age 15</t>
  </si>
  <si>
    <t>Probability that a 15-year-old will die of a lower respiratory infection before reaching age 50</t>
  </si>
  <si>
    <t>Probability that a 50-year-old will die of a lower respiratory infection before reaching age 75</t>
  </si>
  <si>
    <t>Lower respiratory infection mortalities occurring before the age of vaccination</t>
  </si>
  <si>
    <t>Lower respiratory infection mortalities per year among people under age 5</t>
  </si>
  <si>
    <t>Early neonatal lower respiratory infection mortalities per year (babies under 7 days old)</t>
  </si>
  <si>
    <t>Late neonatal lower respiratory infection mortalities per year (babies between 7 and 27 days old)</t>
  </si>
  <si>
    <t>Proportion of lower respiratory infection mortalities among people under age 5 that occur during the neonatal period (babies between 0 and 27 days old)</t>
  </si>
  <si>
    <t>Assumed ratio of lower respiratory infection mortalities among people under age 5 occurring after the neonatal period but before the age of Penta and PCV vaccination (6 weeks) to lower respiratory infection mortalities occurring in the neonatal period</t>
  </si>
  <si>
    <t>Proportion of lower respiratory infection mortalities among people under age 5 that occur before the age of Penta and PCV vaccination (6 weeks)</t>
  </si>
  <si>
    <t>Probability that a person will die of a lower respiratory infection before reaching age 5, adjusted for deaths occurring before the age of vaccination</t>
  </si>
  <si>
    <t>Disease etiology for lower respiratory infections</t>
  </si>
  <si>
    <r>
      <rPr>
        <rFont val="Calibri"/>
        <color theme="1"/>
        <sz val="11.0"/>
      </rPr>
      <t>Pathogens addressed by the Penta vaccine (</t>
    </r>
    <r>
      <rPr>
        <rFont val="Calibri"/>
        <i/>
        <color theme="1"/>
        <sz val="11.0"/>
      </rPr>
      <t>H. influenzae type B</t>
    </r>
    <r>
      <rPr>
        <rFont val="Calibri"/>
        <color theme="1"/>
        <sz val="11.0"/>
      </rPr>
      <t>)</t>
    </r>
  </si>
  <si>
    <t>Proportion of lower respiratory infection deaths caused by pathogens addressed by the Penta vaccine (H. influenzae type B)</t>
  </si>
  <si>
    <r>
      <rPr>
        <rFont val="Calibri"/>
        <color rgb="FF000000"/>
        <sz val="11.0"/>
      </rPr>
      <t xml:space="preserve">Probability that a person will die of a lower respiratory infection caused by </t>
    </r>
    <r>
      <rPr>
        <rFont val="Calibri"/>
        <i/>
        <color rgb="FF000000"/>
        <sz val="11.0"/>
      </rPr>
      <t>H. influenzae type B</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</si>
  <si>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a lower respiratory infection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</si>
  <si>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a lower respiratory infection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</si>
  <si>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</si>
  <si>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</si>
  <si>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Proportion of lower respiratory infection deaths caused by pathogens addressed by the PCV vaccine (S. pneumoniae)</t>
  </si>
  <si>
    <t>Probability that a person will die of a lower respiratory infection caused by S. pneumoniae before reaching age 5, adjusted for deaths occuring before the age of vaccination</t>
  </si>
  <si>
    <r>
      <rPr>
        <rFont val="Calibri"/>
        <color rgb="FF000000"/>
        <sz val="11.0"/>
      </rPr>
      <t xml:space="preserve">Probability that a 5-year-old will die of a lower respiratory infection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</si>
  <si>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a lower respiratory infection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</si>
  <si>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S. pneumoniae</t>
    </r>
    <r>
      <rPr>
        <rFont val="Calibri"/>
        <color rgb="FF000000"/>
        <sz val="11.0"/>
      </rPr>
      <t xml:space="preserve"> before reaching age 75</t>
    </r>
  </si>
  <si>
    <t>Meningitis</t>
  </si>
  <si>
    <t>Probability of dying of meningitis</t>
  </si>
  <si>
    <t>Probability that a person will die of meningitis before reaching age 5</t>
  </si>
  <si>
    <t>Probability that a 5-year-old will die of meningitis before reaching age 15</t>
  </si>
  <si>
    <t>Probability that a 15-year-old will die of meningitis before reaching age 50</t>
  </si>
  <si>
    <t>Probability that a 50-year-old will die of meningitis before reaching age 75</t>
  </si>
  <si>
    <t>Meningitis mortalities occurring before the age of vaccination</t>
  </si>
  <si>
    <t>Meningitis mortalities per year among people under age 5</t>
  </si>
  <si>
    <t>Early neonatal meningitis mortalities per year (babies under 7 days old)</t>
  </si>
  <si>
    <t>Late neonatal meningitis mortalities per year (babies between 7 and 27 days old)</t>
  </si>
  <si>
    <t>Proportion of meningitis mortalities among people under age 5 that occur during the neonatal period (babies between 0 and 27 days old)</t>
  </si>
  <si>
    <t>Assumed ratio of meningitis mortalities among people under age 5 occurring after the neonatal period but before the age of Penta and PCV vaccination (6 weeks) to meningitis mortalities occurring in the neonatal period</t>
  </si>
  <si>
    <t>Proportion of meningitis mortalities among people under age 5 that occur before the age of Penta and PCV vaccination (6 weeks)</t>
  </si>
  <si>
    <t>Probability that a person will die of meningitis before reaching age 5, adjusted for deaths occurring before the age of vaccination</t>
  </si>
  <si>
    <t>Disease etiology for meningitis</t>
  </si>
  <si>
    <r>
      <rPr>
        <rFont val="Calibri,Arial"/>
        <color theme="1"/>
        <sz val="11.0"/>
      </rPr>
      <t>Pathogens addressed by the Penta vaccine (</t>
    </r>
    <r>
      <rPr>
        <rFont val="Calibri,Arial"/>
        <i/>
        <color theme="1"/>
        <sz val="11.0"/>
      </rPr>
      <t>H. influenzae type B</t>
    </r>
    <r>
      <rPr>
        <rFont val="Calibri,Arial"/>
        <color theme="1"/>
        <sz val="11.0"/>
      </rPr>
      <t>)</t>
    </r>
  </si>
  <si>
    <t>Proportion of meningitis deaths caused by pathogens addressed by the Penta vaccine (H. influenzae type B) according to GBD 2019</t>
  </si>
  <si>
    <t>Adjustment for alignment with Hib meningitis burden estimates from View-Hub</t>
  </si>
  <si>
    <t>Proportion of meningitis deaths caused by pathogens addressed by the Penta vaccine (H. influenzae type B), after adjusting for alignment with Hib meningitis burden estimates from View-Hub</t>
  </si>
  <si>
    <t>Probability that a person will die of meningitis caused by H. influenzae type B before reaching age 5, adjusted for deaths occuring before the age of vaccination</t>
  </si>
  <si>
    <r>
      <rPr>
        <rFont val="Calibri"/>
        <color rgb="FF000000"/>
        <sz val="11.0"/>
      </rPr>
      <t xml:space="preserve">Probability that a 5-year-old will die of meningitis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</si>
  <si>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meningitis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</si>
  <si>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</si>
  <si>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</si>
  <si>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Proportion of meningitis deaths caused by pathogens addressed by the PCV vaccine (S. pneumoniae) according to GBD 2019</t>
  </si>
  <si>
    <t>Adjustment for alignment with pneumococcal meningitis burden estimates from View-Hub</t>
  </si>
  <si>
    <t>Proportion of meningitis deaths caused by pathogens addressed by the PCV vaccine (S. pneumoniae), after adjusting for alignment with Hib meningitis burden estimates from View-Hub</t>
  </si>
  <si>
    <r>
      <rPr>
        <rFont val="Calibri"/>
        <color rgb="FF000000"/>
        <sz val="11.0"/>
      </rPr>
      <t xml:space="preserve">Probability that a person will die of meningitis caused by </t>
    </r>
    <r>
      <rPr>
        <rFont val="Calibri"/>
        <i/>
        <color rgb="FF000000"/>
        <sz val="11.0"/>
      </rPr>
      <t>S. pneumoniae</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</si>
  <si>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meningitis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</si>
  <si>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meningitis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</si>
  <si>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S. pneumoniae</t>
    </r>
    <r>
      <rPr>
        <rFont val="Calibri"/>
        <color rgb="FF000000"/>
        <sz val="11.0"/>
      </rPr>
      <t xml:space="preserve"> before reaching age 75</t>
    </r>
  </si>
  <si>
    <t>Diarrheal disease</t>
  </si>
  <si>
    <t>Probability of dying of diarrheal disease</t>
  </si>
  <si>
    <t>Probability that a person will die of diarrheal disease before reaching age 5</t>
  </si>
  <si>
    <t>Probability that a 5-year-old will die of diarrheal disease before reaching age 15</t>
  </si>
  <si>
    <t>Probability that a 15-year-old will die of diarrheal disease before reaching age 50</t>
  </si>
  <si>
    <t>Probability that a 50-year-old will die of diarrheal disease before reaching age 75</t>
  </si>
  <si>
    <t>Diarrheal disease mortalities caused by rotavirus occurring before the age of vaccination</t>
  </si>
  <si>
    <t>Diarrheal disease mortalities per year among people under age 5</t>
  </si>
  <si>
    <t>Diarrheal disease mortalities caused by rotavirus per year among people under age 5</t>
  </si>
  <si>
    <t>Early neonatal diarrheal disease mortalities caused by rotavirus per year (babies under 7 days old)</t>
  </si>
  <si>
    <t>Late neonatal diarrheal disease mortalities caused by rotavirus per year (babies between 7 and 27 days old)</t>
  </si>
  <si>
    <t>Proportion of diarrheal disease mortalities caused by rotavirus among people under age 5 that occur during the neonatal period (babies between 0 and 27 days old)</t>
  </si>
  <si>
    <t>Assumed ratio of diarrheal disease mortalities caused by rotavirus among people under age 5 occurring after the neonatal period but before the age of rotavirus vaccination (6 weeks) to diarrheal disease mortalities caused by rotavirus occurring in the neonatal period</t>
  </si>
  <si>
    <t>Proportion of diarrheal disease mortalities caused by rotavirus among people under age 5 that occur before the age of rotavirus vaccination (6 weeks)</t>
  </si>
  <si>
    <t>Probability that a person will die of diarrheal disease caused by rotavirus before reaching age 5, adjusted for deaths occurring before the age of vaccination</t>
  </si>
  <si>
    <t>Disease etiology for diarrheal disease</t>
  </si>
  <si>
    <t>Proportion of diarrheal disease mortalities caused by pathogens addressed by the rotavirus vaccine (rotavirus)</t>
  </si>
  <si>
    <t>Probability that a person will die of diarrheal disease caused by rotavirus before reaching age 5, adjusted for mortalities occuring before the age of rotavirus vaccination</t>
  </si>
  <si>
    <r>
      <rPr>
        <rFont val="Calibri"/>
        <color rgb="FF000000"/>
        <sz val="11.0"/>
      </rPr>
      <t xml:space="preserve">Probability that a 5-year-old will die of diarrheal disease caused by </t>
    </r>
    <r>
      <rPr>
        <rFont val="Calibri"/>
        <color rgb="FF000000"/>
        <sz val="11.0"/>
      </rPr>
      <t>rotavirus</t>
    </r>
    <r>
      <rPr>
        <rFont val="Calibri"/>
        <color rgb="FF000000"/>
        <sz val="11.0"/>
      </rPr>
      <t xml:space="preserve"> before reaching age 15</t>
    </r>
  </si>
  <si>
    <r>
      <rPr>
        <rFont val="Calibri"/>
        <color rgb="FF000000"/>
        <sz val="11.0"/>
      </rPr>
      <t xml:space="preserve">Probability that a 15-year-old will die of diarrheal disease caused by </t>
    </r>
    <r>
      <rPr>
        <rFont val="Calibri"/>
        <color rgb="FF000000"/>
        <sz val="11.0"/>
      </rPr>
      <t>rotavirus</t>
    </r>
    <r>
      <rPr>
        <rFont val="Calibri"/>
        <color rgb="FF000000"/>
        <sz val="11.0"/>
      </rPr>
      <t xml:space="preserve"> before reaching age 50</t>
    </r>
  </si>
  <si>
    <r>
      <rPr>
        <rFont val="Calibri"/>
        <color rgb="FF000000"/>
        <sz val="11.0"/>
      </rPr>
      <t xml:space="preserve">Probability that a 50-year-old will die of diarrheal disease caused by </t>
    </r>
    <r>
      <rPr>
        <rFont val="Calibri"/>
        <color rgb="FF000000"/>
        <sz val="11.0"/>
      </rPr>
      <t>rotavirus</t>
    </r>
    <r>
      <rPr>
        <rFont val="Calibri"/>
        <color rgb="FF000000"/>
        <sz val="11.0"/>
      </rPr>
      <t xml:space="preserve"> before reaching age 75</t>
    </r>
  </si>
  <si>
    <t>Measles</t>
  </si>
  <si>
    <t>Probability of dying of measles</t>
  </si>
  <si>
    <t>Probability that a person will die of measles before reaching age 5</t>
  </si>
  <si>
    <t>Probability that a 5-year-old will die of measles before reaching age 15</t>
  </si>
  <si>
    <t>Probability that a 15-year-old will die of measles before reaching age 50</t>
  </si>
  <si>
    <t>Probability that a 50-year-old will die of measles before reaching age 75</t>
  </si>
  <si>
    <t>Measles mortalities occurring before the age of vaccination</t>
  </si>
  <si>
    <t>Measles mortalities per year among people under age 5</t>
  </si>
  <si>
    <t>Measles mortalities per year among people under age 1</t>
  </si>
  <si>
    <t>Proportion of measles mortalities among people under age 5 that occur before age 1</t>
  </si>
  <si>
    <t>Assumed proportion of measles mortalities among people under age 1 occurring before the age of measles vaccination (9 months)</t>
  </si>
  <si>
    <t>Proportion of measles mortalities among people under age 5 that occur before the age of measles vaccination (9 months)</t>
  </si>
  <si>
    <t>Probability that a person will die of measles before reaching age 5, adjusted for deaths occurring before the age of vaccination</t>
  </si>
  <si>
    <t>Probability of dying of vaccine-preventable disease among the unvaccinated population under age 5</t>
  </si>
  <si>
    <t>Probability that a person will die of causes addressable by each vaccine before reaching age 5, adjusted for deaths occurring before the age of vaccination</t>
  </si>
  <si>
    <t>Probability that a person will die of causes addressable by the BCG vaccine before reaching age 5, adjusted for deaths occurring before the age of BCG vaccination</t>
  </si>
  <si>
    <t>Probability that a person will die of causes addressable by the DTP vaccine before reaching age 5, adjusted for deaths occurring before the age of DTP vaccination</t>
  </si>
  <si>
    <t>Probability that a person will die of causes addressable by the Hib vaccine before reaching age 5, adjusted for deaths occurring before the age of Hib vaccination</t>
  </si>
  <si>
    <t>Probability that a person will die of causes addressable by the PCV vaccine before reaching age 5, adjusted for deaths occurring before the age of PCV vaccination</t>
  </si>
  <si>
    <t>Probability that a person will die of causes addressable by the rotavirus vaccine before reaching age 5, adjusted for deaths occurring before the age of rotavirus vaccination</t>
  </si>
  <si>
    <t>Probability that a person will die of causes addressable by the measles vaccine before reaching age 5, adjusted for deaths occurring before the age of measles vaccination</t>
  </si>
  <si>
    <t>Probability that an unvaccinated person will die of causes addressable by each vaccine before reaching age 5, adjusted for deaths occurring before the age of vaccination</t>
  </si>
  <si>
    <t>Probability that an unvaccinated person will die of causes addressable by the BCG vaccine before reaching age 5, adjusted for deaths occurring before the age of BCG vaccination</t>
  </si>
  <si>
    <t>Probability that an unvaccinated person will die of causes addressable by the DTP vaccine before reaching age 5, adjusted for deaths occurring before the age of DTP vaccination</t>
  </si>
  <si>
    <t>Probability that an unvaccinated person will die of causes addressable by the Hib vaccine before reaching age 5, adjusted for deaths occurring before the age of Hib vaccination</t>
  </si>
  <si>
    <t>Probability that an unvaccinated person will die of causes addressable by the PCV vaccine before reaching age 5, adjusted for deaths occurring before the age of PCV vaccination</t>
  </si>
  <si>
    <t>Probability that an unvaccinated person will die of causes addressable by the rotavirus vaccine before reaching age 5, adjusted for deaths occurring before the age of rotavirus vaccination</t>
  </si>
  <si>
    <t>Probability that an unvaccinated person will die of causes addressable by the measles vaccine before reaching age 5, adjusted for deaths occurring before the age of measles vaccination</t>
  </si>
  <si>
    <t>Probability of death among the unvaccinated population for older age groups</t>
  </si>
  <si>
    <t>Probability that a 5-year-old will die of causes addressable by each vaccine before reaching age 15</t>
  </si>
  <si>
    <t>Adjustment for expected change in vaccine-preventable disease burden over time for 5-14-year-olds</t>
  </si>
  <si>
    <t>Probability that a 5-year-old will die of causes addressable by the BCG vaccine before reaching age 15</t>
  </si>
  <si>
    <t>Probability that a 5-year-old will die of causes addressable by the DTP vaccine before reaching age 15</t>
  </si>
  <si>
    <t>Probability that a 5-year-old will die of causes addressable by the Hib vaccine before reaching age 15</t>
  </si>
  <si>
    <t>Probability that a 5-year-old will die of causes addressable by the PCV vaccine before reaching age 15</t>
  </si>
  <si>
    <t>Probability that a 5-year-old will die of causes addressable by the rotavirus vaccine before reaching age 15</t>
  </si>
  <si>
    <t>Probability that a 5-year-old will die of causes addressable by the measles vaccine before reaching age 15</t>
  </si>
  <si>
    <t>Vaccine coverage for 5-14-year-olds represented by GBD 2021, aggregated across doses</t>
  </si>
  <si>
    <t>Proportion of 5-14-year-olds represented in GBD 2021 disease burden estimates who received the Penta vaccine, aggregated across doses</t>
  </si>
  <si>
    <t>Adjustment for reduction in vaccine efficacy over time for 5-14-year-olds</t>
  </si>
  <si>
    <t>Probability that an unvaccinated 5-year-old will die of each vaccine-preventable cause before reaching age 15</t>
  </si>
  <si>
    <t>Probability that an unvaccinated 5-year-old will die of causes addressable by the BCG vaccine before reaching age 15</t>
  </si>
  <si>
    <t>Probability that an unvaccinated 5-year-old will die of causes addressable by the DTP vaccine before reaching age 15</t>
  </si>
  <si>
    <t>Probability that an unvaccinated 5-year-old will die of causes addressable by the Hib vaccine before reaching age 15</t>
  </si>
  <si>
    <t>Probability that an unvaccinated 5-year-old will die of causes addressable by the PCV vaccine before reaching age 15</t>
  </si>
  <si>
    <t>Probability that an unvaccinated 5-year-old will die of causes addressable by the rotavirus vaccine before reaching age 15</t>
  </si>
  <si>
    <t>Probability that an unvaccinated 5-year-old will die of causes addressable by the measles vaccine before reaching age 15</t>
  </si>
  <si>
    <t>Probability that a 15-year-old will die of causes addressable by each vaccine before reaching age 50</t>
  </si>
  <si>
    <t>Adjustment for expected change in vaccine-preventable disease burden over time for 15-49-year-olds</t>
  </si>
  <si>
    <t>Probability that a 15-year-old will die of causes addressable by the BCG vaccine before reaching age 50</t>
  </si>
  <si>
    <t>Probability that a 15-year-old will die of causes addressable by the DTP vaccine before reaching age 50</t>
  </si>
  <si>
    <t>Probability that a 15-year-old will die of causes addressable by the Hib vaccine before reaching age 50</t>
  </si>
  <si>
    <t>Probability that a 15-year-old will die of causes addressable by the PCV vaccine before reaching age 50</t>
  </si>
  <si>
    <t>Probability that a 15-year-old will die of causes addressable by the rotavirus vaccine before reaching age 50</t>
  </si>
  <si>
    <t>Probability that a 15-year-old will die of causes addressable by the measles vaccine before reaching age 50</t>
  </si>
  <si>
    <t>Vaccine coverage for 15-49-year-olds represented by GBD 2021, aggregated across doses</t>
  </si>
  <si>
    <t>Proportion of 15-49-year-olds represented in GBD 2021 disease burden estimates who received the Penta vaccine, aggregated across doses</t>
  </si>
  <si>
    <t>Adjustment for reduction in non-BCG vaccine efficacy over time for 15-49-year-olds</t>
  </si>
  <si>
    <t>Adjustment for reduction in BCG vaccine efficacy over time for 15-49-year-olds</t>
  </si>
  <si>
    <t>Probability that an unvaccinated 15-year-old will die of each vaccine-preventable cause before reaching age 50</t>
  </si>
  <si>
    <t>Probability that an unvaccinated 15-year-old will die of causes addressable by the BCG vaccine before reaching age 50</t>
  </si>
  <si>
    <t>Probability that an unvaccinated 15-year-old will die of causes addressable by the DTP vaccine before reaching age 50</t>
  </si>
  <si>
    <t>Probability that an unvaccinated 15-year-old will die of causes addressable by the Hib vaccine before reaching age 50</t>
  </si>
  <si>
    <t>Probability that an unvaccinated 15-year-old will die of causes addressable by the PCV vaccine before reaching age 50</t>
  </si>
  <si>
    <t>Probability that an unvaccinated 15-year-old will die of causes addressable by the rotavirus vaccine before reaching age 50</t>
  </si>
  <si>
    <t>Probability that an unvaccinated 15-year-old will die of causes addressable by the measles vaccine before reaching age 50</t>
  </si>
  <si>
    <t>Probability that a 50-year-old will die of each vaccine-preventable cause before reaching age 74</t>
  </si>
  <si>
    <t>Adjustment for expected change in vaccine-preventable disease burden over time for 50-74-year-olds</t>
  </si>
  <si>
    <t>Probability that a 50-year-old will die of causes addressable by the BCG vaccine before reaching age 75</t>
  </si>
  <si>
    <t>Probability that a 50-year-old will die of causes addressable by the DTP vaccine before reaching age 75</t>
  </si>
  <si>
    <t>Probability that a 50-year-old will die of causes addressable by the Hib vaccine before reaching age 75</t>
  </si>
  <si>
    <t>Probability that a 50-year-old will die of causes addressable by the PCV vaccine before reaching age 75</t>
  </si>
  <si>
    <t>Probability that a 50-year-old will die of causes addressable by the rotavirus vaccine before reaching age 75</t>
  </si>
  <si>
    <t>Probability that a 50-year-old will die of causes addressable by the measles vaccine before reaching age 75</t>
  </si>
  <si>
    <t>Vaccine coverage for 50-74-year-olds represented by GBD 2021, aggregated across doses</t>
  </si>
  <si>
    <t>Proportion of 50-74-year-olds represented in GBD 2021 disease burden estimates who received the Penta vaccine, aggregated across doses</t>
  </si>
  <si>
    <t>Adjustment for reduction in non-BCG vaccine efficacy over time for 50-74-year-olds</t>
  </si>
  <si>
    <t>Adjustment for reduction in BCG vaccine efficacy over time for 50-74-year-olds</t>
  </si>
  <si>
    <t>Probability that an unvaccinated 50-year-old will die of each vaccine-preventable cause before reaching age 74</t>
  </si>
  <si>
    <t>Probability that an unvaccinated 50-year-old will die of causes addressable by the BCG vaccine before reaching age 75</t>
  </si>
  <si>
    <t>Probability that an unvaccinated 50-year-old will die of causes addressable by the DTP vaccine before reaching age 75</t>
  </si>
  <si>
    <t>Probability that an unvaccinated 50-year-old will die of causes addressable by the Hib vaccine before reaching age 75</t>
  </si>
  <si>
    <t>Probability that an unvaccinated 50-year-old will die of causes addressable by the PCV vaccine before reaching age 75</t>
  </si>
  <si>
    <t>Probability that an unvaccinated 50-year-old will die of causes addressable by the rotavirus vaccine before reaching age 75</t>
  </si>
  <si>
    <t>Probability that an unvaccinated 50-year-old will die of causes addressable by the measles vaccine before reaching age 75</t>
  </si>
  <si>
    <t>Probability that an unvaccinated person will die before reaching age 5 as a direct result of being unvaccinated, taking vaccine efficacy into account</t>
  </si>
  <si>
    <t>Probability that an unvaccinated person will die before reaching age 5 as a direct result of not receiving the BCG vaccine, taking vaccine efficacy into account</t>
  </si>
  <si>
    <t>Probability that an unvaccinated person will die before reaching age 5 as a direct result of not receiving the DTP vaccine, taking vaccine efficacy into account</t>
  </si>
  <si>
    <t>Probability that an unvaccinated person will die before reaching age 5 as a direct result of not receiving the Hib vaccine, taking vaccine efficacy into account</t>
  </si>
  <si>
    <t>Probability that an unvaccinated person will die before reaching age 5 as a direct result of not receiving the PCV vaccine, taking vaccine efficacy into account</t>
  </si>
  <si>
    <t>Probability that an unvaccinated person will die before reaching age 5 as a direct result of not receiving the rotavirus vaccine, taking vaccine efficacy into account</t>
  </si>
  <si>
    <t>Probability that an unvaccinated person will die before reaching age 5 as a direct result of not receiving the measles vaccine, taking vaccine efficacy into account</t>
  </si>
  <si>
    <t>Probability that an unvaccinated person will die before reaching age 5 as a direct result of being unvaccinated</t>
  </si>
  <si>
    <t>Proportion of vaccine-preventable mortalities that could be prevented by each vaccine</t>
  </si>
  <si>
    <t>Proportion of vaccine-preventable mortalities among people under age 5 that could be prevented by the DTP vaccine</t>
  </si>
  <si>
    <t>Proportion of vaccine-preventable mortalities among people under age 5 that could be prevented by the Hib vaccine</t>
  </si>
  <si>
    <t>Proportion of vaccine-preventable mortalities among people under age 5 that could be prevented by the PCV vaccine</t>
  </si>
  <si>
    <t>Proportion of vaccine-preventable mortalities among people under age 5 that could be prevented by the rotavirus vaccine</t>
  </si>
  <si>
    <t>Proportion of vaccine-preventable mortalities among people under age 5 that could be prevented by the measles vaccine</t>
  </si>
  <si>
    <t>Proportion of vaccine efficacy provided by individual doses</t>
  </si>
  <si>
    <t>Proportion of total Penta vaccine efficacy provided by the 1st dose</t>
  </si>
  <si>
    <t>Proportion of total Penta vaccine efficacy provided by the 2nd dose</t>
  </si>
  <si>
    <t>Proportion of total Penta vaccine efficacy provided by the 3rd dose</t>
  </si>
  <si>
    <t>Proportion of total PCV vaccine efficacy provided by the 1st dose</t>
  </si>
  <si>
    <t>Proportion of total PCV vaccine efficacy provided by the 2nd dose</t>
  </si>
  <si>
    <t>Proportion of total PCV vaccine efficacy provided by the 3rd dose</t>
  </si>
  <si>
    <t>Proportion of total rotavirus vaccine efficacy provided by the 1st dose</t>
  </si>
  <si>
    <t>Proportion of total rotavirus vaccine efficacy provided by the 2nd dose</t>
  </si>
  <si>
    <t>Proportion of total rotavirus vaccine efficacy provided by the 3rd dose</t>
  </si>
  <si>
    <t>Proportion of total measles vaccine efficacy provided by the 1st dose</t>
  </si>
  <si>
    <t>Proportion of total measles vaccine efficacy provided by the 2nd dose</t>
  </si>
  <si>
    <t>Baseline vaccination coverage among the target population according to New Incentives' coverage surveys</t>
  </si>
  <si>
    <t>Populations targeted by New Incentives' coverage surveys</t>
  </si>
  <si>
    <t>Number of local government areas (LGAs) within the state</t>
  </si>
  <si>
    <t>Number of LGAs surveyed by New Incentives' coverage survey</t>
  </si>
  <si>
    <t>Proportion of LGAs surveyed</t>
  </si>
  <si>
    <t>Adjustment for higher confidence in coverage survey results</t>
  </si>
  <si>
    <t>Weight placed on the results of New Incentives' coverage surveys for estimating BCG, Penta, and PCV coverage</t>
  </si>
  <si>
    <t>Starting year of New Incentives' coverage surveys</t>
  </si>
  <si>
    <t>Ending year of New Incentives' coverage surveys</t>
  </si>
  <si>
    <t>Baseline vaccination coverage found in New Incentives' coverage surveys</t>
  </si>
  <si>
    <t>Proportion of children reported to have received the BCG vaccine in New Incentives' coverage surveys</t>
  </si>
  <si>
    <t>Proportion of children reported to have received the 1st dose of the Penta vaccine in New Incentives' coverage surveys</t>
  </si>
  <si>
    <t>Proportion of children reported to have received the 2nd dose of the Penta vaccine in New Incentives' coverage surveys</t>
  </si>
  <si>
    <t>Proportion of children reported to have received the 3rd dose of the Penta vaccine in New Incentives' coverage surveys</t>
  </si>
  <si>
    <t>Proportion of children reported to have received the 1st dose of the measles vaccine in New Incentives' coverage surveys</t>
  </si>
  <si>
    <t>Baseline vaccination coverage found in coverage surveys, adjusted for self-report bias</t>
  </si>
  <si>
    <t>Adjustment for self-report bias in New Incentives' coverage surveys</t>
  </si>
  <si>
    <t>Estimated proportion of children who receive the BCG vaccine according to New Incentives' coverage surveys</t>
  </si>
  <si>
    <t>Estimated proportion of children who receive the 1st dose of the Penta vaccine according to New Incentives' coverage surveys</t>
  </si>
  <si>
    <t>Estimated proportion of children who receive the 2nd dose of the Penta vaccine according to New Incentives' coverage surveys</t>
  </si>
  <si>
    <t>Estimated proportion of children who receive the 3rd dose of the Penta vaccine according to New Incentives' coverage surveys</t>
  </si>
  <si>
    <t>Estimated proportion of children who receive the 1st dose of the measles vaccine according to New Incentives' coverage surveys</t>
  </si>
  <si>
    <t>Baseline vaccination coverage among the target population according to the 2021 MICS survey results</t>
  </si>
  <si>
    <t>Baseline vaccination coverage found in the 2021 MICS coverage survey</t>
  </si>
  <si>
    <t>Proportion of children reported to have received the BCG vaccine in the 2021 MICS survey</t>
  </si>
  <si>
    <t>Proportion of children reported to have received the 1st dose of the Penta vaccine in the 2021 MICS survey</t>
  </si>
  <si>
    <t>Proportion of children reported to have received the 2nd dose of the Penta vaccine in the 2021 MICS survey</t>
  </si>
  <si>
    <t>Proportion of children reported to have received the 3rd dose of the Penta vaccine in the 2021 MICS survey</t>
  </si>
  <si>
    <t>Proportion of children reported to have received the 1st dose of the PCV vaccine in the 2021 MICS survey</t>
  </si>
  <si>
    <t>Proportion of children reported to have received the 2nd dose of the PCV vaccine in the 2021 MICS survey</t>
  </si>
  <si>
    <t>Proportion of children reported to have received the 3rd dose of the PCV vaccine in the 2021 MICS survey</t>
  </si>
  <si>
    <t>Proportion of children reported to have received the 1st dose of the measles vaccine in the 2021 MICS survey</t>
  </si>
  <si>
    <t>Proportion of children reported to have received the 2nd dose of the measles vaccine in the 2021 MICS survey</t>
  </si>
  <si>
    <t>Baseline vaccination coverage based on the 2021 MICS survey, adjusted for self-report bias</t>
  </si>
  <si>
    <t>Proportion of positive responses that came from self-report in the 2021 MICS survey</t>
  </si>
  <si>
    <t>Adjustment for self-report bias in the 2021 MICS coverage survey</t>
  </si>
  <si>
    <t>Estimated proportion of children who receive the BCG vaccine</t>
  </si>
  <si>
    <t>Estimated proportion of children who receive the 1st dose of the Penta vaccine according to the 2021 MICS survey</t>
  </si>
  <si>
    <t>Estimated proportion of children who receive the 2nd dose of the Penta vaccine according to the 2021 MICS survey</t>
  </si>
  <si>
    <t>Estimated proportion of children who receive the 3rd dose of the Penta vaccine according to the 2021 MICS survey</t>
  </si>
  <si>
    <t>Estimated proportion of children who receive the 1st dose of the PCV vaccine according to the 2021 MICS survey</t>
  </si>
  <si>
    <t>Estimated proportion of children who receive the 2nd dose of the PCV vaccine according to the 2021 MICS survey</t>
  </si>
  <si>
    <t>Estimated proportion of children who receive the 3rd dose of the PCV vaccine according to the 2021 MICS survey</t>
  </si>
  <si>
    <t>Estimated proportion of children who receive the 1st dose of the measles vaccine according to the 2021 MICS survey</t>
  </si>
  <si>
    <t>Estimated proportion of children who receive the 2nd dose of the measles vaccine according to the 2021 MICS survey</t>
  </si>
  <si>
    <t>Baseline vaccination coverage among the target population according to the 2017 MICS survey results</t>
  </si>
  <si>
    <t>Baseline vaccination coverage found in the 2017 MICS coverage survey</t>
  </si>
  <si>
    <t>Proportion of children reported to have received the BCG vaccine in the 2017 MICS survey</t>
  </si>
  <si>
    <t>Proportion of children reported to have received the 1st dose of the Penta vaccine in the 2017 MICS survey</t>
  </si>
  <si>
    <t>Proportion of children reported to have received the 2nd dose of the Penta vaccine in the 2017 MICS survey</t>
  </si>
  <si>
    <t>Proportion of children reported to have received the 3rd dose of the Penta vaccine in the 2017 MICS survey</t>
  </si>
  <si>
    <t>Proportion of children reported to have received the 1st dose of the measles vaccine in the 2017 MICS survey</t>
  </si>
  <si>
    <t>Baseline vaccination coverage based on the 2017 MICS survey, adjusted for self-report bias</t>
  </si>
  <si>
    <t>Proportion of positive responses that came from self-report in the 2017 MICS survey</t>
  </si>
  <si>
    <t>Adjustment for self-report bias in the 2017 MICS coverage survey</t>
  </si>
  <si>
    <t>Estimated proportion of children who receive the BCG vaccine according to the 2017 MICS survey</t>
  </si>
  <si>
    <t>Estimated proportion of children who receive the 1st dose of the Penta vaccine according to the 2017 MICS survey</t>
  </si>
  <si>
    <t>Estimated proportion of children who receive the 2nd dose of the Penta vaccine according to the 2017 MICS survey</t>
  </si>
  <si>
    <t>Estimated proportion of children who receive the 3rd dose of the Penta vaccine according to the 2017 MICS survey</t>
  </si>
  <si>
    <t>Estimated proportion of children who receive the 1st dose of the measles vaccine according to the 2017 MICS survey</t>
  </si>
  <si>
    <t>Ratio of 2017 MICS coverage results to 2021 MICS coverage results</t>
  </si>
  <si>
    <t>Ratio of BCG vaccine coverage from the 2017 MICS survey to the 2021 MICS survey</t>
  </si>
  <si>
    <t>Ratio of 1st dose Penta vaccine coverage from the 2017 MICS survey to the 2021 MICS survey</t>
  </si>
  <si>
    <t>Ratio of 2nd dose Penta vaccine coverage from the 2017 MICS survey to the 2021 MICS survey</t>
  </si>
  <si>
    <t>Ratio of 3rd dose Penta vaccine coverage from the 2017 MICS survey to the 2021 MICS survey</t>
  </si>
  <si>
    <t>Ratio of measles vaccine coverage from the 2017 MICS survey to the 2021 MICS survey</t>
  </si>
  <si>
    <t>Average ratio across vaccine doses</t>
  </si>
  <si>
    <t>Extrapolated 2017 vaccination coverage for the PCV vaccine</t>
  </si>
  <si>
    <t>Extrapolated proportion of children who receive the 1st dose of the PCV vaccine based on the 2017 MICS survey</t>
  </si>
  <si>
    <t>Extrapolated proportion of children who receive the 2nd dose of the PCV vaccine based on the 2017 MICS survey</t>
  </si>
  <si>
    <t>Extrapolated proportion of children who receive the 3rd dose of the PCV vaccine based on the 2017 MICS survey</t>
  </si>
  <si>
    <t>Estimated baseline vaccination coverage among target populations for New Incentives program</t>
  </si>
  <si>
    <t>Weighting of coverage estimates from different sources for the BCG, Penta, and PCV vaccines</t>
  </si>
  <si>
    <t>Weight placed on the results of the 2021 MICS survey for estimating BCG, Penta, and PCV coverage</t>
  </si>
  <si>
    <t>Estimated baseline coverage for the BCG and Penta vaccines</t>
  </si>
  <si>
    <t>Estimated baseline coverage for the PCV vaccine</t>
  </si>
  <si>
    <t>Average coverage rate for the Penta vaccine across doses from the 2021 MICS survey</t>
  </si>
  <si>
    <t>Average coverage rate for the PCV vaccine across doses from the 2021 MICS survey</t>
  </si>
  <si>
    <t>Estimated difference between PCV vaccine coverage and Penta vaccine coverage</t>
  </si>
  <si>
    <t>Extrapolated proportion of children surveyed in New Incentives' coverage surveys who received the 1st dose of the PCV vaccine</t>
  </si>
  <si>
    <t>Extrapolated proportion of children surveyed in New Incentives' coverage surveys who received the 2nd dose of the PCV vaccine</t>
  </si>
  <si>
    <t>Extrapolated proportion of children surveyed in New Incentives' coverage surveys who received the 3rd dose of the PCV vaccine</t>
  </si>
  <si>
    <t>Weighting of coverage estimates from different sources for the rotavirus vaccine</t>
  </si>
  <si>
    <t>Weight placed on estimated coverage for the Penta vaccine for estimating rotavirus vaccine coverage</t>
  </si>
  <si>
    <t>Weight placed on estimated coverage for the PCV vaccine for estimating rotavirus vaccine coverage</t>
  </si>
  <si>
    <t>Weighting of coverage estimates from different sources for the measles vaccine</t>
  </si>
  <si>
    <t>Weight placed on the results of New Incentives' coverage surveys for estimating measles vaccine coverage</t>
  </si>
  <si>
    <t>Weight placed on the results of the 2021 MICS survey for estimating measles vaccine coverage</t>
  </si>
  <si>
    <t>Estimated baseline coverage for the measles vaccine</t>
  </si>
  <si>
    <t>Estimated vaccination coverage for populations represented by GBD 2021</t>
  </si>
  <si>
    <t>Average annual increase in vaccination coverage rates between MICS 2017 and MICS 2021</t>
  </si>
  <si>
    <t>Average vaccination coverage for BCG, Penta 1-3, &amp; Measles 1, MICS 2017, adjusted for self-report bias</t>
  </si>
  <si>
    <t>Average vaccination coverage for BCG, Penta 1-3, &amp; Measles 1, MICS 2021, adjusted for self-report bias</t>
  </si>
  <si>
    <t>Average annual growth rate in vaccination coverage between MICS 2017 and MICS 2021</t>
  </si>
  <si>
    <t>Adjustment from MICS 2021 coverage to average vaccination coverage for the population represented by GBD 2021</t>
  </si>
  <si>
    <t>Estimated vaccination coverage for the GBD 2021 under 5 population, adjusted for self-report bias</t>
  </si>
  <si>
    <t>Proportion of people under age 5 represented in GBD 2021 disease burden estimates who received the 1st dose of the Penta vaccine</t>
  </si>
  <si>
    <t>Proportion of people under age 5 represented in GBD 2021 disease burden estimates who received the 2nd dose of the Penta vaccine</t>
  </si>
  <si>
    <t>Proportion of people under age 5 represented in GBD 2021 disease burden estimates who received the 3rd dose of the Penta vaccine</t>
  </si>
  <si>
    <t>Proportion of people under age 5 represented in GBD 2021 disease burden estimates who received the 1st dose of the PCV vaccine</t>
  </si>
  <si>
    <t>Proportion of people under age 5 represented in GBD 2021 disease burden estimates who received the 2nd dose of the PCV vaccine</t>
  </si>
  <si>
    <t>Proportion of people under age 5 represented in GBD 2021 disease burden estimates who received the 3rd dose of the PCV vaccine</t>
  </si>
  <si>
    <t>Proportion of people under age 5 represented in GBD 2021 disease burden estimates who received the 1st dose of the rotavirus vaccine</t>
  </si>
  <si>
    <t>Proportion of people under age 5 represented in GBD 2021 disease burden estimates who received the 2nd dose of the rotavirus vaccine</t>
  </si>
  <si>
    <t>Proportion of people under age 5 represented in GBD 2021 disease burden estimates who received the 3rd dose of the rotavirus vaccine</t>
  </si>
  <si>
    <t>Proportion of people under age 5 represented in GBD 2021 disease burden estimates who received the 1st dose of the measles vaccine</t>
  </si>
  <si>
    <t>Proportion of people under age 5 represented in GBD 2021 disease burden estimates who received the 2nd dose of the measles vaccine</t>
  </si>
  <si>
    <t>Vaccine efficacy rates from meta-analyses</t>
  </si>
  <si>
    <t>BCG vaccine efficacy rate from Abubakar et al. 2013</t>
  </si>
  <si>
    <t>DTP vaccine efficacy rate from the LiST meta-analysis (part of the Penta vaccine)</t>
  </si>
  <si>
    <t>Hib vaccine efficacy rate from Thumburu et al. 2015 (part of the Penta vaccine)</t>
  </si>
  <si>
    <t>PCV vaccine efficacy rate from the LiST meta-analysis</t>
  </si>
  <si>
    <t>Rotavirus vaccine efficacy rate from the LiST meta-analysis</t>
  </si>
  <si>
    <t>Measles two-dose vaccine efficacy rate, adjusted from the LiST meta-analysis</t>
  </si>
  <si>
    <t>Measles single dose vaccine efficacy rate from the LiST meta-analysis</t>
  </si>
  <si>
    <t>Adjustments for geography-specific vaccine efficacy</t>
  </si>
  <si>
    <t>Measles vaccine efficacy implied by different data sources</t>
  </si>
  <si>
    <t>Measles vaccine efficacy rate GiveWell infers from the results of IDinsight's biomarkers pilot, assuming the results are entirely explained by vaccine efficacy</t>
  </si>
  <si>
    <t>Measles vaccine efficacy rate implied by the results of Fowotade et al. 2015</t>
  </si>
  <si>
    <t>Measles vaccine efficacy rate from Uzicanin and Zimmerman 2011</t>
  </si>
  <si>
    <t>Weights assigned to data sources for measles vaccine efficacy</t>
  </si>
  <si>
    <t>Weight assigned to the vaccine efficacy rate from the LiST meta-analysis</t>
  </si>
  <si>
    <t>Weight assigned to the vaccine efficacy rate GiveWell infers from the results of IDinsight's biomarkers pilot</t>
  </si>
  <si>
    <t>Weight assigned to the vaccine efficacy rate implied by the results of Fowotade et al. 2015</t>
  </si>
  <si>
    <t>Weight assigned to the vaccine efficacy rate from Uzicanin and Zimmerman 2011</t>
  </si>
  <si>
    <t>Adjustment for geography-specific vaccine efficacy</t>
  </si>
  <si>
    <t>Estimated single dose measles vaccine efficacy rate in New Incentives' program areas</t>
  </si>
  <si>
    <t>Adjustment for geography-specific measles vaccine efficacy</t>
  </si>
  <si>
    <t>Proportion of the adjustment for geography-specific measles vaccine efficacy that applies to other vaccines</t>
  </si>
  <si>
    <t>Adjustment for geography-specific vaccine efficacy for non-measles vaccines</t>
  </si>
  <si>
    <t>Adjusted vaccine efficacy in program areas</t>
  </si>
  <si>
    <t>BCG vaccine efficacy rate in program areas</t>
  </si>
  <si>
    <t>DTP vaccine efficacy rate in program areas (part of the Penta vaccine)</t>
  </si>
  <si>
    <t>Hib vaccine efficacy rate in program areas (part of the Penta vaccine)</t>
  </si>
  <si>
    <t>PCV vaccine efficacy rate in program areas</t>
  </si>
  <si>
    <t>Rotavirus vaccine efficacy rate in program areas</t>
  </si>
  <si>
    <t>Measles vaccine efficacy rate in program areas (two doses)</t>
  </si>
  <si>
    <t>Vaccine efficacy assuming perfect coverage</t>
  </si>
  <si>
    <t>Vaccine coverage in trials</t>
  </si>
  <si>
    <t>Vaccination coverage rate in the trials informing our vaccine efficacy estimates</t>
  </si>
  <si>
    <t>Aggregated vaccine efficacy estimates for the intervention report</t>
  </si>
  <si>
    <t>Vaccine efficacy with universal coverage before adjusting for lower efficacy in program areas</t>
  </si>
  <si>
    <t>Overall vaccine efficacy rate with universal coverage before adjusting for lower efficacy in program areas, aggregated across vaccines</t>
  </si>
  <si>
    <t>Overall adjustment for geography-specific vaccine efficacy, aggregated across vaccines</t>
  </si>
  <si>
    <t>Supplemental calculations for the leverage/funging adjustment</t>
  </si>
  <si>
    <t>Costs</t>
  </si>
  <si>
    <t>Leveraged government and Gavi costs</t>
  </si>
  <si>
    <t>Domestic government costs incurred per child counterfactually vaccinated</t>
  </si>
  <si>
    <t>Gavi costs incurred per child counterfactually vaccinated</t>
  </si>
  <si>
    <t>main</t>
  </si>
  <si>
    <t>Costs incurred by the domestic government as a result of a grant</t>
  </si>
  <si>
    <t>Costs incurred by Gavi as a result of a grant</t>
  </si>
  <si>
    <t>Total costs</t>
  </si>
  <si>
    <t>Total spending by all contributors</t>
  </si>
  <si>
    <t>Total spending attributable to different actors</t>
  </si>
  <si>
    <t xml:space="preserve">Total spending contributed by domestic governments </t>
  </si>
  <si>
    <t>Total spending contributed by Gavi</t>
  </si>
  <si>
    <t>Upstream / downstream spending</t>
  </si>
  <si>
    <t>Total spending causally upstream of donations to grantee</t>
  </si>
  <si>
    <t>Total spending causally downstream of donations to grantee</t>
  </si>
  <si>
    <t>Counterfactual funding scenarios</t>
  </si>
  <si>
    <t>Probability of scenarios in the absence of philanthropic funding</t>
  </si>
  <si>
    <t>Scenario 1: Domestic governments would replace the grantee's costs</t>
  </si>
  <si>
    <t>Scenario 2: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</si>
  <si>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</si>
  <si>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</si>
  <si>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</si>
  <si>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</si>
  <si>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</si>
  <si>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</si>
  <si>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</si>
  <si>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 on immunization programs</t>
  </si>
  <si>
    <t>Counterfactual value per dollar spent by Gavi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</si>
  <si>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</si>
  <si>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</si>
  <si>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</si>
  <si>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</si>
  <si>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</si>
  <si>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</si>
  <si>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</si>
  <si>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</si>
  <si>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</si>
  <si>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</si>
  <si>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grantee program would go unfunded</t>
  </si>
  <si>
    <t>Amount of spending domestic governments would shift away from the grantee program</t>
  </si>
  <si>
    <t>Value generated by shifting spending to programs domestic governments would otherwise have funded</t>
  </si>
  <si>
    <t>Value lost by shifting government spending away from the grantee program</t>
  </si>
  <si>
    <t>Net value generated by shifting government spending away from the grantee program</t>
  </si>
  <si>
    <t>Amount of spending Gavi would shift away from the grantee program</t>
  </si>
  <si>
    <t>Value generated by shifting spending to programs Gavi would otherwise have funded</t>
  </si>
  <si>
    <t>Value lost by shifting Gavi spending away from the grantee program</t>
  </si>
  <si>
    <t>Net value generated by shifting Gavi spending away from the grantee program</t>
  </si>
  <si>
    <t>Overall impact of shifting spending</t>
  </si>
  <si>
    <t>Expected change in value generated by the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</si>
  <si>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</si>
  <si>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</si>
  <si>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</si>
  <si>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</si>
  <si>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</si>
  <si>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</si>
  <si>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</si>
  <si>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Source</t>
  </si>
  <si>
    <t>GW analysis and discussion</t>
  </si>
  <si>
    <t>Arbitrary value</t>
  </si>
  <si>
    <t>Cost per child covered</t>
  </si>
  <si>
    <t>New Incentives, Summary of Funding Gap Estimates (unpublished)</t>
  </si>
  <si>
    <t>GW analysis</t>
  </si>
  <si>
    <t>Abubakar et al. 2013</t>
  </si>
  <si>
    <t>Lives Saved Tool (LiST)</t>
  </si>
  <si>
    <t>Thumburu et al. 2015</t>
  </si>
  <si>
    <r>
      <rPr>
        <rFont val="Calibri"/>
        <color rgb="FF1155CC"/>
        <sz val="11.0"/>
        <u/>
      </rPr>
      <t>Cutts et al. 2005</t>
    </r>
    <r>
      <rPr>
        <rFont val="Calibri"/>
        <sz val="11.0"/>
      </rPr>
      <t xml:space="preserve"> and </t>
    </r>
    <r>
      <rPr>
        <rFont val="Calibri"/>
        <color rgb="FF1155CC"/>
        <sz val="11.0"/>
        <u/>
      </rPr>
      <t>Klugman et al. 2003</t>
    </r>
  </si>
  <si>
    <t>Fowotade et al. 2015</t>
  </si>
  <si>
    <t>Uzicanin and Zimmerman 2011</t>
  </si>
  <si>
    <t>GW guesstimate</t>
  </si>
  <si>
    <t>Baseline vaccination coverage</t>
  </si>
  <si>
    <t>Local government areas of Nigeria</t>
  </si>
  <si>
    <t>Number of LGAs surveyed by New Incentives' coverage surveys</t>
  </si>
  <si>
    <t>2024</t>
  </si>
  <si>
    <t>New Incentives, data from coverage surveys</t>
  </si>
  <si>
    <t>Baseline vaccination coverage found in 2021 MICS coverage surveys</t>
  </si>
  <si>
    <t>Nigeria MICS report, 2021</t>
  </si>
  <si>
    <t>Baseline vaccination coverage found in 2017 MICS coverage surveys</t>
  </si>
  <si>
    <t>Nigeria MICS report, 2017</t>
  </si>
  <si>
    <t>Self-report adjustments for MICS surveys</t>
  </si>
  <si>
    <t>Estimated change in counterfactual vaccination coverage over time</t>
  </si>
  <si>
    <t>Estimated change per year in the proportion of children that are unvaccinated, in the absence of New Incentives</t>
  </si>
  <si>
    <t>Baseline coverage for the rotavirus vaccine</t>
  </si>
  <si>
    <t>Weighting of vaccination coverage estimates from different sources for the measles vaccine</t>
  </si>
  <si>
    <t>GBD 2021</t>
  </si>
  <si>
    <r>
      <rPr>
        <rFont val="Calibri"/>
        <color theme="1"/>
        <sz val="11.0"/>
      </rPr>
      <t>Proportion of lower respiratory infection deaths caused by pathogens addressed by the Penta vaccine (</t>
    </r>
    <r>
      <rPr>
        <rFont val="Calibri"/>
        <i/>
        <color theme="1"/>
        <sz val="11.0"/>
      </rPr>
      <t>H. influenzae type B</t>
    </r>
    <r>
      <rPr>
        <rFont val="Calibri"/>
        <color theme="1"/>
        <sz val="11.0"/>
      </rPr>
      <t>)</t>
    </r>
  </si>
  <si>
    <r>
      <rPr>
        <rFont val="Calibri"/>
        <color theme="1"/>
        <sz val="11.0"/>
      </rPr>
      <t>Proportion of lower respiratory infection deaths caused by pathogens addressed by the PCV vaccine (</t>
    </r>
    <r>
      <rPr>
        <rFont val="Calibri"/>
        <i/>
        <color theme="1"/>
        <sz val="11.0"/>
      </rPr>
      <t>S. pneumoniae</t>
    </r>
    <r>
      <rPr>
        <rFont val="Calibri"/>
        <color theme="1"/>
        <sz val="11.0"/>
      </rPr>
      <t>)</t>
    </r>
  </si>
  <si>
    <r>
      <rPr>
        <rFont val="Calibri"/>
        <color theme="1"/>
        <sz val="11.0"/>
      </rPr>
      <t>Proportion of meningitis deaths caused by pathogens addressed by the Penta vaccine (</t>
    </r>
    <r>
      <rPr>
        <rFont val="Calibri"/>
        <i/>
        <color theme="1"/>
        <sz val="11.0"/>
      </rPr>
      <t>H. influenzae type B</t>
    </r>
    <r>
      <rPr>
        <rFont val="Calibri"/>
        <color theme="1"/>
        <sz val="11.0"/>
      </rPr>
      <t>) according to GBD 2019</t>
    </r>
  </si>
  <si>
    <t>GBD 2019</t>
  </si>
  <si>
    <r>
      <rPr>
        <rFont val="Calibri"/>
        <color theme="1"/>
        <sz val="11.0"/>
      </rPr>
      <t>Proportion of meningitis deaths caused by pathogens addressed by the PCV vaccine (</t>
    </r>
    <r>
      <rPr>
        <rFont val="Calibri"/>
        <i/>
        <color theme="1"/>
        <sz val="11.0"/>
      </rPr>
      <t>S. pneumoniae</t>
    </r>
    <r>
      <rPr>
        <rFont val="Calibri"/>
        <color theme="1"/>
        <sz val="11.0"/>
      </rPr>
      <t>) according to GBD 2019</t>
    </r>
  </si>
  <si>
    <t>Endline control group coverage from the New Incentives RCT</t>
  </si>
  <si>
    <t>IDinsight report on the New Incentives RCT (see tables 3, 6, and 13)</t>
  </si>
  <si>
    <t>Adjustments for vaccines not included in the RCT</t>
  </si>
  <si>
    <t>GiveWell, New Incentives IV adjustment, 2024</t>
  </si>
  <si>
    <t>Mortality reduction among people over age 5</t>
  </si>
  <si>
    <t>Long-term income increases for people under age 15</t>
  </si>
  <si>
    <t>GW's SMC CEA</t>
  </si>
  <si>
    <t>New Incentives monitoring results</t>
  </si>
  <si>
    <t>New Incentives Vaccine Timeline</t>
  </si>
  <si>
    <t>New Incentives, Program Additions Proposal</t>
  </si>
  <si>
    <t>Central Bank of Nigeria, Foreign Exchange Rates</t>
  </si>
  <si>
    <t>GW's analysis of average household size in Northern Nigeria</t>
  </si>
  <si>
    <t>GiveDirectly CEA</t>
  </si>
  <si>
    <t>GW value judgment</t>
  </si>
  <si>
    <t>Value assigned to doubling consumption for one person for one year</t>
  </si>
  <si>
    <t>Cost-effectiveness benchmark</t>
  </si>
  <si>
    <t>GBD 2021 (preliminary, not yet published): Probability of death (Nigerian states)</t>
  </si>
  <si>
    <t>GBD 2021: Mortalities among people under age 5</t>
  </si>
  <si>
    <t>GBD 2021: Rotavirus mortalities among people under age 5</t>
  </si>
  <si>
    <t>Location</t>
  </si>
  <si>
    <t>Sex</t>
  </si>
  <si>
    <t>Age</t>
  </si>
  <si>
    <t>Cause</t>
  </si>
  <si>
    <t>Year</t>
  </si>
  <si>
    <t>Value</t>
  </si>
  <si>
    <t>Lower</t>
  </si>
  <si>
    <t>Upper</t>
  </si>
  <si>
    <t>rei_name</t>
  </si>
  <si>
    <t>Measure</t>
  </si>
  <si>
    <t>Metric</t>
  </si>
  <si>
    <t>Both</t>
  </si>
  <si>
    <t>15-49 years</t>
  </si>
  <si>
    <t>All causes</t>
  </si>
  <si>
    <t>1 to 4</t>
  </si>
  <si>
    <t>death</t>
  </si>
  <si>
    <t>Rotavirus</t>
  </si>
  <si>
    <t>50 to 74 years</t>
  </si>
  <si>
    <t>Early Neonatal</t>
  </si>
  <si>
    <t>5-14 years</t>
  </si>
  <si>
    <t>Late Neonatal</t>
  </si>
  <si>
    <t>Under 5</t>
  </si>
  <si>
    <t>Post Neonatal</t>
  </si>
  <si>
    <t>Diarrheal diseases</t>
  </si>
  <si>
    <t>Grant</t>
  </si>
  <si>
    <t>Under-five mortality benefits</t>
  </si>
  <si>
    <t>Cost per child reached</t>
  </si>
  <si>
    <t>Number of children reached</t>
  </si>
  <si>
    <t>Proportion of reached children who would be vaccinated in the absence of the program</t>
  </si>
  <si>
    <t>Number of additional children vaccinated as a result of the program</t>
  </si>
  <si>
    <t>Probability that an unvaccinated child will die of vaccine-preventable causes before age five</t>
  </si>
  <si>
    <t>Effect of vaccination on under-five deaths attributable to vaccine-preventable disease</t>
  </si>
  <si>
    <t>Number of deaths averted before age five</t>
  </si>
  <si>
    <t>Initial cost-effectiveness estimate</t>
  </si>
  <si>
    <t>Cost per under-five death averted (before adjustments)</t>
  </si>
  <si>
    <t>Moral value of averting the death of a person under age five</t>
  </si>
  <si>
    <t>Initial cost-effectiveness in terms of multiples of our benchmark</t>
  </si>
  <si>
    <t>Adjustments for other benefits</t>
  </si>
  <si>
    <t>Adjustment to account for mortalities averted after age five</t>
  </si>
  <si>
    <t>Adjustment to account for developmental benefits (long-term income increases)</t>
  </si>
  <si>
    <t>Adjustment to account for consumption benefits</t>
  </si>
  <si>
    <t>Percentage of program impact coming from different benefits</t>
  </si>
  <si>
    <t>Mortalities averted before age five</t>
  </si>
  <si>
    <t>Mortalities averted after age five</t>
  </si>
  <si>
    <t>Developmental benefits (long-term income increases)</t>
  </si>
  <si>
    <t>Consumption benefits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</si>
  <si>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</si>
  <si>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</si>
  <si>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</si>
  <si>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</si>
  <si>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</si>
  <si>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</si>
  <si>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</si>
  <si>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</si>
  <si>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 percentile values (from sensitivity analysis)</t>
  </si>
  <si>
    <t>Probability that an unvaccinated child will die of vaccine-preventable causes before age 5</t>
  </si>
  <si>
    <t>Adjustment to account for mortalities averted after age 5</t>
  </si>
  <si>
    <t>75th percentile values (from sensitivity analysis)</t>
  </si>
  <si>
    <t>Copy of simple CEA (for sensitivity analysis)</t>
  </si>
  <si>
    <t xml:space="preserve">          </t>
  </si>
  <si>
    <t>Cost per under-five death averted (before adjusments)</t>
  </si>
  <si>
    <t>Cost-effectiveness estimates from 25th percentile values (for sensitivity analysis)</t>
  </si>
  <si>
    <t>Cost-effectiveness estimates from 75th percentile values (for sensitivity analysis)</t>
  </si>
  <si>
    <t>25th</t>
  </si>
  <si>
    <t>Best guess</t>
  </si>
  <si>
    <t>75th</t>
  </si>
  <si>
    <t>Final cost-effectiveness estimate (pulled from "Main calcs" sheet)</t>
  </si>
  <si>
    <t>Uncertainty level about each input</t>
  </si>
  <si>
    <t>GiveWell's 25th and 75th percentile values for key inputs</t>
  </si>
  <si>
    <t>Sensitivity analysis results</t>
  </si>
  <si>
    <t>Cost-effectiveness estimate for the 25th and 75th percentile value</t>
  </si>
  <si>
    <t>Monte Carlo sheet URL</t>
  </si>
  <si>
    <t>1nwX2eN6U7q1zldAEEm5NVBnGH1NGsNxM6VVwFMf1TJg</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</si>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</sst>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quot;$&quot;#,##0"/>
    <numFmt numFmtId="166" formatCode="&quot;$&quot;#,##0.00"/>
    <numFmt numFmtId="167" formatCode="0.0000"/>
    <numFmt numFmtId="168" formatCode="0.0"/>
    <numFmt numFmtId="169" formatCode="0.0000%"/>
    <numFmt numFmtId="170" formatCode="0.0%"/>
    <numFmt numFmtId="171" formatCode="#,##0.0000"/>
    <numFmt numFmtId="172" formatCode="[$₦]#,##0"/>
    <numFmt numFmtId="173" formatCode="0.000"/>
    <numFmt numFmtId="174" formatCode="#,##0.000"/>
  </numFmts>
  <fonts count="70">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1155CC"/>
      <name val="Calibri"/>
    </font>
    <font>
      <u/>
      <sz val="11.0"/>
      <color rgb="FF0000FF"/>
      <name val="Calibri"/>
    </font>
    <font>
      <u/>
      <sz val="11.0"/>
      <color theme="1"/>
      <name val="Calibri"/>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sz val="11.0"/>
      <color theme="1"/>
      <name val="Calibri"/>
    </font>
    <font>
      <u/>
      <sz val="11.0"/>
      <color rgb="FF000000"/>
      <name val="Calibri"/>
    </font>
    <font>
      <u/>
      <sz val="11.0"/>
      <color theme="1"/>
      <name val="Calibri"/>
    </font>
    <font>
      <u/>
      <sz val="11.0"/>
      <color theme="1"/>
      <name val="Calibri"/>
    </font>
    <font>
      <u/>
      <sz val="11.0"/>
      <color rgb="FF000000"/>
      <name val="Calibri"/>
    </font>
    <font>
      <i/>
      <sz val="11.0"/>
      <color rgb="FF000000"/>
      <name val="Calibri"/>
    </font>
    <font>
      <u/>
      <sz val="11.0"/>
      <color theme="1"/>
      <name val="Calibri"/>
    </font>
    <font>
      <u/>
      <sz val="11.0"/>
      <color theme="1"/>
      <name val="Calibri"/>
    </font>
    <font>
      <u/>
      <sz val="11.0"/>
      <color rgb="FF000000"/>
      <name val="Calibri"/>
    </font>
    <font>
      <u/>
      <sz val="11.0"/>
      <color theme="1"/>
      <name val="Calibri"/>
    </font>
    <font>
      <u/>
      <color theme="1"/>
      <name val="Calibri"/>
    </font>
    <font>
      <u/>
      <color rgb="FF000000"/>
      <name val="Calibri"/>
    </font>
    <font>
      <sz val="11.0"/>
      <name val="Calibri"/>
    </font>
    <font>
      <color theme="1"/>
      <name val="Calibri"/>
    </font>
    <font>
      <u/>
      <sz val="11.0"/>
      <color rgb="FF000000"/>
      <name val="Calibri"/>
    </font>
    <font>
      <u/>
      <sz val="11.0"/>
      <color theme="1"/>
      <name val="Calibri"/>
    </font>
    <font>
      <u/>
      <sz val="11.0"/>
      <color rgb="FF0000FF"/>
      <name val="Calibri"/>
    </font>
    <font>
      <u/>
      <sz val="11.0"/>
      <color rgb="FF0000FF"/>
      <name val="Calibri"/>
    </font>
    <font>
      <u/>
      <sz val="11.0"/>
      <color rgb="FF0000FF"/>
      <name val="Calibri"/>
    </font>
    <font>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color rgb="FF000000"/>
      <name val="Arial"/>
    </font>
    <font>
      <b/>
      <color rgb="FF000000"/>
      <name val="Arial"/>
    </font>
    <font>
      <color rgb="FF000000"/>
      <name val="Arial"/>
      <scheme val="minor"/>
    </font>
    <font>
      <b/>
      <color theme="1"/>
      <name val="Arial"/>
    </font>
    <font>
      <u/>
      <sz val="11.0"/>
      <color theme="1"/>
      <name val="Calibri"/>
    </font>
    <font>
      <i/>
      <sz val="11.0"/>
      <color theme="1"/>
      <name val="Calibri"/>
    </font>
    <font>
      <u/>
      <sz val="11.0"/>
      <color theme="1"/>
      <name val="Calibri"/>
    </font>
    <font>
      <u/>
      <sz val="11.0"/>
      <color theme="1"/>
      <name val="Calibri"/>
    </font>
    <font>
      <sz val="11.0"/>
      <color rgb="FF666666"/>
      <name val="Calibri"/>
    </font>
  </fonts>
  <fills count="28">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7E0"/>
        <bgColor rgb="FFFFF7E0"/>
      </patternFill>
    </fill>
    <fill>
      <patternFill patternType="solid">
        <fgColor rgb="FFFFF8E1"/>
        <bgColor rgb="FFFFF8E1"/>
      </patternFill>
    </fill>
    <fill>
      <patternFill patternType="solid">
        <fgColor rgb="FFFFF9E8"/>
        <bgColor rgb="FFFFF9E8"/>
      </patternFill>
    </fill>
    <fill>
      <patternFill patternType="solid">
        <fgColor rgb="FFFFFAE9"/>
        <bgColor rgb="FFFFFAE9"/>
      </patternFill>
    </fill>
    <fill>
      <patternFill patternType="solid">
        <fgColor rgb="FFFFFBEF"/>
        <bgColor rgb="FFFFFBEF"/>
      </patternFill>
    </fill>
    <fill>
      <patternFill patternType="solid">
        <fgColor rgb="FFFFFCF0"/>
        <bgColor rgb="FFFFFCF0"/>
      </patternFill>
    </fill>
    <fill>
      <patternFill patternType="solid">
        <fgColor rgb="FFFFF3D1"/>
        <bgColor rgb="FFFFF3D1"/>
      </patternFill>
    </fill>
    <fill>
      <patternFill patternType="solid">
        <fgColor rgb="FFFFF4D2"/>
        <bgColor rgb="FFFFF4D2"/>
      </patternFill>
    </fill>
    <fill>
      <patternFill patternType="solid">
        <fgColor rgb="FFFFEFC1"/>
        <bgColor rgb="FFFFEFC1"/>
      </patternFill>
    </fill>
    <fill>
      <patternFill patternType="solid">
        <fgColor rgb="FFFFF0C2"/>
        <bgColor rgb="FFFFF0C2"/>
      </patternFill>
    </fill>
    <fill>
      <patternFill patternType="solid">
        <fgColor rgb="FFFFFDF7"/>
        <bgColor rgb="FFFFFDF7"/>
      </patternFill>
    </fill>
    <fill>
      <patternFill patternType="solid">
        <fgColor rgb="FFFFFEF8"/>
        <bgColor rgb="FFFFFEF8"/>
      </patternFill>
    </fill>
    <fill>
      <patternFill patternType="solid">
        <fgColor rgb="FFFFF1C9"/>
        <bgColor rgb="FFFFF1C9"/>
      </patternFill>
    </fill>
    <fill>
      <patternFill patternType="solid">
        <fgColor rgb="FFFFF2CA"/>
        <bgColor rgb="FFFFF2CA"/>
      </patternFill>
    </fill>
    <fill>
      <patternFill patternType="solid">
        <fgColor rgb="FFFFE8A3"/>
        <bgColor rgb="FFFFE8A3"/>
      </patternFill>
    </fill>
    <fill>
      <patternFill patternType="solid">
        <fgColor rgb="FFFFE9A4"/>
        <bgColor rgb="FFFFE9A4"/>
      </patternFill>
    </fill>
    <fill>
      <patternFill patternType="solid">
        <fgColor rgb="FFFFD966"/>
        <bgColor rgb="FFFFD966"/>
      </patternFill>
    </fill>
    <fill>
      <patternFill patternType="solid">
        <fgColor rgb="FFFFECB2"/>
        <bgColor rgb="FFFFECB2"/>
      </patternFill>
    </fill>
    <fill>
      <patternFill patternType="solid">
        <fgColor rgb="FFFFECB3"/>
        <bgColor rgb="FFFFECB3"/>
      </patternFill>
    </fill>
    <fill>
      <patternFill patternType="solid">
        <fgColor rgb="FFFFEAAA"/>
        <bgColor rgb="FFFFEAAA"/>
      </patternFill>
    </fill>
    <fill>
      <patternFill patternType="solid">
        <fgColor rgb="FFFFEBAB"/>
        <bgColor rgb="FFFFEBAB"/>
      </patternFill>
    </fill>
    <fill>
      <patternFill patternType="solid">
        <fgColor rgb="FFFFE594"/>
        <bgColor rgb="FFFFE594"/>
      </patternFill>
    </fill>
    <fill>
      <patternFill patternType="solid">
        <fgColor rgb="FFFFE493"/>
        <bgColor rgb="FFFFE493"/>
      </patternFill>
    </fill>
  </fills>
  <borders count="66">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bottom style="thin">
        <color rgb="FFB7B7B7"/>
      </bottom>
    </border>
    <border>
      <right style="thin">
        <color rgb="FF999999"/>
      </right>
      <bottom style="thin">
        <color rgb="FFB7B7B7"/>
      </bottom>
    </border>
    <border>
      <left style="thin">
        <color rgb="FF999999"/>
      </left>
      <right style="thin">
        <color rgb="FF999999"/>
      </right>
      <bottom style="thin">
        <color rgb="FFB7B7B7"/>
      </bottom>
    </border>
    <border>
      <top style="thin">
        <color rgb="FFB7B7B7"/>
      </top>
      <bottom style="thin">
        <color rgb="FFB7B7B7"/>
      </bottom>
    </border>
    <border>
      <right style="thin">
        <color rgb="FF999999"/>
      </right>
      <top style="thin">
        <color rgb="FFB7B7B7"/>
      </top>
      <bottom style="thin">
        <color rgb="FFB7B7B7"/>
      </bottom>
    </border>
    <border>
      <left style="thin">
        <color rgb="FF999999"/>
      </left>
      <right style="thin">
        <color rgb="FF999999"/>
      </right>
      <top style="thin">
        <color rgb="FFB7B7B7"/>
      </top>
      <bottom style="thin">
        <color rgb="FFB7B7B7"/>
      </bottom>
    </border>
    <border>
      <top style="thin">
        <color rgb="FFB7B7B7"/>
      </top>
      <bottom style="thin">
        <color rgb="FF999999"/>
      </bottom>
    </border>
    <border>
      <right style="thin">
        <color rgb="FF999999"/>
      </right>
      <top style="thin">
        <color rgb="FFB7B7B7"/>
      </top>
      <bottom style="thin">
        <color rgb="FF999999"/>
      </bottom>
    </border>
    <border>
      <left style="thin">
        <color rgb="FF999999"/>
      </left>
      <right style="thin">
        <color rgb="FF999999"/>
      </right>
      <top style="thin">
        <color rgb="FFB7B7B7"/>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bottom style="thin">
        <color rgb="FFCCCCCC"/>
      </bottom>
    </border>
    <border>
      <right style="thin">
        <color rgb="FF666666"/>
      </right>
      <bottom style="thin">
        <color rgb="FF999999"/>
      </bottom>
    </border>
    <border>
      <right style="thin">
        <color rgb="FF666666"/>
      </right>
    </border>
    <border>
      <right style="thin">
        <color rgb="FFB7B7B7"/>
      </right>
    </border>
    <border>
      <right style="thin">
        <color rgb="FFB7B7B7"/>
      </right>
      <bottom style="thin">
        <color rgb="FF999999"/>
      </bottom>
    </border>
    <border>
      <right style="thin">
        <color rgb="FFB7B7B7"/>
      </right>
      <top style="thin">
        <color rgb="FF999999"/>
      </top>
      <bottom style="thin">
        <color rgb="FF999999"/>
      </bottom>
    </border>
    <border>
      <right style="thin">
        <color rgb="FFB7B7B7"/>
      </right>
      <bottom style="thin">
        <color rgb="FFCCCCCC"/>
      </bottom>
    </border>
    <border>
      <right style="thin">
        <color rgb="FFB7B7B7"/>
      </right>
      <top style="thin">
        <color rgb="FFCCCCCC"/>
      </top>
      <bottom style="thin">
        <color rgb="FFCCCCCC"/>
      </bottom>
    </border>
    <border>
      <right style="thin">
        <color rgb="FFB7B7B7"/>
      </right>
      <top style="thin">
        <color rgb="FFCCCCCC"/>
      </top>
    </border>
    <border>
      <right style="thin">
        <color rgb="FFB7B7B7"/>
      </right>
      <top style="thin">
        <color rgb="FFCCCCCC"/>
      </top>
      <bottom style="thin">
        <color rgb="FF999999"/>
      </bottom>
    </border>
    <border>
      <top style="thin">
        <color rgb="FFCCCCCC"/>
      </top>
      <bottom style="thin">
        <color rgb="FFB7B7B7"/>
      </bottom>
    </border>
    <border>
      <top style="thin">
        <color rgb="FFB7B7B7"/>
      </top>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left style="thin">
        <color rgb="FF999999"/>
      </left>
      <bottom style="thin">
        <color rgb="FFB7B7B7"/>
      </bottom>
    </border>
    <border>
      <right style="thin">
        <color rgb="FF999999"/>
      </right>
      <bottom style="thin">
        <color rgb="FF666666"/>
      </bottom>
    </border>
    <border>
      <top style="thin">
        <color rgb="FF999999"/>
      </top>
      <bottom style="thin">
        <color rgb="FF000000"/>
      </bottom>
    </border>
    <border>
      <left style="thin">
        <color rgb="FF999999"/>
      </left>
      <right style="thin">
        <color rgb="FF000000"/>
      </right>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right style="thin">
        <color rgb="FF000000"/>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s>
  <cellStyleXfs count="1">
    <xf borderId="0" fillId="0" fontId="0" numFmtId="0" applyAlignment="1" applyFont="1"/>
  </cellStyleXfs>
  <cellXfs count="1248">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0" fillId="2" fontId="3" numFmtId="0" xfId="0"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3" fontId="3" numFmtId="0" xfId="0" applyFont="1"/>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1"/>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1"/>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7" fillId="0" fontId="6" numFmtId="0" xfId="0" applyAlignment="1" applyBorder="1" applyFont="1">
      <alignment vertical="bottom"/>
    </xf>
    <xf borderId="0" fillId="0" fontId="6" numFmtId="0" xfId="0" applyAlignment="1" applyFont="1">
      <alignment vertical="bottom"/>
    </xf>
    <xf borderId="12" fillId="0" fontId="7" numFmtId="0" xfId="0" applyAlignment="1" applyBorder="1" applyFont="1">
      <alignment vertical="bottom"/>
    </xf>
    <xf borderId="8" fillId="0" fontId="3" numFmtId="0" xfId="0" applyAlignment="1" applyBorder="1" applyFont="1">
      <alignment vertical="bottom"/>
    </xf>
    <xf borderId="8" fillId="0" fontId="6" numFmtId="0" xfId="0" applyAlignment="1" applyBorder="1" applyFont="1">
      <alignment vertical="bottom"/>
    </xf>
    <xf borderId="8" fillId="0" fontId="6" numFmtId="0" xfId="0" applyAlignment="1" applyBorder="1" applyFont="1">
      <alignment vertical="bottom"/>
    </xf>
    <xf borderId="9" fillId="0" fontId="6" numFmtId="0" xfId="0" applyAlignment="1" applyBorder="1" applyFont="1">
      <alignment vertical="bottom"/>
    </xf>
    <xf borderId="12" fillId="0" fontId="8" numFmtId="0" xfId="0" applyAlignment="1" applyBorder="1" applyFont="1">
      <alignment readingOrder="0" vertical="bottom"/>
    </xf>
    <xf borderId="12" fillId="0" fontId="3" numFmtId="0" xfId="0" applyAlignment="1" applyBorder="1" applyFont="1">
      <alignment vertical="bottom"/>
    </xf>
    <xf borderId="12" fillId="0" fontId="6" numFmtId="0" xfId="0" applyAlignment="1" applyBorder="1" applyFont="1">
      <alignment vertical="bottom"/>
    </xf>
    <xf borderId="12" fillId="0" fontId="6" numFmtId="0" xfId="0" applyAlignment="1" applyBorder="1" applyFont="1">
      <alignment vertical="bottom"/>
    </xf>
    <xf borderId="13" fillId="0" fontId="6" numFmtId="0" xfId="0" applyAlignment="1" applyBorder="1" applyFont="1">
      <alignment vertical="bottom"/>
    </xf>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horizontal="left" readingOrder="0" shrinkToFit="0" wrapText="1"/>
    </xf>
    <xf borderId="0" fillId="0" fontId="9" numFmtId="0" xfId="0" applyAlignment="1" applyFont="1">
      <alignment horizontal="left" readingOrder="0" shrinkToFit="0" wrapText="0"/>
    </xf>
    <xf borderId="8" fillId="0" fontId="1" numFmtId="0" xfId="0" applyAlignment="1" applyBorder="1" applyFont="1">
      <alignment horizontal="left" readingOrder="0" shrinkToFit="0" wrapText="1"/>
    </xf>
    <xf borderId="8" fillId="0" fontId="3" numFmtId="0" xfId="0" applyAlignment="1" applyBorder="1" applyFont="1">
      <alignment horizontal="left" readingOrder="0" shrinkToFit="0" wrapText="1"/>
    </xf>
    <xf borderId="8" fillId="0" fontId="2" numFmtId="0" xfId="0" applyBorder="1" applyFont="1"/>
    <xf borderId="15" fillId="0" fontId="1" numFmtId="0" xfId="0" applyAlignment="1" applyBorder="1" applyFont="1">
      <alignment horizontal="left" readingOrder="0" shrinkToFit="0" wrapText="1"/>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10" fillId="0" fontId="1" numFmtId="0" xfId="0" applyAlignment="1" applyBorder="1" applyFont="1">
      <alignment horizontal="left" readingOrder="0" shrinkToFit="0" wrapText="1"/>
    </xf>
    <xf borderId="10" fillId="0" fontId="2" numFmtId="0" xfId="0" applyBorder="1" applyFont="1"/>
    <xf borderId="15" fillId="0" fontId="3" numFmtId="0" xfId="0" applyAlignment="1" applyBorder="1" applyFont="1">
      <alignment horizontal="left" readingOrder="0" shrinkToFit="0" wrapText="0"/>
    </xf>
    <xf borderId="0" fillId="0" fontId="3" numFmtId="0" xfId="0" applyAlignment="1" applyFont="1">
      <alignment shrinkToFit="0" wrapText="1"/>
    </xf>
    <xf borderId="0" fillId="0" fontId="3" numFmtId="0" xfId="0" applyAlignment="1" applyFont="1">
      <alignment shrinkToFit="0" wrapText="0"/>
    </xf>
    <xf borderId="0" fillId="0" fontId="10" numFmtId="0" xfId="0" applyAlignment="1" applyFont="1">
      <alignment readingOrder="0"/>
    </xf>
    <xf borderId="8" fillId="0" fontId="1" numFmtId="0" xfId="0" applyAlignment="1" applyBorder="1" applyFont="1">
      <alignment readingOrder="0" shrinkToFit="0" wrapText="1"/>
    </xf>
    <xf borderId="8" fillId="0" fontId="3" numFmtId="0" xfId="0" applyAlignment="1" applyBorder="1" applyFont="1">
      <alignment readingOrder="0" shrinkToFit="0" wrapText="0"/>
    </xf>
    <xf borderId="10" fillId="0" fontId="1" numFmtId="0" xfId="0" applyAlignment="1" applyBorder="1" applyFont="1">
      <alignment readingOrder="0" shrinkToFit="0" wrapText="1"/>
    </xf>
    <xf borderId="10" fillId="0" fontId="3" numFmtId="0" xfId="0" applyAlignment="1" applyBorder="1" applyFont="1">
      <alignment readingOrder="0" shrinkToFit="0" wrapText="0"/>
    </xf>
    <xf borderId="12" fillId="0" fontId="1" numFmtId="0" xfId="0" applyAlignment="1" applyBorder="1" applyFont="1">
      <alignment readingOrder="0" shrinkToFit="0" wrapText="1"/>
    </xf>
    <xf borderId="12" fillId="0" fontId="3" numFmtId="0" xfId="0" applyAlignment="1" applyBorder="1" applyFont="1">
      <alignment readingOrder="0" shrinkToFit="0" wrapText="0"/>
    </xf>
    <xf borderId="12" fillId="0" fontId="3" numFmtId="0" xfId="0" applyBorder="1" applyFont="1"/>
    <xf borderId="13" fillId="0" fontId="3" numFmtId="0" xfId="0" applyBorder="1" applyFont="1"/>
    <xf borderId="7" fillId="0" fontId="11" numFmtId="0" xfId="0" applyAlignment="1" applyBorder="1" applyFont="1">
      <alignment horizontal="left" readingOrder="0" shrinkToFit="0" wrapText="0"/>
    </xf>
    <xf borderId="0" fillId="0" fontId="3" numFmtId="0" xfId="0" applyAlignment="1" applyFont="1">
      <alignment horizontal="left" readingOrder="0" shrinkToFit="0" wrapText="1"/>
    </xf>
    <xf borderId="9" fillId="0" fontId="12" numFmtId="1" xfId="0" applyAlignment="1" applyBorder="1" applyFont="1" applyNumberFormat="1">
      <alignment horizontal="left" readingOrder="0" shrinkToFit="0" vertical="bottom" wrapText="0"/>
    </xf>
    <xf borderId="8" fillId="0" fontId="3" numFmtId="0" xfId="0" applyAlignment="1" applyBorder="1" applyFont="1">
      <alignment shrinkToFit="0" wrapText="0"/>
    </xf>
    <xf borderId="7" fillId="0" fontId="13" numFmtId="1" xfId="0" applyAlignment="1" applyBorder="1" applyFont="1" applyNumberFormat="1">
      <alignment horizontal="left" readingOrder="0" shrinkToFit="0" vertical="bottom" wrapText="0"/>
    </xf>
    <xf borderId="10" fillId="0" fontId="3" numFmtId="0" xfId="0" applyAlignment="1" applyBorder="1" applyFont="1">
      <alignment shrinkToFit="0" wrapText="0"/>
    </xf>
    <xf borderId="7" fillId="0" fontId="3" numFmtId="0" xfId="0" applyBorder="1" applyFont="1"/>
    <xf borderId="0" fillId="0" fontId="3" numFmtId="0" xfId="0" applyAlignment="1" applyFont="1">
      <alignment readingOrder="0" shrinkToFit="0" wrapText="1"/>
    </xf>
    <xf borderId="7" fillId="0" fontId="14" numFmtId="0" xfId="0" applyAlignment="1" applyBorder="1" applyFont="1">
      <alignment horizontal="left" readingOrder="0" shrinkToFit="0" wrapText="0"/>
    </xf>
    <xf borderId="8" fillId="0" fontId="15" numFmtId="0" xfId="0" applyAlignment="1" applyBorder="1" applyFont="1">
      <alignment horizontal="left" readingOrder="0" shrinkToFit="0" wrapText="0"/>
    </xf>
    <xf borderId="9" fillId="0" fontId="16" numFmtId="0" xfId="0" applyAlignment="1" applyBorder="1" applyFont="1">
      <alignment horizontal="left" readingOrder="0" shrinkToFit="0" wrapText="0"/>
    </xf>
    <xf borderId="15" fillId="0" fontId="3" numFmtId="0" xfId="0" applyAlignment="1" applyBorder="1" applyFont="1">
      <alignment shrinkToFit="0" wrapText="0"/>
    </xf>
    <xf borderId="8" fillId="0" fontId="17" numFmtId="0" xfId="0" applyAlignment="1" applyBorder="1" applyFont="1">
      <alignment horizontal="left" readingOrder="0" shrinkToFit="0" wrapText="0"/>
    </xf>
    <xf borderId="9" fillId="0" fontId="18" numFmtId="0" xfId="0" applyAlignment="1" applyBorder="1" applyFont="1">
      <alignment readingOrder="0"/>
    </xf>
    <xf borderId="17" fillId="0" fontId="3" numFmtId="0" xfId="0" applyAlignment="1" applyBorder="1" applyFont="1">
      <alignment shrinkToFit="0" wrapText="0"/>
    </xf>
    <xf borderId="17" fillId="0" fontId="3" numFmtId="0" xfId="0" applyBorder="1" applyFont="1"/>
    <xf borderId="18" fillId="0" fontId="3" numFmtId="0" xfId="0" applyBorder="1" applyFont="1"/>
    <xf borderId="12" fillId="0" fontId="19" numFmtId="0" xfId="0" applyAlignment="1" applyBorder="1" applyFont="1">
      <alignment horizontal="left" readingOrder="0" shrinkToFit="0" wrapText="0"/>
    </xf>
    <xf borderId="12" fillId="0" fontId="3" numFmtId="0" xfId="0" applyAlignment="1" applyBorder="1" applyFont="1">
      <alignment shrinkToFit="0" wrapText="0"/>
    </xf>
    <xf borderId="19" fillId="0" fontId="3" numFmtId="0" xfId="0" applyBorder="1" applyFont="1"/>
    <xf borderId="15" fillId="0" fontId="3" numFmtId="0" xfId="0" applyAlignment="1" applyBorder="1" applyFont="1">
      <alignment shrinkToFit="0" wrapText="1"/>
    </xf>
    <xf borderId="1" fillId="2" fontId="1" numFmtId="0" xfId="0" applyAlignment="1" applyBorder="1" applyFont="1">
      <alignment readingOrder="0" vertical="bottom"/>
    </xf>
    <xf borderId="2" fillId="2" fontId="1" numFmtId="0" xfId="0" applyAlignment="1" applyBorder="1" applyFont="1">
      <alignment vertical="bottom"/>
    </xf>
    <xf borderId="2" fillId="2" fontId="20"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0" numFmtId="0" xfId="0" applyAlignment="1" applyBorder="1" applyFont="1">
      <alignment horizontal="right" readingOrder="0"/>
    </xf>
    <xf borderId="15" fillId="2" fontId="20" numFmtId="0" xfId="0" applyAlignment="1" applyBorder="1" applyFont="1">
      <alignment horizontal="center" readingOrder="0"/>
    </xf>
    <xf borderId="5" fillId="2" fontId="20"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0"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0" numFmtId="0" xfId="0" applyAlignment="1" applyBorder="1" applyFont="1">
      <alignment horizontal="right" readingOrder="0"/>
    </xf>
    <xf borderId="0" fillId="2" fontId="20" numFmtId="0" xfId="0" applyAlignment="1" applyFont="1">
      <alignment horizontal="center" readingOrder="0" shrinkToFit="0" wrapText="1"/>
    </xf>
    <xf borderId="14" fillId="2" fontId="20" numFmtId="0" xfId="0" applyAlignment="1" applyBorder="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0" numFmtId="0" xfId="0" applyAlignment="1" applyBorder="1" applyFont="1">
      <alignment horizontal="center" readingOrder="0"/>
    </xf>
    <xf borderId="15" fillId="2" fontId="20" numFmtId="0" xfId="0" applyAlignment="1" applyBorder="1" applyFont="1">
      <alignment horizontal="center" readingOrder="0" shrinkToFit="0" wrapText="1"/>
    </xf>
    <xf borderId="16" fillId="2" fontId="20"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0" numFmtId="0" xfId="0" applyAlignment="1" applyBorder="1" applyFont="1">
      <alignment readingOrder="0" shrinkToFit="0" vertical="bottom" wrapText="1"/>
    </xf>
    <xf borderId="15" fillId="3" fontId="1" numFmtId="0" xfId="0" applyAlignment="1" applyBorder="1" applyFont="1">
      <alignment horizontal="left" readingOrder="0" shrinkToFit="0" vertical="bottom" wrapText="0"/>
    </xf>
    <xf borderId="16" fillId="3" fontId="1" numFmtId="0" xfId="0" applyAlignment="1" applyBorder="1" applyFont="1">
      <alignment horizontal="right" readingOrder="0" shrinkToFit="0" vertical="bottom" wrapText="0"/>
    </xf>
    <xf borderId="22" fillId="3" fontId="21" numFmtId="164" xfId="0" applyAlignment="1" applyBorder="1" applyFont="1" applyNumberFormat="1">
      <alignment horizontal="right" vertical="bottom"/>
    </xf>
    <xf borderId="15" fillId="3" fontId="20" numFmtId="164" xfId="0" applyAlignment="1" applyBorder="1" applyFont="1" applyNumberFormat="1">
      <alignment horizontal="right" vertical="bottom"/>
    </xf>
    <xf borderId="16" fillId="3" fontId="20"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1" numFmtId="0" xfId="0" applyAlignment="1" applyBorder="1" applyFont="1">
      <alignment horizontal="right" vertical="bottom"/>
    </xf>
    <xf borderId="15" fillId="3" fontId="21" numFmtId="0" xfId="0" applyAlignment="1" applyBorder="1" applyFont="1">
      <alignment horizontal="right" vertical="bottom"/>
    </xf>
    <xf borderId="16" fillId="3" fontId="21" numFmtId="0" xfId="0" applyAlignment="1" applyBorder="1" applyFon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1"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1" numFmtId="0" xfId="0" applyAlignment="1" applyBorder="1" applyFont="1">
      <alignment horizontal="right"/>
    </xf>
    <xf borderId="0" fillId="0" fontId="21" numFmtId="0" xfId="0" applyAlignment="1" applyFont="1">
      <alignment horizontal="right"/>
    </xf>
    <xf borderId="14" fillId="0" fontId="21" numFmtId="0" xfId="0" applyAlignment="1" applyBorder="1" applyFont="1">
      <alignment horizontal="right"/>
    </xf>
    <xf borderId="14" fillId="0" fontId="3" numFmtId="0" xfId="0" applyAlignment="1" applyBorder="1" applyFont="1">
      <alignment horizontal="center"/>
    </xf>
    <xf borderId="0" fillId="0" fontId="22" numFmtId="0" xfId="0" applyAlignment="1" applyFont="1">
      <alignment readingOrder="0" shrinkToFit="0" vertical="bottom" wrapText="0"/>
    </xf>
    <xf borderId="14" fillId="0" fontId="3" numFmtId="1" xfId="0" applyAlignment="1" applyBorder="1" applyFont="1" applyNumberFormat="1">
      <alignment horizontal="right" vertical="bottom"/>
    </xf>
    <xf borderId="15" fillId="0" fontId="21"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1" numFmtId="1" xfId="0" applyAlignment="1" applyBorder="1" applyFont="1" applyNumberFormat="1">
      <alignment horizontal="right" vertical="bottom"/>
    </xf>
    <xf borderId="22" fillId="0" fontId="21" numFmtId="165" xfId="0" applyAlignment="1" applyBorder="1" applyFont="1" applyNumberFormat="1">
      <alignment horizontal="right" readingOrder="0"/>
    </xf>
    <xf borderId="15" fillId="0" fontId="21" numFmtId="165" xfId="0" applyAlignment="1" applyBorder="1" applyFont="1" applyNumberFormat="1">
      <alignment horizontal="right" readingOrder="0"/>
    </xf>
    <xf borderId="16" fillId="0" fontId="21" numFmtId="165" xfId="0" applyAlignment="1" applyBorder="1" applyFont="1" applyNumberFormat="1">
      <alignment horizontal="right" readingOrder="0"/>
    </xf>
    <xf borderId="16" fillId="0" fontId="3" numFmtId="0" xfId="0" applyAlignment="1" applyBorder="1" applyFont="1">
      <alignment horizontal="center" readingOrder="0"/>
    </xf>
    <xf borderId="0" fillId="0" fontId="21"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23"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1" numFmtId="0" xfId="0" applyAlignment="1" applyBorder="1" applyFont="1">
      <alignment horizontal="right" readingOrder="0"/>
    </xf>
    <xf borderId="15" fillId="0" fontId="21" numFmtId="165" xfId="0" applyAlignment="1" applyBorder="1" applyFont="1" applyNumberFormat="1">
      <alignment horizontal="right"/>
    </xf>
    <xf borderId="16" fillId="0" fontId="21" numFmtId="165" xfId="0" applyAlignment="1" applyBorder="1" applyFont="1" applyNumberFormat="1">
      <alignment horizontal="right"/>
    </xf>
    <xf borderId="0" fillId="0" fontId="3" numFmtId="0" xfId="0" applyAlignment="1" applyFont="1">
      <alignment horizontal="right" vertical="bottom"/>
    </xf>
    <xf borderId="14" fillId="0" fontId="3" numFmtId="0" xfId="0" applyAlignment="1" applyBorder="1" applyFont="1">
      <alignment horizontal="right" vertical="bottom"/>
    </xf>
    <xf borderId="0" fillId="0" fontId="24" numFmtId="0" xfId="0" applyAlignment="1" applyFont="1">
      <alignment shrinkToFit="0" vertical="bottom" wrapText="0"/>
    </xf>
    <xf borderId="0" fillId="0" fontId="3" numFmtId="0" xfId="0" applyAlignment="1" applyFont="1">
      <alignment readingOrder="0" vertical="bottom"/>
    </xf>
    <xf borderId="24" fillId="0" fontId="3" numFmtId="0" xfId="0" applyAlignment="1" applyBorder="1" applyFont="1">
      <alignment shrinkToFit="0" vertical="bottom" wrapText="1"/>
    </xf>
    <xf borderId="24" fillId="0" fontId="3" numFmtId="0" xfId="0" applyAlignment="1" applyBorder="1" applyFont="1">
      <alignment horizontal="right" vertical="bottom"/>
    </xf>
    <xf borderId="25" fillId="0" fontId="3" numFmtId="0" xfId="0" applyAlignment="1" applyBorder="1" applyFont="1">
      <alignment horizontal="right" vertical="bottom"/>
    </xf>
    <xf borderId="26" fillId="0" fontId="3" numFmtId="166" xfId="0" applyAlignment="1" applyBorder="1" applyFont="1" applyNumberFormat="1">
      <alignment horizontal="right" readingOrder="0"/>
    </xf>
    <xf borderId="24" fillId="0" fontId="21" numFmtId="166" xfId="0" applyAlignment="1" applyBorder="1" applyFont="1" applyNumberFormat="1">
      <alignment horizontal="right"/>
    </xf>
    <xf borderId="25" fillId="0" fontId="21" numFmtId="166" xfId="0" applyAlignment="1" applyBorder="1" applyFont="1" applyNumberFormat="1">
      <alignment horizontal="right"/>
    </xf>
    <xf borderId="25" fillId="0" fontId="3" numFmtId="0" xfId="0" applyAlignment="1" applyBorder="1" applyFont="1">
      <alignment horizontal="center" readingOrder="0"/>
    </xf>
    <xf borderId="27" fillId="0" fontId="3" numFmtId="0" xfId="0" applyAlignment="1" applyBorder="1" applyFont="1">
      <alignment shrinkToFit="0" vertical="bottom" wrapText="1"/>
    </xf>
    <xf borderId="27" fillId="0" fontId="3" numFmtId="0" xfId="0" applyAlignment="1" applyBorder="1" applyFont="1">
      <alignment horizontal="right" vertical="bottom"/>
    </xf>
    <xf borderId="28" fillId="0" fontId="3" numFmtId="0" xfId="0" applyAlignment="1" applyBorder="1" applyFont="1">
      <alignment horizontal="right" vertical="bottom"/>
    </xf>
    <xf borderId="29" fillId="0" fontId="3" numFmtId="10" xfId="0" applyAlignment="1" applyBorder="1" applyFont="1" applyNumberFormat="1">
      <alignment horizontal="right" readingOrder="0"/>
    </xf>
    <xf borderId="27" fillId="0" fontId="21" numFmtId="166" xfId="0" applyAlignment="1" applyBorder="1" applyFont="1" applyNumberFormat="1">
      <alignment horizontal="right"/>
    </xf>
    <xf borderId="28" fillId="0" fontId="21" numFmtId="166" xfId="0" applyAlignment="1" applyBorder="1" applyFont="1" applyNumberFormat="1">
      <alignment horizontal="right"/>
    </xf>
    <xf borderId="30" fillId="0" fontId="3" numFmtId="0" xfId="0" applyAlignment="1" applyBorder="1" applyFont="1">
      <alignment shrinkToFit="0" vertical="bottom" wrapText="1"/>
    </xf>
    <xf borderId="30" fillId="0" fontId="3" numFmtId="0" xfId="0" applyAlignment="1" applyBorder="1" applyFont="1">
      <alignment horizontal="right" vertical="bottom"/>
    </xf>
    <xf borderId="31" fillId="0" fontId="3" numFmtId="0" xfId="0" applyAlignment="1" applyBorder="1" applyFont="1">
      <alignment horizontal="right" vertical="bottom"/>
    </xf>
    <xf borderId="32" fillId="0" fontId="3" numFmtId="166" xfId="0" applyAlignment="1" applyBorder="1" applyFont="1" applyNumberFormat="1">
      <alignment horizontal="right" readingOrder="0"/>
    </xf>
    <xf borderId="30" fillId="0" fontId="21" numFmtId="166" xfId="0" applyAlignment="1" applyBorder="1" applyFont="1" applyNumberFormat="1">
      <alignment horizontal="right"/>
    </xf>
    <xf borderId="31" fillId="0" fontId="21" numFmtId="166" xfId="0" applyAlignment="1" applyBorder="1" applyFont="1" applyNumberFormat="1">
      <alignment horizontal="right"/>
    </xf>
    <xf borderId="23" fillId="3" fontId="21" numFmtId="1" xfId="0" applyAlignment="1" applyBorder="1" applyFont="1" applyNumberFormat="1">
      <alignment horizontal="right" vertical="bottom"/>
    </xf>
    <xf borderId="5" fillId="3" fontId="21" numFmtId="165" xfId="0" applyAlignment="1" applyBorder="1" applyFont="1" applyNumberFormat="1">
      <alignment horizontal="right" vertical="bottom"/>
    </xf>
    <xf borderId="6" fillId="3" fontId="21" numFmtId="165"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7" xfId="0" applyAlignment="1" applyBorder="1" applyFont="1" applyNumberFormat="1">
      <alignment horizontal="right" vertical="bottom"/>
    </xf>
    <xf borderId="0" fillId="0" fontId="21" numFmtId="168" xfId="0" applyAlignment="1" applyFont="1" applyNumberFormat="1">
      <alignment horizontal="right"/>
    </xf>
    <xf borderId="14" fillId="0" fontId="21" numFmtId="168" xfId="0" applyAlignment="1" applyBorder="1" applyFont="1" applyNumberFormat="1">
      <alignment horizontal="right"/>
    </xf>
    <xf borderId="14" fillId="0" fontId="21" numFmtId="1" xfId="0" applyAlignment="1" applyBorder="1" applyFont="1" applyNumberFormat="1">
      <alignment horizontal="right" readingOrder="0" vertical="bottom"/>
    </xf>
    <xf borderId="21" fillId="0" fontId="21" numFmtId="165" xfId="0" applyAlignment="1" applyBorder="1" applyFont="1" applyNumberFormat="1">
      <alignment horizontal="right" readingOrder="0"/>
    </xf>
    <xf borderId="0" fillId="0" fontId="21" numFmtId="165" xfId="0" applyAlignment="1" applyFont="1" applyNumberFormat="1">
      <alignment horizontal="right" readingOrder="0"/>
    </xf>
    <xf borderId="14" fillId="0" fontId="21" numFmtId="165" xfId="0" applyAlignment="1" applyBorder="1" applyFont="1" applyNumberFormat="1">
      <alignment horizontal="right" readingOrder="0"/>
    </xf>
    <xf borderId="0" fillId="0" fontId="25" numFmtId="0" xfId="0" applyAlignment="1" applyFont="1">
      <alignment vertical="bottom"/>
    </xf>
    <xf borderId="16" fillId="0" fontId="3" numFmtId="1" xfId="0" applyAlignment="1" applyBorder="1" applyFont="1" applyNumberFormat="1">
      <alignment horizontal="right" readingOrder="0" vertical="bottom"/>
    </xf>
    <xf borderId="15" fillId="0" fontId="21" numFmtId="3" xfId="0" applyAlignment="1" applyBorder="1" applyFont="1" applyNumberFormat="1">
      <alignment horizontal="right" readingOrder="0"/>
    </xf>
    <xf borderId="16" fillId="0" fontId="21" numFmtId="3" xfId="0" applyAlignment="1" applyBorder="1" applyFont="1" applyNumberFormat="1">
      <alignment horizontal="right" readingOrder="0"/>
    </xf>
    <xf borderId="0" fillId="0" fontId="26" numFmtId="0" xfId="0" applyAlignment="1" applyFont="1">
      <alignmen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readingOrder="0"/>
    </xf>
    <xf borderId="14" fillId="0" fontId="21" numFmtId="3" xfId="0" applyAlignment="1" applyBorder="1" applyFont="1" applyNumberFormat="1">
      <alignment horizontal="right" readingOrder="0"/>
    </xf>
    <xf borderId="14" fillId="0" fontId="3" numFmtId="0" xfId="0" applyAlignment="1" applyBorder="1" applyFont="1">
      <alignment horizontal="center" readingOrder="0"/>
    </xf>
    <xf borderId="8" fillId="0" fontId="21"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33" fillId="0" fontId="21" numFmtId="169" xfId="0" applyAlignment="1" applyBorder="1" applyFont="1" applyNumberFormat="1">
      <alignment horizontal="right" readingOrder="0"/>
    </xf>
    <xf borderId="8" fillId="0" fontId="21" numFmtId="9" xfId="0" applyAlignment="1" applyBorder="1" applyFont="1" applyNumberFormat="1">
      <alignment horizontal="right" readingOrder="0"/>
    </xf>
    <xf borderId="9" fillId="0" fontId="21" numFmtId="9" xfId="0" applyAlignment="1" applyBorder="1" applyFont="1" applyNumberFormat="1">
      <alignment horizontal="right" readingOrder="0"/>
    </xf>
    <xf borderId="9" fillId="0" fontId="3" numFmtId="0" xfId="0" applyAlignment="1" applyBorder="1" applyFont="1">
      <alignment horizontal="center" readingOrder="0"/>
    </xf>
    <xf borderId="12" fillId="0" fontId="21"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4" fillId="0" fontId="21" numFmtId="169" xfId="0" applyAlignment="1" applyBorder="1" applyFont="1" applyNumberFormat="1">
      <alignment horizontal="right" readingOrder="0"/>
    </xf>
    <xf borderId="12" fillId="0" fontId="21" numFmtId="9" xfId="0" applyAlignment="1" applyBorder="1" applyFont="1" applyNumberFormat="1">
      <alignment horizontal="right" readingOrder="0"/>
    </xf>
    <xf borderId="13" fillId="0" fontId="21" numFmtId="9" xfId="0" applyAlignment="1" applyBorder="1" applyFont="1" applyNumberFormat="1">
      <alignment horizontal="right" readingOrder="0"/>
    </xf>
    <xf borderId="13" fillId="0" fontId="3" numFmtId="0" xfId="0" applyAlignment="1" applyBorder="1" applyFont="1">
      <alignment horizontal="center" readingOrder="0"/>
    </xf>
    <xf borderId="21" fillId="0" fontId="21" numFmtId="169" xfId="0" applyAlignment="1" applyBorder="1" applyFont="1" applyNumberFormat="1">
      <alignment horizontal="right" readingOrder="0"/>
    </xf>
    <xf borderId="0" fillId="0" fontId="21" numFmtId="169" xfId="0" applyAlignment="1" applyFont="1" applyNumberFormat="1">
      <alignment horizontal="right" readingOrder="0"/>
    </xf>
    <xf borderId="33" fillId="0" fontId="21" numFmtId="9" xfId="0" applyAlignment="1" applyBorder="1" applyFont="1" applyNumberFormat="1">
      <alignment horizontal="right" readingOrder="0"/>
    </xf>
    <xf borderId="8" fillId="0" fontId="21" numFmtId="169" xfId="0" applyAlignment="1" applyBorder="1" applyFont="1" applyNumberFormat="1">
      <alignment horizontal="right" readingOrder="0"/>
    </xf>
    <xf borderId="8" fillId="0" fontId="21" numFmtId="3" xfId="0" applyAlignment="1" applyBorder="1" applyFont="1" applyNumberFormat="1">
      <alignment horizontal="right" readingOrder="0"/>
    </xf>
    <xf borderId="9" fillId="0" fontId="21" numFmtId="3" xfId="0" applyAlignment="1" applyBorder="1" applyFont="1" applyNumberFormat="1">
      <alignment horizontal="right" readingOrder="0"/>
    </xf>
    <xf borderId="10" fillId="0" fontId="21"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35" fillId="0" fontId="21" numFmtId="9" xfId="0" applyAlignment="1" applyBorder="1" applyFont="1" applyNumberFormat="1">
      <alignment horizontal="right" readingOrder="0"/>
    </xf>
    <xf borderId="10" fillId="0" fontId="21" numFmtId="169" xfId="0" applyAlignment="1" applyBorder="1" applyFont="1" applyNumberFormat="1">
      <alignment horizontal="right" readingOrder="0"/>
    </xf>
    <xf borderId="10" fillId="0" fontId="21" numFmtId="9" xfId="0" applyAlignment="1" applyBorder="1" applyFont="1" applyNumberFormat="1">
      <alignment horizontal="right" readingOrder="0"/>
    </xf>
    <xf borderId="11" fillId="0" fontId="21" numFmtId="9" xfId="0" applyAlignment="1" applyBorder="1" applyFont="1" applyNumberFormat="1">
      <alignment horizontal="right" readingOrder="0"/>
    </xf>
    <xf borderId="11" fillId="0" fontId="3" numFmtId="0" xfId="0" applyAlignment="1" applyBorder="1" applyFont="1">
      <alignment horizontal="center" readingOrder="0"/>
    </xf>
    <xf borderId="10" fillId="0" fontId="21" numFmtId="0" xfId="0" applyAlignment="1" applyBorder="1" applyFont="1">
      <alignment horizontal="right" readingOrder="0"/>
    </xf>
    <xf borderId="35" fillId="0" fontId="21" numFmtId="169" xfId="0" applyAlignment="1" applyBorder="1" applyFont="1" applyNumberFormat="1">
      <alignment horizontal="right" readingOrder="0"/>
    </xf>
    <xf borderId="22" fillId="0" fontId="21" numFmtId="169" xfId="0" applyAlignment="1" applyBorder="1" applyFont="1" applyNumberFormat="1">
      <alignment horizontal="right" readingOrder="0"/>
    </xf>
    <xf borderId="15" fillId="0" fontId="21" numFmtId="9" xfId="0" applyAlignment="1" applyBorder="1" applyFont="1" applyNumberFormat="1">
      <alignment horizontal="right" readingOrder="0"/>
    </xf>
    <xf borderId="16" fillId="0" fontId="21" numFmtId="9" xfId="0" applyAlignment="1" applyBorder="1" applyFont="1" applyNumberFormat="1">
      <alignment horizontal="right" readingOrder="0"/>
    </xf>
    <xf borderId="14" fillId="0" fontId="27" numFmtId="0" xfId="0" applyBorder="1" applyFont="1"/>
    <xf borderId="0" fillId="0" fontId="21" numFmtId="9" xfId="0" applyAlignment="1" applyFont="1" applyNumberFormat="1">
      <alignment horizontal="right" readingOrder="0"/>
    </xf>
    <xf borderId="0" fillId="0" fontId="21" numFmtId="10" xfId="0" applyAlignment="1" applyFont="1" applyNumberFormat="1">
      <alignment horizontal="right" readingOrder="0"/>
    </xf>
    <xf borderId="34" fillId="0" fontId="21" numFmtId="0" xfId="0" applyAlignment="1" applyBorder="1" applyFont="1">
      <alignment horizontal="right" readingOrder="0"/>
    </xf>
    <xf borderId="12" fillId="0" fontId="21" numFmtId="3" xfId="0" applyAlignment="1" applyBorder="1" applyFont="1" applyNumberFormat="1">
      <alignment horizontal="right" readingOrder="0"/>
    </xf>
    <xf borderId="13" fillId="0" fontId="21" numFmtId="3" xfId="0" applyAlignment="1" applyBorder="1" applyFont="1" applyNumberFormat="1">
      <alignment horizontal="right" readingOrder="0"/>
    </xf>
    <xf borderId="5" fillId="3" fontId="21" numFmtId="9" xfId="0" applyAlignment="1" applyBorder="1" applyFont="1" applyNumberFormat="1">
      <alignment horizontal="right" vertical="bottom"/>
    </xf>
    <xf borderId="5" fillId="3" fontId="21" numFmtId="1" xfId="0" applyAlignment="1" applyBorder="1" applyFont="1" applyNumberFormat="1">
      <alignment horizontal="right" vertical="bottom"/>
    </xf>
    <xf borderId="6" fillId="3" fontId="21" numFmtId="1" xfId="0" applyAlignment="1" applyBorder="1" applyFont="1" applyNumberFormat="1">
      <alignment horizontal="right" vertical="bottom"/>
    </xf>
    <xf borderId="0" fillId="0" fontId="28" numFmtId="0" xfId="0" applyAlignment="1" applyFont="1">
      <alignmen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readingOrder="0"/>
    </xf>
    <xf borderId="8" fillId="0" fontId="21" numFmtId="10" xfId="0" applyAlignment="1" applyBorder="1" applyFont="1" applyNumberFormat="1">
      <alignment horizontal="right"/>
    </xf>
    <xf borderId="9" fillId="0" fontId="21" numFmtId="10" xfId="0" applyAlignment="1" applyBorder="1" applyFont="1" applyNumberFormat="1">
      <alignment horizontal="right"/>
    </xf>
    <xf borderId="11" fillId="0" fontId="3" numFmtId="0" xfId="0" applyAlignment="1" applyBorder="1" applyFont="1">
      <alignment horizontal="right" readingOrder="0" vertical="bottom"/>
    </xf>
    <xf borderId="35" fillId="0" fontId="21" numFmtId="0" xfId="0" applyAlignment="1" applyBorder="1" applyFont="1">
      <alignment horizontal="right" readingOrder="0"/>
    </xf>
    <xf borderId="10" fillId="0" fontId="21" numFmtId="9" xfId="0" applyAlignment="1" applyBorder="1" applyFont="1" applyNumberFormat="1">
      <alignment horizontal="right"/>
    </xf>
    <xf borderId="11" fillId="0" fontId="21" numFmtId="9" xfId="0" applyAlignment="1" applyBorder="1" applyFont="1" applyNumberFormat="1">
      <alignment horizontal="right"/>
    </xf>
    <xf borderId="35" fillId="0" fontId="21" numFmtId="0" xfId="0" applyAlignment="1" applyBorder="1" applyFont="1">
      <alignment horizontal="right"/>
    </xf>
    <xf borderId="10" fillId="0" fontId="21" numFmtId="170" xfId="0" applyAlignment="1" applyBorder="1" applyFont="1" applyNumberFormat="1">
      <alignment horizontal="right"/>
    </xf>
    <xf borderId="11" fillId="0" fontId="21" numFmtId="170" xfId="0" applyAlignment="1" applyBorder="1" applyFont="1" applyNumberFormat="1">
      <alignment horizontal="right"/>
    </xf>
    <xf borderId="33" fillId="0" fontId="21" numFmtId="4" xfId="0" applyAlignment="1" applyBorder="1" applyFont="1" applyNumberFormat="1">
      <alignment horizontal="right"/>
    </xf>
    <xf borderId="8" fillId="0" fontId="21" numFmtId="170" xfId="0" applyAlignment="1" applyBorder="1" applyFont="1" applyNumberFormat="1">
      <alignment horizontal="right"/>
    </xf>
    <xf borderId="9" fillId="0" fontId="21" numFmtId="170" xfId="0" applyAlignment="1" applyBorder="1" applyFont="1" applyNumberFormat="1">
      <alignment horizontal="right"/>
    </xf>
    <xf borderId="8" fillId="0" fontId="21" numFmtId="170" xfId="0" applyAlignment="1" applyBorder="1" applyFont="1" applyNumberFormat="1">
      <alignment horizontal="right" readingOrder="0"/>
    </xf>
    <xf borderId="9" fillId="0" fontId="21" numFmtId="170" xfId="0" applyAlignment="1" applyBorder="1" applyFont="1" applyNumberFormat="1">
      <alignment horizontal="right" readingOrder="0"/>
    </xf>
    <xf borderId="11" fillId="0" fontId="3" numFmtId="3" xfId="0" applyAlignment="1" applyBorder="1" applyFont="1" applyNumberFormat="1">
      <alignment horizontal="right" readingOrder="0" vertical="bottom"/>
    </xf>
    <xf borderId="16" fillId="0" fontId="3" numFmtId="0" xfId="0" applyAlignment="1" applyBorder="1" applyFont="1">
      <alignment horizontal="center" readingOrder="0"/>
    </xf>
    <xf borderId="21" fillId="0" fontId="21" numFmtId="9" xfId="0" applyAlignment="1" applyBorder="1" applyFont="1" applyNumberFormat="1">
      <alignment horizontal="right"/>
    </xf>
    <xf borderId="8" fillId="0" fontId="21" numFmtId="0" xfId="0" applyAlignment="1" applyBorder="1" applyFont="1">
      <alignment readingOrder="0" shrinkToFit="0" vertical="bottom" wrapText="1"/>
    </xf>
    <xf borderId="33" fillId="0" fontId="21" numFmtId="9" xfId="0" applyAlignment="1" applyBorder="1" applyFont="1" applyNumberFormat="1">
      <alignment horizontal="right"/>
    </xf>
    <xf borderId="9" fillId="0" fontId="3" numFmtId="0" xfId="0" applyAlignment="1" applyBorder="1" applyFont="1">
      <alignment horizontal="center"/>
    </xf>
    <xf borderId="10" fillId="0" fontId="21" numFmtId="0" xfId="0" applyAlignment="1" applyBorder="1" applyFont="1">
      <alignment readingOrder="0" shrinkToFit="0" vertical="bottom" wrapText="1"/>
    </xf>
    <xf borderId="35" fillId="0" fontId="21" numFmtId="9" xfId="0" applyAlignment="1" applyBorder="1" applyFont="1" applyNumberFormat="1">
      <alignment horizontal="right"/>
    </xf>
    <xf borderId="11" fillId="0" fontId="3" numFmtId="0" xfId="0" applyAlignment="1" applyBorder="1" applyFont="1">
      <alignment horizontal="center"/>
    </xf>
    <xf borderId="10" fillId="0" fontId="21" numFmtId="10" xfId="0" applyAlignment="1" applyBorder="1" applyFont="1" applyNumberFormat="1">
      <alignment horizontal="right"/>
    </xf>
    <xf borderId="11" fillId="0" fontId="21" numFmtId="10" xfId="0" applyAlignment="1" applyBorder="1" applyFont="1" applyNumberFormat="1">
      <alignment horizontal="right"/>
    </xf>
    <xf borderId="35" fillId="0" fontId="21" numFmtId="4" xfId="0" applyAlignment="1" applyBorder="1" applyFont="1" applyNumberFormat="1">
      <alignment horizontal="right"/>
    </xf>
    <xf borderId="10" fillId="0" fontId="21" numFmtId="10" xfId="0" applyAlignment="1" applyBorder="1" applyFont="1" applyNumberFormat="1">
      <alignment horizontal="right" readingOrder="0"/>
    </xf>
    <xf borderId="11" fillId="0" fontId="21" numFmtId="10" xfId="0" applyAlignment="1" applyBorder="1" applyFont="1" applyNumberFormat="1">
      <alignment horizontal="right" readingOrder="0"/>
    </xf>
    <xf borderId="11" fillId="0" fontId="21" numFmtId="0" xfId="0" applyAlignment="1" applyBorder="1" applyFont="1">
      <alignment horizontal="right" readingOrder="0"/>
    </xf>
    <xf borderId="10" fillId="0" fontId="21" numFmtId="3" xfId="0" applyAlignment="1" applyBorder="1" applyFont="1" applyNumberFormat="1">
      <alignment horizontal="right" readingOrder="0"/>
    </xf>
    <xf borderId="11" fillId="0" fontId="21" numFmtId="3" xfId="0" applyAlignment="1" applyBorder="1" applyFont="1" applyNumberFormat="1">
      <alignment horizontal="right" readingOrder="0"/>
    </xf>
    <xf borderId="33" fillId="0" fontId="21" numFmtId="170" xfId="0" applyAlignment="1" applyBorder="1" applyFont="1" applyNumberFormat="1">
      <alignment horizontal="right" readingOrder="0"/>
    </xf>
    <xf borderId="0" fillId="0" fontId="21" numFmtId="0" xfId="0" applyAlignment="1" applyFont="1">
      <alignment readingOrder="0" shrinkToFit="0" vertical="bottom" wrapText="1"/>
    </xf>
    <xf borderId="21" fillId="0" fontId="21" numFmtId="164" xfId="0" applyAlignment="1" applyBorder="1" applyFont="1" applyNumberFormat="1">
      <alignment horizontal="right" readingOrder="0"/>
    </xf>
    <xf borderId="18" fillId="0" fontId="3" numFmtId="0" xfId="0" applyAlignment="1" applyBorder="1" applyFont="1">
      <alignment horizontal="center"/>
    </xf>
    <xf borderId="12" fillId="0" fontId="21" numFmtId="0" xfId="0" applyAlignment="1" applyBorder="1" applyFont="1">
      <alignment readingOrder="0" shrinkToFit="0" vertical="bottom" wrapText="1"/>
    </xf>
    <xf borderId="13" fillId="0" fontId="3" numFmtId="0" xfId="0" applyAlignment="1" applyBorder="1" applyFont="1">
      <alignment horizontal="right" readingOrder="0" vertical="bottom"/>
    </xf>
    <xf borderId="13" fillId="0" fontId="3" numFmtId="0" xfId="0" applyAlignment="1" applyBorder="1" applyFont="1">
      <alignment horizontal="center"/>
    </xf>
    <xf borderId="0" fillId="0" fontId="29" numFmtId="0" xfId="0" applyAlignment="1" applyFont="1">
      <alignment readingOrder="0" shrinkToFit="0" vertical="bottom" wrapText="1"/>
    </xf>
    <xf borderId="0" fillId="0" fontId="21" numFmtId="171" xfId="0" applyAlignment="1" applyFont="1" applyNumberFormat="1">
      <alignment horizontal="right" readingOrder="0"/>
    </xf>
    <xf borderId="14" fillId="0" fontId="21" numFmtId="171" xfId="0" applyAlignment="1" applyBorder="1" applyFont="1" applyNumberFormat="1">
      <alignment horizontal="right" readingOrder="0"/>
    </xf>
    <xf borderId="17" fillId="0" fontId="21"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36" fillId="0" fontId="21" numFmtId="9" xfId="0" applyAlignment="1" applyBorder="1" applyFont="1" applyNumberFormat="1">
      <alignment horizontal="right"/>
    </xf>
    <xf borderId="17" fillId="0" fontId="21" numFmtId="9" xfId="0" applyAlignment="1" applyBorder="1" applyFont="1" applyNumberFormat="1">
      <alignment horizontal="right"/>
    </xf>
    <xf borderId="18" fillId="0" fontId="21" numFmtId="9" xfId="0" applyAlignment="1" applyBorder="1" applyFont="1" applyNumberFormat="1">
      <alignment horizontal="right"/>
    </xf>
    <xf borderId="10" fillId="0" fontId="21" numFmtId="170" xfId="0" applyAlignment="1" applyBorder="1" applyFont="1" applyNumberFormat="1">
      <alignment horizontal="right" readingOrder="0"/>
    </xf>
    <xf borderId="11" fillId="0" fontId="21" numFmtId="170" xfId="0" applyAlignment="1" applyBorder="1" applyFont="1" applyNumberFormat="1">
      <alignment horizontal="right" readingOrder="0"/>
    </xf>
    <xf borderId="0" fillId="0" fontId="30" numFmtId="0" xfId="0" applyAlignment="1" applyFont="1">
      <alignment vertical="bottom"/>
    </xf>
    <xf borderId="21" fillId="0" fontId="21" numFmtId="2" xfId="0" applyAlignment="1" applyBorder="1" applyFont="1" applyNumberFormat="1">
      <alignment horizontal="right" readingOrder="0"/>
    </xf>
    <xf borderId="14" fillId="0" fontId="21" numFmtId="9" xfId="0" applyAlignment="1" applyBorder="1" applyFont="1" applyNumberFormat="1">
      <alignment horizontal="right" readingOrder="0"/>
    </xf>
    <xf borderId="17" fillId="0" fontId="21" numFmtId="0" xfId="0" applyAlignment="1" applyBorder="1" applyFont="1">
      <alignment readingOrder="0" shrinkToFit="0" vertical="bottom" wrapText="1"/>
    </xf>
    <xf borderId="36" fillId="0" fontId="21" numFmtId="164" xfId="0" applyAlignment="1" applyBorder="1" applyFont="1" applyNumberFormat="1">
      <alignment horizontal="right" readingOrder="0"/>
    </xf>
    <xf borderId="17" fillId="0" fontId="21" numFmtId="3" xfId="0" applyAlignment="1" applyBorder="1" applyFont="1" applyNumberFormat="1">
      <alignment horizontal="right" readingOrder="0"/>
    </xf>
    <xf borderId="18" fillId="0" fontId="21" numFmtId="3" xfId="0" applyAlignment="1" applyBorder="1" applyFont="1" applyNumberFormat="1">
      <alignment horizontal="right" readingOrder="0"/>
    </xf>
    <xf borderId="7" fillId="0" fontId="6" numFmtId="0" xfId="0" applyAlignment="1" applyBorder="1" applyFont="1">
      <alignment vertical="bottom"/>
    </xf>
    <xf borderId="0" fillId="0" fontId="6" numFmtId="0" xfId="0" applyAlignment="1" applyFont="1">
      <alignment vertical="bottom"/>
    </xf>
    <xf borderId="8" fillId="0" fontId="21" numFmtId="0" xfId="0" applyAlignment="1" applyBorder="1" applyFont="1">
      <alignment shrinkToFit="0" vertical="bottom" wrapText="1"/>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4" xfId="0" applyAlignment="1" applyBorder="1" applyFont="1" applyNumberFormat="1">
      <alignment horizontal="right" vertical="bottom"/>
    </xf>
    <xf borderId="8" fillId="0" fontId="3" numFmtId="9" xfId="0" applyAlignment="1" applyBorder="1" applyFont="1" applyNumberFormat="1">
      <alignment horizontal="right" vertical="bottom"/>
    </xf>
    <xf borderId="9" fillId="0" fontId="3" numFmtId="9" xfId="0" applyAlignment="1" applyBorder="1" applyFont="1" applyNumberFormat="1">
      <alignment horizontal="right" vertical="bottom"/>
    </xf>
    <xf borderId="10" fillId="0" fontId="21"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11"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1" fillId="0" fontId="6" numFmtId="0" xfId="0" applyAlignment="1" applyBorder="1" applyFont="1">
      <alignment vertical="bottom"/>
    </xf>
    <xf borderId="10" fillId="0" fontId="3" numFmtId="0" xfId="0" applyAlignment="1" applyBorder="1" applyFont="1">
      <alignment shrinkToFit="0" vertical="bottom" wrapText="1"/>
    </xf>
    <xf borderId="11" fillId="0" fontId="3" numFmtId="4" xfId="0" applyAlignment="1" applyBorder="1" applyFont="1" applyNumberFormat="1">
      <alignment horizontal="right" vertical="bottom"/>
    </xf>
    <xf borderId="10" fillId="0" fontId="21" numFmtId="3" xfId="0" applyAlignment="1" applyBorder="1" applyFont="1" applyNumberFormat="1">
      <alignment readingOrder="0" shrinkToFit="0" vertical="bottom" wrapText="1"/>
    </xf>
    <xf borderId="10" fillId="0" fontId="3" numFmtId="3" xfId="0" applyAlignment="1" applyBorder="1" applyFont="1" applyNumberFormat="1">
      <alignment horizontal="right" readingOrder="0" vertical="bottom"/>
    </xf>
    <xf borderId="35" fillId="0" fontId="21" numFmtId="3" xfId="0" applyAlignment="1" applyBorder="1" applyFont="1" applyNumberFormat="1">
      <alignment horizontal="right" readingOrder="0"/>
    </xf>
    <xf borderId="35" fillId="0" fontId="21" numFmtId="4" xfId="0" applyAlignment="1" applyBorder="1" applyFont="1" applyNumberFormat="1">
      <alignment horizontal="right" readingOrder="0"/>
    </xf>
    <xf borderId="34" fillId="0" fontId="21" numFmtId="4" xfId="0" applyAlignment="1" applyBorder="1" applyFont="1" applyNumberFormat="1">
      <alignment horizontal="right" readingOrder="0"/>
    </xf>
    <xf borderId="0" fillId="0" fontId="21" numFmtId="0" xfId="0" applyAlignment="1" applyFont="1">
      <alignment shrinkToFit="0" wrapText="1"/>
    </xf>
    <xf borderId="0" fillId="0" fontId="3" numFmtId="0" xfId="0" applyAlignment="1" applyFont="1">
      <alignment horizontal="right"/>
    </xf>
    <xf borderId="14" fillId="0" fontId="3" numFmtId="0" xfId="0" applyAlignment="1" applyBorder="1" applyFont="1">
      <alignment horizontal="right"/>
    </xf>
    <xf borderId="0" fillId="0" fontId="21" numFmtId="9" xfId="0" applyAlignment="1" applyFont="1" applyNumberFormat="1">
      <alignment horizontal="right"/>
    </xf>
    <xf borderId="8" fillId="0" fontId="21" numFmtId="0" xfId="0" applyAlignment="1" applyBorder="1" applyFont="1">
      <alignment shrinkToFit="0" wrapText="1"/>
    </xf>
    <xf borderId="8" fillId="0" fontId="3" numFmtId="0" xfId="0" applyAlignment="1" applyBorder="1" applyFont="1">
      <alignment horizontal="right"/>
    </xf>
    <xf borderId="33" fillId="0" fontId="21" numFmtId="172" xfId="0" applyAlignment="1" applyBorder="1" applyFont="1" applyNumberFormat="1">
      <alignment horizontal="right"/>
    </xf>
    <xf borderId="8" fillId="0" fontId="21" numFmtId="0" xfId="0" applyAlignment="1" applyBorder="1" applyFont="1">
      <alignment horizontal="right"/>
    </xf>
    <xf borderId="9" fillId="0" fontId="21" numFmtId="0" xfId="0" applyAlignment="1" applyBorder="1" applyFont="1">
      <alignment horizontal="right"/>
    </xf>
    <xf borderId="10" fillId="0" fontId="21" numFmtId="0" xfId="0" applyAlignment="1" applyBorder="1" applyFont="1">
      <alignment shrinkToFit="0" wrapText="1"/>
    </xf>
    <xf borderId="10" fillId="0" fontId="3" numFmtId="0" xfId="0" applyAlignment="1" applyBorder="1" applyFont="1">
      <alignment horizontal="right"/>
    </xf>
    <xf borderId="35" fillId="0" fontId="21" numFmtId="3" xfId="0" applyAlignment="1" applyBorder="1" applyFont="1" applyNumberFormat="1">
      <alignment horizontal="right"/>
    </xf>
    <xf borderId="10" fillId="0" fontId="21" numFmtId="0" xfId="0" applyAlignment="1" applyBorder="1" applyFont="1">
      <alignment horizontal="right"/>
    </xf>
    <xf borderId="11" fillId="0" fontId="21" numFmtId="0" xfId="0" applyAlignment="1" applyBorder="1" applyFont="1">
      <alignment horizontal="right"/>
    </xf>
    <xf borderId="10" fillId="0" fontId="21" numFmtId="0" xfId="0" applyAlignment="1" applyBorder="1" applyFont="1">
      <alignment readingOrder="0" shrinkToFit="0" wrapText="1"/>
    </xf>
    <xf borderId="10" fillId="0" fontId="3" numFmtId="0" xfId="0" applyAlignment="1" applyBorder="1" applyFont="1">
      <alignment horizontal="right" readingOrder="0"/>
    </xf>
    <xf borderId="35" fillId="0" fontId="21" numFmtId="172" xfId="0" applyAlignment="1" applyBorder="1" applyFont="1" applyNumberFormat="1">
      <alignment horizontal="right"/>
    </xf>
    <xf borderId="8" fillId="0" fontId="21" numFmtId="0" xfId="0" applyAlignment="1" applyBorder="1" applyFont="1">
      <alignment horizontal="right" readingOrder="0"/>
    </xf>
    <xf borderId="35" fillId="0" fontId="21" numFmtId="166" xfId="0" applyAlignment="1" applyBorder="1" applyFont="1" applyNumberFormat="1">
      <alignment horizontal="right"/>
    </xf>
    <xf borderId="10" fillId="0" fontId="3" numFmtId="49" xfId="0" applyAlignment="1" applyBorder="1" applyFont="1" applyNumberFormat="1">
      <alignment horizontal="right"/>
    </xf>
    <xf borderId="35" fillId="0" fontId="21" numFmtId="165" xfId="0" applyAlignment="1" applyBorder="1" applyFont="1" applyNumberFormat="1">
      <alignment horizontal="right"/>
    </xf>
    <xf borderId="35" fillId="0" fontId="21" numFmtId="173" xfId="0" applyAlignment="1" applyBorder="1" applyFont="1" applyNumberFormat="1">
      <alignment horizontal="right"/>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2" fillId="0" fontId="21" numFmtId="3" xfId="0" applyAlignment="1" applyBorder="1" applyFont="1" applyNumberFormat="1">
      <alignment horizontal="right"/>
    </xf>
    <xf borderId="13" fillId="0" fontId="21" numFmtId="3" xfId="0" applyAlignment="1" applyBorder="1" applyFont="1" applyNumberFormat="1">
      <alignment horizontal="right"/>
    </xf>
    <xf borderId="5" fillId="3" fontId="21" numFmtId="0" xfId="0" applyAlignment="1" applyBorder="1" applyFont="1">
      <alignment horizontal="right" vertical="bottom"/>
    </xf>
    <xf borderId="6" fillId="3" fontId="21" numFmtId="0" xfId="0" applyAlignment="1" applyBorder="1" applyFont="1">
      <alignment horizontal="right" vertical="bottom"/>
    </xf>
    <xf borderId="0" fillId="0" fontId="31" numFmtId="0" xfId="0" applyAlignment="1" applyFont="1">
      <alignment readingOrder="0" vertical="bottom"/>
    </xf>
    <xf borderId="33" fillId="0" fontId="21" numFmtId="1" xfId="0" applyAlignment="1" applyBorder="1" applyFont="1" applyNumberFormat="1">
      <alignment horizontal="right"/>
    </xf>
    <xf borderId="34" fillId="0" fontId="21" numFmtId="1" xfId="0" applyAlignment="1" applyBorder="1" applyFont="1" applyNumberFormat="1">
      <alignment horizontal="right" readingOrder="0"/>
    </xf>
    <xf borderId="13" fillId="0" fontId="3" numFmtId="0" xfId="0" applyAlignment="1" applyBorder="1" applyFont="1">
      <alignment horizontal="center" readingOrder="0"/>
    </xf>
    <xf borderId="21" fillId="0" fontId="21" numFmtId="2" xfId="0" applyAlignment="1" applyBorder="1" applyFont="1" applyNumberFormat="1">
      <alignment horizontal="right"/>
    </xf>
    <xf borderId="0" fillId="0" fontId="21" numFmtId="2" xfId="0" applyAlignment="1" applyFont="1" applyNumberFormat="1">
      <alignment horizontal="right"/>
    </xf>
    <xf borderId="14" fillId="0" fontId="21" numFmtId="2" xfId="0" applyAlignment="1" applyBorder="1" applyFont="1" applyNumberFormat="1">
      <alignment horizontal="right"/>
    </xf>
    <xf borderId="14" fillId="0" fontId="6" numFmtId="0" xfId="0" applyAlignment="1" applyBorder="1" applyFont="1">
      <alignment vertical="bottom"/>
    </xf>
    <xf borderId="21" fillId="0" fontId="21" numFmtId="1" xfId="0" applyAlignment="1" applyBorder="1" applyFont="1" applyNumberFormat="1">
      <alignment horizontal="right"/>
    </xf>
    <xf borderId="0" fillId="0" fontId="21" numFmtId="1" xfId="0" applyAlignment="1" applyFont="1" applyNumberFormat="1">
      <alignment horizontal="right"/>
    </xf>
    <xf borderId="14" fillId="0" fontId="21" numFmtId="1" xfId="0" applyAlignment="1" applyBorder="1" applyFont="1" applyNumberFormat="1">
      <alignment horizontal="right"/>
    </xf>
    <xf borderId="0" fillId="0" fontId="32" numFmtId="0" xfId="0" applyAlignment="1" applyFont="1">
      <alignment readingOrder="0" vertical="bottom"/>
    </xf>
    <xf borderId="8" fillId="0" fontId="21" numFmtId="4" xfId="0" applyAlignment="1" applyBorder="1" applyFont="1" applyNumberFormat="1">
      <alignment horizontal="right" readingOrder="0"/>
    </xf>
    <xf borderId="9" fillId="0" fontId="21" numFmtId="4" xfId="0" applyAlignment="1" applyBorder="1" applyFont="1" applyNumberFormat="1">
      <alignment horizontal="right" readingOrder="0"/>
    </xf>
    <xf borderId="8" fillId="0" fontId="3" numFmtId="0" xfId="0" applyAlignment="1" applyBorder="1" applyFont="1">
      <alignment horizontal="right" vertical="bottom"/>
    </xf>
    <xf borderId="33" fillId="0" fontId="21" numFmtId="168" xfId="0" applyAlignment="1" applyBorder="1" applyFont="1" applyNumberFormat="1">
      <alignment horizontal="right"/>
    </xf>
    <xf borderId="8" fillId="0" fontId="21" numFmtId="3" xfId="0" applyAlignment="1" applyBorder="1" applyFont="1" applyNumberFormat="1">
      <alignment horizontal="right"/>
    </xf>
    <xf borderId="9" fillId="0" fontId="21" numFmtId="3" xfId="0" applyAlignment="1" applyBorder="1" applyFont="1" applyNumberFormat="1">
      <alignment horizontal="right"/>
    </xf>
    <xf borderId="9" fillId="0" fontId="3" numFmtId="0" xfId="0" applyAlignment="1" applyBorder="1" applyFont="1">
      <alignment horizontal="center" readingOrder="0"/>
    </xf>
    <xf borderId="10" fillId="0" fontId="21" numFmtId="3" xfId="0" applyAlignment="1" applyBorder="1" applyFont="1" applyNumberFormat="1">
      <alignment horizontal="right"/>
    </xf>
    <xf borderId="11" fillId="0" fontId="21" numFmtId="3" xfId="0" applyAlignment="1" applyBorder="1" applyFont="1" applyNumberFormat="1">
      <alignment horizontal="right"/>
    </xf>
    <xf borderId="11" fillId="0" fontId="3" numFmtId="0" xfId="0" applyAlignment="1" applyBorder="1" applyFont="1">
      <alignment horizontal="center" readingOrder="0"/>
    </xf>
    <xf borderId="33" fillId="0" fontId="21" numFmtId="1" xfId="0" applyAlignment="1" applyBorder="1" applyFont="1" applyNumberFormat="1">
      <alignment horizontal="right" readingOrder="0"/>
    </xf>
    <xf borderId="9" fillId="0" fontId="21" numFmtId="0" xfId="0" applyAlignment="1" applyBorder="1" applyFont="1">
      <alignment horizontal="right" readingOrder="0"/>
    </xf>
    <xf borderId="35" fillId="0" fontId="21" numFmtId="1" xfId="0" applyAlignment="1" applyBorder="1" applyFont="1" applyNumberFormat="1">
      <alignment horizontal="right" readingOrder="0"/>
    </xf>
    <xf borderId="35" fillId="0" fontId="21" numFmtId="2" xfId="0" applyAlignment="1" applyBorder="1" applyFont="1" applyNumberFormat="1">
      <alignment horizontal="right" readingOrder="0"/>
    </xf>
    <xf borderId="10" fillId="0" fontId="21" numFmtId="4" xfId="0" applyAlignment="1" applyBorder="1" applyFont="1" applyNumberFormat="1">
      <alignment horizontal="right" readingOrder="0"/>
    </xf>
    <xf borderId="11" fillId="0" fontId="21" numFmtId="4" xfId="0" applyAlignment="1" applyBorder="1" applyFont="1" applyNumberFormat="1">
      <alignment horizontal="right" readingOrder="0"/>
    </xf>
    <xf borderId="34" fillId="0" fontId="21" numFmtId="2" xfId="0" applyAlignment="1" applyBorder="1" applyFont="1" applyNumberFormat="1">
      <alignment horizontal="right" readingOrder="0"/>
    </xf>
    <xf borderId="8" fillId="0" fontId="21" numFmtId="165" xfId="0" applyAlignment="1" applyBorder="1" applyFont="1" applyNumberFormat="1">
      <alignment horizontal="right"/>
    </xf>
    <xf borderId="9" fillId="0" fontId="21" numFmtId="165" xfId="0" applyAlignment="1" applyBorder="1" applyFont="1" applyNumberFormat="1">
      <alignment horizontal="right"/>
    </xf>
    <xf borderId="36" fillId="0" fontId="21" numFmtId="0" xfId="0" applyAlignment="1" applyBorder="1" applyFont="1">
      <alignment horizontal="right" readingOrder="0"/>
    </xf>
    <xf borderId="17" fillId="0" fontId="21" numFmtId="174" xfId="0" applyAlignment="1" applyBorder="1" applyFont="1" applyNumberFormat="1">
      <alignment horizontal="right"/>
    </xf>
    <xf borderId="18" fillId="0" fontId="21" numFmtId="174" xfId="0" applyAlignment="1" applyBorder="1" applyFont="1" applyNumberFormat="1">
      <alignment horizontal="right"/>
    </xf>
    <xf borderId="18" fillId="0" fontId="3" numFmtId="0" xfId="0" applyAlignment="1" applyBorder="1" applyFont="1">
      <alignment horizontal="center" readingOrder="0"/>
    </xf>
    <xf borderId="36" fillId="0" fontId="21" numFmtId="173" xfId="0" applyAlignment="1" applyBorder="1" applyFont="1" applyNumberFormat="1">
      <alignment horizontal="right"/>
    </xf>
    <xf borderId="17" fillId="0" fontId="21" numFmtId="168" xfId="0" applyAlignment="1" applyBorder="1" applyFont="1" applyNumberFormat="1">
      <alignment horizontal="right"/>
    </xf>
    <xf borderId="18" fillId="0" fontId="21" numFmtId="168" xfId="0" applyAlignment="1" applyBorder="1" applyFont="1" applyNumberFormat="1">
      <alignment horizontal="right"/>
    </xf>
    <xf borderId="12" fillId="0" fontId="3" numFmtId="0" xfId="0" applyAlignment="1" applyBorder="1" applyFont="1">
      <alignment horizontal="left" readingOrder="0" vertical="bottom"/>
    </xf>
    <xf borderId="12" fillId="0" fontId="21" numFmtId="168" xfId="0" applyAlignment="1" applyBorder="1" applyFont="1" applyNumberFormat="1">
      <alignment horizontal="right"/>
    </xf>
    <xf borderId="13" fillId="0" fontId="21" numFmtId="168" xfId="0" applyAlignment="1" applyBorder="1" applyFont="1" applyNumberFormat="1">
      <alignment horizontal="right"/>
    </xf>
    <xf borderId="8" fillId="0" fontId="21" numFmtId="9" xfId="0" applyAlignment="1" applyBorder="1" applyFont="1" applyNumberFormat="1">
      <alignment horizontal="right"/>
    </xf>
    <xf borderId="9" fillId="0" fontId="21" numFmtId="9" xfId="0" applyAlignment="1" applyBorder="1" applyFont="1" applyNumberFormat="1">
      <alignment horizontal="right"/>
    </xf>
    <xf borderId="12" fillId="0" fontId="21" numFmtId="9" xfId="0" applyAlignment="1" applyBorder="1" applyFont="1" applyNumberFormat="1">
      <alignment horizontal="right"/>
    </xf>
    <xf borderId="13" fillId="0" fontId="21" numFmtId="9" xfId="0" applyAlignment="1" applyBorder="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xf>
    <xf borderId="12" fillId="0" fontId="21" numFmtId="165" xfId="0" applyAlignment="1" applyBorder="1" applyFont="1" applyNumberFormat="1">
      <alignment horizontal="right"/>
    </xf>
    <xf borderId="13" fillId="0" fontId="21" numFmtId="165" xfId="0" applyAlignment="1" applyBorder="1" applyFont="1" applyNumberFormat="1">
      <alignment horizontal="right"/>
    </xf>
    <xf borderId="14" fillId="0" fontId="21" numFmtId="9" xfId="0" applyAlignment="1" applyBorder="1" applyFont="1" applyNumberFormat="1">
      <alignment horizontal="right"/>
    </xf>
    <xf borderId="8"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1" numFmtId="9" xfId="0" applyAlignment="1" applyBorder="1" applyFont="1" applyNumberFormat="1">
      <alignment horizontal="right" readingOrder="0"/>
    </xf>
    <xf borderId="15" fillId="0" fontId="21" numFmtId="0" xfId="0" applyAlignment="1" applyBorder="1" applyFont="1">
      <alignment horizontal="right" readingOrder="0"/>
    </xf>
    <xf borderId="16" fillId="0" fontId="21" numFmtId="0" xfId="0" applyAlignment="1" applyBorder="1" applyFont="1">
      <alignment horizontal="right" readingOrder="0"/>
    </xf>
    <xf borderId="37" fillId="0" fontId="21" numFmtId="9" xfId="0" applyAlignment="1" applyBorder="1" applyFont="1" applyNumberFormat="1">
      <alignment horizontal="right" readingOrder="0"/>
    </xf>
    <xf borderId="38" fillId="0" fontId="21" numFmtId="0" xfId="0" applyAlignment="1" applyBorder="1" applyFont="1">
      <alignment horizontal="right" readingOrder="0"/>
    </xf>
    <xf borderId="0" fillId="0" fontId="3" numFmtId="10" xfId="0" applyAlignment="1" applyFont="1" applyNumberFormat="1">
      <alignment horizontal="right" vertical="bottom"/>
    </xf>
    <xf borderId="39" fillId="0" fontId="3" numFmtId="0" xfId="0" applyAlignment="1" applyBorder="1" applyFont="1">
      <alignment horizontal="center"/>
    </xf>
    <xf borderId="22" fillId="0" fontId="21" numFmtId="0" xfId="0" applyAlignment="1" applyBorder="1" applyFont="1">
      <alignment horizontal="right"/>
    </xf>
    <xf borderId="15" fillId="0" fontId="21" numFmtId="9" xfId="0" applyAlignment="1" applyBorder="1" applyFont="1" applyNumberFormat="1">
      <alignment horizontal="right"/>
    </xf>
    <xf borderId="16" fillId="0" fontId="21" numFmtId="9" xfId="0" applyAlignment="1" applyBorder="1" applyFont="1" applyNumberFormat="1">
      <alignment horizontal="right"/>
    </xf>
    <xf borderId="16" fillId="0" fontId="3" numFmtId="0" xfId="0" applyAlignment="1" applyBorder="1" applyFont="1">
      <alignment horizontal="center"/>
    </xf>
    <xf borderId="14"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readingOrder="0" vertical="bottom"/>
    </xf>
    <xf borderId="33" fillId="0" fontId="21" numFmtId="3" xfId="0" applyAlignment="1" applyBorder="1" applyFont="1" applyNumberFormat="1">
      <alignment horizontal="right" readingOrder="0"/>
    </xf>
    <xf borderId="35" fillId="0" fontId="21" numFmtId="174" xfId="0" applyAlignment="1" applyBorder="1" applyFont="1" applyNumberFormat="1">
      <alignment horizontal="right" readingOrder="0"/>
    </xf>
    <xf borderId="10" fillId="0" fontId="21" numFmtId="174" xfId="0" applyAlignment="1" applyBorder="1" applyFont="1" applyNumberFormat="1">
      <alignment horizontal="right"/>
    </xf>
    <xf borderId="11" fillId="0" fontId="21" numFmtId="174" xfId="0" applyAlignment="1" applyBorder="1" applyFont="1" applyNumberFormat="1">
      <alignment horizontal="right"/>
    </xf>
    <xf borderId="12" fillId="0" fontId="20" numFmtId="0" xfId="0" applyAlignment="1" applyBorder="1" applyFont="1">
      <alignment readingOrder="0" shrinkToFit="0" vertical="bottom" wrapText="1"/>
    </xf>
    <xf borderId="12" fillId="0" fontId="1" numFmtId="0" xfId="0" applyAlignment="1" applyBorder="1" applyFont="1">
      <alignment horizontal="left" readingOrder="0" vertical="bottom"/>
    </xf>
    <xf borderId="13" fillId="0" fontId="1" numFmtId="0" xfId="0" applyAlignment="1" applyBorder="1" applyFont="1">
      <alignment horizontal="right" readingOrder="0" vertical="bottom"/>
    </xf>
    <xf borderId="34" fillId="0" fontId="20" numFmtId="164" xfId="0" applyAlignment="1" applyBorder="1" applyFont="1" applyNumberFormat="1">
      <alignment horizontal="right" readingOrder="0"/>
    </xf>
    <xf borderId="12" fillId="0" fontId="20" numFmtId="164" xfId="0" applyAlignment="1" applyBorder="1" applyFont="1" applyNumberFormat="1">
      <alignment horizontal="right"/>
    </xf>
    <xf borderId="13" fillId="0" fontId="20" numFmtId="164" xfId="0" applyAlignment="1" applyBorder="1" applyFont="1" applyNumberFormat="1">
      <alignment horizontal="right"/>
    </xf>
    <xf borderId="0" fillId="0" fontId="33"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0" numFmtId="164" xfId="0" applyAlignment="1" applyBorder="1" applyFont="1" applyNumberFormat="1">
      <alignment horizontal="right" readingOrder="0"/>
    </xf>
    <xf borderId="0" fillId="0" fontId="33" numFmtId="164" xfId="0" applyAlignment="1" applyFont="1" applyNumberFormat="1">
      <alignment horizontal="right" readingOrder="0"/>
    </xf>
    <xf borderId="14" fillId="0" fontId="33" numFmtId="164" xfId="0" applyAlignment="1" applyBorder="1" applyFont="1" applyNumberFormat="1">
      <alignment horizontal="right" readingOrder="0"/>
    </xf>
    <xf borderId="0" fillId="0" fontId="33" numFmtId="174" xfId="0" applyAlignment="1" applyFont="1" applyNumberFormat="1">
      <alignment horizontal="right" readingOrder="0"/>
    </xf>
    <xf borderId="10" fillId="0" fontId="21" numFmtId="0" xfId="0" applyAlignment="1" applyBorder="1" applyFont="1">
      <alignment readingOrder="0" shrinkToFit="0" vertical="bottom" wrapText="1"/>
    </xf>
    <xf borderId="0" fillId="0" fontId="21" numFmtId="170" xfId="0" applyAlignment="1" applyFont="1" applyNumberFormat="1">
      <alignment horizontal="right"/>
    </xf>
    <xf borderId="14" fillId="0" fontId="21" numFmtId="170"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1"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1" numFmtId="164" xfId="0" applyAlignment="1" applyBorder="1" applyFont="1" applyNumberFormat="1">
      <alignment horizontal="right"/>
    </xf>
    <xf borderId="0" fillId="2" fontId="1" numFmtId="0" xfId="0" applyAlignment="1" applyFont="1">
      <alignment shrinkToFit="0" vertical="bottom" wrapText="1"/>
    </xf>
    <xf borderId="40" fillId="2" fontId="20" numFmtId="0" xfId="0" applyAlignment="1" applyBorder="1" applyFont="1">
      <alignment horizontal="center" readingOrder="0" shrinkToFit="0" wrapText="1"/>
    </xf>
    <xf borderId="0" fillId="2" fontId="20" numFmtId="0" xfId="0" applyAlignment="1" applyFont="1">
      <alignment horizontal="center" readingOrder="0"/>
    </xf>
    <xf borderId="41" fillId="2" fontId="20" numFmtId="0" xfId="0" applyAlignment="1" applyBorder="1" applyFont="1">
      <alignment horizontal="center" readingOrder="0" shrinkToFit="0" wrapText="1"/>
    </xf>
    <xf borderId="15" fillId="3" fontId="1" numFmtId="0" xfId="0" applyAlignment="1" applyBorder="1" applyFont="1">
      <alignment readingOrder="0" shrinkToFit="0" vertical="bottom" wrapText="1"/>
    </xf>
    <xf borderId="41" fillId="3" fontId="20" numFmtId="164" xfId="0" applyAlignment="1" applyBorder="1" applyFont="1" applyNumberFormat="1">
      <alignment horizontal="right" vertical="bottom"/>
    </xf>
    <xf borderId="42" fillId="3" fontId="21" numFmtId="0" xfId="0" applyAlignment="1" applyBorder="1" applyFont="1">
      <alignment horizontal="right" vertical="bottom"/>
    </xf>
    <xf borderId="0" fillId="0" fontId="3" numFmtId="0" xfId="0" applyAlignment="1" applyFont="1">
      <alignment shrinkToFit="0" vertical="bottom" wrapText="1"/>
    </xf>
    <xf borderId="40" fillId="0" fontId="21" numFmtId="0" xfId="0" applyAlignment="1" applyBorder="1" applyFont="1">
      <alignment horizontal="right"/>
    </xf>
    <xf borderId="0" fillId="0" fontId="34" numFmtId="0" xfId="0" applyAlignment="1" applyFont="1">
      <alignment readingOrder="0" shrinkToFit="0" vertical="bottom" wrapText="1"/>
    </xf>
    <xf borderId="0" fillId="0" fontId="3" numFmtId="1" xfId="0" applyAlignment="1" applyFont="1" applyNumberFormat="1">
      <alignment horizontal="right" readingOrder="0" vertical="bottom"/>
    </xf>
    <xf borderId="40" fillId="0" fontId="21" numFmtId="9" xfId="0" applyAlignment="1" applyBorder="1" applyFont="1" applyNumberFormat="1">
      <alignment horizontal="right"/>
    </xf>
    <xf borderId="0" fillId="0" fontId="35" numFmtId="0" xfId="0" applyAlignment="1" applyFont="1">
      <alignment readingOrder="0" shrinkToFit="0" vertical="bottom" wrapText="1"/>
    </xf>
    <xf borderId="8" fillId="0" fontId="3" numFmtId="0" xfId="0" applyAlignment="1" applyBorder="1" applyFont="1">
      <alignment horizontal="right" readingOrder="0" vertical="bottom"/>
    </xf>
    <xf borderId="8" fillId="0" fontId="3" numFmtId="1" xfId="0" applyAlignment="1" applyBorder="1" applyFont="1" applyNumberFormat="1">
      <alignment horizontal="right" readingOrder="0" vertical="bottom"/>
    </xf>
    <xf borderId="43" fillId="0" fontId="21" numFmtId="9" xfId="0" applyAlignment="1" applyBorder="1" applyFont="1" applyNumberFormat="1">
      <alignment horizontal="right"/>
    </xf>
    <xf borderId="10"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44" fillId="0" fontId="21" numFmtId="9" xfId="0" applyAlignment="1" applyBorder="1" applyFont="1" applyNumberFormat="1">
      <alignment horizontal="right"/>
    </xf>
    <xf borderId="17" fillId="0" fontId="3" numFmtId="0" xfId="0" applyAlignment="1" applyBorder="1" applyFont="1">
      <alignment horizontal="right" readingOrder="0" vertical="bottom"/>
    </xf>
    <xf borderId="17" fillId="0" fontId="3" numFmtId="1" xfId="0" applyAlignment="1" applyBorder="1" applyFont="1" applyNumberFormat="1">
      <alignment horizontal="right" readingOrder="0" vertical="bottom"/>
    </xf>
    <xf borderId="45" fillId="0" fontId="21" numFmtId="9" xfId="0" applyAlignment="1" applyBorder="1" applyFont="1" applyNumberFormat="1">
      <alignment horizontal="right"/>
    </xf>
    <xf borderId="12"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46" fillId="0" fontId="21" numFmtId="9" xfId="0" applyAlignment="1" applyBorder="1" applyFont="1" applyNumberFormat="1">
      <alignment horizontal="right"/>
    </xf>
    <xf borderId="8" fillId="0" fontId="21" numFmtId="1" xfId="0" applyAlignment="1" applyBorder="1" applyFont="1" applyNumberFormat="1">
      <alignment horizontal="right" readingOrder="0" vertical="bottom"/>
    </xf>
    <xf borderId="33" fillId="0" fontId="21" numFmtId="165" xfId="0" applyAlignment="1" applyBorder="1" applyFont="1" applyNumberFormat="1">
      <alignment horizontal="right" readingOrder="0"/>
    </xf>
    <xf borderId="10" fillId="0" fontId="21" numFmtId="1" xfId="0" applyAlignment="1" applyBorder="1" applyFont="1" applyNumberFormat="1">
      <alignment horizontal="right" readingOrder="0" vertical="bottom"/>
    </xf>
    <xf borderId="12" fillId="0" fontId="21" numFmtId="1" xfId="0" applyAlignment="1" applyBorder="1" applyFont="1" applyNumberFormat="1">
      <alignment horizontal="right" readingOrder="0" vertical="bottom"/>
    </xf>
    <xf borderId="34" fillId="0" fontId="21" numFmtId="0" xfId="0" applyAlignment="1" applyBorder="1" applyFont="1">
      <alignment horizontal="right"/>
    </xf>
    <xf borderId="0" fillId="0" fontId="21" numFmtId="1" xfId="0" applyAlignment="1" applyFont="1" applyNumberFormat="1">
      <alignment horizontal="right" readingOrder="0" vertical="bottom"/>
    </xf>
    <xf borderId="10" fillId="0" fontId="3" numFmtId="0" xfId="0" applyAlignment="1" applyBorder="1" applyFont="1">
      <alignment vertical="bottom"/>
    </xf>
    <xf borderId="10" fillId="0" fontId="3" numFmtId="0" xfId="0" applyAlignment="1" applyBorder="1" applyFont="1">
      <alignment shrinkToFit="0" vertical="bottom" wrapText="1"/>
    </xf>
    <xf borderId="0" fillId="0" fontId="3" numFmtId="0" xfId="0" applyAlignment="1" applyFont="1">
      <alignment shrinkToFit="0" vertical="bottom" wrapText="1"/>
    </xf>
    <xf borderId="0" fillId="0" fontId="21" numFmtId="49" xfId="0" applyAlignment="1" applyFont="1" applyNumberFormat="1">
      <alignment horizontal="right"/>
    </xf>
    <xf borderId="0" fillId="0" fontId="21" numFmtId="168" xfId="0" applyAlignment="1" applyFont="1" applyNumberFormat="1">
      <alignment horizontal="right"/>
    </xf>
    <xf borderId="40" fillId="0" fontId="21" numFmtId="168" xfId="0" applyAlignment="1" applyBorder="1" applyFont="1" applyNumberFormat="1">
      <alignment horizontal="right"/>
    </xf>
    <xf borderId="10" fillId="0" fontId="3" numFmtId="0" xfId="0" applyAlignment="1" applyBorder="1" applyFont="1">
      <alignment readingOrder="0" shrinkToFit="0" vertical="bottom" wrapText="1"/>
    </xf>
    <xf borderId="10" fillId="0" fontId="21" numFmtId="49" xfId="0" applyAlignment="1" applyBorder="1" applyFont="1" applyNumberFormat="1">
      <alignment horizontal="right" readingOrder="0"/>
    </xf>
    <xf borderId="44" fillId="0" fontId="21" numFmtId="49" xfId="0" applyAlignment="1" applyBorder="1" applyFont="1" applyNumberFormat="1">
      <alignment horizontal="right" readingOrder="0"/>
    </xf>
    <xf borderId="10" fillId="0" fontId="3" numFmtId="0" xfId="0" applyAlignment="1" applyBorder="1" applyFont="1">
      <alignment readingOrder="0" shrinkToFit="0" vertical="bottom" wrapText="1"/>
    </xf>
    <xf borderId="15" fillId="0" fontId="3" numFmtId="0" xfId="0" applyAlignment="1" applyBorder="1" applyFont="1">
      <alignment readingOrder="0" shrinkToFit="0" vertical="bottom" wrapText="1"/>
    </xf>
    <xf borderId="15" fillId="0" fontId="21" numFmtId="1" xfId="0" applyAlignment="1" applyBorder="1" applyFont="1" applyNumberFormat="1">
      <alignment horizontal="right" readingOrder="0" vertical="bottom"/>
    </xf>
    <xf borderId="41" fillId="0" fontId="21" numFmtId="9" xfId="0" applyAlignment="1" applyBorder="1" applyFont="1" applyNumberFormat="1">
      <alignment horizontal="right"/>
    </xf>
    <xf borderId="0" fillId="0" fontId="3" numFmtId="1" xfId="0" applyAlignment="1" applyFont="1" applyNumberFormat="1">
      <alignment horizontal="right" vertical="bottom"/>
    </xf>
    <xf borderId="8" fillId="0" fontId="3" numFmtId="1" xfId="0" applyAlignment="1" applyBorder="1" applyFont="1" applyNumberFormat="1">
      <alignment horizontal="right" readingOrder="0" vertical="bottom"/>
    </xf>
    <xf borderId="43" fillId="0" fontId="21" numFmtId="0" xfId="0" applyAlignment="1" applyBorder="1" applyFont="1">
      <alignment horizontal="right"/>
    </xf>
    <xf borderId="10" fillId="0" fontId="3" numFmtId="1" xfId="0" applyAlignment="1" applyBorder="1" applyFont="1" applyNumberFormat="1">
      <alignment horizontal="right" readingOrder="0" vertical="bottom"/>
    </xf>
    <xf borderId="44" fillId="0" fontId="21" numFmtId="0" xfId="0" applyAlignment="1" applyBorder="1" applyFont="1">
      <alignment horizontal="right"/>
    </xf>
    <xf borderId="12" fillId="0" fontId="3" numFmtId="1" xfId="0" applyAlignment="1" applyBorder="1" applyFont="1" applyNumberFormat="1">
      <alignment horizontal="right" readingOrder="0" vertical="bottom"/>
    </xf>
    <xf borderId="34" fillId="0" fontId="21" numFmtId="9" xfId="0" applyAlignment="1" applyBorder="1" applyFont="1" applyNumberFormat="1">
      <alignment horizontal="right" readingOrder="0"/>
    </xf>
    <xf borderId="12" fillId="0" fontId="3" numFmtId="0" xfId="0" applyAlignment="1" applyBorder="1" applyFont="1">
      <alignment horizontal="right" vertical="bottom"/>
    </xf>
    <xf borderId="15" fillId="0" fontId="21"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44" fillId="0" fontId="21" numFmtId="0" xfId="0" applyAlignment="1" applyBorder="1" applyFont="1">
      <alignment horizontal="right" readingOrder="0"/>
    </xf>
    <xf borderId="12" fillId="0" fontId="21" numFmtId="0" xfId="0" applyAlignment="1" applyBorder="1" applyFont="1">
      <alignment horizontal="right" readingOrder="0"/>
    </xf>
    <xf borderId="46" fillId="0" fontId="21" numFmtId="0" xfId="0" applyAlignment="1" applyBorder="1" applyFont="1">
      <alignment horizontal="right" readingOrder="0"/>
    </xf>
    <xf borderId="8" fillId="0" fontId="3" numFmtId="0" xfId="0" applyAlignment="1" applyBorder="1" applyFont="1">
      <alignment horizontal="right" vertical="bottom"/>
    </xf>
    <xf borderId="10" fillId="0" fontId="3" numFmtId="0" xfId="0" applyAlignment="1" applyBorder="1" applyFont="1">
      <alignment horizontal="right" vertical="bottom"/>
    </xf>
    <xf borderId="12" fillId="0" fontId="3" numFmtId="0" xfId="0" applyAlignment="1" applyBorder="1" applyFont="1">
      <alignment horizontal="right" vertical="bottom"/>
    </xf>
    <xf borderId="34" fillId="0" fontId="21" numFmtId="9" xfId="0" applyAlignment="1" applyBorder="1" applyFont="1" applyNumberFormat="1">
      <alignment horizontal="right"/>
    </xf>
    <xf borderId="12" fillId="0" fontId="21" numFmtId="0" xfId="0" applyAlignment="1" applyBorder="1" applyFont="1">
      <alignment horizontal="right"/>
    </xf>
    <xf borderId="46" fillId="0" fontId="21" numFmtId="0" xfId="0" applyAlignment="1" applyBorder="1" applyFont="1">
      <alignment horizontal="right"/>
    </xf>
    <xf borderId="15" fillId="0" fontId="3" numFmtId="0" xfId="0" applyAlignment="1" applyBorder="1" applyFont="1">
      <alignment shrinkToFit="0" vertical="bottom" wrapText="1"/>
    </xf>
    <xf borderId="15" fillId="0" fontId="21" numFmtId="0" xfId="0" applyAlignment="1" applyBorder="1" applyFont="1">
      <alignment horizontal="right"/>
    </xf>
    <xf borderId="41" fillId="0" fontId="21" numFmtId="0" xfId="0" applyAlignment="1" applyBorder="1" applyFont="1">
      <alignment horizontal="right"/>
    </xf>
    <xf borderId="4" fillId="2" fontId="20" numFmtId="0" xfId="0" applyAlignment="1" applyBorder="1" applyFont="1">
      <alignment horizontal="center" readingOrder="0"/>
    </xf>
    <xf borderId="7" fillId="2" fontId="20" numFmtId="0" xfId="0" applyAlignment="1" applyBorder="1" applyFont="1">
      <alignment horizontal="center" readingOrder="0"/>
    </xf>
    <xf borderId="19" fillId="2" fontId="20" numFmtId="0" xfId="0" applyAlignment="1" applyBorder="1" applyFont="1">
      <alignment horizontal="center" readingOrder="0"/>
    </xf>
    <xf borderId="8" fillId="0" fontId="21" numFmtId="0" xfId="0" applyAlignment="1" applyBorder="1" applyFont="1">
      <alignment readingOrder="0" shrinkToFit="0" wrapText="1"/>
    </xf>
    <xf borderId="8" fillId="0" fontId="3" numFmtId="1" xfId="0" applyAlignment="1" applyBorder="1" applyFont="1" applyNumberFormat="1">
      <alignment horizontal="right" vertical="bottom"/>
    </xf>
    <xf borderId="8" fillId="0" fontId="21" numFmtId="1" xfId="0" applyAlignment="1" applyBorder="1" applyFont="1" applyNumberFormat="1">
      <alignment horizontal="right"/>
    </xf>
    <xf borderId="10" fillId="0" fontId="21" numFmtId="0" xfId="0" applyAlignment="1" applyBorder="1" applyFont="1">
      <alignment readingOrder="0" shrinkToFit="0" wrapText="1"/>
    </xf>
    <xf borderId="10" fillId="0" fontId="3" numFmtId="1" xfId="0" applyAlignment="1" applyBorder="1" applyFont="1" applyNumberFormat="1">
      <alignment horizontal="right" vertical="bottom"/>
    </xf>
    <xf borderId="10" fillId="0" fontId="21" numFmtId="1" xfId="0" applyAlignment="1" applyBorder="1" applyFont="1" applyNumberFormat="1">
      <alignment horizontal="right"/>
    </xf>
    <xf borderId="12" fillId="0" fontId="21" numFmtId="0" xfId="0" applyAlignment="1" applyBorder="1" applyFont="1">
      <alignment readingOrder="0" shrinkToFit="0" wrapText="1"/>
    </xf>
    <xf borderId="12" fillId="0" fontId="3" numFmtId="1" xfId="0" applyAlignment="1" applyBorder="1" applyFont="1" applyNumberFormat="1">
      <alignment horizontal="right" vertical="bottom"/>
    </xf>
    <xf borderId="12" fillId="0" fontId="21" numFmtId="1" xfId="0" applyAlignment="1" applyBorder="1" applyFont="1" applyNumberFormat="1">
      <alignment horizontal="right"/>
    </xf>
    <xf borderId="0" fillId="0" fontId="21" numFmtId="0" xfId="0" applyAlignment="1" applyFont="1">
      <alignment readingOrder="0"/>
    </xf>
    <xf borderId="15" fillId="0" fontId="21" numFmtId="0" xfId="0" applyAlignment="1" applyBorder="1" applyFont="1">
      <alignment readingOrder="0"/>
    </xf>
    <xf borderId="15" fillId="0" fontId="3" numFmtId="1" xfId="0" applyAlignment="1" applyBorder="1" applyFont="1" applyNumberFormat="1">
      <alignment horizontal="right" vertical="bottom"/>
    </xf>
    <xf borderId="22" fillId="0" fontId="21" numFmtId="9" xfId="0" applyAlignment="1" applyBorder="1" applyFont="1" applyNumberFormat="1">
      <alignment horizontal="right"/>
    </xf>
    <xf borderId="15" fillId="0" fontId="21" numFmtId="1" xfId="0" applyAlignment="1" applyBorder="1" applyFont="1" applyNumberFormat="1">
      <alignment horizontal="right"/>
    </xf>
    <xf borderId="0" fillId="0" fontId="36" numFmtId="0" xfId="0" applyAlignment="1" applyFont="1">
      <alignment readingOrder="0"/>
    </xf>
    <xf borderId="0" fillId="0" fontId="37" numFmtId="0" xfId="0" applyAlignment="1" applyFont="1">
      <alignment readingOrder="0" shrinkToFit="0" wrapText="1"/>
    </xf>
    <xf borderId="15" fillId="0" fontId="21" numFmtId="0" xfId="0" applyAlignment="1" applyBorder="1" applyFont="1">
      <alignment readingOrder="0" shrinkToFit="0" wrapText="1"/>
    </xf>
    <xf borderId="0" fillId="0" fontId="38" numFmtId="0" xfId="0" applyAlignment="1" applyFont="1">
      <alignment readingOrder="0"/>
    </xf>
    <xf borderId="0" fillId="0" fontId="39" numFmtId="0" xfId="0" applyAlignment="1" applyFont="1">
      <alignment readingOrder="0"/>
    </xf>
    <xf borderId="0" fillId="0" fontId="21" numFmtId="0" xfId="0" applyAlignment="1" applyFont="1">
      <alignment readingOrder="0" shrinkToFit="0" vertical="bottom" wrapText="0"/>
    </xf>
    <xf borderId="0" fillId="0" fontId="21" numFmtId="164" xfId="0" applyAlignment="1" applyFont="1" applyNumberFormat="1">
      <alignment horizontal="right" readingOrder="0"/>
    </xf>
    <xf borderId="0" fillId="0" fontId="21" numFmtId="170" xfId="0" applyAlignment="1" applyFont="1" applyNumberFormat="1">
      <alignment horizontal="right" readingOrder="0"/>
    </xf>
    <xf borderId="33" fillId="0" fontId="21" numFmtId="170" xfId="0" applyAlignment="1" applyBorder="1" applyFont="1" applyNumberFormat="1">
      <alignment horizontal="right"/>
    </xf>
    <xf borderId="8" fillId="0" fontId="21" numFmtId="1" xfId="0" applyAlignment="1" applyBorder="1" applyFont="1" applyNumberFormat="1">
      <alignment horizontal="right" readingOrder="0"/>
    </xf>
    <xf borderId="34" fillId="0" fontId="21" numFmtId="170" xfId="0" applyAlignment="1" applyBorder="1" applyFont="1" applyNumberFormat="1">
      <alignment horizontal="right" readingOrder="0"/>
    </xf>
    <xf borderId="12" fillId="0" fontId="21" numFmtId="1" xfId="0" applyAlignment="1" applyBorder="1" applyFont="1" applyNumberFormat="1">
      <alignment horizontal="right" readingOrder="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21" fillId="0" fontId="3" numFmtId="0" xfId="0" applyAlignment="1" applyBorder="1" applyFont="1">
      <alignment horizontal="right" readingOrder="0" shrinkToFit="0" vertical="bottom" wrapText="0"/>
    </xf>
    <xf borderId="0" fillId="0" fontId="3" numFmtId="10" xfId="0" applyAlignment="1" applyFont="1" applyNumberFormat="1">
      <alignment horizontal="right" readingOrder="0" vertical="bottom"/>
    </xf>
    <xf borderId="14" fillId="0" fontId="3" numFmtId="10" xfId="0" applyAlignment="1" applyBorder="1" applyFont="1" applyNumberFormat="1">
      <alignment horizontal="right" readingOrder="0" vertical="bottom"/>
    </xf>
    <xf borderId="0" fillId="0" fontId="3" numFmtId="0" xfId="0" applyAlignment="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33" fillId="0" fontId="3" numFmtId="1" xfId="0" applyAlignment="1" applyBorder="1" applyFont="1" applyNumberFormat="1">
      <alignment horizontal="right" readingOrder="0" shrinkToFit="0" vertical="bottom" wrapText="0"/>
    </xf>
    <xf borderId="8" fillId="0" fontId="3" numFmtId="10" xfId="0" applyAlignment="1" applyBorder="1" applyFont="1" applyNumberFormat="1">
      <alignment horizontal="right" readingOrder="0" vertical="bottom"/>
    </xf>
    <xf borderId="9" fillId="0" fontId="3" numFmtId="10" xfId="0" applyAlignment="1" applyBorder="1" applyFont="1" applyNumberFormat="1">
      <alignment horizontal="right" readingOrder="0" vertical="bottom"/>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shrinkToFit="0" vertical="bottom" wrapText="0"/>
    </xf>
    <xf borderId="15"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0" fillId="0" fontId="3" numFmtId="9" xfId="0" applyAlignment="1" applyFont="1" applyNumberFormat="1">
      <alignment horizontal="right" vertical="bottom"/>
    </xf>
    <xf borderId="9" fillId="0" fontId="3" numFmtId="1" xfId="0" applyAlignment="1" applyBorder="1" applyFont="1" applyNumberFormat="1">
      <alignment horizontal="right" vertical="bottom"/>
    </xf>
    <xf borderId="22" fillId="0" fontId="3" numFmtId="0" xfId="0" applyAlignment="1" applyBorder="1" applyFont="1">
      <alignment horizontal="right" readingOrder="0" shrinkToFit="0" vertical="bottom" wrapText="0"/>
    </xf>
    <xf borderId="0" fillId="0" fontId="3" numFmtId="3" xfId="0" applyAlignment="1" applyFont="1" applyNumberFormat="1">
      <alignment horizontal="right" vertical="bottom"/>
    </xf>
    <xf borderId="14" fillId="0" fontId="3" numFmtId="3" xfId="0" applyAlignment="1" applyBorder="1" applyFont="1" applyNumberFormat="1">
      <alignment horizontal="right" vertical="bottom"/>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35" fillId="0" fontId="3" numFmtId="1" xfId="0" applyAlignment="1" applyBorder="1" applyFont="1" applyNumberFormat="1">
      <alignment horizontal="right" readingOrder="0" shrinkToFit="0" vertical="bottom" wrapText="0"/>
    </xf>
    <xf borderId="10" fillId="0" fontId="3" numFmtId="10" xfId="0" applyAlignment="1" applyBorder="1" applyFont="1" applyNumberFormat="1">
      <alignment horizontal="right" readingOrder="0" vertical="bottom"/>
    </xf>
    <xf borderId="11" fillId="0" fontId="3" numFmtId="10" xfId="0" applyAlignment="1" applyBorder="1" applyFont="1" applyNumberFormat="1">
      <alignment horizontal="right" readingOrder="0" vertical="bottom"/>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34" fillId="0" fontId="3" numFmtId="1" xfId="0" applyAlignment="1" applyBorder="1" applyFont="1" applyNumberFormat="1">
      <alignment horizontal="right" readingOrder="0" shrinkToFit="0" vertical="bottom" wrapText="0"/>
    </xf>
    <xf borderId="12" fillId="0" fontId="3" numFmtId="10" xfId="0" applyAlignment="1" applyBorder="1" applyFont="1" applyNumberFormat="1">
      <alignment horizontal="right" readingOrder="0" vertical="bottom"/>
    </xf>
    <xf borderId="13" fillId="0" fontId="3" numFmtId="10"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9" fillId="0" fontId="3" numFmtId="3" xfId="0" applyAlignment="1" applyBorder="1" applyFont="1" applyNumberFormat="1">
      <alignment horizontal="right" readingOrder="0" vertical="bottom"/>
    </xf>
    <xf borderId="35" fillId="0" fontId="3" numFmtId="0" xfId="0" applyAlignment="1" applyBorder="1" applyFont="1">
      <alignment horizontal="right" readingOrder="0" shrinkToFit="0" vertical="bottom" wrapText="0"/>
    </xf>
    <xf borderId="10" fillId="0" fontId="3" numFmtId="9" xfId="0" applyAlignment="1" applyBorder="1" applyFont="1" applyNumberFormat="1">
      <alignment horizontal="right" readingOrder="0" vertical="bottom"/>
    </xf>
    <xf borderId="35" fillId="0" fontId="3" numFmtId="9" xfId="0" applyAlignment="1" applyBorder="1" applyFont="1" applyNumberFormat="1">
      <alignment horizontal="right" readingOrder="0" shrinkToFit="0" vertical="bottom" wrapText="0"/>
    </xf>
    <xf borderId="17" fillId="0" fontId="3" numFmtId="0" xfId="0" applyAlignment="1" applyBorder="1" applyFont="1">
      <alignment horizontal="right" readingOrder="0" shrinkToFit="0" vertical="bottom" wrapText="0"/>
    </xf>
    <xf borderId="18" fillId="0" fontId="3" numFmtId="0" xfId="0" applyAlignment="1" applyBorder="1" applyFont="1">
      <alignment horizontal="right" readingOrder="0" shrinkToFit="0" vertical="bottom" wrapText="0"/>
    </xf>
    <xf borderId="36" fillId="0" fontId="3" numFmtId="0" xfId="0" applyAlignment="1" applyBorder="1" applyFont="1">
      <alignment horizontal="right" readingOrder="0" shrinkToFit="0" vertical="bottom" wrapText="0"/>
    </xf>
    <xf borderId="17" fillId="0" fontId="3" numFmtId="9"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8" fillId="0" fontId="3" numFmtId="0" xfId="0" applyAlignment="1" applyBorder="1" applyFont="1">
      <alignment readingOrder="0" shrinkToFit="0" vertical="bottom" wrapText="0"/>
    </xf>
    <xf borderId="33" fillId="0" fontId="3" numFmtId="9" xfId="0" applyAlignment="1" applyBorder="1" applyFont="1" applyNumberFormat="1">
      <alignment horizontal="right" readingOrder="0" shrinkToFit="0" vertical="bottom" wrapText="0"/>
    </xf>
    <xf borderId="33" fillId="0" fontId="3" numFmtId="0" xfId="0" applyAlignment="1" applyBorder="1" applyFont="1">
      <alignment horizontal="right" readingOrder="0" shrinkToFit="0" vertical="bottom" wrapText="0"/>
    </xf>
    <xf borderId="16" fillId="0" fontId="3" numFmtId="3" xfId="0" applyAlignment="1" applyBorder="1" applyFont="1" applyNumberFormat="1">
      <alignment horizontal="right" readingOrder="0" vertical="bottom"/>
    </xf>
    <xf borderId="8" fillId="0" fontId="3" numFmtId="0" xfId="0" applyAlignment="1" applyBorder="1" applyFont="1">
      <alignment readingOrder="0" vertical="bottom"/>
    </xf>
    <xf borderId="9" fillId="0" fontId="6" numFmtId="0" xfId="0" applyAlignment="1" applyBorder="1" applyFont="1">
      <alignment vertical="bottom"/>
    </xf>
    <xf borderId="33" fillId="0" fontId="6" numFmtId="9" xfId="0" applyAlignment="1" applyBorder="1" applyFont="1" applyNumberFormat="1">
      <alignment vertical="bottom"/>
    </xf>
    <xf borderId="8" fillId="0" fontId="6" numFmtId="3" xfId="0" applyAlignment="1" applyBorder="1" applyFont="1" applyNumberFormat="1">
      <alignment vertical="bottom"/>
    </xf>
    <xf borderId="9" fillId="0" fontId="6" numFmtId="3" xfId="0" applyAlignment="1" applyBorder="1" applyFont="1" applyNumberFormat="1">
      <alignment vertical="bottom"/>
    </xf>
    <xf borderId="21" fillId="0" fontId="21" numFmtId="9" xfId="0" applyAlignment="1" applyBorder="1" applyFont="1" applyNumberFormat="1">
      <alignment horizontal="right" readingOrder="0"/>
    </xf>
    <xf borderId="10" fillId="0" fontId="3" numFmtId="10"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0" xfId="0" applyAlignment="1" applyBorder="1" applyFont="1" applyNumberFormat="1">
      <alignment horizontal="right" vertical="bottom"/>
    </xf>
    <xf borderId="13" fillId="0" fontId="3" numFmtId="1" xfId="0" applyAlignment="1" applyBorder="1" applyFont="1" applyNumberFormat="1">
      <alignment horizontal="right" vertical="bottom"/>
    </xf>
    <xf borderId="2" fillId="3" fontId="21" numFmtId="1" xfId="0" applyAlignment="1" applyBorder="1" applyFont="1" applyNumberFormat="1">
      <alignment horizontal="right" vertical="bottom"/>
    </xf>
    <xf borderId="2" fillId="0" fontId="21" numFmtId="0" xfId="0" applyAlignment="1" applyBorder="1" applyFont="1">
      <alignment horizontal="right"/>
    </xf>
    <xf borderId="12" fillId="0" fontId="21" numFmtId="10" xfId="0" applyAlignment="1" applyBorder="1" applyFont="1" applyNumberFormat="1">
      <alignment horizontal="right"/>
    </xf>
    <xf borderId="8" fillId="0" fontId="21" numFmtId="0" xfId="0" applyAlignment="1" applyBorder="1" applyFont="1">
      <alignment shrinkToFit="0" vertical="bottom" wrapText="1"/>
    </xf>
    <xf borderId="10" fillId="0" fontId="21" numFmtId="0" xfId="0" applyAlignment="1" applyBorder="1" applyFont="1">
      <alignment shrinkToFit="0" vertical="bottom" wrapText="1"/>
    </xf>
    <xf borderId="10" fillId="0" fontId="21" numFmtId="9" xfId="0" applyAlignment="1" applyBorder="1" applyFont="1" applyNumberFormat="1">
      <alignment shrinkToFit="0" vertical="bottom" wrapText="1"/>
    </xf>
    <xf borderId="10" fillId="0" fontId="40" numFmtId="9" xfId="0" applyAlignment="1" applyBorder="1" applyFont="1" applyNumberFormat="1">
      <alignment horizontal="right" vertical="bottom"/>
    </xf>
    <xf borderId="10" fillId="0" fontId="40" numFmtId="9" xfId="0" applyAlignment="1" applyBorder="1" applyFont="1" applyNumberFormat="1">
      <alignment horizontal="right" readingOrder="0" vertical="bottom"/>
    </xf>
    <xf borderId="35" fillId="0" fontId="21" numFmtId="9" xfId="0" applyAlignment="1" applyBorder="1" applyFont="1" applyNumberFormat="1">
      <alignment horizontal="right"/>
    </xf>
    <xf borderId="10" fillId="0" fontId="21" numFmtId="9" xfId="0" applyAlignment="1" applyBorder="1" applyFont="1" applyNumberFormat="1">
      <alignment horizontal="right"/>
    </xf>
    <xf borderId="12" fillId="0" fontId="21" numFmtId="0" xfId="0" applyAlignment="1" applyBorder="1" applyFont="1">
      <alignment shrinkToFit="0" vertical="bottom" wrapText="1"/>
    </xf>
    <xf borderId="21" fillId="0" fontId="21" numFmtId="170" xfId="0" applyAlignment="1" applyBorder="1" applyFont="1" applyNumberFormat="1">
      <alignment horizontal="right" readingOrder="0"/>
    </xf>
    <xf borderId="0" fillId="0" fontId="21" numFmtId="0" xfId="0" applyAlignment="1" applyFont="1">
      <alignment horizontal="right" readingOrder="0"/>
    </xf>
    <xf borderId="13" fillId="0" fontId="3" numFmtId="169" xfId="0" applyAlignment="1" applyBorder="1" applyFont="1" applyNumberFormat="1">
      <alignment horizontal="center"/>
    </xf>
    <xf borderId="0" fillId="0" fontId="3" numFmtId="0" xfId="0" applyAlignment="1" applyFont="1">
      <alignment readingOrder="0" shrinkToFit="0" vertical="bottom" wrapText="0"/>
    </xf>
    <xf borderId="9" fillId="0" fontId="21" numFmtId="1" xfId="0" applyAlignment="1" applyBorder="1" applyFont="1" applyNumberFormat="1">
      <alignment horizontal="right"/>
    </xf>
    <xf borderId="11" fillId="0" fontId="21" numFmtId="1" xfId="0" applyAlignment="1" applyBorder="1" applyFont="1" applyNumberFormat="1">
      <alignment horizontal="right"/>
    </xf>
    <xf borderId="16" fillId="0" fontId="21" numFmtId="1" xfId="0" applyAlignment="1" applyBorder="1" applyFont="1" applyNumberFormat="1">
      <alignment horizontal="right"/>
    </xf>
    <xf borderId="15" fillId="0" fontId="21" numFmtId="0" xfId="0" applyAlignment="1" applyBorder="1" applyFont="1">
      <alignment shrinkToFit="0" wrapText="1"/>
    </xf>
    <xf borderId="15" fillId="0" fontId="3" numFmtId="0" xfId="0" applyAlignment="1" applyBorder="1" applyFont="1">
      <alignment horizontal="right"/>
    </xf>
    <xf borderId="16" fillId="0" fontId="3" numFmtId="0" xfId="0" applyAlignment="1" applyBorder="1" applyFont="1">
      <alignment horizontal="right"/>
    </xf>
    <xf borderId="5" fillId="0" fontId="21" numFmtId="0" xfId="0" applyAlignment="1" applyBorder="1" applyFont="1">
      <alignment horizontal="right"/>
    </xf>
    <xf borderId="35" fillId="0" fontId="21" numFmtId="1" xfId="0" applyAlignment="1" applyBorder="1" applyFont="1" applyNumberFormat="1">
      <alignment horizontal="right"/>
    </xf>
    <xf borderId="10" fillId="0" fontId="21" numFmtId="1" xfId="0" applyAlignment="1" applyBorder="1" applyFont="1" applyNumberFormat="1">
      <alignment horizontal="right" readingOrder="0"/>
    </xf>
    <xf borderId="47" fillId="0" fontId="3" numFmtId="0" xfId="0" applyAlignment="1" applyBorder="1" applyFont="1">
      <alignment horizontal="right" readingOrder="0" vertical="bottom"/>
    </xf>
    <xf borderId="47" fillId="0" fontId="3" numFmtId="1" xfId="0" applyAlignment="1" applyBorder="1" applyFont="1" applyNumberFormat="1">
      <alignment horizontal="right" readingOrder="0" vertical="bottom"/>
    </xf>
    <xf borderId="27" fillId="0" fontId="21" numFmtId="0" xfId="0" applyAlignment="1" applyBorder="1" applyFont="1">
      <alignment readingOrder="0" shrinkToFit="0" vertical="bottom" wrapText="1"/>
    </xf>
    <xf borderId="27" fillId="0" fontId="3" numFmtId="0" xfId="0" applyAlignment="1" applyBorder="1" applyFont="1">
      <alignment horizontal="right" readingOrder="0" vertical="bottom"/>
    </xf>
    <xf borderId="27" fillId="0" fontId="3" numFmtId="1" xfId="0" applyAlignment="1" applyBorder="1" applyFont="1" applyNumberFormat="1">
      <alignment horizontal="right" readingOrder="0" vertical="bottom"/>
    </xf>
    <xf borderId="29" fillId="0" fontId="21" numFmtId="0" xfId="0" applyAlignment="1" applyBorder="1" applyFont="1">
      <alignment horizontal="right" readingOrder="0"/>
    </xf>
    <xf borderId="27" fillId="0" fontId="21" numFmtId="0" xfId="0" applyAlignment="1" applyBorder="1" applyFont="1">
      <alignment horizontal="right" readingOrder="0"/>
    </xf>
    <xf borderId="27" fillId="0" fontId="21" numFmtId="49" xfId="0" applyAlignment="1" applyBorder="1" applyFont="1" applyNumberFormat="1">
      <alignment horizontal="right" readingOrder="0"/>
    </xf>
    <xf borderId="28" fillId="0" fontId="3" numFmtId="0" xfId="0" applyAlignment="1" applyBorder="1" applyFont="1">
      <alignment horizontal="center"/>
    </xf>
    <xf borderId="0" fillId="0" fontId="21" numFmtId="0" xfId="0" applyAlignment="1" applyFont="1">
      <alignment horizontal="left" readingOrder="0"/>
    </xf>
    <xf borderId="28" fillId="0" fontId="21" numFmtId="1" xfId="0" applyAlignment="1" applyBorder="1" applyFont="1" applyNumberFormat="1">
      <alignment horizontal="right" readingOrder="0"/>
    </xf>
    <xf borderId="48" fillId="0" fontId="3" numFmtId="0" xfId="0" applyAlignment="1" applyBorder="1" applyFont="1">
      <alignment horizontal="right" readingOrder="0" vertical="bottom"/>
    </xf>
    <xf borderId="27" fillId="0" fontId="21" numFmtId="49" xfId="0" applyAlignment="1" applyBorder="1" applyFont="1" applyNumberFormat="1">
      <alignment horizontal="right"/>
    </xf>
    <xf borderId="27" fillId="0" fontId="21" numFmtId="168" xfId="0" applyAlignment="1" applyBorder="1" applyFont="1" applyNumberFormat="1">
      <alignment horizontal="right"/>
    </xf>
    <xf borderId="28" fillId="0" fontId="21" numFmtId="49" xfId="0" applyAlignment="1" applyBorder="1" applyFont="1" applyNumberFormat="1">
      <alignment horizontal="right"/>
    </xf>
    <xf borderId="34" fillId="0" fontId="21" numFmtId="1" xfId="0" applyAlignment="1" applyBorder="1" applyFont="1" applyNumberFormat="1">
      <alignment horizontal="right"/>
    </xf>
    <xf borderId="33" fillId="0" fontId="21" numFmtId="10" xfId="0" applyAlignment="1" applyBorder="1" applyFont="1" applyNumberFormat="1">
      <alignment horizontal="right"/>
    </xf>
    <xf borderId="13" fillId="0" fontId="21" numFmtId="1" xfId="0" applyAlignment="1" applyBorder="1" applyFont="1" applyNumberFormat="1">
      <alignment horizontal="right" readingOrder="0" vertical="bottom"/>
    </xf>
    <xf borderId="34" fillId="0" fontId="21" numFmtId="165" xfId="0" applyAlignment="1" applyBorder="1" applyFont="1" applyNumberFormat="1">
      <alignment horizontal="right" readingOrder="0"/>
    </xf>
    <xf borderId="35" fillId="0" fontId="21" numFmtId="170" xfId="0" applyAlignment="1" applyBorder="1" applyFont="1" applyNumberFormat="1">
      <alignment horizontal="right" readingOrder="0"/>
    </xf>
    <xf borderId="11" fillId="0" fontId="21" numFmtId="1" xfId="0" applyAlignment="1" applyBorder="1" applyFont="1" applyNumberFormat="1">
      <alignment horizontal="right" readingOrder="0" vertical="bottom"/>
    </xf>
    <xf borderId="35" fillId="0" fontId="21" numFmtId="165" xfId="0" applyAlignment="1" applyBorder="1" applyFont="1" applyNumberFormat="1">
      <alignment horizontal="right" readingOrder="0"/>
    </xf>
    <xf borderId="9" fillId="0" fontId="21" numFmtId="1" xfId="0" applyAlignment="1" applyBorder="1" applyFont="1" applyNumberFormat="1">
      <alignment horizontal="right" readingOrder="0" vertical="bottom"/>
    </xf>
    <xf borderId="0" fillId="0" fontId="21" numFmtId="0" xfId="0" applyAlignment="1" applyFont="1">
      <alignment shrinkToFit="0" wrapText="1"/>
    </xf>
    <xf borderId="0" fillId="0" fontId="41" numFmtId="0" xfId="0" applyAlignment="1" applyFont="1">
      <alignment vertical="bottom"/>
    </xf>
    <xf borderId="14" fillId="0" fontId="41" numFmtId="0" xfId="0" applyAlignment="1" applyBorder="1" applyFont="1">
      <alignment vertical="bottom"/>
    </xf>
    <xf borderId="0" fillId="0" fontId="42" numFmtId="0" xfId="0" applyAlignment="1" applyFont="1">
      <alignment readingOrder="0" shrinkToFit="0" vertical="bottom" wrapText="1"/>
    </xf>
    <xf borderId="24" fillId="0" fontId="3" numFmtId="0" xfId="0" applyAlignment="1" applyBorder="1" applyFont="1">
      <alignment horizontal="right" readingOrder="0" vertical="bottom"/>
    </xf>
    <xf borderId="25" fillId="0" fontId="3" numFmtId="0" xfId="0" applyAlignment="1" applyBorder="1" applyFont="1">
      <alignment horizontal="right" readingOrder="0" vertical="bottom"/>
    </xf>
    <xf borderId="26" fillId="0" fontId="21" numFmtId="9" xfId="0" applyAlignment="1" applyBorder="1" applyFont="1" applyNumberFormat="1">
      <alignment horizontal="right"/>
    </xf>
    <xf borderId="24" fillId="0" fontId="21" numFmtId="9" xfId="0" applyAlignment="1" applyBorder="1" applyFont="1" applyNumberFormat="1">
      <alignment horizontal="right"/>
    </xf>
    <xf borderId="25" fillId="0" fontId="3" numFmtId="0" xfId="0" applyAlignment="1" applyBorder="1" applyFont="1">
      <alignment horizontal="center"/>
    </xf>
    <xf borderId="28" fillId="0" fontId="3" numFmtId="0" xfId="0" applyAlignment="1" applyBorder="1" applyFont="1">
      <alignment horizontal="right" readingOrder="0" vertical="bottom"/>
    </xf>
    <xf borderId="29" fillId="0" fontId="21" numFmtId="9" xfId="0" applyAlignment="1" applyBorder="1" applyFont="1" applyNumberFormat="1">
      <alignment horizontal="right"/>
    </xf>
    <xf borderId="27" fillId="0" fontId="21" numFmtId="9" xfId="0" applyAlignment="1" applyBorder="1" applyFont="1" applyNumberFormat="1">
      <alignment horizontal="right"/>
    </xf>
    <xf borderId="29" fillId="0" fontId="21" numFmtId="170" xfId="0" applyAlignment="1" applyBorder="1" applyFont="1" applyNumberFormat="1">
      <alignment horizontal="right"/>
    </xf>
    <xf borderId="27" fillId="0" fontId="21" numFmtId="0" xfId="0" applyAlignment="1" applyBorder="1" applyFont="1">
      <alignment horizontal="right"/>
    </xf>
    <xf borderId="27" fillId="0" fontId="3" numFmtId="0" xfId="0" applyAlignment="1" applyBorder="1" applyFont="1">
      <alignment readingOrder="0" shrinkToFit="0" vertical="bottom" wrapText="1"/>
    </xf>
    <xf borderId="0" fillId="0" fontId="21" numFmtId="0" xfId="0" applyAlignment="1" applyFont="1">
      <alignment readingOrder="0" shrinkToFit="0" vertical="bottom" wrapText="1"/>
    </xf>
    <xf borderId="37" fillId="0" fontId="21" numFmtId="1" xfId="0" applyAlignment="1" applyBorder="1" applyFont="1" applyNumberFormat="1">
      <alignment horizontal="right"/>
    </xf>
    <xf borderId="21" fillId="0" fontId="21" numFmtId="10" xfId="0" applyAlignment="1" applyBorder="1" applyFont="1" applyNumberFormat="1">
      <alignment horizontal="right" readingOrder="0"/>
    </xf>
    <xf borderId="16" fillId="0" fontId="3" numFmtId="1" xfId="0" applyAlignment="1" applyBorder="1" applyFont="1" applyNumberFormat="1">
      <alignment horizontal="right" vertical="bottom"/>
    </xf>
    <xf borderId="15" fillId="0" fontId="43" numFmtId="0" xfId="0" applyAlignment="1" applyBorder="1" applyFont="1">
      <alignment readingOrder="0" shrinkToFit="0" vertical="bottom" wrapText="0"/>
    </xf>
    <xf borderId="0" fillId="2" fontId="20" numFmtId="0" xfId="0" applyAlignment="1" applyFont="1">
      <alignment shrinkToFit="0" vertical="bottom" wrapText="1"/>
    </xf>
    <xf borderId="21" fillId="2" fontId="20" numFmtId="0" xfId="0" applyAlignment="1" applyBorder="1" applyFont="1">
      <alignment horizontal="center" readingOrder="0"/>
    </xf>
    <xf borderId="21" fillId="2" fontId="1" numFmtId="0" xfId="0" applyAlignment="1" applyBorder="1" applyFont="1">
      <alignment vertical="bottom"/>
    </xf>
    <xf borderId="22" fillId="2" fontId="1" numFmtId="0" xfId="0" applyAlignment="1" applyBorder="1" applyFont="1">
      <alignment vertical="bottom"/>
    </xf>
    <xf borderId="6" fillId="0" fontId="2" numFmtId="0" xfId="0" applyBorder="1" applyFont="1"/>
    <xf borderId="6" fillId="3" fontId="3" numFmtId="0" xfId="0" applyAlignment="1" applyBorder="1" applyFont="1">
      <alignment vertical="bottom"/>
    </xf>
    <xf borderId="0" fillId="0" fontId="21" numFmtId="0" xfId="0" applyAlignment="1" applyFont="1">
      <alignment shrinkToFit="0" vertical="bottom" wrapText="1"/>
    </xf>
    <xf borderId="22" fillId="0" fontId="21" numFmtId="165" xfId="0" applyAlignment="1" applyBorder="1" applyFont="1" applyNumberFormat="1">
      <alignment horizontal="right"/>
    </xf>
    <xf borderId="0" fillId="0" fontId="21" numFmtId="0" xfId="0" applyAlignment="1" applyFont="1">
      <alignment readingOrder="0" shrinkToFit="0" wrapText="1"/>
    </xf>
    <xf borderId="0" fillId="0" fontId="3" numFmtId="0" xfId="0" applyAlignment="1" applyFont="1">
      <alignment horizontal="right" readingOrder="0"/>
    </xf>
    <xf borderId="8" fillId="0" fontId="3" numFmtId="0" xfId="0" applyAlignment="1" applyBorder="1" applyFont="1">
      <alignment horizontal="right" readingOrder="0"/>
    </xf>
    <xf borderId="9" fillId="0" fontId="3" numFmtId="0" xfId="0" applyAlignment="1" applyBorder="1" applyFont="1">
      <alignment horizontal="right" readingOrder="0"/>
    </xf>
    <xf borderId="33" fillId="0" fontId="21" numFmtId="166" xfId="0" applyAlignment="1" applyBorder="1" applyFont="1" applyNumberFormat="1">
      <alignment horizontal="right"/>
    </xf>
    <xf borderId="11" fillId="0" fontId="3" numFmtId="0" xfId="0" applyAlignment="1" applyBorder="1" applyFont="1">
      <alignment horizontal="right" readingOrder="0"/>
    </xf>
    <xf borderId="10" fillId="0" fontId="21" numFmtId="165" xfId="0" applyAlignment="1" applyBorder="1" applyFont="1" applyNumberFormat="1">
      <alignment horizontal="right"/>
    </xf>
    <xf borderId="13" fillId="0" fontId="3" numFmtId="0" xfId="0" applyAlignment="1" applyBorder="1" applyFont="1">
      <alignment horizontal="right" readingOrder="0"/>
    </xf>
    <xf borderId="21" fillId="0" fontId="21" numFmtId="3" xfId="0" applyAlignment="1" applyBorder="1" applyFont="1" applyNumberFormat="1">
      <alignment horizontal="right" readingOrder="0"/>
    </xf>
    <xf borderId="22" fillId="0" fontId="21" numFmtId="164" xfId="0" applyAlignment="1" applyBorder="1" applyFont="1" applyNumberFormat="1">
      <alignment horizontal="right" readingOrder="0"/>
    </xf>
    <xf borderId="8" fillId="0" fontId="21" numFmtId="165" xfId="0" applyAlignment="1" applyBorder="1" applyFont="1" applyNumberFormat="1">
      <alignment horizontal="right" readingOrder="0"/>
    </xf>
    <xf borderId="35" fillId="0" fontId="21" numFmtId="164" xfId="0" applyAlignment="1" applyBorder="1" applyFont="1" applyNumberFormat="1">
      <alignment horizontal="right" readingOrder="0"/>
    </xf>
    <xf borderId="10" fillId="0" fontId="21" numFmtId="165" xfId="0" applyAlignment="1" applyBorder="1" applyFont="1" applyNumberFormat="1">
      <alignment horizontal="right" readingOrder="0"/>
    </xf>
    <xf borderId="34" fillId="0" fontId="21" numFmtId="164" xfId="0" applyAlignment="1" applyBorder="1" applyFont="1" applyNumberFormat="1">
      <alignment horizontal="right" readingOrder="0"/>
    </xf>
    <xf borderId="12" fillId="0" fontId="21" numFmtId="165" xfId="0" applyAlignment="1" applyBorder="1" applyFont="1" applyNumberFormat="1">
      <alignment horizontal="right" readingOrder="0"/>
    </xf>
    <xf borderId="16" fillId="0" fontId="21" numFmtId="1" xfId="0" applyAlignment="1" applyBorder="1" applyFont="1" applyNumberFormat="1">
      <alignment horizontal="right" readingOrder="0" vertical="bottom"/>
    </xf>
    <xf borderId="6" fillId="3" fontId="3" numFmtId="1" xfId="0" applyAlignment="1" applyBorder="1" applyFont="1" applyNumberFormat="1">
      <alignment horizontal="right" vertical="bottom"/>
    </xf>
    <xf borderId="21" fillId="0" fontId="3" numFmtId="1" xfId="0" applyAlignment="1" applyBorder="1" applyFont="1" applyNumberFormat="1">
      <alignment horizontal="right" vertical="bottom"/>
    </xf>
    <xf borderId="8" fillId="0" fontId="3" numFmtId="0" xfId="0" applyAlignment="1" applyBorder="1" applyFont="1">
      <alignment horizontal="right" readingOrder="0"/>
    </xf>
    <xf borderId="9" fillId="0" fontId="3" numFmtId="0" xfId="0" applyAlignment="1" applyBorder="1" applyFont="1">
      <alignment horizontal="right" readingOrder="0"/>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21" fillId="0" fontId="21" numFmtId="0" xfId="0" applyAlignment="1" applyBorder="1" applyFont="1">
      <alignment horizontal="right" vertical="bottom"/>
    </xf>
    <xf borderId="0" fillId="0" fontId="21" numFmtId="0" xfId="0" applyAlignment="1" applyFont="1">
      <alignment horizontal="right" vertical="bottom"/>
    </xf>
    <xf borderId="33" fillId="0" fontId="21" numFmtId="0" xfId="0" applyAlignment="1" applyBorder="1" applyFont="1">
      <alignment horizontal="right" readingOrder="0" vertical="bottom"/>
    </xf>
    <xf borderId="8" fillId="0" fontId="21" numFmtId="173" xfId="0" applyAlignment="1" applyBorder="1" applyFont="1" applyNumberFormat="1">
      <alignment horizontal="right" vertical="bottom"/>
    </xf>
    <xf borderId="35" fillId="0" fontId="21" numFmtId="9" xfId="0" applyAlignment="1" applyBorder="1" applyFont="1" applyNumberFormat="1">
      <alignment horizontal="right" readingOrder="0" vertical="bottom"/>
    </xf>
    <xf borderId="10" fillId="0" fontId="21" numFmtId="9" xfId="0" applyAlignment="1" applyBorder="1" applyFont="1" applyNumberFormat="1">
      <alignment horizontal="right" vertical="bottom"/>
    </xf>
    <xf borderId="35" fillId="0" fontId="21" numFmtId="0" xfId="0" applyAlignment="1" applyBorder="1" applyFont="1">
      <alignment horizontal="right" readingOrder="0" vertical="bottom"/>
    </xf>
    <xf borderId="34" fillId="0" fontId="21" numFmtId="0" xfId="0" applyAlignment="1" applyBorder="1" applyFont="1">
      <alignment horizontal="right" readingOrder="0" vertical="bottom"/>
    </xf>
    <xf borderId="12" fillId="0" fontId="21" numFmtId="174" xfId="0" applyAlignment="1" applyBorder="1" applyFont="1" applyNumberFormat="1">
      <alignment horizontal="right" vertical="bottom"/>
    </xf>
    <xf borderId="13" fillId="0" fontId="3" numFmtId="0" xfId="0" applyAlignment="1" applyBorder="1" applyFont="1">
      <alignment horizontal="right" vertical="bottom"/>
    </xf>
    <xf borderId="8" fillId="0" fontId="21" numFmtId="0" xfId="0" applyAlignment="1" applyBorder="1" applyFont="1">
      <alignment shrinkToFit="0" vertical="bottom" wrapText="1"/>
    </xf>
    <xf borderId="33" fillId="0" fontId="21" numFmtId="0" xfId="0" applyAlignment="1" applyBorder="1" applyFont="1">
      <alignment horizontal="right" vertical="bottom"/>
    </xf>
    <xf borderId="8" fillId="0" fontId="21" numFmtId="3" xfId="0" applyAlignment="1" applyBorder="1" applyFont="1" applyNumberFormat="1">
      <alignment horizontal="right" vertical="bottom"/>
    </xf>
    <xf borderId="10" fillId="0" fontId="21" numFmtId="0" xfId="0" applyAlignment="1" applyBorder="1" applyFont="1">
      <alignment shrinkToFit="0" vertical="bottom" wrapText="1"/>
    </xf>
    <xf borderId="35" fillId="0" fontId="21" numFmtId="9" xfId="0" applyAlignment="1" applyBorder="1" applyFont="1" applyNumberFormat="1">
      <alignment horizontal="right" vertical="bottom"/>
    </xf>
    <xf borderId="10" fillId="0" fontId="21" numFmtId="0" xfId="0" applyAlignment="1" applyBorder="1" applyFont="1">
      <alignment horizontal="right" vertical="bottom"/>
    </xf>
    <xf borderId="35" fillId="0" fontId="21" numFmtId="0" xfId="0" applyAlignment="1" applyBorder="1" applyFont="1">
      <alignment horizontal="right" vertical="bottom"/>
    </xf>
    <xf borderId="12" fillId="0" fontId="21" numFmtId="1" xfId="0" applyAlignment="1" applyBorder="1" applyFont="1" applyNumberFormat="1">
      <alignment horizontal="right" vertical="bottom"/>
    </xf>
    <xf borderId="33" fillId="0" fontId="21" numFmtId="173" xfId="0" applyAlignment="1" applyBorder="1" applyFont="1" applyNumberFormat="1">
      <alignment horizontal="right" vertical="bottom"/>
    </xf>
    <xf borderId="8" fillId="0" fontId="21" numFmtId="0" xfId="0" applyAlignment="1" applyBorder="1" applyFont="1">
      <alignment horizontal="right" vertical="bottom"/>
    </xf>
    <xf borderId="22" fillId="0" fontId="21" numFmtId="173" xfId="0" applyAlignment="1" applyBorder="1" applyFont="1" applyNumberFormat="1">
      <alignment horizontal="right" vertical="bottom"/>
    </xf>
    <xf borderId="15" fillId="0" fontId="21" numFmtId="173"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xf>
    <xf borderId="14" fillId="0" fontId="3" numFmtId="0" xfId="0" applyBorder="1" applyFont="1"/>
    <xf borderId="8" fillId="0" fontId="3" numFmtId="0" xfId="0" applyAlignment="1" applyBorder="1" applyFont="1">
      <alignmen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13" fillId="0" fontId="3" numFmtId="0" xfId="0" applyAlignment="1" applyBorder="1" applyFont="1">
      <alignment horizontal="right" readingOrder="0" vertical="bottom"/>
    </xf>
    <xf borderId="13" fillId="0" fontId="3" numFmtId="0" xfId="0" applyBorder="1" applyFont="1"/>
    <xf borderId="35" fillId="0" fontId="21" numFmtId="0" xfId="0" applyAlignment="1" applyBorder="1" applyFont="1">
      <alignment horizontal="right" readingOrder="0"/>
    </xf>
    <xf borderId="4" fillId="3" fontId="1" numFmtId="0" xfId="0" applyAlignment="1" applyBorder="1" applyFont="1">
      <alignment readingOrder="0" vertical="bottom"/>
    </xf>
    <xf borderId="23" fillId="3" fontId="21" numFmtId="0" xfId="0" applyAlignment="1" applyBorder="1" applyFont="1">
      <alignment horizontal="right" readingOrder="0"/>
    </xf>
    <xf borderId="5" fillId="3" fontId="21" numFmtId="3" xfId="0" applyAlignment="1" applyBorder="1" applyFont="1" applyNumberFormat="1">
      <alignment horizontal="right"/>
    </xf>
    <xf borderId="6" fillId="3" fontId="3" numFmtId="0" xfId="0" applyBorder="1" applyFont="1"/>
    <xf borderId="0" fillId="0" fontId="21" numFmtId="171" xfId="0" applyAlignment="1" applyFont="1" applyNumberFormat="1">
      <alignment horizontal="right"/>
    </xf>
    <xf borderId="15" fillId="0" fontId="3" numFmtId="0" xfId="0" applyAlignment="1" applyBorder="1" applyFont="1">
      <alignment horizontal="right" readingOrder="0" vertical="bottom"/>
    </xf>
    <xf borderId="15" fillId="0" fontId="21" numFmtId="3" xfId="0" applyAlignment="1" applyBorder="1" applyFont="1" applyNumberFormat="1">
      <alignment horizontal="right"/>
    </xf>
    <xf borderId="16" fillId="0" fontId="3"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2" fillId="0" fontId="21" numFmtId="0" xfId="0" applyAlignment="1" applyBorder="1" applyFont="1">
      <alignment horizontal="right" readingOrder="0"/>
    </xf>
    <xf borderId="1" fillId="2" fontId="1" numFmtId="0" xfId="0" applyAlignment="1" applyBorder="1" applyFont="1">
      <alignment horizontal="center" vertical="bottom"/>
    </xf>
    <xf borderId="0" fillId="2" fontId="1" numFmtId="0" xfId="0" applyAlignment="1" applyFont="1">
      <alignment horizontal="left" shrinkToFit="0" vertical="bottom" wrapText="0"/>
    </xf>
    <xf borderId="3" fillId="2" fontId="1" numFmtId="0" xfId="0" applyAlignment="1" applyBorder="1" applyFont="1">
      <alignment horizontal="left" shrinkToFit="0" vertical="bottom" wrapText="0"/>
    </xf>
    <xf borderId="7" fillId="2" fontId="1" numFmtId="0" xfId="0" applyAlignment="1" applyBorder="1" applyFont="1">
      <alignment vertical="bottom"/>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9" fillId="3" fontId="3" numFmtId="0" xfId="0" applyAlignment="1" applyBorder="1" applyFont="1">
      <alignment horizontal="center"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19" fillId="3" fontId="3" numFmtId="0" xfId="0" applyAlignment="1" applyBorder="1" applyFont="1">
      <alignment vertical="bottom"/>
    </xf>
    <xf borderId="6" fillId="3" fontId="3" numFmtId="0" xfId="0" applyAlignment="1" applyBorder="1" applyFont="1">
      <alignment horizontal="left" shrinkToFit="0" vertical="bottom" wrapText="0"/>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21" fillId="0" fontId="3" numFmtId="0" xfId="0" applyAlignment="1" applyBorder="1" applyFont="1">
      <alignment horizontal="right" readingOrder="0"/>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6" fillId="0" fontId="3" numFmtId="1" xfId="0" applyAlignment="1" applyBorder="1" applyFont="1" applyNumberFormat="1">
      <alignment horizontal="left" readingOrder="0" shrinkToFit="0" vertical="bottom" wrapText="0"/>
    </xf>
    <xf borderId="16" fillId="0" fontId="3" numFmtId="10" xfId="0" applyAlignment="1" applyBorder="1" applyFont="1" applyNumberFormat="1">
      <alignment readingOrder="0"/>
    </xf>
    <xf borderId="16" fillId="0" fontId="44" numFmtId="1" xfId="0" applyAlignment="1" applyBorder="1" applyFont="1" applyNumberFormat="1">
      <alignment horizontal="left" readingOrder="0" shrinkToFit="0" vertical="bottom"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7" fillId="0" fontId="3" numFmtId="0" xfId="0" applyAlignment="1" applyBorder="1" applyFont="1">
      <alignment readingOrder="0" shrinkToFit="0" vertical="bottom" wrapText="0"/>
    </xf>
    <xf borderId="0" fillId="0" fontId="3" numFmtId="0" xfId="0" applyAlignment="1" applyFont="1">
      <alignment readingOrder="0" shrinkToFit="0" vertical="bottom" wrapText="1"/>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vertical="bottom"/>
    </xf>
    <xf borderId="8" fillId="0" fontId="3" numFmtId="0" xfId="0" applyAlignment="1" applyBorder="1" applyFont="1">
      <alignment readingOrder="0" shrinkToFit="0" vertical="bottom" wrapText="1"/>
    </xf>
    <xf borderId="33" fillId="0" fontId="3" numFmtId="9" xfId="0" applyAlignment="1" applyBorder="1" applyFont="1" applyNumberFormat="1">
      <alignment horizontal="right" readingOrder="0" vertical="bottom"/>
    </xf>
    <xf borderId="37" fillId="0" fontId="3" numFmtId="1" xfId="0" applyAlignment="1" applyBorder="1" applyFont="1" applyNumberFormat="1">
      <alignment horizontal="right" vertical="bottom"/>
    </xf>
    <xf borderId="0" fillId="0" fontId="45" numFmtId="1" xfId="0" applyAlignment="1" applyFont="1" applyNumberFormat="1">
      <alignment readingOrder="0"/>
    </xf>
    <xf borderId="9" fillId="0" fontId="3" numFmtId="1" xfId="0" applyAlignment="1" applyBorder="1" applyFont="1" applyNumberFormat="1">
      <alignment horizontal="left" shrinkToFit="0" vertical="bottom" wrapText="0"/>
    </xf>
    <xf borderId="35" fillId="0" fontId="3" numFmtId="9" xfId="0" applyAlignment="1" applyBorder="1" applyFont="1" applyNumberFormat="1">
      <alignment horizontal="right" readingOrder="0" vertical="bottom"/>
    </xf>
    <xf borderId="49" fillId="0" fontId="3" numFmtId="1" xfId="0" applyAlignment="1" applyBorder="1" applyFont="1" applyNumberFormat="1">
      <alignment horizontal="right" vertical="bottom"/>
    </xf>
    <xf borderId="10" fillId="0" fontId="46" numFmtId="1" xfId="0" applyAlignment="1" applyBorder="1" applyFont="1" applyNumberFormat="1">
      <alignment horizontal="left" readingOrder="0" shrinkToFit="0" vertical="bottom" wrapText="0"/>
    </xf>
    <xf borderId="11" fillId="0" fontId="3" numFmtId="1" xfId="0" applyAlignment="1" applyBorder="1" applyFont="1" applyNumberFormat="1">
      <alignment horizontal="left" shrinkToFit="0" vertical="bottom" wrapText="0"/>
    </xf>
    <xf borderId="0" fillId="0" fontId="47" numFmtId="1" xfId="0" applyAlignment="1" applyFont="1" applyNumberFormat="1">
      <alignment readingOrder="0"/>
    </xf>
    <xf borderId="12" fillId="0" fontId="3" numFmtId="0" xfId="0" applyAlignment="1" applyBorder="1" applyFont="1">
      <alignment readingOrder="0" shrinkToFit="0" vertical="bottom" wrapText="1"/>
    </xf>
    <xf borderId="34" fillId="0" fontId="3" numFmtId="9" xfId="0" applyAlignment="1" applyBorder="1" applyFont="1" applyNumberFormat="1">
      <alignment horizontal="right" readingOrder="0" vertical="bottom"/>
    </xf>
    <xf borderId="50" fillId="0" fontId="3" numFmtId="1" xfId="0" applyAlignment="1" applyBorder="1" applyFont="1" applyNumberFormat="1">
      <alignment horizontal="right" vertical="bottom"/>
    </xf>
    <xf borderId="12" fillId="0" fontId="48"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shrinkToFit="0" vertical="bottom" wrapText="0"/>
    </xf>
    <xf borderId="8"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readingOrder="0" shrinkToFit="0" vertical="bottom" wrapText="0"/>
    </xf>
    <xf borderId="15" fillId="0" fontId="3" numFmtId="0" xfId="0" applyAlignment="1" applyBorder="1" applyFont="1">
      <alignment readingOrder="0" shrinkToFit="0" vertical="bottom" wrapText="1"/>
    </xf>
    <xf borderId="15" fillId="0" fontId="3" numFmtId="0" xfId="0" applyAlignment="1" applyBorder="1" applyFont="1">
      <alignment horizontal="right" readingOrder="0" shrinkToFit="0" vertical="bottom" wrapText="1"/>
    </xf>
    <xf borderId="16" fillId="0" fontId="3" numFmtId="0" xfId="0" applyAlignment="1" applyBorder="1" applyFont="1">
      <alignment horizontal="right" readingOrder="0" shrinkToFit="0" vertical="bottom" wrapText="1"/>
    </xf>
    <xf borderId="22" fillId="0" fontId="3" numFmtId="9"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8" fillId="0" fontId="3" numFmtId="0" xfId="0" applyAlignment="1" applyBorder="1" applyFont="1">
      <alignment readingOrder="0" shrinkToFit="0" vertical="bottom" wrapText="1"/>
    </xf>
    <xf borderId="33" fillId="0" fontId="3" numFmtId="1" xfId="0" applyAlignment="1" applyBorder="1" applyFont="1" applyNumberFormat="1">
      <alignment horizontal="right" readingOrder="0" vertical="bottom"/>
    </xf>
    <xf borderId="8" fillId="0" fontId="49"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1"/>
    </xf>
    <xf borderId="35" fillId="0" fontId="3" numFmtId="1" xfId="0" applyAlignment="1" applyBorder="1" applyFont="1" applyNumberFormat="1">
      <alignment horizontal="right" readingOrder="0" vertical="bottom"/>
    </xf>
    <xf borderId="24" fillId="0" fontId="3" numFmtId="1" xfId="0" applyAlignment="1" applyBorder="1" applyFont="1" applyNumberFormat="1">
      <alignment horizontal="right" readingOrder="0" vertical="bottom"/>
    </xf>
    <xf borderId="11" fillId="0" fontId="50" numFmtId="1" xfId="0" applyAlignment="1" applyBorder="1" applyFont="1" applyNumberFormat="1">
      <alignment horizontal="left" readingOrder="0" shrinkToFit="0" vertical="bottom" wrapText="0"/>
    </xf>
    <xf borderId="28" fillId="0" fontId="21" numFmtId="0" xfId="0" applyAlignment="1" applyBorder="1" applyFont="1">
      <alignment horizontal="right" readingOrder="0"/>
    </xf>
    <xf borderId="28" fillId="0" fontId="3" numFmtId="49" xfId="0" applyAlignment="1" applyBorder="1" applyFont="1" applyNumberFormat="1">
      <alignment horizontal="right" readingOrder="0" vertical="bottom"/>
    </xf>
    <xf borderId="51" fillId="0" fontId="3" numFmtId="1" xfId="0" applyAlignment="1" applyBorder="1" applyFont="1" applyNumberFormat="1">
      <alignment horizontal="right" vertical="bottom"/>
    </xf>
    <xf borderId="17" fillId="0" fontId="51" numFmtId="1" xfId="0" applyAlignment="1" applyBorder="1" applyFont="1" applyNumberFormat="1">
      <alignment horizontal="left" readingOrder="0" shrinkToFit="0" vertical="bottom" wrapText="0"/>
    </xf>
    <xf borderId="18"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1"/>
    </xf>
    <xf borderId="8" fillId="0" fontId="3" numFmtId="9" xfId="0" applyAlignment="1" applyBorder="1" applyFont="1" applyNumberFormat="1">
      <alignment horizontal="right" readingOrder="0" vertical="bottom"/>
    </xf>
    <xf borderId="9" fillId="0" fontId="3" numFmtId="9" xfId="0" applyAlignment="1" applyBorder="1" applyFont="1" applyNumberFormat="1">
      <alignment horizontal="right" readingOrder="0" vertical="bottom"/>
    </xf>
    <xf borderId="25" fillId="0" fontId="3" numFmtId="9" xfId="0" applyAlignment="1" applyBorder="1" applyFont="1" applyNumberFormat="1">
      <alignment horizontal="right" readingOrder="0" vertical="bottom"/>
    </xf>
    <xf borderId="8" fillId="0" fontId="3" numFmtId="1" xfId="0" applyAlignment="1" applyBorder="1" applyFont="1" applyNumberFormat="1">
      <alignment horizontal="left" readingOrder="0" shrinkToFit="0" vertical="bottom" wrapText="0"/>
    </xf>
    <xf borderId="28" fillId="0" fontId="3" numFmtId="9" xfId="0" applyAlignment="1" applyBorder="1" applyFont="1" applyNumberFormat="1">
      <alignment horizontal="right" readingOrder="0" vertical="bottom"/>
    </xf>
    <xf borderId="10" fillId="0" fontId="3" numFmtId="1" xfId="0" applyAlignment="1" applyBorder="1" applyFont="1" applyNumberFormat="1">
      <alignment horizontal="left" readingOrder="0" shrinkToFit="0" vertical="bottom" wrapText="0"/>
    </xf>
    <xf borderId="11" fillId="0" fontId="3" numFmtId="9" xfId="0" applyAlignment="1" applyBorder="1" applyFont="1" applyNumberFormat="1">
      <alignment horizontal="right" readingOrder="0" vertical="bottom"/>
    </xf>
    <xf borderId="34" fillId="0" fontId="3" numFmtId="1"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13"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vertical="bottom"/>
    </xf>
    <xf borderId="12" fillId="0" fontId="3" numFmtId="1" xfId="0" applyAlignment="1" applyBorder="1" applyFont="1" applyNumberFormat="1">
      <alignment horizontal="left" readingOrder="0" shrinkToFit="0" vertical="bottom" wrapText="0"/>
    </xf>
    <xf borderId="0" fillId="0" fontId="3" numFmtId="170" xfId="0" applyAlignment="1" applyFont="1" applyNumberFormat="1">
      <alignment horizontal="right" readingOrder="0" vertical="bottom"/>
    </xf>
    <xf borderId="0" fillId="0" fontId="3" numFmtId="10" xfId="0" applyAlignment="1" applyFont="1" applyNumberFormat="1">
      <alignment horizontal="right" readingOrder="0" shrinkToFit="0" vertical="bottom" wrapText="0"/>
    </xf>
    <xf borderId="15" fillId="0" fontId="3" numFmtId="9" xfId="0" applyAlignment="1" applyBorder="1" applyFont="1" applyNumberFormat="1">
      <alignment horizontal="right" readingOrder="0" vertical="bottom"/>
    </xf>
    <xf borderId="15" fillId="0" fontId="52" numFmtId="1" xfId="0" applyAlignment="1" applyBorder="1" applyFont="1" applyNumberFormat="1">
      <alignment horizontal="left" readingOrder="0" shrinkToFit="0" vertical="bottom" wrapText="0"/>
    </xf>
    <xf borderId="33" fillId="0" fontId="3" numFmtId="0" xfId="0" applyAlignment="1" applyBorder="1" applyFont="1">
      <alignment horizontal="right" readingOrder="0" vertical="bottom"/>
    </xf>
    <xf borderId="35" fillId="0" fontId="3" numFmtId="0" xfId="0" applyAlignment="1" applyBorder="1" applyFont="1">
      <alignment horizontal="right" readingOrder="0" vertical="bottom"/>
    </xf>
    <xf borderId="0" fillId="0" fontId="3" numFmtId="168" xfId="0" applyAlignment="1" applyFont="1" applyNumberFormat="1">
      <alignment horizontal="left" readingOrder="0" shrinkToFit="0" vertical="bottom" wrapText="0"/>
    </xf>
    <xf borderId="24" fillId="0" fontId="3" numFmtId="0" xfId="0" applyAlignment="1" applyBorder="1" applyFont="1">
      <alignment readingOrder="0" shrinkToFit="0" vertical="bottom" wrapText="1"/>
    </xf>
    <xf borderId="24" fillId="0" fontId="3" numFmtId="0" xfId="0" applyAlignment="1" applyBorder="1" applyFont="1">
      <alignment horizontal="right" readingOrder="0" shrinkToFit="0" vertical="bottom" wrapText="0"/>
    </xf>
    <xf borderId="25" fillId="0" fontId="3" numFmtId="0" xfId="0" applyAlignment="1" applyBorder="1" applyFont="1">
      <alignment horizontal="right" readingOrder="0" shrinkToFit="0" vertical="bottom" wrapText="0"/>
    </xf>
    <xf borderId="26" fillId="0" fontId="3" numFmtId="9" xfId="0" applyAlignment="1" applyBorder="1" applyFont="1" applyNumberFormat="1">
      <alignment horizontal="right" readingOrder="0" vertical="bottom"/>
    </xf>
    <xf borderId="52" fillId="0" fontId="3" numFmtId="1" xfId="0" applyAlignment="1" applyBorder="1" applyFont="1" applyNumberFormat="1">
      <alignment horizontal="right" vertical="bottom"/>
    </xf>
    <xf borderId="24" fillId="0" fontId="3" numFmtId="168" xfId="0" applyAlignment="1" applyBorder="1" applyFont="1" applyNumberFormat="1">
      <alignment horizontal="left" readingOrder="0" shrinkToFit="0" vertical="bottom" wrapText="0"/>
    </xf>
    <xf borderId="25" fillId="0" fontId="3" numFmtId="1" xfId="0" applyAlignment="1" applyBorder="1" applyFont="1" applyNumberFormat="1">
      <alignment horizontal="left" readingOrder="0" shrinkToFit="0" vertical="bottom" wrapText="1"/>
    </xf>
    <xf borderId="21" fillId="0" fontId="3" numFmtId="9" xfId="0" applyAlignment="1" applyBorder="1" applyFont="1" applyNumberFormat="1">
      <alignment horizontal="right" readingOrder="0" vertical="bottom"/>
    </xf>
    <xf borderId="0" fillId="0" fontId="3" numFmtId="170" xfId="0" applyAlignment="1" applyFont="1" applyNumberFormat="1">
      <alignment horizontal="left" shrinkToFit="0" vertical="bottom" wrapText="0"/>
    </xf>
    <xf borderId="9" fillId="0" fontId="3" numFmtId="168" xfId="0" applyAlignment="1" applyBorder="1" applyFont="1" applyNumberFormat="1">
      <alignment horizontal="left" readingOrder="0" shrinkToFit="0" vertical="bottom" wrapText="0"/>
    </xf>
    <xf borderId="11" fillId="0" fontId="3" numFmtId="168" xfId="0" applyAlignment="1" applyBorder="1" applyFont="1" applyNumberFormat="1">
      <alignment horizontal="left" readingOrder="0" shrinkToFit="0" vertical="bottom" wrapText="0"/>
    </xf>
    <xf borderId="11" fillId="0" fontId="3" numFmtId="9" xfId="0" applyAlignment="1" applyBorder="1" applyFont="1" applyNumberFormat="1">
      <alignment horizontal="left" shrinkToFit="0" vertical="bottom" wrapText="0"/>
    </xf>
    <xf borderId="11" fillId="0" fontId="3" numFmtId="10"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shrinkToFit="0" vertical="bottom" wrapText="0"/>
    </xf>
    <xf borderId="0" fillId="0" fontId="3" numFmtId="0" xfId="0" applyAlignment="1" applyFont="1">
      <alignment shrinkToFit="0" vertical="bottom" wrapText="0"/>
    </xf>
    <xf borderId="19" fillId="0" fontId="3" numFmtId="3" xfId="0" applyAlignment="1" applyBorder="1" applyFont="1" applyNumberFormat="1">
      <alignment horizontal="right" readingOrder="0" vertical="bottom"/>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readingOrder="0" shrinkToFit="0" vertical="bottom" wrapText="0"/>
    </xf>
    <xf borderId="21" fillId="0" fontId="3" numFmtId="2" xfId="0" applyAlignment="1" applyBorder="1" applyFont="1" applyNumberFormat="1">
      <alignment horizontal="right" vertical="bottom"/>
    </xf>
    <xf borderId="10" fillId="0" fontId="21" numFmtId="1" xfId="0" applyAlignment="1" applyBorder="1" applyFont="1" applyNumberFormat="1">
      <alignment horizontal="left" readingOrder="0" shrinkToFit="0" vertical="bottom" wrapText="0"/>
    </xf>
    <xf borderId="12" fillId="0" fontId="21" numFmtId="1" xfId="0" applyAlignment="1" applyBorder="1" applyFont="1" applyNumberFormat="1">
      <alignment horizontal="left" readingOrder="0" shrinkToFit="0" vertical="bottom" wrapText="0"/>
    </xf>
    <xf borderId="8" fillId="0" fontId="3" numFmtId="0" xfId="0" applyAlignment="1" applyBorder="1" applyFont="1">
      <alignment readingOrder="0" shrinkToFit="0" wrapText="1"/>
    </xf>
    <xf borderId="10" fillId="0" fontId="3" numFmtId="0" xfId="0" applyAlignment="1" applyBorder="1" applyFont="1">
      <alignment readingOrder="0" shrinkToFit="0" wrapText="1"/>
    </xf>
    <xf borderId="12" fillId="0" fontId="3" numFmtId="0" xfId="0" applyAlignment="1" applyBorder="1" applyFont="1">
      <alignment readingOrder="0" shrinkToFit="0" wrapText="1"/>
    </xf>
    <xf borderId="0" fillId="0" fontId="3" numFmtId="0" xfId="0" applyAlignment="1" applyFont="1">
      <alignment horizontal="righ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right" vertical="bottom"/>
    </xf>
    <xf borderId="14" fillId="0"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3" numFmtId="0" xfId="0" applyAlignment="1" applyFont="1">
      <alignment readingOrder="0"/>
    </xf>
    <xf borderId="15" fillId="0" fontId="3" numFmtId="0" xfId="0" applyAlignment="1" applyBorder="1" applyFont="1">
      <alignment readingOrder="0"/>
    </xf>
    <xf borderId="15" fillId="0" fontId="3" numFmtId="0" xfId="0" applyAlignment="1" applyBorder="1" applyFont="1">
      <alignment horizontal="right" readingOrder="0" shrinkToFit="0" vertical="bottom" wrapText="0"/>
    </xf>
    <xf borderId="22" fillId="0" fontId="3" numFmtId="9"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9" fillId="0" fontId="21" numFmtId="0" xfId="0" applyAlignment="1" applyBorder="1" applyFont="1">
      <alignment horizontal="right" readingOrder="0"/>
    </xf>
    <xf borderId="15" fillId="0" fontId="21" numFmtId="0" xfId="0" applyAlignment="1" applyBorder="1" applyFont="1">
      <alignment horizontal="left" readingOrder="0"/>
    </xf>
    <xf borderId="33" fillId="0" fontId="3" numFmtId="4" xfId="0" applyAlignment="1" applyBorder="1" applyFont="1" applyNumberFormat="1">
      <alignment horizontal="right" readingOrder="0"/>
    </xf>
    <xf borderId="37" fillId="0" fontId="3" numFmtId="0" xfId="0" applyBorder="1" applyFont="1"/>
    <xf borderId="8" fillId="0" fontId="3"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34" fillId="0" fontId="3" numFmtId="9" xfId="0" applyAlignment="1" applyBorder="1" applyFont="1" applyNumberFormat="1">
      <alignment horizontal="right" readingOrder="0"/>
    </xf>
    <xf borderId="50" fillId="0" fontId="3" numFmtId="0" xfId="0" applyBorder="1" applyFont="1"/>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14" fillId="0" fontId="3" numFmtId="3" xfId="0" applyAlignment="1" applyBorder="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readingOrder="0" shrinkToFit="0" vertical="bottom" wrapText="0"/>
    </xf>
    <xf borderId="33" fillId="0" fontId="3" numFmtId="170" xfId="0" applyAlignment="1" applyBorder="1" applyFont="1" applyNumberFormat="1">
      <alignment horizontal="right" readingOrder="0"/>
    </xf>
    <xf borderId="8" fillId="0" fontId="3" numFmtId="3" xfId="0" applyAlignment="1" applyBorder="1" applyFont="1" applyNumberFormat="1">
      <alignment horizontal="right" readingOrder="0"/>
    </xf>
    <xf borderId="9" fillId="0" fontId="3" numFmtId="3"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3" numFmtId="0" xfId="0" applyAlignment="1" applyBorder="1" applyFont="1">
      <alignment horizontal="left" shrinkToFit="0" wrapText="0"/>
    </xf>
    <xf borderId="35" fillId="0" fontId="3" numFmtId="164" xfId="0" applyAlignment="1" applyBorder="1" applyFont="1" applyNumberFormat="1">
      <alignment horizontal="right" readingOrder="0"/>
    </xf>
    <xf borderId="10" fillId="0" fontId="3" numFmtId="3" xfId="0" applyAlignment="1" applyBorder="1" applyFont="1" applyNumberFormat="1">
      <alignment horizontal="right" readingOrder="0"/>
    </xf>
    <xf borderId="11" fillId="0" fontId="3" numFmtId="3" xfId="0" applyAlignment="1" applyBorder="1" applyFont="1" applyNumberFormat="1">
      <alignment horizontal="right" readingOrder="0"/>
    </xf>
    <xf borderId="49" fillId="0" fontId="3" numFmtId="0" xfId="0" applyBorder="1" applyFont="1"/>
    <xf borderId="10" fillId="0" fontId="3" numFmtId="0" xfId="0" applyAlignment="1" applyBorder="1" applyFont="1">
      <alignment horizontal="left" readingOrder="0" shrinkToFit="0" wrapText="0"/>
    </xf>
    <xf borderId="11" fillId="0" fontId="3" numFmtId="0" xfId="0" applyAlignment="1" applyBorder="1" applyFont="1">
      <alignment horizontal="left" shrinkToFit="0" wrapText="0"/>
    </xf>
    <xf borderId="34" fillId="0" fontId="3" numFmtId="164" xfId="0" applyAlignment="1" applyBorder="1" applyFont="1" applyNumberFormat="1">
      <alignment horizontal="right" readingOrder="0"/>
    </xf>
    <xf borderId="12" fillId="0" fontId="3" numFmtId="3" xfId="0" applyAlignment="1" applyBorder="1" applyFont="1" applyNumberFormat="1">
      <alignment horizontal="right" readingOrder="0"/>
    </xf>
    <xf borderId="13" fillId="0" fontId="3" numFmtId="3"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shrinkToFit="0" wrapText="0"/>
    </xf>
    <xf borderId="8" fillId="0" fontId="3" numFmtId="0" xfId="0" applyAlignment="1" applyBorder="1" applyFont="1">
      <alignment shrinkToFit="0" vertical="bottom" wrapText="1"/>
    </xf>
    <xf borderId="9" fillId="0" fontId="3" numFmtId="2" xfId="0" applyAlignment="1" applyBorder="1" applyFont="1" applyNumberFormat="1">
      <alignment horizontal="right" vertical="bottom"/>
    </xf>
    <xf borderId="8" fillId="0" fontId="3" numFmtId="3" xfId="0" applyAlignment="1" applyBorder="1" applyFont="1" applyNumberFormat="1">
      <alignment horizontal="right" vertical="bottom"/>
    </xf>
    <xf borderId="9" fillId="0" fontId="3" numFmtId="3" xfId="0" applyAlignment="1" applyBorder="1" applyFont="1" applyNumberFormat="1">
      <alignment horizontal="right" vertical="bottom"/>
    </xf>
    <xf borderId="8" fillId="0" fontId="41" numFmtId="0" xfId="0" applyAlignment="1" applyBorder="1" applyFont="1">
      <alignment vertical="bottom"/>
    </xf>
    <xf borderId="9" fillId="0" fontId="41" numFmtId="0" xfId="0" applyAlignment="1" applyBorder="1" applyFont="1">
      <alignmen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2"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2" fillId="0" fontId="41" numFmtId="0" xfId="0" applyAlignment="1" applyBorder="1" applyFont="1">
      <alignment vertical="bottom"/>
    </xf>
    <xf borderId="13" fillId="0" fontId="41" numFmtId="0" xfId="0" applyAlignment="1" applyBorder="1" applyFont="1">
      <alignment vertical="bottom"/>
    </xf>
    <xf borderId="33" fillId="0" fontId="3" numFmtId="172" xfId="0" applyAlignment="1" applyBorder="1" applyFont="1" applyNumberFormat="1">
      <alignment horizontal="right" readingOrder="0"/>
    </xf>
    <xf borderId="8" fillId="0" fontId="53" numFmtId="0" xfId="0" applyAlignment="1" applyBorder="1" applyFont="1">
      <alignment horizontal="left" readingOrder="0" shrinkToFit="0" wrapText="0"/>
    </xf>
    <xf borderId="14" fillId="0" fontId="3" numFmtId="9" xfId="0" applyAlignment="1" applyBorder="1" applyFont="1" applyNumberFormat="1">
      <alignment readingOrder="0"/>
    </xf>
    <xf borderId="35" fillId="0" fontId="3" numFmtId="3" xfId="0" applyAlignment="1" applyBorder="1" applyFont="1" applyNumberFormat="1">
      <alignment horizontal="right" readingOrder="0"/>
    </xf>
    <xf borderId="10" fillId="0" fontId="54" numFmtId="0" xfId="0" applyAlignment="1" applyBorder="1" applyFont="1">
      <alignment horizontal="left" readingOrder="0" shrinkToFit="0" wrapText="0"/>
    </xf>
    <xf borderId="35" fillId="0" fontId="3" numFmtId="172" xfId="0" applyAlignment="1" applyBorder="1" applyFont="1" applyNumberFormat="1">
      <alignment horizontal="right" readingOrder="0"/>
    </xf>
    <xf borderId="35" fillId="0" fontId="3" numFmtId="0" xfId="0" applyAlignment="1" applyBorder="1" applyFont="1">
      <alignment horizontal="right" readingOrder="0"/>
    </xf>
    <xf borderId="12" fillId="0" fontId="3" numFmtId="49" xfId="0" applyAlignment="1" applyBorder="1" applyFont="1" applyNumberFormat="1">
      <alignment horizontal="right" readingOrder="0" vertical="bottom"/>
    </xf>
    <xf borderId="13" fillId="0" fontId="3" numFmtId="49" xfId="0" applyAlignment="1" applyBorder="1" applyFont="1" applyNumberFormat="1">
      <alignment horizontal="right" readingOrder="0" vertical="bottom"/>
    </xf>
    <xf borderId="34" fillId="0" fontId="3" numFmtId="165" xfId="0" applyAlignment="1" applyBorder="1" applyFont="1" applyNumberFormat="1">
      <alignment horizontal="right" readingOrder="0"/>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33" fillId="0" fontId="3" numFmtId="1" xfId="0" applyAlignment="1" applyBorder="1" applyFont="1" applyNumberFormat="1">
      <alignment horizontal="right" readingOrder="0"/>
    </xf>
    <xf borderId="37" fillId="0" fontId="3" numFmtId="0" xfId="0" applyAlignment="1" applyBorder="1" applyFont="1">
      <alignment horizontal="left" readingOrder="0" shrinkToFit="0" wrapText="0"/>
    </xf>
    <xf borderId="9" fillId="0" fontId="55" numFmtId="0" xfId="0" applyAlignment="1" applyBorder="1" applyFont="1">
      <alignment horizontal="left" readingOrder="0" shrinkToFit="0" wrapText="0"/>
    </xf>
    <xf borderId="35" fillId="0" fontId="3" numFmtId="1" xfId="0" applyAlignment="1" applyBorder="1" applyFont="1" applyNumberFormat="1">
      <alignment horizontal="right" readingOrder="0"/>
    </xf>
    <xf borderId="49" fillId="0" fontId="3" numFmtId="0" xfId="0" applyAlignment="1" applyBorder="1" applyFont="1">
      <alignment horizontal="left" readingOrder="0" shrinkToFit="0" wrapText="0"/>
    </xf>
    <xf borderId="33" fillId="0" fontId="3" numFmtId="168" xfId="0" applyAlignment="1" applyBorder="1" applyFont="1" applyNumberFormat="1">
      <alignment horizontal="right" readingOrder="0"/>
    </xf>
    <xf borderId="34" fillId="0" fontId="3" numFmtId="168" xfId="0" applyAlignment="1" applyBorder="1" applyFont="1" applyNumberFormat="1">
      <alignment horizontal="right" readingOrder="0"/>
    </xf>
    <xf borderId="16" fillId="0" fontId="56"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14" fillId="0" fontId="3" numFmtId="168" xfId="0" applyAlignment="1" applyBorder="1" applyFont="1" applyNumberFormat="1">
      <alignment horizontal="right" readingOrder="0"/>
    </xf>
    <xf borderId="14" fillId="0" fontId="57" numFmtId="0" xfId="0" applyAlignment="1" applyBorder="1" applyFont="1">
      <alignment horizontal="left" readingOrder="0" shrinkToFit="0" wrapText="0"/>
    </xf>
    <xf borderId="21" fillId="0" fontId="3" numFmtId="165" xfId="0" applyAlignment="1" applyBorder="1" applyFont="1" applyNumberFormat="1">
      <alignment horizontal="right" readingOrder="0"/>
    </xf>
    <xf borderId="22" fillId="0" fontId="3" numFmtId="173" xfId="0" applyAlignment="1" applyBorder="1" applyFont="1" applyNumberFormat="1">
      <alignment horizontal="right" readingOrder="0"/>
    </xf>
    <xf borderId="15"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33" fillId="0" fontId="3" numFmtId="9" xfId="0" applyAlignment="1" applyBorder="1" applyFont="1" applyNumberFormat="1">
      <alignment horizontal="right" readingOrder="0"/>
    </xf>
    <xf borderId="8" fillId="0" fontId="3" numFmtId="9" xfId="0" applyAlignment="1" applyBorder="1" applyFont="1" applyNumberFormat="1">
      <alignment horizontal="right" readingOrder="0"/>
    </xf>
    <xf borderId="9" fillId="0" fontId="3" numFmtId="9" xfId="0" applyAlignment="1" applyBorder="1" applyFont="1" applyNumberFormat="1">
      <alignment horizontal="right" readingOrder="0"/>
    </xf>
    <xf borderId="8" fillId="0" fontId="3" numFmtId="0" xfId="0" applyAlignment="1" applyBorder="1" applyFont="1">
      <alignment horizontal="left" shrinkToFit="0" wrapText="0"/>
    </xf>
    <xf borderId="9" fillId="0" fontId="3" numFmtId="0" xfId="0" applyAlignment="1" applyBorder="1" applyFont="1">
      <alignment readingOrder="0"/>
    </xf>
    <xf borderId="35"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11"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35" fillId="0" fontId="3" numFmtId="9" xfId="0" applyAlignment="1" applyBorder="1" applyFont="1" applyNumberFormat="1">
      <alignment horizontal="right"/>
    </xf>
    <xf borderId="10" fillId="0" fontId="3" numFmtId="9" xfId="0" applyAlignment="1" applyBorder="1" applyFont="1" applyNumberFormat="1">
      <alignment horizontal="right"/>
    </xf>
    <xf borderId="11"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70" xfId="0" applyAlignment="1" applyFont="1" applyNumberFormat="1">
      <alignment horizontal="right"/>
    </xf>
    <xf borderId="26" fillId="0" fontId="3" numFmtId="9" xfId="0" applyAlignment="1" applyBorder="1" applyFont="1" applyNumberFormat="1">
      <alignment horizontal="right" readingOrder="0"/>
    </xf>
    <xf borderId="24" fillId="0" fontId="3" numFmtId="9" xfId="0" applyAlignment="1" applyBorder="1" applyFont="1" applyNumberFormat="1">
      <alignment horizontal="right" readingOrder="0"/>
    </xf>
    <xf borderId="25" fillId="0" fontId="3" numFmtId="9" xfId="0" applyAlignment="1" applyBorder="1" applyFont="1" applyNumberFormat="1">
      <alignment horizontal="right" readingOrder="0"/>
    </xf>
    <xf borderId="52" fillId="0" fontId="3" numFmtId="0" xfId="0" applyBorder="1" applyFont="1"/>
    <xf borderId="24" fillId="0" fontId="3" numFmtId="0" xfId="0" applyAlignment="1" applyBorder="1" applyFont="1">
      <alignment horizontal="left" readingOrder="0" shrinkToFit="0" wrapText="0"/>
    </xf>
    <xf borderId="25" fillId="0" fontId="58" numFmtId="0" xfId="0" applyAlignment="1" applyBorder="1" applyFont="1">
      <alignment horizontal="left" readingOrder="0" shrinkToFit="0" wrapText="0"/>
    </xf>
    <xf borderId="22" fillId="0" fontId="3" numFmtId="0" xfId="0" applyAlignment="1" applyBorder="1" applyFont="1">
      <alignment horizontal="right" readingOrder="0"/>
    </xf>
    <xf borderId="15"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53" fillId="0" fontId="59" numFmtId="0" xfId="0" applyAlignment="1" applyBorder="1" applyFont="1">
      <alignment horizontal="left" readingOrder="0" shrinkToFit="0" wrapText="0"/>
    </xf>
    <xf borderId="7" fillId="0" fontId="41" numFmtId="0" xfId="0" applyBorder="1" applyFont="1"/>
    <xf borderId="0" fillId="0" fontId="41" numFmtId="0" xfId="0" applyFont="1"/>
    <xf borderId="0" fillId="0" fontId="41" numFmtId="0" xfId="0" applyAlignment="1" applyFont="1">
      <alignment shrinkToFit="0" wrapText="1"/>
    </xf>
    <xf borderId="0" fillId="0" fontId="41" numFmtId="0" xfId="0" applyAlignment="1" applyFont="1">
      <alignment horizontal="right"/>
    </xf>
    <xf borderId="21" fillId="0" fontId="41" numFmtId="0" xfId="0" applyBorder="1" applyFont="1"/>
    <xf borderId="14" fillId="0" fontId="41" numFmtId="0" xfId="0" applyBorder="1" applyFont="1"/>
    <xf borderId="33" fillId="0" fontId="3" numFmtId="166" xfId="0" applyAlignment="1" applyBorder="1" applyFont="1" applyNumberFormat="1">
      <alignment horizontal="right" readingOrder="0"/>
    </xf>
    <xf borderId="34" fillId="0" fontId="3" numFmtId="166" xfId="0" applyAlignment="1" applyBorder="1" applyFont="1" applyNumberFormat="1">
      <alignment horizontal="right" readingOrder="0"/>
    </xf>
    <xf borderId="16" fillId="0" fontId="3" numFmtId="0" xfId="0" applyAlignment="1" applyBorder="1" applyFont="1">
      <alignment horizontal="left" readingOrder="0" shrinkToFit="0" wrapText="0"/>
    </xf>
    <xf borderId="8" fillId="0" fontId="3" numFmtId="0" xfId="0" applyAlignment="1" applyBorder="1" applyFont="1">
      <alignment readingOrder="0" shrinkToFit="0" wrapText="1"/>
    </xf>
    <xf borderId="8"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1" fillId="0" fontId="3" numFmtId="168" xfId="0" applyAlignment="1" applyBorder="1" applyFont="1" applyNumberFormat="1">
      <alignment horizontal="right"/>
    </xf>
    <xf borderId="33" fillId="0" fontId="3" numFmtId="173" xfId="0" applyAlignment="1" applyBorder="1" applyFont="1" applyNumberFormat="1">
      <alignment horizontal="right" readingOrder="0"/>
    </xf>
    <xf borderId="15" fillId="0" fontId="3" numFmtId="173" xfId="0" applyAlignment="1" applyBorder="1" applyFont="1" applyNumberFormat="1">
      <alignment horizontal="right" readingOrder="0"/>
    </xf>
    <xf borderId="16" fillId="0" fontId="3" numFmtId="173" xfId="0" applyAlignment="1" applyBorder="1" applyFont="1" applyNumberFormat="1">
      <alignment horizontal="right" readingOrder="0"/>
    </xf>
    <xf borderId="16" fillId="0" fontId="60"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1" fillId="0" fontId="6" numFmtId="0" xfId="0" applyAlignment="1" applyBorder="1" applyFont="1">
      <alignment vertical="bottom"/>
    </xf>
    <xf borderId="54" fillId="0" fontId="6" numFmtId="0" xfId="0" applyAlignment="1" applyBorder="1" applyFont="1">
      <alignment vertical="bottom"/>
    </xf>
    <xf borderId="54" fillId="0" fontId="6" numFmtId="3" xfId="0" applyAlignment="1" applyBorder="1" applyFont="1" applyNumberFormat="1">
      <alignment vertical="bottom"/>
    </xf>
    <xf borderId="2" fillId="0" fontId="27" numFmtId="0" xfId="0" applyBorder="1" applyFont="1"/>
    <xf borderId="54" fillId="0" fontId="6" numFmtId="3" xfId="0" applyAlignment="1" applyBorder="1" applyFont="1" applyNumberFormat="1">
      <alignment horizontal="left" vertical="bottom"/>
    </xf>
    <xf borderId="3" fillId="0" fontId="27" numFmtId="0" xfId="0" applyBorder="1" applyFont="1"/>
    <xf borderId="55" fillId="0" fontId="61" numFmtId="0" xfId="0" applyAlignment="1" applyBorder="1" applyFont="1">
      <alignment vertical="bottom"/>
    </xf>
    <xf borderId="56" fillId="3" fontId="62" numFmtId="0" xfId="0" applyAlignment="1" applyBorder="1" applyFont="1">
      <alignment horizontal="center" readingOrder="0" vertical="bottom"/>
    </xf>
    <xf borderId="57" fillId="0" fontId="2" numFmtId="0" xfId="0" applyBorder="1" applyFont="1"/>
    <xf borderId="58" fillId="0" fontId="2" numFmtId="0" xfId="0" applyBorder="1" applyFont="1"/>
    <xf borderId="0" fillId="0" fontId="63" numFmtId="0" xfId="0" applyFont="1"/>
    <xf borderId="14" fillId="0" fontId="63" numFmtId="0" xfId="0" applyBorder="1" applyFont="1"/>
    <xf borderId="55" fillId="0" fontId="6" numFmtId="0" xfId="0" applyAlignment="1" applyBorder="1" applyFont="1">
      <alignment vertical="bottom"/>
    </xf>
    <xf borderId="59" fillId="2" fontId="64" numFmtId="0" xfId="0" applyAlignment="1" applyBorder="1" applyFont="1">
      <alignment readingOrder="0" vertical="bottom"/>
    </xf>
    <xf borderId="22" fillId="2" fontId="64" numFmtId="0" xfId="0" applyAlignment="1" applyBorder="1" applyFont="1">
      <alignment readingOrder="0" vertical="bottom"/>
    </xf>
    <xf borderId="60" fillId="2" fontId="64" numFmtId="3" xfId="0" applyAlignment="1" applyBorder="1" applyFont="1" applyNumberFormat="1">
      <alignment readingOrder="0" vertical="bottom"/>
    </xf>
    <xf borderId="22" fillId="2" fontId="64" numFmtId="0" xfId="0" applyAlignment="1" applyBorder="1" applyFont="1">
      <alignment horizontal="left" readingOrder="0" vertical="bottom"/>
    </xf>
    <xf borderId="22" fillId="2" fontId="64" numFmtId="3" xfId="0" applyAlignment="1" applyBorder="1" applyFont="1" applyNumberFormat="1">
      <alignment readingOrder="0" vertical="bottom"/>
    </xf>
    <xf borderId="61" fillId="0" fontId="27" numFmtId="0" xfId="0" applyAlignment="1" applyBorder="1" applyFont="1">
      <alignment readingOrder="0"/>
    </xf>
    <xf borderId="21" fillId="0" fontId="27" numFmtId="0" xfId="0" applyAlignment="1" applyBorder="1" applyFont="1">
      <alignment readingOrder="0"/>
    </xf>
    <xf borderId="21" fillId="0" fontId="27" numFmtId="10" xfId="0" applyAlignment="1" applyBorder="1" applyFont="1" applyNumberFormat="1">
      <alignment readingOrder="0"/>
    </xf>
    <xf borderId="55" fillId="0" fontId="27" numFmtId="10" xfId="0" applyAlignment="1" applyBorder="1" applyFont="1" applyNumberFormat="1">
      <alignment readingOrder="0"/>
    </xf>
    <xf borderId="21" fillId="0" fontId="27" numFmtId="0" xfId="0" applyAlignment="1" applyBorder="1" applyFont="1">
      <alignment horizontal="left" readingOrder="0"/>
    </xf>
    <xf borderId="21" fillId="0" fontId="27" numFmtId="3" xfId="0" applyAlignment="1" applyBorder="1" applyFont="1" applyNumberFormat="1">
      <alignment readingOrder="0"/>
    </xf>
    <xf borderId="55" fillId="0" fontId="27" numFmtId="3" xfId="0" applyAlignment="1" applyBorder="1" applyFont="1" applyNumberFormat="1">
      <alignment readingOrder="0"/>
    </xf>
    <xf borderId="61" fillId="4" fontId="6" numFmtId="0" xfId="0" applyAlignment="1" applyBorder="1" applyFill="1" applyFont="1">
      <alignment readingOrder="0" vertical="bottom"/>
    </xf>
    <xf borderId="21" fillId="4" fontId="6" numFmtId="0" xfId="0" applyAlignment="1" applyBorder="1" applyFont="1">
      <alignment readingOrder="0" vertical="bottom"/>
    </xf>
    <xf borderId="21" fillId="4" fontId="6" numFmtId="0" xfId="0" applyAlignment="1" applyBorder="1" applyFont="1">
      <alignment horizontal="left" readingOrder="0" vertical="bottom"/>
    </xf>
    <xf borderId="21" fillId="4" fontId="6" numFmtId="3" xfId="0" applyAlignment="1" applyBorder="1" applyFont="1" applyNumberFormat="1">
      <alignment horizontal="right" readingOrder="0" vertical="bottom"/>
    </xf>
    <xf borderId="55" fillId="4" fontId="6" numFmtId="3" xfId="0" applyAlignment="1" applyBorder="1" applyFont="1" applyNumberFormat="1">
      <alignment horizontal="right" readingOrder="0" vertical="bottom"/>
    </xf>
    <xf borderId="61" fillId="3" fontId="6" numFmtId="0" xfId="0" applyAlignment="1" applyBorder="1" applyFont="1">
      <alignment readingOrder="0" vertical="bottom"/>
    </xf>
    <xf borderId="21" fillId="3" fontId="6" numFmtId="0" xfId="0" applyAlignment="1" applyBorder="1" applyFont="1">
      <alignment readingOrder="0" vertical="bottom"/>
    </xf>
    <xf borderId="21" fillId="3" fontId="6" numFmtId="0" xfId="0" applyAlignment="1" applyBorder="1" applyFont="1">
      <alignment horizontal="left" readingOrder="0" vertical="bottom"/>
    </xf>
    <xf borderId="21" fillId="3" fontId="6" numFmtId="3" xfId="0" applyAlignment="1" applyBorder="1" applyFont="1" applyNumberFormat="1">
      <alignment horizontal="right" readingOrder="0" vertical="bottom"/>
    </xf>
    <xf borderId="55" fillId="3" fontId="6" numFmtId="3" xfId="0" applyAlignment="1" applyBorder="1" applyFont="1" applyNumberFormat="1">
      <alignment horizontal="right" readingOrder="0" vertical="bottom"/>
    </xf>
    <xf borderId="14" fillId="4" fontId="6" numFmtId="0" xfId="0" applyAlignment="1" applyBorder="1" applyFont="1">
      <alignment readingOrder="0" vertical="bottom"/>
    </xf>
    <xf borderId="14" fillId="4" fontId="6" numFmtId="0" xfId="0" applyAlignment="1" applyBorder="1" applyFont="1">
      <alignment horizontal="right" readingOrder="0" vertical="bottom"/>
    </xf>
    <xf borderId="14" fillId="4" fontId="6" numFmtId="3" xfId="0" applyAlignment="1" applyBorder="1" applyFont="1" applyNumberFormat="1">
      <alignment horizontal="right" readingOrder="0" vertical="bottom"/>
    </xf>
    <xf borderId="62" fillId="4" fontId="6" numFmtId="3" xfId="0" applyAlignment="1" applyBorder="1" applyFont="1" applyNumberFormat="1">
      <alignment horizontal="right" readingOrder="0" vertical="bottom"/>
    </xf>
    <xf borderId="63" fillId="0" fontId="27" numFmtId="0" xfId="0" applyAlignment="1" applyBorder="1" applyFont="1">
      <alignment readingOrder="0"/>
    </xf>
    <xf borderId="64" fillId="0" fontId="27" numFmtId="0" xfId="0" applyAlignment="1" applyBorder="1" applyFont="1">
      <alignment readingOrder="0"/>
    </xf>
    <xf borderId="64" fillId="0" fontId="27" numFmtId="0" xfId="0" applyAlignment="1" applyBorder="1" applyFont="1">
      <alignment horizontal="left" readingOrder="0"/>
    </xf>
    <xf borderId="64" fillId="0" fontId="27" numFmtId="3" xfId="0" applyAlignment="1" applyBorder="1" applyFont="1" applyNumberFormat="1">
      <alignment readingOrder="0"/>
    </xf>
    <xf borderId="65" fillId="0" fontId="27" numFmtId="3" xfId="0" applyAlignment="1" applyBorder="1" applyFont="1" applyNumberFormat="1">
      <alignment readingOrder="0"/>
    </xf>
    <xf borderId="0" fillId="0" fontId="27" numFmtId="0" xfId="0" applyAlignment="1" applyFont="1">
      <alignment horizontal="left"/>
    </xf>
    <xf borderId="64" fillId="0" fontId="27" numFmtId="10" xfId="0" applyAlignment="1" applyBorder="1" applyFont="1" applyNumberFormat="1">
      <alignment readingOrder="0"/>
    </xf>
    <xf borderId="65" fillId="0" fontId="27" numFmtId="10" xfId="0" applyAlignment="1" applyBorder="1" applyFont="1" applyNumberFormat="1">
      <alignment readingOrder="0"/>
    </xf>
    <xf borderId="63" fillId="3" fontId="6" numFmtId="0" xfId="0" applyAlignment="1" applyBorder="1" applyFont="1">
      <alignment readingOrder="0" vertical="bottom"/>
    </xf>
    <xf borderId="64" fillId="3" fontId="6" numFmtId="0" xfId="0" applyAlignment="1" applyBorder="1" applyFont="1">
      <alignment readingOrder="0" vertical="bottom"/>
    </xf>
    <xf borderId="64" fillId="3" fontId="6" numFmtId="0" xfId="0" applyAlignment="1" applyBorder="1" applyFont="1">
      <alignment horizontal="left" readingOrder="0" vertical="bottom"/>
    </xf>
    <xf borderId="64" fillId="3" fontId="6" numFmtId="3" xfId="0" applyAlignment="1" applyBorder="1" applyFont="1" applyNumberFormat="1">
      <alignment horizontal="right" readingOrder="0" vertical="bottom"/>
    </xf>
    <xf borderId="65" fillId="3" fontId="6" numFmtId="3" xfId="0" applyAlignment="1" applyBorder="1" applyFont="1" applyNumberFormat="1">
      <alignment horizontal="right" readingOrder="0" vertical="bottom"/>
    </xf>
    <xf borderId="0" fillId="0" fontId="27" numFmtId="0" xfId="0" applyAlignment="1" applyFont="1">
      <alignment readingOrder="0"/>
    </xf>
    <xf borderId="0" fillId="0" fontId="27" numFmtId="0" xfId="0" applyAlignment="1" applyFont="1">
      <alignment horizontal="left" readingOrder="0"/>
    </xf>
    <xf borderId="6" fillId="3" fontId="3" numFmtId="0" xfId="0" applyAlignment="1" applyBorder="1" applyFont="1">
      <alignment shrinkToFit="0" vertical="bottom" wrapText="1"/>
    </xf>
    <xf borderId="0" fillId="0" fontId="21" numFmtId="0" xfId="0" applyAlignment="1" applyFont="1">
      <alignment horizontal="right" shrinkToFit="0" wrapText="1"/>
    </xf>
    <xf borderId="14" fillId="0" fontId="3" numFmtId="0" xfId="0" applyAlignment="1" applyBorder="1" applyFont="1">
      <alignment shrinkToFit="0" wrapText="1"/>
    </xf>
    <xf borderId="16" fillId="0" fontId="3" numFmtId="0" xfId="0" applyAlignment="1" applyBorder="1" applyFont="1">
      <alignment shrinkToFit="0" wrapText="1"/>
    </xf>
    <xf borderId="33" fillId="0" fontId="21" numFmtId="166" xfId="0" applyAlignment="1" applyBorder="1" applyFont="1" applyNumberFormat="1">
      <alignment horizontal="right" readingOrder="0"/>
    </xf>
    <xf borderId="8" fillId="0" fontId="21" numFmtId="166"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12" fillId="0" fontId="1" numFmtId="0" xfId="0" applyAlignment="1" applyBorder="1" applyFont="1">
      <alignment horizontal="right" readingOrder="0" vertical="bottom"/>
    </xf>
    <xf borderId="34" fillId="0" fontId="20" numFmtId="0" xfId="0" applyAlignment="1" applyBorder="1" applyFont="1">
      <alignment horizontal="right" readingOrder="0"/>
    </xf>
    <xf borderId="8" fillId="0" fontId="21" numFmtId="9" xfId="0" applyAlignment="1" applyBorder="1" applyFont="1" applyNumberFormat="1">
      <alignment horizontal="right" shrinkToFit="0" wrapText="1"/>
    </xf>
    <xf borderId="10" fillId="0" fontId="21" numFmtId="9" xfId="0" applyAlignment="1" applyBorder="1" applyFont="1" applyNumberFormat="1">
      <alignment horizontal="right" shrinkToFit="0" wrapText="1"/>
    </xf>
    <xf borderId="12" fillId="0" fontId="21" numFmtId="9" xfId="0" applyAlignment="1" applyBorder="1" applyFont="1" applyNumberFormat="1">
      <alignment horizontal="right" shrinkToFit="0" wrapText="1"/>
    </xf>
    <xf borderId="21" fillId="0" fontId="20" numFmtId="0" xfId="0" applyAlignment="1" applyBorder="1" applyFont="1">
      <alignment horizontal="right"/>
    </xf>
    <xf borderId="0" fillId="0" fontId="20"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33" fillId="0" fontId="20" numFmtId="0" xfId="0" applyAlignment="1" applyBorder="1" applyFont="1">
      <alignment horizontal="right" readingOrder="0"/>
    </xf>
    <xf borderId="8" fillId="0" fontId="20" numFmtId="164" xfId="0" applyAlignment="1" applyBorder="1" applyFont="1" applyNumberFormat="1">
      <alignment horizontal="right"/>
    </xf>
    <xf borderId="9" fillId="0" fontId="20" numFmtId="164" xfId="0" applyAlignment="1" applyBorder="1" applyFont="1" applyNumberFormat="1">
      <alignment horizontal="right"/>
    </xf>
    <xf borderId="15" fillId="0" fontId="65" numFmtId="0" xfId="0" applyAlignment="1" applyBorder="1" applyFont="1">
      <alignment readingOrder="0" shrinkToFit="0" vertical="bottom" wrapText="0"/>
    </xf>
    <xf borderId="15" fillId="0" fontId="66" numFmtId="0" xfId="0" applyAlignment="1" applyBorder="1" applyFont="1">
      <alignment readingOrder="0" shrinkToFit="0" vertical="bottom" wrapText="1"/>
    </xf>
    <xf borderId="15" fillId="0" fontId="21" numFmtId="170" xfId="0" applyAlignment="1" applyBorder="1" applyFont="1" applyNumberFormat="1">
      <alignment horizontal="right"/>
    </xf>
    <xf borderId="4" fillId="3" fontId="1" numFmtId="0" xfId="0" applyAlignment="1" applyBorder="1" applyFont="1">
      <alignment vertical="bottom"/>
    </xf>
    <xf borderId="5" fillId="3" fontId="21" numFmtId="0" xfId="0" applyAlignment="1" applyBorder="1" applyFont="1">
      <alignment horizontal="right" shrinkToFit="0" vertical="bottom" wrapText="1"/>
    </xf>
    <xf borderId="15" fillId="0" fontId="21" numFmtId="9" xfId="0" applyAlignment="1" applyBorder="1" applyFont="1" applyNumberFormat="1">
      <alignment horizontal="right" shrinkToFit="0" wrapText="1"/>
    </xf>
    <xf borderId="4" fillId="3" fontId="1" numFmtId="0" xfId="0" applyAlignment="1" applyBorder="1" applyFont="1">
      <alignment readingOrder="0" vertical="bottom"/>
    </xf>
    <xf borderId="0" fillId="0" fontId="67" numFmtId="0" xfId="0" applyAlignment="1" applyFont="1">
      <alignment shrinkToFit="0" vertical="bottom" wrapText="0"/>
    </xf>
    <xf borderId="15" fillId="0" fontId="21" numFmtId="1" xfId="0" applyAlignment="1" applyBorder="1" applyFont="1" applyNumberFormat="1">
      <alignment horizontal="right" vertical="bottom"/>
    </xf>
    <xf borderId="21" fillId="0" fontId="21" numFmtId="0" xfId="0" applyAlignment="1" applyBorder="1" applyFont="1">
      <alignment horizontal="right"/>
    </xf>
    <xf borderId="35" fillId="0" fontId="21" numFmtId="0" xfId="0" applyAlignment="1" applyBorder="1" applyFont="1">
      <alignment horizontal="right"/>
    </xf>
    <xf borderId="34" fillId="0" fontId="21" numFmtId="0" xfId="0" applyAlignment="1" applyBorder="1" applyFont="1">
      <alignment horizontal="right"/>
    </xf>
    <xf borderId="33" fillId="0" fontId="21" numFmtId="0" xfId="0" applyAlignment="1" applyBorder="1" applyFont="1">
      <alignment horizontal="right"/>
    </xf>
    <xf borderId="12" fillId="0" fontId="1" numFmtId="0" xfId="0" applyAlignment="1" applyBorder="1" applyFont="1">
      <alignment horizontal="right" vertical="bottom"/>
    </xf>
    <xf borderId="34" fillId="0" fontId="20" numFmtId="0" xfId="0" applyAlignment="1" applyBorder="1" applyFont="1">
      <alignment horizontal="right"/>
    </xf>
    <xf borderId="0" fillId="0" fontId="1" numFmtId="0" xfId="0" applyAlignment="1" applyFont="1">
      <alignment horizontal="right" vertical="bottom"/>
    </xf>
    <xf borderId="15" fillId="0" fontId="1" numFmtId="0" xfId="0" applyAlignment="1" applyBorder="1" applyFont="1">
      <alignment readingOrder="0" shrinkToFit="0" vertical="bottom" wrapText="1"/>
    </xf>
    <xf borderId="15" fillId="0" fontId="1" numFmtId="0" xfId="0" applyAlignment="1" applyBorder="1" applyFont="1">
      <alignment horizontal="right" vertical="bottom"/>
    </xf>
    <xf borderId="22" fillId="0" fontId="20" numFmtId="0" xfId="0" applyAlignment="1" applyBorder="1" applyFont="1">
      <alignment horizontal="right"/>
    </xf>
    <xf borderId="15" fillId="0" fontId="20" numFmtId="164" xfId="0" applyAlignment="1" applyBorder="1" applyFont="1" applyNumberFormat="1">
      <alignment horizontal="right"/>
    </xf>
    <xf borderId="8" fillId="0" fontId="21" numFmtId="164" xfId="0" applyAlignment="1" applyBorder="1" applyFont="1" applyNumberFormat="1">
      <alignment horizontal="right"/>
    </xf>
    <xf borderId="10" fillId="0" fontId="21" numFmtId="164" xfId="0" applyAlignment="1" applyBorder="1" applyFont="1" applyNumberFormat="1">
      <alignment horizontal="right"/>
    </xf>
    <xf borderId="12" fillId="0" fontId="21" numFmtId="164" xfId="0" applyAlignment="1" applyBorder="1" applyFont="1" applyNumberFormat="1">
      <alignment horizontal="right"/>
    </xf>
    <xf borderId="8" fillId="0" fontId="21" numFmtId="164" xfId="0" applyAlignment="1" applyBorder="1" applyFont="1" applyNumberFormat="1">
      <alignment horizontal="right" shrinkToFit="0" wrapText="1"/>
    </xf>
    <xf borderId="10" fillId="0" fontId="21" numFmtId="164" xfId="0" applyAlignment="1" applyBorder="1" applyFont="1" applyNumberFormat="1">
      <alignment horizontal="right" shrinkToFit="0" wrapText="1"/>
    </xf>
    <xf borderId="12" fillId="0" fontId="21" numFmtId="164" xfId="0" applyAlignment="1" applyBorder="1" applyFont="1" applyNumberFormat="1">
      <alignment horizontal="right" shrinkToFit="0" wrapText="1"/>
    </xf>
    <xf borderId="0" fillId="0" fontId="66" numFmtId="0" xfId="0" applyAlignment="1" applyFont="1">
      <alignment readingOrder="0" shrinkToFit="0" vertical="bottom" wrapText="1"/>
    </xf>
    <xf borderId="1" fillId="2" fontId="6" numFmtId="0" xfId="0" applyAlignment="1" applyBorder="1" applyFont="1">
      <alignment vertical="bottom"/>
    </xf>
    <xf borderId="2" fillId="2" fontId="6" numFmtId="0" xfId="0" applyAlignment="1" applyBorder="1" applyFont="1">
      <alignment vertical="bottom"/>
    </xf>
    <xf borderId="1" fillId="2" fontId="1" numFmtId="0" xfId="0" applyAlignment="1" applyBorder="1" applyFont="1">
      <alignment horizontal="center" vertical="bottom"/>
    </xf>
    <xf borderId="4" fillId="2" fontId="1" numFmtId="0" xfId="0" applyAlignment="1" applyBorder="1" applyFont="1">
      <alignment horizontal="center" vertical="bottom"/>
    </xf>
    <xf borderId="20" fillId="2" fontId="6" numFmtId="0" xfId="0" applyAlignment="1" applyBorder="1" applyFont="1">
      <alignment vertical="bottom"/>
    </xf>
    <xf borderId="7" fillId="2" fontId="6" numFmtId="0" xfId="0" applyAlignment="1" applyBorder="1" applyFont="1">
      <alignment vertical="bottom"/>
    </xf>
    <xf borderId="0" fillId="2" fontId="6" numFmtId="0" xfId="0" applyAlignment="1" applyFont="1">
      <alignment vertical="bottom"/>
    </xf>
    <xf borderId="3" fillId="0" fontId="2" numFmtId="0" xfId="0" applyBorder="1" applyFont="1"/>
    <xf borderId="0" fillId="2" fontId="1" numFmtId="0" xfId="0" applyAlignment="1" applyFont="1">
      <alignment horizontal="center" shrinkToFit="0" vertical="bottom" wrapText="1"/>
    </xf>
    <xf borderId="14" fillId="2" fontId="6" numFmtId="0" xfId="0" applyAlignment="1" applyBorder="1" applyFont="1">
      <alignment vertical="bottom"/>
    </xf>
    <xf borderId="7" fillId="2" fontId="1" numFmtId="0" xfId="0" applyAlignment="1" applyBorder="1" applyFont="1">
      <alignment vertical="bottom"/>
    </xf>
    <xf borderId="7" fillId="2" fontId="1" numFmtId="0" xfId="0" applyAlignment="1" applyBorder="1" applyFont="1">
      <alignment horizontal="center" vertical="bottom"/>
    </xf>
    <xf borderId="14" fillId="0" fontId="2" numFmtId="0" xfId="0" applyBorder="1" applyFont="1"/>
    <xf borderId="7" fillId="2" fontId="1" numFmtId="0" xfId="0" applyAlignment="1" applyBorder="1" applyFont="1">
      <alignment horizontal="center" shrinkToFit="0" vertical="bottom" wrapText="1"/>
    </xf>
    <xf borderId="0" fillId="2" fontId="1" numFmtId="0" xfId="0" applyAlignment="1" applyFont="1">
      <alignment horizontal="center" vertical="bottom"/>
    </xf>
    <xf borderId="0" fillId="2" fontId="6" numFmtId="0" xfId="0" applyAlignment="1" applyFont="1">
      <alignment vertical="bottom"/>
    </xf>
    <xf borderId="19" fillId="2" fontId="1" numFmtId="0" xfId="0" applyAlignment="1" applyBorder="1" applyFont="1">
      <alignment horizontal="center" shrinkToFit="0" vertical="bottom" wrapText="1"/>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6" fillId="2" fontId="6" numFmtId="0" xfId="0" applyAlignment="1" applyBorder="1" applyFont="1">
      <alignment vertical="bottom"/>
    </xf>
    <xf borderId="5" fillId="3" fontId="6" numFmtId="0" xfId="0" applyAlignment="1" applyBorder="1" applyFont="1">
      <alignment vertical="bottom"/>
    </xf>
    <xf borderId="5" fillId="3" fontId="1" numFmtId="164" xfId="0" applyAlignment="1" applyBorder="1" applyFont="1" applyNumberFormat="1">
      <alignment horizontal="center" vertical="bottom"/>
    </xf>
    <xf borderId="6" fillId="3" fontId="6" numFmtId="0" xfId="0" applyAlignment="1" applyBorder="1" applyFont="1">
      <alignment vertical="bottom"/>
    </xf>
    <xf borderId="0" fillId="0" fontId="68" numFmtId="0" xfId="0" applyAlignment="1" applyFont="1">
      <alignment vertical="bottom"/>
    </xf>
    <xf borderId="0" fillId="0" fontId="6" numFmtId="3" xfId="0" applyAlignment="1" applyFont="1" applyNumberFormat="1">
      <alignment vertical="bottom"/>
    </xf>
    <xf borderId="14" fillId="0" fontId="6" numFmtId="3" xfId="0" applyAlignment="1" applyBorder="1" applyFont="1" applyNumberFormat="1">
      <alignment vertical="bottom"/>
    </xf>
    <xf borderId="9" fillId="0" fontId="3" numFmtId="0" xfId="0" applyAlignment="1" applyBorder="1" applyFont="1">
      <alignment shrinkToFit="0" vertical="bottom" wrapText="1"/>
    </xf>
    <xf borderId="8" fillId="5" fontId="3" numFmtId="9" xfId="0" applyAlignment="1" applyBorder="1" applyFill="1" applyFont="1" applyNumberFormat="1">
      <alignment horizontal="center" vertical="bottom"/>
    </xf>
    <xf borderId="8" fillId="0" fontId="69"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11" fillId="0" fontId="3" numFmtId="0" xfId="0" applyAlignment="1" applyBorder="1" applyFont="1">
      <alignment shrinkToFit="0" vertical="bottom" wrapText="1"/>
    </xf>
    <xf borderId="10" fillId="7" fontId="3" numFmtId="9" xfId="0" applyAlignment="1" applyBorder="1" applyFill="1" applyFont="1" applyNumberFormat="1">
      <alignment horizontal="center" vertical="bottom"/>
    </xf>
    <xf borderId="10" fillId="0" fontId="69" numFmtId="164" xfId="0" applyAlignment="1" applyBorder="1" applyFont="1" applyNumberFormat="1">
      <alignment horizontal="center" vertical="bottom"/>
    </xf>
    <xf borderId="11"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11" fillId="10" fontId="3" numFmtId="9" xfId="0" applyAlignment="1" applyBorder="1" applyFill="1" applyFont="1" applyNumberFormat="1">
      <alignment horizontal="center" vertical="bottom"/>
    </xf>
    <xf borderId="10"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10" fillId="11" fontId="3" numFmtId="9" xfId="0" applyAlignment="1" applyBorder="1" applyFill="1" applyFont="1" applyNumberFormat="1">
      <alignment horizontal="center" vertical="bottom"/>
    </xf>
    <xf borderId="11" fillId="12" fontId="3" numFmtId="9" xfId="0" applyAlignment="1" applyBorder="1" applyFill="1" applyFont="1" applyNumberFormat="1">
      <alignment horizontal="center" vertical="bottom"/>
    </xf>
    <xf borderId="10" fillId="13" fontId="3" numFmtId="9" xfId="0" applyAlignment="1" applyBorder="1" applyFill="1" applyFont="1" applyNumberFormat="1">
      <alignment horizontal="center" vertical="bottom"/>
    </xf>
    <xf borderId="11" fillId="14" fontId="3" numFmtId="9" xfId="0" applyAlignment="1" applyBorder="1" applyFill="1" applyFont="1" applyNumberFormat="1">
      <alignment horizontal="center" vertical="bottom"/>
    </xf>
    <xf borderId="10" fillId="15" fontId="3" numFmtId="9" xfId="0" applyAlignment="1" applyBorder="1" applyFill="1" applyFont="1" applyNumberFormat="1">
      <alignment horizontal="center" vertical="bottom"/>
    </xf>
    <xf borderId="11" fillId="16" fontId="3" numFmtId="9" xfId="0" applyAlignment="1" applyBorder="1" applyFill="1" applyFont="1" applyNumberFormat="1">
      <alignment horizontal="center" vertical="bottom"/>
    </xf>
    <xf borderId="10" fillId="17" fontId="3" numFmtId="9" xfId="0" applyAlignment="1" applyBorder="1" applyFill="1" applyFont="1" applyNumberFormat="1">
      <alignment horizontal="center" vertical="bottom"/>
    </xf>
    <xf borderId="11" fillId="18" fontId="3" numFmtId="9" xfId="0" applyAlignment="1" applyBorder="1" applyFill="1" applyFont="1" applyNumberFormat="1">
      <alignment horizontal="center" vertical="bottom"/>
    </xf>
    <xf borderId="13" fillId="0" fontId="3" numFmtId="0" xfId="0" applyAlignment="1" applyBorder="1" applyFont="1">
      <alignment shrinkToFit="0" vertical="bottom" wrapText="1"/>
    </xf>
    <xf borderId="12" fillId="5" fontId="3" numFmtId="9" xfId="0" applyAlignment="1" applyBorder="1" applyFont="1" applyNumberFormat="1">
      <alignment horizontal="center" vertical="bottom"/>
    </xf>
    <xf borderId="12" fillId="0" fontId="69"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14" fillId="0" fontId="6" numFmtId="0" xfId="0" applyAlignment="1" applyBorder="1" applyFont="1">
      <alignment vertical="bottom"/>
    </xf>
    <xf borderId="0" fillId="0" fontId="6" numFmtId="164" xfId="0" applyAlignment="1" applyFont="1" applyNumberFormat="1">
      <alignment vertical="bottom"/>
    </xf>
    <xf borderId="8" fillId="19" fontId="3" numFmtId="9" xfId="0" applyAlignment="1" applyBorder="1" applyFill="1" applyFont="1" applyNumberFormat="1">
      <alignment horizontal="center" vertical="bottom"/>
    </xf>
    <xf borderId="9"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1" fillId="21" fontId="3" numFmtId="9" xfId="0" applyAlignment="1" applyBorder="1" applyFont="1" applyNumberFormat="1">
      <alignment horizontal="center" vertical="bottom"/>
    </xf>
    <xf borderId="12" fillId="22" fontId="3" numFmtId="9" xfId="0" applyAlignment="1" applyBorder="1" applyFill="1" applyFont="1" applyNumberFormat="1">
      <alignment horizontal="center" vertical="bottom"/>
    </xf>
    <xf borderId="13" fillId="23" fontId="3" numFmtId="9" xfId="0" applyAlignment="1" applyBorder="1" applyFill="1" applyFont="1" applyNumberFormat="1">
      <alignment horizontal="center" vertical="bottom"/>
    </xf>
    <xf borderId="8" fillId="24" fontId="3" numFmtId="9" xfId="0" applyAlignment="1" applyBorder="1" applyFill="1" applyFont="1" applyNumberFormat="1">
      <alignment horizontal="center" vertical="bottom"/>
    </xf>
    <xf borderId="8" fillId="0" fontId="69" numFmtId="0" xfId="0" applyAlignment="1" applyBorder="1" applyFont="1">
      <alignment horizontal="center" vertical="bottom"/>
    </xf>
    <xf borderId="9" fillId="25" fontId="3" numFmtId="9" xfId="0" applyAlignment="1" applyBorder="1" applyFill="1" applyFont="1" applyNumberFormat="1">
      <alignment horizontal="center" vertical="bottom"/>
    </xf>
    <xf borderId="10" fillId="26" fontId="3" numFmtId="9" xfId="0" applyAlignment="1" applyBorder="1" applyFill="1" applyFont="1" applyNumberFormat="1">
      <alignment horizontal="center" vertical="bottom"/>
    </xf>
    <xf borderId="10" fillId="0" fontId="69" numFmtId="0" xfId="0" applyAlignment="1" applyBorder="1" applyFont="1">
      <alignment horizontal="center" vertical="bottom"/>
    </xf>
    <xf borderId="11" fillId="27" fontId="3" numFmtId="9" xfId="0" applyAlignment="1" applyBorder="1" applyFill="1" applyFont="1" applyNumberFormat="1">
      <alignment horizontal="center" vertical="bottom"/>
    </xf>
    <xf borderId="12" fillId="26" fontId="3" numFmtId="9" xfId="0" applyAlignment="1" applyBorder="1" applyFont="1" applyNumberFormat="1">
      <alignment horizontal="center" vertical="bottom"/>
    </xf>
    <xf borderId="12" fillId="0" fontId="69" numFmtId="0" xfId="0" applyAlignment="1" applyBorder="1" applyFont="1">
      <alignment horizontal="center" vertical="bottom"/>
    </xf>
    <xf borderId="13" fillId="27" fontId="3" numFmtId="9" xfId="0" applyAlignment="1" applyBorder="1" applyFont="1" applyNumberFormat="1">
      <alignment horizontal="center" vertical="bottom"/>
    </xf>
    <xf borderId="19" fillId="0" fontId="6" numFmtId="170" xfId="0" applyAlignment="1" applyBorder="1" applyFont="1" applyNumberFormat="1">
      <alignment vertical="bottom"/>
    </xf>
    <xf borderId="15" fillId="0" fontId="6" numFmtId="170" xfId="0" applyAlignment="1" applyBorder="1" applyFont="1" applyNumberFormat="1">
      <alignment vertical="bottom"/>
    </xf>
    <xf borderId="16" fillId="0" fontId="6" numFmtId="170" xfId="0" applyAlignment="1" applyBorder="1" applyFont="1" applyNumberFormat="1">
      <alignment vertical="bottom"/>
    </xf>
    <xf borderId="19" fillId="3" fontId="1" numFmtId="0" xfId="0" applyAlignment="1" applyBorder="1" applyFont="1">
      <alignment vertical="bottom"/>
    </xf>
    <xf borderId="16" fillId="0" fontId="2" numFmtId="0" xfId="0" applyBorder="1" applyFont="1"/>
    <xf borderId="15" fillId="3" fontId="6" numFmtId="0" xfId="0" applyAlignment="1" applyBorder="1" applyFont="1">
      <alignment vertical="bottom"/>
    </xf>
    <xf borderId="16" fillId="3" fontId="6" numFmtId="0" xfId="0" applyAlignment="1" applyBorder="1" applyFont="1">
      <alignment vertical="bottom"/>
    </xf>
    <xf borderId="8" fillId="0" fontId="3" numFmtId="166" xfId="0" applyAlignment="1" applyBorder="1" applyFont="1" applyNumberFormat="1">
      <alignment horizontal="center" vertical="bottom"/>
    </xf>
    <xf borderId="8" fillId="0" fontId="69"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10" fillId="0" fontId="3" numFmtId="9" xfId="0" applyAlignment="1" applyBorder="1" applyFont="1" applyNumberFormat="1">
      <alignment horizontal="center" vertical="bottom"/>
    </xf>
    <xf borderId="10" fillId="0" fontId="69"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10" fillId="0" fontId="3" numFmtId="10" xfId="0" applyAlignment="1" applyBorder="1" applyFont="1" applyNumberFormat="1">
      <alignment horizontal="center" vertical="bottom"/>
    </xf>
    <xf borderId="10" fillId="0" fontId="69"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12" fillId="0" fontId="3" numFmtId="9" xfId="0" applyAlignment="1" applyBorder="1" applyFont="1" applyNumberFormat="1">
      <alignment horizontal="center" vertical="bottom"/>
    </xf>
    <xf borderId="12" fillId="0" fontId="69"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8" fillId="0" fontId="3" numFmtId="9" xfId="0" applyAlignment="1" applyBorder="1" applyFont="1" applyNumberFormat="1">
      <alignment horizontal="center" vertical="bottom"/>
    </xf>
    <xf borderId="8" fillId="0" fontId="69"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19"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2" fillId="2" fontId="1" numFmtId="0" xfId="0" applyAlignment="1" applyBorder="1" applyFont="1">
      <alignment shrinkToFit="0" vertical="bottom" wrapText="1"/>
    </xf>
    <xf borderId="1" fillId="2" fontId="20" numFmtId="0" xfId="0" applyAlignment="1" applyBorder="1" applyFont="1">
      <alignment horizontal="center" readingOrder="0"/>
    </xf>
    <xf borderId="20" fillId="2" fontId="1" numFmtId="0" xfId="0" applyAlignment="1" applyBorder="1" applyFont="1">
      <alignment shrinkToFit="0" vertical="bottom" wrapText="1"/>
    </xf>
    <xf borderId="14" fillId="2" fontId="1" numFmtId="0" xfId="0" applyAlignment="1" applyBorder="1" applyFont="1">
      <alignment shrinkToFit="0" vertical="bottom" wrapText="1"/>
    </xf>
    <xf borderId="7" fillId="2" fontId="20" numFmtId="0" xfId="0" applyAlignment="1" applyBorder="1" applyFont="1">
      <alignment horizontal="center" readingOrder="0" shrinkToFit="0" wrapText="1"/>
    </xf>
    <xf borderId="7"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9" fillId="2" fontId="20" numFmtId="0" xfId="0" applyAlignment="1" applyBorder="1" applyFont="1">
      <alignment horizontal="center" readingOrder="0" shrinkToFit="0" wrapText="1"/>
    </xf>
    <xf borderId="16" fillId="2" fontId="3" numFmtId="0" xfId="0" applyAlignment="1" applyBorder="1" applyFont="1">
      <alignment shrinkToFit="0" vertical="bottom" wrapText="1"/>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6" xfId="0" applyAlignment="1" applyBorder="1" applyFont="1" applyNumberFormat="1">
      <alignment vertical="bottom"/>
    </xf>
    <xf borderId="5" fillId="3" fontId="6" numFmtId="164" xfId="0" applyAlignment="1" applyBorder="1" applyFont="1" applyNumberFormat="1">
      <alignment vertical="bottom"/>
    </xf>
    <xf borderId="6" fillId="3" fontId="6" numFmtId="166" xfId="0" applyAlignment="1" applyBorder="1" applyFont="1" applyNumberFormat="1">
      <alignment vertical="bottom"/>
    </xf>
    <xf borderId="4" fillId="3" fontId="6" numFmtId="0" xfId="0" applyAlignment="1" applyBorder="1" applyFont="1">
      <alignment vertical="bottom"/>
    </xf>
    <xf borderId="0" fillId="0" fontId="3" numFmtId="0" xfId="0" applyAlignment="1" applyFont="1">
      <alignment horizontal="center" readingOrder="0"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5" xfId="0" applyAlignment="1" applyFont="1" applyNumberFormat="1">
      <alignment shrinkToFit="0" vertical="bottom" wrapText="1"/>
    </xf>
    <xf borderId="4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4" fillId="0" fontId="3" numFmtId="164" xfId="0" applyAlignment="1" applyBorder="1" applyFont="1" applyNumberFormat="1">
      <alignment horizontal="center" vertical="bottom"/>
    </xf>
    <xf borderId="49" fillId="0" fontId="3" numFmtId="3" xfId="0" applyAlignment="1" applyBorder="1" applyFont="1" applyNumberFormat="1">
      <alignment horizontal="center" vertical="bottom"/>
    </xf>
    <xf borderId="10"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7" fillId="0" fontId="6" numFmtId="165" xfId="0" applyAlignment="1" applyBorder="1" applyFont="1" applyNumberFormat="1">
      <alignment vertical="bottom"/>
    </xf>
    <xf borderId="0" fillId="0" fontId="6" numFmtId="165" xfId="0" applyAlignment="1" applyFont="1" applyNumberFormat="1">
      <alignment vertical="bottom"/>
    </xf>
    <xf borderId="8" fillId="0" fontId="3" numFmtId="165" xfId="0" applyAlignment="1" applyBorder="1" applyFont="1" applyNumberFormat="1">
      <alignment shrinkToFit="0" vertical="bottom" wrapText="1"/>
    </xf>
    <xf borderId="37" fillId="0" fontId="3" numFmtId="165" xfId="0" applyAlignment="1" applyBorder="1" applyFont="1" applyNumberFormat="1">
      <alignment horizontal="center" vertical="bottom"/>
    </xf>
    <xf borderId="8" fillId="0" fontId="69" numFmtId="165" xfId="0" applyAlignment="1" applyBorder="1" applyFont="1" applyNumberFormat="1">
      <alignment horizontal="center" vertical="bottom"/>
    </xf>
    <xf borderId="9" fillId="0" fontId="3" numFmtId="165" xfId="0" applyAlignment="1" applyBorder="1" applyFont="1" applyNumberFormat="1">
      <alignment horizontal="center" vertical="bottom"/>
    </xf>
    <xf borderId="37" fillId="0" fontId="3" numFmtId="166" xfId="0" applyAlignment="1" applyBorder="1" applyFont="1" applyNumberFormat="1">
      <alignment horizontal="center" vertical="bottom"/>
    </xf>
    <xf borderId="37" fillId="0" fontId="3" numFmtId="9" xfId="0" applyAlignment="1" applyBorder="1" applyFont="1" applyNumberFormat="1">
      <alignment horizontal="center" vertical="bottom"/>
    </xf>
    <xf borderId="37" fillId="0" fontId="3" numFmtId="10" xfId="0" applyAlignment="1" applyBorder="1" applyFont="1" applyNumberFormat="1">
      <alignment horizontal="center" vertical="bottom"/>
    </xf>
    <xf borderId="37" fillId="0" fontId="3" numFmtId="10" xfId="0" applyAlignment="1" applyBorder="1" applyFont="1" applyNumberFormat="1">
      <alignment horizontal="center" readingOrder="0" vertical="bottom"/>
    </xf>
    <xf borderId="9" fillId="0" fontId="3" numFmtId="10" xfId="0" applyAlignment="1" applyBorder="1" applyFont="1" applyNumberFormat="1">
      <alignment horizontal="center" readingOrder="0" vertical="bottom"/>
    </xf>
    <xf borderId="8" fillId="0" fontId="69" numFmtId="3" xfId="0" applyAlignment="1" applyBorder="1" applyFont="1" applyNumberFormat="1">
      <alignment horizontal="center" vertical="bottom"/>
    </xf>
    <xf borderId="8" fillId="0" fontId="69" numFmtId="173" xfId="0" applyAlignment="1" applyBorder="1" applyFont="1" applyNumberFormat="1">
      <alignment horizontal="center" vertical="bottom"/>
    </xf>
    <xf borderId="7" fillId="0" fontId="6" numFmtId="9" xfId="0" applyAlignment="1" applyBorder="1" applyFont="1" applyNumberFormat="1">
      <alignment vertical="bottom"/>
    </xf>
    <xf borderId="14"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3">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I1371" displayName="Table_1" name="Table_1" id="1">
  <tableColumns count="8">
    <tableColumn name="Location" id="1"/>
    <tableColumn name="Sex" id="2"/>
    <tableColumn name="Age" id="3"/>
    <tableColumn name="Cause" id="4"/>
    <tableColumn name="Year" id="5"/>
    <tableColumn name="Value" id="6"/>
    <tableColumn name="Lower" id="7"/>
    <tableColumn name="Upper" id="8"/>
  </tableColumns>
  <tableStyleInfo name="GBD estimates-style" showColumnStripes="0" showFirstColumn="1" showLastColumn="1" showRowStripes="1"/>
</table>
</file>

<file path=xl/tables/table2.xml><?xml version="1.0" encoding="utf-8"?>
<table xmlns="http://schemas.openxmlformats.org/spreadsheetml/2006/main" ref="K3:T1713" displayName="Table_2" name="Table_2" id="2">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2" showColumnStripes="0" showFirstColumn="1" showLastColumn="1" showRowStripes="1"/>
</table>
</file>

<file path=xl/tables/table3.xml><?xml version="1.0" encoding="utf-8"?>
<table xmlns="http://schemas.openxmlformats.org/spreadsheetml/2006/main" ref="V3:AE193" displayName="Table_3" name="Table_3" id="3">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o0l0xucYBa8rjVKwDHh_K5PZTN6GeoenaKz77bTMXa4/edit?gid=1110574950" TargetMode="External"/><Relationship Id="rId10"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W-_XtJPo2OYKyCdJ2Iyih_n2nCcQC5WSpEKNzfC2cwo/edit?usp=sharing" TargetMode="External"/><Relationship Id="rId12" Type="http://schemas.openxmlformats.org/officeDocument/2006/relationships/hyperlink" Target="https://docs.google.com/spreadsheets/d/1zl2r2tHhzkWBSTZJwfinBWaEBnfBn5EsKAIK_gsDMmg/edit?usp=sharing" TargetMode="External"/><Relationship Id="rId1" Type="http://schemas.openxmlformats.org/officeDocument/2006/relationships/hyperlink" Target="https://docs.google.com/spreadsheets/d/1S4CbCiKEmAiIPkWOUFbc0NqtjQOCTY1mxUeuqDlfhZ8/edit?usp=sharing" TargetMode="External"/><Relationship Id="rId2" Type="http://schemas.openxmlformats.org/officeDocument/2006/relationships/hyperlink" Target="https://docs.google.com/spreadsheets/d/19L_WlsGaLBDh2i0kgq8lCI3aAKx8XZ9fD4DO5ux_lW0/edit" TargetMode="External"/><Relationship Id="rId3" Type="http://schemas.openxmlformats.org/officeDocument/2006/relationships/hyperlink" Target="https://docs.google.com/spreadsheets/d/1Xy0Zi8Uh7-AnIVLvYDG8u6w7KAyAcQDwRB4CmPaVlLA/edit?usp=sharing" TargetMode="External"/><Relationship Id="rId4" Type="http://schemas.openxmlformats.org/officeDocument/2006/relationships/hyperlink" Target="https://docs.google.com/spreadsheets/d/1bHCRvkrJ3JlPJ3ap0ZlWhA7JesQrA34VsuM1sVjGLw8/edit?usp=sharing" TargetMode="External"/><Relationship Id="rId9" Type="http://schemas.openxmlformats.org/officeDocument/2006/relationships/hyperlink" Target="https://docs.google.com/spreadsheets/d/1YgMgML21RLKFHb0QlHphR-KwfJiukMdlIJ7Oub_TyQE/edit?usp=sharing" TargetMode="External"/><Relationship Id="rId14" Type="http://schemas.openxmlformats.org/officeDocument/2006/relationships/drawing" Target="../drawings/drawing1.xml"/><Relationship Id="rId5" Type="http://schemas.openxmlformats.org/officeDocument/2006/relationships/hyperlink" Target="https://docs.google.com/spreadsheets/d/1MVdzE0YUiv8XOUHzfqfcHyiXmWZmoSGWrJsOpQ7MUd0/edit?usp=sharing" TargetMode="External"/><Relationship Id="rId6" Type="http://schemas.openxmlformats.org/officeDocument/2006/relationships/hyperlink" Target="https://docs.google.com/spreadsheets/d/1mNmvYDlq2GAkESpiUPaTVluujZXgy3H8xbigXMMtrSw/edit?gid=664455604" TargetMode="External"/><Relationship Id="rId7" Type="http://schemas.openxmlformats.org/officeDocument/2006/relationships/hyperlink" Target="https://docs.google.com/spreadsheets/d/1zPm8-bC2ku2pNeJxxvC1MmzAfrUrPjm7103B6GhINxc/edit?gid=1078707964" TargetMode="External"/><Relationship Id="rId8" Type="http://schemas.openxmlformats.org/officeDocument/2006/relationships/hyperlink" Target="https://docs.google.com/spreadsheets/d/1GAcGQSyBQxcB6oGJFGGWCYqwY-jW7oahJJK-cTZOkMc/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bHCRvkrJ3JlPJ3ap0ZlWhA7JesQrA34VsuM1sVjGLw8/edit?usp=sharing" TargetMode="External"/><Relationship Id="rId42" Type="http://schemas.openxmlformats.org/officeDocument/2006/relationships/hyperlink" Target="https://docs.google.com/spreadsheets/d/1bHCRvkrJ3JlPJ3ap0ZlWhA7JesQrA34VsuM1sVjGLw8/edit?usp=sharing" TargetMode="External"/><Relationship Id="rId41" Type="http://schemas.openxmlformats.org/officeDocument/2006/relationships/hyperlink" Target="https://docs.google.com/spreadsheets/d/1bHCRvkrJ3JlPJ3ap0ZlWhA7JesQrA34VsuM1sVjGLw8/edit?usp=sharing" TargetMode="External"/><Relationship Id="rId44" Type="http://schemas.openxmlformats.org/officeDocument/2006/relationships/hyperlink" Target="https://files.givewell.org/files/DWDA%202009/NewIncentives/New_Incentives_State_Estimates_20230515.xlsx" TargetMode="External"/><Relationship Id="rId43" Type="http://schemas.openxmlformats.org/officeDocument/2006/relationships/hyperlink" Target="https://files.givewell.org/files/DWDA%202009/NewIncentives/New_Incentives_State_Estimates_20230515.xlsx" TargetMode="External"/><Relationship Id="rId46" Type="http://schemas.openxmlformats.org/officeDocument/2006/relationships/hyperlink" Target="https://files.givewell.org/files/DWDA%202009/NewIncentives/New_Incentives_State_Estimates_20230515.xlsx" TargetMode="External"/><Relationship Id="rId45" Type="http://schemas.openxmlformats.org/officeDocument/2006/relationships/hyperlink" Target="https://files.givewell.org/files/DWDA%202009/NewIncentives/New_Incentives_State_Estimates_20230515.xlsx" TargetMode="External"/><Relationship Id="rId48" Type="http://schemas.openxmlformats.org/officeDocument/2006/relationships/hyperlink" Target="https://files.givewell.org/files/DWDA%202009/NewIncentives/New_Incentives_State_Estimates_20230515.xlsx" TargetMode="External"/><Relationship Id="rId47" Type="http://schemas.openxmlformats.org/officeDocument/2006/relationships/hyperlink" Target="https://files.givewell.org/files/DWDA%202009/NewIncentives/New_Incentives_State_Estimates_20230515.xlsx" TargetMode="External"/><Relationship Id="rId49" Type="http://schemas.openxmlformats.org/officeDocument/2006/relationships/hyperlink" Target="https://files.givewell.org/files/DWDA%202009/NewIncentives/New_Incentives_State_Estimates_20230515.xlsx" TargetMode="External"/><Relationship Id="rId100" Type="http://schemas.openxmlformats.org/officeDocument/2006/relationships/vmlDrawing" Target="../drawings/vmlDrawing7.vml"/><Relationship Id="rId31" Type="http://schemas.openxmlformats.org/officeDocument/2006/relationships/hyperlink" Target="https://www.unicef.org/nigeria/media/6316/file/2021%20MICS%20full%20report%20.pdf" TargetMode="External"/><Relationship Id="rId30" Type="http://schemas.openxmlformats.org/officeDocument/2006/relationships/hyperlink" Target="https://www.unicef.org/nigeria/media/6316/file/2021%20MICS%20full%20report%20.pdf" TargetMode="External"/><Relationship Id="rId33" Type="http://schemas.openxmlformats.org/officeDocument/2006/relationships/hyperlink" Target="https://www.unicef.org/nigeria/sites/unicef.org.nigeria/files/2018-09/Nigeria-MICS-2016-17.pdf" TargetMode="External"/><Relationship Id="rId32" Type="http://schemas.openxmlformats.org/officeDocument/2006/relationships/hyperlink" Target="https://www.unicef.org/nigeria/sites/unicef.org.nigeria/files/2018-09/Nigeria-MICS-2016-17.pdf" TargetMode="External"/><Relationship Id="rId35" Type="http://schemas.openxmlformats.org/officeDocument/2006/relationships/hyperlink" Target="https://www.unicef.org/nigeria/sites/unicef.org.nigeria/files/2018-09/Nigeria-MICS-2016-17.pdf" TargetMode="External"/><Relationship Id="rId34" Type="http://schemas.openxmlformats.org/officeDocument/2006/relationships/hyperlink" Target="https://www.unicef.org/nigeria/sites/unicef.org.nigeria/files/2018-09/Nigeria-MICS-2016-17.pdf" TargetMode="External"/><Relationship Id="rId37" Type="http://schemas.openxmlformats.org/officeDocument/2006/relationships/hyperlink" Target="https://docs.google.com/spreadsheets/d/1Xy0Zi8Uh7-AnIVLvYDG8u6w7KAyAcQDwRB4CmPaVlLA/edit" TargetMode="External"/><Relationship Id="rId36" Type="http://schemas.openxmlformats.org/officeDocument/2006/relationships/hyperlink" Target="https://www.unicef.org/nigeria/sites/unicef.org.nigeria/files/2018-09/Nigeria-MICS-2016-17.pdf" TargetMode="External"/><Relationship Id="rId39" Type="http://schemas.openxmlformats.org/officeDocument/2006/relationships/hyperlink" Target="https://docs.google.com/spreadsheets/d/1bHCRvkrJ3JlPJ3ap0ZlWhA7JesQrA34VsuM1sVjGLw8/edit?usp=sharing" TargetMode="External"/><Relationship Id="rId38" Type="http://schemas.openxmlformats.org/officeDocument/2006/relationships/hyperlink" Target="https://docs.google.com/spreadsheets/d/1Xy0Zi8Uh7-AnIVLvYDG8u6w7KAyAcQDwRB4CmPaVlLA/edit" TargetMode="External"/><Relationship Id="rId20" Type="http://schemas.openxmlformats.org/officeDocument/2006/relationships/hyperlink" Target="https://docs.google.com/spreadsheets/d/1zPm8-bC2ku2pNeJxxvC1MmzAfrUrPjm7103B6GhINxc/edit?gid=0" TargetMode="External"/><Relationship Id="rId22" Type="http://schemas.openxmlformats.org/officeDocument/2006/relationships/hyperlink" Target="https://docs.google.com/spreadsheets/d/1zPm8-bC2ku2pNeJxxvC1MmzAfrUrPjm7103B6GhINxc/edit?gid=0" TargetMode="External"/><Relationship Id="rId21" Type="http://schemas.openxmlformats.org/officeDocument/2006/relationships/hyperlink" Target="https://docs.google.com/spreadsheets/d/1zPm8-bC2ku2pNeJxxvC1MmzAfrUrPjm7103B6GhINxc/edit?gid=0" TargetMode="External"/><Relationship Id="rId24" Type="http://schemas.openxmlformats.org/officeDocument/2006/relationships/hyperlink" Target="https://www.unicef.org/nigeria/media/6316/file/2021%20MICS%20full%20report%20.pdf" TargetMode="External"/><Relationship Id="rId23" Type="http://schemas.openxmlformats.org/officeDocument/2006/relationships/hyperlink" Target="https://www.unicef.org/nigeria/media/6316/file/2021%20MICS%20full%20report%20.pdf" TargetMode="External"/><Relationship Id="rId26" Type="http://schemas.openxmlformats.org/officeDocument/2006/relationships/hyperlink" Target="https://www.unicef.org/nigeria/media/6316/file/2021%20MICS%20full%20report%20.pdf" TargetMode="External"/><Relationship Id="rId25" Type="http://schemas.openxmlformats.org/officeDocument/2006/relationships/hyperlink" Target="https://www.unicef.org/nigeria/media/6316/file/2021%20MICS%20full%20report%20.pdf" TargetMode="External"/><Relationship Id="rId28" Type="http://schemas.openxmlformats.org/officeDocument/2006/relationships/hyperlink" Target="https://www.unicef.org/nigeria/media/6316/file/2021%20MICS%20full%20report%20.pdf" TargetMode="External"/><Relationship Id="rId27" Type="http://schemas.openxmlformats.org/officeDocument/2006/relationships/hyperlink" Target="https://www.unicef.org/nigeria/media/6316/file/2021%20MICS%20full%20report%20.pdf" TargetMode="External"/><Relationship Id="rId29" Type="http://schemas.openxmlformats.org/officeDocument/2006/relationships/hyperlink" Target="https://www.unicef.org/nigeria/media/6316/file/2021%20MICS%20full%20report%20.pdf" TargetMode="External"/><Relationship Id="rId95" Type="http://schemas.openxmlformats.org/officeDocument/2006/relationships/hyperlink" Target="https://docs.google.com/spreadsheets/d/1d6r-QJ6m1oBlSKBJBPYxDXlFHRoSeAiniqtmvIWSWfM/edit?usp=sharing" TargetMode="External"/><Relationship Id="rId94" Type="http://schemas.openxmlformats.org/officeDocument/2006/relationships/hyperlink" Target="https://docs.google.com/spreadsheets/d/1mNmvYDlq2GAkESpiUPaTVluujZXgy3H8xbigXMMtrSw/edit?gid=664455604" TargetMode="External"/><Relationship Id="rId97" Type="http://schemas.openxmlformats.org/officeDocument/2006/relationships/hyperlink" Target="https://docs.google.com/spreadsheets/d/1zl2r2tHhzkWBSTZJwfinBWaEBnfBn5EsKAIK_gsDMmg/edit?usp=sharing" TargetMode="External"/><Relationship Id="rId96" Type="http://schemas.openxmlformats.org/officeDocument/2006/relationships/hyperlink" Target="https://docs.google.com/spreadsheets/d/1d6r-QJ6m1oBlSKBJBPYxDXlFHRoSeAiniqtmvIWSWfM/edit?usp=sharing" TargetMode="External"/><Relationship Id="rId11" Type="http://schemas.openxmlformats.org/officeDocument/2006/relationships/hyperlink" Target="https://doi.org/10.1080/15321819.2014.920713" TargetMode="External"/><Relationship Id="rId99" Type="http://schemas.openxmlformats.org/officeDocument/2006/relationships/drawing" Target="../drawings/drawing9.xml"/><Relationship Id="rId10" Type="http://schemas.openxmlformats.org/officeDocument/2006/relationships/hyperlink" Target="https://docs.google.com/spreadsheets/d/19L_WlsGaLBDh2i0kgq8lCI3aAKx8XZ9fD4DO5ux_lW0/edit" TargetMode="External"/><Relationship Id="rId98" Type="http://schemas.openxmlformats.org/officeDocument/2006/relationships/hyperlink" Target="https://docs.google.com/spreadsheets/d/1zl2r2tHhzkWBSTZJwfinBWaEBnfBn5EsKAIK_gsDMmg/edit?usp=sharing" TargetMode="External"/><Relationship Id="rId13" Type="http://schemas.openxmlformats.org/officeDocument/2006/relationships/hyperlink" Target="https://en.wikipedia.org/wiki/Local_government_areas_of_Nigeria" TargetMode="External"/><Relationship Id="rId12" Type="http://schemas.openxmlformats.org/officeDocument/2006/relationships/hyperlink" Target="https://doi.org/10.1093/infdis/jir102" TargetMode="External"/><Relationship Id="rId91" Type="http://schemas.openxmlformats.org/officeDocument/2006/relationships/hyperlink" Target="https://docs.google.com/spreadsheets/d/1UFFeXbEEFZVw1Hb3kpzDHuD77T4rhMQhEUxYRyX2gyU/edit?gid=172075772" TargetMode="External"/><Relationship Id="rId90" Type="http://schemas.openxmlformats.org/officeDocument/2006/relationships/hyperlink" Target="https://docs.google.com/spreadsheets/d/1UFFeXbEEFZVw1Hb3kpzDHuD77T4rhMQhEUxYRyX2gyU/edit?gid=172075772" TargetMode="External"/><Relationship Id="rId93" Type="http://schemas.openxmlformats.org/officeDocument/2006/relationships/hyperlink" Target="https://docs.google.com/spreadsheets/d/1UFFeXbEEFZVw1Hb3kpzDHuD77T4rhMQhEUxYRyX2gyU/edit?gid=172075772" TargetMode="External"/><Relationship Id="rId92" Type="http://schemas.openxmlformats.org/officeDocument/2006/relationships/hyperlink" Target="https://docs.google.com/spreadsheets/d/1UFFeXbEEFZVw1Hb3kpzDHuD77T4rhMQhEUxYRyX2gyU/edit?gid=172075772" TargetMode="External"/><Relationship Id="rId15" Type="http://schemas.openxmlformats.org/officeDocument/2006/relationships/hyperlink" Target="https://docs.google.com/spreadsheets/d/10FYogDtnL45YVMZ5H_YyHU7mb6PPaQ2B/edit?gid=121667002" TargetMode="External"/><Relationship Id="rId14" Type="http://schemas.openxmlformats.org/officeDocument/2006/relationships/hyperlink" Target="https://docs.google.com/spreadsheets/d/1zPm8-bC2ku2pNeJxxvC1MmzAfrUrPjm7103B6GhINxc/edit?gid=1078707964" TargetMode="External"/><Relationship Id="rId17" Type="http://schemas.openxmlformats.org/officeDocument/2006/relationships/hyperlink" Target="https://docs.google.com/spreadsheets/d/1zPm8-bC2ku2pNeJxxvC1MmzAfrUrPjm7103B6GhINxc/edit?gid=0" TargetMode="External"/><Relationship Id="rId16" Type="http://schemas.openxmlformats.org/officeDocument/2006/relationships/hyperlink" Target="https://docs.google.com/spreadsheets/d/10FYogDtnL45YVMZ5H_YyHU7mb6PPaQ2B/edit?gid=121667002" TargetMode="External"/><Relationship Id="rId19" Type="http://schemas.openxmlformats.org/officeDocument/2006/relationships/hyperlink" Target="https://docs.google.com/spreadsheets/d/1zPm8-bC2ku2pNeJxxvC1MmzAfrUrPjm7103B6GhINxc/edit?gid=0" TargetMode="External"/><Relationship Id="rId18" Type="http://schemas.openxmlformats.org/officeDocument/2006/relationships/hyperlink" Target="https://docs.google.com/spreadsheets/d/1zPm8-bC2ku2pNeJxxvC1MmzAfrUrPjm7103B6GhINxc/edit?gid=0" TargetMode="External"/><Relationship Id="rId84" Type="http://schemas.openxmlformats.org/officeDocument/2006/relationships/hyperlink" Target="https://docs.google.com/document/d/1frwDp_odHXDK5pIl2q6zUdI07P1bQ0O1mW4IGTouqBA/edit?tab=t.0" TargetMode="External"/><Relationship Id="rId83" Type="http://schemas.openxmlformats.org/officeDocument/2006/relationships/hyperlink" Target="https://docs.google.com/spreadsheets/d/1UFFeXbEEFZVw1Hb3kpzDHuD77T4rhMQhEUxYRyX2gyU/edit?gid=172075772" TargetMode="External"/><Relationship Id="rId86" Type="http://schemas.openxmlformats.org/officeDocument/2006/relationships/hyperlink" Target="https://docs.google.com/spreadsheets/d/1UFFeXbEEFZVw1Hb3kpzDHuD77T4rhMQhEUxYRyX2gyU/edit?gid=172075772" TargetMode="External"/><Relationship Id="rId85" Type="http://schemas.openxmlformats.org/officeDocument/2006/relationships/hyperlink" Target="https://docs.google.com/spreadsheets/d/1UFFeXbEEFZVw1Hb3kpzDHuD77T4rhMQhEUxYRyX2gyU/edit?gid=172075772" TargetMode="External"/><Relationship Id="rId88" Type="http://schemas.openxmlformats.org/officeDocument/2006/relationships/hyperlink" Target="https://docs.google.com/spreadsheets/d/1UFFeXbEEFZVw1Hb3kpzDHuD77T4rhMQhEUxYRyX2gyU/edit?gid=172075772" TargetMode="External"/><Relationship Id="rId87" Type="http://schemas.openxmlformats.org/officeDocument/2006/relationships/hyperlink" Target="https://docs.google.com/spreadsheets/d/1UFFeXbEEFZVw1Hb3kpzDHuD77T4rhMQhEUxYRyX2gyU/edit?gid=172075772" TargetMode="External"/><Relationship Id="rId89" Type="http://schemas.openxmlformats.org/officeDocument/2006/relationships/hyperlink" Target="https://docs.google.com/spreadsheets/d/1UFFeXbEEFZVw1Hb3kpzDHuD77T4rhMQhEUxYRyX2gyU/edit?gid=172075772" TargetMode="External"/><Relationship Id="rId80" Type="http://schemas.openxmlformats.org/officeDocument/2006/relationships/hyperlink" Target="https://docs.google.com/spreadsheets/d/1o0l0xucYBa8rjVKwDHh_K5PZTN6GeoenaKz77bTMXa4/edit?gid=1110574950" TargetMode="External"/><Relationship Id="rId82" Type="http://schemas.openxmlformats.org/officeDocument/2006/relationships/hyperlink" Target="https://docs.google.com/spreadsheets/d/1UFFeXbEEFZVw1Hb3kpzDHuD77T4rhMQhEUxYRyX2gyU/edit?gid=172075772" TargetMode="External"/><Relationship Id="rId81" Type="http://schemas.openxmlformats.org/officeDocument/2006/relationships/hyperlink" Target="https://docs.google.com/spreadsheets/d/1UFFeXbEEFZVw1Hb3kpzDHuD77T4rhMQhEUxYRyX2gyU/edit?gid=172075772" TargetMode="External"/><Relationship Id="rId1" Type="http://schemas.openxmlformats.org/officeDocument/2006/relationships/comments" Target="../comments7.xml"/><Relationship Id="rId2" Type="http://schemas.openxmlformats.org/officeDocument/2006/relationships/hyperlink" Target="https://docs.google.com/spreadsheets/d/1d6r-QJ6m1oBlSKBJBPYxDXlFHRoSeAiniqtmvIWSWfM/edit" TargetMode="External"/><Relationship Id="rId3" Type="http://schemas.openxmlformats.org/officeDocument/2006/relationships/hyperlink" Target="https://www.ncbi.nlm.nih.gov/books/NBK260967/" TargetMode="External"/><Relationship Id="rId4" Type="http://schemas.openxmlformats.org/officeDocument/2006/relationships/hyperlink" Target="https://list.spectrumweb.org/" TargetMode="External"/><Relationship Id="rId9" Type="http://schemas.openxmlformats.org/officeDocument/2006/relationships/hyperlink" Target="https://list.spectrumweb.org/" TargetMode="External"/><Relationship Id="rId5" Type="http://schemas.openxmlformats.org/officeDocument/2006/relationships/hyperlink" Target="https://doi.org/10.1177/2051013615575871" TargetMode="External"/><Relationship Id="rId6" Type="http://schemas.openxmlformats.org/officeDocument/2006/relationships/hyperlink" Target="https://www.thelancet.com/journals/lancet/article/PIIS0140-6736(05)71876-6/abstract" TargetMode="External"/><Relationship Id="rId7" Type="http://schemas.openxmlformats.org/officeDocument/2006/relationships/hyperlink" Target="https://list.spectrumweb.org/" TargetMode="External"/><Relationship Id="rId8" Type="http://schemas.openxmlformats.org/officeDocument/2006/relationships/hyperlink" Target="https://list.spectrumweb.org/" TargetMode="External"/><Relationship Id="rId73" Type="http://schemas.openxmlformats.org/officeDocument/2006/relationships/hyperlink" Target="https://docs.google.com/spreadsheets/d/1ZWoQhJwsSkM01rvnDPrKd0wSG7aayK5RMiHdNAAKoL4/edit" TargetMode="External"/><Relationship Id="rId72" Type="http://schemas.openxmlformats.org/officeDocument/2006/relationships/hyperlink" Target="https://docs.google.com/spreadsheets/d/1MVdzE0YUiv8XOUHzfqfcHyiXmWZmoSGWrJsOpQ7MUd0/edit?usp=sharing" TargetMode="External"/><Relationship Id="rId75" Type="http://schemas.openxmlformats.org/officeDocument/2006/relationships/hyperlink" Target="https://docs.google.com/spreadsheets/d/1GAcGQSyBQxcB6oGJFGGWCYqwY-jW7oahJJK-cTZOkMc/edit" TargetMode="External"/><Relationship Id="rId74" Type="http://schemas.openxmlformats.org/officeDocument/2006/relationships/hyperlink" Target="https://docs.google.com/spreadsheets/d/1GAcGQSyBQxcB6oGJFGGWCYqwY-jW7oahJJK-cTZOkMc/edit" TargetMode="External"/><Relationship Id="rId77" Type="http://schemas.openxmlformats.org/officeDocument/2006/relationships/hyperlink" Target="https://docs.google.com/spreadsheets/d/1GAcGQSyBQxcB6oGJFGGWCYqwY-jW7oahJJK-cTZOkMc/edit" TargetMode="External"/><Relationship Id="rId76" Type="http://schemas.openxmlformats.org/officeDocument/2006/relationships/hyperlink" Target="https://docs.google.com/spreadsheets/d/1GAcGQSyBQxcB6oGJFGGWCYqwY-jW7oahJJK-cTZOkMc/edit" TargetMode="External"/><Relationship Id="rId79" Type="http://schemas.openxmlformats.org/officeDocument/2006/relationships/hyperlink" Target="https://docs.google.com/spreadsheets/d/1GAcGQSyBQxcB6oGJFGGWCYqwY-jW7oahJJK-cTZOkMc/edit" TargetMode="External"/><Relationship Id="rId78" Type="http://schemas.openxmlformats.org/officeDocument/2006/relationships/hyperlink" Target="https://docs.google.com/spreadsheets/d/1GAcGQSyBQxcB6oGJFGGWCYqwY-jW7oahJJK-cTZOkMc/edit" TargetMode="External"/><Relationship Id="rId71" Type="http://schemas.openxmlformats.org/officeDocument/2006/relationships/hyperlink" Target="https://www.cbn.gov.ng/rates/exchratebycurrency.asp" TargetMode="External"/><Relationship Id="rId70" Type="http://schemas.openxmlformats.org/officeDocument/2006/relationships/hyperlink" Target="https://files.givewell.org/files/DWDA%202009/NewIncentives/New%20Incentives_Proposal_for_Program_Additions_to_Increase_Coverage_Rates.pdf" TargetMode="External"/><Relationship Id="rId62" Type="http://schemas.openxmlformats.org/officeDocument/2006/relationships/hyperlink" Target="https://docs.google.com/spreadsheets/d/1zSLAGWqQXJvGDXTl-pIMuX3wANz9wVSWT3Zd3FQScdM/edit" TargetMode="External"/><Relationship Id="rId61" Type="http://schemas.openxmlformats.org/officeDocument/2006/relationships/hyperlink" Target="https://docs.google.com/spreadsheets/d/1zSLAGWqQXJvGDXTl-pIMuX3wANz9wVSWT3Zd3FQScdM/edit" TargetMode="External"/><Relationship Id="rId64" Type="http://schemas.openxmlformats.org/officeDocument/2006/relationships/hyperlink" Target="https://www.newincentives.org/our-work" TargetMode="External"/><Relationship Id="rId63" Type="http://schemas.openxmlformats.org/officeDocument/2006/relationships/hyperlink" Target="https://www.newincentives.org/our-work" TargetMode="External"/><Relationship Id="rId66" Type="http://schemas.openxmlformats.org/officeDocument/2006/relationships/hyperlink" Target="https://www.newincentives.org/our-work" TargetMode="External"/><Relationship Id="rId65" Type="http://schemas.openxmlformats.org/officeDocument/2006/relationships/hyperlink" Target="https://www.newincentives.org/our-work" TargetMode="External"/><Relationship Id="rId68" Type="http://schemas.openxmlformats.org/officeDocument/2006/relationships/hyperlink" Target="https://www.newincentives.org/our-work" TargetMode="External"/><Relationship Id="rId67" Type="http://schemas.openxmlformats.org/officeDocument/2006/relationships/hyperlink" Target="https://www.newincentives.org/our-work" TargetMode="External"/><Relationship Id="rId60" Type="http://schemas.openxmlformats.org/officeDocument/2006/relationships/hyperlink" Target="https://docs.google.com/spreadsheets/d/1KcWL0lRGOnH9kwdr52aonM8iK4gbJJqKQehhYEIFYe8/edit" TargetMode="External"/><Relationship Id="rId69" Type="http://schemas.openxmlformats.org/officeDocument/2006/relationships/hyperlink" Target="https://www.newincentives.org/our-work" TargetMode="External"/><Relationship Id="rId51" Type="http://schemas.openxmlformats.org/officeDocument/2006/relationships/hyperlink" Target="https://docs.google.com/spreadsheets/d/1Xy0Zi8Uh7-AnIVLvYDG8u6w7KAyAcQDwRB4CmPaVlLA/edit" TargetMode="External"/><Relationship Id="rId50" Type="http://schemas.openxmlformats.org/officeDocument/2006/relationships/hyperlink" Target="https://files.givewell.org/files/DWDA%202009/NewIncentives/New_Incentives_State_Estimates_20230515.xlsx" TargetMode="External"/><Relationship Id="rId53" Type="http://schemas.openxmlformats.org/officeDocument/2006/relationships/hyperlink" Target="https://files.givewell.org/files/DWDA%202009/NewIncentives/IDinsight_Impact_Evaluation_of_New_Incentives_Final_Report.pdf" TargetMode="External"/><Relationship Id="rId52" Type="http://schemas.openxmlformats.org/officeDocument/2006/relationships/hyperlink" Target="https://files.givewell.org/files/DWDA%202009/NewIncentives/IDinsight_Impact_Evaluation_of_New_Incentives_Final_Report.pdf" TargetMode="External"/><Relationship Id="rId55" Type="http://schemas.openxmlformats.org/officeDocument/2006/relationships/hyperlink" Target="https://files.givewell.org/files/DWDA%202009/NewIncentives/IDinsight_Impact_Evaluation_of_New_Incentives_Final_Report.pdf" TargetMode="External"/><Relationship Id="rId54" Type="http://schemas.openxmlformats.org/officeDocument/2006/relationships/hyperlink" Target="https://files.givewell.org/files/DWDA%202009/NewIncentives/IDinsight_Impact_Evaluation_of_New_Incentives_Final_Report.pdf" TargetMode="External"/><Relationship Id="rId57" Type="http://schemas.openxmlformats.org/officeDocument/2006/relationships/hyperlink" Target="https://files.givewell.org/files/DWDA%202009/NewIncentives/IDinsight_Impact_Evaluation_of_New_Incentives_Final_Report.pdf" TargetMode="External"/><Relationship Id="rId56" Type="http://schemas.openxmlformats.org/officeDocument/2006/relationships/hyperlink" Target="https://files.givewell.org/files/DWDA%202009/NewIncentives/IDinsight_Impact_Evaluation_of_New_Incentives_Final_Report.pdf" TargetMode="External"/><Relationship Id="rId59" Type="http://schemas.openxmlformats.org/officeDocument/2006/relationships/hyperlink" Target="https://files.givewell.org/files/DWDA%202009/NewIncentives/IDinsight_Impact_Evaluation_of_New_Incentives_Final_Report.pdf" TargetMode="External"/><Relationship Id="rId58" Type="http://schemas.openxmlformats.org/officeDocument/2006/relationships/hyperlink" Target="https://files.givewell.org/files/DWDA%202009/NewIncentives/IDinsight_Impact_Evaluation_of_New_Incentives_Final_Report.pdf"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c r="W1" s="5"/>
      <c r="X1" s="5"/>
      <c r="Y1" s="5"/>
      <c r="Z1" s="5"/>
      <c r="AA1" s="5"/>
      <c r="AB1" s="5"/>
      <c r="AC1" s="5"/>
      <c r="AD1" s="5"/>
      <c r="AE1" s="5"/>
    </row>
    <row r="2">
      <c r="A2" s="6" t="s">
        <v>1</v>
      </c>
      <c r="B2" s="7"/>
      <c r="C2" s="7"/>
      <c r="D2" s="7"/>
      <c r="E2" s="7"/>
      <c r="F2" s="7"/>
      <c r="G2" s="7"/>
      <c r="H2" s="8"/>
      <c r="I2" s="8"/>
      <c r="J2" s="8"/>
      <c r="K2" s="8"/>
      <c r="L2" s="8"/>
      <c r="M2" s="8"/>
      <c r="N2" s="8"/>
      <c r="O2" s="8"/>
      <c r="P2" s="8"/>
      <c r="Q2" s="8"/>
      <c r="R2" s="8"/>
      <c r="S2" s="8"/>
      <c r="T2" s="8"/>
      <c r="U2" s="8"/>
      <c r="V2" s="9"/>
      <c r="W2" s="10"/>
      <c r="X2" s="10"/>
      <c r="Y2" s="10"/>
      <c r="Z2" s="10"/>
      <c r="AA2" s="10"/>
      <c r="AB2" s="10"/>
      <c r="AC2" s="10"/>
      <c r="AD2" s="10"/>
      <c r="AE2" s="10"/>
    </row>
    <row r="3">
      <c r="A3" s="11"/>
      <c r="B3" s="11"/>
      <c r="C3" s="11"/>
      <c r="D3" s="11"/>
      <c r="E3" s="12"/>
      <c r="F3" s="11"/>
      <c r="G3" s="11"/>
      <c r="H3" s="13"/>
      <c r="I3" s="13"/>
      <c r="J3" s="13"/>
      <c r="K3" s="13"/>
      <c r="L3" s="13"/>
      <c r="M3" s="13"/>
      <c r="N3" s="13"/>
      <c r="O3" s="13"/>
      <c r="P3" s="13"/>
      <c r="Q3" s="13"/>
      <c r="R3" s="13"/>
      <c r="S3" s="13"/>
      <c r="T3" s="13"/>
      <c r="U3" s="13"/>
      <c r="V3" s="13"/>
      <c r="W3" s="13"/>
      <c r="X3" s="13"/>
      <c r="Y3" s="13"/>
      <c r="Z3" s="13"/>
      <c r="AA3" s="13"/>
      <c r="AB3" s="13"/>
      <c r="AC3" s="13"/>
      <c r="AD3" s="13"/>
      <c r="AE3" s="13"/>
    </row>
    <row r="4">
      <c r="A4" s="14"/>
      <c r="B4" s="11"/>
      <c r="C4" s="11"/>
      <c r="D4" s="11"/>
      <c r="E4" s="15" t="s">
        <v>2</v>
      </c>
      <c r="F4" s="16" t="s">
        <v>3</v>
      </c>
      <c r="G4" s="16"/>
      <c r="H4" s="17"/>
      <c r="I4" s="17"/>
      <c r="J4" s="17"/>
      <c r="K4" s="17"/>
      <c r="L4" s="17"/>
      <c r="M4" s="17"/>
      <c r="N4" s="17"/>
      <c r="O4" s="17"/>
      <c r="P4" s="17"/>
      <c r="Q4" s="17"/>
      <c r="R4" s="17"/>
      <c r="S4" s="17"/>
      <c r="T4" s="17"/>
      <c r="U4" s="17"/>
      <c r="V4" s="18"/>
      <c r="W4" s="13"/>
      <c r="X4" s="13"/>
      <c r="Y4" s="13"/>
      <c r="Z4" s="13"/>
      <c r="AA4" s="13"/>
      <c r="AB4" s="13"/>
      <c r="AC4" s="13"/>
      <c r="AD4" s="13"/>
      <c r="AE4" s="13"/>
    </row>
    <row r="5">
      <c r="A5" s="14"/>
      <c r="B5" s="11"/>
      <c r="C5" s="11"/>
      <c r="D5" s="11"/>
      <c r="E5" s="19" t="s">
        <v>4</v>
      </c>
      <c r="F5" s="20" t="s">
        <v>5</v>
      </c>
      <c r="G5" s="20"/>
      <c r="H5" s="21"/>
      <c r="I5" s="21"/>
      <c r="J5" s="21"/>
      <c r="K5" s="21"/>
      <c r="L5" s="21"/>
      <c r="M5" s="21"/>
      <c r="N5" s="21"/>
      <c r="O5" s="21"/>
      <c r="P5" s="21"/>
      <c r="Q5" s="21"/>
      <c r="R5" s="21"/>
      <c r="S5" s="21"/>
      <c r="T5" s="21"/>
      <c r="U5" s="21"/>
      <c r="V5" s="22"/>
      <c r="W5" s="13"/>
      <c r="X5" s="13"/>
      <c r="Y5" s="13"/>
      <c r="Z5" s="13"/>
      <c r="AA5" s="13"/>
      <c r="AB5" s="13"/>
      <c r="AC5" s="13"/>
      <c r="AD5" s="13"/>
      <c r="AE5" s="13"/>
    </row>
    <row r="6">
      <c r="A6" s="14"/>
      <c r="B6" s="11"/>
      <c r="C6" s="11"/>
      <c r="D6" s="11"/>
      <c r="E6" s="19" t="s">
        <v>6</v>
      </c>
      <c r="F6" s="20" t="s">
        <v>7</v>
      </c>
      <c r="G6" s="20"/>
      <c r="H6" s="21"/>
      <c r="I6" s="21"/>
      <c r="J6" s="21"/>
      <c r="K6" s="21"/>
      <c r="L6" s="21"/>
      <c r="M6" s="21"/>
      <c r="N6" s="21"/>
      <c r="O6" s="21"/>
      <c r="P6" s="21"/>
      <c r="Q6" s="21"/>
      <c r="R6" s="21"/>
      <c r="S6" s="21"/>
      <c r="T6" s="21"/>
      <c r="U6" s="21"/>
      <c r="V6" s="22"/>
      <c r="W6" s="13"/>
      <c r="X6" s="13"/>
      <c r="Y6" s="13"/>
      <c r="Z6" s="13"/>
      <c r="AA6" s="13"/>
      <c r="AB6" s="13"/>
      <c r="AC6" s="13"/>
      <c r="AD6" s="13"/>
      <c r="AE6" s="13"/>
    </row>
    <row r="7">
      <c r="A7" s="14"/>
      <c r="B7" s="11"/>
      <c r="C7" s="11"/>
      <c r="D7" s="11"/>
      <c r="E7" s="19" t="s">
        <v>8</v>
      </c>
      <c r="F7" s="20" t="s">
        <v>9</v>
      </c>
      <c r="G7" s="20"/>
      <c r="H7" s="21"/>
      <c r="I7" s="21"/>
      <c r="J7" s="21"/>
      <c r="K7" s="21"/>
      <c r="L7" s="21"/>
      <c r="M7" s="21"/>
      <c r="N7" s="21"/>
      <c r="O7" s="21"/>
      <c r="P7" s="21"/>
      <c r="Q7" s="21"/>
      <c r="R7" s="21"/>
      <c r="S7" s="21"/>
      <c r="T7" s="21"/>
      <c r="U7" s="21"/>
      <c r="V7" s="22"/>
      <c r="W7" s="13"/>
      <c r="X7" s="13"/>
      <c r="Y7" s="13"/>
      <c r="Z7" s="13"/>
      <c r="AA7" s="13"/>
      <c r="AB7" s="13"/>
      <c r="AC7" s="13"/>
      <c r="AD7" s="13"/>
      <c r="AE7" s="13"/>
    </row>
    <row r="8">
      <c r="A8" s="14"/>
      <c r="B8" s="11"/>
      <c r="C8" s="11"/>
      <c r="D8" s="11"/>
      <c r="E8" s="19" t="s">
        <v>10</v>
      </c>
      <c r="F8" s="20" t="s">
        <v>11</v>
      </c>
      <c r="G8" s="20"/>
      <c r="H8" s="21"/>
      <c r="I8" s="21"/>
      <c r="J8" s="21"/>
      <c r="K8" s="21"/>
      <c r="L8" s="21"/>
      <c r="M8" s="21"/>
      <c r="N8" s="21"/>
      <c r="O8" s="21"/>
      <c r="P8" s="21"/>
      <c r="Q8" s="21"/>
      <c r="R8" s="21"/>
      <c r="S8" s="21"/>
      <c r="T8" s="21"/>
      <c r="U8" s="21"/>
      <c r="V8" s="22"/>
      <c r="W8" s="13"/>
      <c r="X8" s="13"/>
      <c r="Y8" s="13"/>
      <c r="Z8" s="13"/>
      <c r="AA8" s="13"/>
      <c r="AB8" s="13"/>
      <c r="AC8" s="13"/>
      <c r="AD8" s="13"/>
      <c r="AE8" s="13"/>
    </row>
    <row r="9">
      <c r="A9" s="14"/>
      <c r="B9" s="11"/>
      <c r="C9" s="11"/>
      <c r="D9" s="11"/>
      <c r="E9" s="19" t="s">
        <v>12</v>
      </c>
      <c r="F9" s="20" t="s">
        <v>13</v>
      </c>
      <c r="G9" s="20"/>
      <c r="H9" s="21"/>
      <c r="I9" s="21"/>
      <c r="J9" s="21"/>
      <c r="K9" s="21"/>
      <c r="L9" s="21"/>
      <c r="M9" s="21"/>
      <c r="N9" s="21"/>
      <c r="O9" s="21"/>
      <c r="P9" s="21"/>
      <c r="Q9" s="21"/>
      <c r="R9" s="21"/>
      <c r="S9" s="21"/>
      <c r="T9" s="21"/>
      <c r="U9" s="21"/>
      <c r="V9" s="22"/>
      <c r="W9" s="13"/>
      <c r="X9" s="13"/>
      <c r="Y9" s="13"/>
      <c r="Z9" s="13"/>
      <c r="AA9" s="13"/>
      <c r="AB9" s="13"/>
      <c r="AC9" s="13"/>
      <c r="AD9" s="13"/>
      <c r="AE9" s="13"/>
    </row>
    <row r="10">
      <c r="A10" s="14"/>
      <c r="B10" s="11"/>
      <c r="C10" s="11"/>
      <c r="D10" s="11"/>
      <c r="E10" s="19" t="s">
        <v>14</v>
      </c>
      <c r="F10" s="20" t="s">
        <v>15</v>
      </c>
      <c r="G10" s="20"/>
      <c r="H10" s="21"/>
      <c r="I10" s="21"/>
      <c r="J10" s="21"/>
      <c r="K10" s="21"/>
      <c r="L10" s="21"/>
      <c r="M10" s="21"/>
      <c r="N10" s="21"/>
      <c r="O10" s="21"/>
      <c r="P10" s="21"/>
      <c r="Q10" s="21"/>
      <c r="R10" s="21"/>
      <c r="S10" s="21"/>
      <c r="T10" s="21"/>
      <c r="U10" s="21"/>
      <c r="V10" s="22"/>
      <c r="W10" s="13"/>
      <c r="X10" s="13"/>
      <c r="Y10" s="13"/>
      <c r="Z10" s="13"/>
      <c r="AA10" s="13"/>
      <c r="AB10" s="13"/>
      <c r="AC10" s="13"/>
      <c r="AD10" s="13"/>
      <c r="AE10" s="13"/>
    </row>
    <row r="11">
      <c r="A11" s="14"/>
      <c r="B11" s="11"/>
      <c r="C11" s="11"/>
      <c r="D11" s="11"/>
      <c r="E11" s="19" t="s">
        <v>16</v>
      </c>
      <c r="F11" s="20" t="s">
        <v>17</v>
      </c>
      <c r="G11" s="20"/>
      <c r="H11" s="21"/>
      <c r="I11" s="21"/>
      <c r="J11" s="21"/>
      <c r="K11" s="21"/>
      <c r="L11" s="21"/>
      <c r="M11" s="21"/>
      <c r="N11" s="21"/>
      <c r="O11" s="21"/>
      <c r="P11" s="21"/>
      <c r="Q11" s="21"/>
      <c r="R11" s="21"/>
      <c r="S11" s="21"/>
      <c r="T11" s="21"/>
      <c r="U11" s="21"/>
      <c r="V11" s="22"/>
      <c r="W11" s="13"/>
      <c r="X11" s="13"/>
      <c r="Y11" s="13"/>
      <c r="Z11" s="13"/>
      <c r="AA11" s="13"/>
      <c r="AB11" s="13"/>
      <c r="AC11" s="13"/>
      <c r="AD11" s="13"/>
      <c r="AE11" s="13"/>
    </row>
    <row r="12">
      <c r="A12" s="14"/>
      <c r="B12" s="11"/>
      <c r="C12" s="11"/>
      <c r="D12" s="11"/>
      <c r="E12" s="19" t="s">
        <v>18</v>
      </c>
      <c r="F12" s="20" t="s">
        <v>19</v>
      </c>
      <c r="G12" s="20"/>
      <c r="H12" s="21"/>
      <c r="I12" s="21"/>
      <c r="J12" s="21"/>
      <c r="K12" s="21"/>
      <c r="L12" s="21"/>
      <c r="M12" s="21"/>
      <c r="N12" s="21"/>
      <c r="O12" s="21"/>
      <c r="P12" s="21"/>
      <c r="Q12" s="21"/>
      <c r="R12" s="21"/>
      <c r="S12" s="21"/>
      <c r="T12" s="21"/>
      <c r="U12" s="21"/>
      <c r="V12" s="22"/>
      <c r="W12" s="13"/>
      <c r="X12" s="13"/>
      <c r="Y12" s="13"/>
      <c r="Z12" s="13"/>
      <c r="AA12" s="13"/>
      <c r="AB12" s="13"/>
      <c r="AC12" s="13"/>
      <c r="AD12" s="13"/>
      <c r="AE12" s="13"/>
    </row>
    <row r="13">
      <c r="A13" s="14"/>
      <c r="B13" s="11"/>
      <c r="C13" s="11"/>
      <c r="D13" s="11"/>
      <c r="E13" s="15" t="s">
        <v>20</v>
      </c>
      <c r="F13" s="16" t="s">
        <v>21</v>
      </c>
      <c r="G13" s="16"/>
      <c r="H13" s="17"/>
      <c r="I13" s="17"/>
      <c r="J13" s="17"/>
      <c r="K13" s="17"/>
      <c r="L13" s="17"/>
      <c r="M13" s="17"/>
      <c r="N13" s="17"/>
      <c r="O13" s="17"/>
      <c r="P13" s="17"/>
      <c r="Q13" s="17"/>
      <c r="R13" s="17"/>
      <c r="S13" s="17"/>
      <c r="T13" s="17"/>
      <c r="U13" s="17"/>
      <c r="V13" s="18"/>
      <c r="W13" s="13"/>
      <c r="X13" s="13"/>
      <c r="Y13" s="13"/>
      <c r="Z13" s="13"/>
      <c r="AA13" s="13"/>
      <c r="AB13" s="13"/>
      <c r="AC13" s="13"/>
      <c r="AD13" s="13"/>
      <c r="AE13" s="13"/>
    </row>
    <row r="14">
      <c r="A14" s="23"/>
      <c r="B14" s="24"/>
      <c r="C14" s="24"/>
      <c r="D14" s="24"/>
      <c r="E14" s="25" t="s">
        <v>22</v>
      </c>
      <c r="F14" s="26" t="s">
        <v>23</v>
      </c>
      <c r="G14" s="27"/>
      <c r="H14" s="28"/>
      <c r="I14" s="28"/>
      <c r="J14" s="28"/>
      <c r="K14" s="28"/>
      <c r="L14" s="28"/>
      <c r="M14" s="28"/>
      <c r="N14" s="28"/>
      <c r="O14" s="28"/>
      <c r="P14" s="28"/>
      <c r="Q14" s="28"/>
      <c r="R14" s="28"/>
      <c r="S14" s="28"/>
      <c r="T14" s="28"/>
      <c r="U14" s="28"/>
      <c r="V14" s="29"/>
      <c r="W14" s="13"/>
      <c r="X14" s="13"/>
      <c r="Y14" s="13"/>
      <c r="Z14" s="13"/>
      <c r="AA14" s="13"/>
      <c r="AB14" s="13"/>
      <c r="AC14" s="13"/>
      <c r="AD14" s="13"/>
      <c r="AE14" s="13"/>
    </row>
    <row r="15">
      <c r="A15" s="23"/>
      <c r="B15" s="24"/>
      <c r="C15" s="24"/>
      <c r="D15" s="24"/>
      <c r="E15" s="30" t="s">
        <v>24</v>
      </c>
      <c r="F15" s="31" t="s">
        <v>25</v>
      </c>
      <c r="G15" s="32"/>
      <c r="H15" s="33"/>
      <c r="I15" s="33"/>
      <c r="J15" s="33"/>
      <c r="K15" s="33"/>
      <c r="L15" s="33"/>
      <c r="M15" s="33"/>
      <c r="N15" s="33"/>
      <c r="O15" s="33"/>
      <c r="P15" s="33"/>
      <c r="Q15" s="33"/>
      <c r="R15" s="33"/>
      <c r="S15" s="33"/>
      <c r="T15" s="33"/>
      <c r="U15" s="33"/>
      <c r="V15" s="34"/>
      <c r="W15" s="13"/>
      <c r="X15" s="13"/>
      <c r="Y15" s="13"/>
      <c r="Z15" s="13"/>
      <c r="AA15" s="13"/>
      <c r="AB15" s="13"/>
      <c r="AC15" s="13"/>
      <c r="AD15" s="13"/>
      <c r="AE15" s="13"/>
    </row>
    <row r="16">
      <c r="A16" s="14"/>
      <c r="B16" s="11"/>
      <c r="C16" s="11"/>
      <c r="D16" s="11"/>
      <c r="E16" s="12"/>
      <c r="F16" s="11"/>
      <c r="G16" s="11"/>
      <c r="H16" s="13"/>
      <c r="I16" s="13"/>
      <c r="J16" s="13"/>
      <c r="K16" s="13"/>
      <c r="L16" s="13"/>
      <c r="M16" s="13"/>
      <c r="N16" s="13"/>
      <c r="O16" s="13"/>
      <c r="P16" s="13"/>
      <c r="Q16" s="13"/>
      <c r="R16" s="13"/>
      <c r="S16" s="13"/>
      <c r="T16" s="13"/>
      <c r="U16" s="13"/>
      <c r="V16" s="35"/>
      <c r="W16" s="13"/>
      <c r="X16" s="13"/>
      <c r="Y16" s="13"/>
      <c r="Z16" s="13"/>
      <c r="AA16" s="13"/>
      <c r="AB16" s="13"/>
      <c r="AC16" s="13"/>
      <c r="AD16" s="13"/>
      <c r="AE16" s="13"/>
    </row>
    <row r="17">
      <c r="A17" s="6" t="s">
        <v>26</v>
      </c>
      <c r="B17" s="7"/>
      <c r="C17" s="7"/>
      <c r="D17" s="7"/>
      <c r="E17" s="7"/>
      <c r="F17" s="7"/>
      <c r="G17" s="7"/>
      <c r="H17" s="8"/>
      <c r="I17" s="8"/>
      <c r="J17" s="8"/>
      <c r="K17" s="8"/>
      <c r="L17" s="8"/>
      <c r="M17" s="8"/>
      <c r="N17" s="8"/>
      <c r="O17" s="8"/>
      <c r="P17" s="8"/>
      <c r="Q17" s="8"/>
      <c r="R17" s="8"/>
      <c r="S17" s="8"/>
      <c r="T17" s="8"/>
      <c r="U17" s="8"/>
      <c r="V17" s="9"/>
      <c r="W17" s="10"/>
      <c r="X17" s="10"/>
      <c r="Y17" s="10"/>
      <c r="Z17" s="10"/>
      <c r="AA17" s="10"/>
      <c r="AB17" s="10"/>
      <c r="AC17" s="10"/>
      <c r="AD17" s="10"/>
      <c r="AE17" s="10"/>
    </row>
    <row r="18">
      <c r="A18" s="36"/>
      <c r="B18" s="37"/>
      <c r="C18" s="37"/>
      <c r="D18" s="37"/>
      <c r="E18" s="38"/>
      <c r="F18" s="37"/>
      <c r="G18" s="37"/>
      <c r="H18" s="13"/>
      <c r="I18" s="13"/>
      <c r="J18" s="13"/>
      <c r="K18" s="13"/>
      <c r="L18" s="13"/>
      <c r="M18" s="13"/>
      <c r="N18" s="13"/>
      <c r="O18" s="13"/>
      <c r="P18" s="13"/>
      <c r="Q18" s="13"/>
      <c r="R18" s="13"/>
      <c r="S18" s="13"/>
      <c r="T18" s="13"/>
      <c r="U18" s="13"/>
      <c r="V18" s="35"/>
      <c r="W18" s="13"/>
      <c r="X18" s="13"/>
      <c r="Y18" s="13"/>
      <c r="Z18" s="13"/>
      <c r="AA18" s="13"/>
      <c r="AB18" s="13"/>
      <c r="AC18" s="13"/>
      <c r="AD18" s="13"/>
      <c r="AE18" s="13"/>
    </row>
    <row r="19">
      <c r="A19" s="36"/>
      <c r="B19" s="37"/>
      <c r="C19" s="39" t="s">
        <v>27</v>
      </c>
      <c r="G19" s="37"/>
      <c r="H19" s="13"/>
      <c r="I19" s="13"/>
      <c r="J19" s="13"/>
      <c r="K19" s="13"/>
      <c r="L19" s="13"/>
      <c r="M19" s="13"/>
      <c r="N19" s="13"/>
      <c r="O19" s="13"/>
      <c r="P19" s="13"/>
      <c r="Q19" s="13"/>
      <c r="R19" s="13"/>
      <c r="S19" s="13"/>
      <c r="T19" s="13"/>
      <c r="U19" s="13"/>
      <c r="V19" s="35"/>
      <c r="W19" s="13"/>
      <c r="X19" s="13"/>
      <c r="Y19" s="13"/>
      <c r="Z19" s="13"/>
      <c r="AA19" s="13"/>
      <c r="AB19" s="13"/>
      <c r="AC19" s="13"/>
      <c r="AD19" s="13"/>
      <c r="AE19" s="13"/>
    </row>
    <row r="20">
      <c r="A20" s="36"/>
      <c r="B20" s="37"/>
      <c r="C20" s="37"/>
      <c r="D20" s="37"/>
      <c r="E20" s="40" t="s">
        <v>28</v>
      </c>
      <c r="F20" s="41" t="s">
        <v>29</v>
      </c>
      <c r="G20" s="42"/>
      <c r="H20" s="42"/>
      <c r="I20" s="42"/>
      <c r="J20" s="42"/>
      <c r="K20" s="42"/>
      <c r="L20" s="42"/>
      <c r="M20" s="42"/>
      <c r="N20" s="42"/>
      <c r="O20" s="42"/>
      <c r="P20" s="42"/>
      <c r="Q20" s="42"/>
      <c r="R20" s="42"/>
      <c r="S20" s="42"/>
      <c r="T20" s="17"/>
      <c r="U20" s="17"/>
      <c r="V20" s="18"/>
      <c r="W20" s="13"/>
      <c r="X20" s="13"/>
      <c r="Y20" s="13"/>
      <c r="Z20" s="13"/>
      <c r="AA20" s="13"/>
      <c r="AB20" s="13"/>
      <c r="AC20" s="13"/>
      <c r="AD20" s="13"/>
      <c r="AE20" s="13"/>
    </row>
    <row r="21">
      <c r="A21" s="36"/>
      <c r="B21" s="37"/>
      <c r="C21" s="37"/>
      <c r="D21" s="37"/>
      <c r="E21" s="40" t="s">
        <v>30</v>
      </c>
      <c r="F21" s="41" t="s">
        <v>31</v>
      </c>
      <c r="G21" s="42"/>
      <c r="H21" s="42"/>
      <c r="I21" s="42"/>
      <c r="J21" s="42"/>
      <c r="K21" s="42"/>
      <c r="L21" s="42"/>
      <c r="M21" s="42"/>
      <c r="N21" s="42"/>
      <c r="O21" s="42"/>
      <c r="P21" s="42"/>
      <c r="Q21" s="42"/>
      <c r="R21" s="42"/>
      <c r="S21" s="42"/>
      <c r="T21" s="17"/>
      <c r="U21" s="17"/>
      <c r="V21" s="18"/>
      <c r="W21" s="13"/>
      <c r="X21" s="13"/>
      <c r="Y21" s="13"/>
      <c r="Z21" s="13"/>
      <c r="AA21" s="13"/>
      <c r="AB21" s="13"/>
      <c r="AC21" s="13"/>
      <c r="AD21" s="13"/>
      <c r="AE21" s="13"/>
    </row>
    <row r="22">
      <c r="A22" s="36"/>
      <c r="B22" s="37"/>
      <c r="C22" s="37"/>
      <c r="D22" s="37"/>
      <c r="E22" s="40" t="s">
        <v>32</v>
      </c>
      <c r="F22" s="41" t="s">
        <v>33</v>
      </c>
      <c r="G22" s="42"/>
      <c r="H22" s="42"/>
      <c r="I22" s="42"/>
      <c r="J22" s="42"/>
      <c r="K22" s="42"/>
      <c r="L22" s="42"/>
      <c r="M22" s="42"/>
      <c r="N22" s="42"/>
      <c r="O22" s="42"/>
      <c r="P22" s="42"/>
      <c r="Q22" s="42"/>
      <c r="R22" s="42"/>
      <c r="S22" s="42"/>
      <c r="T22" s="17"/>
      <c r="U22" s="17"/>
      <c r="V22" s="18"/>
      <c r="W22" s="13"/>
      <c r="X22" s="13"/>
      <c r="Y22" s="13"/>
      <c r="Z22" s="13"/>
      <c r="AA22" s="13"/>
      <c r="AB22" s="13"/>
      <c r="AC22" s="13"/>
      <c r="AD22" s="13"/>
      <c r="AE22" s="13"/>
    </row>
    <row r="23">
      <c r="A23" s="36"/>
      <c r="B23" s="37"/>
      <c r="C23" s="37"/>
      <c r="D23" s="37"/>
      <c r="E23" s="40" t="s">
        <v>34</v>
      </c>
      <c r="F23" s="41" t="s">
        <v>35</v>
      </c>
      <c r="G23" s="42"/>
      <c r="H23" s="42"/>
      <c r="I23" s="42"/>
      <c r="J23" s="42"/>
      <c r="K23" s="42"/>
      <c r="L23" s="42"/>
      <c r="M23" s="42"/>
      <c r="N23" s="42"/>
      <c r="O23" s="42"/>
      <c r="P23" s="42"/>
      <c r="Q23" s="42"/>
      <c r="R23" s="42"/>
      <c r="S23" s="42"/>
      <c r="T23" s="17"/>
      <c r="U23" s="17"/>
      <c r="V23" s="18"/>
      <c r="W23" s="13"/>
      <c r="X23" s="13"/>
      <c r="Y23" s="13"/>
      <c r="Z23" s="13"/>
      <c r="AA23" s="13"/>
      <c r="AB23" s="13"/>
      <c r="AC23" s="13"/>
      <c r="AD23" s="13"/>
      <c r="AE23" s="13"/>
    </row>
    <row r="24">
      <c r="A24" s="36"/>
      <c r="B24" s="37"/>
      <c r="C24" s="37"/>
      <c r="D24" s="37"/>
      <c r="E24" s="40" t="s">
        <v>36</v>
      </c>
      <c r="F24" s="41" t="s">
        <v>37</v>
      </c>
      <c r="G24" s="42"/>
      <c r="H24" s="42"/>
      <c r="I24" s="42"/>
      <c r="J24" s="42"/>
      <c r="K24" s="42"/>
      <c r="L24" s="42"/>
      <c r="M24" s="42"/>
      <c r="N24" s="42"/>
      <c r="O24" s="42"/>
      <c r="P24" s="42"/>
      <c r="Q24" s="42"/>
      <c r="R24" s="42"/>
      <c r="S24" s="42"/>
      <c r="T24" s="17"/>
      <c r="U24" s="17"/>
      <c r="V24" s="18"/>
      <c r="W24" s="13"/>
      <c r="X24" s="13"/>
      <c r="Y24" s="13"/>
      <c r="Z24" s="13"/>
      <c r="AA24" s="13"/>
      <c r="AB24" s="13"/>
      <c r="AC24" s="13"/>
      <c r="AD24" s="13"/>
      <c r="AE24" s="13"/>
    </row>
    <row r="25">
      <c r="A25" s="36"/>
      <c r="B25" s="37"/>
      <c r="C25" s="37"/>
      <c r="D25" s="37"/>
      <c r="E25" s="40" t="s">
        <v>12</v>
      </c>
      <c r="F25" s="41" t="s">
        <v>38</v>
      </c>
      <c r="G25" s="42"/>
      <c r="H25" s="42"/>
      <c r="I25" s="42"/>
      <c r="J25" s="42"/>
      <c r="K25" s="42"/>
      <c r="L25" s="42"/>
      <c r="M25" s="42"/>
      <c r="N25" s="42"/>
      <c r="O25" s="42"/>
      <c r="P25" s="42"/>
      <c r="Q25" s="42"/>
      <c r="R25" s="42"/>
      <c r="S25" s="42"/>
      <c r="T25" s="17"/>
      <c r="U25" s="17"/>
      <c r="V25" s="18"/>
      <c r="W25" s="13"/>
      <c r="X25" s="13"/>
      <c r="Y25" s="13"/>
      <c r="Z25" s="13"/>
      <c r="AA25" s="13"/>
      <c r="AB25" s="13"/>
      <c r="AC25" s="13"/>
      <c r="AD25" s="13"/>
      <c r="AE25" s="13"/>
    </row>
    <row r="26">
      <c r="A26" s="36"/>
      <c r="B26" s="37"/>
      <c r="C26" s="37"/>
      <c r="D26" s="37"/>
      <c r="E26" s="40" t="s">
        <v>39</v>
      </c>
      <c r="F26" s="41" t="s">
        <v>40</v>
      </c>
      <c r="G26" s="42"/>
      <c r="H26" s="42"/>
      <c r="I26" s="42"/>
      <c r="J26" s="42"/>
      <c r="K26" s="42"/>
      <c r="L26" s="42"/>
      <c r="M26" s="42"/>
      <c r="N26" s="42"/>
      <c r="O26" s="42"/>
      <c r="P26" s="42"/>
      <c r="Q26" s="42"/>
      <c r="R26" s="42"/>
      <c r="S26" s="42"/>
      <c r="T26" s="17"/>
      <c r="U26" s="17"/>
      <c r="V26" s="18"/>
      <c r="W26" s="13"/>
      <c r="X26" s="13"/>
      <c r="Y26" s="13"/>
      <c r="Z26" s="13"/>
      <c r="AA26" s="13"/>
      <c r="AB26" s="13"/>
      <c r="AC26" s="13"/>
      <c r="AD26" s="13"/>
      <c r="AE26" s="13"/>
    </row>
    <row r="27">
      <c r="A27" s="36"/>
      <c r="B27" s="37"/>
      <c r="C27" s="37"/>
      <c r="D27" s="37"/>
      <c r="E27" s="40" t="s">
        <v>41</v>
      </c>
      <c r="F27" s="41" t="s">
        <v>42</v>
      </c>
      <c r="G27" s="42"/>
      <c r="H27" s="42"/>
      <c r="I27" s="42"/>
      <c r="J27" s="42"/>
      <c r="K27" s="42"/>
      <c r="L27" s="42"/>
      <c r="M27" s="42"/>
      <c r="N27" s="42"/>
      <c r="O27" s="42"/>
      <c r="P27" s="42"/>
      <c r="Q27" s="42"/>
      <c r="R27" s="42"/>
      <c r="S27" s="42"/>
      <c r="T27" s="17"/>
      <c r="U27" s="17"/>
      <c r="V27" s="18"/>
      <c r="W27" s="13"/>
      <c r="X27" s="13"/>
      <c r="Y27" s="13"/>
      <c r="Z27" s="13"/>
      <c r="AA27" s="13"/>
      <c r="AB27" s="13"/>
      <c r="AC27" s="13"/>
      <c r="AD27" s="13"/>
      <c r="AE27" s="13"/>
    </row>
    <row r="28">
      <c r="A28" s="36"/>
      <c r="B28" s="37"/>
      <c r="C28" s="37"/>
      <c r="D28" s="37"/>
      <c r="E28" s="43" t="s">
        <v>43</v>
      </c>
      <c r="F28" s="44" t="s">
        <v>44</v>
      </c>
      <c r="G28" s="45"/>
      <c r="H28" s="45"/>
      <c r="I28" s="45"/>
      <c r="J28" s="45"/>
      <c r="K28" s="45"/>
      <c r="L28" s="45"/>
      <c r="M28" s="45"/>
      <c r="N28" s="45"/>
      <c r="O28" s="45"/>
      <c r="P28" s="45"/>
      <c r="Q28" s="45"/>
      <c r="R28" s="45"/>
      <c r="S28" s="45"/>
      <c r="T28" s="46"/>
      <c r="U28" s="46"/>
      <c r="V28" s="47"/>
      <c r="W28" s="13"/>
      <c r="X28" s="13"/>
      <c r="Y28" s="13"/>
      <c r="Z28" s="13"/>
      <c r="AA28" s="13"/>
      <c r="AB28" s="13"/>
      <c r="AC28" s="13"/>
      <c r="AD28" s="13"/>
      <c r="AE28" s="13"/>
    </row>
    <row r="29">
      <c r="A29" s="36"/>
      <c r="B29" s="37"/>
      <c r="C29" s="37"/>
      <c r="D29" s="37"/>
      <c r="E29" s="12"/>
      <c r="F29" s="37"/>
      <c r="G29" s="37"/>
      <c r="H29" s="13"/>
      <c r="I29" s="13"/>
      <c r="J29" s="13"/>
      <c r="K29" s="13"/>
      <c r="L29" s="13"/>
      <c r="M29" s="13"/>
      <c r="N29" s="13"/>
      <c r="O29" s="13"/>
      <c r="P29" s="13"/>
      <c r="Q29" s="13"/>
      <c r="R29" s="13"/>
      <c r="S29" s="13"/>
      <c r="T29" s="13"/>
      <c r="U29" s="13"/>
      <c r="V29" s="35"/>
      <c r="W29" s="13"/>
      <c r="X29" s="13"/>
      <c r="Y29" s="13"/>
      <c r="Z29" s="13"/>
      <c r="AA29" s="13"/>
      <c r="AB29" s="13"/>
      <c r="AC29" s="13"/>
      <c r="AD29" s="13"/>
      <c r="AE29" s="13"/>
    </row>
    <row r="30">
      <c r="A30" s="36"/>
      <c r="B30" s="37"/>
      <c r="C30" s="39" t="s">
        <v>45</v>
      </c>
      <c r="G30" s="37"/>
      <c r="H30" s="13"/>
      <c r="I30" s="13"/>
      <c r="J30" s="13"/>
      <c r="K30" s="13"/>
      <c r="L30" s="13"/>
      <c r="M30" s="13"/>
      <c r="N30" s="13"/>
      <c r="O30" s="13"/>
      <c r="P30" s="13"/>
      <c r="Q30" s="13"/>
      <c r="R30" s="13"/>
      <c r="S30" s="13"/>
      <c r="T30" s="13"/>
      <c r="U30" s="13"/>
      <c r="V30" s="35"/>
      <c r="W30" s="13"/>
      <c r="X30" s="13"/>
      <c r="Y30" s="13"/>
      <c r="Z30" s="13"/>
      <c r="AA30" s="13"/>
      <c r="AB30" s="13"/>
      <c r="AC30" s="13"/>
      <c r="AD30" s="13"/>
      <c r="AE30" s="13"/>
    </row>
    <row r="31">
      <c r="A31" s="36"/>
      <c r="B31" s="37"/>
      <c r="C31" s="37"/>
      <c r="D31" s="37"/>
      <c r="E31" s="40" t="s">
        <v>46</v>
      </c>
      <c r="F31" s="16" t="s">
        <v>47</v>
      </c>
      <c r="G31" s="42"/>
      <c r="H31" s="42"/>
      <c r="I31" s="42"/>
      <c r="J31" s="42"/>
      <c r="K31" s="42"/>
      <c r="L31" s="42"/>
      <c r="M31" s="42"/>
      <c r="N31" s="42"/>
      <c r="O31" s="42"/>
      <c r="P31" s="42"/>
      <c r="Q31" s="42"/>
      <c r="R31" s="42"/>
      <c r="S31" s="42"/>
      <c r="T31" s="17"/>
      <c r="U31" s="17"/>
      <c r="V31" s="18"/>
      <c r="W31" s="13"/>
      <c r="X31" s="13"/>
      <c r="Y31" s="13"/>
      <c r="Z31" s="13"/>
      <c r="AA31" s="13"/>
      <c r="AB31" s="13"/>
      <c r="AC31" s="13"/>
      <c r="AD31" s="13"/>
      <c r="AE31" s="13"/>
    </row>
    <row r="32">
      <c r="A32" s="36"/>
      <c r="B32" s="37"/>
      <c r="C32" s="37"/>
      <c r="D32" s="37"/>
      <c r="E32" s="48" t="s">
        <v>48</v>
      </c>
      <c r="F32" s="20" t="s">
        <v>49</v>
      </c>
      <c r="G32" s="49"/>
      <c r="H32" s="49"/>
      <c r="I32" s="49"/>
      <c r="J32" s="49"/>
      <c r="K32" s="49"/>
      <c r="L32" s="49"/>
      <c r="M32" s="49"/>
      <c r="N32" s="49"/>
      <c r="O32" s="49"/>
      <c r="P32" s="49"/>
      <c r="Q32" s="49"/>
      <c r="R32" s="49"/>
      <c r="S32" s="49"/>
      <c r="T32" s="21"/>
      <c r="U32" s="21"/>
      <c r="V32" s="22"/>
      <c r="W32" s="13"/>
      <c r="X32" s="13"/>
      <c r="Y32" s="13"/>
      <c r="Z32" s="13"/>
      <c r="AA32" s="13"/>
      <c r="AB32" s="13"/>
      <c r="AC32" s="13"/>
      <c r="AD32" s="13"/>
      <c r="AE32" s="13"/>
    </row>
    <row r="33">
      <c r="A33" s="36"/>
      <c r="B33" s="37"/>
      <c r="C33" s="37"/>
      <c r="D33" s="37"/>
      <c r="E33" s="40" t="s">
        <v>50</v>
      </c>
      <c r="F33" s="16" t="s">
        <v>51</v>
      </c>
      <c r="G33" s="42"/>
      <c r="H33" s="42"/>
      <c r="I33" s="42"/>
      <c r="J33" s="42"/>
      <c r="K33" s="42"/>
      <c r="L33" s="42"/>
      <c r="M33" s="42"/>
      <c r="N33" s="42"/>
      <c r="O33" s="42"/>
      <c r="P33" s="42"/>
      <c r="Q33" s="42"/>
      <c r="R33" s="42"/>
      <c r="S33" s="42"/>
      <c r="T33" s="17"/>
      <c r="U33" s="17"/>
      <c r="V33" s="18"/>
      <c r="W33" s="13"/>
      <c r="X33" s="13"/>
      <c r="Y33" s="13"/>
      <c r="Z33" s="13"/>
      <c r="AA33" s="13"/>
      <c r="AB33" s="13"/>
      <c r="AC33" s="13"/>
      <c r="AD33" s="13"/>
      <c r="AE33" s="13"/>
    </row>
    <row r="34">
      <c r="A34" s="36"/>
      <c r="B34" s="37"/>
      <c r="C34" s="37"/>
      <c r="D34" s="37"/>
      <c r="E34" s="48" t="s">
        <v>52</v>
      </c>
      <c r="F34" s="20" t="s">
        <v>53</v>
      </c>
      <c r="G34" s="49"/>
      <c r="H34" s="49"/>
      <c r="I34" s="49"/>
      <c r="J34" s="49"/>
      <c r="K34" s="49"/>
      <c r="L34" s="49"/>
      <c r="M34" s="49"/>
      <c r="N34" s="49"/>
      <c r="O34" s="49"/>
      <c r="P34" s="49"/>
      <c r="Q34" s="49"/>
      <c r="R34" s="49"/>
      <c r="S34" s="49"/>
      <c r="T34" s="21"/>
      <c r="U34" s="21"/>
      <c r="V34" s="22"/>
      <c r="W34" s="13"/>
      <c r="X34" s="13"/>
      <c r="Y34" s="13"/>
      <c r="Z34" s="13"/>
      <c r="AA34" s="13"/>
      <c r="AB34" s="13"/>
      <c r="AC34" s="13"/>
      <c r="AD34" s="13"/>
      <c r="AE34" s="13"/>
    </row>
    <row r="35">
      <c r="A35" s="36"/>
      <c r="B35" s="37"/>
      <c r="C35" s="37"/>
      <c r="D35" s="37"/>
      <c r="E35" s="48" t="s">
        <v>54</v>
      </c>
      <c r="F35" s="20" t="s">
        <v>55</v>
      </c>
      <c r="G35" s="49"/>
      <c r="H35" s="49"/>
      <c r="I35" s="49"/>
      <c r="J35" s="49"/>
      <c r="K35" s="49"/>
      <c r="L35" s="49"/>
      <c r="M35" s="49"/>
      <c r="N35" s="49"/>
      <c r="O35" s="49"/>
      <c r="P35" s="49"/>
      <c r="Q35" s="49"/>
      <c r="R35" s="49"/>
      <c r="S35" s="49"/>
      <c r="T35" s="21"/>
      <c r="U35" s="21"/>
      <c r="V35" s="22"/>
      <c r="W35" s="13"/>
      <c r="X35" s="13"/>
      <c r="Y35" s="13"/>
      <c r="Z35" s="13"/>
      <c r="AA35" s="13"/>
      <c r="AB35" s="13"/>
      <c r="AC35" s="13"/>
      <c r="AD35" s="13"/>
      <c r="AE35" s="13"/>
    </row>
    <row r="36">
      <c r="A36" s="36"/>
      <c r="B36" s="37"/>
      <c r="C36" s="37"/>
      <c r="D36" s="37"/>
      <c r="E36" s="40" t="s">
        <v>56</v>
      </c>
      <c r="F36" s="16" t="s">
        <v>57</v>
      </c>
      <c r="G36" s="42"/>
      <c r="H36" s="42"/>
      <c r="I36" s="42"/>
      <c r="J36" s="42"/>
      <c r="K36" s="42"/>
      <c r="L36" s="42"/>
      <c r="M36" s="42"/>
      <c r="N36" s="42"/>
      <c r="O36" s="42"/>
      <c r="P36" s="42"/>
      <c r="Q36" s="42"/>
      <c r="R36" s="42"/>
      <c r="S36" s="42"/>
      <c r="T36" s="17"/>
      <c r="U36" s="17"/>
      <c r="V36" s="18"/>
      <c r="W36" s="13"/>
      <c r="X36" s="13"/>
      <c r="Y36" s="13"/>
      <c r="Z36" s="13"/>
      <c r="AA36" s="13"/>
      <c r="AB36" s="13"/>
      <c r="AC36" s="13"/>
      <c r="AD36" s="13"/>
      <c r="AE36" s="13"/>
    </row>
    <row r="37">
      <c r="A37" s="36"/>
      <c r="B37" s="37"/>
      <c r="C37" s="37"/>
      <c r="D37" s="37"/>
      <c r="E37" s="43" t="s">
        <v>58</v>
      </c>
      <c r="F37" s="50" t="s">
        <v>59</v>
      </c>
      <c r="G37" s="45"/>
      <c r="H37" s="45"/>
      <c r="I37" s="45"/>
      <c r="J37" s="45"/>
      <c r="K37" s="45"/>
      <c r="L37" s="45"/>
      <c r="M37" s="45"/>
      <c r="N37" s="45"/>
      <c r="O37" s="45"/>
      <c r="P37" s="45"/>
      <c r="Q37" s="45"/>
      <c r="R37" s="45"/>
      <c r="S37" s="45"/>
      <c r="T37" s="46"/>
      <c r="U37" s="46"/>
      <c r="V37" s="47"/>
      <c r="W37" s="13"/>
      <c r="X37" s="13"/>
      <c r="Y37" s="13"/>
      <c r="Z37" s="13"/>
      <c r="AA37" s="13"/>
      <c r="AB37" s="13"/>
      <c r="AC37" s="13"/>
      <c r="AD37" s="13"/>
      <c r="AE37" s="13"/>
    </row>
    <row r="38">
      <c r="A38" s="36"/>
      <c r="B38" s="37"/>
      <c r="C38" s="37"/>
      <c r="D38" s="37"/>
      <c r="E38" s="38"/>
      <c r="F38" s="37"/>
      <c r="G38" s="37"/>
      <c r="H38" s="13"/>
      <c r="I38" s="13"/>
      <c r="J38" s="13"/>
      <c r="K38" s="13"/>
      <c r="L38" s="13"/>
      <c r="M38" s="13"/>
      <c r="N38" s="13"/>
      <c r="O38" s="13"/>
      <c r="P38" s="13"/>
      <c r="Q38" s="13"/>
      <c r="R38" s="13"/>
      <c r="S38" s="13"/>
      <c r="T38" s="13"/>
      <c r="U38" s="13"/>
      <c r="V38" s="35"/>
      <c r="W38" s="13"/>
      <c r="X38" s="13"/>
      <c r="Y38" s="13"/>
      <c r="Z38" s="13"/>
      <c r="AA38" s="13"/>
      <c r="AB38" s="13"/>
      <c r="AC38" s="13"/>
      <c r="AD38" s="13"/>
      <c r="AE38" s="13"/>
    </row>
    <row r="39">
      <c r="A39" s="6" t="s">
        <v>60</v>
      </c>
      <c r="B39" s="7"/>
      <c r="C39" s="7"/>
      <c r="D39" s="7"/>
      <c r="E39" s="7"/>
      <c r="F39" s="7"/>
      <c r="G39" s="7"/>
      <c r="H39" s="8"/>
      <c r="I39" s="8"/>
      <c r="J39" s="8"/>
      <c r="K39" s="8"/>
      <c r="L39" s="8"/>
      <c r="M39" s="8"/>
      <c r="N39" s="8"/>
      <c r="O39" s="8"/>
      <c r="P39" s="8"/>
      <c r="Q39" s="8"/>
      <c r="R39" s="8"/>
      <c r="S39" s="8"/>
      <c r="T39" s="8"/>
      <c r="U39" s="8"/>
      <c r="V39" s="9"/>
      <c r="W39" s="10"/>
      <c r="X39" s="10"/>
      <c r="Y39" s="10"/>
      <c r="Z39" s="10"/>
      <c r="AA39" s="10"/>
      <c r="AB39" s="10"/>
      <c r="AC39" s="10"/>
      <c r="AD39" s="10"/>
      <c r="AE39" s="10"/>
    </row>
    <row r="40">
      <c r="A40" s="14"/>
      <c r="B40" s="13"/>
      <c r="C40" s="13"/>
      <c r="D40" s="13"/>
      <c r="E40" s="51"/>
      <c r="F40" s="52"/>
      <c r="G40" s="13"/>
      <c r="H40" s="13"/>
      <c r="I40" s="13"/>
      <c r="J40" s="13"/>
      <c r="K40" s="13"/>
      <c r="L40" s="13"/>
      <c r="M40" s="13"/>
      <c r="N40" s="13"/>
      <c r="O40" s="13"/>
      <c r="P40" s="13"/>
      <c r="Q40" s="13"/>
      <c r="R40" s="13"/>
      <c r="S40" s="13"/>
      <c r="T40" s="13"/>
      <c r="U40" s="13"/>
      <c r="V40" s="35"/>
      <c r="W40" s="13"/>
      <c r="X40" s="13"/>
      <c r="Y40" s="13"/>
      <c r="Z40" s="13"/>
      <c r="AA40" s="13"/>
      <c r="AB40" s="13"/>
      <c r="AC40" s="13"/>
      <c r="AD40" s="13"/>
      <c r="AE40" s="13"/>
    </row>
    <row r="41">
      <c r="A41" s="14"/>
      <c r="B41" s="13"/>
      <c r="C41" s="53" t="s">
        <v>61</v>
      </c>
      <c r="F41" s="52"/>
      <c r="G41" s="13"/>
      <c r="H41" s="13"/>
      <c r="I41" s="13"/>
      <c r="J41" s="13"/>
      <c r="K41" s="13"/>
      <c r="L41" s="13"/>
      <c r="M41" s="13"/>
      <c r="N41" s="13"/>
      <c r="O41" s="13"/>
      <c r="P41" s="13"/>
      <c r="Q41" s="13"/>
      <c r="R41" s="13"/>
      <c r="S41" s="13"/>
      <c r="T41" s="13"/>
      <c r="U41" s="13"/>
      <c r="V41" s="35"/>
      <c r="W41" s="13"/>
      <c r="X41" s="13"/>
      <c r="Y41" s="13"/>
      <c r="Z41" s="13"/>
      <c r="AA41" s="13"/>
      <c r="AB41" s="13"/>
      <c r="AC41" s="13"/>
      <c r="AD41" s="13"/>
      <c r="AE41" s="13"/>
    </row>
    <row r="42">
      <c r="A42" s="14"/>
      <c r="B42" s="13"/>
      <c r="C42" s="13"/>
      <c r="D42" s="13"/>
      <c r="E42" s="54" t="s">
        <v>62</v>
      </c>
      <c r="F42" s="55" t="s">
        <v>63</v>
      </c>
      <c r="G42" s="17"/>
      <c r="H42" s="17"/>
      <c r="I42" s="17"/>
      <c r="J42" s="17"/>
      <c r="K42" s="17"/>
      <c r="L42" s="17"/>
      <c r="M42" s="17"/>
      <c r="N42" s="17"/>
      <c r="O42" s="17"/>
      <c r="P42" s="17"/>
      <c r="Q42" s="17"/>
      <c r="R42" s="17"/>
      <c r="S42" s="17"/>
      <c r="T42" s="17"/>
      <c r="U42" s="17"/>
      <c r="V42" s="18"/>
      <c r="W42" s="13"/>
      <c r="X42" s="13"/>
      <c r="Y42" s="13"/>
      <c r="Z42" s="13"/>
      <c r="AA42" s="13"/>
      <c r="AB42" s="13"/>
      <c r="AC42" s="13"/>
      <c r="AD42" s="13"/>
      <c r="AE42" s="13"/>
    </row>
    <row r="43">
      <c r="A43" s="14"/>
      <c r="B43" s="13"/>
      <c r="C43" s="13"/>
      <c r="D43" s="13"/>
      <c r="E43" s="56" t="s">
        <v>64</v>
      </c>
      <c r="F43" s="57" t="s">
        <v>65</v>
      </c>
      <c r="G43" s="21"/>
      <c r="H43" s="21"/>
      <c r="I43" s="21"/>
      <c r="J43" s="21"/>
      <c r="K43" s="21"/>
      <c r="L43" s="21"/>
      <c r="M43" s="21"/>
      <c r="N43" s="21"/>
      <c r="O43" s="21"/>
      <c r="P43" s="21"/>
      <c r="Q43" s="21"/>
      <c r="R43" s="21"/>
      <c r="S43" s="21"/>
      <c r="T43" s="21"/>
      <c r="U43" s="21"/>
      <c r="V43" s="22"/>
      <c r="W43" s="13"/>
      <c r="X43" s="13"/>
      <c r="Y43" s="13"/>
      <c r="Z43" s="13"/>
      <c r="AA43" s="13"/>
      <c r="AB43" s="13"/>
      <c r="AC43" s="13"/>
      <c r="AD43" s="13"/>
      <c r="AE43" s="13"/>
    </row>
    <row r="44">
      <c r="A44" s="14"/>
      <c r="B44" s="13"/>
      <c r="C44" s="13"/>
      <c r="D44" s="13"/>
      <c r="E44" s="56" t="s">
        <v>66</v>
      </c>
      <c r="F44" s="57" t="s">
        <v>67</v>
      </c>
      <c r="G44" s="21"/>
      <c r="H44" s="21"/>
      <c r="I44" s="21"/>
      <c r="J44" s="21"/>
      <c r="K44" s="21"/>
      <c r="L44" s="21"/>
      <c r="M44" s="21"/>
      <c r="N44" s="21"/>
      <c r="O44" s="21"/>
      <c r="P44" s="21"/>
      <c r="Q44" s="21"/>
      <c r="R44" s="21"/>
      <c r="S44" s="21"/>
      <c r="T44" s="21"/>
      <c r="U44" s="21"/>
      <c r="V44" s="22"/>
      <c r="W44" s="13"/>
      <c r="X44" s="13"/>
      <c r="Y44" s="13"/>
      <c r="Z44" s="13"/>
      <c r="AA44" s="13"/>
      <c r="AB44" s="13"/>
      <c r="AC44" s="13"/>
      <c r="AD44" s="13"/>
      <c r="AE44" s="13"/>
    </row>
    <row r="45">
      <c r="A45" s="14"/>
      <c r="B45" s="13"/>
      <c r="C45" s="13"/>
      <c r="D45" s="13"/>
      <c r="E45" s="56" t="s">
        <v>68</v>
      </c>
      <c r="F45" s="57" t="s">
        <v>69</v>
      </c>
      <c r="G45" s="21"/>
      <c r="H45" s="21"/>
      <c r="I45" s="21"/>
      <c r="J45" s="21"/>
      <c r="K45" s="21"/>
      <c r="L45" s="21"/>
      <c r="M45" s="21"/>
      <c r="N45" s="21"/>
      <c r="O45" s="21"/>
      <c r="P45" s="21"/>
      <c r="Q45" s="21"/>
      <c r="R45" s="21"/>
      <c r="S45" s="21"/>
      <c r="T45" s="21"/>
      <c r="U45" s="21"/>
      <c r="V45" s="22"/>
      <c r="W45" s="13"/>
      <c r="X45" s="13"/>
      <c r="Y45" s="13"/>
      <c r="Z45" s="13"/>
      <c r="AA45" s="13"/>
      <c r="AB45" s="13"/>
      <c r="AC45" s="13"/>
      <c r="AD45" s="13"/>
      <c r="AE45" s="13"/>
    </row>
    <row r="46">
      <c r="A46" s="14"/>
      <c r="B46" s="13"/>
      <c r="C46" s="13"/>
      <c r="D46" s="13"/>
      <c r="E46" s="56" t="s">
        <v>70</v>
      </c>
      <c r="F46" s="57" t="s">
        <v>71</v>
      </c>
      <c r="G46" s="21"/>
      <c r="H46" s="21"/>
      <c r="I46" s="21"/>
      <c r="J46" s="21"/>
      <c r="K46" s="21"/>
      <c r="L46" s="21"/>
      <c r="M46" s="21"/>
      <c r="N46" s="21"/>
      <c r="O46" s="21"/>
      <c r="P46" s="21"/>
      <c r="Q46" s="21"/>
      <c r="R46" s="21"/>
      <c r="S46" s="21"/>
      <c r="T46" s="21"/>
      <c r="U46" s="21"/>
      <c r="V46" s="22"/>
      <c r="W46" s="13"/>
      <c r="X46" s="13"/>
      <c r="Y46" s="13"/>
      <c r="Z46" s="13"/>
      <c r="AA46" s="13"/>
      <c r="AB46" s="13"/>
      <c r="AC46" s="13"/>
      <c r="AD46" s="13"/>
      <c r="AE46" s="13"/>
    </row>
    <row r="47">
      <c r="A47" s="14"/>
      <c r="B47" s="13"/>
      <c r="C47" s="13"/>
      <c r="D47" s="13"/>
      <c r="E47" s="56" t="s">
        <v>72</v>
      </c>
      <c r="F47" s="57" t="s">
        <v>73</v>
      </c>
      <c r="G47" s="21"/>
      <c r="H47" s="21"/>
      <c r="I47" s="21"/>
      <c r="J47" s="21"/>
      <c r="K47" s="21"/>
      <c r="L47" s="21"/>
      <c r="M47" s="21"/>
      <c r="N47" s="21"/>
      <c r="O47" s="21"/>
      <c r="P47" s="21"/>
      <c r="Q47" s="21"/>
      <c r="R47" s="21"/>
      <c r="S47" s="21"/>
      <c r="T47" s="21"/>
      <c r="U47" s="21"/>
      <c r="V47" s="22"/>
      <c r="W47" s="13"/>
      <c r="X47" s="13"/>
      <c r="Y47" s="13"/>
      <c r="Z47" s="13"/>
      <c r="AA47" s="13"/>
      <c r="AB47" s="13"/>
      <c r="AC47" s="13"/>
      <c r="AD47" s="13"/>
      <c r="AE47" s="13"/>
    </row>
    <row r="48">
      <c r="A48" s="14"/>
      <c r="B48" s="13"/>
      <c r="C48" s="13"/>
      <c r="D48" s="13"/>
      <c r="E48" s="56" t="s">
        <v>74</v>
      </c>
      <c r="F48" s="57" t="s">
        <v>75</v>
      </c>
      <c r="G48" s="21"/>
      <c r="H48" s="21"/>
      <c r="I48" s="21"/>
      <c r="J48" s="21"/>
      <c r="K48" s="21"/>
      <c r="L48" s="21"/>
      <c r="M48" s="21"/>
      <c r="N48" s="21"/>
      <c r="O48" s="21"/>
      <c r="P48" s="21"/>
      <c r="Q48" s="21"/>
      <c r="R48" s="21"/>
      <c r="S48" s="21"/>
      <c r="T48" s="21"/>
      <c r="U48" s="21"/>
      <c r="V48" s="22"/>
      <c r="W48" s="13"/>
      <c r="X48" s="13"/>
      <c r="Y48" s="13"/>
      <c r="Z48" s="13"/>
      <c r="AA48" s="13"/>
      <c r="AB48" s="13"/>
      <c r="AC48" s="13"/>
      <c r="AD48" s="13"/>
      <c r="AE48" s="13"/>
    </row>
    <row r="49">
      <c r="A49" s="14"/>
      <c r="B49" s="13"/>
      <c r="C49" s="13"/>
      <c r="D49" s="13"/>
      <c r="E49" s="56" t="s">
        <v>76</v>
      </c>
      <c r="F49" s="57" t="s">
        <v>77</v>
      </c>
      <c r="G49" s="21"/>
      <c r="H49" s="21"/>
      <c r="I49" s="21"/>
      <c r="J49" s="21"/>
      <c r="K49" s="21"/>
      <c r="L49" s="21"/>
      <c r="M49" s="21"/>
      <c r="N49" s="21"/>
      <c r="O49" s="21"/>
      <c r="P49" s="21"/>
      <c r="Q49" s="21"/>
      <c r="R49" s="21"/>
      <c r="S49" s="21"/>
      <c r="T49" s="21"/>
      <c r="U49" s="21"/>
      <c r="V49" s="22"/>
      <c r="W49" s="13"/>
      <c r="X49" s="13"/>
      <c r="Y49" s="13"/>
      <c r="Z49" s="13"/>
      <c r="AA49" s="13"/>
      <c r="AB49" s="13"/>
      <c r="AC49" s="13"/>
      <c r="AD49" s="13"/>
      <c r="AE49" s="13"/>
    </row>
    <row r="50">
      <c r="A50" s="14"/>
      <c r="B50" s="13"/>
      <c r="C50" s="13"/>
      <c r="D50" s="13"/>
      <c r="E50" s="58" t="s">
        <v>78</v>
      </c>
      <c r="F50" s="59" t="s">
        <v>79</v>
      </c>
      <c r="G50" s="60"/>
      <c r="H50" s="60"/>
      <c r="I50" s="60"/>
      <c r="J50" s="60"/>
      <c r="K50" s="60"/>
      <c r="L50" s="60"/>
      <c r="M50" s="60"/>
      <c r="N50" s="60"/>
      <c r="O50" s="60"/>
      <c r="P50" s="60"/>
      <c r="Q50" s="60"/>
      <c r="R50" s="60"/>
      <c r="S50" s="60"/>
      <c r="T50" s="60"/>
      <c r="U50" s="60"/>
      <c r="V50" s="61"/>
      <c r="W50" s="13"/>
      <c r="X50" s="13"/>
      <c r="Y50" s="13"/>
      <c r="Z50" s="13"/>
      <c r="AA50" s="13"/>
      <c r="AB50" s="13"/>
      <c r="AC50" s="13"/>
      <c r="AD50" s="13"/>
      <c r="AE50" s="13"/>
    </row>
    <row r="51">
      <c r="A51" s="14"/>
      <c r="B51" s="13"/>
      <c r="C51" s="13"/>
      <c r="D51" s="13"/>
      <c r="E51" s="51"/>
      <c r="F51" s="52"/>
      <c r="G51" s="13"/>
      <c r="H51" s="13"/>
      <c r="I51" s="13"/>
      <c r="J51" s="13"/>
      <c r="K51" s="13"/>
      <c r="L51" s="13"/>
      <c r="M51" s="13"/>
      <c r="N51" s="13"/>
      <c r="O51" s="13"/>
      <c r="P51" s="13"/>
      <c r="Q51" s="13"/>
      <c r="R51" s="13"/>
      <c r="S51" s="13"/>
      <c r="T51" s="13"/>
      <c r="U51" s="13"/>
      <c r="V51" s="35"/>
      <c r="W51" s="13"/>
      <c r="X51" s="13"/>
      <c r="Y51" s="13"/>
      <c r="Z51" s="13"/>
      <c r="AA51" s="13"/>
      <c r="AB51" s="13"/>
      <c r="AC51" s="13"/>
      <c r="AD51" s="13"/>
      <c r="AE51" s="13"/>
    </row>
    <row r="52">
      <c r="A52" s="14"/>
      <c r="B52" s="13"/>
      <c r="C52" s="53" t="s">
        <v>80</v>
      </c>
      <c r="F52" s="52"/>
      <c r="G52" s="13"/>
      <c r="H52" s="13"/>
      <c r="I52" s="13"/>
      <c r="J52" s="13"/>
      <c r="K52" s="13"/>
      <c r="L52" s="13"/>
      <c r="M52" s="13"/>
      <c r="N52" s="13"/>
      <c r="O52" s="13"/>
      <c r="P52" s="13"/>
      <c r="Q52" s="13"/>
      <c r="R52" s="13"/>
      <c r="S52" s="13"/>
      <c r="T52" s="13"/>
      <c r="U52" s="13"/>
      <c r="V52" s="35"/>
      <c r="W52" s="13"/>
      <c r="X52" s="13"/>
      <c r="Y52" s="13"/>
      <c r="Z52" s="13"/>
      <c r="AA52" s="13"/>
      <c r="AB52" s="13"/>
      <c r="AC52" s="13"/>
      <c r="AD52" s="13"/>
      <c r="AE52" s="13"/>
    </row>
    <row r="53">
      <c r="A53" s="14"/>
      <c r="B53" s="13"/>
      <c r="C53" s="13"/>
      <c r="D53" s="13"/>
      <c r="E53" s="51"/>
      <c r="F53" s="52"/>
      <c r="G53" s="13"/>
      <c r="H53" s="13"/>
      <c r="I53" s="13"/>
      <c r="J53" s="13"/>
      <c r="K53" s="13"/>
      <c r="L53" s="13"/>
      <c r="M53" s="13"/>
      <c r="N53" s="13"/>
      <c r="O53" s="13"/>
      <c r="P53" s="13"/>
      <c r="Q53" s="13"/>
      <c r="R53" s="13"/>
      <c r="S53" s="13"/>
      <c r="T53" s="13"/>
      <c r="U53" s="13"/>
      <c r="V53" s="35"/>
      <c r="W53" s="13"/>
      <c r="X53" s="13"/>
      <c r="Y53" s="13"/>
      <c r="Z53" s="13"/>
      <c r="AA53" s="13"/>
      <c r="AB53" s="13"/>
      <c r="AC53" s="13"/>
      <c r="AD53" s="13"/>
      <c r="AE53" s="13"/>
    </row>
    <row r="54">
      <c r="A54" s="14"/>
      <c r="B54" s="13"/>
      <c r="C54" s="13"/>
      <c r="D54" s="13"/>
      <c r="E54" s="54" t="s">
        <v>81</v>
      </c>
      <c r="F54" s="55" t="s">
        <v>82</v>
      </c>
      <c r="G54" s="17"/>
      <c r="H54" s="17"/>
      <c r="I54" s="17"/>
      <c r="J54" s="17"/>
      <c r="K54" s="17"/>
      <c r="L54" s="17"/>
      <c r="M54" s="17"/>
      <c r="N54" s="17"/>
      <c r="O54" s="17"/>
      <c r="P54" s="17"/>
      <c r="Q54" s="17"/>
      <c r="R54" s="17"/>
      <c r="S54" s="17"/>
      <c r="T54" s="17"/>
      <c r="U54" s="17"/>
      <c r="V54" s="18"/>
      <c r="W54" s="13"/>
      <c r="X54" s="13"/>
      <c r="Y54" s="13"/>
      <c r="Z54" s="13"/>
      <c r="AA54" s="13"/>
      <c r="AB54" s="13"/>
      <c r="AC54" s="13"/>
      <c r="AD54" s="13"/>
      <c r="AE54" s="13"/>
    </row>
    <row r="55">
      <c r="A55" s="14"/>
      <c r="B55" s="13"/>
      <c r="C55" s="13"/>
      <c r="D55" s="13"/>
      <c r="E55" s="56" t="s">
        <v>83</v>
      </c>
      <c r="F55" s="57" t="s">
        <v>84</v>
      </c>
      <c r="G55" s="21"/>
      <c r="H55" s="21"/>
      <c r="I55" s="21"/>
      <c r="J55" s="21"/>
      <c r="K55" s="21"/>
      <c r="L55" s="21"/>
      <c r="M55" s="21"/>
      <c r="N55" s="21"/>
      <c r="O55" s="21"/>
      <c r="P55" s="21"/>
      <c r="Q55" s="21"/>
      <c r="R55" s="21"/>
      <c r="S55" s="21"/>
      <c r="T55" s="21"/>
      <c r="U55" s="21"/>
      <c r="V55" s="22"/>
      <c r="W55" s="13"/>
      <c r="X55" s="13"/>
      <c r="Y55" s="13"/>
      <c r="Z55" s="13"/>
      <c r="AA55" s="13"/>
      <c r="AB55" s="13"/>
      <c r="AC55" s="13"/>
      <c r="AD55" s="13"/>
      <c r="AE55" s="13"/>
    </row>
    <row r="56">
      <c r="A56" s="14"/>
      <c r="B56" s="13"/>
      <c r="C56" s="13"/>
      <c r="D56" s="13"/>
      <c r="E56" s="56" t="s">
        <v>85</v>
      </c>
      <c r="F56" s="57" t="s">
        <v>86</v>
      </c>
      <c r="G56" s="21"/>
      <c r="H56" s="21"/>
      <c r="I56" s="21"/>
      <c r="J56" s="21"/>
      <c r="K56" s="21"/>
      <c r="L56" s="21"/>
      <c r="M56" s="21"/>
      <c r="N56" s="21"/>
      <c r="O56" s="21"/>
      <c r="P56" s="21"/>
      <c r="Q56" s="21"/>
      <c r="R56" s="21"/>
      <c r="S56" s="21"/>
      <c r="T56" s="21"/>
      <c r="U56" s="21"/>
      <c r="V56" s="22"/>
      <c r="W56" s="13"/>
      <c r="X56" s="13"/>
      <c r="Y56" s="13"/>
      <c r="Z56" s="13"/>
      <c r="AA56" s="13"/>
      <c r="AB56" s="13"/>
      <c r="AC56" s="13"/>
      <c r="AD56" s="13"/>
      <c r="AE56" s="13"/>
    </row>
    <row r="57">
      <c r="A57" s="14"/>
      <c r="B57" s="13"/>
      <c r="C57" s="13"/>
      <c r="D57" s="13"/>
      <c r="E57" s="56" t="s">
        <v>87</v>
      </c>
      <c r="F57" s="57" t="s">
        <v>88</v>
      </c>
      <c r="G57" s="21"/>
      <c r="H57" s="21"/>
      <c r="I57" s="21"/>
      <c r="J57" s="21"/>
      <c r="K57" s="21"/>
      <c r="L57" s="21"/>
      <c r="M57" s="21"/>
      <c r="N57" s="21"/>
      <c r="O57" s="21"/>
      <c r="P57" s="21"/>
      <c r="Q57" s="21"/>
      <c r="R57" s="21"/>
      <c r="S57" s="21"/>
      <c r="T57" s="21"/>
      <c r="U57" s="21"/>
      <c r="V57" s="22"/>
      <c r="W57" s="13"/>
      <c r="X57" s="13"/>
      <c r="Y57" s="13"/>
      <c r="Z57" s="13"/>
      <c r="AA57" s="13"/>
      <c r="AB57" s="13"/>
      <c r="AC57" s="13"/>
      <c r="AD57" s="13"/>
      <c r="AE57" s="13"/>
    </row>
    <row r="58">
      <c r="A58" s="14"/>
      <c r="B58" s="13"/>
      <c r="C58" s="13"/>
      <c r="D58" s="13"/>
      <c r="E58" s="58" t="s">
        <v>89</v>
      </c>
      <c r="F58" s="59" t="s">
        <v>90</v>
      </c>
      <c r="G58" s="60"/>
      <c r="H58" s="60"/>
      <c r="I58" s="60"/>
      <c r="J58" s="60"/>
      <c r="K58" s="60"/>
      <c r="L58" s="60"/>
      <c r="M58" s="60"/>
      <c r="N58" s="60"/>
      <c r="O58" s="60"/>
      <c r="P58" s="60"/>
      <c r="Q58" s="60"/>
      <c r="R58" s="60"/>
      <c r="S58" s="60"/>
      <c r="T58" s="60"/>
      <c r="U58" s="60"/>
      <c r="V58" s="61"/>
      <c r="W58" s="13"/>
      <c r="X58" s="13"/>
      <c r="Y58" s="13"/>
      <c r="Z58" s="13"/>
      <c r="AA58" s="13"/>
      <c r="AB58" s="13"/>
      <c r="AC58" s="13"/>
      <c r="AD58" s="13"/>
      <c r="AE58" s="13"/>
    </row>
    <row r="59">
      <c r="A59" s="14"/>
      <c r="B59" s="13"/>
      <c r="C59" s="13"/>
      <c r="D59" s="13"/>
      <c r="E59" s="51"/>
      <c r="F59" s="52"/>
      <c r="G59" s="13"/>
      <c r="H59" s="13"/>
      <c r="I59" s="13"/>
      <c r="J59" s="13"/>
      <c r="K59" s="13"/>
      <c r="L59" s="13"/>
      <c r="M59" s="13"/>
      <c r="N59" s="13"/>
      <c r="O59" s="13"/>
      <c r="P59" s="13"/>
      <c r="Q59" s="13"/>
      <c r="R59" s="13"/>
      <c r="S59" s="13"/>
      <c r="T59" s="13"/>
      <c r="U59" s="13"/>
      <c r="V59" s="35"/>
      <c r="W59" s="13"/>
      <c r="X59" s="13"/>
      <c r="Y59" s="13"/>
      <c r="Z59" s="13"/>
      <c r="AA59" s="13"/>
      <c r="AB59" s="13"/>
      <c r="AC59" s="13"/>
      <c r="AD59" s="13"/>
      <c r="AE59" s="13"/>
    </row>
    <row r="60">
      <c r="A60" s="6" t="s">
        <v>91</v>
      </c>
      <c r="B60" s="7"/>
      <c r="C60" s="7"/>
      <c r="D60" s="7"/>
      <c r="E60" s="7"/>
      <c r="F60" s="7"/>
      <c r="G60" s="7"/>
      <c r="H60" s="8"/>
      <c r="I60" s="8"/>
      <c r="J60" s="8"/>
      <c r="K60" s="8"/>
      <c r="L60" s="8"/>
      <c r="M60" s="8"/>
      <c r="N60" s="8"/>
      <c r="O60" s="8"/>
      <c r="P60" s="8"/>
      <c r="Q60" s="8"/>
      <c r="R60" s="8"/>
      <c r="S60" s="8"/>
      <c r="T60" s="8"/>
      <c r="U60" s="8"/>
      <c r="V60" s="9"/>
      <c r="W60" s="10"/>
      <c r="X60" s="10"/>
      <c r="Y60" s="10"/>
      <c r="Z60" s="10"/>
      <c r="AA60" s="10"/>
      <c r="AB60" s="10"/>
      <c r="AC60" s="10"/>
      <c r="AD60" s="10"/>
      <c r="AE60" s="10"/>
    </row>
    <row r="61">
      <c r="A61" s="62"/>
      <c r="B61" s="13"/>
      <c r="D61" s="13"/>
      <c r="E61" s="63"/>
      <c r="F61" s="52"/>
      <c r="G61" s="13"/>
      <c r="H61" s="13"/>
      <c r="I61" s="13"/>
      <c r="J61" s="13"/>
      <c r="K61" s="13"/>
      <c r="L61" s="13"/>
      <c r="M61" s="13"/>
      <c r="N61" s="13"/>
      <c r="O61" s="13"/>
      <c r="P61" s="13"/>
      <c r="Q61" s="13"/>
      <c r="R61" s="13"/>
      <c r="S61" s="13"/>
      <c r="T61" s="13"/>
      <c r="U61" s="13"/>
      <c r="V61" s="35"/>
      <c r="W61" s="13"/>
      <c r="X61" s="13"/>
      <c r="Y61" s="13"/>
      <c r="Z61" s="13"/>
      <c r="AA61" s="13"/>
      <c r="AB61" s="13"/>
      <c r="AC61" s="13"/>
      <c r="AD61" s="13"/>
      <c r="AE61" s="13"/>
    </row>
    <row r="62">
      <c r="A62" s="62"/>
      <c r="B62" s="13"/>
      <c r="C62" s="53" t="s">
        <v>92</v>
      </c>
      <c r="G62" s="13"/>
      <c r="H62" s="13"/>
      <c r="I62" s="13"/>
      <c r="J62" s="13"/>
      <c r="K62" s="13"/>
      <c r="L62" s="13"/>
      <c r="M62" s="13"/>
      <c r="N62" s="13"/>
      <c r="O62" s="13"/>
      <c r="P62" s="13"/>
      <c r="Q62" s="13"/>
      <c r="R62" s="13"/>
      <c r="S62" s="13"/>
      <c r="T62" s="13"/>
      <c r="U62" s="13"/>
      <c r="V62" s="35"/>
      <c r="W62" s="13"/>
      <c r="X62" s="13"/>
      <c r="Y62" s="13"/>
      <c r="Z62" s="13"/>
      <c r="AA62" s="13"/>
      <c r="AB62" s="13"/>
      <c r="AC62" s="13"/>
      <c r="AD62" s="13"/>
      <c r="AE62" s="13"/>
    </row>
    <row r="63">
      <c r="A63" s="62"/>
      <c r="B63" s="13"/>
      <c r="C63" s="13"/>
      <c r="D63" s="13"/>
      <c r="E63" s="64" t="s">
        <v>93</v>
      </c>
      <c r="F63" s="65"/>
      <c r="G63" s="17"/>
      <c r="H63" s="17"/>
      <c r="I63" s="17"/>
      <c r="J63" s="17"/>
      <c r="K63" s="17"/>
      <c r="L63" s="17"/>
      <c r="M63" s="17"/>
      <c r="N63" s="17"/>
      <c r="O63" s="17"/>
      <c r="P63" s="17"/>
      <c r="Q63" s="17"/>
      <c r="R63" s="17"/>
      <c r="S63" s="17"/>
      <c r="T63" s="17"/>
      <c r="U63" s="17"/>
      <c r="V63" s="18"/>
      <c r="W63" s="13"/>
      <c r="X63" s="13"/>
      <c r="Y63" s="13"/>
      <c r="Z63" s="13"/>
      <c r="AA63" s="13"/>
      <c r="AB63" s="13"/>
      <c r="AC63" s="13"/>
      <c r="AD63" s="13"/>
      <c r="AE63" s="13"/>
    </row>
    <row r="64">
      <c r="A64" s="66"/>
      <c r="B64" s="13"/>
      <c r="C64" s="13"/>
      <c r="D64" s="13"/>
      <c r="E64" s="64" t="s">
        <v>94</v>
      </c>
      <c r="F64" s="65"/>
      <c r="G64" s="17"/>
      <c r="H64" s="17"/>
      <c r="I64" s="17"/>
      <c r="J64" s="17"/>
      <c r="K64" s="17"/>
      <c r="L64" s="17"/>
      <c r="M64" s="17"/>
      <c r="N64" s="17"/>
      <c r="O64" s="17"/>
      <c r="P64" s="17"/>
      <c r="Q64" s="17"/>
      <c r="R64" s="17"/>
      <c r="S64" s="17"/>
      <c r="T64" s="17"/>
      <c r="U64" s="17"/>
      <c r="V64" s="18"/>
      <c r="W64" s="13"/>
      <c r="X64" s="13"/>
      <c r="Y64" s="13"/>
      <c r="Z64" s="13"/>
      <c r="AA64" s="13"/>
      <c r="AB64" s="13"/>
      <c r="AC64" s="13"/>
      <c r="AD64" s="13"/>
      <c r="AE64" s="13"/>
    </row>
    <row r="65">
      <c r="A65" s="66"/>
      <c r="B65" s="13"/>
      <c r="C65" s="13"/>
      <c r="D65" s="13"/>
      <c r="E65" s="64" t="s">
        <v>95</v>
      </c>
      <c r="F65" s="65"/>
      <c r="G65" s="17"/>
      <c r="H65" s="17"/>
      <c r="I65" s="17"/>
      <c r="J65" s="17"/>
      <c r="K65" s="17"/>
      <c r="L65" s="17"/>
      <c r="M65" s="17"/>
      <c r="N65" s="17"/>
      <c r="O65" s="17"/>
      <c r="P65" s="17"/>
      <c r="Q65" s="17"/>
      <c r="R65" s="17"/>
      <c r="S65" s="17"/>
      <c r="T65" s="17"/>
      <c r="U65" s="17"/>
      <c r="V65" s="18"/>
      <c r="W65" s="13"/>
      <c r="X65" s="13"/>
      <c r="Y65" s="13"/>
      <c r="Z65" s="13"/>
      <c r="AA65" s="13"/>
      <c r="AB65" s="13"/>
      <c r="AC65" s="13"/>
      <c r="AD65" s="13"/>
      <c r="AE65" s="13"/>
    </row>
    <row r="66">
      <c r="A66" s="66"/>
      <c r="B66" s="13"/>
      <c r="C66" s="13"/>
      <c r="D66" s="13"/>
      <c r="E66" s="64" t="s">
        <v>96</v>
      </c>
      <c r="F66" s="65"/>
      <c r="G66" s="17"/>
      <c r="H66" s="17"/>
      <c r="I66" s="17"/>
      <c r="J66" s="17"/>
      <c r="K66" s="17"/>
      <c r="L66" s="17"/>
      <c r="M66" s="17"/>
      <c r="N66" s="17"/>
      <c r="O66" s="17"/>
      <c r="P66" s="17"/>
      <c r="Q66" s="17"/>
      <c r="R66" s="17"/>
      <c r="S66" s="17"/>
      <c r="T66" s="17"/>
      <c r="U66" s="17"/>
      <c r="V66" s="18"/>
      <c r="W66" s="13"/>
      <c r="X66" s="13"/>
      <c r="Y66" s="13"/>
      <c r="Z66" s="13"/>
      <c r="AA66" s="13"/>
      <c r="AB66" s="13"/>
      <c r="AC66" s="13"/>
      <c r="AD66" s="13"/>
      <c r="AE66" s="13"/>
    </row>
    <row r="67">
      <c r="A67" s="66"/>
      <c r="B67" s="13"/>
      <c r="C67" s="13"/>
      <c r="D67" s="13"/>
      <c r="E67" s="64" t="s">
        <v>97</v>
      </c>
      <c r="F67" s="67"/>
      <c r="G67" s="21"/>
      <c r="H67" s="21"/>
      <c r="I67" s="21"/>
      <c r="J67" s="21"/>
      <c r="K67" s="21"/>
      <c r="L67" s="21"/>
      <c r="M67" s="21"/>
      <c r="N67" s="21"/>
      <c r="O67" s="21"/>
      <c r="P67" s="21"/>
      <c r="Q67" s="21"/>
      <c r="R67" s="21"/>
      <c r="S67" s="21"/>
      <c r="T67" s="21"/>
      <c r="U67" s="21"/>
      <c r="V67" s="22"/>
      <c r="W67" s="13"/>
      <c r="X67" s="13"/>
      <c r="Y67" s="13"/>
      <c r="Z67" s="13"/>
      <c r="AA67" s="13"/>
      <c r="AB67" s="13"/>
      <c r="AC67" s="13"/>
      <c r="AD67" s="13"/>
      <c r="AE67" s="13"/>
    </row>
    <row r="68">
      <c r="A68" s="66"/>
      <c r="B68" s="13"/>
      <c r="C68" s="13"/>
      <c r="D68" s="13"/>
      <c r="E68" s="64" t="s">
        <v>98</v>
      </c>
      <c r="F68" s="67"/>
      <c r="G68" s="21"/>
      <c r="H68" s="21"/>
      <c r="I68" s="21"/>
      <c r="J68" s="21"/>
      <c r="K68" s="21"/>
      <c r="L68" s="21"/>
      <c r="M68" s="21"/>
      <c r="N68" s="21"/>
      <c r="O68" s="21"/>
      <c r="P68" s="21"/>
      <c r="Q68" s="21"/>
      <c r="R68" s="21"/>
      <c r="S68" s="21"/>
      <c r="T68" s="21"/>
      <c r="U68" s="21"/>
      <c r="V68" s="22"/>
      <c r="W68" s="13"/>
      <c r="X68" s="13"/>
      <c r="Y68" s="13"/>
      <c r="Z68" s="13"/>
      <c r="AA68" s="13"/>
      <c r="AB68" s="13"/>
      <c r="AC68" s="13"/>
      <c r="AD68" s="13"/>
      <c r="AE68" s="13"/>
    </row>
    <row r="69">
      <c r="A69" s="66"/>
      <c r="B69" s="13"/>
      <c r="C69" s="13"/>
      <c r="D69" s="13"/>
      <c r="E69" s="64" t="s">
        <v>99</v>
      </c>
      <c r="F69" s="67"/>
      <c r="G69" s="21"/>
      <c r="H69" s="21"/>
      <c r="I69" s="21"/>
      <c r="J69" s="21"/>
      <c r="K69" s="21"/>
      <c r="L69" s="21"/>
      <c r="M69" s="21"/>
      <c r="N69" s="21"/>
      <c r="O69" s="21"/>
      <c r="P69" s="21"/>
      <c r="Q69" s="21"/>
      <c r="R69" s="21"/>
      <c r="S69" s="21"/>
      <c r="T69" s="21"/>
      <c r="U69" s="21"/>
      <c r="V69" s="22"/>
      <c r="W69" s="13"/>
      <c r="X69" s="13"/>
      <c r="Y69" s="13"/>
      <c r="Z69" s="13"/>
      <c r="AA69" s="13"/>
      <c r="AB69" s="13"/>
      <c r="AC69" s="13"/>
      <c r="AD69" s="13"/>
      <c r="AE69" s="13"/>
    </row>
    <row r="70">
      <c r="A70" s="68"/>
      <c r="B70" s="13"/>
      <c r="C70" s="13"/>
      <c r="D70" s="13"/>
      <c r="E70" s="69"/>
      <c r="F70" s="52"/>
      <c r="G70" s="13"/>
      <c r="H70" s="13"/>
      <c r="I70" s="13"/>
      <c r="J70" s="13"/>
      <c r="K70" s="13"/>
      <c r="L70" s="13"/>
      <c r="M70" s="13"/>
      <c r="N70" s="13"/>
      <c r="O70" s="13"/>
      <c r="P70" s="13"/>
      <c r="Q70" s="13"/>
      <c r="R70" s="13"/>
      <c r="S70" s="13"/>
      <c r="T70" s="13"/>
      <c r="U70" s="13"/>
      <c r="V70" s="35"/>
      <c r="W70" s="13"/>
      <c r="X70" s="13"/>
      <c r="Y70" s="13"/>
      <c r="Z70" s="13"/>
      <c r="AA70" s="13"/>
      <c r="AB70" s="13"/>
      <c r="AC70" s="13"/>
      <c r="AD70" s="13"/>
      <c r="AE70" s="13"/>
    </row>
    <row r="71">
      <c r="A71" s="68"/>
      <c r="B71" s="13"/>
      <c r="C71" s="53" t="s">
        <v>100</v>
      </c>
      <c r="G71" s="13"/>
      <c r="H71" s="13"/>
      <c r="I71" s="13"/>
      <c r="J71" s="13"/>
      <c r="K71" s="13"/>
      <c r="L71" s="13"/>
      <c r="M71" s="13"/>
      <c r="N71" s="13"/>
      <c r="O71" s="13"/>
      <c r="P71" s="13"/>
      <c r="Q71" s="13"/>
      <c r="R71" s="13"/>
      <c r="S71" s="13"/>
      <c r="T71" s="13"/>
      <c r="U71" s="13"/>
      <c r="V71" s="35"/>
      <c r="W71" s="13"/>
      <c r="X71" s="13"/>
      <c r="Y71" s="13"/>
      <c r="Z71" s="13"/>
      <c r="AA71" s="13"/>
      <c r="AB71" s="13"/>
      <c r="AC71" s="13"/>
      <c r="AD71" s="13"/>
      <c r="AE71" s="13"/>
    </row>
    <row r="72">
      <c r="A72" s="70"/>
      <c r="B72" s="13"/>
      <c r="C72" s="13"/>
      <c r="D72" s="13"/>
      <c r="E72" s="71" t="s">
        <v>101</v>
      </c>
      <c r="F72" s="65"/>
      <c r="G72" s="17"/>
      <c r="H72" s="17"/>
      <c r="I72" s="17"/>
      <c r="J72" s="17"/>
      <c r="K72" s="17"/>
      <c r="L72" s="17"/>
      <c r="M72" s="17"/>
      <c r="N72" s="17"/>
      <c r="O72" s="17"/>
      <c r="P72" s="17"/>
      <c r="Q72" s="17"/>
      <c r="R72" s="17"/>
      <c r="S72" s="17"/>
      <c r="T72" s="17"/>
      <c r="U72" s="17"/>
      <c r="V72" s="18"/>
      <c r="W72" s="13"/>
      <c r="X72" s="13"/>
      <c r="Y72" s="13"/>
      <c r="Z72" s="13"/>
      <c r="AA72" s="13"/>
      <c r="AB72" s="13"/>
      <c r="AC72" s="13"/>
      <c r="AD72" s="13"/>
      <c r="AE72" s="13"/>
    </row>
    <row r="73">
      <c r="A73" s="70"/>
      <c r="B73" s="13"/>
      <c r="C73" s="13"/>
      <c r="D73" s="13"/>
      <c r="E73" s="71" t="s">
        <v>102</v>
      </c>
      <c r="F73" s="65"/>
      <c r="G73" s="17"/>
      <c r="H73" s="17"/>
      <c r="I73" s="17"/>
      <c r="J73" s="17"/>
      <c r="K73" s="17"/>
      <c r="L73" s="17"/>
      <c r="M73" s="17"/>
      <c r="N73" s="17"/>
      <c r="O73" s="17"/>
      <c r="P73" s="17"/>
      <c r="Q73" s="17"/>
      <c r="R73" s="17"/>
      <c r="S73" s="17"/>
      <c r="T73" s="17"/>
      <c r="U73" s="17"/>
      <c r="V73" s="18"/>
      <c r="W73" s="13"/>
      <c r="X73" s="13"/>
      <c r="Y73" s="13"/>
      <c r="Z73" s="13"/>
      <c r="AA73" s="13"/>
      <c r="AB73" s="13"/>
      <c r="AC73" s="13"/>
      <c r="AD73" s="13"/>
      <c r="AE73" s="13"/>
    </row>
    <row r="74">
      <c r="A74" s="68"/>
      <c r="B74" s="13"/>
      <c r="C74" s="13"/>
      <c r="D74" s="13"/>
      <c r="E74" s="72" t="s">
        <v>103</v>
      </c>
      <c r="F74" s="73"/>
      <c r="G74" s="46"/>
      <c r="H74" s="46"/>
      <c r="I74" s="46"/>
      <c r="J74" s="46"/>
      <c r="K74" s="46"/>
      <c r="L74" s="46"/>
      <c r="M74" s="46"/>
      <c r="N74" s="46"/>
      <c r="O74" s="46"/>
      <c r="P74" s="46"/>
      <c r="Q74" s="46"/>
      <c r="R74" s="46"/>
      <c r="S74" s="46"/>
      <c r="T74" s="46"/>
      <c r="U74" s="46"/>
      <c r="V74" s="47"/>
      <c r="W74" s="13"/>
      <c r="X74" s="13"/>
      <c r="Y74" s="13"/>
      <c r="Z74" s="13"/>
      <c r="AA74" s="13"/>
      <c r="AB74" s="13"/>
      <c r="AC74" s="13"/>
      <c r="AD74" s="13"/>
      <c r="AE74" s="13"/>
    </row>
    <row r="75">
      <c r="A75" s="70"/>
      <c r="B75" s="13"/>
      <c r="C75" s="13"/>
      <c r="D75" s="13"/>
      <c r="E75" s="74" t="s">
        <v>104</v>
      </c>
      <c r="F75" s="65"/>
      <c r="G75" s="17"/>
      <c r="H75" s="17"/>
      <c r="I75" s="17"/>
      <c r="J75" s="17"/>
      <c r="K75" s="17"/>
      <c r="L75" s="17"/>
      <c r="M75" s="17"/>
      <c r="N75" s="17"/>
      <c r="O75" s="17"/>
      <c r="P75" s="17"/>
      <c r="Q75" s="17"/>
      <c r="R75" s="17"/>
      <c r="S75" s="17"/>
      <c r="T75" s="17"/>
      <c r="U75" s="17"/>
      <c r="V75" s="18"/>
      <c r="W75" s="13"/>
      <c r="X75" s="13"/>
      <c r="Y75" s="13"/>
      <c r="Z75" s="13"/>
      <c r="AA75" s="13"/>
      <c r="AB75" s="13"/>
      <c r="AC75" s="13"/>
      <c r="AD75" s="13"/>
      <c r="AE75" s="13"/>
    </row>
    <row r="76">
      <c r="A76" s="68"/>
      <c r="B76" s="13"/>
      <c r="C76" s="13"/>
      <c r="D76" s="13"/>
      <c r="E76" s="75" t="s">
        <v>105</v>
      </c>
      <c r="F76" s="76"/>
      <c r="G76" s="77"/>
      <c r="H76" s="77"/>
      <c r="I76" s="77"/>
      <c r="J76" s="77"/>
      <c r="K76" s="77"/>
      <c r="L76" s="77"/>
      <c r="M76" s="77"/>
      <c r="N76" s="77"/>
      <c r="O76" s="77"/>
      <c r="P76" s="77"/>
      <c r="Q76" s="77"/>
      <c r="R76" s="77"/>
      <c r="S76" s="77"/>
      <c r="T76" s="77"/>
      <c r="U76" s="77"/>
      <c r="V76" s="78"/>
      <c r="W76" s="13"/>
      <c r="X76" s="13"/>
      <c r="Y76" s="13"/>
      <c r="Z76" s="13"/>
      <c r="AA76" s="13"/>
      <c r="AB76" s="13"/>
      <c r="AC76" s="13"/>
      <c r="AD76" s="13"/>
      <c r="AE76" s="13"/>
    </row>
    <row r="77">
      <c r="A77" s="68"/>
      <c r="B77" s="13"/>
      <c r="C77" s="13"/>
      <c r="D77" s="13"/>
      <c r="E77" s="79" t="s">
        <v>106</v>
      </c>
      <c r="F77" s="80"/>
      <c r="G77" s="60"/>
      <c r="H77" s="60"/>
      <c r="I77" s="60"/>
      <c r="J77" s="60"/>
      <c r="K77" s="60"/>
      <c r="L77" s="60"/>
      <c r="M77" s="60"/>
      <c r="N77" s="60"/>
      <c r="O77" s="60"/>
      <c r="P77" s="60"/>
      <c r="Q77" s="60"/>
      <c r="R77" s="60"/>
      <c r="S77" s="60"/>
      <c r="T77" s="60"/>
      <c r="U77" s="60"/>
      <c r="V77" s="61"/>
      <c r="W77" s="13"/>
      <c r="X77" s="13"/>
      <c r="Y77" s="13"/>
      <c r="Z77" s="13"/>
      <c r="AA77" s="13"/>
      <c r="AB77" s="13"/>
      <c r="AC77" s="13"/>
      <c r="AD77" s="13"/>
      <c r="AE77" s="13"/>
    </row>
    <row r="78">
      <c r="A78" s="81"/>
      <c r="B78" s="46"/>
      <c r="C78" s="46"/>
      <c r="D78" s="46"/>
      <c r="E78" s="82"/>
      <c r="F78" s="73"/>
      <c r="G78" s="46"/>
      <c r="H78" s="46"/>
      <c r="I78" s="46"/>
      <c r="J78" s="46"/>
      <c r="K78" s="46"/>
      <c r="L78" s="46"/>
      <c r="M78" s="46"/>
      <c r="N78" s="46"/>
      <c r="O78" s="46"/>
      <c r="P78" s="46"/>
      <c r="Q78" s="46"/>
      <c r="R78" s="46"/>
      <c r="S78" s="46"/>
      <c r="T78" s="46"/>
      <c r="U78" s="46"/>
      <c r="V78" s="47"/>
      <c r="W78" s="13"/>
      <c r="X78" s="13"/>
      <c r="Y78" s="13"/>
      <c r="Z78" s="13"/>
      <c r="AA78" s="13"/>
      <c r="AB78" s="13"/>
      <c r="AC78" s="13"/>
      <c r="AD78" s="13"/>
      <c r="AE78" s="13"/>
    </row>
  </sheetData>
  <mergeCells count="27">
    <mergeCell ref="A1:G1"/>
    <mergeCell ref="A2:G2"/>
    <mergeCell ref="A17:G17"/>
    <mergeCell ref="C19:F19"/>
    <mergeCell ref="F20:S20"/>
    <mergeCell ref="F21:S21"/>
    <mergeCell ref="F22:S22"/>
    <mergeCell ref="F23:S23"/>
    <mergeCell ref="F24:S24"/>
    <mergeCell ref="F25:S25"/>
    <mergeCell ref="F26:S26"/>
    <mergeCell ref="F27:S27"/>
    <mergeCell ref="F28:S28"/>
    <mergeCell ref="C30:F30"/>
    <mergeCell ref="A39:G39"/>
    <mergeCell ref="C41:E41"/>
    <mergeCell ref="C52:E52"/>
    <mergeCell ref="A60:G60"/>
    <mergeCell ref="C62:F62"/>
    <mergeCell ref="C71:F71"/>
    <mergeCell ref="F31:S31"/>
    <mergeCell ref="F32:S32"/>
    <mergeCell ref="F33:S33"/>
    <mergeCell ref="F34:S34"/>
    <mergeCell ref="F35:S35"/>
    <mergeCell ref="F36:S36"/>
    <mergeCell ref="F37:S37"/>
  </mergeCells>
  <hyperlinks>
    <hyperlink display="Main CEA" location="'Main CEA'!A1" ref="E4"/>
    <hyperlink display="Aggregation across vaccines" location="'Aggregation across vaccines'!A1" ref="E5"/>
    <hyperlink display="Treatment effect" location="'Treatment effect'!A1" ref="E6"/>
    <hyperlink display="Disease burden" location="'Disease burden'!A1" ref="E7"/>
    <hyperlink display="Vaccine coverage" location="'Vaccine coverage'!A1" ref="E8"/>
    <hyperlink display="Vaccine efficacy" location="'Vaccine efficacy'!A1" ref="E9"/>
    <hyperlink display="Leverage/Funging" location="LeverageFunging!A1" ref="E10"/>
    <hyperlink display="Inputs" location="Inputs!A1" ref="E11"/>
    <hyperlink display="GBD estimates" location="'GBD estimates'!A1" ref="E12"/>
    <hyperlink display="Simple CEA" location="'Simple CEA'!A1" ref="E13"/>
    <hyperlink display="Confidence intervals" location="'Confidence intervals'!A1" ref="E14"/>
    <hyperlink display="Sensitivity analysis" location="'Sensitivity analysis'!A1" ref="E15"/>
    <hyperlink r:id="rId1" ref="E63"/>
    <hyperlink r:id="rId2" location="gid=385883853" ref="E64"/>
    <hyperlink r:id="rId3" ref="E65"/>
    <hyperlink r:id="rId4" ref="E66"/>
    <hyperlink r:id="rId5" ref="E67"/>
    <hyperlink r:id="rId6" location="gid=664455604" ref="E68"/>
    <hyperlink r:id="rId7" location="gid=1078707964" ref="E69"/>
    <hyperlink r:id="rId8" location="gid=1087538420" ref="E72"/>
    <hyperlink r:id="rId9" ref="E73"/>
    <hyperlink r:id="rId10" ref="E74"/>
    <hyperlink r:id="rId11" location="gid=1110574950" ref="E75"/>
    <hyperlink r:id="rId12" ref="E76"/>
    <hyperlink r:id="rId13" ref="E7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5"/>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154</v>
      </c>
      <c r="F4" s="111" t="str">
        <f>F242</f>
        <v>xbenchmark</v>
      </c>
      <c r="G4" s="112" t="s">
        <v>155</v>
      </c>
      <c r="H4" s="113" t="str">
        <f t="shared" ref="H4:AV4" si="1">H242</f>
        <v>-</v>
      </c>
      <c r="I4" s="114">
        <f t="shared" si="1"/>
        <v>20.03960646</v>
      </c>
      <c r="J4" s="114">
        <f t="shared" si="1"/>
        <v>10.02083846</v>
      </c>
      <c r="K4" s="114">
        <f t="shared" si="1"/>
        <v>18.1775049</v>
      </c>
      <c r="L4" s="114">
        <f t="shared" si="1"/>
        <v>9.002767152</v>
      </c>
      <c r="M4" s="114">
        <f t="shared" si="1"/>
        <v>12.61282684</v>
      </c>
      <c r="N4" s="114">
        <f t="shared" si="1"/>
        <v>16.80973361</v>
      </c>
      <c r="O4" s="114">
        <f t="shared" si="1"/>
        <v>29.03701301</v>
      </c>
      <c r="P4" s="114">
        <f t="shared" si="1"/>
        <v>38.57993882</v>
      </c>
      <c r="Q4" s="115">
        <f t="shared" si="1"/>
        <v>31.32991169</v>
      </c>
      <c r="R4" s="114">
        <f t="shared" si="1"/>
        <v>1.694686289</v>
      </c>
      <c r="S4" s="114">
        <f t="shared" si="1"/>
        <v>3.935219868</v>
      </c>
      <c r="T4" s="114">
        <f t="shared" si="1"/>
        <v>1.609054963</v>
      </c>
      <c r="U4" s="114">
        <f t="shared" si="1"/>
        <v>1.790338065</v>
      </c>
      <c r="V4" s="114">
        <f t="shared" si="1"/>
        <v>2.664778133</v>
      </c>
      <c r="W4" s="114">
        <f t="shared" si="1"/>
        <v>2.997034537</v>
      </c>
      <c r="X4" s="114">
        <f t="shared" si="1"/>
        <v>5.069321927</v>
      </c>
      <c r="Y4" s="114">
        <f t="shared" si="1"/>
        <v>1.476570392</v>
      </c>
      <c r="Z4" s="114">
        <f t="shared" si="1"/>
        <v>2.079573564</v>
      </c>
      <c r="AA4" s="114">
        <f t="shared" si="1"/>
        <v>1.081805798</v>
      </c>
      <c r="AB4" s="114">
        <f t="shared" si="1"/>
        <v>1.530220442</v>
      </c>
      <c r="AC4" s="114">
        <f t="shared" si="1"/>
        <v>1.220357858</v>
      </c>
      <c r="AD4" s="114">
        <f t="shared" si="1"/>
        <v>1.083937019</v>
      </c>
      <c r="AE4" s="114">
        <f t="shared" si="1"/>
        <v>1.430095056</v>
      </c>
      <c r="AF4" s="114">
        <f t="shared" si="1"/>
        <v>1.168377171</v>
      </c>
      <c r="AG4" s="114">
        <f t="shared" si="1"/>
        <v>5.190946506</v>
      </c>
      <c r="AH4" s="114">
        <f t="shared" si="1"/>
        <v>2.260662053</v>
      </c>
      <c r="AI4" s="114">
        <f t="shared" si="1"/>
        <v>1.992350509</v>
      </c>
      <c r="AJ4" s="114">
        <f t="shared" si="1"/>
        <v>1.120746184</v>
      </c>
      <c r="AK4" s="114">
        <f t="shared" si="1"/>
        <v>3.261541663</v>
      </c>
      <c r="AL4" s="114">
        <f t="shared" si="1"/>
        <v>7.304670065</v>
      </c>
      <c r="AM4" s="114">
        <f t="shared" si="1"/>
        <v>8.772466493</v>
      </c>
      <c r="AN4" s="114">
        <f t="shared" si="1"/>
        <v>5.309486223</v>
      </c>
      <c r="AO4" s="114">
        <f t="shared" si="1"/>
        <v>2.397980114</v>
      </c>
      <c r="AP4" s="114">
        <f t="shared" si="1"/>
        <v>2.149756328</v>
      </c>
      <c r="AQ4" s="114">
        <f t="shared" si="1"/>
        <v>1.159477323</v>
      </c>
      <c r="AR4" s="114">
        <f t="shared" si="1"/>
        <v>1.730630738</v>
      </c>
      <c r="AS4" s="114">
        <f t="shared" si="1"/>
        <v>2.193617991</v>
      </c>
      <c r="AT4" s="114">
        <f t="shared" si="1"/>
        <v>1.550050732</v>
      </c>
      <c r="AU4" s="114">
        <f t="shared" si="1"/>
        <v>6.395027811</v>
      </c>
      <c r="AV4" s="114">
        <f t="shared" si="1"/>
        <v>11.47196265</v>
      </c>
      <c r="AW4" s="116"/>
    </row>
    <row r="5">
      <c r="A5" s="117" t="s">
        <v>156</v>
      </c>
      <c r="B5" s="7"/>
      <c r="C5" s="7"/>
      <c r="D5" s="7"/>
      <c r="E5" s="7"/>
      <c r="F5" s="7"/>
      <c r="G5" s="7"/>
      <c r="H5" s="118"/>
      <c r="I5" s="119"/>
      <c r="J5" s="119"/>
      <c r="K5" s="119"/>
      <c r="L5" s="119"/>
      <c r="M5" s="119"/>
      <c r="N5" s="119"/>
      <c r="O5" s="119"/>
      <c r="P5" s="119"/>
      <c r="Q5" s="120"/>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21"/>
    </row>
    <row r="6">
      <c r="A6" s="122"/>
      <c r="B6" s="123"/>
      <c r="C6" s="123"/>
      <c r="D6" s="123"/>
      <c r="E6" s="124"/>
      <c r="F6" s="125"/>
      <c r="G6" s="126"/>
      <c r="H6" s="127"/>
      <c r="I6" s="128"/>
      <c r="J6" s="128"/>
      <c r="K6" s="128"/>
      <c r="L6" s="128"/>
      <c r="M6" s="128"/>
      <c r="N6" s="128"/>
      <c r="O6" s="128"/>
      <c r="P6" s="128"/>
      <c r="Q6" s="129"/>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157</v>
      </c>
      <c r="F7" s="125"/>
      <c r="G7" s="132"/>
      <c r="H7" s="127"/>
      <c r="I7" s="128"/>
      <c r="J7" s="128"/>
      <c r="K7" s="128"/>
      <c r="L7" s="128"/>
      <c r="M7" s="128"/>
      <c r="N7" s="128"/>
      <c r="O7" s="128"/>
      <c r="P7" s="128"/>
      <c r="Q7" s="129"/>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23"/>
      <c r="D8" s="123"/>
      <c r="E8" s="133" t="s">
        <v>158</v>
      </c>
      <c r="F8" s="134" t="str">
        <f>Inputs!F8</f>
        <v>$</v>
      </c>
      <c r="G8" s="135" t="str">
        <f>Inputs!G8</f>
        <v>input</v>
      </c>
      <c r="H8" s="136">
        <f>Inputs!H8</f>
        <v>1000000</v>
      </c>
      <c r="I8" s="137" t="str">
        <f>Inputs!I8</f>
        <v>-</v>
      </c>
      <c r="J8" s="137" t="str">
        <f>Inputs!J8</f>
        <v>-</v>
      </c>
      <c r="K8" s="137" t="str">
        <f>Inputs!K8</f>
        <v>-</v>
      </c>
      <c r="L8" s="137" t="str">
        <f>Inputs!L8</f>
        <v>-</v>
      </c>
      <c r="M8" s="137" t="str">
        <f>Inputs!M8</f>
        <v>-</v>
      </c>
      <c r="N8" s="137" t="str">
        <f>Inputs!N8</f>
        <v>-</v>
      </c>
      <c r="O8" s="137" t="str">
        <f>Inputs!O8</f>
        <v>-</v>
      </c>
      <c r="P8" s="137" t="str">
        <f>Inputs!P8</f>
        <v>-</v>
      </c>
      <c r="Q8" s="138" t="str">
        <f>Inputs!Q8</f>
        <v>-</v>
      </c>
      <c r="R8" s="137" t="str">
        <f>Inputs!R8</f>
        <v>-</v>
      </c>
      <c r="S8" s="137" t="str">
        <f>Inputs!S8</f>
        <v>-</v>
      </c>
      <c r="T8" s="137" t="str">
        <f>Inputs!T8</f>
        <v>-</v>
      </c>
      <c r="U8" s="137" t="str">
        <f>Inputs!U8</f>
        <v>-</v>
      </c>
      <c r="V8" s="137" t="str">
        <f>Inputs!V8</f>
        <v>-</v>
      </c>
      <c r="W8" s="137" t="str">
        <f>Inputs!W8</f>
        <v>-</v>
      </c>
      <c r="X8" s="137" t="str">
        <f>Inputs!X8</f>
        <v>-</v>
      </c>
      <c r="Y8" s="137" t="str">
        <f>Inputs!Y8</f>
        <v>-</v>
      </c>
      <c r="Z8" s="137" t="str">
        <f>Inputs!Z8</f>
        <v>-</v>
      </c>
      <c r="AA8" s="137" t="str">
        <f>Inputs!AA8</f>
        <v>-</v>
      </c>
      <c r="AB8" s="137" t="str">
        <f>Inputs!AB8</f>
        <v>-</v>
      </c>
      <c r="AC8" s="137" t="str">
        <f>Inputs!AC8</f>
        <v>-</v>
      </c>
      <c r="AD8" s="137" t="str">
        <f>Inputs!AD8</f>
        <v>-</v>
      </c>
      <c r="AE8" s="137" t="str">
        <f>Inputs!AE8</f>
        <v>-</v>
      </c>
      <c r="AF8" s="137" t="str">
        <f>Inputs!AF8</f>
        <v>-</v>
      </c>
      <c r="AG8" s="137" t="str">
        <f>Inputs!AG8</f>
        <v>-</v>
      </c>
      <c r="AH8" s="137" t="str">
        <f>Inputs!AH8</f>
        <v>-</v>
      </c>
      <c r="AI8" s="137" t="str">
        <f>Inputs!AI8</f>
        <v>-</v>
      </c>
      <c r="AJ8" s="137" t="str">
        <f>Inputs!AJ8</f>
        <v>-</v>
      </c>
      <c r="AK8" s="137" t="str">
        <f>Inputs!AK8</f>
        <v>-</v>
      </c>
      <c r="AL8" s="137" t="str">
        <f>Inputs!AL8</f>
        <v>-</v>
      </c>
      <c r="AM8" s="137" t="str">
        <f>Inputs!AM8</f>
        <v>-</v>
      </c>
      <c r="AN8" s="137" t="str">
        <f>Inputs!AN8</f>
        <v>-</v>
      </c>
      <c r="AO8" s="137" t="str">
        <f>Inputs!AO8</f>
        <v>-</v>
      </c>
      <c r="AP8" s="137" t="str">
        <f>Inputs!AP8</f>
        <v>-</v>
      </c>
      <c r="AQ8" s="137" t="str">
        <f>Inputs!AQ8</f>
        <v>-</v>
      </c>
      <c r="AR8" s="137" t="str">
        <f>Inputs!AR8</f>
        <v>-</v>
      </c>
      <c r="AS8" s="137" t="str">
        <f>Inputs!AS8</f>
        <v>-</v>
      </c>
      <c r="AT8" s="137" t="str">
        <f>Inputs!AT8</f>
        <v>-</v>
      </c>
      <c r="AU8" s="137" t="str">
        <f>Inputs!AU8</f>
        <v>-</v>
      </c>
      <c r="AV8" s="137" t="str">
        <f>Inputs!AV8</f>
        <v>-</v>
      </c>
      <c r="AW8" s="139"/>
    </row>
    <row r="9">
      <c r="A9" s="122"/>
      <c r="B9" s="123"/>
      <c r="C9" s="123"/>
      <c r="D9" s="123"/>
      <c r="E9" s="140"/>
      <c r="F9" s="141"/>
      <c r="G9" s="142"/>
      <c r="H9" s="127"/>
      <c r="I9" s="128"/>
      <c r="J9" s="128"/>
      <c r="K9" s="128"/>
      <c r="L9" s="128"/>
      <c r="M9" s="128"/>
      <c r="N9" s="128"/>
      <c r="O9" s="128"/>
      <c r="P9" s="128"/>
      <c r="Q9" s="129"/>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30"/>
    </row>
    <row r="10">
      <c r="A10" s="122"/>
      <c r="B10" s="123"/>
      <c r="C10" s="143" t="s">
        <v>159</v>
      </c>
      <c r="F10" s="141"/>
      <c r="G10" s="144"/>
      <c r="H10" s="127"/>
      <c r="I10" s="128"/>
      <c r="J10" s="128"/>
      <c r="K10" s="128"/>
      <c r="L10" s="128"/>
      <c r="M10" s="128"/>
      <c r="N10" s="128"/>
      <c r="O10" s="128"/>
      <c r="P10" s="128"/>
      <c r="Q10" s="129"/>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30"/>
    </row>
    <row r="11">
      <c r="A11" s="122"/>
      <c r="B11" s="123"/>
      <c r="C11" s="143"/>
      <c r="D11" s="123"/>
      <c r="E11" s="133" t="s">
        <v>160</v>
      </c>
      <c r="F11" s="134" t="s">
        <v>68</v>
      </c>
      <c r="G11" s="145" t="s">
        <v>161</v>
      </c>
      <c r="H11" s="146" t="s">
        <v>162</v>
      </c>
      <c r="I11" s="147">
        <f t="shared" ref="I11:AV11" si="2">IF(I8="-",$H8,I8)</f>
        <v>1000000</v>
      </c>
      <c r="J11" s="147">
        <f t="shared" si="2"/>
        <v>1000000</v>
      </c>
      <c r="K11" s="147">
        <f t="shared" si="2"/>
        <v>1000000</v>
      </c>
      <c r="L11" s="147">
        <f t="shared" si="2"/>
        <v>1000000</v>
      </c>
      <c r="M11" s="147">
        <f t="shared" si="2"/>
        <v>1000000</v>
      </c>
      <c r="N11" s="147">
        <f t="shared" si="2"/>
        <v>1000000</v>
      </c>
      <c r="O11" s="147">
        <f t="shared" si="2"/>
        <v>1000000</v>
      </c>
      <c r="P11" s="147">
        <f t="shared" si="2"/>
        <v>1000000</v>
      </c>
      <c r="Q11" s="148">
        <f t="shared" si="2"/>
        <v>1000000</v>
      </c>
      <c r="R11" s="147">
        <f t="shared" si="2"/>
        <v>1000000</v>
      </c>
      <c r="S11" s="147">
        <f t="shared" si="2"/>
        <v>1000000</v>
      </c>
      <c r="T11" s="147">
        <f t="shared" si="2"/>
        <v>1000000</v>
      </c>
      <c r="U11" s="147">
        <f t="shared" si="2"/>
        <v>1000000</v>
      </c>
      <c r="V11" s="147">
        <f t="shared" si="2"/>
        <v>1000000</v>
      </c>
      <c r="W11" s="147">
        <f t="shared" si="2"/>
        <v>1000000</v>
      </c>
      <c r="X11" s="147">
        <f t="shared" si="2"/>
        <v>1000000</v>
      </c>
      <c r="Y11" s="147">
        <f t="shared" si="2"/>
        <v>1000000</v>
      </c>
      <c r="Z11" s="147">
        <f t="shared" si="2"/>
        <v>1000000</v>
      </c>
      <c r="AA11" s="147">
        <f t="shared" si="2"/>
        <v>1000000</v>
      </c>
      <c r="AB11" s="147">
        <f t="shared" si="2"/>
        <v>1000000</v>
      </c>
      <c r="AC11" s="147">
        <f t="shared" si="2"/>
        <v>1000000</v>
      </c>
      <c r="AD11" s="147">
        <f t="shared" si="2"/>
        <v>1000000</v>
      </c>
      <c r="AE11" s="147">
        <f t="shared" si="2"/>
        <v>1000000</v>
      </c>
      <c r="AF11" s="147">
        <f t="shared" si="2"/>
        <v>1000000</v>
      </c>
      <c r="AG11" s="147">
        <f t="shared" si="2"/>
        <v>1000000</v>
      </c>
      <c r="AH11" s="147">
        <f t="shared" si="2"/>
        <v>1000000</v>
      </c>
      <c r="AI11" s="147">
        <f t="shared" si="2"/>
        <v>1000000</v>
      </c>
      <c r="AJ11" s="147">
        <f t="shared" si="2"/>
        <v>1000000</v>
      </c>
      <c r="AK11" s="147">
        <f t="shared" si="2"/>
        <v>1000000</v>
      </c>
      <c r="AL11" s="147">
        <f t="shared" si="2"/>
        <v>1000000</v>
      </c>
      <c r="AM11" s="147">
        <f t="shared" si="2"/>
        <v>1000000</v>
      </c>
      <c r="AN11" s="147">
        <f t="shared" si="2"/>
        <v>1000000</v>
      </c>
      <c r="AO11" s="147">
        <f t="shared" si="2"/>
        <v>1000000</v>
      </c>
      <c r="AP11" s="147">
        <f t="shared" si="2"/>
        <v>1000000</v>
      </c>
      <c r="AQ11" s="147">
        <f t="shared" si="2"/>
        <v>1000000</v>
      </c>
      <c r="AR11" s="147">
        <f t="shared" si="2"/>
        <v>1000000</v>
      </c>
      <c r="AS11" s="147">
        <f t="shared" si="2"/>
        <v>1000000</v>
      </c>
      <c r="AT11" s="147">
        <f t="shared" si="2"/>
        <v>1000000</v>
      </c>
      <c r="AU11" s="147">
        <f t="shared" si="2"/>
        <v>1000000</v>
      </c>
      <c r="AV11" s="147">
        <f t="shared" si="2"/>
        <v>1000000</v>
      </c>
      <c r="AW11" s="139"/>
    </row>
    <row r="12">
      <c r="A12" s="122"/>
      <c r="B12" s="123"/>
      <c r="C12" s="143"/>
      <c r="D12" s="123"/>
      <c r="E12" s="140"/>
      <c r="F12" s="141"/>
      <c r="G12" s="144"/>
      <c r="H12" s="127"/>
      <c r="I12" s="128"/>
      <c r="J12" s="128"/>
      <c r="K12" s="128"/>
      <c r="L12" s="128"/>
      <c r="M12" s="128"/>
      <c r="N12" s="128"/>
      <c r="O12" s="128"/>
      <c r="P12" s="128"/>
      <c r="Q12" s="129"/>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30"/>
    </row>
    <row r="13">
      <c r="A13" s="122"/>
      <c r="B13" s="123"/>
      <c r="C13" s="143" t="s">
        <v>163</v>
      </c>
      <c r="F13" s="149"/>
      <c r="G13" s="150"/>
      <c r="H13" s="127"/>
      <c r="I13" s="128"/>
      <c r="J13" s="128"/>
      <c r="K13" s="128"/>
      <c r="L13" s="128"/>
      <c r="M13" s="128"/>
      <c r="N13" s="128"/>
      <c r="O13" s="128"/>
      <c r="P13" s="128"/>
      <c r="Q13" s="129"/>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30"/>
    </row>
    <row r="14">
      <c r="A14" s="122"/>
      <c r="B14" s="123"/>
      <c r="C14" s="151"/>
      <c r="D14" s="152"/>
      <c r="E14" s="153" t="s">
        <v>164</v>
      </c>
      <c r="F14" s="154" t="s">
        <v>68</v>
      </c>
      <c r="G14" s="155" t="s">
        <v>165</v>
      </c>
      <c r="H14" s="156">
        <f>Inputs!H11</f>
        <v>16.26</v>
      </c>
      <c r="I14" s="157"/>
      <c r="J14" s="157"/>
      <c r="K14" s="157"/>
      <c r="L14" s="157"/>
      <c r="M14" s="157"/>
      <c r="N14" s="157"/>
      <c r="O14" s="157"/>
      <c r="P14" s="157"/>
      <c r="Q14" s="158"/>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9"/>
    </row>
    <row r="15">
      <c r="A15" s="122"/>
      <c r="B15" s="123"/>
      <c r="C15" s="151"/>
      <c r="D15" s="152"/>
      <c r="E15" s="160" t="s">
        <v>166</v>
      </c>
      <c r="F15" s="161" t="s">
        <v>72</v>
      </c>
      <c r="G15" s="162" t="s">
        <v>165</v>
      </c>
      <c r="H15" s="163">
        <f>Inputs!H12</f>
        <v>0.107211</v>
      </c>
      <c r="I15" s="164"/>
      <c r="J15" s="164"/>
      <c r="K15" s="164"/>
      <c r="L15" s="164"/>
      <c r="M15" s="164"/>
      <c r="N15" s="164"/>
      <c r="O15" s="164"/>
      <c r="P15" s="164"/>
      <c r="Q15" s="165"/>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59"/>
    </row>
    <row r="16">
      <c r="A16" s="122"/>
      <c r="B16" s="123"/>
      <c r="C16" s="151"/>
      <c r="D16" s="152"/>
      <c r="E16" s="166" t="s">
        <v>167</v>
      </c>
      <c r="F16" s="167" t="s">
        <v>68</v>
      </c>
      <c r="G16" s="168" t="s">
        <v>161</v>
      </c>
      <c r="H16" s="169">
        <f>H14/(1-H15)</f>
        <v>18.21258998</v>
      </c>
      <c r="I16" s="170" t="str">
        <f>Inputs!I11</f>
        <v>-</v>
      </c>
      <c r="J16" s="170" t="str">
        <f>Inputs!J11</f>
        <v>-</v>
      </c>
      <c r="K16" s="170" t="str">
        <f>Inputs!K11</f>
        <v>-</v>
      </c>
      <c r="L16" s="170" t="str">
        <f>Inputs!L11</f>
        <v>-</v>
      </c>
      <c r="M16" s="170" t="str">
        <f>Inputs!M11</f>
        <v>-</v>
      </c>
      <c r="N16" s="170" t="str">
        <f>Inputs!N11</f>
        <v>-</v>
      </c>
      <c r="O16" s="170" t="str">
        <f>Inputs!O11</f>
        <v>-</v>
      </c>
      <c r="P16" s="170" t="str">
        <f>Inputs!P11</f>
        <v>-</v>
      </c>
      <c r="Q16" s="171" t="str">
        <f>Inputs!Q11</f>
        <v>-</v>
      </c>
      <c r="R16" s="170" t="str">
        <f>Inputs!R11</f>
        <v>-</v>
      </c>
      <c r="S16" s="170" t="str">
        <f>Inputs!S11</f>
        <v>-</v>
      </c>
      <c r="T16" s="170" t="str">
        <f>Inputs!T11</f>
        <v>-</v>
      </c>
      <c r="U16" s="170" t="str">
        <f>Inputs!U11</f>
        <v>-</v>
      </c>
      <c r="V16" s="170" t="str">
        <f>Inputs!V11</f>
        <v>-</v>
      </c>
      <c r="W16" s="170" t="str">
        <f>Inputs!W11</f>
        <v>-</v>
      </c>
      <c r="X16" s="170" t="str">
        <f>Inputs!X11</f>
        <v>-</v>
      </c>
      <c r="Y16" s="170" t="str">
        <f>Inputs!Y11</f>
        <v>-</v>
      </c>
      <c r="Z16" s="170" t="str">
        <f>Inputs!Z11</f>
        <v>-</v>
      </c>
      <c r="AA16" s="170" t="str">
        <f>Inputs!AA11</f>
        <v>-</v>
      </c>
      <c r="AB16" s="170" t="str">
        <f>Inputs!AB11</f>
        <v>-</v>
      </c>
      <c r="AC16" s="170" t="str">
        <f>Inputs!AC11</f>
        <v>-</v>
      </c>
      <c r="AD16" s="170" t="str">
        <f>Inputs!AD11</f>
        <v>-</v>
      </c>
      <c r="AE16" s="170" t="str">
        <f>Inputs!AE11</f>
        <v>-</v>
      </c>
      <c r="AF16" s="170" t="str">
        <f>Inputs!AF11</f>
        <v>-</v>
      </c>
      <c r="AG16" s="170" t="str">
        <f>Inputs!AG11</f>
        <v>-</v>
      </c>
      <c r="AH16" s="170" t="str">
        <f>Inputs!AH11</f>
        <v>-</v>
      </c>
      <c r="AI16" s="170" t="str">
        <f>Inputs!AI11</f>
        <v>-</v>
      </c>
      <c r="AJ16" s="170" t="str">
        <f>Inputs!AJ11</f>
        <v>-</v>
      </c>
      <c r="AK16" s="170" t="str">
        <f>Inputs!AK11</f>
        <v>-</v>
      </c>
      <c r="AL16" s="170" t="str">
        <f>Inputs!AL11</f>
        <v>-</v>
      </c>
      <c r="AM16" s="170" t="str">
        <f>Inputs!AM11</f>
        <v>-</v>
      </c>
      <c r="AN16" s="170" t="str">
        <f>Inputs!AN11</f>
        <v>-</v>
      </c>
      <c r="AO16" s="170" t="str">
        <f>Inputs!AO11</f>
        <v>-</v>
      </c>
      <c r="AP16" s="170" t="str">
        <f>Inputs!AP11</f>
        <v>-</v>
      </c>
      <c r="AQ16" s="170" t="str">
        <f>Inputs!AQ11</f>
        <v>-</v>
      </c>
      <c r="AR16" s="170" t="str">
        <f>Inputs!AR11</f>
        <v>-</v>
      </c>
      <c r="AS16" s="170" t="str">
        <f>Inputs!AS11</f>
        <v>-</v>
      </c>
      <c r="AT16" s="170" t="str">
        <f>Inputs!AT11</f>
        <v>-</v>
      </c>
      <c r="AU16" s="170" t="str">
        <f>Inputs!AU11</f>
        <v>-</v>
      </c>
      <c r="AV16" s="170" t="str">
        <f>Inputs!AV11</f>
        <v>-</v>
      </c>
      <c r="AW16" s="139"/>
    </row>
    <row r="17">
      <c r="A17" s="122"/>
      <c r="B17" s="123"/>
      <c r="C17" s="143"/>
      <c r="D17" s="123"/>
      <c r="E17" s="140"/>
      <c r="F17" s="141"/>
      <c r="G17" s="144"/>
      <c r="H17" s="127"/>
      <c r="I17" s="128"/>
      <c r="J17" s="128"/>
      <c r="K17" s="128"/>
      <c r="L17" s="128"/>
      <c r="M17" s="128"/>
      <c r="N17" s="128"/>
      <c r="O17" s="128"/>
      <c r="P17" s="128"/>
      <c r="Q17" s="129"/>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17" t="s">
        <v>168</v>
      </c>
      <c r="B18" s="7"/>
      <c r="C18" s="7"/>
      <c r="D18" s="7"/>
      <c r="E18" s="7"/>
      <c r="F18" s="7"/>
      <c r="G18" s="7"/>
      <c r="H18" s="172"/>
      <c r="I18" s="173"/>
      <c r="J18" s="173"/>
      <c r="K18" s="173"/>
      <c r="L18" s="173"/>
      <c r="M18" s="173"/>
      <c r="N18" s="173"/>
      <c r="O18" s="173"/>
      <c r="P18" s="173"/>
      <c r="Q18" s="174"/>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5"/>
    </row>
    <row r="19">
      <c r="A19" s="122"/>
      <c r="B19" s="123"/>
      <c r="C19" s="123"/>
      <c r="D19" s="123"/>
      <c r="E19" s="124"/>
      <c r="F19" s="125"/>
      <c r="G19" s="176"/>
      <c r="H19" s="127"/>
      <c r="I19" s="177"/>
      <c r="J19" s="177"/>
      <c r="K19" s="177"/>
      <c r="L19" s="177"/>
      <c r="M19" s="177"/>
      <c r="N19" s="177"/>
      <c r="O19" s="177"/>
      <c r="P19" s="177"/>
      <c r="Q19" s="178"/>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30"/>
    </row>
    <row r="20">
      <c r="A20" s="122"/>
      <c r="B20" s="123"/>
      <c r="C20" s="131" t="s">
        <v>169</v>
      </c>
      <c r="F20" s="141"/>
      <c r="G20" s="179"/>
      <c r="H20" s="180"/>
      <c r="I20" s="181"/>
      <c r="J20" s="181"/>
      <c r="K20" s="181"/>
      <c r="L20" s="181"/>
      <c r="M20" s="181"/>
      <c r="N20" s="181"/>
      <c r="O20" s="181"/>
      <c r="P20" s="181"/>
      <c r="Q20" s="182"/>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30"/>
    </row>
    <row r="21">
      <c r="A21" s="122"/>
      <c r="B21" s="123"/>
      <c r="C21" s="183"/>
      <c r="D21" s="123"/>
      <c r="E21" s="133" t="s">
        <v>170</v>
      </c>
      <c r="F21" s="134" t="s">
        <v>62</v>
      </c>
      <c r="G21" s="184" t="s">
        <v>161</v>
      </c>
      <c r="H21" s="146" t="s">
        <v>162</v>
      </c>
      <c r="I21" s="185">
        <f t="shared" ref="I21:AV21" si="3">I11/$H16</f>
        <v>54907.07257</v>
      </c>
      <c r="J21" s="185">
        <f t="shared" si="3"/>
        <v>54907.07257</v>
      </c>
      <c r="K21" s="185">
        <f t="shared" si="3"/>
        <v>54907.07257</v>
      </c>
      <c r="L21" s="185">
        <f t="shared" si="3"/>
        <v>54907.07257</v>
      </c>
      <c r="M21" s="185">
        <f t="shared" si="3"/>
        <v>54907.07257</v>
      </c>
      <c r="N21" s="185">
        <f t="shared" si="3"/>
        <v>54907.07257</v>
      </c>
      <c r="O21" s="185">
        <f t="shared" si="3"/>
        <v>54907.07257</v>
      </c>
      <c r="P21" s="185">
        <f t="shared" si="3"/>
        <v>54907.07257</v>
      </c>
      <c r="Q21" s="186">
        <f t="shared" si="3"/>
        <v>54907.07257</v>
      </c>
      <c r="R21" s="185">
        <f t="shared" si="3"/>
        <v>54907.07257</v>
      </c>
      <c r="S21" s="185">
        <f t="shared" si="3"/>
        <v>54907.07257</v>
      </c>
      <c r="T21" s="185">
        <f t="shared" si="3"/>
        <v>54907.07257</v>
      </c>
      <c r="U21" s="185">
        <f t="shared" si="3"/>
        <v>54907.07257</v>
      </c>
      <c r="V21" s="185">
        <f t="shared" si="3"/>
        <v>54907.07257</v>
      </c>
      <c r="W21" s="185">
        <f t="shared" si="3"/>
        <v>54907.07257</v>
      </c>
      <c r="X21" s="185">
        <f t="shared" si="3"/>
        <v>54907.07257</v>
      </c>
      <c r="Y21" s="185">
        <f t="shared" si="3"/>
        <v>54907.07257</v>
      </c>
      <c r="Z21" s="185">
        <f t="shared" si="3"/>
        <v>54907.07257</v>
      </c>
      <c r="AA21" s="185">
        <f t="shared" si="3"/>
        <v>54907.07257</v>
      </c>
      <c r="AB21" s="185">
        <f t="shared" si="3"/>
        <v>54907.07257</v>
      </c>
      <c r="AC21" s="185">
        <f t="shared" si="3"/>
        <v>54907.07257</v>
      </c>
      <c r="AD21" s="185">
        <f t="shared" si="3"/>
        <v>54907.07257</v>
      </c>
      <c r="AE21" s="185">
        <f t="shared" si="3"/>
        <v>54907.07257</v>
      </c>
      <c r="AF21" s="185">
        <f t="shared" si="3"/>
        <v>54907.07257</v>
      </c>
      <c r="AG21" s="185">
        <f t="shared" si="3"/>
        <v>54907.07257</v>
      </c>
      <c r="AH21" s="185">
        <f t="shared" si="3"/>
        <v>54907.07257</v>
      </c>
      <c r="AI21" s="185">
        <f t="shared" si="3"/>
        <v>54907.07257</v>
      </c>
      <c r="AJ21" s="185">
        <f t="shared" si="3"/>
        <v>54907.07257</v>
      </c>
      <c r="AK21" s="185">
        <f t="shared" si="3"/>
        <v>54907.07257</v>
      </c>
      <c r="AL21" s="185">
        <f t="shared" si="3"/>
        <v>54907.07257</v>
      </c>
      <c r="AM21" s="185">
        <f t="shared" si="3"/>
        <v>54907.07257</v>
      </c>
      <c r="AN21" s="185">
        <f t="shared" si="3"/>
        <v>54907.07257</v>
      </c>
      <c r="AO21" s="185">
        <f t="shared" si="3"/>
        <v>54907.07257</v>
      </c>
      <c r="AP21" s="185">
        <f t="shared" si="3"/>
        <v>54907.07257</v>
      </c>
      <c r="AQ21" s="185">
        <f t="shared" si="3"/>
        <v>54907.07257</v>
      </c>
      <c r="AR21" s="185">
        <f t="shared" si="3"/>
        <v>54907.07257</v>
      </c>
      <c r="AS21" s="185">
        <f t="shared" si="3"/>
        <v>54907.07257</v>
      </c>
      <c r="AT21" s="185">
        <f t="shared" si="3"/>
        <v>54907.07257</v>
      </c>
      <c r="AU21" s="185">
        <f t="shared" si="3"/>
        <v>54907.07257</v>
      </c>
      <c r="AV21" s="185">
        <f t="shared" si="3"/>
        <v>54907.07257</v>
      </c>
      <c r="AW21" s="139"/>
    </row>
    <row r="22">
      <c r="A22" s="122"/>
      <c r="B22" s="123"/>
      <c r="C22" s="187"/>
      <c r="D22" s="187"/>
      <c r="E22" s="187"/>
      <c r="F22" s="141"/>
      <c r="G22" s="142"/>
      <c r="H22" s="188"/>
      <c r="I22" s="189"/>
      <c r="J22" s="189"/>
      <c r="K22" s="189"/>
      <c r="L22" s="189"/>
      <c r="M22" s="189"/>
      <c r="N22" s="189"/>
      <c r="O22" s="189"/>
      <c r="P22" s="189"/>
      <c r="Q22" s="190"/>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91"/>
    </row>
    <row r="23">
      <c r="A23" s="122"/>
      <c r="B23" s="123"/>
      <c r="C23" s="187" t="s">
        <v>171</v>
      </c>
      <c r="F23" s="141"/>
      <c r="G23" s="142"/>
      <c r="H23" s="188"/>
      <c r="I23" s="189"/>
      <c r="J23" s="189"/>
      <c r="K23" s="189"/>
      <c r="L23" s="189"/>
      <c r="M23" s="189"/>
      <c r="N23" s="189"/>
      <c r="O23" s="189"/>
      <c r="P23" s="189"/>
      <c r="Q23" s="190"/>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91"/>
    </row>
    <row r="24">
      <c r="A24" s="122"/>
      <c r="B24" s="123"/>
      <c r="C24" s="183"/>
      <c r="D24" s="123"/>
      <c r="E24" s="192" t="s">
        <v>172</v>
      </c>
      <c r="F24" s="193" t="str">
        <f>'Aggregation across vaccines'!F36</f>
        <v>%</v>
      </c>
      <c r="G24" s="194" t="s">
        <v>173</v>
      </c>
      <c r="H24" s="195" t="str">
        <f>'Aggregation across vaccines'!H36</f>
        <v>-</v>
      </c>
      <c r="I24" s="196">
        <f>'Aggregation across vaccines'!I42</f>
        <v>0.5631563197</v>
      </c>
      <c r="J24" s="196">
        <f>'Aggregation across vaccines'!J42</f>
        <v>0.6825510245</v>
      </c>
      <c r="K24" s="196">
        <f>'Aggregation across vaccines'!K42</f>
        <v>0.6386904092</v>
      </c>
      <c r="L24" s="196">
        <f>'Aggregation across vaccines'!L42</f>
        <v>0.6102268381</v>
      </c>
      <c r="M24" s="196">
        <f>'Aggregation across vaccines'!M42</f>
        <v>0.5925868042</v>
      </c>
      <c r="N24" s="196">
        <f>'Aggregation across vaccines'!N42</f>
        <v>0.5562042498</v>
      </c>
      <c r="O24" s="196">
        <f>'Aggregation across vaccines'!O42</f>
        <v>0.4289273271</v>
      </c>
      <c r="P24" s="196">
        <f>'Aggregation across vaccines'!P42</f>
        <v>0.3888949932</v>
      </c>
      <c r="Q24" s="197">
        <f>'Aggregation across vaccines'!Q42</f>
        <v>0.5310077321</v>
      </c>
      <c r="R24" s="196">
        <f>'Aggregation across vaccines'!R42</f>
        <v>0.8871735011</v>
      </c>
      <c r="S24" s="196">
        <f>'Aggregation across vaccines'!S42</f>
        <v>0.8402509642</v>
      </c>
      <c r="T24" s="196">
        <f>'Aggregation across vaccines'!T42</f>
        <v>0.8589996377</v>
      </c>
      <c r="U24" s="196">
        <f>'Aggregation across vaccines'!U42</f>
        <v>0.8308621699</v>
      </c>
      <c r="V24" s="196">
        <f>'Aggregation across vaccines'!V42</f>
        <v>0.8078422776</v>
      </c>
      <c r="W24" s="196">
        <f>'Aggregation across vaccines'!W42</f>
        <v>0.8071893272</v>
      </c>
      <c r="X24" s="196">
        <f>'Aggregation across vaccines'!X42</f>
        <v>0.602279982</v>
      </c>
      <c r="Y24" s="196">
        <f>'Aggregation across vaccines'!Y42</f>
        <v>0.9217352019</v>
      </c>
      <c r="Z24" s="196">
        <f>'Aggregation across vaccines'!Z42</f>
        <v>0.8204713134</v>
      </c>
      <c r="AA24" s="196">
        <f>'Aggregation across vaccines'!AA42</f>
        <v>0.9887860482</v>
      </c>
      <c r="AB24" s="196">
        <f>'Aggregation across vaccines'!AB42</f>
        <v>0.9078334504</v>
      </c>
      <c r="AC24" s="196">
        <f>'Aggregation across vaccines'!AC42</f>
        <v>0.9470950383</v>
      </c>
      <c r="AD24" s="196">
        <f>'Aggregation across vaccines'!AD42</f>
        <v>0.9675898761</v>
      </c>
      <c r="AE24" s="196">
        <f>'Aggregation across vaccines'!AE42</f>
        <v>0.9126306174</v>
      </c>
      <c r="AF24" s="196">
        <f>'Aggregation across vaccines'!AF42</f>
        <v>0.9349635007</v>
      </c>
      <c r="AG24" s="196">
        <f>'Aggregation across vaccines'!AG42</f>
        <v>0.7306201002</v>
      </c>
      <c r="AH24" s="196">
        <f>'Aggregation across vaccines'!AH42</f>
        <v>0.8284045883</v>
      </c>
      <c r="AI24" s="196">
        <f>'Aggregation across vaccines'!AI42</f>
        <v>0.7176475049</v>
      </c>
      <c r="AJ24" s="196">
        <f>'Aggregation across vaccines'!AJ42</f>
        <v>0.9226348079</v>
      </c>
      <c r="AK24" s="196">
        <f>'Aggregation across vaccines'!AK42</f>
        <v>0.7434380145</v>
      </c>
      <c r="AL24" s="196">
        <f>'Aggregation across vaccines'!AL42</f>
        <v>0.6071062439</v>
      </c>
      <c r="AM24" s="196">
        <f>'Aggregation across vaccines'!AM42</f>
        <v>0.5562654635</v>
      </c>
      <c r="AN24" s="196">
        <f>'Aggregation across vaccines'!AN42</f>
        <v>0.7054392183</v>
      </c>
      <c r="AO24" s="196">
        <f>'Aggregation across vaccines'!AO42</f>
        <v>0.6921202511</v>
      </c>
      <c r="AP24" s="196">
        <f>'Aggregation across vaccines'!AP42</f>
        <v>0.7613546112</v>
      </c>
      <c r="AQ24" s="196">
        <f>'Aggregation across vaccines'!AQ42</f>
        <v>0.8987008902</v>
      </c>
      <c r="AR24" s="196">
        <f>'Aggregation across vaccines'!AR42</f>
        <v>0.7541764891</v>
      </c>
      <c r="AS24" s="196">
        <f>'Aggregation across vaccines'!AS42</f>
        <v>0.8136233902</v>
      </c>
      <c r="AT24" s="196">
        <f>'Aggregation across vaccines'!AT42</f>
        <v>0.898871934</v>
      </c>
      <c r="AU24" s="196">
        <f>'Aggregation across vaccines'!AU42</f>
        <v>0.72750359</v>
      </c>
      <c r="AV24" s="196">
        <f>'Aggregation across vaccines'!AV42</f>
        <v>0.6203587223</v>
      </c>
      <c r="AW24" s="198"/>
    </row>
    <row r="25">
      <c r="A25" s="122"/>
      <c r="B25" s="123"/>
      <c r="C25" s="183"/>
      <c r="D25" s="123"/>
      <c r="E25" s="199" t="s">
        <v>174</v>
      </c>
      <c r="F25" s="200" t="s">
        <v>72</v>
      </c>
      <c r="G25" s="201" t="s">
        <v>161</v>
      </c>
      <c r="H25" s="202" t="s">
        <v>162</v>
      </c>
      <c r="I25" s="203">
        <f t="shared" ref="I25:AV25" si="4">1-I24</f>
        <v>0.4368436803</v>
      </c>
      <c r="J25" s="203">
        <f t="shared" si="4"/>
        <v>0.3174489755</v>
      </c>
      <c r="K25" s="203">
        <f t="shared" si="4"/>
        <v>0.3613095908</v>
      </c>
      <c r="L25" s="203">
        <f t="shared" si="4"/>
        <v>0.3897731619</v>
      </c>
      <c r="M25" s="203">
        <f t="shared" si="4"/>
        <v>0.4074131958</v>
      </c>
      <c r="N25" s="203">
        <f t="shared" si="4"/>
        <v>0.4437957502</v>
      </c>
      <c r="O25" s="203">
        <f t="shared" si="4"/>
        <v>0.5710726729</v>
      </c>
      <c r="P25" s="203">
        <f t="shared" si="4"/>
        <v>0.6111050068</v>
      </c>
      <c r="Q25" s="204">
        <f t="shared" si="4"/>
        <v>0.4689922679</v>
      </c>
      <c r="R25" s="203">
        <f t="shared" si="4"/>
        <v>0.1128264989</v>
      </c>
      <c r="S25" s="203">
        <f t="shared" si="4"/>
        <v>0.1597490358</v>
      </c>
      <c r="T25" s="203">
        <f t="shared" si="4"/>
        <v>0.1410003623</v>
      </c>
      <c r="U25" s="203">
        <f t="shared" si="4"/>
        <v>0.1691378301</v>
      </c>
      <c r="V25" s="203">
        <f t="shared" si="4"/>
        <v>0.1921577224</v>
      </c>
      <c r="W25" s="203">
        <f t="shared" si="4"/>
        <v>0.1928106728</v>
      </c>
      <c r="X25" s="203">
        <f t="shared" si="4"/>
        <v>0.397720018</v>
      </c>
      <c r="Y25" s="203">
        <f t="shared" si="4"/>
        <v>0.0782647981</v>
      </c>
      <c r="Z25" s="203">
        <f t="shared" si="4"/>
        <v>0.1795286866</v>
      </c>
      <c r="AA25" s="203">
        <f t="shared" si="4"/>
        <v>0.01121395184</v>
      </c>
      <c r="AB25" s="203">
        <f t="shared" si="4"/>
        <v>0.09216654962</v>
      </c>
      <c r="AC25" s="203">
        <f t="shared" si="4"/>
        <v>0.05290496167</v>
      </c>
      <c r="AD25" s="203">
        <f t="shared" si="4"/>
        <v>0.03241012394</v>
      </c>
      <c r="AE25" s="203">
        <f t="shared" si="4"/>
        <v>0.08736938262</v>
      </c>
      <c r="AF25" s="203">
        <f t="shared" si="4"/>
        <v>0.06503649928</v>
      </c>
      <c r="AG25" s="203">
        <f t="shared" si="4"/>
        <v>0.2693798998</v>
      </c>
      <c r="AH25" s="203">
        <f t="shared" si="4"/>
        <v>0.1715954117</v>
      </c>
      <c r="AI25" s="203">
        <f t="shared" si="4"/>
        <v>0.2823524951</v>
      </c>
      <c r="AJ25" s="203">
        <f t="shared" si="4"/>
        <v>0.07736519205</v>
      </c>
      <c r="AK25" s="203">
        <f t="shared" si="4"/>
        <v>0.2565619855</v>
      </c>
      <c r="AL25" s="203">
        <f t="shared" si="4"/>
        <v>0.3928937561</v>
      </c>
      <c r="AM25" s="203">
        <f t="shared" si="4"/>
        <v>0.4437345365</v>
      </c>
      <c r="AN25" s="203">
        <f t="shared" si="4"/>
        <v>0.2945607817</v>
      </c>
      <c r="AO25" s="203">
        <f t="shared" si="4"/>
        <v>0.3078797489</v>
      </c>
      <c r="AP25" s="203">
        <f t="shared" si="4"/>
        <v>0.2386453888</v>
      </c>
      <c r="AQ25" s="203">
        <f t="shared" si="4"/>
        <v>0.1012991098</v>
      </c>
      <c r="AR25" s="203">
        <f t="shared" si="4"/>
        <v>0.2458235109</v>
      </c>
      <c r="AS25" s="203">
        <f t="shared" si="4"/>
        <v>0.1863766098</v>
      </c>
      <c r="AT25" s="203">
        <f t="shared" si="4"/>
        <v>0.101128066</v>
      </c>
      <c r="AU25" s="203">
        <f t="shared" si="4"/>
        <v>0.27249641</v>
      </c>
      <c r="AV25" s="203">
        <f t="shared" si="4"/>
        <v>0.3796412777</v>
      </c>
      <c r="AW25" s="205"/>
    </row>
    <row r="26">
      <c r="A26" s="122"/>
      <c r="B26" s="123"/>
      <c r="C26" s="183"/>
      <c r="D26" s="123"/>
      <c r="E26" s="140"/>
      <c r="F26" s="141"/>
      <c r="G26" s="142"/>
      <c r="H26" s="206"/>
      <c r="I26" s="207"/>
      <c r="J26" s="189"/>
      <c r="K26" s="189"/>
      <c r="L26" s="189"/>
      <c r="M26" s="189"/>
      <c r="N26" s="189"/>
      <c r="O26" s="189"/>
      <c r="P26" s="189"/>
      <c r="Q26" s="190"/>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91"/>
    </row>
    <row r="27">
      <c r="A27" s="122"/>
      <c r="B27" s="123"/>
      <c r="C27" s="187" t="s">
        <v>175</v>
      </c>
      <c r="F27" s="141"/>
      <c r="G27" s="142"/>
      <c r="H27" s="206"/>
      <c r="I27" s="207"/>
      <c r="J27" s="189"/>
      <c r="K27" s="189"/>
      <c r="L27" s="189"/>
      <c r="M27" s="189"/>
      <c r="N27" s="189"/>
      <c r="O27" s="189"/>
      <c r="P27" s="189"/>
      <c r="Q27" s="190"/>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91"/>
    </row>
    <row r="28">
      <c r="A28" s="122"/>
      <c r="B28" s="123"/>
      <c r="C28" s="183"/>
      <c r="D28" s="123"/>
      <c r="E28" s="192" t="s">
        <v>176</v>
      </c>
      <c r="F28" s="193" t="str">
        <f>'Treatment effect'!F71</f>
        <v>%</v>
      </c>
      <c r="G28" s="194" t="s">
        <v>173</v>
      </c>
      <c r="H28" s="208">
        <f>'Treatment effect'!H84</f>
        <v>0.3330302641</v>
      </c>
      <c r="I28" s="209" t="str">
        <f>'Treatment effect'!I71</f>
        <v>-</v>
      </c>
      <c r="J28" s="210" t="str">
        <f>'Treatment effect'!J71</f>
        <v>-</v>
      </c>
      <c r="K28" s="210" t="str">
        <f>'Treatment effect'!K71</f>
        <v>-</v>
      </c>
      <c r="L28" s="210" t="str">
        <f>'Treatment effect'!L71</f>
        <v>-</v>
      </c>
      <c r="M28" s="210" t="str">
        <f>'Treatment effect'!M71</f>
        <v>-</v>
      </c>
      <c r="N28" s="210" t="str">
        <f>'Treatment effect'!N71</f>
        <v>-</v>
      </c>
      <c r="O28" s="210" t="str">
        <f>'Treatment effect'!O71</f>
        <v>-</v>
      </c>
      <c r="P28" s="210" t="str">
        <f>'Treatment effect'!P71</f>
        <v>-</v>
      </c>
      <c r="Q28" s="211" t="str">
        <f>'Treatment effect'!Q71</f>
        <v>-</v>
      </c>
      <c r="R28" s="210" t="str">
        <f>'Treatment effect'!R71</f>
        <v>-</v>
      </c>
      <c r="S28" s="210" t="str">
        <f>'Treatment effect'!S71</f>
        <v>-</v>
      </c>
      <c r="T28" s="210" t="str">
        <f>'Treatment effect'!T71</f>
        <v>-</v>
      </c>
      <c r="U28" s="210" t="str">
        <f>'Treatment effect'!U71</f>
        <v>-</v>
      </c>
      <c r="V28" s="210" t="str">
        <f>'Treatment effect'!V71</f>
        <v>-</v>
      </c>
      <c r="W28" s="210" t="str">
        <f>'Treatment effect'!W71</f>
        <v>-</v>
      </c>
      <c r="X28" s="210" t="str">
        <f>'Treatment effect'!X71</f>
        <v>-</v>
      </c>
      <c r="Y28" s="210" t="str">
        <f>'Treatment effect'!Y71</f>
        <v>-</v>
      </c>
      <c r="Z28" s="210" t="str">
        <f>'Treatment effect'!Z71</f>
        <v>-</v>
      </c>
      <c r="AA28" s="210" t="str">
        <f>'Treatment effect'!AA71</f>
        <v>-</v>
      </c>
      <c r="AB28" s="210" t="str">
        <f>'Treatment effect'!AB71</f>
        <v>-</v>
      </c>
      <c r="AC28" s="210" t="str">
        <f>'Treatment effect'!AC71</f>
        <v>-</v>
      </c>
      <c r="AD28" s="210" t="str">
        <f>'Treatment effect'!AD71</f>
        <v>-</v>
      </c>
      <c r="AE28" s="210" t="str">
        <f>'Treatment effect'!AE71</f>
        <v>-</v>
      </c>
      <c r="AF28" s="210" t="str">
        <f>'Treatment effect'!AF71</f>
        <v>-</v>
      </c>
      <c r="AG28" s="210" t="str">
        <f>'Treatment effect'!AG71</f>
        <v>-</v>
      </c>
      <c r="AH28" s="210" t="str">
        <f>'Treatment effect'!AH71</f>
        <v>-</v>
      </c>
      <c r="AI28" s="210" t="str">
        <f>'Treatment effect'!AI71</f>
        <v>-</v>
      </c>
      <c r="AJ28" s="210" t="str">
        <f>'Treatment effect'!AJ71</f>
        <v>-</v>
      </c>
      <c r="AK28" s="210" t="str">
        <f>'Treatment effect'!AK71</f>
        <v>-</v>
      </c>
      <c r="AL28" s="210" t="str">
        <f>'Treatment effect'!AL71</f>
        <v>-</v>
      </c>
      <c r="AM28" s="210" t="str">
        <f>'Treatment effect'!AM71</f>
        <v>-</v>
      </c>
      <c r="AN28" s="210" t="str">
        <f>'Treatment effect'!AN71</f>
        <v>-</v>
      </c>
      <c r="AO28" s="210" t="str">
        <f>'Treatment effect'!AO71</f>
        <v>-</v>
      </c>
      <c r="AP28" s="210" t="str">
        <f>'Treatment effect'!AP71</f>
        <v>-</v>
      </c>
      <c r="AQ28" s="210" t="str">
        <f>'Treatment effect'!AQ71</f>
        <v>-</v>
      </c>
      <c r="AR28" s="210" t="str">
        <f>'Treatment effect'!AR71</f>
        <v>-</v>
      </c>
      <c r="AS28" s="210" t="str">
        <f>'Treatment effect'!AS71</f>
        <v>-</v>
      </c>
      <c r="AT28" s="210" t="str">
        <f>'Treatment effect'!AT71</f>
        <v>-</v>
      </c>
      <c r="AU28" s="210" t="str">
        <f>'Treatment effect'!AU71</f>
        <v>-</v>
      </c>
      <c r="AV28" s="210" t="str">
        <f>'Treatment effect'!AV71</f>
        <v>-</v>
      </c>
      <c r="AW28" s="198"/>
    </row>
    <row r="29">
      <c r="A29" s="122"/>
      <c r="B29" s="123"/>
      <c r="C29" s="183"/>
      <c r="D29" s="123"/>
      <c r="E29" s="212" t="s">
        <v>177</v>
      </c>
      <c r="F29" s="213" t="str">
        <f>Inputs!F236</f>
        <v>%</v>
      </c>
      <c r="G29" s="214" t="str">
        <f>Inputs!G236</f>
        <v>input</v>
      </c>
      <c r="H29" s="215">
        <f>Inputs!H236</f>
        <v>-0.12</v>
      </c>
      <c r="I29" s="216" t="str">
        <f>Inputs!I236</f>
        <v>-</v>
      </c>
      <c r="J29" s="217" t="str">
        <f>Inputs!J236</f>
        <v>-</v>
      </c>
      <c r="K29" s="217" t="str">
        <f>Inputs!K236</f>
        <v>-</v>
      </c>
      <c r="L29" s="217" t="str">
        <f>Inputs!L236</f>
        <v>-</v>
      </c>
      <c r="M29" s="217" t="str">
        <f>Inputs!M236</f>
        <v>-</v>
      </c>
      <c r="N29" s="217" t="str">
        <f>Inputs!N236</f>
        <v>-</v>
      </c>
      <c r="O29" s="217" t="str">
        <f>Inputs!O236</f>
        <v>-</v>
      </c>
      <c r="P29" s="217" t="str">
        <f>Inputs!P236</f>
        <v>-</v>
      </c>
      <c r="Q29" s="218" t="str">
        <f>Inputs!Q236</f>
        <v>-</v>
      </c>
      <c r="R29" s="217" t="str">
        <f>Inputs!R236</f>
        <v>-</v>
      </c>
      <c r="S29" s="217" t="str">
        <f>Inputs!S236</f>
        <v>-</v>
      </c>
      <c r="T29" s="217" t="str">
        <f>Inputs!T236</f>
        <v>-</v>
      </c>
      <c r="U29" s="217" t="str">
        <f>Inputs!U236</f>
        <v>-</v>
      </c>
      <c r="V29" s="217" t="str">
        <f>Inputs!V236</f>
        <v>-</v>
      </c>
      <c r="W29" s="217" t="str">
        <f>Inputs!W236</f>
        <v>-</v>
      </c>
      <c r="X29" s="217" t="str">
        <f>Inputs!X236</f>
        <v>-</v>
      </c>
      <c r="Y29" s="217" t="str">
        <f>Inputs!Y236</f>
        <v>-</v>
      </c>
      <c r="Z29" s="217" t="str">
        <f>Inputs!Z236</f>
        <v>-</v>
      </c>
      <c r="AA29" s="217" t="str">
        <f>Inputs!AA236</f>
        <v>-</v>
      </c>
      <c r="AB29" s="217" t="str">
        <f>Inputs!AB236</f>
        <v>-</v>
      </c>
      <c r="AC29" s="217" t="str">
        <f>Inputs!AC236</f>
        <v>-</v>
      </c>
      <c r="AD29" s="217" t="str">
        <f>Inputs!AD236</f>
        <v>-</v>
      </c>
      <c r="AE29" s="217" t="str">
        <f>Inputs!AE236</f>
        <v>-</v>
      </c>
      <c r="AF29" s="217" t="str">
        <f>Inputs!AF236</f>
        <v>-</v>
      </c>
      <c r="AG29" s="217" t="str">
        <f>Inputs!AG236</f>
        <v>-</v>
      </c>
      <c r="AH29" s="217" t="str">
        <f>Inputs!AH236</f>
        <v>-</v>
      </c>
      <c r="AI29" s="217" t="str">
        <f>Inputs!AI236</f>
        <v>-</v>
      </c>
      <c r="AJ29" s="217" t="str">
        <f>Inputs!AJ236</f>
        <v>-</v>
      </c>
      <c r="AK29" s="217" t="str">
        <f>Inputs!AK236</f>
        <v>-</v>
      </c>
      <c r="AL29" s="217" t="str">
        <f>Inputs!AL236</f>
        <v>-</v>
      </c>
      <c r="AM29" s="217" t="str">
        <f>Inputs!AM236</f>
        <v>-</v>
      </c>
      <c r="AN29" s="217" t="str">
        <f>Inputs!AN236</f>
        <v>-</v>
      </c>
      <c r="AO29" s="217" t="str">
        <f>Inputs!AO236</f>
        <v>-</v>
      </c>
      <c r="AP29" s="217" t="str">
        <f>Inputs!AP236</f>
        <v>-</v>
      </c>
      <c r="AQ29" s="217" t="str">
        <f>Inputs!AQ236</f>
        <v>-</v>
      </c>
      <c r="AR29" s="217" t="str">
        <f>Inputs!AR236</f>
        <v>-</v>
      </c>
      <c r="AS29" s="217" t="str">
        <f>Inputs!AS236</f>
        <v>-</v>
      </c>
      <c r="AT29" s="217" t="str">
        <f>Inputs!AT236</f>
        <v>-</v>
      </c>
      <c r="AU29" s="217" t="str">
        <f>Inputs!AU236</f>
        <v>-</v>
      </c>
      <c r="AV29" s="217" t="str">
        <f>Inputs!AV236</f>
        <v>-</v>
      </c>
      <c r="AW29" s="219"/>
    </row>
    <row r="30">
      <c r="A30" s="122"/>
      <c r="B30" s="123"/>
      <c r="C30" s="183"/>
      <c r="D30" s="123"/>
      <c r="E30" s="212" t="s">
        <v>178</v>
      </c>
      <c r="F30" s="213" t="s">
        <v>72</v>
      </c>
      <c r="G30" s="214" t="s">
        <v>161</v>
      </c>
      <c r="H30" s="215">
        <f>H28*(1+H29)</f>
        <v>0.2930666324</v>
      </c>
      <c r="I30" s="216" t="s">
        <v>162</v>
      </c>
      <c r="J30" s="220" t="s">
        <v>162</v>
      </c>
      <c r="K30" s="220" t="s">
        <v>162</v>
      </c>
      <c r="L30" s="220" t="s">
        <v>162</v>
      </c>
      <c r="M30" s="220" t="s">
        <v>162</v>
      </c>
      <c r="N30" s="220" t="s">
        <v>162</v>
      </c>
      <c r="O30" s="220" t="s">
        <v>162</v>
      </c>
      <c r="P30" s="220" t="s">
        <v>162</v>
      </c>
      <c r="Q30" s="190"/>
      <c r="R30" s="220" t="s">
        <v>162</v>
      </c>
      <c r="S30" s="220" t="s">
        <v>162</v>
      </c>
      <c r="T30" s="220" t="s">
        <v>162</v>
      </c>
      <c r="U30" s="220" t="s">
        <v>162</v>
      </c>
      <c r="V30" s="220" t="s">
        <v>162</v>
      </c>
      <c r="W30" s="220" t="s">
        <v>162</v>
      </c>
      <c r="X30" s="220" t="s">
        <v>162</v>
      </c>
      <c r="Y30" s="220" t="s">
        <v>162</v>
      </c>
      <c r="Z30" s="220" t="s">
        <v>162</v>
      </c>
      <c r="AA30" s="220" t="s">
        <v>162</v>
      </c>
      <c r="AB30" s="220" t="s">
        <v>162</v>
      </c>
      <c r="AC30" s="220" t="s">
        <v>162</v>
      </c>
      <c r="AD30" s="220" t="s">
        <v>162</v>
      </c>
      <c r="AE30" s="220" t="s">
        <v>162</v>
      </c>
      <c r="AF30" s="220" t="s">
        <v>162</v>
      </c>
      <c r="AG30" s="220" t="s">
        <v>162</v>
      </c>
      <c r="AH30" s="220" t="s">
        <v>162</v>
      </c>
      <c r="AI30" s="220" t="s">
        <v>162</v>
      </c>
      <c r="AJ30" s="220" t="s">
        <v>162</v>
      </c>
      <c r="AK30" s="220" t="s">
        <v>162</v>
      </c>
      <c r="AL30" s="220" t="s">
        <v>162</v>
      </c>
      <c r="AM30" s="220" t="s">
        <v>162</v>
      </c>
      <c r="AN30" s="220" t="s">
        <v>162</v>
      </c>
      <c r="AO30" s="220" t="s">
        <v>162</v>
      </c>
      <c r="AP30" s="220" t="s">
        <v>162</v>
      </c>
      <c r="AQ30" s="220" t="s">
        <v>162</v>
      </c>
      <c r="AR30" s="220" t="s">
        <v>162</v>
      </c>
      <c r="AS30" s="220" t="s">
        <v>162</v>
      </c>
      <c r="AT30" s="220" t="s">
        <v>162</v>
      </c>
      <c r="AU30" s="220" t="s">
        <v>162</v>
      </c>
      <c r="AV30" s="220" t="s">
        <v>162</v>
      </c>
      <c r="AW30" s="219"/>
    </row>
    <row r="31">
      <c r="A31" s="122"/>
      <c r="B31" s="123"/>
      <c r="C31" s="183"/>
      <c r="D31" s="123"/>
      <c r="E31" s="212" t="s">
        <v>179</v>
      </c>
      <c r="F31" s="213" t="s">
        <v>74</v>
      </c>
      <c r="G31" s="214" t="s">
        <v>161</v>
      </c>
      <c r="H31" s="221" t="s">
        <v>162</v>
      </c>
      <c r="I31" s="217">
        <f t="shared" ref="I31:AV31" si="5">I25*$H30</f>
        <v>0.1280243063</v>
      </c>
      <c r="J31" s="217">
        <f t="shared" si="5"/>
        <v>0.09303370223</v>
      </c>
      <c r="K31" s="217">
        <f t="shared" si="5"/>
        <v>0.1058877851</v>
      </c>
      <c r="L31" s="217">
        <f t="shared" si="5"/>
        <v>0.114229508</v>
      </c>
      <c r="M31" s="217">
        <f t="shared" si="5"/>
        <v>0.1193992133</v>
      </c>
      <c r="N31" s="217">
        <f t="shared" si="5"/>
        <v>0.130061726</v>
      </c>
      <c r="O31" s="217">
        <f t="shared" si="5"/>
        <v>0.1673623451</v>
      </c>
      <c r="P31" s="217">
        <f t="shared" si="5"/>
        <v>0.1790944864</v>
      </c>
      <c r="Q31" s="218">
        <f t="shared" si="5"/>
        <v>0.1374459846</v>
      </c>
      <c r="R31" s="217">
        <f t="shared" si="5"/>
        <v>0.03306568207</v>
      </c>
      <c r="S31" s="217">
        <f t="shared" si="5"/>
        <v>0.04681711196</v>
      </c>
      <c r="T31" s="217">
        <f t="shared" si="5"/>
        <v>0.04132250135</v>
      </c>
      <c r="U31" s="217">
        <f t="shared" si="5"/>
        <v>0.04956865429</v>
      </c>
      <c r="V31" s="217">
        <f t="shared" si="5"/>
        <v>0.05631501659</v>
      </c>
      <c r="W31" s="217">
        <f t="shared" si="5"/>
        <v>0.05650637457</v>
      </c>
      <c r="X31" s="217">
        <f t="shared" si="5"/>
        <v>0.1165584663</v>
      </c>
      <c r="Y31" s="217">
        <f t="shared" si="5"/>
        <v>0.02293680082</v>
      </c>
      <c r="Z31" s="217">
        <f t="shared" si="5"/>
        <v>0.0526138676</v>
      </c>
      <c r="AA31" s="217">
        <f t="shared" si="5"/>
        <v>0.003286435101</v>
      </c>
      <c r="AB31" s="217">
        <f t="shared" si="5"/>
        <v>0.02701094032</v>
      </c>
      <c r="AC31" s="217">
        <f t="shared" si="5"/>
        <v>0.01550467896</v>
      </c>
      <c r="AD31" s="217">
        <f t="shared" si="5"/>
        <v>0.00949832588</v>
      </c>
      <c r="AE31" s="217">
        <f t="shared" si="5"/>
        <v>0.02560505074</v>
      </c>
      <c r="AF31" s="217">
        <f t="shared" si="5"/>
        <v>0.01906002783</v>
      </c>
      <c r="AG31" s="217">
        <f t="shared" si="5"/>
        <v>0.07894626007</v>
      </c>
      <c r="AH31" s="217">
        <f t="shared" si="5"/>
        <v>0.05028888945</v>
      </c>
      <c r="AI31" s="217">
        <f t="shared" si="5"/>
        <v>0.0827480949</v>
      </c>
      <c r="AJ31" s="217">
        <f t="shared" si="5"/>
        <v>0.0226731563</v>
      </c>
      <c r="AK31" s="217">
        <f t="shared" si="5"/>
        <v>0.07518975709</v>
      </c>
      <c r="AL31" s="217">
        <f t="shared" si="5"/>
        <v>0.11514405</v>
      </c>
      <c r="AM31" s="217">
        <f t="shared" si="5"/>
        <v>0.1300437863</v>
      </c>
      <c r="AN31" s="217">
        <f t="shared" si="5"/>
        <v>0.08632593635</v>
      </c>
      <c r="AO31" s="217">
        <f t="shared" si="5"/>
        <v>0.09022928122</v>
      </c>
      <c r="AP31" s="217">
        <f t="shared" si="5"/>
        <v>0.06993900044</v>
      </c>
      <c r="AQ31" s="217">
        <f t="shared" si="5"/>
        <v>0.02968738898</v>
      </c>
      <c r="AR31" s="217">
        <f t="shared" si="5"/>
        <v>0.07204266852</v>
      </c>
      <c r="AS31" s="217">
        <f t="shared" si="5"/>
        <v>0.05462076539</v>
      </c>
      <c r="AT31" s="217">
        <f t="shared" si="5"/>
        <v>0.02963726176</v>
      </c>
      <c r="AU31" s="217">
        <f t="shared" si="5"/>
        <v>0.07985960524</v>
      </c>
      <c r="AV31" s="217">
        <f t="shared" si="5"/>
        <v>0.1112601908</v>
      </c>
      <c r="AW31" s="219"/>
    </row>
    <row r="32">
      <c r="A32" s="122"/>
      <c r="B32" s="123"/>
      <c r="C32" s="183"/>
      <c r="D32" s="123"/>
      <c r="E32" s="133" t="s">
        <v>180</v>
      </c>
      <c r="F32" s="134" t="s">
        <v>72</v>
      </c>
      <c r="G32" s="184" t="s">
        <v>161</v>
      </c>
      <c r="H32" s="222" t="s">
        <v>162</v>
      </c>
      <c r="I32" s="223">
        <f t="shared" ref="I32:AV32" si="6">I24+I31</f>
        <v>0.691180626</v>
      </c>
      <c r="J32" s="223">
        <f t="shared" si="6"/>
        <v>0.7755847267</v>
      </c>
      <c r="K32" s="223">
        <f t="shared" si="6"/>
        <v>0.7445781942</v>
      </c>
      <c r="L32" s="223">
        <f t="shared" si="6"/>
        <v>0.7244563461</v>
      </c>
      <c r="M32" s="223">
        <f t="shared" si="6"/>
        <v>0.7119860175</v>
      </c>
      <c r="N32" s="223">
        <f t="shared" si="6"/>
        <v>0.6862659758</v>
      </c>
      <c r="O32" s="223">
        <f t="shared" si="6"/>
        <v>0.5962896723</v>
      </c>
      <c r="P32" s="223">
        <f t="shared" si="6"/>
        <v>0.5679894796</v>
      </c>
      <c r="Q32" s="224">
        <f t="shared" si="6"/>
        <v>0.6684537167</v>
      </c>
      <c r="R32" s="223">
        <f t="shared" si="6"/>
        <v>0.9202391832</v>
      </c>
      <c r="S32" s="223">
        <f t="shared" si="6"/>
        <v>0.8870680762</v>
      </c>
      <c r="T32" s="223">
        <f t="shared" si="6"/>
        <v>0.9003221391</v>
      </c>
      <c r="U32" s="223">
        <f t="shared" si="6"/>
        <v>0.8804308242</v>
      </c>
      <c r="V32" s="223">
        <f t="shared" si="6"/>
        <v>0.8641572942</v>
      </c>
      <c r="W32" s="223">
        <f t="shared" si="6"/>
        <v>0.8636957018</v>
      </c>
      <c r="X32" s="223">
        <f t="shared" si="6"/>
        <v>0.7188384483</v>
      </c>
      <c r="Y32" s="223">
        <f t="shared" si="6"/>
        <v>0.9446720027</v>
      </c>
      <c r="Z32" s="223">
        <f t="shared" si="6"/>
        <v>0.873085181</v>
      </c>
      <c r="AA32" s="223">
        <f t="shared" si="6"/>
        <v>0.9920724833</v>
      </c>
      <c r="AB32" s="223">
        <f t="shared" si="6"/>
        <v>0.9348443907</v>
      </c>
      <c r="AC32" s="223">
        <f t="shared" si="6"/>
        <v>0.9625997173</v>
      </c>
      <c r="AD32" s="223">
        <f t="shared" si="6"/>
        <v>0.9770882019</v>
      </c>
      <c r="AE32" s="223">
        <f t="shared" si="6"/>
        <v>0.9382356681</v>
      </c>
      <c r="AF32" s="223">
        <f t="shared" si="6"/>
        <v>0.9540235285</v>
      </c>
      <c r="AG32" s="223">
        <f t="shared" si="6"/>
        <v>0.8095663603</v>
      </c>
      <c r="AH32" s="223">
        <f t="shared" si="6"/>
        <v>0.8786934778</v>
      </c>
      <c r="AI32" s="223">
        <f t="shared" si="6"/>
        <v>0.8003955998</v>
      </c>
      <c r="AJ32" s="223">
        <f t="shared" si="6"/>
        <v>0.9453079643</v>
      </c>
      <c r="AK32" s="223">
        <f t="shared" si="6"/>
        <v>0.8186277716</v>
      </c>
      <c r="AL32" s="223">
        <f t="shared" si="6"/>
        <v>0.7222502939</v>
      </c>
      <c r="AM32" s="223">
        <f t="shared" si="6"/>
        <v>0.6863092498</v>
      </c>
      <c r="AN32" s="223">
        <f t="shared" si="6"/>
        <v>0.7917651546</v>
      </c>
      <c r="AO32" s="223">
        <f t="shared" si="6"/>
        <v>0.7823495323</v>
      </c>
      <c r="AP32" s="223">
        <f t="shared" si="6"/>
        <v>0.8312936117</v>
      </c>
      <c r="AQ32" s="223">
        <f t="shared" si="6"/>
        <v>0.9283882792</v>
      </c>
      <c r="AR32" s="223">
        <f t="shared" si="6"/>
        <v>0.8262191576</v>
      </c>
      <c r="AS32" s="223">
        <f t="shared" si="6"/>
        <v>0.8682441556</v>
      </c>
      <c r="AT32" s="223">
        <f t="shared" si="6"/>
        <v>0.9285091957</v>
      </c>
      <c r="AU32" s="223">
        <f t="shared" si="6"/>
        <v>0.8073631952</v>
      </c>
      <c r="AV32" s="223">
        <f t="shared" si="6"/>
        <v>0.7316189131</v>
      </c>
      <c r="AW32" s="139"/>
    </row>
    <row r="33">
      <c r="A33" s="122"/>
      <c r="B33" s="123"/>
      <c r="C33" s="183"/>
      <c r="D33" s="123"/>
      <c r="E33" s="140"/>
      <c r="F33" s="141"/>
      <c r="G33" s="142"/>
      <c r="H33" s="188"/>
      <c r="I33" s="189"/>
      <c r="J33" s="189"/>
      <c r="K33" s="189"/>
      <c r="L33" s="189"/>
      <c r="M33" s="189"/>
      <c r="N33" s="189"/>
      <c r="O33" s="189"/>
      <c r="P33" s="189"/>
      <c r="Q33" s="225"/>
      <c r="R33" s="226"/>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91"/>
    </row>
    <row r="34">
      <c r="A34" s="122"/>
      <c r="B34" s="123"/>
      <c r="C34" s="187" t="s">
        <v>181</v>
      </c>
      <c r="F34" s="141"/>
      <c r="G34" s="142"/>
      <c r="H34" s="188"/>
      <c r="I34" s="227"/>
      <c r="J34" s="189"/>
      <c r="K34" s="189"/>
      <c r="L34" s="189"/>
      <c r="M34" s="189"/>
      <c r="N34" s="189"/>
      <c r="O34" s="189"/>
      <c r="P34" s="189"/>
      <c r="Q34" s="190"/>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91"/>
    </row>
    <row r="35">
      <c r="A35" s="122"/>
      <c r="B35" s="123"/>
      <c r="C35" s="183"/>
      <c r="D35" s="123"/>
      <c r="E35" s="140" t="s">
        <v>182</v>
      </c>
      <c r="F35" s="141" t="s">
        <v>62</v>
      </c>
      <c r="G35" s="142" t="s">
        <v>161</v>
      </c>
      <c r="H35" s="188" t="s">
        <v>162</v>
      </c>
      <c r="I35" s="189">
        <f t="shared" ref="I35:AV35" si="7">I21/I32</f>
        <v>79439.54229</v>
      </c>
      <c r="J35" s="189">
        <f t="shared" si="7"/>
        <v>70794.42217</v>
      </c>
      <c r="K35" s="189">
        <f t="shared" si="7"/>
        <v>73742.52026</v>
      </c>
      <c r="L35" s="189">
        <f t="shared" si="7"/>
        <v>75790.7262</v>
      </c>
      <c r="M35" s="189">
        <f t="shared" si="7"/>
        <v>77118.18943</v>
      </c>
      <c r="N35" s="189">
        <f t="shared" si="7"/>
        <v>80008.44353</v>
      </c>
      <c r="O35" s="189">
        <f t="shared" si="7"/>
        <v>92081.20671</v>
      </c>
      <c r="P35" s="189">
        <f t="shared" si="7"/>
        <v>96669.17178</v>
      </c>
      <c r="Q35" s="190">
        <f t="shared" si="7"/>
        <v>82140.42528</v>
      </c>
      <c r="R35" s="189">
        <f t="shared" si="7"/>
        <v>59666.08853</v>
      </c>
      <c r="S35" s="189">
        <f t="shared" si="7"/>
        <v>61897.24785</v>
      </c>
      <c r="T35" s="189">
        <f t="shared" si="7"/>
        <v>60986.02954</v>
      </c>
      <c r="U35" s="189">
        <f t="shared" si="7"/>
        <v>62363.86899</v>
      </c>
      <c r="V35" s="189">
        <f t="shared" si="7"/>
        <v>63538.28514</v>
      </c>
      <c r="W35" s="189">
        <f t="shared" si="7"/>
        <v>63572.24247</v>
      </c>
      <c r="X35" s="189">
        <f t="shared" si="7"/>
        <v>76383.04921</v>
      </c>
      <c r="Y35" s="189">
        <f t="shared" si="7"/>
        <v>58122.896</v>
      </c>
      <c r="Z35" s="189">
        <f t="shared" si="7"/>
        <v>62888.56318</v>
      </c>
      <c r="AA35" s="189">
        <f t="shared" si="7"/>
        <v>55345.82754</v>
      </c>
      <c r="AB35" s="189">
        <f t="shared" si="7"/>
        <v>58733.9167</v>
      </c>
      <c r="AC35" s="189">
        <f t="shared" si="7"/>
        <v>57040.39964</v>
      </c>
      <c r="AD35" s="189">
        <f t="shared" si="7"/>
        <v>56194.59171</v>
      </c>
      <c r="AE35" s="189">
        <f t="shared" si="7"/>
        <v>58521.62142</v>
      </c>
      <c r="AF35" s="189">
        <f t="shared" si="7"/>
        <v>57553.16397</v>
      </c>
      <c r="AG35" s="189">
        <f t="shared" si="7"/>
        <v>67822.81881</v>
      </c>
      <c r="AH35" s="189">
        <f t="shared" si="7"/>
        <v>62487.17438</v>
      </c>
      <c r="AI35" s="189">
        <f t="shared" si="7"/>
        <v>68599.91807</v>
      </c>
      <c r="AJ35" s="189">
        <f t="shared" si="7"/>
        <v>58083.79348</v>
      </c>
      <c r="AK35" s="189">
        <f t="shared" si="7"/>
        <v>67072.08633</v>
      </c>
      <c r="AL35" s="189">
        <f t="shared" si="7"/>
        <v>76022.22253</v>
      </c>
      <c r="AM35" s="189">
        <f t="shared" si="7"/>
        <v>80003.39874</v>
      </c>
      <c r="AN35" s="189">
        <f t="shared" si="7"/>
        <v>69347.67494</v>
      </c>
      <c r="AO35" s="189">
        <f t="shared" si="7"/>
        <v>70182.27826</v>
      </c>
      <c r="AP35" s="189">
        <f t="shared" si="7"/>
        <v>66050.15581</v>
      </c>
      <c r="AQ35" s="189">
        <f t="shared" si="7"/>
        <v>59142.35865</v>
      </c>
      <c r="AR35" s="189">
        <f t="shared" si="7"/>
        <v>66455.82115</v>
      </c>
      <c r="AS35" s="189">
        <f t="shared" si="7"/>
        <v>63239.20779</v>
      </c>
      <c r="AT35" s="189">
        <f t="shared" si="7"/>
        <v>59134.65674</v>
      </c>
      <c r="AU35" s="189">
        <f t="shared" si="7"/>
        <v>68007.89644</v>
      </c>
      <c r="AV35" s="189">
        <f t="shared" si="7"/>
        <v>75048.73314</v>
      </c>
      <c r="AW35" s="191"/>
    </row>
    <row r="36">
      <c r="A36" s="122"/>
      <c r="B36" s="123"/>
      <c r="C36" s="183"/>
      <c r="D36" s="123"/>
      <c r="E36" s="199" t="s">
        <v>183</v>
      </c>
      <c r="F36" s="200" t="s">
        <v>62</v>
      </c>
      <c r="G36" s="201" t="s">
        <v>161</v>
      </c>
      <c r="H36" s="228" t="s">
        <v>162</v>
      </c>
      <c r="I36" s="229">
        <f t="shared" ref="I36:AV36" si="8">I35*I31</f>
        <v>10170.19229</v>
      </c>
      <c r="J36" s="229">
        <f t="shared" si="8"/>
        <v>6586.267192</v>
      </c>
      <c r="K36" s="229">
        <f t="shared" si="8"/>
        <v>7808.432134</v>
      </c>
      <c r="L36" s="229">
        <f t="shared" si="8"/>
        <v>8657.537363</v>
      </c>
      <c r="M36" s="229">
        <f t="shared" si="8"/>
        <v>9207.851148</v>
      </c>
      <c r="N36" s="229">
        <f t="shared" si="8"/>
        <v>10406.03626</v>
      </c>
      <c r="O36" s="229">
        <f t="shared" si="8"/>
        <v>15410.9267</v>
      </c>
      <c r="P36" s="229">
        <f t="shared" si="8"/>
        <v>17312.91567</v>
      </c>
      <c r="Q36" s="230">
        <f t="shared" si="8"/>
        <v>11289.87163</v>
      </c>
      <c r="R36" s="229">
        <f t="shared" si="8"/>
        <v>1972.899914</v>
      </c>
      <c r="S36" s="229">
        <f t="shared" si="8"/>
        <v>2897.850382</v>
      </c>
      <c r="T36" s="229">
        <f t="shared" si="8"/>
        <v>2520.095288</v>
      </c>
      <c r="U36" s="229">
        <f t="shared" si="8"/>
        <v>3091.293062</v>
      </c>
      <c r="V36" s="229">
        <f t="shared" si="8"/>
        <v>3578.159582</v>
      </c>
      <c r="W36" s="229">
        <f t="shared" si="8"/>
        <v>3592.236945</v>
      </c>
      <c r="X36" s="229">
        <f t="shared" si="8"/>
        <v>8903.09107</v>
      </c>
      <c r="Y36" s="229">
        <f t="shared" si="8"/>
        <v>1333.153289</v>
      </c>
      <c r="Z36" s="229">
        <f t="shared" si="8"/>
        <v>3308.810537</v>
      </c>
      <c r="AA36" s="229">
        <f t="shared" si="8"/>
        <v>181.8904703</v>
      </c>
      <c r="AB36" s="229">
        <f t="shared" si="8"/>
        <v>1586.458319</v>
      </c>
      <c r="AC36" s="229">
        <f t="shared" si="8"/>
        <v>884.393084</v>
      </c>
      <c r="AD36" s="229">
        <f t="shared" si="8"/>
        <v>533.7545447</v>
      </c>
      <c r="AE36" s="229">
        <f t="shared" si="8"/>
        <v>1498.449086</v>
      </c>
      <c r="AF36" s="229">
        <f t="shared" si="8"/>
        <v>1096.964907</v>
      </c>
      <c r="AG36" s="229">
        <f t="shared" si="8"/>
        <v>5354.357893</v>
      </c>
      <c r="AH36" s="229">
        <f t="shared" si="8"/>
        <v>3142.410604</v>
      </c>
      <c r="AI36" s="229">
        <f t="shared" si="8"/>
        <v>5676.51253</v>
      </c>
      <c r="AJ36" s="229">
        <f t="shared" si="8"/>
        <v>1316.942928</v>
      </c>
      <c r="AK36" s="229">
        <f t="shared" si="8"/>
        <v>5043.133879</v>
      </c>
      <c r="AL36" s="229">
        <f t="shared" si="8"/>
        <v>8753.506592</v>
      </c>
      <c r="AM36" s="229">
        <f t="shared" si="8"/>
        <v>10403.94489</v>
      </c>
      <c r="AN36" s="229">
        <f t="shared" si="8"/>
        <v>5986.502973</v>
      </c>
      <c r="AO36" s="229">
        <f t="shared" si="8"/>
        <v>6332.496522</v>
      </c>
      <c r="AP36" s="229">
        <f t="shared" si="8"/>
        <v>4619.481876</v>
      </c>
      <c r="AQ36" s="229">
        <f t="shared" si="8"/>
        <v>1755.782206</v>
      </c>
      <c r="AR36" s="229">
        <f t="shared" si="8"/>
        <v>4787.654694</v>
      </c>
      <c r="AS36" s="229">
        <f t="shared" si="8"/>
        <v>3454.173932</v>
      </c>
      <c r="AT36" s="229">
        <f t="shared" si="8"/>
        <v>1752.589301</v>
      </c>
      <c r="AU36" s="229">
        <f t="shared" si="8"/>
        <v>5431.083763</v>
      </c>
      <c r="AV36" s="229">
        <f t="shared" si="8"/>
        <v>8349.936367</v>
      </c>
      <c r="AW36" s="205"/>
    </row>
    <row r="37">
      <c r="A37" s="122"/>
      <c r="B37" s="123"/>
      <c r="C37" s="183"/>
      <c r="D37" s="123"/>
      <c r="E37" s="140"/>
      <c r="F37" s="141"/>
      <c r="G37" s="142"/>
      <c r="H37" s="188"/>
      <c r="I37" s="189"/>
      <c r="J37" s="189"/>
      <c r="K37" s="189"/>
      <c r="L37" s="189"/>
      <c r="M37" s="189"/>
      <c r="N37" s="189"/>
      <c r="O37" s="189"/>
      <c r="P37" s="189"/>
      <c r="Q37" s="190"/>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91"/>
    </row>
    <row r="38">
      <c r="A38" s="117" t="s">
        <v>184</v>
      </c>
      <c r="B38" s="7"/>
      <c r="C38" s="7"/>
      <c r="D38" s="7"/>
      <c r="E38" s="7"/>
      <c r="F38" s="7"/>
      <c r="G38" s="7"/>
      <c r="H38" s="172"/>
      <c r="I38" s="231"/>
      <c r="J38" s="232"/>
      <c r="K38" s="232"/>
      <c r="L38" s="232"/>
      <c r="M38" s="232"/>
      <c r="N38" s="232"/>
      <c r="O38" s="232"/>
      <c r="P38" s="232"/>
      <c r="Q38" s="233"/>
      <c r="R38" s="232"/>
      <c r="S38" s="232"/>
      <c r="T38" s="232"/>
      <c r="U38" s="232"/>
      <c r="V38" s="232"/>
      <c r="W38" s="232"/>
      <c r="X38" s="232"/>
      <c r="Y38" s="232"/>
      <c r="Z38" s="232"/>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175"/>
    </row>
    <row r="39">
      <c r="A39" s="122"/>
      <c r="B39" s="123"/>
      <c r="C39" s="234"/>
      <c r="D39" s="123"/>
      <c r="E39" s="124"/>
      <c r="F39" s="125"/>
      <c r="G39" s="126"/>
      <c r="H39" s="127"/>
      <c r="I39" s="128"/>
      <c r="J39" s="128"/>
      <c r="K39" s="128"/>
      <c r="L39" s="128"/>
      <c r="M39" s="128"/>
      <c r="N39" s="128"/>
      <c r="O39" s="128"/>
      <c r="P39" s="128"/>
      <c r="Q39" s="129"/>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30"/>
    </row>
    <row r="40">
      <c r="A40" s="122"/>
      <c r="B40" s="123"/>
      <c r="C40" s="187" t="s">
        <v>185</v>
      </c>
      <c r="F40" s="125"/>
      <c r="G40" s="126"/>
      <c r="H40" s="127"/>
      <c r="I40" s="128"/>
      <c r="J40" s="128"/>
      <c r="K40" s="128"/>
      <c r="L40" s="128"/>
      <c r="M40" s="128"/>
      <c r="N40" s="128"/>
      <c r="O40" s="128"/>
      <c r="P40" s="128"/>
      <c r="Q40" s="129"/>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2"/>
      <c r="B41" s="123"/>
      <c r="C41" s="187"/>
      <c r="D41" s="187"/>
      <c r="E41" s="192" t="s">
        <v>186</v>
      </c>
      <c r="F41" s="193" t="str">
        <f>'Disease burden'!F184</f>
        <v>%</v>
      </c>
      <c r="G41" s="235" t="s">
        <v>173</v>
      </c>
      <c r="H41" s="236" t="str">
        <f>'Disease burden'!H184</f>
        <v>-</v>
      </c>
      <c r="I41" s="237">
        <f>'Disease burden'!I184</f>
        <v>0.02762556506</v>
      </c>
      <c r="J41" s="237">
        <f>'Disease burden'!J184</f>
        <v>0.01953192006</v>
      </c>
      <c r="K41" s="237">
        <f>'Disease burden'!K184</f>
        <v>0.02723665192</v>
      </c>
      <c r="L41" s="237">
        <f>'Disease burden'!L184</f>
        <v>0.01166047476</v>
      </c>
      <c r="M41" s="237">
        <f>'Disease burden'!M184</f>
        <v>0.01868070066</v>
      </c>
      <c r="N41" s="237">
        <f>'Disease burden'!N184</f>
        <v>0.02022672922</v>
      </c>
      <c r="O41" s="237">
        <f>'Disease burden'!O184</f>
        <v>0.02198275926</v>
      </c>
      <c r="P41" s="237">
        <f>'Disease burden'!P184</f>
        <v>0.03333100521</v>
      </c>
      <c r="Q41" s="238">
        <f>'Disease burden'!Q184</f>
        <v>0.03721284765</v>
      </c>
      <c r="R41" s="237">
        <f>'Disease burden'!R184</f>
        <v>0.006620076343</v>
      </c>
      <c r="S41" s="237">
        <f>'Disease burden'!S184</f>
        <v>0.01618703453</v>
      </c>
      <c r="T41" s="237">
        <f>'Disease burden'!T184</f>
        <v>0.003920765083</v>
      </c>
      <c r="U41" s="237">
        <f>'Disease burden'!U184</f>
        <v>0.004000121039</v>
      </c>
      <c r="V41" s="237">
        <f>'Disease burden'!V184</f>
        <v>0.007013897926</v>
      </c>
      <c r="W41" s="237">
        <f>'Disease burden'!W184</f>
        <v>0.00885094923</v>
      </c>
      <c r="X41" s="237">
        <f>'Disease burden'!X184</f>
        <v>0.007861100888</v>
      </c>
      <c r="Y41" s="237">
        <f>'Disease burden'!Y184</f>
        <v>0.00469320244</v>
      </c>
      <c r="Z41" s="237">
        <f>'Disease burden'!Z184</f>
        <v>0.005234325046</v>
      </c>
      <c r="AA41" s="237">
        <f>'Disease burden'!AA184</f>
        <v>0.007253192913</v>
      </c>
      <c r="AB41" s="237">
        <f>'Disease burden'!AB184</f>
        <v>0.005110519974</v>
      </c>
      <c r="AC41" s="237">
        <f>'Disease burden'!AC184</f>
        <v>0.004114394543</v>
      </c>
      <c r="AD41" s="237">
        <f>'Disease burden'!AD184</f>
        <v>0.002754326543</v>
      </c>
      <c r="AE41" s="237">
        <f>'Disease burden'!AE184</f>
        <v>0.004560186841</v>
      </c>
      <c r="AF41" s="237">
        <f>'Disease burden'!AF184</f>
        <v>0.002892191116</v>
      </c>
      <c r="AG41" s="237">
        <f>'Disease burden'!AG184</f>
        <v>0.01166047476</v>
      </c>
      <c r="AH41" s="237">
        <f>'Disease burden'!AH184</f>
        <v>0.004711806433</v>
      </c>
      <c r="AI41" s="237">
        <f>'Disease burden'!AI184</f>
        <v>0.003064535902</v>
      </c>
      <c r="AJ41" s="237">
        <f>'Disease burden'!AJ184</f>
        <v>0.002220030263</v>
      </c>
      <c r="AK41" s="237">
        <f>'Disease burden'!AK184</f>
        <v>0.006925226621</v>
      </c>
      <c r="AL41" s="237">
        <f>'Disease burden'!AL184</f>
        <v>0.01133109145</v>
      </c>
      <c r="AM41" s="237">
        <f>'Disease burden'!AM184</f>
        <v>0.01133109145</v>
      </c>
      <c r="AN41" s="237">
        <f>'Disease burden'!AN184</f>
        <v>0.01133109145</v>
      </c>
      <c r="AO41" s="237">
        <f>'Disease burden'!AO184</f>
        <v>0.004049511014</v>
      </c>
      <c r="AP41" s="237">
        <f>'Disease burden'!AP184</f>
        <v>0.004465902474</v>
      </c>
      <c r="AQ41" s="237">
        <f>'Disease burden'!AQ184</f>
        <v>0.002049406759</v>
      </c>
      <c r="AR41" s="237">
        <f>'Disease burden'!AR184</f>
        <v>0.002876543184</v>
      </c>
      <c r="AS41" s="237">
        <f>'Disease burden'!AS184</f>
        <v>0.005381724508</v>
      </c>
      <c r="AT41" s="237">
        <f>'Disease burden'!AT184</f>
        <v>0.004884680718</v>
      </c>
      <c r="AU41" s="237">
        <f>'Disease burden'!AU184</f>
        <v>0.01784469622</v>
      </c>
      <c r="AV41" s="237">
        <f>'Disease burden'!AV184</f>
        <v>0.01462988104</v>
      </c>
      <c r="AW41" s="198"/>
    </row>
    <row r="42">
      <c r="A42" s="122"/>
      <c r="B42" s="123"/>
      <c r="C42" s="187"/>
      <c r="D42" s="187"/>
      <c r="E42" s="212" t="s">
        <v>187</v>
      </c>
      <c r="F42" s="213" t="str">
        <f>'Aggregation across vaccines'!F74</f>
        <v>%</v>
      </c>
      <c r="G42" s="239" t="s">
        <v>173</v>
      </c>
      <c r="H42" s="240" t="str">
        <f>'Aggregation across vaccines'!H74</f>
        <v>-</v>
      </c>
      <c r="I42" s="241">
        <f>'Aggregation across vaccines'!I74</f>
        <v>0.2772353563</v>
      </c>
      <c r="J42" s="241">
        <f>'Aggregation across vaccines'!J74</f>
        <v>0.3527218413</v>
      </c>
      <c r="K42" s="241">
        <f>'Aggregation across vaccines'!K74</f>
        <v>0.4472928066</v>
      </c>
      <c r="L42" s="241">
        <f>'Aggregation across vaccines'!L74</f>
        <v>0.5195760934</v>
      </c>
      <c r="M42" s="241">
        <f>'Aggregation across vaccines'!M74</f>
        <v>0.3551140547</v>
      </c>
      <c r="N42" s="241">
        <f>'Aggregation across vaccines'!N74</f>
        <v>0.3552850322</v>
      </c>
      <c r="O42" s="241">
        <f>'Aggregation across vaccines'!O74</f>
        <v>0.4456653914</v>
      </c>
      <c r="P42" s="241">
        <f>'Aggregation across vaccines'!P74</f>
        <v>0.1565694376</v>
      </c>
      <c r="Q42" s="242">
        <f>'Aggregation across vaccines'!Q74</f>
        <v>0.2986651924</v>
      </c>
      <c r="R42" s="241">
        <f>'Aggregation across vaccines'!R74</f>
        <v>0.591359121</v>
      </c>
      <c r="S42" s="241">
        <f>'Aggregation across vaccines'!S74</f>
        <v>0.49943618</v>
      </c>
      <c r="T42" s="241">
        <f>'Aggregation across vaccines'!T74</f>
        <v>0.6413970852</v>
      </c>
      <c r="U42" s="241">
        <f>'Aggregation across vaccines'!U74</f>
        <v>0.6432451061</v>
      </c>
      <c r="V42" s="241">
        <f>'Aggregation across vaccines'!V74</f>
        <v>0.5440210447</v>
      </c>
      <c r="W42" s="241">
        <f>'Aggregation across vaccines'!W74</f>
        <v>0.5051084783</v>
      </c>
      <c r="X42" s="241">
        <f>'Aggregation across vaccines'!X74</f>
        <v>0.3176356918</v>
      </c>
      <c r="Y42" s="241">
        <f>'Aggregation across vaccines'!Y74</f>
        <v>0.7173879226</v>
      </c>
      <c r="Z42" s="241">
        <f>'Aggregation across vaccines'!Z74</f>
        <v>0.5977112673</v>
      </c>
      <c r="AA42" s="241">
        <f>'Aggregation across vaccines'!AA74</f>
        <v>0.7757721136</v>
      </c>
      <c r="AB42" s="241">
        <f>'Aggregation across vaccines'!AB74</f>
        <v>0.7133102472</v>
      </c>
      <c r="AC42" s="241">
        <f>'Aggregation across vaccines'!AC74</f>
        <v>0.7409760481</v>
      </c>
      <c r="AD42" s="241">
        <f>'Aggregation across vaccines'!AD74</f>
        <v>0.784582459</v>
      </c>
      <c r="AE42" s="241">
        <f>'Aggregation across vaccines'!AE74</f>
        <v>0.7042659714</v>
      </c>
      <c r="AF42" s="241">
        <f>'Aggregation across vaccines'!AF74</f>
        <v>0.7389015827</v>
      </c>
      <c r="AG42" s="241">
        <f>'Aggregation across vaccines'!AG74</f>
        <v>0.5195760934</v>
      </c>
      <c r="AH42" s="241">
        <f>'Aggregation across vaccines'!AH74</f>
        <v>0.6534027952</v>
      </c>
      <c r="AI42" s="241">
        <f>'Aggregation across vaccines'!AI74</f>
        <v>0.5010664963</v>
      </c>
      <c r="AJ42" s="241">
        <f>'Aggregation across vaccines'!AJ74</f>
        <v>0.7068565113</v>
      </c>
      <c r="AK42" s="241">
        <f>'Aggregation across vaccines'!AK74</f>
        <v>0.5091840706</v>
      </c>
      <c r="AL42" s="241">
        <f>'Aggregation across vaccines'!AL74</f>
        <v>0.3893981282</v>
      </c>
      <c r="AM42" s="241">
        <f>'Aggregation across vaccines'!AM74</f>
        <v>0.3893981282</v>
      </c>
      <c r="AN42" s="241">
        <f>'Aggregation across vaccines'!AN74</f>
        <v>0.3893981282</v>
      </c>
      <c r="AO42" s="241">
        <f>'Aggregation across vaccines'!AO74</f>
        <v>0.4552355941</v>
      </c>
      <c r="AP42" s="241">
        <f>'Aggregation across vaccines'!AP74</f>
        <v>0.5350050941</v>
      </c>
      <c r="AQ42" s="241">
        <f>'Aggregation across vaccines'!AQ74</f>
        <v>0.6854779353</v>
      </c>
      <c r="AR42" s="241">
        <f>'Aggregation across vaccines'!AR74</f>
        <v>0.5426444319</v>
      </c>
      <c r="AS42" s="241">
        <f>'Aggregation across vaccines'!AS74</f>
        <v>0.561374935</v>
      </c>
      <c r="AT42" s="241">
        <f>'Aggregation across vaccines'!AT74</f>
        <v>0.6877817399</v>
      </c>
      <c r="AU42" s="241">
        <f>'Aggregation across vaccines'!AU74</f>
        <v>0.4625823818</v>
      </c>
      <c r="AV42" s="241">
        <f>'Aggregation across vaccines'!AV74</f>
        <v>0.551888086</v>
      </c>
      <c r="AW42" s="219"/>
    </row>
    <row r="43">
      <c r="A43" s="122"/>
      <c r="B43" s="123"/>
      <c r="C43" s="187"/>
      <c r="D43" s="187"/>
      <c r="E43" s="212" t="s">
        <v>188</v>
      </c>
      <c r="F43" s="213" t="str">
        <f>'Aggregation across vaccines'!F63</f>
        <v>%</v>
      </c>
      <c r="G43" s="239" t="s">
        <v>173</v>
      </c>
      <c r="H43" s="243" t="str">
        <f>'Aggregation across vaccines'!H63</f>
        <v>-</v>
      </c>
      <c r="I43" s="241">
        <f>'Aggregation across vaccines'!I63</f>
        <v>0.5225560494</v>
      </c>
      <c r="J43" s="241">
        <f>'Aggregation across vaccines'!J63</f>
        <v>0.5273839374</v>
      </c>
      <c r="K43" s="241">
        <f>'Aggregation across vaccines'!K63</f>
        <v>0.5508425012</v>
      </c>
      <c r="L43" s="241">
        <f>'Aggregation across vaccines'!L63</f>
        <v>0.5437120524</v>
      </c>
      <c r="M43" s="241">
        <f>'Aggregation across vaccines'!M63</f>
        <v>0.5159530939</v>
      </c>
      <c r="N43" s="241">
        <f>'Aggregation across vaccines'!N63</f>
        <v>0.5458220838</v>
      </c>
      <c r="O43" s="241">
        <f>'Aggregation across vaccines'!O63</f>
        <v>0.5582439524</v>
      </c>
      <c r="P43" s="241">
        <f>'Aggregation across vaccines'!P63</f>
        <v>0.5300120224</v>
      </c>
      <c r="Q43" s="242">
        <f>'Aggregation across vaccines'!Q63</f>
        <v>0.5446171515</v>
      </c>
      <c r="R43" s="241">
        <f>'Aggregation across vaccines'!R63</f>
        <v>0.4905600146</v>
      </c>
      <c r="S43" s="241">
        <f>'Aggregation across vaccines'!S63</f>
        <v>0.5145132201</v>
      </c>
      <c r="T43" s="241">
        <f>'Aggregation across vaccines'!T63</f>
        <v>0.545829098</v>
      </c>
      <c r="U43" s="241">
        <f>'Aggregation across vaccines'!U63</f>
        <v>0.5514356642</v>
      </c>
      <c r="V43" s="241">
        <f>'Aggregation across vaccines'!V63</f>
        <v>0.5509335823</v>
      </c>
      <c r="W43" s="241">
        <f>'Aggregation across vaccines'!W63</f>
        <v>0.5188159331</v>
      </c>
      <c r="X43" s="241">
        <f>'Aggregation across vaccines'!X63</f>
        <v>0.5415841491</v>
      </c>
      <c r="Y43" s="241">
        <f>'Aggregation across vaccines'!Y63</f>
        <v>0.5600280829</v>
      </c>
      <c r="Z43" s="241">
        <f>'Aggregation across vaccines'!Z63</f>
        <v>0.5362105808</v>
      </c>
      <c r="AA43" s="241">
        <f>'Aggregation across vaccines'!AA63</f>
        <v>0.5507531884</v>
      </c>
      <c r="AB43" s="241">
        <f>'Aggregation across vaccines'!AB63</f>
        <v>0.536805029</v>
      </c>
      <c r="AC43" s="241">
        <f>'Aggregation across vaccines'!AC63</f>
        <v>0.5371884011</v>
      </c>
      <c r="AD43" s="241">
        <f>'Aggregation across vaccines'!AD63</f>
        <v>0.5711738554</v>
      </c>
      <c r="AE43" s="241">
        <f>'Aggregation across vaccines'!AE63</f>
        <v>0.5365909677</v>
      </c>
      <c r="AF43" s="241">
        <f>'Aggregation across vaccines'!AF63</f>
        <v>0.5378547429</v>
      </c>
      <c r="AG43" s="241">
        <f>'Aggregation across vaccines'!AG63</f>
        <v>0.5437120524</v>
      </c>
      <c r="AH43" s="241">
        <f>'Aggregation across vaccines'!AH63</f>
        <v>0.614032267</v>
      </c>
      <c r="AI43" s="241">
        <f>'Aggregation across vaccines'!AI63</f>
        <v>0.5589257131</v>
      </c>
      <c r="AJ43" s="241">
        <f>'Aggregation across vaccines'!AJ63</f>
        <v>0.540212726</v>
      </c>
      <c r="AK43" s="241">
        <f>'Aggregation across vaccines'!AK63</f>
        <v>0.5420717683</v>
      </c>
      <c r="AL43" s="241">
        <f>'Aggregation across vaccines'!AL63</f>
        <v>0.530293488</v>
      </c>
      <c r="AM43" s="241">
        <f>'Aggregation across vaccines'!AM63</f>
        <v>0.530293488</v>
      </c>
      <c r="AN43" s="241">
        <f>'Aggregation across vaccines'!AN63</f>
        <v>0.530293488</v>
      </c>
      <c r="AO43" s="241">
        <f>'Aggregation across vaccines'!AO63</f>
        <v>0.5368260467</v>
      </c>
      <c r="AP43" s="241">
        <f>'Aggregation across vaccines'!AP63</f>
        <v>0.5215816456</v>
      </c>
      <c r="AQ43" s="241">
        <f>'Aggregation across vaccines'!AQ63</f>
        <v>0.5565284495</v>
      </c>
      <c r="AR43" s="241">
        <f>'Aggregation across vaccines'!AR63</f>
        <v>0.5643685212</v>
      </c>
      <c r="AS43" s="241">
        <f>'Aggregation across vaccines'!AS63</f>
        <v>0.5313482802</v>
      </c>
      <c r="AT43" s="241">
        <f>'Aggregation across vaccines'!AT63</f>
        <v>0.5380968799</v>
      </c>
      <c r="AU43" s="241">
        <f>'Aggregation across vaccines'!AU63</f>
        <v>0.5163326919</v>
      </c>
      <c r="AV43" s="241">
        <f>'Aggregation across vaccines'!AV63</f>
        <v>0.5721852444</v>
      </c>
      <c r="AW43" s="219"/>
    </row>
    <row r="44">
      <c r="A44" s="122"/>
      <c r="B44" s="123"/>
      <c r="C44" s="187"/>
      <c r="D44" s="187"/>
      <c r="E44" s="212" t="s">
        <v>189</v>
      </c>
      <c r="F44" s="213" t="str">
        <f>'Disease burden'!F209</f>
        <v>%</v>
      </c>
      <c r="G44" s="239" t="s">
        <v>161</v>
      </c>
      <c r="H44" s="240" t="str">
        <f>'Disease burden'!H209</f>
        <v>-</v>
      </c>
      <c r="I44" s="244">
        <f t="shared" ref="I44:AV44" si="9">I41/((1-I42)+(I42*(1-I43)))</f>
        <v>0.03230572869</v>
      </c>
      <c r="J44" s="244">
        <f t="shared" si="9"/>
        <v>0.02399557246</v>
      </c>
      <c r="K44" s="244">
        <f t="shared" si="9"/>
        <v>0.03614147318</v>
      </c>
      <c r="L44" s="244">
        <f t="shared" si="9"/>
        <v>0.01625152788</v>
      </c>
      <c r="M44" s="244">
        <f t="shared" si="9"/>
        <v>0.02287121485</v>
      </c>
      <c r="N44" s="244">
        <f t="shared" si="9"/>
        <v>0.02509278218</v>
      </c>
      <c r="O44" s="244">
        <f t="shared" si="9"/>
        <v>0.02926313487</v>
      </c>
      <c r="P44" s="244">
        <f t="shared" si="9"/>
        <v>0.03634723248</v>
      </c>
      <c r="Q44" s="245">
        <f t="shared" si="9"/>
        <v>0.04444164503</v>
      </c>
      <c r="R44" s="244">
        <f t="shared" si="9"/>
        <v>0.009325327037</v>
      </c>
      <c r="S44" s="244">
        <f t="shared" si="9"/>
        <v>0.02178506744</v>
      </c>
      <c r="T44" s="244">
        <f t="shared" si="9"/>
        <v>0.006032811223</v>
      </c>
      <c r="U44" s="244">
        <f t="shared" si="9"/>
        <v>0.006198934515</v>
      </c>
      <c r="V44" s="244">
        <f t="shared" si="9"/>
        <v>0.01001584016</v>
      </c>
      <c r="W44" s="244">
        <f t="shared" si="9"/>
        <v>0.01199410407</v>
      </c>
      <c r="X44" s="244">
        <f t="shared" si="9"/>
        <v>0.009494386558</v>
      </c>
      <c r="Y44" s="244">
        <f t="shared" si="9"/>
        <v>0.007844981796</v>
      </c>
      <c r="Z44" s="244">
        <f t="shared" si="9"/>
        <v>0.007703190814</v>
      </c>
      <c r="AA44" s="244">
        <f t="shared" si="9"/>
        <v>0.01266400078</v>
      </c>
      <c r="AB44" s="244">
        <f t="shared" si="9"/>
        <v>0.008281624695</v>
      </c>
      <c r="AC44" s="244">
        <f t="shared" si="9"/>
        <v>0.006835039032</v>
      </c>
      <c r="AD44" s="244">
        <f t="shared" si="9"/>
        <v>0.004990924412</v>
      </c>
      <c r="AE44" s="244">
        <f t="shared" si="9"/>
        <v>0.007330344102</v>
      </c>
      <c r="AF44" s="244">
        <f t="shared" si="9"/>
        <v>0.00479969361</v>
      </c>
      <c r="AG44" s="244">
        <f t="shared" si="9"/>
        <v>0.01625152788</v>
      </c>
      <c r="AH44" s="244">
        <f t="shared" si="9"/>
        <v>0.00786888488</v>
      </c>
      <c r="AI44" s="244">
        <f t="shared" si="9"/>
        <v>0.004256648369</v>
      </c>
      <c r="AJ44" s="244">
        <f t="shared" si="9"/>
        <v>0.003591427026</v>
      </c>
      <c r="AK44" s="244">
        <f t="shared" si="9"/>
        <v>0.009565419196</v>
      </c>
      <c r="AL44" s="244">
        <f t="shared" si="9"/>
        <v>0.01427980368</v>
      </c>
      <c r="AM44" s="244">
        <f t="shared" si="9"/>
        <v>0.01427980368</v>
      </c>
      <c r="AN44" s="244">
        <f t="shared" si="9"/>
        <v>0.01427980368</v>
      </c>
      <c r="AO44" s="244">
        <f t="shared" si="9"/>
        <v>0.005359206308</v>
      </c>
      <c r="AP44" s="244">
        <f t="shared" si="9"/>
        <v>0.006194459078</v>
      </c>
      <c r="AQ44" s="244">
        <f t="shared" si="9"/>
        <v>0.003313446898</v>
      </c>
      <c r="AR44" s="244">
        <f t="shared" si="9"/>
        <v>0.004146377134</v>
      </c>
      <c r="AS44" s="244">
        <f t="shared" si="9"/>
        <v>0.007669394495</v>
      </c>
      <c r="AT44" s="244">
        <f t="shared" si="9"/>
        <v>0.007754608748</v>
      </c>
      <c r="AU44" s="244">
        <f t="shared" si="9"/>
        <v>0.02344427769</v>
      </c>
      <c r="AV44" s="244">
        <f t="shared" si="9"/>
        <v>0.02138190712</v>
      </c>
      <c r="AW44" s="219"/>
    </row>
    <row r="45">
      <c r="A45" s="122"/>
      <c r="B45" s="123"/>
      <c r="C45" s="187"/>
      <c r="D45" s="187"/>
      <c r="E45" s="192" t="s">
        <v>190</v>
      </c>
      <c r="F45" s="193" t="str">
        <f>Inputs!F241</f>
        <v>%</v>
      </c>
      <c r="G45" s="235" t="str">
        <f>Inputs!G241</f>
        <v>input</v>
      </c>
      <c r="H45" s="246">
        <f>Inputs!H241</f>
        <v>0.75</v>
      </c>
      <c r="I45" s="247" t="str">
        <f>Inputs!I241</f>
        <v>-</v>
      </c>
      <c r="J45" s="247" t="str">
        <f>Inputs!J241</f>
        <v>-</v>
      </c>
      <c r="K45" s="247" t="str">
        <f>Inputs!K241</f>
        <v>-</v>
      </c>
      <c r="L45" s="247" t="str">
        <f>Inputs!L241</f>
        <v>-</v>
      </c>
      <c r="M45" s="247" t="str">
        <f>Inputs!M241</f>
        <v>-</v>
      </c>
      <c r="N45" s="247" t="str">
        <f>Inputs!N241</f>
        <v>-</v>
      </c>
      <c r="O45" s="247" t="str">
        <f>Inputs!O241</f>
        <v>-</v>
      </c>
      <c r="P45" s="247" t="str">
        <f>Inputs!P241</f>
        <v>-</v>
      </c>
      <c r="Q45" s="248" t="str">
        <f>Inputs!Q241</f>
        <v>-</v>
      </c>
      <c r="R45" s="247" t="str">
        <f>Inputs!R241</f>
        <v>-</v>
      </c>
      <c r="S45" s="247" t="str">
        <f>Inputs!S241</f>
        <v>-</v>
      </c>
      <c r="T45" s="247" t="str">
        <f>Inputs!T241</f>
        <v>-</v>
      </c>
      <c r="U45" s="247" t="str">
        <f>Inputs!U241</f>
        <v>-</v>
      </c>
      <c r="V45" s="247" t="str">
        <f>Inputs!V241</f>
        <v>-</v>
      </c>
      <c r="W45" s="247" t="str">
        <f>Inputs!W241</f>
        <v>-</v>
      </c>
      <c r="X45" s="247" t="str">
        <f>Inputs!X241</f>
        <v>-</v>
      </c>
      <c r="Y45" s="247" t="str">
        <f>Inputs!Y241</f>
        <v>-</v>
      </c>
      <c r="Z45" s="247" t="str">
        <f>Inputs!Z241</f>
        <v>-</v>
      </c>
      <c r="AA45" s="247" t="str">
        <f>Inputs!AA241</f>
        <v>-</v>
      </c>
      <c r="AB45" s="247" t="str">
        <f>Inputs!AB241</f>
        <v>-</v>
      </c>
      <c r="AC45" s="247" t="str">
        <f>Inputs!AC241</f>
        <v>-</v>
      </c>
      <c r="AD45" s="247" t="str">
        <f>Inputs!AD241</f>
        <v>-</v>
      </c>
      <c r="AE45" s="247" t="str">
        <f>Inputs!AE241</f>
        <v>-</v>
      </c>
      <c r="AF45" s="247" t="str">
        <f>Inputs!AF241</f>
        <v>-</v>
      </c>
      <c r="AG45" s="247" t="str">
        <f>Inputs!AG241</f>
        <v>-</v>
      </c>
      <c r="AH45" s="247" t="str">
        <f>Inputs!AH241</f>
        <v>-</v>
      </c>
      <c r="AI45" s="247" t="str">
        <f>Inputs!AI241</f>
        <v>-</v>
      </c>
      <c r="AJ45" s="247" t="str">
        <f>Inputs!AJ241</f>
        <v>-</v>
      </c>
      <c r="AK45" s="247" t="str">
        <f>Inputs!AK241</f>
        <v>-</v>
      </c>
      <c r="AL45" s="247" t="str">
        <f>Inputs!AL241</f>
        <v>-</v>
      </c>
      <c r="AM45" s="247" t="str">
        <f>Inputs!AM241</f>
        <v>-</v>
      </c>
      <c r="AN45" s="247" t="str">
        <f>Inputs!AN241</f>
        <v>-</v>
      </c>
      <c r="AO45" s="247" t="str">
        <f>Inputs!AO241</f>
        <v>-</v>
      </c>
      <c r="AP45" s="247" t="str">
        <f>Inputs!AP241</f>
        <v>-</v>
      </c>
      <c r="AQ45" s="247" t="str">
        <f>Inputs!AQ241</f>
        <v>-</v>
      </c>
      <c r="AR45" s="247" t="str">
        <f>Inputs!AR241</f>
        <v>-</v>
      </c>
      <c r="AS45" s="247" t="str">
        <f>Inputs!AS241</f>
        <v>-</v>
      </c>
      <c r="AT45" s="247" t="str">
        <f>Inputs!AT241</f>
        <v>-</v>
      </c>
      <c r="AU45" s="247" t="str">
        <f>Inputs!AU241</f>
        <v>-</v>
      </c>
      <c r="AV45" s="247" t="str">
        <f>Inputs!AV241</f>
        <v>-</v>
      </c>
      <c r="AW45" s="198"/>
    </row>
    <row r="46">
      <c r="A46" s="122"/>
      <c r="B46" s="123"/>
      <c r="C46" s="187"/>
      <c r="D46" s="187"/>
      <c r="E46" s="192" t="s">
        <v>191</v>
      </c>
      <c r="F46" s="193" t="s">
        <v>72</v>
      </c>
      <c r="G46" s="193" t="s">
        <v>161</v>
      </c>
      <c r="H46" s="236" t="s">
        <v>162</v>
      </c>
      <c r="I46" s="249">
        <f t="shared" ref="I46:AV46" si="10">I44*(1+$H45)</f>
        <v>0.0565350252</v>
      </c>
      <c r="J46" s="249">
        <f t="shared" si="10"/>
        <v>0.0419922518</v>
      </c>
      <c r="K46" s="249">
        <f t="shared" si="10"/>
        <v>0.06324757807</v>
      </c>
      <c r="L46" s="249">
        <f t="shared" si="10"/>
        <v>0.02844017379</v>
      </c>
      <c r="M46" s="249">
        <f t="shared" si="10"/>
        <v>0.04002462599</v>
      </c>
      <c r="N46" s="249">
        <f t="shared" si="10"/>
        <v>0.04391236882</v>
      </c>
      <c r="O46" s="249">
        <f t="shared" si="10"/>
        <v>0.05121048602</v>
      </c>
      <c r="P46" s="249">
        <f t="shared" si="10"/>
        <v>0.06360765684</v>
      </c>
      <c r="Q46" s="250">
        <f t="shared" si="10"/>
        <v>0.0777728788</v>
      </c>
      <c r="R46" s="249">
        <f t="shared" si="10"/>
        <v>0.01631932231</v>
      </c>
      <c r="S46" s="249">
        <f t="shared" si="10"/>
        <v>0.03812386802</v>
      </c>
      <c r="T46" s="249">
        <f t="shared" si="10"/>
        <v>0.01055741964</v>
      </c>
      <c r="U46" s="249">
        <f t="shared" si="10"/>
        <v>0.0108481354</v>
      </c>
      <c r="V46" s="249">
        <f t="shared" si="10"/>
        <v>0.01752772028</v>
      </c>
      <c r="W46" s="249">
        <f t="shared" si="10"/>
        <v>0.02098968212</v>
      </c>
      <c r="X46" s="249">
        <f t="shared" si="10"/>
        <v>0.01661517648</v>
      </c>
      <c r="Y46" s="249">
        <f t="shared" si="10"/>
        <v>0.01372871814</v>
      </c>
      <c r="Z46" s="249">
        <f t="shared" si="10"/>
        <v>0.01348058392</v>
      </c>
      <c r="AA46" s="249">
        <f t="shared" si="10"/>
        <v>0.02216200136</v>
      </c>
      <c r="AB46" s="249">
        <f t="shared" si="10"/>
        <v>0.01449284322</v>
      </c>
      <c r="AC46" s="249">
        <f t="shared" si="10"/>
        <v>0.01196131831</v>
      </c>
      <c r="AD46" s="249">
        <f t="shared" si="10"/>
        <v>0.008734117721</v>
      </c>
      <c r="AE46" s="249">
        <f t="shared" si="10"/>
        <v>0.01282810218</v>
      </c>
      <c r="AF46" s="249">
        <f t="shared" si="10"/>
        <v>0.008399463817</v>
      </c>
      <c r="AG46" s="249">
        <f t="shared" si="10"/>
        <v>0.02844017379</v>
      </c>
      <c r="AH46" s="249">
        <f t="shared" si="10"/>
        <v>0.01377054854</v>
      </c>
      <c r="AI46" s="249">
        <f t="shared" si="10"/>
        <v>0.007449134646</v>
      </c>
      <c r="AJ46" s="249">
        <f t="shared" si="10"/>
        <v>0.006284997296</v>
      </c>
      <c r="AK46" s="249">
        <f t="shared" si="10"/>
        <v>0.01673948359</v>
      </c>
      <c r="AL46" s="249">
        <f t="shared" si="10"/>
        <v>0.02498965644</v>
      </c>
      <c r="AM46" s="249">
        <f t="shared" si="10"/>
        <v>0.02498965644</v>
      </c>
      <c r="AN46" s="249">
        <f t="shared" si="10"/>
        <v>0.02498965644</v>
      </c>
      <c r="AO46" s="249">
        <f t="shared" si="10"/>
        <v>0.009378611039</v>
      </c>
      <c r="AP46" s="249">
        <f t="shared" si="10"/>
        <v>0.01084030339</v>
      </c>
      <c r="AQ46" s="249">
        <f t="shared" si="10"/>
        <v>0.005798532072</v>
      </c>
      <c r="AR46" s="249">
        <f t="shared" si="10"/>
        <v>0.007256159985</v>
      </c>
      <c r="AS46" s="249">
        <f t="shared" si="10"/>
        <v>0.01342144037</v>
      </c>
      <c r="AT46" s="249">
        <f t="shared" si="10"/>
        <v>0.01357056531</v>
      </c>
      <c r="AU46" s="249">
        <f t="shared" si="10"/>
        <v>0.04102748597</v>
      </c>
      <c r="AV46" s="249">
        <f t="shared" si="10"/>
        <v>0.03741833747</v>
      </c>
      <c r="AW46" s="198"/>
    </row>
    <row r="47">
      <c r="A47" s="122"/>
      <c r="B47" s="123"/>
      <c r="C47" s="123"/>
      <c r="D47" s="123"/>
      <c r="E47" s="212" t="s">
        <v>192</v>
      </c>
      <c r="F47" s="213" t="str">
        <f>Inputs!F242</f>
        <v>%</v>
      </c>
      <c r="G47" s="251" t="str">
        <f>Inputs!G242</f>
        <v>input</v>
      </c>
      <c r="H47" s="215">
        <f>Inputs!H242</f>
        <v>1</v>
      </c>
      <c r="I47" s="241" t="str">
        <f>Inputs!I242</f>
        <v>-</v>
      </c>
      <c r="J47" s="241" t="str">
        <f>Inputs!J242</f>
        <v>-</v>
      </c>
      <c r="K47" s="241" t="str">
        <f>Inputs!K242</f>
        <v>-</v>
      </c>
      <c r="L47" s="241" t="str">
        <f>Inputs!L242</f>
        <v>-</v>
      </c>
      <c r="M47" s="241" t="str">
        <f>Inputs!M242</f>
        <v>-</v>
      </c>
      <c r="N47" s="241" t="str">
        <f>Inputs!N242</f>
        <v>-</v>
      </c>
      <c r="O47" s="241" t="str">
        <f>Inputs!O242</f>
        <v>-</v>
      </c>
      <c r="P47" s="241" t="str">
        <f>Inputs!P242</f>
        <v>-</v>
      </c>
      <c r="Q47" s="242" t="str">
        <f>Inputs!Q242</f>
        <v>-</v>
      </c>
      <c r="R47" s="241" t="str">
        <f>Inputs!R242</f>
        <v>-</v>
      </c>
      <c r="S47" s="241" t="str">
        <f>Inputs!S242</f>
        <v>-</v>
      </c>
      <c r="T47" s="241" t="str">
        <f>Inputs!T242</f>
        <v>-</v>
      </c>
      <c r="U47" s="241" t="str">
        <f>Inputs!U242</f>
        <v>-</v>
      </c>
      <c r="V47" s="241" t="str">
        <f>Inputs!V242</f>
        <v>-</v>
      </c>
      <c r="W47" s="241" t="str">
        <f>Inputs!W242</f>
        <v>-</v>
      </c>
      <c r="X47" s="241" t="str">
        <f>Inputs!X242</f>
        <v>-</v>
      </c>
      <c r="Y47" s="241" t="str">
        <f>Inputs!Y242</f>
        <v>-</v>
      </c>
      <c r="Z47" s="241" t="str">
        <f>Inputs!Z242</f>
        <v>-</v>
      </c>
      <c r="AA47" s="241" t="str">
        <f>Inputs!AA242</f>
        <v>-</v>
      </c>
      <c r="AB47" s="241" t="str">
        <f>Inputs!AB242</f>
        <v>-</v>
      </c>
      <c r="AC47" s="241" t="str">
        <f>Inputs!AC242</f>
        <v>-</v>
      </c>
      <c r="AD47" s="241" t="str">
        <f>Inputs!AD242</f>
        <v>-</v>
      </c>
      <c r="AE47" s="241" t="str">
        <f>Inputs!AE242</f>
        <v>-</v>
      </c>
      <c r="AF47" s="241" t="str">
        <f>Inputs!AF242</f>
        <v>-</v>
      </c>
      <c r="AG47" s="241" t="str">
        <f>Inputs!AG242</f>
        <v>-</v>
      </c>
      <c r="AH47" s="241" t="str">
        <f>Inputs!AH242</f>
        <v>-</v>
      </c>
      <c r="AI47" s="241" t="str">
        <f>Inputs!AI242</f>
        <v>-</v>
      </c>
      <c r="AJ47" s="241" t="str">
        <f>Inputs!AJ242</f>
        <v>-</v>
      </c>
      <c r="AK47" s="241" t="str">
        <f>Inputs!AK242</f>
        <v>-</v>
      </c>
      <c r="AL47" s="241" t="str">
        <f>Inputs!AL242</f>
        <v>-</v>
      </c>
      <c r="AM47" s="241" t="str">
        <f>Inputs!AM242</f>
        <v>-</v>
      </c>
      <c r="AN47" s="241" t="str">
        <f>Inputs!AN242</f>
        <v>-</v>
      </c>
      <c r="AO47" s="241" t="str">
        <f>Inputs!AO242</f>
        <v>-</v>
      </c>
      <c r="AP47" s="241" t="str">
        <f>Inputs!AP242</f>
        <v>-</v>
      </c>
      <c r="AQ47" s="241" t="str">
        <f>Inputs!AQ242</f>
        <v>-</v>
      </c>
      <c r="AR47" s="241" t="str">
        <f>Inputs!AR242</f>
        <v>-</v>
      </c>
      <c r="AS47" s="241" t="str">
        <f>Inputs!AS242</f>
        <v>-</v>
      </c>
      <c r="AT47" s="241" t="str">
        <f>Inputs!AT242</f>
        <v>-</v>
      </c>
      <c r="AU47" s="241" t="str">
        <f>Inputs!AU242</f>
        <v>-</v>
      </c>
      <c r="AV47" s="241" t="str">
        <f>Inputs!AV242</f>
        <v>-</v>
      </c>
      <c r="AW47" s="219"/>
    </row>
    <row r="48">
      <c r="A48" s="122"/>
      <c r="B48" s="123"/>
      <c r="C48" s="187"/>
      <c r="D48" s="187"/>
      <c r="E48" s="133" t="s">
        <v>193</v>
      </c>
      <c r="F48" s="134" t="s">
        <v>62</v>
      </c>
      <c r="G48" s="145" t="s">
        <v>161</v>
      </c>
      <c r="H48" s="146" t="s">
        <v>162</v>
      </c>
      <c r="I48" s="185">
        <f t="shared" ref="I48:AV48" si="11">I36*I43*I46*$H47</f>
        <v>300.4551374</v>
      </c>
      <c r="J48" s="185">
        <f t="shared" si="11"/>
        <v>145.8597307</v>
      </c>
      <c r="K48" s="185">
        <f t="shared" si="11"/>
        <v>272.0415129</v>
      </c>
      <c r="L48" s="185">
        <f t="shared" si="11"/>
        <v>133.8737968</v>
      </c>
      <c r="M48" s="185">
        <f t="shared" si="11"/>
        <v>190.1497651</v>
      </c>
      <c r="N48" s="185">
        <f t="shared" si="11"/>
        <v>249.4154219</v>
      </c>
      <c r="O48" s="185">
        <f t="shared" si="11"/>
        <v>440.5667112</v>
      </c>
      <c r="P48" s="185">
        <f t="shared" si="11"/>
        <v>583.6672589</v>
      </c>
      <c r="Q48" s="186">
        <f t="shared" si="11"/>
        <v>478.1988121</v>
      </c>
      <c r="R48" s="185">
        <f t="shared" si="11"/>
        <v>15.79426135</v>
      </c>
      <c r="S48" s="185">
        <f t="shared" si="11"/>
        <v>56.84201363</v>
      </c>
      <c r="T48" s="185">
        <f t="shared" si="11"/>
        <v>14.52216714</v>
      </c>
      <c r="U48" s="185">
        <f t="shared" si="11"/>
        <v>18.4922658</v>
      </c>
      <c r="V48" s="185">
        <f t="shared" si="11"/>
        <v>34.55289062</v>
      </c>
      <c r="W48" s="185">
        <f t="shared" si="11"/>
        <v>39.11867548</v>
      </c>
      <c r="X48" s="185">
        <f t="shared" si="11"/>
        <v>80.11460936</v>
      </c>
      <c r="Y48" s="185">
        <f t="shared" si="11"/>
        <v>10.249906</v>
      </c>
      <c r="Z48" s="185">
        <f t="shared" si="11"/>
        <v>23.91751109</v>
      </c>
      <c r="AA48" s="185">
        <f t="shared" si="11"/>
        <v>2.220117414</v>
      </c>
      <c r="AB48" s="185">
        <f t="shared" si="11"/>
        <v>12.3423778</v>
      </c>
      <c r="AC48" s="185">
        <f t="shared" si="11"/>
        <v>5.682651361</v>
      </c>
      <c r="AD48" s="185">
        <f t="shared" si="11"/>
        <v>2.662741133</v>
      </c>
      <c r="AE48" s="185">
        <f t="shared" si="11"/>
        <v>10.31449001</v>
      </c>
      <c r="AF48" s="185">
        <f t="shared" si="11"/>
        <v>4.955748984</v>
      </c>
      <c r="AG48" s="185">
        <f t="shared" si="11"/>
        <v>82.79585641</v>
      </c>
      <c r="AH48" s="185">
        <f t="shared" si="11"/>
        <v>26.57084498</v>
      </c>
      <c r="AI48" s="185">
        <f t="shared" si="11"/>
        <v>23.63423311</v>
      </c>
      <c r="AJ48" s="185">
        <f t="shared" si="11"/>
        <v>4.471331411</v>
      </c>
      <c r="AK48" s="185">
        <f t="shared" si="11"/>
        <v>45.76140424</v>
      </c>
      <c r="AL48" s="185">
        <f t="shared" si="11"/>
        <v>116.0001745</v>
      </c>
      <c r="AM48" s="185">
        <f t="shared" si="11"/>
        <v>137.8715387</v>
      </c>
      <c r="AN48" s="185">
        <f t="shared" si="11"/>
        <v>79.33225184</v>
      </c>
      <c r="AO48" s="185">
        <f t="shared" si="11"/>
        <v>31.88211061</v>
      </c>
      <c r="AP48" s="185">
        <f t="shared" si="11"/>
        <v>26.11902763</v>
      </c>
      <c r="AQ48" s="185">
        <f t="shared" si="11"/>
        <v>5.665993568</v>
      </c>
      <c r="AR48" s="185">
        <f t="shared" si="11"/>
        <v>19.60615589</v>
      </c>
      <c r="AS48" s="185">
        <f t="shared" si="11"/>
        <v>24.63330067</v>
      </c>
      <c r="AT48" s="185">
        <f t="shared" si="11"/>
        <v>12.79789579</v>
      </c>
      <c r="AU48" s="185">
        <f t="shared" si="11"/>
        <v>115.0511675</v>
      </c>
      <c r="AV48" s="185">
        <f t="shared" si="11"/>
        <v>178.7739794</v>
      </c>
      <c r="AW48" s="252"/>
    </row>
    <row r="49">
      <c r="A49" s="122"/>
      <c r="B49" s="123"/>
      <c r="C49" s="187"/>
      <c r="D49" s="187"/>
      <c r="E49" s="140"/>
      <c r="F49" s="125"/>
      <c r="G49" s="126"/>
      <c r="H49" s="127"/>
      <c r="I49" s="128"/>
      <c r="J49" s="128"/>
      <c r="K49" s="128"/>
      <c r="L49" s="128"/>
      <c r="M49" s="128"/>
      <c r="N49" s="128"/>
      <c r="O49" s="128"/>
      <c r="P49" s="128"/>
      <c r="Q49" s="129"/>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87" t="s">
        <v>194</v>
      </c>
      <c r="F50" s="141"/>
      <c r="G50" s="144"/>
      <c r="H50" s="253"/>
      <c r="I50" s="128"/>
      <c r="J50" s="128"/>
      <c r="K50" s="128"/>
      <c r="L50" s="128"/>
      <c r="M50" s="128"/>
      <c r="N50" s="128"/>
      <c r="O50" s="128"/>
      <c r="P50" s="128"/>
      <c r="Q50" s="129"/>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2"/>
      <c r="B51" s="123"/>
      <c r="C51" s="131"/>
      <c r="D51" s="131"/>
      <c r="E51" s="254" t="s">
        <v>195</v>
      </c>
      <c r="F51" s="193" t="str">
        <f>'Disease burden'!F229</f>
        <v>%</v>
      </c>
      <c r="G51" s="235" t="s">
        <v>173</v>
      </c>
      <c r="H51" s="255" t="str">
        <f>'Disease burden'!H229</f>
        <v>-</v>
      </c>
      <c r="I51" s="237">
        <f>'Disease burden'!I229</f>
        <v>0.002262798841</v>
      </c>
      <c r="J51" s="237">
        <f>'Disease burden'!J229</f>
        <v>0.001576975366</v>
      </c>
      <c r="K51" s="237">
        <f>'Disease burden'!K229</f>
        <v>0.002264656206</v>
      </c>
      <c r="L51" s="237">
        <f>'Disease burden'!L229</f>
        <v>0.001009607942</v>
      </c>
      <c r="M51" s="237">
        <f>'Disease burden'!M229</f>
        <v>0.001529946381</v>
      </c>
      <c r="N51" s="237">
        <f>'Disease burden'!N229</f>
        <v>0.001833709132</v>
      </c>
      <c r="O51" s="237">
        <f>'Disease burden'!O229</f>
        <v>0.002046481695</v>
      </c>
      <c r="P51" s="237">
        <f>'Disease burden'!P229</f>
        <v>0.002772996731</v>
      </c>
      <c r="Q51" s="238">
        <f>'Disease burden'!Q229</f>
        <v>0.002926486889</v>
      </c>
      <c r="R51" s="237">
        <f>'Disease burden'!R229</f>
        <v>0.0005341020451</v>
      </c>
      <c r="S51" s="237">
        <f>'Disease burden'!S229</f>
        <v>0.001299236996</v>
      </c>
      <c r="T51" s="237">
        <f>'Disease burden'!T229</f>
        <v>0.0004267022671</v>
      </c>
      <c r="U51" s="237">
        <f>'Disease burden'!U229</f>
        <v>0.0004633926353</v>
      </c>
      <c r="V51" s="237">
        <f>'Disease burden'!V229</f>
        <v>0.0006518589547</v>
      </c>
      <c r="W51" s="237">
        <f>'Disease burden'!W229</f>
        <v>0.0009775805391</v>
      </c>
      <c r="X51" s="237">
        <f>'Disease burden'!X229</f>
        <v>0.000915901445</v>
      </c>
      <c r="Y51" s="237">
        <f>'Disease burden'!Y229</f>
        <v>0.0006089016706</v>
      </c>
      <c r="Z51" s="237">
        <f>'Disease burden'!Z229</f>
        <v>0.0005636333604</v>
      </c>
      <c r="AA51" s="237">
        <f>'Disease burden'!AA229</f>
        <v>0.0008004917908</v>
      </c>
      <c r="AB51" s="237">
        <f>'Disease burden'!AB229</f>
        <v>0.0004409610208</v>
      </c>
      <c r="AC51" s="237">
        <f>'Disease burden'!AC229</f>
        <v>0.000411842538</v>
      </c>
      <c r="AD51" s="237">
        <f>'Disease burden'!AD229</f>
        <v>0.0003948682203</v>
      </c>
      <c r="AE51" s="237">
        <f>'Disease burden'!AE229</f>
        <v>0.0005167270644</v>
      </c>
      <c r="AF51" s="237">
        <f>'Disease burden'!AF229</f>
        <v>0.0003651533803</v>
      </c>
      <c r="AG51" s="237">
        <f>'Disease burden'!AG229</f>
        <v>0.001009607942</v>
      </c>
      <c r="AH51" s="237">
        <f>'Disease burden'!AH229</f>
        <v>0.0006033967097</v>
      </c>
      <c r="AI51" s="237">
        <f>'Disease burden'!AI229</f>
        <v>0.0004486643529</v>
      </c>
      <c r="AJ51" s="237">
        <f>'Disease burden'!AJ229</f>
        <v>0.000337930524</v>
      </c>
      <c r="AK51" s="237">
        <f>'Disease burden'!AK229</f>
        <v>0.0008090491081</v>
      </c>
      <c r="AL51" s="237">
        <f>'Disease burden'!AL229</f>
        <v>0.001103169939</v>
      </c>
      <c r="AM51" s="237">
        <f>'Disease burden'!AM229</f>
        <v>0.001103169939</v>
      </c>
      <c r="AN51" s="237">
        <f>'Disease burden'!AN229</f>
        <v>0.001103169939</v>
      </c>
      <c r="AO51" s="237">
        <f>'Disease burden'!AO229</f>
        <v>0.0005051961426</v>
      </c>
      <c r="AP51" s="237">
        <f>'Disease burden'!AP229</f>
        <v>0.0005356474121</v>
      </c>
      <c r="AQ51" s="237">
        <f>'Disease burden'!AQ229</f>
        <v>0.0002828254262</v>
      </c>
      <c r="AR51" s="237">
        <f>'Disease burden'!AR229</f>
        <v>0.000348850973</v>
      </c>
      <c r="AS51" s="237">
        <f>'Disease burden'!AS229</f>
        <v>0.0007439657918</v>
      </c>
      <c r="AT51" s="237">
        <f>'Disease burden'!AT229</f>
        <v>0.0004693068617</v>
      </c>
      <c r="AU51" s="237">
        <f>'Disease burden'!AU229</f>
        <v>0.001444358991</v>
      </c>
      <c r="AV51" s="237">
        <f>'Disease burden'!AV229</f>
        <v>0.001623179117</v>
      </c>
      <c r="AW51" s="256"/>
    </row>
    <row r="52">
      <c r="A52" s="122"/>
      <c r="B52" s="123"/>
      <c r="C52" s="131"/>
      <c r="D52" s="131"/>
      <c r="E52" s="257" t="s">
        <v>196</v>
      </c>
      <c r="F52" s="213" t="str">
        <f>'Aggregation across vaccines'!F107</f>
        <v>%</v>
      </c>
      <c r="G52" s="239" t="s">
        <v>173</v>
      </c>
      <c r="H52" s="258" t="str">
        <f>'Aggregation across vaccines'!H107</f>
        <v>-</v>
      </c>
      <c r="I52" s="241">
        <f>'Aggregation across vaccines'!I107</f>
        <v>0.1609518173</v>
      </c>
      <c r="J52" s="241">
        <f>'Aggregation across vaccines'!J107</f>
        <v>0.2046725697</v>
      </c>
      <c r="K52" s="241">
        <f>'Aggregation across vaccines'!K107</f>
        <v>0.25310031</v>
      </c>
      <c r="L52" s="241">
        <f>'Aggregation across vaccines'!L107</f>
        <v>0.2964191435</v>
      </c>
      <c r="M52" s="241">
        <f>'Aggregation across vaccines'!M107</f>
        <v>0.2151518893</v>
      </c>
      <c r="N52" s="241">
        <f>'Aggregation across vaccines'!N107</f>
        <v>0.2046453996</v>
      </c>
      <c r="O52" s="241">
        <f>'Aggregation across vaccines'!O107</f>
        <v>0.2529899339</v>
      </c>
      <c r="P52" s="241">
        <f>'Aggregation across vaccines'!P107</f>
        <v>0.0964152698</v>
      </c>
      <c r="Q52" s="242">
        <f>'Aggregation across vaccines'!Q107</f>
        <v>0.1808887525</v>
      </c>
      <c r="R52" s="241">
        <f>'Aggregation across vaccines'!R107</f>
        <v>0.3449382544</v>
      </c>
      <c r="S52" s="241">
        <f>'Aggregation across vaccines'!S107</f>
        <v>0.2900771305</v>
      </c>
      <c r="T52" s="241">
        <f>'Aggregation across vaccines'!T107</f>
        <v>0.3547996771</v>
      </c>
      <c r="U52" s="241">
        <f>'Aggregation across vaccines'!U107</f>
        <v>0.3474128625</v>
      </c>
      <c r="V52" s="241">
        <f>'Aggregation across vaccines'!V107</f>
        <v>0.2940325519</v>
      </c>
      <c r="W52" s="241">
        <f>'Aggregation across vaccines'!W107</f>
        <v>0.290174465</v>
      </c>
      <c r="X52" s="241">
        <f>'Aggregation across vaccines'!X107</f>
        <v>0.1885894997</v>
      </c>
      <c r="Y52" s="241">
        <f>'Aggregation across vaccines'!Y107</f>
        <v>0.3756039442</v>
      </c>
      <c r="Z52" s="241">
        <f>'Aggregation across vaccines'!Z107</f>
        <v>0.3384152524</v>
      </c>
      <c r="AA52" s="241">
        <f>'Aggregation across vaccines'!AA107</f>
        <v>0.4169104005</v>
      </c>
      <c r="AB52" s="241">
        <f>'Aggregation across vaccines'!AB107</f>
        <v>0.3852795678</v>
      </c>
      <c r="AC52" s="241">
        <f>'Aggregation across vaccines'!AC107</f>
        <v>0.4070359399</v>
      </c>
      <c r="AD52" s="241">
        <f>'Aggregation across vaccines'!AD107</f>
        <v>0.4066390795</v>
      </c>
      <c r="AE52" s="241">
        <f>'Aggregation across vaccines'!AE107</f>
        <v>0.3963266279</v>
      </c>
      <c r="AF52" s="241">
        <f>'Aggregation across vaccines'!AF107</f>
        <v>0.4000099899</v>
      </c>
      <c r="AG52" s="241">
        <f>'Aggregation across vaccines'!AG107</f>
        <v>0.2964191435</v>
      </c>
      <c r="AH52" s="241">
        <f>'Aggregation across vaccines'!AH107</f>
        <v>0.3430187329</v>
      </c>
      <c r="AI52" s="241">
        <f>'Aggregation across vaccines'!AI107</f>
        <v>0.274489978</v>
      </c>
      <c r="AJ52" s="241">
        <f>'Aggregation across vaccines'!AJ107</f>
        <v>0.4058024214</v>
      </c>
      <c r="AK52" s="241">
        <f>'Aggregation across vaccines'!AK107</f>
        <v>0.2829236079</v>
      </c>
      <c r="AL52" s="241">
        <f>'Aggregation across vaccines'!AL107</f>
        <v>0.2282006916</v>
      </c>
      <c r="AM52" s="241">
        <f>'Aggregation across vaccines'!AM107</f>
        <v>0.2282006916</v>
      </c>
      <c r="AN52" s="241">
        <f>'Aggregation across vaccines'!AN107</f>
        <v>0.2282006916</v>
      </c>
      <c r="AO52" s="241">
        <f>'Aggregation across vaccines'!AO107</f>
        <v>0.2639796827</v>
      </c>
      <c r="AP52" s="241">
        <f>'Aggregation across vaccines'!AP107</f>
        <v>0.2949380692</v>
      </c>
      <c r="AQ52" s="241">
        <f>'Aggregation across vaccines'!AQ107</f>
        <v>0.3758801877</v>
      </c>
      <c r="AR52" s="241">
        <f>'Aggregation across vaccines'!AR107</f>
        <v>0.2876559038</v>
      </c>
      <c r="AS52" s="241">
        <f>'Aggregation across vaccines'!AS107</f>
        <v>0.3120011968</v>
      </c>
      <c r="AT52" s="241">
        <f>'Aggregation across vaccines'!AT107</f>
        <v>0.3845810603</v>
      </c>
      <c r="AU52" s="241">
        <f>'Aggregation across vaccines'!AU107</f>
        <v>0.2693850584</v>
      </c>
      <c r="AV52" s="241">
        <f>'Aggregation across vaccines'!AV107</f>
        <v>0.2955256212</v>
      </c>
      <c r="AW52" s="259"/>
    </row>
    <row r="53">
      <c r="A53" s="122"/>
      <c r="B53" s="123"/>
      <c r="C53" s="131"/>
      <c r="D53" s="131"/>
      <c r="E53" s="257" t="s">
        <v>197</v>
      </c>
      <c r="F53" s="213" t="str">
        <f>'Aggregation across vaccines'!F95</f>
        <v>%</v>
      </c>
      <c r="G53" s="239" t="s">
        <v>173</v>
      </c>
      <c r="H53" s="215" t="str">
        <f>'Aggregation across vaccines'!H95</f>
        <v>-</v>
      </c>
      <c r="I53" s="241">
        <f>'Aggregation across vaccines'!I95</f>
        <v>0.5100222093</v>
      </c>
      <c r="J53" s="241">
        <f>'Aggregation across vaccines'!J95</f>
        <v>0.5114552469</v>
      </c>
      <c r="K53" s="241">
        <f>'Aggregation across vaccines'!K95</f>
        <v>0.5328850853</v>
      </c>
      <c r="L53" s="241">
        <f>'Aggregation across vaccines'!L95</f>
        <v>0.5286106585</v>
      </c>
      <c r="M53" s="241">
        <f>'Aggregation across vaccines'!M95</f>
        <v>0.4996940011</v>
      </c>
      <c r="N53" s="241">
        <f>'Aggregation across vaccines'!N95</f>
        <v>0.5290724102</v>
      </c>
      <c r="O53" s="241">
        <f>'Aggregation across vaccines'!O95</f>
        <v>0.5378847386</v>
      </c>
      <c r="P53" s="241">
        <f>'Aggregation across vaccines'!P95</f>
        <v>0.5304075759</v>
      </c>
      <c r="Q53" s="242">
        <f>'Aggregation across vaccines'!Q95</f>
        <v>0.5330421478</v>
      </c>
      <c r="R53" s="241">
        <f>'Aggregation across vaccines'!R95</f>
        <v>0.4758979794</v>
      </c>
      <c r="S53" s="241">
        <f>'Aggregation across vaccines'!S95</f>
        <v>0.4865149562</v>
      </c>
      <c r="T53" s="241">
        <f>'Aggregation across vaccines'!T95</f>
        <v>0.5014854002</v>
      </c>
      <c r="U53" s="241">
        <f>'Aggregation across vaccines'!U95</f>
        <v>0.5175544627</v>
      </c>
      <c r="V53" s="241">
        <f>'Aggregation across vaccines'!V95</f>
        <v>0.5125955058</v>
      </c>
      <c r="W53" s="241">
        <f>'Aggregation across vaccines'!W95</f>
        <v>0.4743793104</v>
      </c>
      <c r="X53" s="241">
        <f>'Aggregation across vaccines'!X95</f>
        <v>0.5039030044</v>
      </c>
      <c r="Y53" s="241">
        <f>'Aggregation across vaccines'!Y95</f>
        <v>0.4802100278</v>
      </c>
      <c r="Z53" s="241">
        <f>'Aggregation across vaccines'!Z95</f>
        <v>0.5008143061</v>
      </c>
      <c r="AA53" s="241">
        <f>'Aggregation across vaccines'!AA95</f>
        <v>0.4861039399</v>
      </c>
      <c r="AB53" s="241">
        <f>'Aggregation across vaccines'!AB95</f>
        <v>0.4905495309</v>
      </c>
      <c r="AC53" s="241">
        <f>'Aggregation across vaccines'!AC95</f>
        <v>0.4863741312</v>
      </c>
      <c r="AD53" s="241">
        <f>'Aggregation across vaccines'!AD95</f>
        <v>0.4896138576</v>
      </c>
      <c r="AE53" s="241">
        <f>'Aggregation across vaccines'!AE95</f>
        <v>0.484995416</v>
      </c>
      <c r="AF53" s="241">
        <f>'Aggregation across vaccines'!AF95</f>
        <v>0.4805301337</v>
      </c>
      <c r="AG53" s="241">
        <f>'Aggregation across vaccines'!AG95</f>
        <v>0.5286106585</v>
      </c>
      <c r="AH53" s="241">
        <f>'Aggregation across vaccines'!AH95</f>
        <v>0.5683421628</v>
      </c>
      <c r="AI53" s="241">
        <f>'Aggregation across vaccines'!AI95</f>
        <v>0.5189632875</v>
      </c>
      <c r="AJ53" s="241">
        <f>'Aggregation across vaccines'!AJ95</f>
        <v>0.4802637967</v>
      </c>
      <c r="AK53" s="241">
        <f>'Aggregation across vaccines'!AK95</f>
        <v>0.5000472994</v>
      </c>
      <c r="AL53" s="241">
        <f>'Aggregation across vaccines'!AL95</f>
        <v>0.5050121932</v>
      </c>
      <c r="AM53" s="241">
        <f>'Aggregation across vaccines'!AM95</f>
        <v>0.5050121932</v>
      </c>
      <c r="AN53" s="241">
        <f>'Aggregation across vaccines'!AN95</f>
        <v>0.5050121932</v>
      </c>
      <c r="AO53" s="241">
        <f>'Aggregation across vaccines'!AO95</f>
        <v>0.4977330866</v>
      </c>
      <c r="AP53" s="241">
        <f>'Aggregation across vaccines'!AP95</f>
        <v>0.4836434751</v>
      </c>
      <c r="AQ53" s="241">
        <f>'Aggregation across vaccines'!AQ95</f>
        <v>0.491358376</v>
      </c>
      <c r="AR53" s="241">
        <f>'Aggregation across vaccines'!AR95</f>
        <v>0.5212693861</v>
      </c>
      <c r="AS53" s="241">
        <f>'Aggregation across vaccines'!AS95</f>
        <v>0.4844202317</v>
      </c>
      <c r="AT53" s="241">
        <f>'Aggregation across vaccines'!AT95</f>
        <v>0.4944831891</v>
      </c>
      <c r="AU53" s="241">
        <f>'Aggregation across vaccines'!AU95</f>
        <v>0.4914919561</v>
      </c>
      <c r="AV53" s="241">
        <f>'Aggregation across vaccines'!AV95</f>
        <v>0.5210026016</v>
      </c>
      <c r="AW53" s="259"/>
    </row>
    <row r="54">
      <c r="A54" s="122"/>
      <c r="B54" s="123"/>
      <c r="C54" s="131"/>
      <c r="D54" s="131"/>
      <c r="E54" s="257" t="s">
        <v>198</v>
      </c>
      <c r="F54" s="213" t="str">
        <f>'Disease burden'!F255</f>
        <v>%</v>
      </c>
      <c r="G54" s="239" t="s">
        <v>161</v>
      </c>
      <c r="H54" s="258" t="str">
        <f>'Disease burden'!H255</f>
        <v>-</v>
      </c>
      <c r="I54" s="260">
        <f t="shared" ref="I54:AV54" si="12">I51/((1-I52)+(I52*(1-I53)))</f>
        <v>0.002465161486</v>
      </c>
      <c r="J54" s="260">
        <f t="shared" si="12"/>
        <v>0.001761355583</v>
      </c>
      <c r="K54" s="260">
        <f t="shared" si="12"/>
        <v>0.002617716475</v>
      </c>
      <c r="L54" s="260">
        <f t="shared" si="12"/>
        <v>0.001197197143</v>
      </c>
      <c r="M54" s="260">
        <f t="shared" si="12"/>
        <v>0.001714245052</v>
      </c>
      <c r="N54" s="260">
        <f t="shared" si="12"/>
        <v>0.002056355318</v>
      </c>
      <c r="O54" s="260">
        <f t="shared" si="12"/>
        <v>0.002368830832</v>
      </c>
      <c r="P54" s="260">
        <f t="shared" si="12"/>
        <v>0.002922448988</v>
      </c>
      <c r="Q54" s="261">
        <f t="shared" si="12"/>
        <v>0.00323877376</v>
      </c>
      <c r="R54" s="260">
        <f t="shared" si="12"/>
        <v>0.0006389968384</v>
      </c>
      <c r="S54" s="260">
        <f t="shared" si="12"/>
        <v>0.001512722821</v>
      </c>
      <c r="T54" s="260">
        <f t="shared" si="12"/>
        <v>0.0005190563289</v>
      </c>
      <c r="U54" s="260">
        <f t="shared" si="12"/>
        <v>0.0005649786685</v>
      </c>
      <c r="V54" s="260">
        <f t="shared" si="12"/>
        <v>0.0007675428293</v>
      </c>
      <c r="W54" s="260">
        <f t="shared" si="12"/>
        <v>0.001133627496</v>
      </c>
      <c r="X54" s="260">
        <f t="shared" si="12"/>
        <v>0.001012080257</v>
      </c>
      <c r="Y54" s="260">
        <f t="shared" si="12"/>
        <v>0.0007428971177</v>
      </c>
      <c r="Z54" s="260">
        <f t="shared" si="12"/>
        <v>0.0006786537735</v>
      </c>
      <c r="AA54" s="260">
        <f t="shared" si="12"/>
        <v>0.001003955134</v>
      </c>
      <c r="AB54" s="260">
        <f t="shared" si="12"/>
        <v>0.0005437241925</v>
      </c>
      <c r="AC54" s="260">
        <f t="shared" si="12"/>
        <v>0.0005135012873</v>
      </c>
      <c r="AD54" s="260">
        <f t="shared" si="12"/>
        <v>0.0004930282326</v>
      </c>
      <c r="AE54" s="260">
        <f t="shared" si="12"/>
        <v>0.0006396851718</v>
      </c>
      <c r="AF54" s="260">
        <f t="shared" si="12"/>
        <v>0.0004520438214</v>
      </c>
      <c r="AG54" s="260">
        <f t="shared" si="12"/>
        <v>0.001197197143</v>
      </c>
      <c r="AH54" s="260">
        <f t="shared" si="12"/>
        <v>0.0007495164463</v>
      </c>
      <c r="AI54" s="260">
        <f t="shared" si="12"/>
        <v>0.0005231933634</v>
      </c>
      <c r="AJ54" s="260">
        <f t="shared" si="12"/>
        <v>0.0004197332691</v>
      </c>
      <c r="AK54" s="260">
        <f t="shared" si="12"/>
        <v>0.0009423712571</v>
      </c>
      <c r="AL54" s="260">
        <f t="shared" si="12"/>
        <v>0.001246863659</v>
      </c>
      <c r="AM54" s="260">
        <f t="shared" si="12"/>
        <v>0.001246863659</v>
      </c>
      <c r="AN54" s="260">
        <f t="shared" si="12"/>
        <v>0.001246863659</v>
      </c>
      <c r="AO54" s="260">
        <f t="shared" si="12"/>
        <v>0.0005816154199</v>
      </c>
      <c r="AP54" s="260">
        <f t="shared" si="12"/>
        <v>0.0006247672581</v>
      </c>
      <c r="AQ54" s="260">
        <f t="shared" si="12"/>
        <v>0.000346893915</v>
      </c>
      <c r="AR54" s="260">
        <f t="shared" si="12"/>
        <v>0.0004103869422</v>
      </c>
      <c r="AS54" s="260">
        <f t="shared" si="12"/>
        <v>0.0008764290011</v>
      </c>
      <c r="AT54" s="260">
        <f t="shared" si="12"/>
        <v>0.0005795120042</v>
      </c>
      <c r="AU54" s="260">
        <f t="shared" si="12"/>
        <v>0.001664776362</v>
      </c>
      <c r="AV54" s="260">
        <f t="shared" si="12"/>
        <v>0.001918582536</v>
      </c>
      <c r="AW54" s="259"/>
    </row>
    <row r="55">
      <c r="A55" s="122"/>
      <c r="B55" s="123"/>
      <c r="C55" s="131"/>
      <c r="D55" s="131"/>
      <c r="E55" s="257" t="s">
        <v>190</v>
      </c>
      <c r="F55" s="213" t="str">
        <f>Inputs!F241</f>
        <v>%</v>
      </c>
      <c r="G55" s="239" t="str">
        <f>Inputs!G241</f>
        <v>input</v>
      </c>
      <c r="H55" s="262">
        <f>Inputs!H241</f>
        <v>0.75</v>
      </c>
      <c r="I55" s="244" t="str">
        <f>Inputs!I241</f>
        <v>-</v>
      </c>
      <c r="J55" s="244" t="str">
        <f>Inputs!J241</f>
        <v>-</v>
      </c>
      <c r="K55" s="244" t="str">
        <f>Inputs!K241</f>
        <v>-</v>
      </c>
      <c r="L55" s="244" t="str">
        <f>Inputs!L241</f>
        <v>-</v>
      </c>
      <c r="M55" s="244" t="str">
        <f>Inputs!M241</f>
        <v>-</v>
      </c>
      <c r="N55" s="244" t="str">
        <f>Inputs!N241</f>
        <v>-</v>
      </c>
      <c r="O55" s="244" t="str">
        <f>Inputs!O241</f>
        <v>-</v>
      </c>
      <c r="P55" s="244" t="str">
        <f>Inputs!P241</f>
        <v>-</v>
      </c>
      <c r="Q55" s="245" t="str">
        <f>Inputs!Q241</f>
        <v>-</v>
      </c>
      <c r="R55" s="244" t="str">
        <f>Inputs!R241</f>
        <v>-</v>
      </c>
      <c r="S55" s="244" t="str">
        <f>Inputs!S241</f>
        <v>-</v>
      </c>
      <c r="T55" s="244" t="str">
        <f>Inputs!T241</f>
        <v>-</v>
      </c>
      <c r="U55" s="244" t="str">
        <f>Inputs!U241</f>
        <v>-</v>
      </c>
      <c r="V55" s="244" t="str">
        <f>Inputs!V241</f>
        <v>-</v>
      </c>
      <c r="W55" s="244" t="str">
        <f>Inputs!W241</f>
        <v>-</v>
      </c>
      <c r="X55" s="244" t="str">
        <f>Inputs!X241</f>
        <v>-</v>
      </c>
      <c r="Y55" s="244" t="str">
        <f>Inputs!Y241</f>
        <v>-</v>
      </c>
      <c r="Z55" s="244" t="str">
        <f>Inputs!Z241</f>
        <v>-</v>
      </c>
      <c r="AA55" s="244" t="str">
        <f>Inputs!AA241</f>
        <v>-</v>
      </c>
      <c r="AB55" s="244" t="str">
        <f>Inputs!AB241</f>
        <v>-</v>
      </c>
      <c r="AC55" s="244" t="str">
        <f>Inputs!AC241</f>
        <v>-</v>
      </c>
      <c r="AD55" s="244" t="str">
        <f>Inputs!AD241</f>
        <v>-</v>
      </c>
      <c r="AE55" s="244" t="str">
        <f>Inputs!AE241</f>
        <v>-</v>
      </c>
      <c r="AF55" s="244" t="str">
        <f>Inputs!AF241</f>
        <v>-</v>
      </c>
      <c r="AG55" s="244" t="str">
        <f>Inputs!AG241</f>
        <v>-</v>
      </c>
      <c r="AH55" s="244" t="str">
        <f>Inputs!AH241</f>
        <v>-</v>
      </c>
      <c r="AI55" s="244" t="str">
        <f>Inputs!AI241</f>
        <v>-</v>
      </c>
      <c r="AJ55" s="244" t="str">
        <f>Inputs!AJ241</f>
        <v>-</v>
      </c>
      <c r="AK55" s="244" t="str">
        <f>Inputs!AK241</f>
        <v>-</v>
      </c>
      <c r="AL55" s="244" t="str">
        <f>Inputs!AL241</f>
        <v>-</v>
      </c>
      <c r="AM55" s="244" t="str">
        <f>Inputs!AM241</f>
        <v>-</v>
      </c>
      <c r="AN55" s="244" t="str">
        <f>Inputs!AN241</f>
        <v>-</v>
      </c>
      <c r="AO55" s="244" t="str">
        <f>Inputs!AO241</f>
        <v>-</v>
      </c>
      <c r="AP55" s="244" t="str">
        <f>Inputs!AP241</f>
        <v>-</v>
      </c>
      <c r="AQ55" s="244" t="str">
        <f>Inputs!AQ241</f>
        <v>-</v>
      </c>
      <c r="AR55" s="244" t="str">
        <f>Inputs!AR241</f>
        <v>-</v>
      </c>
      <c r="AS55" s="244" t="str">
        <f>Inputs!AS241</f>
        <v>-</v>
      </c>
      <c r="AT55" s="244" t="str">
        <f>Inputs!AT241</f>
        <v>-</v>
      </c>
      <c r="AU55" s="244" t="str">
        <f>Inputs!AU241</f>
        <v>-</v>
      </c>
      <c r="AV55" s="244" t="str">
        <f>Inputs!AV241</f>
        <v>-</v>
      </c>
      <c r="AW55" s="259"/>
    </row>
    <row r="56">
      <c r="A56" s="122"/>
      <c r="B56" s="123"/>
      <c r="C56" s="131"/>
      <c r="D56" s="131"/>
      <c r="E56" s="257" t="s">
        <v>199</v>
      </c>
      <c r="F56" s="213" t="s">
        <v>72</v>
      </c>
      <c r="G56" s="239" t="s">
        <v>161</v>
      </c>
      <c r="H56" s="240" t="s">
        <v>162</v>
      </c>
      <c r="I56" s="263">
        <f t="shared" ref="I56:AV56" si="13">I54*(1+$H55)</f>
        <v>0.0043140326</v>
      </c>
      <c r="J56" s="263">
        <f t="shared" si="13"/>
        <v>0.003082372269</v>
      </c>
      <c r="K56" s="263">
        <f t="shared" si="13"/>
        <v>0.004581003832</v>
      </c>
      <c r="L56" s="263">
        <f t="shared" si="13"/>
        <v>0.002095095001</v>
      </c>
      <c r="M56" s="263">
        <f t="shared" si="13"/>
        <v>0.002999928841</v>
      </c>
      <c r="N56" s="263">
        <f t="shared" si="13"/>
        <v>0.003598621806</v>
      </c>
      <c r="O56" s="263">
        <f t="shared" si="13"/>
        <v>0.004145453956</v>
      </c>
      <c r="P56" s="263">
        <f t="shared" si="13"/>
        <v>0.005114285729</v>
      </c>
      <c r="Q56" s="264">
        <f t="shared" si="13"/>
        <v>0.00566785408</v>
      </c>
      <c r="R56" s="263">
        <f t="shared" si="13"/>
        <v>0.001118244467</v>
      </c>
      <c r="S56" s="263">
        <f t="shared" si="13"/>
        <v>0.002647264937</v>
      </c>
      <c r="T56" s="263">
        <f t="shared" si="13"/>
        <v>0.0009083485756</v>
      </c>
      <c r="U56" s="263">
        <f t="shared" si="13"/>
        <v>0.0009887126699</v>
      </c>
      <c r="V56" s="263">
        <f t="shared" si="13"/>
        <v>0.001343199951</v>
      </c>
      <c r="W56" s="263">
        <f t="shared" si="13"/>
        <v>0.001983848117</v>
      </c>
      <c r="X56" s="263">
        <f t="shared" si="13"/>
        <v>0.00177114045</v>
      </c>
      <c r="Y56" s="263">
        <f t="shared" si="13"/>
        <v>0.001300069956</v>
      </c>
      <c r="Z56" s="263">
        <f t="shared" si="13"/>
        <v>0.001187644104</v>
      </c>
      <c r="AA56" s="263">
        <f t="shared" si="13"/>
        <v>0.001756921484</v>
      </c>
      <c r="AB56" s="263">
        <f t="shared" si="13"/>
        <v>0.0009515173368</v>
      </c>
      <c r="AC56" s="263">
        <f t="shared" si="13"/>
        <v>0.0008986272528</v>
      </c>
      <c r="AD56" s="263">
        <f t="shared" si="13"/>
        <v>0.0008627994071</v>
      </c>
      <c r="AE56" s="263">
        <f t="shared" si="13"/>
        <v>0.001119449051</v>
      </c>
      <c r="AF56" s="263">
        <f t="shared" si="13"/>
        <v>0.0007910766875</v>
      </c>
      <c r="AG56" s="263">
        <f t="shared" si="13"/>
        <v>0.002095095001</v>
      </c>
      <c r="AH56" s="263">
        <f t="shared" si="13"/>
        <v>0.001311653781</v>
      </c>
      <c r="AI56" s="263">
        <f t="shared" si="13"/>
        <v>0.0009155883859</v>
      </c>
      <c r="AJ56" s="263">
        <f t="shared" si="13"/>
        <v>0.000734533221</v>
      </c>
      <c r="AK56" s="263">
        <f t="shared" si="13"/>
        <v>0.0016491497</v>
      </c>
      <c r="AL56" s="263">
        <f t="shared" si="13"/>
        <v>0.002182011403</v>
      </c>
      <c r="AM56" s="263">
        <f t="shared" si="13"/>
        <v>0.002182011403</v>
      </c>
      <c r="AN56" s="263">
        <f t="shared" si="13"/>
        <v>0.002182011403</v>
      </c>
      <c r="AO56" s="263">
        <f t="shared" si="13"/>
        <v>0.001017826985</v>
      </c>
      <c r="AP56" s="263">
        <f t="shared" si="13"/>
        <v>0.001093342702</v>
      </c>
      <c r="AQ56" s="263">
        <f t="shared" si="13"/>
        <v>0.0006070643512</v>
      </c>
      <c r="AR56" s="263">
        <f t="shared" si="13"/>
        <v>0.0007181771489</v>
      </c>
      <c r="AS56" s="263">
        <f t="shared" si="13"/>
        <v>0.001533750752</v>
      </c>
      <c r="AT56" s="263">
        <f t="shared" si="13"/>
        <v>0.001014146007</v>
      </c>
      <c r="AU56" s="263">
        <f t="shared" si="13"/>
        <v>0.002913358634</v>
      </c>
      <c r="AV56" s="263">
        <f t="shared" si="13"/>
        <v>0.003357519438</v>
      </c>
      <c r="AW56" s="259"/>
    </row>
    <row r="57">
      <c r="A57" s="122"/>
      <c r="B57" s="123"/>
      <c r="C57" s="131"/>
      <c r="D57" s="131"/>
      <c r="E57" s="257" t="s">
        <v>192</v>
      </c>
      <c r="F57" s="213" t="str">
        <f>Inputs!F242</f>
        <v>%</v>
      </c>
      <c r="G57" s="239" t="str">
        <f>Inputs!G242</f>
        <v>input</v>
      </c>
      <c r="H57" s="215">
        <f>Inputs!H242</f>
        <v>1</v>
      </c>
      <c r="I57" s="220" t="str">
        <f>Inputs!I242</f>
        <v>-</v>
      </c>
      <c r="J57" s="220" t="str">
        <f>Inputs!J242</f>
        <v>-</v>
      </c>
      <c r="K57" s="220" t="str">
        <f>Inputs!K242</f>
        <v>-</v>
      </c>
      <c r="L57" s="220" t="str">
        <f>Inputs!L242</f>
        <v>-</v>
      </c>
      <c r="M57" s="220" t="str">
        <f>Inputs!M242</f>
        <v>-</v>
      </c>
      <c r="N57" s="220" t="str">
        <f>Inputs!N242</f>
        <v>-</v>
      </c>
      <c r="O57" s="220" t="str">
        <f>Inputs!O242</f>
        <v>-</v>
      </c>
      <c r="P57" s="220" t="str">
        <f>Inputs!P242</f>
        <v>-</v>
      </c>
      <c r="Q57" s="265" t="str">
        <f>Inputs!Q242</f>
        <v>-</v>
      </c>
      <c r="R57" s="220" t="str">
        <f>Inputs!R242</f>
        <v>-</v>
      </c>
      <c r="S57" s="220" t="str">
        <f>Inputs!S242</f>
        <v>-</v>
      </c>
      <c r="T57" s="220" t="str">
        <f>Inputs!T242</f>
        <v>-</v>
      </c>
      <c r="U57" s="220" t="str">
        <f>Inputs!U242</f>
        <v>-</v>
      </c>
      <c r="V57" s="220" t="str">
        <f>Inputs!V242</f>
        <v>-</v>
      </c>
      <c r="W57" s="220" t="str">
        <f>Inputs!W242</f>
        <v>-</v>
      </c>
      <c r="X57" s="220" t="str">
        <f>Inputs!X242</f>
        <v>-</v>
      </c>
      <c r="Y57" s="220" t="str">
        <f>Inputs!Y242</f>
        <v>-</v>
      </c>
      <c r="Z57" s="220" t="str">
        <f>Inputs!Z242</f>
        <v>-</v>
      </c>
      <c r="AA57" s="220" t="str">
        <f>Inputs!AA242</f>
        <v>-</v>
      </c>
      <c r="AB57" s="220" t="str">
        <f>Inputs!AB242</f>
        <v>-</v>
      </c>
      <c r="AC57" s="220" t="str">
        <f>Inputs!AC242</f>
        <v>-</v>
      </c>
      <c r="AD57" s="220" t="str">
        <f>Inputs!AD242</f>
        <v>-</v>
      </c>
      <c r="AE57" s="220" t="str">
        <f>Inputs!AE242</f>
        <v>-</v>
      </c>
      <c r="AF57" s="220" t="str">
        <f>Inputs!AF242</f>
        <v>-</v>
      </c>
      <c r="AG57" s="220" t="str">
        <f>Inputs!AG242</f>
        <v>-</v>
      </c>
      <c r="AH57" s="220" t="str">
        <f>Inputs!AH242</f>
        <v>-</v>
      </c>
      <c r="AI57" s="220" t="str">
        <f>Inputs!AI242</f>
        <v>-</v>
      </c>
      <c r="AJ57" s="220" t="str">
        <f>Inputs!AJ242</f>
        <v>-</v>
      </c>
      <c r="AK57" s="220" t="str">
        <f>Inputs!AK242</f>
        <v>-</v>
      </c>
      <c r="AL57" s="220" t="str">
        <f>Inputs!AL242</f>
        <v>-</v>
      </c>
      <c r="AM57" s="220" t="str">
        <f>Inputs!AM242</f>
        <v>-</v>
      </c>
      <c r="AN57" s="220" t="str">
        <f>Inputs!AN242</f>
        <v>-</v>
      </c>
      <c r="AO57" s="220" t="str">
        <f>Inputs!AO242</f>
        <v>-</v>
      </c>
      <c r="AP57" s="220" t="str">
        <f>Inputs!AP242</f>
        <v>-</v>
      </c>
      <c r="AQ57" s="220" t="str">
        <f>Inputs!AQ242</f>
        <v>-</v>
      </c>
      <c r="AR57" s="220" t="str">
        <f>Inputs!AR242</f>
        <v>-</v>
      </c>
      <c r="AS57" s="220" t="str">
        <f>Inputs!AS242</f>
        <v>-</v>
      </c>
      <c r="AT57" s="220" t="str">
        <f>Inputs!AT242</f>
        <v>-</v>
      </c>
      <c r="AU57" s="220" t="str">
        <f>Inputs!AU242</f>
        <v>-</v>
      </c>
      <c r="AV57" s="220" t="str">
        <f>Inputs!AV242</f>
        <v>-</v>
      </c>
      <c r="AW57" s="259"/>
    </row>
    <row r="58">
      <c r="A58" s="122"/>
      <c r="B58" s="123"/>
      <c r="C58" s="131"/>
      <c r="D58" s="131"/>
      <c r="E58" s="257" t="s">
        <v>200</v>
      </c>
      <c r="F58" s="213" t="s">
        <v>62</v>
      </c>
      <c r="G58" s="239" t="s">
        <v>161</v>
      </c>
      <c r="H58" s="240" t="s">
        <v>162</v>
      </c>
      <c r="I58" s="266">
        <f t="shared" ref="I58:AV58" si="14">I$36*I53*I56*$H57</f>
        <v>22.37699039</v>
      </c>
      <c r="J58" s="266">
        <f t="shared" si="14"/>
        <v>10.38322039</v>
      </c>
      <c r="K58" s="266">
        <f t="shared" si="14"/>
        <v>19.06154331</v>
      </c>
      <c r="L58" s="266">
        <f t="shared" si="14"/>
        <v>9.588132141</v>
      </c>
      <c r="M58" s="266">
        <f t="shared" si="14"/>
        <v>13.80299653</v>
      </c>
      <c r="N58" s="266">
        <f t="shared" si="14"/>
        <v>19.81238035</v>
      </c>
      <c r="O58" s="266">
        <f t="shared" si="14"/>
        <v>34.36292092</v>
      </c>
      <c r="P58" s="266">
        <f t="shared" si="14"/>
        <v>46.96398277</v>
      </c>
      <c r="Q58" s="267">
        <f t="shared" si="14"/>
        <v>34.10901788</v>
      </c>
      <c r="R58" s="266">
        <f t="shared" si="14"/>
        <v>1.049918704</v>
      </c>
      <c r="S58" s="266">
        <f t="shared" si="14"/>
        <v>3.732239991</v>
      </c>
      <c r="T58" s="266">
        <f t="shared" si="14"/>
        <v>1.147962749</v>
      </c>
      <c r="U58" s="266">
        <f t="shared" si="14"/>
        <v>1.581853779</v>
      </c>
      <c r="V58" s="266">
        <f t="shared" si="14"/>
        <v>2.463628204</v>
      </c>
      <c r="W58" s="266">
        <f t="shared" si="14"/>
        <v>3.380641623</v>
      </c>
      <c r="X58" s="266">
        <f t="shared" si="14"/>
        <v>7.945857374</v>
      </c>
      <c r="Y58" s="266">
        <f t="shared" si="14"/>
        <v>0.8322964365</v>
      </c>
      <c r="Z58" s="266">
        <f t="shared" si="14"/>
        <v>1.968044632</v>
      </c>
      <c r="AA58" s="266">
        <f t="shared" si="14"/>
        <v>0.1553429114</v>
      </c>
      <c r="AB58" s="266">
        <f t="shared" si="14"/>
        <v>0.7405054115</v>
      </c>
      <c r="AC58" s="266">
        <f t="shared" si="14"/>
        <v>0.3865408444</v>
      </c>
      <c r="AD58" s="266">
        <f t="shared" si="14"/>
        <v>0.2254784938</v>
      </c>
      <c r="AE58" s="266">
        <f t="shared" si="14"/>
        <v>0.8135494529</v>
      </c>
      <c r="AF58" s="266">
        <f t="shared" si="14"/>
        <v>0.4169960564</v>
      </c>
      <c r="AG58" s="266">
        <f t="shared" si="14"/>
        <v>5.929895403</v>
      </c>
      <c r="AH58" s="266">
        <f t="shared" si="14"/>
        <v>2.342567009</v>
      </c>
      <c r="AI58" s="266">
        <f t="shared" si="14"/>
        <v>2.697233295</v>
      </c>
      <c r="AJ58" s="266">
        <f t="shared" si="14"/>
        <v>0.4645775795</v>
      </c>
      <c r="AK58" s="266">
        <f t="shared" si="14"/>
        <v>4.158834744</v>
      </c>
      <c r="AL58" s="266">
        <f t="shared" si="14"/>
        <v>9.645859748</v>
      </c>
      <c r="AM58" s="266">
        <f t="shared" si="14"/>
        <v>11.46454763</v>
      </c>
      <c r="AN58" s="266">
        <f t="shared" si="14"/>
        <v>6.596781238</v>
      </c>
      <c r="AO58" s="266">
        <f t="shared" si="14"/>
        <v>3.208081789</v>
      </c>
      <c r="AP58" s="266">
        <f t="shared" si="14"/>
        <v>2.442726877</v>
      </c>
      <c r="AQ58" s="266">
        <f t="shared" si="14"/>
        <v>0.523725521</v>
      </c>
      <c r="AR58" s="266">
        <f t="shared" si="14"/>
        <v>1.79232442</v>
      </c>
      <c r="AS58" s="266">
        <f t="shared" si="14"/>
        <v>2.566381784</v>
      </c>
      <c r="AT58" s="266">
        <f t="shared" si="14"/>
        <v>0.8788852438</v>
      </c>
      <c r="AU58" s="266">
        <f t="shared" si="14"/>
        <v>7.776727205</v>
      </c>
      <c r="AV58" s="266">
        <f t="shared" si="14"/>
        <v>14.60634631</v>
      </c>
      <c r="AW58" s="259"/>
    </row>
    <row r="59">
      <c r="A59" s="122"/>
      <c r="B59" s="123"/>
      <c r="C59" s="131"/>
      <c r="D59" s="131"/>
      <c r="E59" s="192" t="s">
        <v>201</v>
      </c>
      <c r="F59" s="193" t="str">
        <f>Inputs!F$245</f>
        <v>%</v>
      </c>
      <c r="G59" s="235" t="str">
        <f>Inputs!G$245</f>
        <v>input</v>
      </c>
      <c r="H59" s="268">
        <f>Inputs!H$245</f>
        <v>0.005</v>
      </c>
      <c r="I59" s="210" t="str">
        <f>Inputs!I$245</f>
        <v>-</v>
      </c>
      <c r="J59" s="210" t="str">
        <f>Inputs!J$245</f>
        <v>-</v>
      </c>
      <c r="K59" s="210" t="str">
        <f>Inputs!K$245</f>
        <v>-</v>
      </c>
      <c r="L59" s="210" t="str">
        <f>Inputs!L$245</f>
        <v>-</v>
      </c>
      <c r="M59" s="210" t="str">
        <f>Inputs!M$245</f>
        <v>-</v>
      </c>
      <c r="N59" s="210" t="str">
        <f>Inputs!N$245</f>
        <v>-</v>
      </c>
      <c r="O59" s="210" t="str">
        <f>Inputs!O$245</f>
        <v>-</v>
      </c>
      <c r="P59" s="210" t="str">
        <f>Inputs!P$245</f>
        <v>-</v>
      </c>
      <c r="Q59" s="211" t="str">
        <f>Inputs!Q$245</f>
        <v>-</v>
      </c>
      <c r="R59" s="210" t="str">
        <f>Inputs!R$245</f>
        <v>-</v>
      </c>
      <c r="S59" s="210" t="str">
        <f>Inputs!S$245</f>
        <v>-</v>
      </c>
      <c r="T59" s="210" t="str">
        <f>Inputs!T$245</f>
        <v>-</v>
      </c>
      <c r="U59" s="210" t="str">
        <f>Inputs!U$245</f>
        <v>-</v>
      </c>
      <c r="V59" s="210" t="str">
        <f>Inputs!V$245</f>
        <v>-</v>
      </c>
      <c r="W59" s="210" t="str">
        <f>Inputs!W$245</f>
        <v>-</v>
      </c>
      <c r="X59" s="210" t="str">
        <f>Inputs!X$245</f>
        <v>-</v>
      </c>
      <c r="Y59" s="210" t="str">
        <f>Inputs!Y$245</f>
        <v>-</v>
      </c>
      <c r="Z59" s="210" t="str">
        <f>Inputs!Z$245</f>
        <v>-</v>
      </c>
      <c r="AA59" s="210" t="str">
        <f>Inputs!AA$245</f>
        <v>-</v>
      </c>
      <c r="AB59" s="210" t="str">
        <f>Inputs!AB$245</f>
        <v>-</v>
      </c>
      <c r="AC59" s="210" t="str">
        <f>Inputs!AC$245</f>
        <v>-</v>
      </c>
      <c r="AD59" s="210" t="str">
        <f>Inputs!AD$245</f>
        <v>-</v>
      </c>
      <c r="AE59" s="210" t="str">
        <f>Inputs!AE$245</f>
        <v>-</v>
      </c>
      <c r="AF59" s="210" t="str">
        <f>Inputs!AF$245</f>
        <v>-</v>
      </c>
      <c r="AG59" s="210" t="str">
        <f>Inputs!AG$245</f>
        <v>-</v>
      </c>
      <c r="AH59" s="210" t="str">
        <f>Inputs!AH$245</f>
        <v>-</v>
      </c>
      <c r="AI59" s="210" t="str">
        <f>Inputs!AI$245</f>
        <v>-</v>
      </c>
      <c r="AJ59" s="210" t="str">
        <f>Inputs!AJ$245</f>
        <v>-</v>
      </c>
      <c r="AK59" s="210" t="str">
        <f>Inputs!AK$245</f>
        <v>-</v>
      </c>
      <c r="AL59" s="210" t="str">
        <f>Inputs!AL$245</f>
        <v>-</v>
      </c>
      <c r="AM59" s="210" t="str">
        <f>Inputs!AM$245</f>
        <v>-</v>
      </c>
      <c r="AN59" s="210" t="str">
        <f>Inputs!AN$245</f>
        <v>-</v>
      </c>
      <c r="AO59" s="210" t="str">
        <f>Inputs!AO$245</f>
        <v>-</v>
      </c>
      <c r="AP59" s="210" t="str">
        <f>Inputs!AP$245</f>
        <v>-</v>
      </c>
      <c r="AQ59" s="210" t="str">
        <f>Inputs!AQ$245</f>
        <v>-</v>
      </c>
      <c r="AR59" s="210" t="str">
        <f>Inputs!AR$245</f>
        <v>-</v>
      </c>
      <c r="AS59" s="210" t="str">
        <f>Inputs!AS$245</f>
        <v>-</v>
      </c>
      <c r="AT59" s="210" t="str">
        <f>Inputs!AT$245</f>
        <v>-</v>
      </c>
      <c r="AU59" s="210" t="str">
        <f>Inputs!AU$245</f>
        <v>-</v>
      </c>
      <c r="AV59" s="210" t="str">
        <f>Inputs!AV$245</f>
        <v>-</v>
      </c>
      <c r="AW59" s="259"/>
    </row>
    <row r="60">
      <c r="A60" s="122"/>
      <c r="B60" s="123"/>
      <c r="C60" s="131"/>
      <c r="D60" s="131"/>
      <c r="E60" s="269" t="s">
        <v>202</v>
      </c>
      <c r="F60" s="141" t="str">
        <f>Inputs!F246</f>
        <v>#</v>
      </c>
      <c r="G60" s="144" t="str">
        <f>Inputs!G246</f>
        <v>input</v>
      </c>
      <c r="H60" s="270">
        <f>Inputs!H246</f>
        <v>10</v>
      </c>
      <c r="I60" s="189" t="str">
        <f>Inputs!I246</f>
        <v>-</v>
      </c>
      <c r="J60" s="189" t="str">
        <f>Inputs!J246</f>
        <v>-</v>
      </c>
      <c r="K60" s="189" t="str">
        <f>Inputs!K246</f>
        <v>-</v>
      </c>
      <c r="L60" s="189" t="str">
        <f>Inputs!L246</f>
        <v>-</v>
      </c>
      <c r="M60" s="189" t="str">
        <f>Inputs!M246</f>
        <v>-</v>
      </c>
      <c r="N60" s="189" t="str">
        <f>Inputs!N246</f>
        <v>-</v>
      </c>
      <c r="O60" s="189" t="str">
        <f>Inputs!O246</f>
        <v>-</v>
      </c>
      <c r="P60" s="189" t="str">
        <f>Inputs!P246</f>
        <v>-</v>
      </c>
      <c r="Q60" s="190" t="str">
        <f>Inputs!Q246</f>
        <v>-</v>
      </c>
      <c r="R60" s="189" t="str">
        <f>Inputs!R246</f>
        <v>-</v>
      </c>
      <c r="S60" s="189" t="str">
        <f>Inputs!S246</f>
        <v>-</v>
      </c>
      <c r="T60" s="189" t="str">
        <f>Inputs!T246</f>
        <v>-</v>
      </c>
      <c r="U60" s="189" t="str">
        <f>Inputs!U246</f>
        <v>-</v>
      </c>
      <c r="V60" s="189" t="str">
        <f>Inputs!V246</f>
        <v>-</v>
      </c>
      <c r="W60" s="189" t="str">
        <f>Inputs!W246</f>
        <v>-</v>
      </c>
      <c r="X60" s="189" t="str">
        <f>Inputs!X246</f>
        <v>-</v>
      </c>
      <c r="Y60" s="189" t="str">
        <f>Inputs!Y246</f>
        <v>-</v>
      </c>
      <c r="Z60" s="189" t="str">
        <f>Inputs!Z246</f>
        <v>-</v>
      </c>
      <c r="AA60" s="189" t="str">
        <f>Inputs!AA246</f>
        <v>-</v>
      </c>
      <c r="AB60" s="189" t="str">
        <f>Inputs!AB246</f>
        <v>-</v>
      </c>
      <c r="AC60" s="189" t="str">
        <f>Inputs!AC246</f>
        <v>-</v>
      </c>
      <c r="AD60" s="189" t="str">
        <f>Inputs!AD246</f>
        <v>-</v>
      </c>
      <c r="AE60" s="189" t="str">
        <f>Inputs!AE246</f>
        <v>-</v>
      </c>
      <c r="AF60" s="189" t="str">
        <f>Inputs!AF246</f>
        <v>-</v>
      </c>
      <c r="AG60" s="189" t="str">
        <f>Inputs!AG246</f>
        <v>-</v>
      </c>
      <c r="AH60" s="189" t="str">
        <f>Inputs!AH246</f>
        <v>-</v>
      </c>
      <c r="AI60" s="189" t="str">
        <f>Inputs!AI246</f>
        <v>-</v>
      </c>
      <c r="AJ60" s="189" t="str">
        <f>Inputs!AJ246</f>
        <v>-</v>
      </c>
      <c r="AK60" s="189" t="str">
        <f>Inputs!AK246</f>
        <v>-</v>
      </c>
      <c r="AL60" s="189" t="str">
        <f>Inputs!AL246</f>
        <v>-</v>
      </c>
      <c r="AM60" s="189" t="str">
        <f>Inputs!AM246</f>
        <v>-</v>
      </c>
      <c r="AN60" s="189" t="str">
        <f>Inputs!AN246</f>
        <v>-</v>
      </c>
      <c r="AO60" s="189" t="str">
        <f>Inputs!AO246</f>
        <v>-</v>
      </c>
      <c r="AP60" s="189" t="str">
        <f>Inputs!AP246</f>
        <v>-</v>
      </c>
      <c r="AQ60" s="189" t="str">
        <f>Inputs!AQ246</f>
        <v>-</v>
      </c>
      <c r="AR60" s="189" t="str">
        <f>Inputs!AR246</f>
        <v>-</v>
      </c>
      <c r="AS60" s="189" t="str">
        <f>Inputs!AS246</f>
        <v>-</v>
      </c>
      <c r="AT60" s="189" t="str">
        <f>Inputs!AT246</f>
        <v>-</v>
      </c>
      <c r="AU60" s="189" t="str">
        <f>Inputs!AU246</f>
        <v>-</v>
      </c>
      <c r="AV60" s="189" t="str">
        <f>Inputs!AV246</f>
        <v>-</v>
      </c>
      <c r="AW60" s="271" t="str">
        <f>Inputs!AW246</f>
        <v/>
      </c>
    </row>
    <row r="61">
      <c r="A61" s="122"/>
      <c r="B61" s="123"/>
      <c r="C61" s="131"/>
      <c r="D61" s="131"/>
      <c r="E61" s="272" t="s">
        <v>203</v>
      </c>
      <c r="F61" s="200" t="s">
        <v>62</v>
      </c>
      <c r="G61" s="273" t="s">
        <v>161</v>
      </c>
      <c r="H61" s="228" t="s">
        <v>162</v>
      </c>
      <c r="I61" s="229">
        <f t="shared" ref="I61:AV61" si="15">I58*((1/(1+$H59))^$H60)</f>
        <v>21.28830372</v>
      </c>
      <c r="J61" s="229">
        <f t="shared" si="15"/>
        <v>9.878055339</v>
      </c>
      <c r="K61" s="229">
        <f t="shared" si="15"/>
        <v>18.13415998</v>
      </c>
      <c r="L61" s="229">
        <f t="shared" si="15"/>
        <v>9.121649768</v>
      </c>
      <c r="M61" s="229">
        <f t="shared" si="15"/>
        <v>13.13145233</v>
      </c>
      <c r="N61" s="229">
        <f t="shared" si="15"/>
        <v>18.84846725</v>
      </c>
      <c r="O61" s="229">
        <f t="shared" si="15"/>
        <v>32.69109405</v>
      </c>
      <c r="P61" s="229">
        <f t="shared" si="15"/>
        <v>44.67908829</v>
      </c>
      <c r="Q61" s="230">
        <f t="shared" si="15"/>
        <v>32.44954392</v>
      </c>
      <c r="R61" s="229">
        <f t="shared" si="15"/>
        <v>0.9988379973</v>
      </c>
      <c r="S61" s="229">
        <f t="shared" si="15"/>
        <v>3.55065883</v>
      </c>
      <c r="T61" s="229">
        <f t="shared" si="15"/>
        <v>1.092111997</v>
      </c>
      <c r="U61" s="229">
        <f t="shared" si="15"/>
        <v>1.504893335</v>
      </c>
      <c r="V61" s="229">
        <f t="shared" si="15"/>
        <v>2.343767619</v>
      </c>
      <c r="W61" s="229">
        <f t="shared" si="15"/>
        <v>3.216166446</v>
      </c>
      <c r="X61" s="229">
        <f t="shared" si="15"/>
        <v>7.55927505</v>
      </c>
      <c r="Y61" s="229">
        <f t="shared" si="15"/>
        <v>0.7918035009</v>
      </c>
      <c r="Z61" s="229">
        <f t="shared" si="15"/>
        <v>1.872295208</v>
      </c>
      <c r="AA61" s="229">
        <f t="shared" si="15"/>
        <v>0.1477851589</v>
      </c>
      <c r="AB61" s="229">
        <f t="shared" si="15"/>
        <v>0.7044782984</v>
      </c>
      <c r="AC61" s="229">
        <f t="shared" si="15"/>
        <v>0.3677348363</v>
      </c>
      <c r="AD61" s="229">
        <f t="shared" si="15"/>
        <v>0.2145085008</v>
      </c>
      <c r="AE61" s="229">
        <f t="shared" si="15"/>
        <v>0.7739685967</v>
      </c>
      <c r="AF61" s="229">
        <f t="shared" si="15"/>
        <v>0.3967083395</v>
      </c>
      <c r="AG61" s="229">
        <f t="shared" si="15"/>
        <v>5.64139378</v>
      </c>
      <c r="AH61" s="229">
        <f t="shared" si="15"/>
        <v>2.2285963</v>
      </c>
      <c r="AI61" s="229">
        <f t="shared" si="15"/>
        <v>2.566007341</v>
      </c>
      <c r="AJ61" s="229">
        <f t="shared" si="15"/>
        <v>0.4419749236</v>
      </c>
      <c r="AK61" s="229">
        <f t="shared" si="15"/>
        <v>3.95649887</v>
      </c>
      <c r="AL61" s="229">
        <f t="shared" si="15"/>
        <v>9.176568808</v>
      </c>
      <c r="AM61" s="229">
        <f t="shared" si="15"/>
        <v>10.90677378</v>
      </c>
      <c r="AN61" s="229">
        <f t="shared" si="15"/>
        <v>6.275834246</v>
      </c>
      <c r="AO61" s="229">
        <f t="shared" si="15"/>
        <v>3.052002004</v>
      </c>
      <c r="AP61" s="229">
        <f t="shared" si="15"/>
        <v>2.323883184</v>
      </c>
      <c r="AQ61" s="229">
        <f t="shared" si="15"/>
        <v>0.4982451959</v>
      </c>
      <c r="AR61" s="229">
        <f t="shared" si="15"/>
        <v>1.705124146</v>
      </c>
      <c r="AS61" s="229">
        <f t="shared" si="15"/>
        <v>2.441522025</v>
      </c>
      <c r="AT61" s="229">
        <f t="shared" si="15"/>
        <v>0.8361256668</v>
      </c>
      <c r="AU61" s="229">
        <f t="shared" si="15"/>
        <v>7.398373412</v>
      </c>
      <c r="AV61" s="229">
        <f t="shared" si="15"/>
        <v>13.89571749</v>
      </c>
      <c r="AW61" s="274"/>
    </row>
    <row r="62">
      <c r="A62" s="122"/>
      <c r="B62" s="123"/>
      <c r="C62" s="131"/>
      <c r="D62" s="131"/>
      <c r="E62" s="275"/>
      <c r="F62" s="141"/>
      <c r="G62" s="144"/>
      <c r="H62" s="127"/>
      <c r="I62" s="276"/>
      <c r="J62" s="276"/>
      <c r="K62" s="276"/>
      <c r="L62" s="276"/>
      <c r="M62" s="276"/>
      <c r="N62" s="276"/>
      <c r="O62" s="276"/>
      <c r="P62" s="276"/>
      <c r="Q62" s="277"/>
      <c r="R62" s="276"/>
      <c r="S62" s="276"/>
      <c r="T62" s="276"/>
      <c r="U62" s="276"/>
      <c r="V62" s="276"/>
      <c r="W62" s="276"/>
      <c r="X62" s="276"/>
      <c r="Y62" s="276"/>
      <c r="Z62" s="276"/>
      <c r="AA62" s="276"/>
      <c r="AB62" s="276"/>
      <c r="AC62" s="276"/>
      <c r="AD62" s="276"/>
      <c r="AE62" s="276"/>
      <c r="AF62" s="276"/>
      <c r="AG62" s="276"/>
      <c r="AH62" s="276"/>
      <c r="AI62" s="276"/>
      <c r="AJ62" s="276"/>
      <c r="AK62" s="276"/>
      <c r="AL62" s="276"/>
      <c r="AM62" s="276"/>
      <c r="AN62" s="276"/>
      <c r="AO62" s="276"/>
      <c r="AP62" s="276"/>
      <c r="AQ62" s="276"/>
      <c r="AR62" s="276"/>
      <c r="AS62" s="276"/>
      <c r="AT62" s="276"/>
      <c r="AU62" s="276"/>
      <c r="AV62" s="276"/>
      <c r="AW62" s="130"/>
    </row>
    <row r="63">
      <c r="A63" s="122"/>
      <c r="B63" s="123"/>
      <c r="C63" s="187" t="s">
        <v>204</v>
      </c>
      <c r="F63" s="141"/>
      <c r="G63" s="144"/>
      <c r="H63" s="253"/>
      <c r="I63" s="128"/>
      <c r="J63" s="128"/>
      <c r="K63" s="128"/>
      <c r="L63" s="128"/>
      <c r="M63" s="128"/>
      <c r="N63" s="128"/>
      <c r="O63" s="128"/>
      <c r="P63" s="128"/>
      <c r="Q63" s="129"/>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30"/>
    </row>
    <row r="64">
      <c r="A64" s="122"/>
      <c r="B64" s="123"/>
      <c r="C64" s="131"/>
      <c r="D64" s="131"/>
      <c r="E64" s="254" t="s">
        <v>205</v>
      </c>
      <c r="F64" s="193" t="str">
        <f>'Disease burden'!F273</f>
        <v>%</v>
      </c>
      <c r="G64" s="235" t="s">
        <v>173</v>
      </c>
      <c r="H64" s="255" t="str">
        <f>'Disease burden'!H273</f>
        <v>-</v>
      </c>
      <c r="I64" s="237">
        <f>'Disease burden'!I273</f>
        <v>0.007677001911</v>
      </c>
      <c r="J64" s="237">
        <f>'Disease burden'!J273</f>
        <v>0.004556396435</v>
      </c>
      <c r="K64" s="237">
        <f>'Disease burden'!K273</f>
        <v>0.008731731865</v>
      </c>
      <c r="L64" s="237">
        <f>'Disease burden'!L273</f>
        <v>0.003325607734</v>
      </c>
      <c r="M64" s="237">
        <f>'Disease burden'!M273</f>
        <v>0.004272082517</v>
      </c>
      <c r="N64" s="237">
        <f>'Disease burden'!N273</f>
        <v>0.007174878886</v>
      </c>
      <c r="O64" s="237">
        <f>'Disease burden'!O273</f>
        <v>0.007686464078</v>
      </c>
      <c r="P64" s="237">
        <f>'Disease burden'!P273</f>
        <v>0.01045650557</v>
      </c>
      <c r="Q64" s="238">
        <f>'Disease burden'!Q273</f>
        <v>0.009156641603</v>
      </c>
      <c r="R64" s="237">
        <f>'Disease burden'!R273</f>
        <v>0.00218946409</v>
      </c>
      <c r="S64" s="237">
        <f>'Disease burden'!S273</f>
        <v>0.004086524751</v>
      </c>
      <c r="T64" s="237">
        <f>'Disease burden'!T273</f>
        <v>0.002406970637</v>
      </c>
      <c r="U64" s="237">
        <f>'Disease burden'!U273</f>
        <v>0.002333748024</v>
      </c>
      <c r="V64" s="237">
        <f>'Disease burden'!V273</f>
        <v>0.003036260094</v>
      </c>
      <c r="W64" s="237">
        <f>'Disease burden'!W273</f>
        <v>0.00413826584</v>
      </c>
      <c r="X64" s="237">
        <f>'Disease burden'!X273</f>
        <v>0.003576822392</v>
      </c>
      <c r="Y64" s="237">
        <f>'Disease burden'!Y273</f>
        <v>0.003311570666</v>
      </c>
      <c r="Z64" s="237">
        <f>'Disease burden'!Z273</f>
        <v>0.0026361274</v>
      </c>
      <c r="AA64" s="237">
        <f>'Disease burden'!AA273</f>
        <v>0.003425648795</v>
      </c>
      <c r="AB64" s="237">
        <f>'Disease burden'!AB273</f>
        <v>0.002476754864</v>
      </c>
      <c r="AC64" s="237">
        <f>'Disease burden'!AC273</f>
        <v>0.002261760375</v>
      </c>
      <c r="AD64" s="237">
        <f>'Disease burden'!AD273</f>
        <v>0.002403936482</v>
      </c>
      <c r="AE64" s="237">
        <f>'Disease burden'!AE273</f>
        <v>0.002162527672</v>
      </c>
      <c r="AF64" s="237">
        <f>'Disease burden'!AF273</f>
        <v>0.002071154145</v>
      </c>
      <c r="AG64" s="237">
        <f>'Disease burden'!AG273</f>
        <v>0.003325607734</v>
      </c>
      <c r="AH64" s="237">
        <f>'Disease burden'!AH273</f>
        <v>0.002619384069</v>
      </c>
      <c r="AI64" s="237">
        <f>'Disease burden'!AI273</f>
        <v>0.002957077651</v>
      </c>
      <c r="AJ64" s="237">
        <f>'Disease burden'!AJ273</f>
        <v>0.001579520156</v>
      </c>
      <c r="AK64" s="237">
        <f>'Disease burden'!AK273</f>
        <v>0.003767722832</v>
      </c>
      <c r="AL64" s="237">
        <f>'Disease burden'!AL273</f>
        <v>0.004751714393</v>
      </c>
      <c r="AM64" s="237">
        <f>'Disease burden'!AM273</f>
        <v>0.004751714393</v>
      </c>
      <c r="AN64" s="237">
        <f>'Disease burden'!AN273</f>
        <v>0.004751714393</v>
      </c>
      <c r="AO64" s="237">
        <f>'Disease burden'!AO273</f>
        <v>0.00284672127</v>
      </c>
      <c r="AP64" s="237">
        <f>'Disease burden'!AP273</f>
        <v>0.002611543181</v>
      </c>
      <c r="AQ64" s="237">
        <f>'Disease burden'!AQ273</f>
        <v>0.001661879218</v>
      </c>
      <c r="AR64" s="237">
        <f>'Disease burden'!AR273</f>
        <v>0.001997071148</v>
      </c>
      <c r="AS64" s="237">
        <f>'Disease burden'!AS273</f>
        <v>0.003879280068</v>
      </c>
      <c r="AT64" s="237">
        <f>'Disease burden'!AT273</f>
        <v>0.002325003178</v>
      </c>
      <c r="AU64" s="237">
        <f>'Disease burden'!AU273</f>
        <v>0.005221766019</v>
      </c>
      <c r="AV64" s="237">
        <f>'Disease burden'!AV273</f>
        <v>0.007205425932</v>
      </c>
      <c r="AW64" s="256"/>
    </row>
    <row r="65">
      <c r="A65" s="122"/>
      <c r="B65" s="123"/>
      <c r="C65" s="131"/>
      <c r="D65" s="131"/>
      <c r="E65" s="278" t="s">
        <v>206</v>
      </c>
      <c r="F65" s="279" t="str">
        <f>'Aggregation across vaccines'!F138</f>
        <v>%</v>
      </c>
      <c r="G65" s="280" t="s">
        <v>173</v>
      </c>
      <c r="H65" s="281" t="str">
        <f>'Aggregation across vaccines'!H138</f>
        <v>-</v>
      </c>
      <c r="I65" s="282">
        <f>'Aggregation across vaccines'!I138</f>
        <v>0.06341293566</v>
      </c>
      <c r="J65" s="282">
        <f>'Aggregation across vaccines'!J138</f>
        <v>0.07936460651</v>
      </c>
      <c r="K65" s="282">
        <f>'Aggregation across vaccines'!K138</f>
        <v>0.09519096544</v>
      </c>
      <c r="L65" s="282">
        <f>'Aggregation across vaccines'!L138</f>
        <v>0.1152130721</v>
      </c>
      <c r="M65" s="282">
        <f>'Aggregation across vaccines'!M138</f>
        <v>0.08417030212</v>
      </c>
      <c r="N65" s="282">
        <f>'Aggregation across vaccines'!N138</f>
        <v>0.07821502982</v>
      </c>
      <c r="O65" s="282">
        <f>'Aggregation across vaccines'!O138</f>
        <v>0.09079253098</v>
      </c>
      <c r="P65" s="282">
        <f>'Aggregation across vaccines'!P138</f>
        <v>0.04101366976</v>
      </c>
      <c r="Q65" s="283">
        <f>'Aggregation across vaccines'!Q138</f>
        <v>0.06869817306</v>
      </c>
      <c r="R65" s="282">
        <f>'Aggregation across vaccines'!R138</f>
        <v>0.1396563565</v>
      </c>
      <c r="S65" s="282">
        <f>'Aggregation across vaccines'!S138</f>
        <v>0.1108794284</v>
      </c>
      <c r="T65" s="282">
        <f>'Aggregation across vaccines'!T138</f>
        <v>0.1349840683</v>
      </c>
      <c r="U65" s="282">
        <f>'Aggregation across vaccines'!U138</f>
        <v>0.1343552853</v>
      </c>
      <c r="V65" s="282">
        <f>'Aggregation across vaccines'!V138</f>
        <v>0.1093146474</v>
      </c>
      <c r="W65" s="282">
        <f>'Aggregation across vaccines'!W138</f>
        <v>0.1095647386</v>
      </c>
      <c r="X65" s="282">
        <f>'Aggregation across vaccines'!X138</f>
        <v>0.07693125395</v>
      </c>
      <c r="Y65" s="282">
        <f>'Aggregation across vaccines'!Y138</f>
        <v>0.1427249168</v>
      </c>
      <c r="Z65" s="282">
        <f>'Aggregation across vaccines'!Z138</f>
        <v>0.1293273974</v>
      </c>
      <c r="AA65" s="282">
        <f>'Aggregation across vaccines'!AA138</f>
        <v>0.1518675724</v>
      </c>
      <c r="AB65" s="282">
        <f>'Aggregation across vaccines'!AB138</f>
        <v>0.146816972</v>
      </c>
      <c r="AC65" s="282">
        <f>'Aggregation across vaccines'!AC138</f>
        <v>0.1533003426</v>
      </c>
      <c r="AD65" s="282">
        <f>'Aggregation across vaccines'!AD138</f>
        <v>0.1544231861</v>
      </c>
      <c r="AE65" s="282">
        <f>'Aggregation across vaccines'!AE138</f>
        <v>0.1518439537</v>
      </c>
      <c r="AF65" s="282">
        <f>'Aggregation across vaccines'!AF138</f>
        <v>0.1550943079</v>
      </c>
      <c r="AG65" s="282">
        <f>'Aggregation across vaccines'!AG138</f>
        <v>0.1152130721</v>
      </c>
      <c r="AH65" s="282">
        <f>'Aggregation across vaccines'!AH138</f>
        <v>0.1280512664</v>
      </c>
      <c r="AI65" s="282">
        <f>'Aggregation across vaccines'!AI138</f>
        <v>0.1042349786</v>
      </c>
      <c r="AJ65" s="282">
        <f>'Aggregation across vaccines'!AJ138</f>
        <v>0.1562043435</v>
      </c>
      <c r="AK65" s="282">
        <f>'Aggregation across vaccines'!AK138</f>
        <v>0.1099011081</v>
      </c>
      <c r="AL65" s="282">
        <f>'Aggregation across vaccines'!AL138</f>
        <v>0.08704944717</v>
      </c>
      <c r="AM65" s="282">
        <f>'Aggregation across vaccines'!AM138</f>
        <v>0.08704944717</v>
      </c>
      <c r="AN65" s="282">
        <f>'Aggregation across vaccines'!AN138</f>
        <v>0.08704944717</v>
      </c>
      <c r="AO65" s="282">
        <f>'Aggregation across vaccines'!AO138</f>
        <v>0.1050396801</v>
      </c>
      <c r="AP65" s="282">
        <f>'Aggregation across vaccines'!AP138</f>
        <v>0.1118477864</v>
      </c>
      <c r="AQ65" s="282">
        <f>'Aggregation across vaccines'!AQ138</f>
        <v>0.142802694</v>
      </c>
      <c r="AR65" s="282">
        <f>'Aggregation across vaccines'!AR138</f>
        <v>0.1112386121</v>
      </c>
      <c r="AS65" s="282">
        <f>'Aggregation across vaccines'!AS138</f>
        <v>0.1180996188</v>
      </c>
      <c r="AT65" s="282">
        <f>'Aggregation across vaccines'!AT138</f>
        <v>0.145406689</v>
      </c>
      <c r="AU65" s="282">
        <f>'Aggregation across vaccines'!AU138</f>
        <v>0.09647296837</v>
      </c>
      <c r="AV65" s="282">
        <f>'Aggregation across vaccines'!AV138</f>
        <v>0.1062263463</v>
      </c>
      <c r="AW65" s="271"/>
    </row>
    <row r="66">
      <c r="A66" s="122"/>
      <c r="B66" s="123"/>
      <c r="C66" s="131"/>
      <c r="D66" s="131"/>
      <c r="E66" s="257" t="s">
        <v>207</v>
      </c>
      <c r="F66" s="213" t="str">
        <f>'Aggregation across vaccines'!F126</f>
        <v>%</v>
      </c>
      <c r="G66" s="239" t="s">
        <v>173</v>
      </c>
      <c r="H66" s="215" t="str">
        <f>'Aggregation across vaccines'!H126</f>
        <v>-</v>
      </c>
      <c r="I66" s="241">
        <f>'Aggregation across vaccines'!I126</f>
        <v>0.1729772236</v>
      </c>
      <c r="J66" s="241">
        <f>'Aggregation across vaccines'!J126</f>
        <v>0.1802257242</v>
      </c>
      <c r="K66" s="241">
        <f>'Aggregation across vaccines'!K126</f>
        <v>0.1685454603</v>
      </c>
      <c r="L66" s="241">
        <f>'Aggregation across vaccines'!L126</f>
        <v>0.1846262795</v>
      </c>
      <c r="M66" s="241">
        <f>'Aggregation across vaccines'!M126</f>
        <v>0.1782057583</v>
      </c>
      <c r="N66" s="241">
        <f>'Aggregation across vaccines'!N126</f>
        <v>0.1712797061</v>
      </c>
      <c r="O66" s="241">
        <f>'Aggregation across vaccines'!O126</f>
        <v>0.1727655273</v>
      </c>
      <c r="P66" s="241">
        <f>'Aggregation across vaccines'!P126</f>
        <v>0.1721087821</v>
      </c>
      <c r="Q66" s="242">
        <f>'Aggregation across vaccines'!Q126</f>
        <v>0.1725203549</v>
      </c>
      <c r="R66" s="241">
        <f>'Aggregation across vaccines'!R126</f>
        <v>0.1899762288</v>
      </c>
      <c r="S66" s="241">
        <f>'Aggregation across vaccines'!S126</f>
        <v>0.1876138362</v>
      </c>
      <c r="T66" s="241">
        <f>'Aggregation across vaccines'!T126</f>
        <v>0.187269773</v>
      </c>
      <c r="U66" s="241">
        <f>'Aggregation across vaccines'!U126</f>
        <v>0.1876616998</v>
      </c>
      <c r="V66" s="241">
        <f>'Aggregation across vaccines'!V126</f>
        <v>0.1954181956</v>
      </c>
      <c r="W66" s="241">
        <f>'Aggregation across vaccines'!W126</f>
        <v>0.1870045382</v>
      </c>
      <c r="X66" s="241">
        <f>'Aggregation across vaccines'!X126</f>
        <v>0.1848097184</v>
      </c>
      <c r="Y66" s="241">
        <f>'Aggregation across vaccines'!Y126</f>
        <v>0.2024752947</v>
      </c>
      <c r="Z66" s="241">
        <f>'Aggregation across vaccines'!Z126</f>
        <v>0.1867607968</v>
      </c>
      <c r="AA66" s="241">
        <f>'Aggregation across vaccines'!AA126</f>
        <v>0.1861562307</v>
      </c>
      <c r="AB66" s="241">
        <f>'Aggregation across vaccines'!AB126</f>
        <v>0.1866560811</v>
      </c>
      <c r="AC66" s="241">
        <f>'Aggregation across vaccines'!AC126</f>
        <v>0.1871991341</v>
      </c>
      <c r="AD66" s="241">
        <f>'Aggregation across vaccines'!AD126</f>
        <v>0.1879855324</v>
      </c>
      <c r="AE66" s="241">
        <f>'Aggregation across vaccines'!AE126</f>
        <v>0.1877310467</v>
      </c>
      <c r="AF66" s="241">
        <f>'Aggregation across vaccines'!AF126</f>
        <v>0.1874048427</v>
      </c>
      <c r="AG66" s="241">
        <f>'Aggregation across vaccines'!AG126</f>
        <v>0.1846262795</v>
      </c>
      <c r="AH66" s="241">
        <f>'Aggregation across vaccines'!AH126</f>
        <v>0.1938532271</v>
      </c>
      <c r="AI66" s="241">
        <f>'Aggregation across vaccines'!AI126</f>
        <v>0.1865655408</v>
      </c>
      <c r="AJ66" s="241">
        <f>'Aggregation across vaccines'!AJ126</f>
        <v>0.1920689714</v>
      </c>
      <c r="AK66" s="241">
        <f>'Aggregation across vaccines'!AK126</f>
        <v>0.1848820261</v>
      </c>
      <c r="AL66" s="241">
        <f>'Aggregation across vaccines'!AL126</f>
        <v>0.1847152811</v>
      </c>
      <c r="AM66" s="241">
        <f>'Aggregation across vaccines'!AM126</f>
        <v>0.1847152811</v>
      </c>
      <c r="AN66" s="241">
        <f>'Aggregation across vaccines'!AN126</f>
        <v>0.1847152811</v>
      </c>
      <c r="AO66" s="241">
        <f>'Aggregation across vaccines'!AO126</f>
        <v>0.1857638818</v>
      </c>
      <c r="AP66" s="241">
        <f>'Aggregation across vaccines'!AP126</f>
        <v>0.1872981521</v>
      </c>
      <c r="AQ66" s="241">
        <f>'Aggregation across vaccines'!AQ126</f>
        <v>0.1899051901</v>
      </c>
      <c r="AR66" s="241">
        <f>'Aggregation across vaccines'!AR126</f>
        <v>0.1964418608</v>
      </c>
      <c r="AS66" s="241">
        <f>'Aggregation across vaccines'!AS126</f>
        <v>0.1861101782</v>
      </c>
      <c r="AT66" s="241">
        <f>'Aggregation across vaccines'!AT126</f>
        <v>0.1886783234</v>
      </c>
      <c r="AU66" s="241">
        <f>'Aggregation across vaccines'!AU126</f>
        <v>0.1848010526</v>
      </c>
      <c r="AV66" s="241">
        <f>'Aggregation across vaccines'!AV126</f>
        <v>0.1740226967</v>
      </c>
      <c r="AW66" s="259"/>
    </row>
    <row r="67">
      <c r="A67" s="122"/>
      <c r="B67" s="123"/>
      <c r="C67" s="131"/>
      <c r="D67" s="131"/>
      <c r="E67" s="254" t="s">
        <v>208</v>
      </c>
      <c r="F67" s="193" t="str">
        <f>'Disease burden'!F300</f>
        <v>%</v>
      </c>
      <c r="G67" s="235" t="s">
        <v>161</v>
      </c>
      <c r="H67" s="255" t="str">
        <f>'Disease burden'!H300</f>
        <v>-</v>
      </c>
      <c r="I67" s="244">
        <f t="shared" ref="I67:AV67" si="16">I64/((1-I65)+(I65*(1-I66)))</f>
        <v>0.007762144828</v>
      </c>
      <c r="J67" s="244">
        <f t="shared" si="16"/>
        <v>0.004622514778</v>
      </c>
      <c r="K67" s="244">
        <f t="shared" si="16"/>
        <v>0.0088741081</v>
      </c>
      <c r="L67" s="244">
        <f t="shared" si="16"/>
        <v>0.00339788538</v>
      </c>
      <c r="M67" s="244">
        <f t="shared" si="16"/>
        <v>0.004337137994</v>
      </c>
      <c r="N67" s="244">
        <f t="shared" si="16"/>
        <v>0.00727230337</v>
      </c>
      <c r="O67" s="244">
        <f t="shared" si="16"/>
        <v>0.00780895392</v>
      </c>
      <c r="P67" s="244">
        <f t="shared" si="16"/>
        <v>0.0105308408</v>
      </c>
      <c r="Q67" s="245">
        <f t="shared" si="16"/>
        <v>0.009266466215</v>
      </c>
      <c r="R67" s="244">
        <f t="shared" si="16"/>
        <v>0.002249136812</v>
      </c>
      <c r="S67" s="244">
        <f t="shared" si="16"/>
        <v>0.004173340734</v>
      </c>
      <c r="T67" s="244">
        <f t="shared" si="16"/>
        <v>0.00246939303</v>
      </c>
      <c r="U67" s="244">
        <f t="shared" si="16"/>
        <v>0.002394111577</v>
      </c>
      <c r="V67" s="244">
        <f t="shared" si="16"/>
        <v>0.003102536704</v>
      </c>
      <c r="W67" s="244">
        <f t="shared" si="16"/>
        <v>0.004224828793</v>
      </c>
      <c r="X67" s="244">
        <f t="shared" si="16"/>
        <v>0.003628409829</v>
      </c>
      <c r="Y67" s="244">
        <f t="shared" si="16"/>
        <v>0.003410117151</v>
      </c>
      <c r="Z67" s="244">
        <f t="shared" si="16"/>
        <v>0.002701374475</v>
      </c>
      <c r="AA67" s="244">
        <f t="shared" si="16"/>
        <v>0.00352531326</v>
      </c>
      <c r="AB67" s="244">
        <f t="shared" si="16"/>
        <v>0.002546540988</v>
      </c>
      <c r="AC67" s="244">
        <f t="shared" si="16"/>
        <v>0.0023285854</v>
      </c>
      <c r="AD67" s="244">
        <f t="shared" si="16"/>
        <v>0.002475807503</v>
      </c>
      <c r="AE67" s="244">
        <f t="shared" si="16"/>
        <v>0.002225981098</v>
      </c>
      <c r="AF67" s="244">
        <f t="shared" si="16"/>
        <v>0.002133155206</v>
      </c>
      <c r="AG67" s="244">
        <f t="shared" si="16"/>
        <v>0.00339788538</v>
      </c>
      <c r="AH67" s="244">
        <f t="shared" si="16"/>
        <v>0.002686060556</v>
      </c>
      <c r="AI67" s="244">
        <f t="shared" si="16"/>
        <v>0.003015723384</v>
      </c>
      <c r="AJ67" s="244">
        <f t="shared" si="16"/>
        <v>0.001628374665</v>
      </c>
      <c r="AK67" s="244">
        <f t="shared" si="16"/>
        <v>0.003845865981</v>
      </c>
      <c r="AL67" s="244">
        <f t="shared" si="16"/>
        <v>0.004829367547</v>
      </c>
      <c r="AM67" s="244">
        <f t="shared" si="16"/>
        <v>0.004829367547</v>
      </c>
      <c r="AN67" s="244">
        <f t="shared" si="16"/>
        <v>0.004829367547</v>
      </c>
      <c r="AO67" s="244">
        <f t="shared" si="16"/>
        <v>0.002903373575</v>
      </c>
      <c r="AP67" s="244">
        <f t="shared" si="16"/>
        <v>0.002667422709</v>
      </c>
      <c r="AQ67" s="244">
        <f t="shared" si="16"/>
        <v>0.001708203955</v>
      </c>
      <c r="AR67" s="244">
        <f t="shared" si="16"/>
        <v>0.002041685905</v>
      </c>
      <c r="AS67" s="244">
        <f t="shared" si="16"/>
        <v>0.003966461062</v>
      </c>
      <c r="AT67" s="244">
        <f t="shared" si="16"/>
        <v>0.002390589209</v>
      </c>
      <c r="AU67" s="244">
        <f t="shared" si="16"/>
        <v>0.00531655112</v>
      </c>
      <c r="AV67" s="244">
        <f t="shared" si="16"/>
        <v>0.007341132606</v>
      </c>
      <c r="AW67" s="256"/>
    </row>
    <row r="68">
      <c r="A68" s="122"/>
      <c r="B68" s="123"/>
      <c r="C68" s="131"/>
      <c r="D68" s="131"/>
      <c r="E68" s="257" t="s">
        <v>190</v>
      </c>
      <c r="F68" s="213" t="str">
        <f>Inputs!F241</f>
        <v>%</v>
      </c>
      <c r="G68" s="239" t="str">
        <f>Inputs!G241</f>
        <v>input</v>
      </c>
      <c r="H68" s="262">
        <f>Inputs!H241</f>
        <v>0.75</v>
      </c>
      <c r="I68" s="244" t="str">
        <f>Inputs!I241</f>
        <v>-</v>
      </c>
      <c r="J68" s="244" t="str">
        <f>Inputs!J241</f>
        <v>-</v>
      </c>
      <c r="K68" s="244" t="str">
        <f>Inputs!K241</f>
        <v>-</v>
      </c>
      <c r="L68" s="244" t="str">
        <f>Inputs!L241</f>
        <v>-</v>
      </c>
      <c r="M68" s="244" t="str">
        <f>Inputs!M241</f>
        <v>-</v>
      </c>
      <c r="N68" s="244" t="str">
        <f>Inputs!N241</f>
        <v>-</v>
      </c>
      <c r="O68" s="244" t="str">
        <f>Inputs!O241</f>
        <v>-</v>
      </c>
      <c r="P68" s="244" t="str">
        <f>Inputs!P241</f>
        <v>-</v>
      </c>
      <c r="Q68" s="245" t="str">
        <f>Inputs!Q241</f>
        <v>-</v>
      </c>
      <c r="R68" s="244" t="str">
        <f>Inputs!R241</f>
        <v>-</v>
      </c>
      <c r="S68" s="244" t="str">
        <f>Inputs!S241</f>
        <v>-</v>
      </c>
      <c r="T68" s="244" t="str">
        <f>Inputs!T241</f>
        <v>-</v>
      </c>
      <c r="U68" s="244" t="str">
        <f>Inputs!U241</f>
        <v>-</v>
      </c>
      <c r="V68" s="244" t="str">
        <f>Inputs!V241</f>
        <v>-</v>
      </c>
      <c r="W68" s="244" t="str">
        <f>Inputs!W241</f>
        <v>-</v>
      </c>
      <c r="X68" s="244" t="str">
        <f>Inputs!X241</f>
        <v>-</v>
      </c>
      <c r="Y68" s="244" t="str">
        <f>Inputs!Y241</f>
        <v>-</v>
      </c>
      <c r="Z68" s="244" t="str">
        <f>Inputs!Z241</f>
        <v>-</v>
      </c>
      <c r="AA68" s="244" t="str">
        <f>Inputs!AA241</f>
        <v>-</v>
      </c>
      <c r="AB68" s="244" t="str">
        <f>Inputs!AB241</f>
        <v>-</v>
      </c>
      <c r="AC68" s="244" t="str">
        <f>Inputs!AC241</f>
        <v>-</v>
      </c>
      <c r="AD68" s="244" t="str">
        <f>Inputs!AD241</f>
        <v>-</v>
      </c>
      <c r="AE68" s="244" t="str">
        <f>Inputs!AE241</f>
        <v>-</v>
      </c>
      <c r="AF68" s="244" t="str">
        <f>Inputs!AF241</f>
        <v>-</v>
      </c>
      <c r="AG68" s="244" t="str">
        <f>Inputs!AG241</f>
        <v>-</v>
      </c>
      <c r="AH68" s="244" t="str">
        <f>Inputs!AH241</f>
        <v>-</v>
      </c>
      <c r="AI68" s="244" t="str">
        <f>Inputs!AI241</f>
        <v>-</v>
      </c>
      <c r="AJ68" s="244" t="str">
        <f>Inputs!AJ241</f>
        <v>-</v>
      </c>
      <c r="AK68" s="244" t="str">
        <f>Inputs!AK241</f>
        <v>-</v>
      </c>
      <c r="AL68" s="244" t="str">
        <f>Inputs!AL241</f>
        <v>-</v>
      </c>
      <c r="AM68" s="244" t="str">
        <f>Inputs!AM241</f>
        <v>-</v>
      </c>
      <c r="AN68" s="244" t="str">
        <f>Inputs!AN241</f>
        <v>-</v>
      </c>
      <c r="AO68" s="244" t="str">
        <f>Inputs!AO241</f>
        <v>-</v>
      </c>
      <c r="AP68" s="244" t="str">
        <f>Inputs!AP241</f>
        <v>-</v>
      </c>
      <c r="AQ68" s="244" t="str">
        <f>Inputs!AQ241</f>
        <v>-</v>
      </c>
      <c r="AR68" s="244" t="str">
        <f>Inputs!AR241</f>
        <v>-</v>
      </c>
      <c r="AS68" s="244" t="str">
        <f>Inputs!AS241</f>
        <v>-</v>
      </c>
      <c r="AT68" s="244" t="str">
        <f>Inputs!AT241</f>
        <v>-</v>
      </c>
      <c r="AU68" s="244" t="str">
        <f>Inputs!AU241</f>
        <v>-</v>
      </c>
      <c r="AV68" s="244" t="str">
        <f>Inputs!AV241</f>
        <v>-</v>
      </c>
      <c r="AW68" s="259"/>
    </row>
    <row r="69">
      <c r="A69" s="122"/>
      <c r="B69" s="123"/>
      <c r="C69" s="131"/>
      <c r="D69" s="131"/>
      <c r="E69" s="257" t="s">
        <v>209</v>
      </c>
      <c r="F69" s="213" t="s">
        <v>72</v>
      </c>
      <c r="G69" s="239" t="s">
        <v>161</v>
      </c>
      <c r="H69" s="240" t="s">
        <v>162</v>
      </c>
      <c r="I69" s="284">
        <f t="shared" ref="I69:AV69" si="17">I67*(1+$H68)</f>
        <v>0.01358375345</v>
      </c>
      <c r="J69" s="284">
        <f t="shared" si="17"/>
        <v>0.008089400861</v>
      </c>
      <c r="K69" s="284">
        <f t="shared" si="17"/>
        <v>0.01552968918</v>
      </c>
      <c r="L69" s="284">
        <f t="shared" si="17"/>
        <v>0.005946299416</v>
      </c>
      <c r="M69" s="284">
        <f t="shared" si="17"/>
        <v>0.007589991489</v>
      </c>
      <c r="N69" s="284">
        <f t="shared" si="17"/>
        <v>0.0127265309</v>
      </c>
      <c r="O69" s="284">
        <f t="shared" si="17"/>
        <v>0.01366566936</v>
      </c>
      <c r="P69" s="284">
        <f t="shared" si="17"/>
        <v>0.01842897141</v>
      </c>
      <c r="Q69" s="285">
        <f t="shared" si="17"/>
        <v>0.01621631588</v>
      </c>
      <c r="R69" s="284">
        <f t="shared" si="17"/>
        <v>0.00393598942</v>
      </c>
      <c r="S69" s="284">
        <f t="shared" si="17"/>
        <v>0.007303346285</v>
      </c>
      <c r="T69" s="284">
        <f t="shared" si="17"/>
        <v>0.004321437802</v>
      </c>
      <c r="U69" s="284">
        <f t="shared" si="17"/>
        <v>0.004189695259</v>
      </c>
      <c r="V69" s="284">
        <f t="shared" si="17"/>
        <v>0.005429439232</v>
      </c>
      <c r="W69" s="284">
        <f t="shared" si="17"/>
        <v>0.007393450389</v>
      </c>
      <c r="X69" s="284">
        <f t="shared" si="17"/>
        <v>0.0063497172</v>
      </c>
      <c r="Y69" s="284">
        <f t="shared" si="17"/>
        <v>0.005967705014</v>
      </c>
      <c r="Z69" s="284">
        <f t="shared" si="17"/>
        <v>0.004727405331</v>
      </c>
      <c r="AA69" s="284">
        <f t="shared" si="17"/>
        <v>0.006169298206</v>
      </c>
      <c r="AB69" s="284">
        <f t="shared" si="17"/>
        <v>0.004456446728</v>
      </c>
      <c r="AC69" s="284">
        <f t="shared" si="17"/>
        <v>0.00407502445</v>
      </c>
      <c r="AD69" s="284">
        <f t="shared" si="17"/>
        <v>0.00433266313</v>
      </c>
      <c r="AE69" s="284">
        <f t="shared" si="17"/>
        <v>0.003895466921</v>
      </c>
      <c r="AF69" s="284">
        <f t="shared" si="17"/>
        <v>0.00373302161</v>
      </c>
      <c r="AG69" s="284">
        <f t="shared" si="17"/>
        <v>0.005946299416</v>
      </c>
      <c r="AH69" s="284">
        <f t="shared" si="17"/>
        <v>0.004700605974</v>
      </c>
      <c r="AI69" s="284">
        <f t="shared" si="17"/>
        <v>0.005277515921</v>
      </c>
      <c r="AJ69" s="284">
        <f t="shared" si="17"/>
        <v>0.002849655664</v>
      </c>
      <c r="AK69" s="284">
        <f t="shared" si="17"/>
        <v>0.006730265467</v>
      </c>
      <c r="AL69" s="284">
        <f t="shared" si="17"/>
        <v>0.008451393207</v>
      </c>
      <c r="AM69" s="284">
        <f t="shared" si="17"/>
        <v>0.008451393207</v>
      </c>
      <c r="AN69" s="284">
        <f t="shared" si="17"/>
        <v>0.008451393207</v>
      </c>
      <c r="AO69" s="284">
        <f t="shared" si="17"/>
        <v>0.005080903757</v>
      </c>
      <c r="AP69" s="284">
        <f t="shared" si="17"/>
        <v>0.004667989741</v>
      </c>
      <c r="AQ69" s="284">
        <f t="shared" si="17"/>
        <v>0.00298935692</v>
      </c>
      <c r="AR69" s="284">
        <f t="shared" si="17"/>
        <v>0.003572950334</v>
      </c>
      <c r="AS69" s="284">
        <f t="shared" si="17"/>
        <v>0.006941306859</v>
      </c>
      <c r="AT69" s="284">
        <f t="shared" si="17"/>
        <v>0.004183531115</v>
      </c>
      <c r="AU69" s="284">
        <f t="shared" si="17"/>
        <v>0.00930396446</v>
      </c>
      <c r="AV69" s="284">
        <f t="shared" si="17"/>
        <v>0.01284698206</v>
      </c>
      <c r="AW69" s="259"/>
    </row>
    <row r="70">
      <c r="A70" s="122"/>
      <c r="B70" s="123"/>
      <c r="C70" s="131"/>
      <c r="D70" s="131"/>
      <c r="E70" s="257" t="s">
        <v>192</v>
      </c>
      <c r="F70" s="213" t="str">
        <f>Inputs!F242</f>
        <v>%</v>
      </c>
      <c r="G70" s="239" t="str">
        <f>Inputs!G242</f>
        <v>input</v>
      </c>
      <c r="H70" s="215">
        <f>Inputs!H242</f>
        <v>1</v>
      </c>
      <c r="I70" s="220" t="str">
        <f>Inputs!I242</f>
        <v>-</v>
      </c>
      <c r="J70" s="220" t="str">
        <f>Inputs!J242</f>
        <v>-</v>
      </c>
      <c r="K70" s="220" t="str">
        <f>Inputs!K242</f>
        <v>-</v>
      </c>
      <c r="L70" s="220" t="str">
        <f>Inputs!L242</f>
        <v>-</v>
      </c>
      <c r="M70" s="220" t="str">
        <f>Inputs!M242</f>
        <v>-</v>
      </c>
      <c r="N70" s="220" t="str">
        <f>Inputs!N242</f>
        <v>-</v>
      </c>
      <c r="O70" s="220" t="str">
        <f>Inputs!O242</f>
        <v>-</v>
      </c>
      <c r="P70" s="220" t="str">
        <f>Inputs!P242</f>
        <v>-</v>
      </c>
      <c r="Q70" s="265" t="str">
        <f>Inputs!Q242</f>
        <v>-</v>
      </c>
      <c r="R70" s="220" t="str">
        <f>Inputs!R242</f>
        <v>-</v>
      </c>
      <c r="S70" s="220" t="str">
        <f>Inputs!S242</f>
        <v>-</v>
      </c>
      <c r="T70" s="220" t="str">
        <f>Inputs!T242</f>
        <v>-</v>
      </c>
      <c r="U70" s="220" t="str">
        <f>Inputs!U242</f>
        <v>-</v>
      </c>
      <c r="V70" s="220" t="str">
        <f>Inputs!V242</f>
        <v>-</v>
      </c>
      <c r="W70" s="220" t="str">
        <f>Inputs!W242</f>
        <v>-</v>
      </c>
      <c r="X70" s="220" t="str">
        <f>Inputs!X242</f>
        <v>-</v>
      </c>
      <c r="Y70" s="220" t="str">
        <f>Inputs!Y242</f>
        <v>-</v>
      </c>
      <c r="Z70" s="220" t="str">
        <f>Inputs!Z242</f>
        <v>-</v>
      </c>
      <c r="AA70" s="220" t="str">
        <f>Inputs!AA242</f>
        <v>-</v>
      </c>
      <c r="AB70" s="220" t="str">
        <f>Inputs!AB242</f>
        <v>-</v>
      </c>
      <c r="AC70" s="220" t="str">
        <f>Inputs!AC242</f>
        <v>-</v>
      </c>
      <c r="AD70" s="220" t="str">
        <f>Inputs!AD242</f>
        <v>-</v>
      </c>
      <c r="AE70" s="220" t="str">
        <f>Inputs!AE242</f>
        <v>-</v>
      </c>
      <c r="AF70" s="220" t="str">
        <f>Inputs!AF242</f>
        <v>-</v>
      </c>
      <c r="AG70" s="220" t="str">
        <f>Inputs!AG242</f>
        <v>-</v>
      </c>
      <c r="AH70" s="220" t="str">
        <f>Inputs!AH242</f>
        <v>-</v>
      </c>
      <c r="AI70" s="220" t="str">
        <f>Inputs!AI242</f>
        <v>-</v>
      </c>
      <c r="AJ70" s="220" t="str">
        <f>Inputs!AJ242</f>
        <v>-</v>
      </c>
      <c r="AK70" s="220" t="str">
        <f>Inputs!AK242</f>
        <v>-</v>
      </c>
      <c r="AL70" s="220" t="str">
        <f>Inputs!AL242</f>
        <v>-</v>
      </c>
      <c r="AM70" s="220" t="str">
        <f>Inputs!AM242</f>
        <v>-</v>
      </c>
      <c r="AN70" s="220" t="str">
        <f>Inputs!AN242</f>
        <v>-</v>
      </c>
      <c r="AO70" s="220" t="str">
        <f>Inputs!AO242</f>
        <v>-</v>
      </c>
      <c r="AP70" s="220" t="str">
        <f>Inputs!AP242</f>
        <v>-</v>
      </c>
      <c r="AQ70" s="220" t="str">
        <f>Inputs!AQ242</f>
        <v>-</v>
      </c>
      <c r="AR70" s="220" t="str">
        <f>Inputs!AR242</f>
        <v>-</v>
      </c>
      <c r="AS70" s="220" t="str">
        <f>Inputs!AS242</f>
        <v>-</v>
      </c>
      <c r="AT70" s="220" t="str">
        <f>Inputs!AT242</f>
        <v>-</v>
      </c>
      <c r="AU70" s="220" t="str">
        <f>Inputs!AU242</f>
        <v>-</v>
      </c>
      <c r="AV70" s="220" t="str">
        <f>Inputs!AV242</f>
        <v>-</v>
      </c>
      <c r="AW70" s="259"/>
    </row>
    <row r="71">
      <c r="A71" s="122"/>
      <c r="B71" s="123"/>
      <c r="C71" s="131"/>
      <c r="D71" s="131"/>
      <c r="E71" s="257" t="s">
        <v>210</v>
      </c>
      <c r="F71" s="213" t="s">
        <v>62</v>
      </c>
      <c r="G71" s="239" t="s">
        <v>161</v>
      </c>
      <c r="H71" s="240" t="s">
        <v>162</v>
      </c>
      <c r="I71" s="266">
        <f t="shared" ref="I71:AV71" si="18">I$36*I66*I69*$H70</f>
        <v>23.89669699</v>
      </c>
      <c r="J71" s="266">
        <f t="shared" si="18"/>
        <v>9.602238336</v>
      </c>
      <c r="K71" s="266">
        <f t="shared" si="18"/>
        <v>20.43824792</v>
      </c>
      <c r="L71" s="266">
        <f t="shared" si="18"/>
        <v>9.504617987</v>
      </c>
      <c r="M71" s="266">
        <f t="shared" si="18"/>
        <v>12.45435705</v>
      </c>
      <c r="N71" s="266">
        <f t="shared" si="18"/>
        <v>22.68304112</v>
      </c>
      <c r="O71" s="266">
        <f t="shared" si="18"/>
        <v>36.38452867</v>
      </c>
      <c r="P71" s="266">
        <f t="shared" si="18"/>
        <v>54.91289513</v>
      </c>
      <c r="Q71" s="267">
        <f t="shared" si="18"/>
        <v>31.58504805</v>
      </c>
      <c r="R71" s="266">
        <f t="shared" si="18"/>
        <v>1.475224915</v>
      </c>
      <c r="S71" s="266">
        <f t="shared" si="18"/>
        <v>3.970660133</v>
      </c>
      <c r="T71" s="266">
        <f t="shared" si="18"/>
        <v>2.039449298</v>
      </c>
      <c r="U71" s="266">
        <f t="shared" si="18"/>
        <v>2.430514746</v>
      </c>
      <c r="V71" s="266">
        <f t="shared" si="18"/>
        <v>3.796467456</v>
      </c>
      <c r="W71" s="266">
        <f t="shared" si="18"/>
        <v>4.966658324</v>
      </c>
      <c r="X71" s="266">
        <f t="shared" si="18"/>
        <v>10.44768342</v>
      </c>
      <c r="Y71" s="266">
        <f t="shared" si="18"/>
        <v>1.610866225</v>
      </c>
      <c r="Z71" s="266">
        <f t="shared" si="18"/>
        <v>2.921328926</v>
      </c>
      <c r="AA71" s="266">
        <f t="shared" si="18"/>
        <v>0.2088927108</v>
      </c>
      <c r="AB71" s="266">
        <f t="shared" si="18"/>
        <v>1.319652331</v>
      </c>
      <c r="AC71" s="266">
        <f t="shared" si="18"/>
        <v>0.6746513474</v>
      </c>
      <c r="AD71" s="266">
        <f t="shared" si="18"/>
        <v>0.4347313262</v>
      </c>
      <c r="AE71" s="266">
        <f t="shared" si="18"/>
        <v>1.09581594</v>
      </c>
      <c r="AF71" s="266">
        <f t="shared" si="18"/>
        <v>0.7674216508</v>
      </c>
      <c r="AG71" s="266">
        <f t="shared" si="18"/>
        <v>5.878245072</v>
      </c>
      <c r="AH71" s="266">
        <f t="shared" si="18"/>
        <v>2.863451391</v>
      </c>
      <c r="AI71" s="266">
        <f t="shared" si="18"/>
        <v>5.589109064</v>
      </c>
      <c r="AJ71" s="266">
        <f t="shared" si="18"/>
        <v>0.7208029419</v>
      </c>
      <c r="AK71" s="266">
        <f t="shared" si="18"/>
        <v>6.275197283</v>
      </c>
      <c r="AL71" s="266">
        <f t="shared" si="18"/>
        <v>13.66511202</v>
      </c>
      <c r="AM71" s="266">
        <f t="shared" si="18"/>
        <v>16.24161368</v>
      </c>
      <c r="AN71" s="266">
        <f t="shared" si="18"/>
        <v>9.345538601</v>
      </c>
      <c r="AO71" s="266">
        <f t="shared" si="18"/>
        <v>5.97691674</v>
      </c>
      <c r="AP71" s="266">
        <f t="shared" si="18"/>
        <v>4.038840041</v>
      </c>
      <c r="AQ71" s="266">
        <f t="shared" si="18"/>
        <v>0.9967477159</v>
      </c>
      <c r="AR71" s="266">
        <f t="shared" si="18"/>
        <v>3.360344772</v>
      </c>
      <c r="AS71" s="266">
        <f t="shared" si="18"/>
        <v>4.46226719</v>
      </c>
      <c r="AT71" s="266">
        <f t="shared" si="18"/>
        <v>1.383391708</v>
      </c>
      <c r="AU71" s="266">
        <f t="shared" si="18"/>
        <v>9.338109976</v>
      </c>
      <c r="AV71" s="266">
        <f t="shared" si="18"/>
        <v>18.6676727</v>
      </c>
      <c r="AW71" s="259"/>
    </row>
    <row r="72">
      <c r="A72" s="122"/>
      <c r="B72" s="123"/>
      <c r="C72" s="131"/>
      <c r="D72" s="131"/>
      <c r="E72" s="192" t="s">
        <v>201</v>
      </c>
      <c r="F72" s="193" t="str">
        <f>Inputs!F$245</f>
        <v>%</v>
      </c>
      <c r="G72" s="235" t="str">
        <f>Inputs!G$245</f>
        <v>input</v>
      </c>
      <c r="H72" s="268">
        <f>Inputs!H$245</f>
        <v>0.005</v>
      </c>
      <c r="I72" s="210" t="str">
        <f>Inputs!I$245</f>
        <v>-</v>
      </c>
      <c r="J72" s="210" t="str">
        <f>Inputs!J$245</f>
        <v>-</v>
      </c>
      <c r="K72" s="210" t="str">
        <f>Inputs!K$245</f>
        <v>-</v>
      </c>
      <c r="L72" s="210" t="str">
        <f>Inputs!L$245</f>
        <v>-</v>
      </c>
      <c r="M72" s="210" t="str">
        <f>Inputs!M$245</f>
        <v>-</v>
      </c>
      <c r="N72" s="210" t="str">
        <f>Inputs!N$245</f>
        <v>-</v>
      </c>
      <c r="O72" s="210" t="str">
        <f>Inputs!O$245</f>
        <v>-</v>
      </c>
      <c r="P72" s="210" t="str">
        <f>Inputs!P$245</f>
        <v>-</v>
      </c>
      <c r="Q72" s="211" t="str">
        <f>Inputs!Q$245</f>
        <v>-</v>
      </c>
      <c r="R72" s="210" t="str">
        <f>Inputs!R$245</f>
        <v>-</v>
      </c>
      <c r="S72" s="210" t="str">
        <f>Inputs!S$245</f>
        <v>-</v>
      </c>
      <c r="T72" s="210" t="str">
        <f>Inputs!T$245</f>
        <v>-</v>
      </c>
      <c r="U72" s="210" t="str">
        <f>Inputs!U$245</f>
        <v>-</v>
      </c>
      <c r="V72" s="210" t="str">
        <f>Inputs!V$245</f>
        <v>-</v>
      </c>
      <c r="W72" s="210" t="str">
        <f>Inputs!W$245</f>
        <v>-</v>
      </c>
      <c r="X72" s="210" t="str">
        <f>Inputs!X$245</f>
        <v>-</v>
      </c>
      <c r="Y72" s="210" t="str">
        <f>Inputs!Y$245</f>
        <v>-</v>
      </c>
      <c r="Z72" s="210" t="str">
        <f>Inputs!Z$245</f>
        <v>-</v>
      </c>
      <c r="AA72" s="210" t="str">
        <f>Inputs!AA$245</f>
        <v>-</v>
      </c>
      <c r="AB72" s="210" t="str">
        <f>Inputs!AB$245</f>
        <v>-</v>
      </c>
      <c r="AC72" s="210" t="str">
        <f>Inputs!AC$245</f>
        <v>-</v>
      </c>
      <c r="AD72" s="210" t="str">
        <f>Inputs!AD$245</f>
        <v>-</v>
      </c>
      <c r="AE72" s="210" t="str">
        <f>Inputs!AE$245</f>
        <v>-</v>
      </c>
      <c r="AF72" s="210" t="str">
        <f>Inputs!AF$245</f>
        <v>-</v>
      </c>
      <c r="AG72" s="210" t="str">
        <f>Inputs!AG$245</f>
        <v>-</v>
      </c>
      <c r="AH72" s="210" t="str">
        <f>Inputs!AH$245</f>
        <v>-</v>
      </c>
      <c r="AI72" s="210" t="str">
        <f>Inputs!AI$245</f>
        <v>-</v>
      </c>
      <c r="AJ72" s="210" t="str">
        <f>Inputs!AJ$245</f>
        <v>-</v>
      </c>
      <c r="AK72" s="210" t="str">
        <f>Inputs!AK$245</f>
        <v>-</v>
      </c>
      <c r="AL72" s="210" t="str">
        <f>Inputs!AL$245</f>
        <v>-</v>
      </c>
      <c r="AM72" s="210" t="str">
        <f>Inputs!AM$245</f>
        <v>-</v>
      </c>
      <c r="AN72" s="210" t="str">
        <f>Inputs!AN$245</f>
        <v>-</v>
      </c>
      <c r="AO72" s="210" t="str">
        <f>Inputs!AO$245</f>
        <v>-</v>
      </c>
      <c r="AP72" s="210" t="str">
        <f>Inputs!AP$245</f>
        <v>-</v>
      </c>
      <c r="AQ72" s="210" t="str">
        <f>Inputs!AQ$245</f>
        <v>-</v>
      </c>
      <c r="AR72" s="210" t="str">
        <f>Inputs!AR$245</f>
        <v>-</v>
      </c>
      <c r="AS72" s="210" t="str">
        <f>Inputs!AS$245</f>
        <v>-</v>
      </c>
      <c r="AT72" s="210" t="str">
        <f>Inputs!AT$245</f>
        <v>-</v>
      </c>
      <c r="AU72" s="210" t="str">
        <f>Inputs!AU$245</f>
        <v>-</v>
      </c>
      <c r="AV72" s="210" t="str">
        <f>Inputs!AV$245</f>
        <v>-</v>
      </c>
      <c r="AW72" s="271"/>
    </row>
    <row r="73">
      <c r="A73" s="122"/>
      <c r="B73" s="123"/>
      <c r="C73" s="131"/>
      <c r="D73" s="131"/>
      <c r="E73" s="140" t="s">
        <v>211</v>
      </c>
      <c r="F73" s="141" t="str">
        <f>Inputs!F247</f>
        <v>#</v>
      </c>
      <c r="G73" s="144" t="str">
        <f>Inputs!G247</f>
        <v>input</v>
      </c>
      <c r="H73" s="270">
        <f>Inputs!H247</f>
        <v>32.5</v>
      </c>
      <c r="I73" s="189" t="str">
        <f>Inputs!I247</f>
        <v>-</v>
      </c>
      <c r="J73" s="189" t="str">
        <f>Inputs!J247</f>
        <v>-</v>
      </c>
      <c r="K73" s="189" t="str">
        <f>Inputs!K247</f>
        <v>-</v>
      </c>
      <c r="L73" s="189" t="str">
        <f>Inputs!L247</f>
        <v>-</v>
      </c>
      <c r="M73" s="189" t="str">
        <f>Inputs!M247</f>
        <v>-</v>
      </c>
      <c r="N73" s="189" t="str">
        <f>Inputs!N247</f>
        <v>-</v>
      </c>
      <c r="O73" s="189" t="str">
        <f>Inputs!O247</f>
        <v>-</v>
      </c>
      <c r="P73" s="189" t="str">
        <f>Inputs!P247</f>
        <v>-</v>
      </c>
      <c r="Q73" s="190" t="str">
        <f>Inputs!Q247</f>
        <v>-</v>
      </c>
      <c r="R73" s="189" t="str">
        <f>Inputs!R247</f>
        <v>-</v>
      </c>
      <c r="S73" s="189" t="str">
        <f>Inputs!S247</f>
        <v>-</v>
      </c>
      <c r="T73" s="189" t="str">
        <f>Inputs!T247</f>
        <v>-</v>
      </c>
      <c r="U73" s="189" t="str">
        <f>Inputs!U247</f>
        <v>-</v>
      </c>
      <c r="V73" s="189" t="str">
        <f>Inputs!V247</f>
        <v>-</v>
      </c>
      <c r="W73" s="189" t="str">
        <f>Inputs!W247</f>
        <v>-</v>
      </c>
      <c r="X73" s="189" t="str">
        <f>Inputs!X247</f>
        <v>-</v>
      </c>
      <c r="Y73" s="189" t="str">
        <f>Inputs!Y247</f>
        <v>-</v>
      </c>
      <c r="Z73" s="189" t="str">
        <f>Inputs!Z247</f>
        <v>-</v>
      </c>
      <c r="AA73" s="189" t="str">
        <f>Inputs!AA247</f>
        <v>-</v>
      </c>
      <c r="AB73" s="189" t="str">
        <f>Inputs!AB247</f>
        <v>-</v>
      </c>
      <c r="AC73" s="189" t="str">
        <f>Inputs!AC247</f>
        <v>-</v>
      </c>
      <c r="AD73" s="189" t="str">
        <f>Inputs!AD247</f>
        <v>-</v>
      </c>
      <c r="AE73" s="189" t="str">
        <f>Inputs!AE247</f>
        <v>-</v>
      </c>
      <c r="AF73" s="189" t="str">
        <f>Inputs!AF247</f>
        <v>-</v>
      </c>
      <c r="AG73" s="189" t="str">
        <f>Inputs!AG247</f>
        <v>-</v>
      </c>
      <c r="AH73" s="189" t="str">
        <f>Inputs!AH247</f>
        <v>-</v>
      </c>
      <c r="AI73" s="189" t="str">
        <f>Inputs!AI247</f>
        <v>-</v>
      </c>
      <c r="AJ73" s="189" t="str">
        <f>Inputs!AJ247</f>
        <v>-</v>
      </c>
      <c r="AK73" s="189" t="str">
        <f>Inputs!AK247</f>
        <v>-</v>
      </c>
      <c r="AL73" s="189" t="str">
        <f>Inputs!AL247</f>
        <v>-</v>
      </c>
      <c r="AM73" s="189" t="str">
        <f>Inputs!AM247</f>
        <v>-</v>
      </c>
      <c r="AN73" s="189" t="str">
        <f>Inputs!AN247</f>
        <v>-</v>
      </c>
      <c r="AO73" s="189" t="str">
        <f>Inputs!AO247</f>
        <v>-</v>
      </c>
      <c r="AP73" s="189" t="str">
        <f>Inputs!AP247</f>
        <v>-</v>
      </c>
      <c r="AQ73" s="189" t="str">
        <f>Inputs!AQ247</f>
        <v>-</v>
      </c>
      <c r="AR73" s="189" t="str">
        <f>Inputs!AR247</f>
        <v>-</v>
      </c>
      <c r="AS73" s="189" t="str">
        <f>Inputs!AS247</f>
        <v>-</v>
      </c>
      <c r="AT73" s="189" t="str">
        <f>Inputs!AT247</f>
        <v>-</v>
      </c>
      <c r="AU73" s="189" t="str">
        <f>Inputs!AU247</f>
        <v>-</v>
      </c>
      <c r="AV73" s="189" t="str">
        <f>Inputs!AV247</f>
        <v>-</v>
      </c>
      <c r="AW73" s="271"/>
    </row>
    <row r="74">
      <c r="A74" s="122"/>
      <c r="B74" s="123"/>
      <c r="C74" s="131"/>
      <c r="D74" s="131"/>
      <c r="E74" s="272" t="s">
        <v>212</v>
      </c>
      <c r="F74" s="200" t="s">
        <v>62</v>
      </c>
      <c r="G74" s="273" t="s">
        <v>161</v>
      </c>
      <c r="H74" s="228" t="s">
        <v>162</v>
      </c>
      <c r="I74" s="229">
        <f t="shared" ref="I74:AV74" si="19">I71*((1/(1+$H72))^$H73)</f>
        <v>20.32080319</v>
      </c>
      <c r="J74" s="229">
        <f t="shared" si="19"/>
        <v>8.165362582</v>
      </c>
      <c r="K74" s="229">
        <f t="shared" si="19"/>
        <v>17.37987529</v>
      </c>
      <c r="L74" s="229">
        <f t="shared" si="19"/>
        <v>8.082350109</v>
      </c>
      <c r="M74" s="229">
        <f t="shared" si="19"/>
        <v>10.5906912</v>
      </c>
      <c r="N74" s="229">
        <f t="shared" si="19"/>
        <v>19.28875838</v>
      </c>
      <c r="O74" s="229">
        <f t="shared" si="19"/>
        <v>30.93995989</v>
      </c>
      <c r="P74" s="229">
        <f t="shared" si="19"/>
        <v>46.69574775</v>
      </c>
      <c r="Q74" s="230">
        <f t="shared" si="19"/>
        <v>26.85867195</v>
      </c>
      <c r="R74" s="229">
        <f t="shared" si="19"/>
        <v>1.254472749</v>
      </c>
      <c r="S74" s="229">
        <f t="shared" si="19"/>
        <v>3.37649187</v>
      </c>
      <c r="T74" s="229">
        <f t="shared" si="19"/>
        <v>1.734266782</v>
      </c>
      <c r="U74" s="229">
        <f t="shared" si="19"/>
        <v>2.066813327</v>
      </c>
      <c r="V74" s="229">
        <f t="shared" si="19"/>
        <v>3.228365327</v>
      </c>
      <c r="W74" s="229">
        <f t="shared" si="19"/>
        <v>4.223449223</v>
      </c>
      <c r="X74" s="229">
        <f t="shared" si="19"/>
        <v>8.884295544</v>
      </c>
      <c r="Y74" s="229">
        <f t="shared" si="19"/>
        <v>1.369816738</v>
      </c>
      <c r="Z74" s="229">
        <f t="shared" si="19"/>
        <v>2.484182236</v>
      </c>
      <c r="AA74" s="229">
        <f t="shared" si="19"/>
        <v>0.177634075</v>
      </c>
      <c r="AB74" s="229">
        <f t="shared" si="19"/>
        <v>1.122179994</v>
      </c>
      <c r="AC74" s="229">
        <f t="shared" si="19"/>
        <v>0.5736967439</v>
      </c>
      <c r="AD74" s="229">
        <f t="shared" si="19"/>
        <v>0.369678275</v>
      </c>
      <c r="AE74" s="229">
        <f t="shared" si="19"/>
        <v>0.9318384067</v>
      </c>
      <c r="AF74" s="229">
        <f t="shared" si="19"/>
        <v>0.6525849299</v>
      </c>
      <c r="AG74" s="229">
        <f t="shared" si="19"/>
        <v>4.998626432</v>
      </c>
      <c r="AH74" s="229">
        <f t="shared" si="19"/>
        <v>2.434965476</v>
      </c>
      <c r="AI74" s="229">
        <f t="shared" si="19"/>
        <v>4.752756641</v>
      </c>
      <c r="AJ74" s="229">
        <f t="shared" si="19"/>
        <v>0.6129422291</v>
      </c>
      <c r="AK74" s="229">
        <f t="shared" si="19"/>
        <v>5.336178846</v>
      </c>
      <c r="AL74" s="229">
        <f t="shared" si="19"/>
        <v>11.6202692</v>
      </c>
      <c r="AM74" s="229">
        <f t="shared" si="19"/>
        <v>13.81122401</v>
      </c>
      <c r="AN74" s="229">
        <f t="shared" si="19"/>
        <v>7.947075309</v>
      </c>
      <c r="AO74" s="229">
        <f t="shared" si="19"/>
        <v>5.082532904</v>
      </c>
      <c r="AP74" s="229">
        <f t="shared" si="19"/>
        <v>3.434469359</v>
      </c>
      <c r="AQ74" s="229">
        <f t="shared" si="19"/>
        <v>0.8475947188</v>
      </c>
      <c r="AR74" s="229">
        <f t="shared" si="19"/>
        <v>2.857503896</v>
      </c>
      <c r="AS74" s="229">
        <f t="shared" si="19"/>
        <v>3.79453501</v>
      </c>
      <c r="AT74" s="229">
        <f t="shared" si="19"/>
        <v>1.176381432</v>
      </c>
      <c r="AU74" s="229">
        <f t="shared" si="19"/>
        <v>7.940758301</v>
      </c>
      <c r="AV74" s="229">
        <f t="shared" si="19"/>
        <v>15.87424836</v>
      </c>
      <c r="AW74" s="274"/>
    </row>
    <row r="75">
      <c r="A75" s="122"/>
      <c r="B75" s="123"/>
      <c r="C75" s="286"/>
      <c r="D75" s="123"/>
      <c r="E75" s="140"/>
      <c r="F75" s="141"/>
      <c r="G75" s="141"/>
      <c r="H75" s="287"/>
      <c r="I75" s="226"/>
      <c r="J75" s="226"/>
      <c r="K75" s="226"/>
      <c r="L75" s="226"/>
      <c r="M75" s="226"/>
      <c r="N75" s="226"/>
      <c r="O75" s="226"/>
      <c r="P75" s="226"/>
      <c r="Q75" s="288"/>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191"/>
    </row>
    <row r="76">
      <c r="A76" s="122"/>
      <c r="B76" s="123"/>
      <c r="C76" s="187" t="s">
        <v>213</v>
      </c>
      <c r="F76" s="141"/>
      <c r="G76" s="144"/>
      <c r="H76" s="253"/>
      <c r="I76" s="128"/>
      <c r="J76" s="128"/>
      <c r="K76" s="128"/>
      <c r="L76" s="128"/>
      <c r="M76" s="128"/>
      <c r="N76" s="128"/>
      <c r="O76" s="128"/>
      <c r="P76" s="128"/>
      <c r="Q76" s="129"/>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30"/>
    </row>
    <row r="77">
      <c r="A77" s="122"/>
      <c r="B77" s="123"/>
      <c r="C77" s="131"/>
      <c r="D77" s="131"/>
      <c r="E77" s="254" t="s">
        <v>214</v>
      </c>
      <c r="F77" s="193" t="str">
        <f>'Disease burden'!F318</f>
        <v>%</v>
      </c>
      <c r="G77" s="235" t="s">
        <v>173</v>
      </c>
      <c r="H77" s="255" t="str">
        <f>'Disease burden'!H318</f>
        <v>-</v>
      </c>
      <c r="I77" s="237">
        <f>'Disease burden'!I318</f>
        <v>0.03045312196</v>
      </c>
      <c r="J77" s="237">
        <f>'Disease burden'!J318</f>
        <v>0.02107026648</v>
      </c>
      <c r="K77" s="237">
        <f>'Disease burden'!K318</f>
        <v>0.02997136931</v>
      </c>
      <c r="L77" s="237">
        <f>'Disease burden'!L318</f>
        <v>0.01185791164</v>
      </c>
      <c r="M77" s="237">
        <f>'Disease burden'!M318</f>
        <v>0.01592861064</v>
      </c>
      <c r="N77" s="237">
        <f>'Disease burden'!N318</f>
        <v>0.02588760671</v>
      </c>
      <c r="O77" s="237">
        <f>'Disease burden'!O318</f>
        <v>0.03208328512</v>
      </c>
      <c r="P77" s="237">
        <f>'Disease burden'!P318</f>
        <v>0.03296218009</v>
      </c>
      <c r="Q77" s="238">
        <f>'Disease burden'!Q318</f>
        <v>0.03880502703</v>
      </c>
      <c r="R77" s="237">
        <f>'Disease burden'!R318</f>
        <v>0.008954992016</v>
      </c>
      <c r="S77" s="237">
        <f>'Disease burden'!S318</f>
        <v>0.01665938975</v>
      </c>
      <c r="T77" s="237">
        <f>'Disease burden'!T318</f>
        <v>0.009642107813</v>
      </c>
      <c r="U77" s="237">
        <f>'Disease burden'!U318</f>
        <v>0.00879336749</v>
      </c>
      <c r="V77" s="237">
        <f>'Disease burden'!V318</f>
        <v>0.01181043161</v>
      </c>
      <c r="W77" s="237">
        <f>'Disease burden'!W318</f>
        <v>0.01550981105</v>
      </c>
      <c r="X77" s="237">
        <f>'Disease burden'!X318</f>
        <v>0.01577844562</v>
      </c>
      <c r="Y77" s="237">
        <f>'Disease burden'!Y318</f>
        <v>0.01354162916</v>
      </c>
      <c r="Z77" s="237">
        <f>'Disease burden'!Z318</f>
        <v>0.008695348275</v>
      </c>
      <c r="AA77" s="237">
        <f>'Disease burden'!AA318</f>
        <v>0.01291885202</v>
      </c>
      <c r="AB77" s="237">
        <f>'Disease burden'!AB318</f>
        <v>0.007875733113</v>
      </c>
      <c r="AC77" s="237">
        <f>'Disease burden'!AC318</f>
        <v>0.0088062409</v>
      </c>
      <c r="AD77" s="237">
        <f>'Disease burden'!AD318</f>
        <v>0.009933059561</v>
      </c>
      <c r="AE77" s="237">
        <f>'Disease burden'!AE318</f>
        <v>0.006680492461</v>
      </c>
      <c r="AF77" s="237">
        <f>'Disease burden'!AF318</f>
        <v>0.008123967121</v>
      </c>
      <c r="AG77" s="237">
        <f>'Disease burden'!AG318</f>
        <v>0.01185791164</v>
      </c>
      <c r="AH77" s="237">
        <f>'Disease burden'!AH318</f>
        <v>0.01130124414</v>
      </c>
      <c r="AI77" s="237">
        <f>'Disease burden'!AI318</f>
        <v>0.0101537196</v>
      </c>
      <c r="AJ77" s="237">
        <f>'Disease burden'!AJ318</f>
        <v>0.005532758249</v>
      </c>
      <c r="AK77" s="237">
        <f>'Disease burden'!AK318</f>
        <v>0.01080023293</v>
      </c>
      <c r="AL77" s="237">
        <f>'Disease burden'!AL318</f>
        <v>0.0170648067</v>
      </c>
      <c r="AM77" s="237">
        <f>'Disease burden'!AM318</f>
        <v>0.0170648067</v>
      </c>
      <c r="AN77" s="237">
        <f>'Disease burden'!AN318</f>
        <v>0.0170648067</v>
      </c>
      <c r="AO77" s="237">
        <f>'Disease burden'!AO318</f>
        <v>0.01100330173</v>
      </c>
      <c r="AP77" s="237">
        <f>'Disease burden'!AP318</f>
        <v>0.01046826747</v>
      </c>
      <c r="AQ77" s="237">
        <f>'Disease burden'!AQ318</f>
        <v>0.008253537673</v>
      </c>
      <c r="AR77" s="237">
        <f>'Disease burden'!AR318</f>
        <v>0.007293591133</v>
      </c>
      <c r="AS77" s="237">
        <f>'Disease burden'!AS318</f>
        <v>0.01102708474</v>
      </c>
      <c r="AT77" s="237">
        <f>'Disease burden'!AT318</f>
        <v>0.00856662091</v>
      </c>
      <c r="AU77" s="237">
        <f>'Disease burden'!AU318</f>
        <v>0.01476967085</v>
      </c>
      <c r="AV77" s="237">
        <f>'Disease burden'!AV318</f>
        <v>0.02694321641</v>
      </c>
      <c r="AW77" s="256"/>
    </row>
    <row r="78">
      <c r="A78" s="122"/>
      <c r="B78" s="123"/>
      <c r="C78" s="131"/>
      <c r="D78" s="131"/>
      <c r="E78" s="257" t="s">
        <v>215</v>
      </c>
      <c r="F78" s="213" t="str">
        <f>'Aggregation across vaccines'!F169</f>
        <v>%</v>
      </c>
      <c r="G78" s="239" t="s">
        <v>173</v>
      </c>
      <c r="H78" s="258" t="str">
        <f>'Aggregation across vaccines'!H169</f>
        <v>-</v>
      </c>
      <c r="I78" s="241">
        <f>'Aggregation across vaccines'!I169</f>
        <v>0.03077732535</v>
      </c>
      <c r="J78" s="241">
        <f>'Aggregation across vaccines'!J169</f>
        <v>0.0370015064</v>
      </c>
      <c r="K78" s="241">
        <f>'Aggregation across vaccines'!K169</f>
        <v>0.04594883691</v>
      </c>
      <c r="L78" s="241">
        <f>'Aggregation across vaccines'!L169</f>
        <v>0.05635984666</v>
      </c>
      <c r="M78" s="241">
        <f>'Aggregation across vaccines'!M169</f>
        <v>0.04088924151</v>
      </c>
      <c r="N78" s="241">
        <f>'Aggregation across vaccines'!N169</f>
        <v>0.03772638276</v>
      </c>
      <c r="O78" s="241">
        <f>'Aggregation across vaccines'!O169</f>
        <v>0.04293308409</v>
      </c>
      <c r="P78" s="241">
        <f>'Aggregation across vaccines'!P169</f>
        <v>0.01995272895</v>
      </c>
      <c r="Q78" s="242">
        <f>'Aggregation across vaccines'!Q169</f>
        <v>0.03289826689</v>
      </c>
      <c r="R78" s="241">
        <f>'Aggregation across vaccines'!R169</f>
        <v>0.07140064738</v>
      </c>
      <c r="S78" s="241">
        <f>'Aggregation across vaccines'!S169</f>
        <v>0.05462833046</v>
      </c>
      <c r="T78" s="241">
        <f>'Aggregation across vaccines'!T169</f>
        <v>0.06698531084</v>
      </c>
      <c r="U78" s="241">
        <f>'Aggregation across vaccines'!U169</f>
        <v>0.06735906622</v>
      </c>
      <c r="V78" s="241">
        <f>'Aggregation across vaccines'!V169</f>
        <v>0.05512203534</v>
      </c>
      <c r="W78" s="241">
        <f>'Aggregation across vaccines'!W169</f>
        <v>0.05442065788</v>
      </c>
      <c r="X78" s="241">
        <f>'Aggregation across vaccines'!X169</f>
        <v>0.03761490214</v>
      </c>
      <c r="Y78" s="241">
        <f>'Aggregation across vaccines'!Y169</f>
        <v>0.07260820592</v>
      </c>
      <c r="Z78" s="241">
        <f>'Aggregation across vaccines'!Z169</f>
        <v>0.06423460155</v>
      </c>
      <c r="AA78" s="241">
        <f>'Aggregation across vaccines'!AA169</f>
        <v>0.07487954373</v>
      </c>
      <c r="AB78" s="241">
        <f>'Aggregation across vaccines'!AB169</f>
        <v>0.07324247543</v>
      </c>
      <c r="AC78" s="241">
        <f>'Aggregation across vaccines'!AC169</f>
        <v>0.07660036338</v>
      </c>
      <c r="AD78" s="241">
        <f>'Aggregation across vaccines'!AD169</f>
        <v>0.07762103838</v>
      </c>
      <c r="AE78" s="241">
        <f>'Aggregation across vaccines'!AE169</f>
        <v>0.07606460305</v>
      </c>
      <c r="AF78" s="241">
        <f>'Aggregation across vaccines'!AF169</f>
        <v>0.07787584654</v>
      </c>
      <c r="AG78" s="241">
        <f>'Aggregation across vaccines'!AG169</f>
        <v>0.05635984666</v>
      </c>
      <c r="AH78" s="241">
        <f>'Aggregation across vaccines'!AH169</f>
        <v>0.06394578421</v>
      </c>
      <c r="AI78" s="241">
        <f>'Aggregation across vaccines'!AI169</f>
        <v>0.05186504472</v>
      </c>
      <c r="AJ78" s="241">
        <f>'Aggregation across vaccines'!AJ169</f>
        <v>0.07855489969</v>
      </c>
      <c r="AK78" s="241">
        <f>'Aggregation across vaccines'!AK169</f>
        <v>0.05420805652</v>
      </c>
      <c r="AL78" s="241">
        <f>'Aggregation across vaccines'!AL169</f>
        <v>0.04231672445</v>
      </c>
      <c r="AM78" s="241">
        <f>'Aggregation across vaccines'!AM169</f>
        <v>0.04231672445</v>
      </c>
      <c r="AN78" s="241">
        <f>'Aggregation across vaccines'!AN169</f>
        <v>0.04231672445</v>
      </c>
      <c r="AO78" s="241">
        <f>'Aggregation across vaccines'!AO169</f>
        <v>0.05228710385</v>
      </c>
      <c r="AP78" s="241">
        <f>'Aggregation across vaccines'!AP169</f>
        <v>0.0555600858</v>
      </c>
      <c r="AQ78" s="241">
        <f>'Aggregation across vaccines'!AQ169</f>
        <v>0.0724011807</v>
      </c>
      <c r="AR78" s="241">
        <f>'Aggregation across vaccines'!AR169</f>
        <v>0.05498916218</v>
      </c>
      <c r="AS78" s="241">
        <f>'Aggregation across vaccines'!AS169</f>
        <v>0.05806261015</v>
      </c>
      <c r="AT78" s="241">
        <f>'Aggregation across vaccines'!AT169</f>
        <v>0.07269240961</v>
      </c>
      <c r="AU78" s="241">
        <f>'Aggregation across vaccines'!AU169</f>
        <v>0.04649093507</v>
      </c>
      <c r="AV78" s="241">
        <f>'Aggregation across vaccines'!AV169</f>
        <v>0.0507948186</v>
      </c>
      <c r="AW78" s="259"/>
    </row>
    <row r="79">
      <c r="A79" s="122"/>
      <c r="B79" s="123"/>
      <c r="C79" s="131"/>
      <c r="D79" s="131"/>
      <c r="E79" s="257" t="s">
        <v>216</v>
      </c>
      <c r="F79" s="213" t="str">
        <f>'Aggregation across vaccines'!F157</f>
        <v>%</v>
      </c>
      <c r="G79" s="239" t="s">
        <v>173</v>
      </c>
      <c r="H79" s="215" t="str">
        <f>'Aggregation across vaccines'!H157</f>
        <v>-</v>
      </c>
      <c r="I79" s="241">
        <f>'Aggregation across vaccines'!I157</f>
        <v>0.08492118175</v>
      </c>
      <c r="J79" s="241">
        <f>'Aggregation across vaccines'!J157</f>
        <v>0.09081765035</v>
      </c>
      <c r="K79" s="241">
        <f>'Aggregation across vaccines'!K157</f>
        <v>0.08175287359</v>
      </c>
      <c r="L79" s="241">
        <f>'Aggregation across vaccines'!L157</f>
        <v>0.09051923743</v>
      </c>
      <c r="M79" s="241">
        <f>'Aggregation across vaccines'!M157</f>
        <v>0.08790061796</v>
      </c>
      <c r="N79" s="241">
        <f>'Aggregation across vaccines'!N157</f>
        <v>0.08386920842</v>
      </c>
      <c r="O79" s="241">
        <f>'Aggregation across vaccines'!O157</f>
        <v>0.08449653498</v>
      </c>
      <c r="P79" s="241">
        <f>'Aggregation across vaccines'!P157</f>
        <v>0.08329012483</v>
      </c>
      <c r="Q79" s="242">
        <f>'Aggregation across vaccines'!Q157</f>
        <v>0.08357958628</v>
      </c>
      <c r="R79" s="241">
        <f>'Aggregation across vaccines'!R157</f>
        <v>0.09242131797</v>
      </c>
      <c r="S79" s="241">
        <f>'Aggregation across vaccines'!S157</f>
        <v>0.09237874831</v>
      </c>
      <c r="T79" s="241">
        <f>'Aggregation across vaccines'!T157</f>
        <v>0.09392061587</v>
      </c>
      <c r="U79" s="241">
        <f>'Aggregation across vaccines'!U157</f>
        <v>0.09257746766</v>
      </c>
      <c r="V79" s="241">
        <f>'Aggregation across vaccines'!V157</f>
        <v>0.0965886564</v>
      </c>
      <c r="W79" s="241">
        <f>'Aggregation across vaccines'!W157</f>
        <v>0.09285318174</v>
      </c>
      <c r="X79" s="241">
        <f>'Aggregation across vaccines'!X157</f>
        <v>0.09131817458</v>
      </c>
      <c r="Y79" s="241">
        <f>'Aggregation across vaccines'!Y157</f>
        <v>0.1021922465</v>
      </c>
      <c r="Z79" s="241">
        <f>'Aggregation across vaccines'!Z157</f>
        <v>0.09334235933</v>
      </c>
      <c r="AA79" s="241">
        <f>'Aggregation across vaccines'!AA157</f>
        <v>0.09256905051</v>
      </c>
      <c r="AB79" s="241">
        <f>'Aggregation across vaccines'!AB157</f>
        <v>0.09308607297</v>
      </c>
      <c r="AC79" s="241">
        <f>'Aggregation across vaccines'!AC157</f>
        <v>0.0934624417</v>
      </c>
      <c r="AD79" s="241">
        <f>'Aggregation across vaccines'!AD157</f>
        <v>0.09308617245</v>
      </c>
      <c r="AE79" s="241">
        <f>'Aggregation across vaccines'!AE157</f>
        <v>0.09077881274</v>
      </c>
      <c r="AF79" s="241">
        <f>'Aggregation across vaccines'!AF157</f>
        <v>0.09188094763</v>
      </c>
      <c r="AG79" s="241">
        <f>'Aggregation across vaccines'!AG157</f>
        <v>0.09051923743</v>
      </c>
      <c r="AH79" s="241">
        <f>'Aggregation across vaccines'!AH157</f>
        <v>0.094342899</v>
      </c>
      <c r="AI79" s="241">
        <f>'Aggregation across vaccines'!AI157</f>
        <v>0.09309947958</v>
      </c>
      <c r="AJ79" s="241">
        <f>'Aggregation across vaccines'!AJ157</f>
        <v>0.09478651607</v>
      </c>
      <c r="AK79" s="241">
        <f>'Aggregation across vaccines'!AK157</f>
        <v>0.09131151831</v>
      </c>
      <c r="AL79" s="241">
        <f>'Aggregation across vaccines'!AL157</f>
        <v>0.09024755298</v>
      </c>
      <c r="AM79" s="241">
        <f>'Aggregation across vaccines'!AM157</f>
        <v>0.09024755298</v>
      </c>
      <c r="AN79" s="241">
        <f>'Aggregation across vaccines'!AN157</f>
        <v>0.09024755298</v>
      </c>
      <c r="AO79" s="241">
        <f>'Aggregation across vaccines'!AO157</f>
        <v>0.09134675357</v>
      </c>
      <c r="AP79" s="241">
        <f>'Aggregation across vaccines'!AP157</f>
        <v>0.09367248978</v>
      </c>
      <c r="AQ79" s="241">
        <f>'Aggregation across vaccines'!AQ157</f>
        <v>0.09243593063</v>
      </c>
      <c r="AR79" s="241">
        <f>'Aggregation across vaccines'!AR157</f>
        <v>0.09911142121</v>
      </c>
      <c r="AS79" s="241">
        <f>'Aggregation across vaccines'!AS157</f>
        <v>0.09225891845</v>
      </c>
      <c r="AT79" s="241">
        <f>'Aggregation across vaccines'!AT157</f>
        <v>0.09313314033</v>
      </c>
      <c r="AU79" s="241">
        <f>'Aggregation across vaccines'!AU157</f>
        <v>0.09132990729</v>
      </c>
      <c r="AV79" s="241">
        <f>'Aggregation across vaccines'!AV157</f>
        <v>0.08494774973</v>
      </c>
      <c r="AW79" s="259"/>
    </row>
    <row r="80">
      <c r="A80" s="122"/>
      <c r="B80" s="123"/>
      <c r="C80" s="131"/>
      <c r="D80" s="131"/>
      <c r="E80" s="254" t="s">
        <v>217</v>
      </c>
      <c r="F80" s="193" t="str">
        <f>'Disease burden'!F345</f>
        <v>%</v>
      </c>
      <c r="G80" s="235" t="s">
        <v>161</v>
      </c>
      <c r="H80" s="255" t="str">
        <f>'Disease burden'!H345</f>
        <v>-</v>
      </c>
      <c r="I80" s="244">
        <f t="shared" ref="I80:AV80" si="20">I77/((1-I78)+(I78*(1-I79)))</f>
        <v>0.03053292424</v>
      </c>
      <c r="J80" s="244">
        <f t="shared" si="20"/>
        <v>0.02114130952</v>
      </c>
      <c r="K80" s="244">
        <f t="shared" si="20"/>
        <v>0.03008437976</v>
      </c>
      <c r="L80" s="244">
        <f t="shared" si="20"/>
        <v>0.01191871677</v>
      </c>
      <c r="M80" s="244">
        <f t="shared" si="20"/>
        <v>0.0159860676</v>
      </c>
      <c r="N80" s="244">
        <f t="shared" si="20"/>
        <v>0.02596977721</v>
      </c>
      <c r="O80" s="244">
        <f t="shared" si="20"/>
        <v>0.03220009731</v>
      </c>
      <c r="P80" s="244">
        <f t="shared" si="20"/>
        <v>0.03301704998</v>
      </c>
      <c r="Q80" s="245">
        <f t="shared" si="20"/>
        <v>0.03891202044</v>
      </c>
      <c r="R80" s="244">
        <f t="shared" si="20"/>
        <v>0.009014478033</v>
      </c>
      <c r="S80" s="244">
        <f t="shared" si="20"/>
        <v>0.01674388772</v>
      </c>
      <c r="T80" s="244">
        <f t="shared" si="20"/>
        <v>0.009703153277</v>
      </c>
      <c r="U80" s="244">
        <f t="shared" si="20"/>
        <v>0.008848546421</v>
      </c>
      <c r="V80" s="244">
        <f t="shared" si="20"/>
        <v>0.01187364886</v>
      </c>
      <c r="W80" s="244">
        <f t="shared" si="20"/>
        <v>0.0155885822</v>
      </c>
      <c r="X80" s="244">
        <f t="shared" si="20"/>
        <v>0.01583283019</v>
      </c>
      <c r="Y80" s="244">
        <f t="shared" si="20"/>
        <v>0.01364285911</v>
      </c>
      <c r="Z80" s="244">
        <f t="shared" si="20"/>
        <v>0.008747798405</v>
      </c>
      <c r="AA80" s="244">
        <f t="shared" si="20"/>
        <v>0.01300902444</v>
      </c>
      <c r="AB80" s="244">
        <f t="shared" si="20"/>
        <v>0.007929797317</v>
      </c>
      <c r="AC80" s="244">
        <f t="shared" si="20"/>
        <v>0.00886974166</v>
      </c>
      <c r="AD80" s="244">
        <f t="shared" si="20"/>
        <v>0.01000535269</v>
      </c>
      <c r="AE80" s="244">
        <f t="shared" si="20"/>
        <v>0.006726942364</v>
      </c>
      <c r="AF80" s="244">
        <f t="shared" si="20"/>
        <v>0.008182515528</v>
      </c>
      <c r="AG80" s="244">
        <f t="shared" si="20"/>
        <v>0.01191871677</v>
      </c>
      <c r="AH80" s="244">
        <f t="shared" si="20"/>
        <v>0.01136983643</v>
      </c>
      <c r="AI80" s="244">
        <f t="shared" si="20"/>
        <v>0.01020298583</v>
      </c>
      <c r="AJ80" s="244">
        <f t="shared" si="20"/>
        <v>0.005574263913</v>
      </c>
      <c r="AK80" s="244">
        <f t="shared" si="20"/>
        <v>0.01085395806</v>
      </c>
      <c r="AL80" s="244">
        <f t="shared" si="20"/>
        <v>0.01713022671</v>
      </c>
      <c r="AM80" s="244">
        <f t="shared" si="20"/>
        <v>0.01713022671</v>
      </c>
      <c r="AN80" s="244">
        <f t="shared" si="20"/>
        <v>0.01713022671</v>
      </c>
      <c r="AO80" s="244">
        <f t="shared" si="20"/>
        <v>0.01105610855</v>
      </c>
      <c r="AP80" s="244">
        <f t="shared" si="20"/>
        <v>0.01052303409</v>
      </c>
      <c r="AQ80" s="244">
        <f t="shared" si="20"/>
        <v>0.00830914639</v>
      </c>
      <c r="AR80" s="244">
        <f t="shared" si="20"/>
        <v>0.007333559428</v>
      </c>
      <c r="AS80" s="244">
        <f t="shared" si="20"/>
        <v>0.01108647269</v>
      </c>
      <c r="AT80" s="244">
        <f t="shared" si="20"/>
        <v>0.008625012871</v>
      </c>
      <c r="AU80" s="244">
        <f t="shared" si="20"/>
        <v>0.01483265048</v>
      </c>
      <c r="AV80" s="244">
        <f t="shared" si="20"/>
        <v>0.02705997766</v>
      </c>
      <c r="AW80" s="256"/>
    </row>
    <row r="81">
      <c r="A81" s="122"/>
      <c r="B81" s="123"/>
      <c r="C81" s="131"/>
      <c r="D81" s="131"/>
      <c r="E81" s="257" t="s">
        <v>190</v>
      </c>
      <c r="F81" s="213" t="str">
        <f>Inputs!F241</f>
        <v>%</v>
      </c>
      <c r="G81" s="239" t="str">
        <f>Inputs!G241</f>
        <v>input</v>
      </c>
      <c r="H81" s="262">
        <f>Inputs!H241</f>
        <v>0.75</v>
      </c>
      <c r="I81" s="244" t="str">
        <f>Inputs!I241</f>
        <v>-</v>
      </c>
      <c r="J81" s="244" t="str">
        <f>Inputs!J241</f>
        <v>-</v>
      </c>
      <c r="K81" s="244" t="str">
        <f>Inputs!K241</f>
        <v>-</v>
      </c>
      <c r="L81" s="244" t="str">
        <f>Inputs!L241</f>
        <v>-</v>
      </c>
      <c r="M81" s="244" t="str">
        <f>Inputs!M241</f>
        <v>-</v>
      </c>
      <c r="N81" s="244" t="str">
        <f>Inputs!N241</f>
        <v>-</v>
      </c>
      <c r="O81" s="244" t="str">
        <f>Inputs!O241</f>
        <v>-</v>
      </c>
      <c r="P81" s="244" t="str">
        <f>Inputs!P241</f>
        <v>-</v>
      </c>
      <c r="Q81" s="245" t="str">
        <f>Inputs!Q241</f>
        <v>-</v>
      </c>
      <c r="R81" s="244" t="str">
        <f>Inputs!R241</f>
        <v>-</v>
      </c>
      <c r="S81" s="244" t="str">
        <f>Inputs!S241</f>
        <v>-</v>
      </c>
      <c r="T81" s="244" t="str">
        <f>Inputs!T241</f>
        <v>-</v>
      </c>
      <c r="U81" s="244" t="str">
        <f>Inputs!U241</f>
        <v>-</v>
      </c>
      <c r="V81" s="244" t="str">
        <f>Inputs!V241</f>
        <v>-</v>
      </c>
      <c r="W81" s="244" t="str">
        <f>Inputs!W241</f>
        <v>-</v>
      </c>
      <c r="X81" s="244" t="str">
        <f>Inputs!X241</f>
        <v>-</v>
      </c>
      <c r="Y81" s="244" t="str">
        <f>Inputs!Y241</f>
        <v>-</v>
      </c>
      <c r="Z81" s="244" t="str">
        <f>Inputs!Z241</f>
        <v>-</v>
      </c>
      <c r="AA81" s="244" t="str">
        <f>Inputs!AA241</f>
        <v>-</v>
      </c>
      <c r="AB81" s="244" t="str">
        <f>Inputs!AB241</f>
        <v>-</v>
      </c>
      <c r="AC81" s="244" t="str">
        <f>Inputs!AC241</f>
        <v>-</v>
      </c>
      <c r="AD81" s="244" t="str">
        <f>Inputs!AD241</f>
        <v>-</v>
      </c>
      <c r="AE81" s="244" t="str">
        <f>Inputs!AE241</f>
        <v>-</v>
      </c>
      <c r="AF81" s="244" t="str">
        <f>Inputs!AF241</f>
        <v>-</v>
      </c>
      <c r="AG81" s="244" t="str">
        <f>Inputs!AG241</f>
        <v>-</v>
      </c>
      <c r="AH81" s="244" t="str">
        <f>Inputs!AH241</f>
        <v>-</v>
      </c>
      <c r="AI81" s="244" t="str">
        <f>Inputs!AI241</f>
        <v>-</v>
      </c>
      <c r="AJ81" s="244" t="str">
        <f>Inputs!AJ241</f>
        <v>-</v>
      </c>
      <c r="AK81" s="244" t="str">
        <f>Inputs!AK241</f>
        <v>-</v>
      </c>
      <c r="AL81" s="244" t="str">
        <f>Inputs!AL241</f>
        <v>-</v>
      </c>
      <c r="AM81" s="244" t="str">
        <f>Inputs!AM241</f>
        <v>-</v>
      </c>
      <c r="AN81" s="244" t="str">
        <f>Inputs!AN241</f>
        <v>-</v>
      </c>
      <c r="AO81" s="244" t="str">
        <f>Inputs!AO241</f>
        <v>-</v>
      </c>
      <c r="AP81" s="244" t="str">
        <f>Inputs!AP241</f>
        <v>-</v>
      </c>
      <c r="AQ81" s="244" t="str">
        <f>Inputs!AQ241</f>
        <v>-</v>
      </c>
      <c r="AR81" s="244" t="str">
        <f>Inputs!AR241</f>
        <v>-</v>
      </c>
      <c r="AS81" s="244" t="str">
        <f>Inputs!AS241</f>
        <v>-</v>
      </c>
      <c r="AT81" s="244" t="str">
        <f>Inputs!AT241</f>
        <v>-</v>
      </c>
      <c r="AU81" s="244" t="str">
        <f>Inputs!AU241</f>
        <v>-</v>
      </c>
      <c r="AV81" s="244" t="str">
        <f>Inputs!AV241</f>
        <v>-</v>
      </c>
      <c r="AW81" s="259"/>
    </row>
    <row r="82">
      <c r="A82" s="122"/>
      <c r="B82" s="123"/>
      <c r="C82" s="131"/>
      <c r="D82" s="131"/>
      <c r="E82" s="257" t="s">
        <v>218</v>
      </c>
      <c r="F82" s="213" t="s">
        <v>72</v>
      </c>
      <c r="G82" s="239" t="s">
        <v>161</v>
      </c>
      <c r="H82" s="240" t="s">
        <v>162</v>
      </c>
      <c r="I82" s="284">
        <f t="shared" ref="I82:AV82" si="21">I80*(1+$H81)</f>
        <v>0.05343261742</v>
      </c>
      <c r="J82" s="284">
        <f t="shared" si="21"/>
        <v>0.03699729166</v>
      </c>
      <c r="K82" s="284">
        <f t="shared" si="21"/>
        <v>0.05264766459</v>
      </c>
      <c r="L82" s="284">
        <f t="shared" si="21"/>
        <v>0.02085775434</v>
      </c>
      <c r="M82" s="284">
        <f t="shared" si="21"/>
        <v>0.02797561829</v>
      </c>
      <c r="N82" s="284">
        <f t="shared" si="21"/>
        <v>0.04544711012</v>
      </c>
      <c r="O82" s="284">
        <f t="shared" si="21"/>
        <v>0.0563501703</v>
      </c>
      <c r="P82" s="284">
        <f t="shared" si="21"/>
        <v>0.05777983747</v>
      </c>
      <c r="Q82" s="285">
        <f t="shared" si="21"/>
        <v>0.06809603576</v>
      </c>
      <c r="R82" s="284">
        <f t="shared" si="21"/>
        <v>0.01577533656</v>
      </c>
      <c r="S82" s="284">
        <f t="shared" si="21"/>
        <v>0.02930180352</v>
      </c>
      <c r="T82" s="284">
        <f t="shared" si="21"/>
        <v>0.01698051823</v>
      </c>
      <c r="U82" s="284">
        <f t="shared" si="21"/>
        <v>0.01548495624</v>
      </c>
      <c r="V82" s="284">
        <f t="shared" si="21"/>
        <v>0.0207788855</v>
      </c>
      <c r="W82" s="284">
        <f t="shared" si="21"/>
        <v>0.02728001885</v>
      </c>
      <c r="X82" s="284">
        <f t="shared" si="21"/>
        <v>0.02770745283</v>
      </c>
      <c r="Y82" s="284">
        <f t="shared" si="21"/>
        <v>0.02387500345</v>
      </c>
      <c r="Z82" s="284">
        <f t="shared" si="21"/>
        <v>0.01530864721</v>
      </c>
      <c r="AA82" s="284">
        <f t="shared" si="21"/>
        <v>0.02276579276</v>
      </c>
      <c r="AB82" s="284">
        <f t="shared" si="21"/>
        <v>0.0138771453</v>
      </c>
      <c r="AC82" s="284">
        <f t="shared" si="21"/>
        <v>0.0155220479</v>
      </c>
      <c r="AD82" s="284">
        <f t="shared" si="21"/>
        <v>0.01750936721</v>
      </c>
      <c r="AE82" s="284">
        <f t="shared" si="21"/>
        <v>0.01177214914</v>
      </c>
      <c r="AF82" s="284">
        <f t="shared" si="21"/>
        <v>0.01431940217</v>
      </c>
      <c r="AG82" s="284">
        <f t="shared" si="21"/>
        <v>0.02085775434</v>
      </c>
      <c r="AH82" s="284">
        <f t="shared" si="21"/>
        <v>0.01989721376</v>
      </c>
      <c r="AI82" s="284">
        <f t="shared" si="21"/>
        <v>0.0178552252</v>
      </c>
      <c r="AJ82" s="284">
        <f t="shared" si="21"/>
        <v>0.009754961847</v>
      </c>
      <c r="AK82" s="284">
        <f t="shared" si="21"/>
        <v>0.01899442661</v>
      </c>
      <c r="AL82" s="284">
        <f t="shared" si="21"/>
        <v>0.02997789674</v>
      </c>
      <c r="AM82" s="284">
        <f t="shared" si="21"/>
        <v>0.02997789674</v>
      </c>
      <c r="AN82" s="284">
        <f t="shared" si="21"/>
        <v>0.02997789674</v>
      </c>
      <c r="AO82" s="284">
        <f t="shared" si="21"/>
        <v>0.01934818996</v>
      </c>
      <c r="AP82" s="284">
        <f t="shared" si="21"/>
        <v>0.01841530966</v>
      </c>
      <c r="AQ82" s="284">
        <f t="shared" si="21"/>
        <v>0.01454100618</v>
      </c>
      <c r="AR82" s="284">
        <f t="shared" si="21"/>
        <v>0.012833729</v>
      </c>
      <c r="AS82" s="284">
        <f t="shared" si="21"/>
        <v>0.01940132721</v>
      </c>
      <c r="AT82" s="284">
        <f t="shared" si="21"/>
        <v>0.01509377252</v>
      </c>
      <c r="AU82" s="284">
        <f t="shared" si="21"/>
        <v>0.02595713833</v>
      </c>
      <c r="AV82" s="284">
        <f t="shared" si="21"/>
        <v>0.0473549609</v>
      </c>
      <c r="AW82" s="259"/>
    </row>
    <row r="83">
      <c r="A83" s="122"/>
      <c r="B83" s="123"/>
      <c r="C83" s="131"/>
      <c r="D83" s="131"/>
      <c r="E83" s="257" t="s">
        <v>192</v>
      </c>
      <c r="F83" s="213" t="str">
        <f>Inputs!F242</f>
        <v>%</v>
      </c>
      <c r="G83" s="239" t="str">
        <f>Inputs!G242</f>
        <v>input</v>
      </c>
      <c r="H83" s="215">
        <f>Inputs!H242</f>
        <v>1</v>
      </c>
      <c r="I83" s="220" t="str">
        <f>Inputs!I242</f>
        <v>-</v>
      </c>
      <c r="J83" s="220" t="str">
        <f>Inputs!J242</f>
        <v>-</v>
      </c>
      <c r="K83" s="220" t="str">
        <f>Inputs!K242</f>
        <v>-</v>
      </c>
      <c r="L83" s="220" t="str">
        <f>Inputs!L242</f>
        <v>-</v>
      </c>
      <c r="M83" s="220" t="str">
        <f>Inputs!M242</f>
        <v>-</v>
      </c>
      <c r="N83" s="220" t="str">
        <f>Inputs!N242</f>
        <v>-</v>
      </c>
      <c r="O83" s="220" t="str">
        <f>Inputs!O242</f>
        <v>-</v>
      </c>
      <c r="P83" s="220" t="str">
        <f>Inputs!P242</f>
        <v>-</v>
      </c>
      <c r="Q83" s="265" t="str">
        <f>Inputs!Q242</f>
        <v>-</v>
      </c>
      <c r="R83" s="220" t="str">
        <f>Inputs!R242</f>
        <v>-</v>
      </c>
      <c r="S83" s="220" t="str">
        <f>Inputs!S242</f>
        <v>-</v>
      </c>
      <c r="T83" s="220" t="str">
        <f>Inputs!T242</f>
        <v>-</v>
      </c>
      <c r="U83" s="220" t="str">
        <f>Inputs!U242</f>
        <v>-</v>
      </c>
      <c r="V83" s="220" t="str">
        <f>Inputs!V242</f>
        <v>-</v>
      </c>
      <c r="W83" s="220" t="str">
        <f>Inputs!W242</f>
        <v>-</v>
      </c>
      <c r="X83" s="220" t="str">
        <f>Inputs!X242</f>
        <v>-</v>
      </c>
      <c r="Y83" s="220" t="str">
        <f>Inputs!Y242</f>
        <v>-</v>
      </c>
      <c r="Z83" s="220" t="str">
        <f>Inputs!Z242</f>
        <v>-</v>
      </c>
      <c r="AA83" s="220" t="str">
        <f>Inputs!AA242</f>
        <v>-</v>
      </c>
      <c r="AB83" s="220" t="str">
        <f>Inputs!AB242</f>
        <v>-</v>
      </c>
      <c r="AC83" s="220" t="str">
        <f>Inputs!AC242</f>
        <v>-</v>
      </c>
      <c r="AD83" s="220" t="str">
        <f>Inputs!AD242</f>
        <v>-</v>
      </c>
      <c r="AE83" s="220" t="str">
        <f>Inputs!AE242</f>
        <v>-</v>
      </c>
      <c r="AF83" s="220" t="str">
        <f>Inputs!AF242</f>
        <v>-</v>
      </c>
      <c r="AG83" s="220" t="str">
        <f>Inputs!AG242</f>
        <v>-</v>
      </c>
      <c r="AH83" s="220" t="str">
        <f>Inputs!AH242</f>
        <v>-</v>
      </c>
      <c r="AI83" s="220" t="str">
        <f>Inputs!AI242</f>
        <v>-</v>
      </c>
      <c r="AJ83" s="220" t="str">
        <f>Inputs!AJ242</f>
        <v>-</v>
      </c>
      <c r="AK83" s="220" t="str">
        <f>Inputs!AK242</f>
        <v>-</v>
      </c>
      <c r="AL83" s="220" t="str">
        <f>Inputs!AL242</f>
        <v>-</v>
      </c>
      <c r="AM83" s="220" t="str">
        <f>Inputs!AM242</f>
        <v>-</v>
      </c>
      <c r="AN83" s="220" t="str">
        <f>Inputs!AN242</f>
        <v>-</v>
      </c>
      <c r="AO83" s="220" t="str">
        <f>Inputs!AO242</f>
        <v>-</v>
      </c>
      <c r="AP83" s="220" t="str">
        <f>Inputs!AP242</f>
        <v>-</v>
      </c>
      <c r="AQ83" s="220" t="str">
        <f>Inputs!AQ242</f>
        <v>-</v>
      </c>
      <c r="AR83" s="220" t="str">
        <f>Inputs!AR242</f>
        <v>-</v>
      </c>
      <c r="AS83" s="220" t="str">
        <f>Inputs!AS242</f>
        <v>-</v>
      </c>
      <c r="AT83" s="220" t="str">
        <f>Inputs!AT242</f>
        <v>-</v>
      </c>
      <c r="AU83" s="220" t="str">
        <f>Inputs!AU242</f>
        <v>-</v>
      </c>
      <c r="AV83" s="220" t="str">
        <f>Inputs!AV242</f>
        <v>-</v>
      </c>
      <c r="AW83" s="259"/>
    </row>
    <row r="84">
      <c r="A84" s="122"/>
      <c r="B84" s="123"/>
      <c r="C84" s="131"/>
      <c r="D84" s="131"/>
      <c r="E84" s="257" t="s">
        <v>219</v>
      </c>
      <c r="F84" s="213" t="s">
        <v>62</v>
      </c>
      <c r="G84" s="239" t="s">
        <v>161</v>
      </c>
      <c r="H84" s="240" t="s">
        <v>162</v>
      </c>
      <c r="I84" s="266">
        <f t="shared" ref="I84:AV84" si="22">I$36*I79*I82*$H83</f>
        <v>46.14786807</v>
      </c>
      <c r="J84" s="266">
        <f t="shared" si="22"/>
        <v>22.12990452</v>
      </c>
      <c r="K84" s="266">
        <f t="shared" si="22"/>
        <v>33.6082561</v>
      </c>
      <c r="L84" s="266">
        <f t="shared" si="22"/>
        <v>16.3456731</v>
      </c>
      <c r="M84" s="266">
        <f t="shared" si="22"/>
        <v>22.6427886</v>
      </c>
      <c r="N84" s="266">
        <f t="shared" si="22"/>
        <v>39.66378466</v>
      </c>
      <c r="O84" s="266">
        <f t="shared" si="22"/>
        <v>73.377496</v>
      </c>
      <c r="P84" s="266">
        <f t="shared" si="22"/>
        <v>83.31823138</v>
      </c>
      <c r="Q84" s="267">
        <f t="shared" si="22"/>
        <v>64.25561</v>
      </c>
      <c r="R84" s="266">
        <f t="shared" si="22"/>
        <v>2.876443479</v>
      </c>
      <c r="S84" s="266">
        <f t="shared" si="22"/>
        <v>7.84408668</v>
      </c>
      <c r="T84" s="266">
        <f t="shared" si="22"/>
        <v>4.019100208</v>
      </c>
      <c r="U84" s="266">
        <f t="shared" si="22"/>
        <v>4.431548008</v>
      </c>
      <c r="V84" s="266">
        <f t="shared" si="22"/>
        <v>7.181382854</v>
      </c>
      <c r="W84" s="266">
        <f t="shared" si="22"/>
        <v>9.099267471</v>
      </c>
      <c r="X84" s="266">
        <f t="shared" si="22"/>
        <v>22.52654774</v>
      </c>
      <c r="Y84" s="266">
        <f t="shared" si="22"/>
        <v>3.252681037</v>
      </c>
      <c r="Z84" s="266">
        <f t="shared" si="22"/>
        <v>4.728109095</v>
      </c>
      <c r="AA84" s="266">
        <f t="shared" si="22"/>
        <v>0.3833173996</v>
      </c>
      <c r="AB84" s="266">
        <f t="shared" si="22"/>
        <v>2.049337613</v>
      </c>
      <c r="AC84" s="266">
        <f t="shared" si="22"/>
        <v>1.28301425</v>
      </c>
      <c r="AD84" s="266">
        <f t="shared" si="22"/>
        <v>0.8699558443</v>
      </c>
      <c r="AE84" s="266">
        <f t="shared" si="22"/>
        <v>1.601335181</v>
      </c>
      <c r="AF84" s="266">
        <f t="shared" si="22"/>
        <v>1.443255054</v>
      </c>
      <c r="AG84" s="266">
        <f t="shared" si="22"/>
        <v>10.10917772</v>
      </c>
      <c r="AH84" s="266">
        <f t="shared" si="22"/>
        <v>5.898810092</v>
      </c>
      <c r="AI84" s="266">
        <f t="shared" si="22"/>
        <v>9.436135884</v>
      </c>
      <c r="AJ84" s="266">
        <f t="shared" si="22"/>
        <v>1.217696592</v>
      </c>
      <c r="AK84" s="266">
        <f t="shared" si="22"/>
        <v>8.746861495</v>
      </c>
      <c r="AL84" s="266">
        <f t="shared" si="22"/>
        <v>23.68201531</v>
      </c>
      <c r="AM84" s="266">
        <f t="shared" si="22"/>
        <v>28.14716361</v>
      </c>
      <c r="AN84" s="266">
        <f t="shared" si="22"/>
        <v>16.19607566</v>
      </c>
      <c r="AO84" s="266">
        <f t="shared" si="22"/>
        <v>11.19201851</v>
      </c>
      <c r="AP84" s="266">
        <f t="shared" si="22"/>
        <v>7.968642759</v>
      </c>
      <c r="AQ84" s="266">
        <f t="shared" si="22"/>
        <v>2.359966947</v>
      </c>
      <c r="AR84" s="266">
        <f t="shared" si="22"/>
        <v>6.089748932</v>
      </c>
      <c r="AS84" s="266">
        <f t="shared" si="22"/>
        <v>6.182782965</v>
      </c>
      <c r="AT84" s="266">
        <f t="shared" si="22"/>
        <v>2.46366812</v>
      </c>
      <c r="AU84" s="266">
        <f t="shared" si="22"/>
        <v>12.87526953</v>
      </c>
      <c r="AV84" s="266">
        <f t="shared" si="22"/>
        <v>33.58926704</v>
      </c>
      <c r="AW84" s="259"/>
    </row>
    <row r="85">
      <c r="A85" s="122"/>
      <c r="B85" s="123"/>
      <c r="C85" s="131"/>
      <c r="D85" s="131"/>
      <c r="E85" s="192" t="s">
        <v>201</v>
      </c>
      <c r="F85" s="193" t="str">
        <f>Inputs!F$245</f>
        <v>%</v>
      </c>
      <c r="G85" s="235" t="str">
        <f>Inputs!G$245</f>
        <v>input</v>
      </c>
      <c r="H85" s="268">
        <f>Inputs!H$245</f>
        <v>0.005</v>
      </c>
      <c r="I85" s="210" t="str">
        <f>Inputs!I$245</f>
        <v>-</v>
      </c>
      <c r="J85" s="210" t="str">
        <f>Inputs!J$245</f>
        <v>-</v>
      </c>
      <c r="K85" s="210" t="str">
        <f>Inputs!K$245</f>
        <v>-</v>
      </c>
      <c r="L85" s="210" t="str">
        <f>Inputs!L$245</f>
        <v>-</v>
      </c>
      <c r="M85" s="210" t="str">
        <f>Inputs!M$245</f>
        <v>-</v>
      </c>
      <c r="N85" s="210" t="str">
        <f>Inputs!N$245</f>
        <v>-</v>
      </c>
      <c r="O85" s="210" t="str">
        <f>Inputs!O$245</f>
        <v>-</v>
      </c>
      <c r="P85" s="210" t="str">
        <f>Inputs!P$245</f>
        <v>-</v>
      </c>
      <c r="Q85" s="211" t="str">
        <f>Inputs!Q$245</f>
        <v>-</v>
      </c>
      <c r="R85" s="210" t="str">
        <f>Inputs!R$245</f>
        <v>-</v>
      </c>
      <c r="S85" s="210" t="str">
        <f>Inputs!S$245</f>
        <v>-</v>
      </c>
      <c r="T85" s="210" t="str">
        <f>Inputs!T$245</f>
        <v>-</v>
      </c>
      <c r="U85" s="210" t="str">
        <f>Inputs!U$245</f>
        <v>-</v>
      </c>
      <c r="V85" s="210" t="str">
        <f>Inputs!V$245</f>
        <v>-</v>
      </c>
      <c r="W85" s="210" t="str">
        <f>Inputs!W$245</f>
        <v>-</v>
      </c>
      <c r="X85" s="210" t="str">
        <f>Inputs!X$245</f>
        <v>-</v>
      </c>
      <c r="Y85" s="210" t="str">
        <f>Inputs!Y$245</f>
        <v>-</v>
      </c>
      <c r="Z85" s="210" t="str">
        <f>Inputs!Z$245</f>
        <v>-</v>
      </c>
      <c r="AA85" s="210" t="str">
        <f>Inputs!AA$245</f>
        <v>-</v>
      </c>
      <c r="AB85" s="210" t="str">
        <f>Inputs!AB$245</f>
        <v>-</v>
      </c>
      <c r="AC85" s="210" t="str">
        <f>Inputs!AC$245</f>
        <v>-</v>
      </c>
      <c r="AD85" s="210" t="str">
        <f>Inputs!AD$245</f>
        <v>-</v>
      </c>
      <c r="AE85" s="210" t="str">
        <f>Inputs!AE$245</f>
        <v>-</v>
      </c>
      <c r="AF85" s="210" t="str">
        <f>Inputs!AF$245</f>
        <v>-</v>
      </c>
      <c r="AG85" s="210" t="str">
        <f>Inputs!AG$245</f>
        <v>-</v>
      </c>
      <c r="AH85" s="210" t="str">
        <f>Inputs!AH$245</f>
        <v>-</v>
      </c>
      <c r="AI85" s="210" t="str">
        <f>Inputs!AI$245</f>
        <v>-</v>
      </c>
      <c r="AJ85" s="210" t="str">
        <f>Inputs!AJ$245</f>
        <v>-</v>
      </c>
      <c r="AK85" s="210" t="str">
        <f>Inputs!AK$245</f>
        <v>-</v>
      </c>
      <c r="AL85" s="210" t="str">
        <f>Inputs!AL$245</f>
        <v>-</v>
      </c>
      <c r="AM85" s="210" t="str">
        <f>Inputs!AM$245</f>
        <v>-</v>
      </c>
      <c r="AN85" s="210" t="str">
        <f>Inputs!AN$245</f>
        <v>-</v>
      </c>
      <c r="AO85" s="210" t="str">
        <f>Inputs!AO$245</f>
        <v>-</v>
      </c>
      <c r="AP85" s="210" t="str">
        <f>Inputs!AP$245</f>
        <v>-</v>
      </c>
      <c r="AQ85" s="210" t="str">
        <f>Inputs!AQ$245</f>
        <v>-</v>
      </c>
      <c r="AR85" s="210" t="str">
        <f>Inputs!AR$245</f>
        <v>-</v>
      </c>
      <c r="AS85" s="210" t="str">
        <f>Inputs!AS$245</f>
        <v>-</v>
      </c>
      <c r="AT85" s="210" t="str">
        <f>Inputs!AT$245</f>
        <v>-</v>
      </c>
      <c r="AU85" s="210" t="str">
        <f>Inputs!AU$245</f>
        <v>-</v>
      </c>
      <c r="AV85" s="210" t="str">
        <f>Inputs!AV$245</f>
        <v>-</v>
      </c>
      <c r="AW85" s="259"/>
    </row>
    <row r="86">
      <c r="A86" s="122"/>
      <c r="B86" s="123"/>
      <c r="C86" s="131"/>
      <c r="D86" s="131"/>
      <c r="E86" s="289" t="s">
        <v>220</v>
      </c>
      <c r="F86" s="279" t="str">
        <f>Inputs!F248</f>
        <v>#</v>
      </c>
      <c r="G86" s="280" t="str">
        <f>Inputs!G248</f>
        <v>input</v>
      </c>
      <c r="H86" s="290">
        <f>Inputs!H248</f>
        <v>62.5</v>
      </c>
      <c r="I86" s="291" t="str">
        <f>Inputs!I248</f>
        <v>-</v>
      </c>
      <c r="J86" s="291" t="str">
        <f>Inputs!J248</f>
        <v>-</v>
      </c>
      <c r="K86" s="291" t="str">
        <f>Inputs!K248</f>
        <v>-</v>
      </c>
      <c r="L86" s="291" t="str">
        <f>Inputs!L248</f>
        <v>-</v>
      </c>
      <c r="M86" s="291" t="str">
        <f>Inputs!M248</f>
        <v>-</v>
      </c>
      <c r="N86" s="291" t="str">
        <f>Inputs!N248</f>
        <v>-</v>
      </c>
      <c r="O86" s="291" t="str">
        <f>Inputs!O248</f>
        <v>-</v>
      </c>
      <c r="P86" s="291" t="str">
        <f>Inputs!P248</f>
        <v>-</v>
      </c>
      <c r="Q86" s="292" t="str">
        <f>Inputs!Q248</f>
        <v>-</v>
      </c>
      <c r="R86" s="291" t="str">
        <f>Inputs!R248</f>
        <v>-</v>
      </c>
      <c r="S86" s="291" t="str">
        <f>Inputs!S248</f>
        <v>-</v>
      </c>
      <c r="T86" s="291" t="str">
        <f>Inputs!T248</f>
        <v>-</v>
      </c>
      <c r="U86" s="291" t="str">
        <f>Inputs!U248</f>
        <v>-</v>
      </c>
      <c r="V86" s="291" t="str">
        <f>Inputs!V248</f>
        <v>-</v>
      </c>
      <c r="W86" s="291" t="str">
        <f>Inputs!W248</f>
        <v>-</v>
      </c>
      <c r="X86" s="291" t="str">
        <f>Inputs!X248</f>
        <v>-</v>
      </c>
      <c r="Y86" s="291" t="str">
        <f>Inputs!Y248</f>
        <v>-</v>
      </c>
      <c r="Z86" s="291" t="str">
        <f>Inputs!Z248</f>
        <v>-</v>
      </c>
      <c r="AA86" s="291" t="str">
        <f>Inputs!AA248</f>
        <v>-</v>
      </c>
      <c r="AB86" s="291" t="str">
        <f>Inputs!AB248</f>
        <v>-</v>
      </c>
      <c r="AC86" s="291" t="str">
        <f>Inputs!AC248</f>
        <v>-</v>
      </c>
      <c r="AD86" s="291" t="str">
        <f>Inputs!AD248</f>
        <v>-</v>
      </c>
      <c r="AE86" s="291" t="str">
        <f>Inputs!AE248</f>
        <v>-</v>
      </c>
      <c r="AF86" s="291" t="str">
        <f>Inputs!AF248</f>
        <v>-</v>
      </c>
      <c r="AG86" s="291" t="str">
        <f>Inputs!AG248</f>
        <v>-</v>
      </c>
      <c r="AH86" s="291" t="str">
        <f>Inputs!AH248</f>
        <v>-</v>
      </c>
      <c r="AI86" s="291" t="str">
        <f>Inputs!AI248</f>
        <v>-</v>
      </c>
      <c r="AJ86" s="291" t="str">
        <f>Inputs!AJ248</f>
        <v>-</v>
      </c>
      <c r="AK86" s="291" t="str">
        <f>Inputs!AK248</f>
        <v>-</v>
      </c>
      <c r="AL86" s="291" t="str">
        <f>Inputs!AL248</f>
        <v>-</v>
      </c>
      <c r="AM86" s="291" t="str">
        <f>Inputs!AM248</f>
        <v>-</v>
      </c>
      <c r="AN86" s="291" t="str">
        <f>Inputs!AN248</f>
        <v>-</v>
      </c>
      <c r="AO86" s="291" t="str">
        <f>Inputs!AO248</f>
        <v>-</v>
      </c>
      <c r="AP86" s="291" t="str">
        <f>Inputs!AP248</f>
        <v>-</v>
      </c>
      <c r="AQ86" s="291" t="str">
        <f>Inputs!AQ248</f>
        <v>-</v>
      </c>
      <c r="AR86" s="291" t="str">
        <f>Inputs!AR248</f>
        <v>-</v>
      </c>
      <c r="AS86" s="291" t="str">
        <f>Inputs!AS248</f>
        <v>-</v>
      </c>
      <c r="AT86" s="291" t="str">
        <f>Inputs!AT248</f>
        <v>-</v>
      </c>
      <c r="AU86" s="291" t="str">
        <f>Inputs!AU248</f>
        <v>-</v>
      </c>
      <c r="AV86" s="291" t="str">
        <f>Inputs!AV248</f>
        <v>-</v>
      </c>
      <c r="AW86" s="271"/>
    </row>
    <row r="87">
      <c r="A87" s="122"/>
      <c r="B87" s="123"/>
      <c r="C87" s="131"/>
      <c r="D87" s="131"/>
      <c r="E87" s="272" t="s">
        <v>221</v>
      </c>
      <c r="F87" s="200" t="s">
        <v>62</v>
      </c>
      <c r="G87" s="273" t="s">
        <v>161</v>
      </c>
      <c r="H87" s="228" t="s">
        <v>162</v>
      </c>
      <c r="I87" s="229">
        <f t="shared" ref="I87:AV87" si="23">I84*((1/(1+$H85))^$H86)</f>
        <v>33.78880112</v>
      </c>
      <c r="J87" s="229">
        <f t="shared" si="23"/>
        <v>16.20319581</v>
      </c>
      <c r="K87" s="229">
        <f t="shared" si="23"/>
        <v>24.60747872</v>
      </c>
      <c r="L87" s="229">
        <f t="shared" si="23"/>
        <v>11.96806528</v>
      </c>
      <c r="M87" s="229">
        <f t="shared" si="23"/>
        <v>16.57872211</v>
      </c>
      <c r="N87" s="229">
        <f t="shared" si="23"/>
        <v>29.04124909</v>
      </c>
      <c r="O87" s="229">
        <f t="shared" si="23"/>
        <v>53.7259406</v>
      </c>
      <c r="P87" s="229">
        <f t="shared" si="23"/>
        <v>61.00440319</v>
      </c>
      <c r="Q87" s="230">
        <f t="shared" si="23"/>
        <v>47.04702769</v>
      </c>
      <c r="R87" s="229">
        <f t="shared" si="23"/>
        <v>2.106090286</v>
      </c>
      <c r="S87" s="229">
        <f t="shared" si="23"/>
        <v>5.743326742</v>
      </c>
      <c r="T87" s="229">
        <f t="shared" si="23"/>
        <v>2.942727005</v>
      </c>
      <c r="U87" s="229">
        <f t="shared" si="23"/>
        <v>3.244715316</v>
      </c>
      <c r="V87" s="229">
        <f t="shared" si="23"/>
        <v>5.258104592</v>
      </c>
      <c r="W87" s="229">
        <f t="shared" si="23"/>
        <v>6.662351952</v>
      </c>
      <c r="X87" s="229">
        <f t="shared" si="23"/>
        <v>16.49361224</v>
      </c>
      <c r="Y87" s="229">
        <f t="shared" si="23"/>
        <v>2.381565981</v>
      </c>
      <c r="Z87" s="229">
        <f t="shared" si="23"/>
        <v>3.461853051</v>
      </c>
      <c r="AA87" s="229">
        <f t="shared" si="23"/>
        <v>0.2806594524</v>
      </c>
      <c r="AB87" s="229">
        <f t="shared" si="23"/>
        <v>1.500495341</v>
      </c>
      <c r="AC87" s="229">
        <f t="shared" si="23"/>
        <v>0.9394044651</v>
      </c>
      <c r="AD87" s="229">
        <f t="shared" si="23"/>
        <v>0.6369690786</v>
      </c>
      <c r="AE87" s="229">
        <f t="shared" si="23"/>
        <v>1.172474444</v>
      </c>
      <c r="AF87" s="229">
        <f t="shared" si="23"/>
        <v>1.056730463</v>
      </c>
      <c r="AG87" s="229">
        <f t="shared" si="23"/>
        <v>7.401793617</v>
      </c>
      <c r="AH87" s="229">
        <f t="shared" si="23"/>
        <v>4.319023378</v>
      </c>
      <c r="AI87" s="229">
        <f t="shared" si="23"/>
        <v>6.909002129</v>
      </c>
      <c r="AJ87" s="229">
        <f t="shared" si="23"/>
        <v>0.8915798212</v>
      </c>
      <c r="AK87" s="229">
        <f t="shared" si="23"/>
        <v>6.404325397</v>
      </c>
      <c r="AL87" s="229">
        <f t="shared" si="23"/>
        <v>17.33962887</v>
      </c>
      <c r="AM87" s="229">
        <f t="shared" si="23"/>
        <v>20.60894583</v>
      </c>
      <c r="AN87" s="229">
        <f t="shared" si="23"/>
        <v>11.8585322</v>
      </c>
      <c r="AO87" s="229">
        <f t="shared" si="23"/>
        <v>8.194633978</v>
      </c>
      <c r="AP87" s="229">
        <f t="shared" si="23"/>
        <v>5.834524901</v>
      </c>
      <c r="AQ87" s="229">
        <f t="shared" si="23"/>
        <v>1.727933644</v>
      </c>
      <c r="AR87" s="229">
        <f t="shared" si="23"/>
        <v>4.458826033</v>
      </c>
      <c r="AS87" s="229">
        <f t="shared" si="23"/>
        <v>4.526944206</v>
      </c>
      <c r="AT87" s="229">
        <f t="shared" si="23"/>
        <v>1.803862142</v>
      </c>
      <c r="AU87" s="229">
        <f t="shared" si="23"/>
        <v>9.427086011</v>
      </c>
      <c r="AV87" s="229">
        <f t="shared" si="23"/>
        <v>24.5935752</v>
      </c>
      <c r="AW87" s="274"/>
    </row>
    <row r="88">
      <c r="A88" s="122"/>
      <c r="B88" s="123"/>
      <c r="C88" s="286"/>
      <c r="D88" s="123"/>
      <c r="E88" s="140"/>
      <c r="F88" s="141"/>
      <c r="G88" s="141"/>
      <c r="H88" s="287"/>
      <c r="I88" s="226"/>
      <c r="J88" s="226"/>
      <c r="K88" s="226"/>
      <c r="L88" s="226"/>
      <c r="M88" s="226"/>
      <c r="N88" s="226"/>
      <c r="O88" s="226"/>
      <c r="P88" s="226"/>
      <c r="Q88" s="288"/>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191"/>
    </row>
    <row r="89">
      <c r="A89" s="122"/>
      <c r="B89" s="123"/>
      <c r="C89" s="131" t="s">
        <v>222</v>
      </c>
      <c r="F89" s="141"/>
      <c r="G89" s="141"/>
      <c r="H89" s="287"/>
      <c r="I89" s="226"/>
      <c r="J89" s="226"/>
      <c r="K89" s="226"/>
      <c r="L89" s="226"/>
      <c r="M89" s="226"/>
      <c r="N89" s="226"/>
      <c r="O89" s="226"/>
      <c r="P89" s="226"/>
      <c r="Q89" s="288"/>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191"/>
    </row>
    <row r="90">
      <c r="A90" s="293"/>
      <c r="B90" s="294"/>
      <c r="C90" s="294"/>
      <c r="D90" s="294"/>
      <c r="E90" s="295" t="s">
        <v>223</v>
      </c>
      <c r="F90" s="296" t="str">
        <f>Inputs!F251</f>
        <v>#</v>
      </c>
      <c r="G90" s="297" t="str">
        <f>Inputs!G251</f>
        <v>input</v>
      </c>
      <c r="H90" s="298">
        <f>Inputs!H251</f>
        <v>0.30647</v>
      </c>
      <c r="I90" s="299" t="str">
        <f>Inputs!I251</f>
        <v>-</v>
      </c>
      <c r="J90" s="299" t="str">
        <f>Inputs!J251</f>
        <v>-</v>
      </c>
      <c r="K90" s="299" t="str">
        <f>Inputs!K251</f>
        <v>-</v>
      </c>
      <c r="L90" s="299" t="str">
        <f>Inputs!L251</f>
        <v>-</v>
      </c>
      <c r="M90" s="299" t="str">
        <f>Inputs!M251</f>
        <v>-</v>
      </c>
      <c r="N90" s="299" t="str">
        <f>Inputs!N251</f>
        <v>-</v>
      </c>
      <c r="O90" s="299" t="str">
        <f>Inputs!O251</f>
        <v>-</v>
      </c>
      <c r="P90" s="299" t="str">
        <f>Inputs!P251</f>
        <v>-</v>
      </c>
      <c r="Q90" s="300" t="str">
        <f>Inputs!Q251</f>
        <v>-</v>
      </c>
      <c r="R90" s="299" t="str">
        <f>Inputs!R251</f>
        <v>-</v>
      </c>
      <c r="S90" s="299" t="str">
        <f>Inputs!S251</f>
        <v>-</v>
      </c>
      <c r="T90" s="299" t="str">
        <f>Inputs!T251</f>
        <v>-</v>
      </c>
      <c r="U90" s="299" t="str">
        <f>Inputs!U251</f>
        <v>-</v>
      </c>
      <c r="V90" s="299" t="str">
        <f>Inputs!V251</f>
        <v>-</v>
      </c>
      <c r="W90" s="299" t="str">
        <f>Inputs!W251</f>
        <v>-</v>
      </c>
      <c r="X90" s="299" t="str">
        <f>Inputs!X251</f>
        <v>-</v>
      </c>
      <c r="Y90" s="299" t="str">
        <f>Inputs!Y251</f>
        <v>-</v>
      </c>
      <c r="Z90" s="299" t="str">
        <f>Inputs!Z251</f>
        <v>-</v>
      </c>
      <c r="AA90" s="299" t="str">
        <f>Inputs!AA251</f>
        <v>-</v>
      </c>
      <c r="AB90" s="299" t="str">
        <f>Inputs!AB251</f>
        <v>-</v>
      </c>
      <c r="AC90" s="299" t="str">
        <f>Inputs!AC251</f>
        <v>-</v>
      </c>
      <c r="AD90" s="299" t="str">
        <f>Inputs!AD251</f>
        <v>-</v>
      </c>
      <c r="AE90" s="299" t="str">
        <f>Inputs!AE251</f>
        <v>-</v>
      </c>
      <c r="AF90" s="299" t="str">
        <f>Inputs!AF251</f>
        <v>-</v>
      </c>
      <c r="AG90" s="299" t="str">
        <f>Inputs!AG251</f>
        <v>-</v>
      </c>
      <c r="AH90" s="299" t="str">
        <f>Inputs!AH251</f>
        <v>-</v>
      </c>
      <c r="AI90" s="299" t="str">
        <f>Inputs!AI251</f>
        <v>-</v>
      </c>
      <c r="AJ90" s="299" t="str">
        <f>Inputs!AJ251</f>
        <v>-</v>
      </c>
      <c r="AK90" s="299" t="str">
        <f>Inputs!AK251</f>
        <v>-</v>
      </c>
      <c r="AL90" s="299" t="str">
        <f>Inputs!AL251</f>
        <v>-</v>
      </c>
      <c r="AM90" s="299" t="str">
        <f>Inputs!AM251</f>
        <v>-</v>
      </c>
      <c r="AN90" s="299" t="str">
        <f>Inputs!AN251</f>
        <v>-</v>
      </c>
      <c r="AO90" s="299" t="str">
        <f>Inputs!AO251</f>
        <v>-</v>
      </c>
      <c r="AP90" s="299" t="str">
        <f>Inputs!AP251</f>
        <v>-</v>
      </c>
      <c r="AQ90" s="299" t="str">
        <f>Inputs!AQ251</f>
        <v>-</v>
      </c>
      <c r="AR90" s="299" t="str">
        <f>Inputs!AR251</f>
        <v>-</v>
      </c>
      <c r="AS90" s="299" t="str">
        <f>Inputs!AS251</f>
        <v>-</v>
      </c>
      <c r="AT90" s="299" t="str">
        <f>Inputs!AT251</f>
        <v>-</v>
      </c>
      <c r="AU90" s="299" t="str">
        <f>Inputs!AU251</f>
        <v>-</v>
      </c>
      <c r="AV90" s="299" t="str">
        <f>Inputs!AV251</f>
        <v>-</v>
      </c>
      <c r="AW90" s="29"/>
    </row>
    <row r="91">
      <c r="A91" s="293"/>
      <c r="B91" s="294"/>
      <c r="C91" s="294"/>
      <c r="D91" s="294"/>
      <c r="E91" s="301" t="s">
        <v>224</v>
      </c>
      <c r="F91" s="302" t="str">
        <f>Inputs!F252</f>
        <v>%</v>
      </c>
      <c r="G91" s="303" t="str">
        <f>Inputs!G252</f>
        <v>input</v>
      </c>
      <c r="H91" s="304">
        <f>Inputs!H252</f>
        <v>0</v>
      </c>
      <c r="I91" s="305" t="str">
        <f>Inputs!I252</f>
        <v>-</v>
      </c>
      <c r="J91" s="305" t="str">
        <f>Inputs!J252</f>
        <v>-</v>
      </c>
      <c r="K91" s="305" t="str">
        <f>Inputs!K252</f>
        <v>-</v>
      </c>
      <c r="L91" s="305" t="str">
        <f>Inputs!L252</f>
        <v>-</v>
      </c>
      <c r="M91" s="305" t="str">
        <f>Inputs!M252</f>
        <v>-</v>
      </c>
      <c r="N91" s="305" t="str">
        <f>Inputs!N252</f>
        <v>-</v>
      </c>
      <c r="O91" s="305" t="str">
        <f>Inputs!O252</f>
        <v>-</v>
      </c>
      <c r="P91" s="305" t="str">
        <f>Inputs!P252</f>
        <v>-</v>
      </c>
      <c r="Q91" s="304" t="str">
        <f>Inputs!Q252</f>
        <v>-</v>
      </c>
      <c r="R91" s="305" t="str">
        <f>Inputs!R252</f>
        <v>-</v>
      </c>
      <c r="S91" s="305" t="str">
        <f>Inputs!S252</f>
        <v>-</v>
      </c>
      <c r="T91" s="305" t="str">
        <f>Inputs!T252</f>
        <v>-</v>
      </c>
      <c r="U91" s="305" t="str">
        <f>Inputs!U252</f>
        <v>-</v>
      </c>
      <c r="V91" s="305" t="str">
        <f>Inputs!V252</f>
        <v>-</v>
      </c>
      <c r="W91" s="305" t="str">
        <f>Inputs!W252</f>
        <v>-</v>
      </c>
      <c r="X91" s="305" t="str">
        <f>Inputs!X252</f>
        <v>-</v>
      </c>
      <c r="Y91" s="305" t="str">
        <f>Inputs!Y252</f>
        <v>-</v>
      </c>
      <c r="Z91" s="305" t="str">
        <f>Inputs!Z252</f>
        <v>-</v>
      </c>
      <c r="AA91" s="305" t="str">
        <f>Inputs!AA252</f>
        <v>-</v>
      </c>
      <c r="AB91" s="305" t="str">
        <f>Inputs!AB252</f>
        <v>-</v>
      </c>
      <c r="AC91" s="305" t="str">
        <f>Inputs!AC252</f>
        <v>-</v>
      </c>
      <c r="AD91" s="305" t="str">
        <f>Inputs!AD252</f>
        <v>-</v>
      </c>
      <c r="AE91" s="305" t="str">
        <f>Inputs!AE252</f>
        <v>-</v>
      </c>
      <c r="AF91" s="305" t="str">
        <f>Inputs!AF252</f>
        <v>-</v>
      </c>
      <c r="AG91" s="305" t="str">
        <f>Inputs!AG252</f>
        <v>-</v>
      </c>
      <c r="AH91" s="305" t="str">
        <f>Inputs!AH252</f>
        <v>-</v>
      </c>
      <c r="AI91" s="305" t="str">
        <f>Inputs!AI252</f>
        <v>-</v>
      </c>
      <c r="AJ91" s="305" t="str">
        <f>Inputs!AJ252</f>
        <v>-</v>
      </c>
      <c r="AK91" s="305" t="str">
        <f>Inputs!AK252</f>
        <v>-</v>
      </c>
      <c r="AL91" s="305" t="str">
        <f>Inputs!AL252</f>
        <v>-</v>
      </c>
      <c r="AM91" s="305" t="str">
        <f>Inputs!AM252</f>
        <v>-</v>
      </c>
      <c r="AN91" s="305" t="str">
        <f>Inputs!AN252</f>
        <v>-</v>
      </c>
      <c r="AO91" s="305" t="str">
        <f>Inputs!AO252</f>
        <v>-</v>
      </c>
      <c r="AP91" s="305" t="str">
        <f>Inputs!AP252</f>
        <v>-</v>
      </c>
      <c r="AQ91" s="305" t="str">
        <f>Inputs!AQ252</f>
        <v>-</v>
      </c>
      <c r="AR91" s="305" t="str">
        <f>Inputs!AR252</f>
        <v>-</v>
      </c>
      <c r="AS91" s="305" t="str">
        <f>Inputs!AS252</f>
        <v>-</v>
      </c>
      <c r="AT91" s="305" t="str">
        <f>Inputs!AT252</f>
        <v>-</v>
      </c>
      <c r="AU91" s="305" t="str">
        <f>Inputs!AU252</f>
        <v>-</v>
      </c>
      <c r="AV91" s="305" t="str">
        <f>Inputs!AV252</f>
        <v>-</v>
      </c>
      <c r="AW91" s="306"/>
    </row>
    <row r="92">
      <c r="A92" s="293"/>
      <c r="B92" s="294"/>
      <c r="C92" s="294"/>
      <c r="D92" s="294"/>
      <c r="E92" s="307" t="s">
        <v>225</v>
      </c>
      <c r="F92" s="302" t="s">
        <v>62</v>
      </c>
      <c r="G92" s="303" t="s">
        <v>161</v>
      </c>
      <c r="H92" s="308">
        <f>H90*(1+H91)</f>
        <v>0.30647</v>
      </c>
      <c r="I92" s="305" t="s">
        <v>162</v>
      </c>
      <c r="J92" s="305" t="s">
        <v>162</v>
      </c>
      <c r="K92" s="305" t="s">
        <v>162</v>
      </c>
      <c r="L92" s="305" t="s">
        <v>162</v>
      </c>
      <c r="M92" s="305" t="s">
        <v>162</v>
      </c>
      <c r="N92" s="305" t="s">
        <v>162</v>
      </c>
      <c r="O92" s="305" t="s">
        <v>162</v>
      </c>
      <c r="P92" s="305" t="s">
        <v>162</v>
      </c>
      <c r="Q92" s="304" t="s">
        <v>162</v>
      </c>
      <c r="R92" s="305" t="s">
        <v>162</v>
      </c>
      <c r="S92" s="305" t="s">
        <v>162</v>
      </c>
      <c r="T92" s="305" t="s">
        <v>162</v>
      </c>
      <c r="U92" s="305" t="s">
        <v>162</v>
      </c>
      <c r="V92" s="305" t="s">
        <v>162</v>
      </c>
      <c r="W92" s="305" t="s">
        <v>162</v>
      </c>
      <c r="X92" s="305" t="s">
        <v>162</v>
      </c>
      <c r="Y92" s="305" t="s">
        <v>162</v>
      </c>
      <c r="Z92" s="305" t="s">
        <v>162</v>
      </c>
      <c r="AA92" s="305" t="s">
        <v>162</v>
      </c>
      <c r="AB92" s="305" t="s">
        <v>162</v>
      </c>
      <c r="AC92" s="305" t="s">
        <v>162</v>
      </c>
      <c r="AD92" s="305" t="s">
        <v>162</v>
      </c>
      <c r="AE92" s="305" t="s">
        <v>162</v>
      </c>
      <c r="AF92" s="305" t="s">
        <v>162</v>
      </c>
      <c r="AG92" s="305" t="s">
        <v>162</v>
      </c>
      <c r="AH92" s="305" t="s">
        <v>162</v>
      </c>
      <c r="AI92" s="305" t="s">
        <v>162</v>
      </c>
      <c r="AJ92" s="305" t="s">
        <v>162</v>
      </c>
      <c r="AK92" s="305" t="s">
        <v>162</v>
      </c>
      <c r="AL92" s="305" t="s">
        <v>162</v>
      </c>
      <c r="AM92" s="305" t="s">
        <v>162</v>
      </c>
      <c r="AN92" s="305" t="s">
        <v>162</v>
      </c>
      <c r="AO92" s="305" t="s">
        <v>162</v>
      </c>
      <c r="AP92" s="305" t="s">
        <v>162</v>
      </c>
      <c r="AQ92" s="305" t="s">
        <v>162</v>
      </c>
      <c r="AR92" s="305" t="s">
        <v>162</v>
      </c>
      <c r="AS92" s="305" t="s">
        <v>162</v>
      </c>
      <c r="AT92" s="305" t="s">
        <v>162</v>
      </c>
      <c r="AU92" s="305" t="s">
        <v>162</v>
      </c>
      <c r="AV92" s="305" t="s">
        <v>162</v>
      </c>
      <c r="AW92" s="306"/>
    </row>
    <row r="93">
      <c r="A93" s="122"/>
      <c r="B93" s="123"/>
      <c r="C93" s="286"/>
      <c r="D93" s="123"/>
      <c r="E93" s="309" t="s">
        <v>226</v>
      </c>
      <c r="F93" s="310" t="str">
        <f>Inputs!F272</f>
        <v>UoV</v>
      </c>
      <c r="G93" s="310" t="str">
        <f>Inputs!G272</f>
        <v>input</v>
      </c>
      <c r="H93" s="311">
        <f>Inputs!H272</f>
        <v>116.25262</v>
      </c>
      <c r="I93" s="266" t="str">
        <f>Inputs!I272</f>
        <v>-</v>
      </c>
      <c r="J93" s="266" t="str">
        <f>Inputs!J272</f>
        <v>-</v>
      </c>
      <c r="K93" s="266" t="str">
        <f>Inputs!K272</f>
        <v>-</v>
      </c>
      <c r="L93" s="266" t="str">
        <f>Inputs!L272</f>
        <v>-</v>
      </c>
      <c r="M93" s="266" t="str">
        <f>Inputs!M272</f>
        <v>-</v>
      </c>
      <c r="N93" s="266" t="str">
        <f>Inputs!N272</f>
        <v>-</v>
      </c>
      <c r="O93" s="266" t="str">
        <f>Inputs!O272</f>
        <v>-</v>
      </c>
      <c r="P93" s="266" t="str">
        <f>Inputs!P272</f>
        <v>-</v>
      </c>
      <c r="Q93" s="267" t="str">
        <f>Inputs!Q272</f>
        <v>-</v>
      </c>
      <c r="R93" s="266" t="str">
        <f>Inputs!R272</f>
        <v>-</v>
      </c>
      <c r="S93" s="266" t="str">
        <f>Inputs!S272</f>
        <v>-</v>
      </c>
      <c r="T93" s="266" t="str">
        <f>Inputs!T272</f>
        <v>-</v>
      </c>
      <c r="U93" s="266" t="str">
        <f>Inputs!U272</f>
        <v>-</v>
      </c>
      <c r="V93" s="266" t="str">
        <f>Inputs!V272</f>
        <v>-</v>
      </c>
      <c r="W93" s="266" t="str">
        <f>Inputs!W272</f>
        <v>-</v>
      </c>
      <c r="X93" s="266" t="str">
        <f>Inputs!X272</f>
        <v>-</v>
      </c>
      <c r="Y93" s="266" t="str">
        <f>Inputs!Y272</f>
        <v>-</v>
      </c>
      <c r="Z93" s="266" t="str">
        <f>Inputs!Z272</f>
        <v>-</v>
      </c>
      <c r="AA93" s="266" t="str">
        <f>Inputs!AA272</f>
        <v>-</v>
      </c>
      <c r="AB93" s="266" t="str">
        <f>Inputs!AB272</f>
        <v>-</v>
      </c>
      <c r="AC93" s="266" t="str">
        <f>Inputs!AC272</f>
        <v>-</v>
      </c>
      <c r="AD93" s="266" t="str">
        <f>Inputs!AD272</f>
        <v>-</v>
      </c>
      <c r="AE93" s="266" t="str">
        <f>Inputs!AE272</f>
        <v>-</v>
      </c>
      <c r="AF93" s="266" t="str">
        <f>Inputs!AF272</f>
        <v>-</v>
      </c>
      <c r="AG93" s="266" t="str">
        <f>Inputs!AG272</f>
        <v>-</v>
      </c>
      <c r="AH93" s="266" t="str">
        <f>Inputs!AH272</f>
        <v>-</v>
      </c>
      <c r="AI93" s="266" t="str">
        <f>Inputs!AI272</f>
        <v>-</v>
      </c>
      <c r="AJ93" s="266" t="str">
        <f>Inputs!AJ272</f>
        <v>-</v>
      </c>
      <c r="AK93" s="266" t="str">
        <f>Inputs!AK272</f>
        <v>-</v>
      </c>
      <c r="AL93" s="266" t="str">
        <f>Inputs!AL272</f>
        <v>-</v>
      </c>
      <c r="AM93" s="266" t="str">
        <f>Inputs!AM272</f>
        <v>-</v>
      </c>
      <c r="AN93" s="266" t="str">
        <f>Inputs!AN272</f>
        <v>-</v>
      </c>
      <c r="AO93" s="266" t="str">
        <f>Inputs!AO272</f>
        <v>-</v>
      </c>
      <c r="AP93" s="266" t="str">
        <f>Inputs!AP272</f>
        <v>-</v>
      </c>
      <c r="AQ93" s="266" t="str">
        <f>Inputs!AQ272</f>
        <v>-</v>
      </c>
      <c r="AR93" s="266" t="str">
        <f>Inputs!AR272</f>
        <v>-</v>
      </c>
      <c r="AS93" s="266" t="str">
        <f>Inputs!AS272</f>
        <v>-</v>
      </c>
      <c r="AT93" s="266" t="str">
        <f>Inputs!AT272</f>
        <v>-</v>
      </c>
      <c r="AU93" s="266" t="str">
        <f>Inputs!AU272</f>
        <v>-</v>
      </c>
      <c r="AV93" s="266" t="str">
        <f>Inputs!AV272</f>
        <v>-</v>
      </c>
      <c r="AW93" s="219"/>
    </row>
    <row r="94">
      <c r="A94" s="122"/>
      <c r="B94" s="123"/>
      <c r="C94" s="286"/>
      <c r="D94" s="123"/>
      <c r="E94" s="309" t="s">
        <v>227</v>
      </c>
      <c r="F94" s="310" t="str">
        <f>Inputs!F273</f>
        <v>UoV</v>
      </c>
      <c r="G94" s="310" t="str">
        <f>Inputs!G273</f>
        <v>input</v>
      </c>
      <c r="H94" s="311">
        <f>Inputs!H273</f>
        <v>133.7</v>
      </c>
      <c r="I94" s="266" t="str">
        <f>Inputs!I273</f>
        <v>-</v>
      </c>
      <c r="J94" s="266" t="str">
        <f>Inputs!J273</f>
        <v>-</v>
      </c>
      <c r="K94" s="266" t="str">
        <f>Inputs!K273</f>
        <v>-</v>
      </c>
      <c r="L94" s="266" t="str">
        <f>Inputs!L273</f>
        <v>-</v>
      </c>
      <c r="M94" s="266" t="str">
        <f>Inputs!M273</f>
        <v>-</v>
      </c>
      <c r="N94" s="266" t="str">
        <f>Inputs!N273</f>
        <v>-</v>
      </c>
      <c r="O94" s="266" t="str">
        <f>Inputs!O273</f>
        <v>-</v>
      </c>
      <c r="P94" s="266" t="str">
        <f>Inputs!P273</f>
        <v>-</v>
      </c>
      <c r="Q94" s="267" t="str">
        <f>Inputs!Q273</f>
        <v>-</v>
      </c>
      <c r="R94" s="266" t="str">
        <f>Inputs!R273</f>
        <v>-</v>
      </c>
      <c r="S94" s="266" t="str">
        <f>Inputs!S273</f>
        <v>-</v>
      </c>
      <c r="T94" s="266" t="str">
        <f>Inputs!T273</f>
        <v>-</v>
      </c>
      <c r="U94" s="266" t="str">
        <f>Inputs!U273</f>
        <v>-</v>
      </c>
      <c r="V94" s="266" t="str">
        <f>Inputs!V273</f>
        <v>-</v>
      </c>
      <c r="W94" s="266" t="str">
        <f>Inputs!W273</f>
        <v>-</v>
      </c>
      <c r="X94" s="266" t="str">
        <f>Inputs!X273</f>
        <v>-</v>
      </c>
      <c r="Y94" s="266" t="str">
        <f>Inputs!Y273</f>
        <v>-</v>
      </c>
      <c r="Z94" s="266" t="str">
        <f>Inputs!Z273</f>
        <v>-</v>
      </c>
      <c r="AA94" s="266" t="str">
        <f>Inputs!AA273</f>
        <v>-</v>
      </c>
      <c r="AB94" s="266" t="str">
        <f>Inputs!AB273</f>
        <v>-</v>
      </c>
      <c r="AC94" s="266" t="str">
        <f>Inputs!AC273</f>
        <v>-</v>
      </c>
      <c r="AD94" s="266" t="str">
        <f>Inputs!AD273</f>
        <v>-</v>
      </c>
      <c r="AE94" s="266" t="str">
        <f>Inputs!AE273</f>
        <v>-</v>
      </c>
      <c r="AF94" s="266" t="str">
        <f>Inputs!AF273</f>
        <v>-</v>
      </c>
      <c r="AG94" s="266" t="str">
        <f>Inputs!AG273</f>
        <v>-</v>
      </c>
      <c r="AH94" s="266" t="str">
        <f>Inputs!AH273</f>
        <v>-</v>
      </c>
      <c r="AI94" s="266" t="str">
        <f>Inputs!AI273</f>
        <v>-</v>
      </c>
      <c r="AJ94" s="266" t="str">
        <f>Inputs!AJ273</f>
        <v>-</v>
      </c>
      <c r="AK94" s="266" t="str">
        <f>Inputs!AK273</f>
        <v>-</v>
      </c>
      <c r="AL94" s="266" t="str">
        <f>Inputs!AL273</f>
        <v>-</v>
      </c>
      <c r="AM94" s="266" t="str">
        <f>Inputs!AM273</f>
        <v>-</v>
      </c>
      <c r="AN94" s="266" t="str">
        <f>Inputs!AN273</f>
        <v>-</v>
      </c>
      <c r="AO94" s="266" t="str">
        <f>Inputs!AO273</f>
        <v>-</v>
      </c>
      <c r="AP94" s="266" t="str">
        <f>Inputs!AP273</f>
        <v>-</v>
      </c>
      <c r="AQ94" s="266" t="str">
        <f>Inputs!AQ273</f>
        <v>-</v>
      </c>
      <c r="AR94" s="266" t="str">
        <f>Inputs!AR273</f>
        <v>-</v>
      </c>
      <c r="AS94" s="266" t="str">
        <f>Inputs!AS273</f>
        <v>-</v>
      </c>
      <c r="AT94" s="266" t="str">
        <f>Inputs!AT273</f>
        <v>-</v>
      </c>
      <c r="AU94" s="266" t="str">
        <f>Inputs!AU273</f>
        <v>-</v>
      </c>
      <c r="AV94" s="266" t="str">
        <f>Inputs!AV273</f>
        <v>-</v>
      </c>
      <c r="AW94" s="219"/>
    </row>
    <row r="95">
      <c r="A95" s="122"/>
      <c r="B95" s="123"/>
      <c r="C95" s="286"/>
      <c r="D95" s="123"/>
      <c r="E95" s="212" t="s">
        <v>228</v>
      </c>
      <c r="F95" s="213" t="s">
        <v>76</v>
      </c>
      <c r="G95" s="213" t="s">
        <v>161</v>
      </c>
      <c r="H95" s="312" t="s">
        <v>162</v>
      </c>
      <c r="I95" s="266">
        <f t="shared" ref="I95:AV95" si="24">(I48*$H93)+(I61*$H94)</f>
        <v>37774.94312</v>
      </c>
      <c r="J95" s="266">
        <f t="shared" si="24"/>
        <v>18277.27185</v>
      </c>
      <c r="K95" s="266">
        <f t="shared" si="24"/>
        <v>34050.07581</v>
      </c>
      <c r="L95" s="266">
        <f t="shared" si="24"/>
        <v>16782.7442</v>
      </c>
      <c r="M95" s="266">
        <f t="shared" si="24"/>
        <v>23861.08356</v>
      </c>
      <c r="N95" s="266">
        <f t="shared" si="24"/>
        <v>31515.23634</v>
      </c>
      <c r="O95" s="266">
        <f t="shared" si="24"/>
        <v>55587.83374</v>
      </c>
      <c r="P95" s="266">
        <f t="shared" si="24"/>
        <v>73826.44216</v>
      </c>
      <c r="Q95" s="267">
        <f t="shared" si="24"/>
        <v>59930.36881</v>
      </c>
      <c r="R95" s="266">
        <f t="shared" si="24"/>
        <v>1969.668903</v>
      </c>
      <c r="S95" s="266">
        <f t="shared" si="24"/>
        <v>7082.756096</v>
      </c>
      <c r="T95" s="266">
        <f t="shared" si="24"/>
        <v>1834.255352</v>
      </c>
      <c r="U95" s="266">
        <f t="shared" si="24"/>
        <v>2350.978588</v>
      </c>
      <c r="V95" s="266">
        <f t="shared" si="24"/>
        <v>4330.225793</v>
      </c>
      <c r="W95" s="266">
        <f t="shared" si="24"/>
        <v>4977.64997</v>
      </c>
      <c r="X95" s="266">
        <f t="shared" si="24"/>
        <v>10324.20831</v>
      </c>
      <c r="Y95" s="266">
        <f t="shared" si="24"/>
        <v>1297.442555</v>
      </c>
      <c r="Z95" s="266">
        <f t="shared" si="24"/>
        <v>3030.799198</v>
      </c>
      <c r="AA95" s="266">
        <f t="shared" si="24"/>
        <v>277.8533418</v>
      </c>
      <c r="AB95" s="266">
        <f t="shared" si="24"/>
        <v>1529.022505</v>
      </c>
      <c r="AC95" s="266">
        <f t="shared" si="24"/>
        <v>709.7892569</v>
      </c>
      <c r="AD95" s="266">
        <f t="shared" si="24"/>
        <v>338.2304196</v>
      </c>
      <c r="AE95" s="266">
        <f t="shared" si="24"/>
        <v>1302.566089</v>
      </c>
      <c r="AF95" s="266">
        <f t="shared" si="24"/>
        <v>629.1587084</v>
      </c>
      <c r="AG95" s="266">
        <f t="shared" si="24"/>
        <v>10379.48958</v>
      </c>
      <c r="AH95" s="266">
        <f t="shared" si="24"/>
        <v>3386.89367</v>
      </c>
      <c r="AI95" s="266">
        <f t="shared" si="24"/>
        <v>3090.616702</v>
      </c>
      <c r="AJ95" s="266">
        <f t="shared" si="24"/>
        <v>578.8960387</v>
      </c>
      <c r="AK95" s="266">
        <f t="shared" si="24"/>
        <v>5848.867037</v>
      </c>
      <c r="AL95" s="266">
        <f t="shared" si="24"/>
        <v>14712.23146</v>
      </c>
      <c r="AM95" s="266">
        <f t="shared" si="24"/>
        <v>17486.16325</v>
      </c>
      <c r="AN95" s="266">
        <f t="shared" si="24"/>
        <v>10061.66117</v>
      </c>
      <c r="AO95" s="266">
        <f t="shared" si="24"/>
        <v>4114.431557</v>
      </c>
      <c r="AP95" s="266">
        <f t="shared" si="24"/>
        <v>3347.108575</v>
      </c>
      <c r="AQ95" s="266">
        <f t="shared" si="24"/>
        <v>725.3019798</v>
      </c>
      <c r="AR95" s="266">
        <f t="shared" si="24"/>
        <v>2507.242088</v>
      </c>
      <c r="AS95" s="266">
        <f t="shared" si="24"/>
        <v>3190.117237</v>
      </c>
      <c r="AT95" s="266">
        <f t="shared" si="24"/>
        <v>1599.578918</v>
      </c>
      <c r="AU95" s="266">
        <f t="shared" si="24"/>
        <v>14364.16218</v>
      </c>
      <c r="AV95" s="266">
        <f t="shared" si="24"/>
        <v>22640.80092</v>
      </c>
      <c r="AW95" s="219"/>
    </row>
    <row r="96">
      <c r="A96" s="122"/>
      <c r="B96" s="123"/>
      <c r="C96" s="286"/>
      <c r="D96" s="123"/>
      <c r="E96" s="199" t="s">
        <v>229</v>
      </c>
      <c r="F96" s="200" t="s">
        <v>76</v>
      </c>
      <c r="G96" s="200" t="s">
        <v>161</v>
      </c>
      <c r="H96" s="313" t="s">
        <v>162</v>
      </c>
      <c r="I96" s="229">
        <f t="shared" ref="I96:AV96" si="25">I95*$H92</f>
        <v>11576.88682</v>
      </c>
      <c r="J96" s="229">
        <f t="shared" si="25"/>
        <v>5601.435503</v>
      </c>
      <c r="K96" s="229">
        <f t="shared" si="25"/>
        <v>10435.32673</v>
      </c>
      <c r="L96" s="229">
        <f t="shared" si="25"/>
        <v>5143.407614</v>
      </c>
      <c r="M96" s="229">
        <f t="shared" si="25"/>
        <v>7312.70628</v>
      </c>
      <c r="N96" s="229">
        <f t="shared" si="25"/>
        <v>9658.47448</v>
      </c>
      <c r="O96" s="229">
        <f t="shared" si="25"/>
        <v>17036.00341</v>
      </c>
      <c r="P96" s="229">
        <f t="shared" si="25"/>
        <v>22625.58973</v>
      </c>
      <c r="Q96" s="230">
        <f t="shared" si="25"/>
        <v>18366.86013</v>
      </c>
      <c r="R96" s="229">
        <f t="shared" si="25"/>
        <v>603.6444286</v>
      </c>
      <c r="S96" s="229">
        <f t="shared" si="25"/>
        <v>2170.652261</v>
      </c>
      <c r="T96" s="229">
        <f t="shared" si="25"/>
        <v>562.1442377</v>
      </c>
      <c r="U96" s="229">
        <f t="shared" si="25"/>
        <v>720.5044078</v>
      </c>
      <c r="V96" s="229">
        <f t="shared" si="25"/>
        <v>1327.084299</v>
      </c>
      <c r="W96" s="229">
        <f t="shared" si="25"/>
        <v>1525.500386</v>
      </c>
      <c r="X96" s="229">
        <f t="shared" si="25"/>
        <v>3164.060121</v>
      </c>
      <c r="Y96" s="229">
        <f t="shared" si="25"/>
        <v>397.62722</v>
      </c>
      <c r="Z96" s="229">
        <f t="shared" si="25"/>
        <v>928.8490301</v>
      </c>
      <c r="AA96" s="229">
        <f t="shared" si="25"/>
        <v>85.15371367</v>
      </c>
      <c r="AB96" s="229">
        <f t="shared" si="25"/>
        <v>468.5995272</v>
      </c>
      <c r="AC96" s="229">
        <f t="shared" si="25"/>
        <v>217.5291136</v>
      </c>
      <c r="AD96" s="229">
        <f t="shared" si="25"/>
        <v>103.6574767</v>
      </c>
      <c r="AE96" s="229">
        <f t="shared" si="25"/>
        <v>399.1974294</v>
      </c>
      <c r="AF96" s="229">
        <f t="shared" si="25"/>
        <v>192.8182694</v>
      </c>
      <c r="AG96" s="229">
        <f t="shared" si="25"/>
        <v>3181.002172</v>
      </c>
      <c r="AH96" s="229">
        <f t="shared" si="25"/>
        <v>1037.981303</v>
      </c>
      <c r="AI96" s="229">
        <f t="shared" si="25"/>
        <v>947.1813008</v>
      </c>
      <c r="AJ96" s="229">
        <f t="shared" si="25"/>
        <v>177.414269</v>
      </c>
      <c r="AK96" s="229">
        <f t="shared" si="25"/>
        <v>1792.502281</v>
      </c>
      <c r="AL96" s="229">
        <f t="shared" si="25"/>
        <v>4508.857574</v>
      </c>
      <c r="AM96" s="229">
        <f t="shared" si="25"/>
        <v>5358.984452</v>
      </c>
      <c r="AN96" s="229">
        <f t="shared" si="25"/>
        <v>3083.597297</v>
      </c>
      <c r="AO96" s="229">
        <f t="shared" si="25"/>
        <v>1260.949839</v>
      </c>
      <c r="AP96" s="229">
        <f t="shared" si="25"/>
        <v>1025.788365</v>
      </c>
      <c r="AQ96" s="229">
        <f t="shared" si="25"/>
        <v>222.2832978</v>
      </c>
      <c r="AR96" s="229">
        <f t="shared" si="25"/>
        <v>768.3944828</v>
      </c>
      <c r="AS96" s="229">
        <f t="shared" si="25"/>
        <v>977.6752295</v>
      </c>
      <c r="AT96" s="229">
        <f t="shared" si="25"/>
        <v>490.2229509</v>
      </c>
      <c r="AU96" s="229">
        <f t="shared" si="25"/>
        <v>4402.184783</v>
      </c>
      <c r="AV96" s="229">
        <f t="shared" si="25"/>
        <v>6938.726257</v>
      </c>
      <c r="AW96" s="205"/>
    </row>
    <row r="97">
      <c r="A97" s="68"/>
      <c r="B97" s="13"/>
      <c r="C97" s="13"/>
      <c r="D97" s="13"/>
      <c r="E97" s="314"/>
      <c r="F97" s="315"/>
      <c r="G97" s="316"/>
      <c r="H97" s="127"/>
      <c r="I97" s="317"/>
      <c r="J97" s="128"/>
      <c r="K97" s="128"/>
      <c r="L97" s="128"/>
      <c r="M97" s="128"/>
      <c r="N97" s="128"/>
      <c r="O97" s="128"/>
      <c r="P97" s="128"/>
      <c r="Q97" s="129"/>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30"/>
    </row>
    <row r="98">
      <c r="A98" s="68"/>
      <c r="B98" s="13"/>
      <c r="C98" s="53" t="s">
        <v>230</v>
      </c>
      <c r="F98" s="315"/>
      <c r="G98" s="315"/>
      <c r="H98" s="127"/>
      <c r="I98" s="317"/>
      <c r="J98" s="128"/>
      <c r="K98" s="128"/>
      <c r="L98" s="128"/>
      <c r="M98" s="128"/>
      <c r="N98" s="128"/>
      <c r="O98" s="128"/>
      <c r="P98" s="128"/>
      <c r="Q98" s="129"/>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30"/>
    </row>
    <row r="99">
      <c r="A99" s="68"/>
      <c r="B99" s="13"/>
      <c r="C99" s="13"/>
      <c r="D99" s="13"/>
      <c r="E99" s="318" t="s">
        <v>231</v>
      </c>
      <c r="F99" s="319" t="str">
        <f>Inputs!F255</f>
        <v>₦</v>
      </c>
      <c r="G99" s="319" t="str">
        <f>Inputs!G255</f>
        <v>input</v>
      </c>
      <c r="H99" s="320">
        <f>Inputs!H255</f>
        <v>298</v>
      </c>
      <c r="I99" s="321" t="str">
        <f>Inputs!I255</f>
        <v>-</v>
      </c>
      <c r="J99" s="321" t="str">
        <f>Inputs!J255</f>
        <v>-</v>
      </c>
      <c r="K99" s="321" t="str">
        <f>Inputs!K255</f>
        <v>-</v>
      </c>
      <c r="L99" s="321" t="str">
        <f>Inputs!L255</f>
        <v>-</v>
      </c>
      <c r="M99" s="321" t="str">
        <f>Inputs!M255</f>
        <v>-</v>
      </c>
      <c r="N99" s="321" t="str">
        <f>Inputs!N255</f>
        <v>-</v>
      </c>
      <c r="O99" s="321" t="str">
        <f>Inputs!O255</f>
        <v>-</v>
      </c>
      <c r="P99" s="321" t="str">
        <f>Inputs!P255</f>
        <v>-</v>
      </c>
      <c r="Q99" s="322" t="str">
        <f>Inputs!Q255</f>
        <v>-</v>
      </c>
      <c r="R99" s="321" t="str">
        <f>Inputs!R255</f>
        <v>-</v>
      </c>
      <c r="S99" s="321" t="str">
        <f>Inputs!S255</f>
        <v>-</v>
      </c>
      <c r="T99" s="321" t="str">
        <f>Inputs!T255</f>
        <v>-</v>
      </c>
      <c r="U99" s="321" t="str">
        <f>Inputs!U255</f>
        <v>-</v>
      </c>
      <c r="V99" s="321" t="str">
        <f>Inputs!V255</f>
        <v>-</v>
      </c>
      <c r="W99" s="321" t="str">
        <f>Inputs!W255</f>
        <v>-</v>
      </c>
      <c r="X99" s="321" t="str">
        <f>Inputs!X255</f>
        <v>-</v>
      </c>
      <c r="Y99" s="321" t="str">
        <f>Inputs!Y255</f>
        <v>-</v>
      </c>
      <c r="Z99" s="321" t="str">
        <f>Inputs!Z255</f>
        <v>-</v>
      </c>
      <c r="AA99" s="321" t="str">
        <f>Inputs!AA255</f>
        <v>-</v>
      </c>
      <c r="AB99" s="321" t="str">
        <f>Inputs!AB255</f>
        <v>-</v>
      </c>
      <c r="AC99" s="321" t="str">
        <f>Inputs!AC255</f>
        <v>-</v>
      </c>
      <c r="AD99" s="321" t="str">
        <f>Inputs!AD255</f>
        <v>-</v>
      </c>
      <c r="AE99" s="321" t="str">
        <f>Inputs!AE255</f>
        <v>-</v>
      </c>
      <c r="AF99" s="321" t="str">
        <f>Inputs!AF255</f>
        <v>-</v>
      </c>
      <c r="AG99" s="321" t="str">
        <f>Inputs!AG255</f>
        <v>-</v>
      </c>
      <c r="AH99" s="321" t="str">
        <f>Inputs!AH255</f>
        <v>-</v>
      </c>
      <c r="AI99" s="321" t="str">
        <f>Inputs!AI255</f>
        <v>-</v>
      </c>
      <c r="AJ99" s="321" t="str">
        <f>Inputs!AJ255</f>
        <v>-</v>
      </c>
      <c r="AK99" s="321" t="str">
        <f>Inputs!AK255</f>
        <v>-</v>
      </c>
      <c r="AL99" s="321" t="str">
        <f>Inputs!AL255</f>
        <v>-</v>
      </c>
      <c r="AM99" s="321" t="str">
        <f>Inputs!AM255</f>
        <v>-</v>
      </c>
      <c r="AN99" s="321" t="str">
        <f>Inputs!AN255</f>
        <v>-</v>
      </c>
      <c r="AO99" s="321" t="str">
        <f>Inputs!AO255</f>
        <v>-</v>
      </c>
      <c r="AP99" s="321" t="str">
        <f>Inputs!AP255</f>
        <v>-</v>
      </c>
      <c r="AQ99" s="321" t="str">
        <f>Inputs!AQ255</f>
        <v>-</v>
      </c>
      <c r="AR99" s="321" t="str">
        <f>Inputs!AR255</f>
        <v>-</v>
      </c>
      <c r="AS99" s="321" t="str">
        <f>Inputs!AS255</f>
        <v>-</v>
      </c>
      <c r="AT99" s="321" t="str">
        <f>Inputs!AT255</f>
        <v>-</v>
      </c>
      <c r="AU99" s="321" t="str">
        <f>Inputs!AU255</f>
        <v>-</v>
      </c>
      <c r="AV99" s="321" t="str">
        <f>Inputs!AV255</f>
        <v>-</v>
      </c>
      <c r="AW99" s="256"/>
    </row>
    <row r="100">
      <c r="A100" s="68"/>
      <c r="B100" s="13"/>
      <c r="C100" s="13"/>
      <c r="D100" s="13"/>
      <c r="E100" s="318" t="s">
        <v>232</v>
      </c>
      <c r="F100" s="319" t="str">
        <f>Inputs!F256</f>
        <v>%</v>
      </c>
      <c r="G100" s="319" t="str">
        <f>Inputs!G256</f>
        <v>input</v>
      </c>
      <c r="H100" s="255">
        <f>Inputs!H256</f>
        <v>0.6772</v>
      </c>
      <c r="I100" s="321"/>
      <c r="J100" s="321"/>
      <c r="K100" s="321"/>
      <c r="L100" s="321"/>
      <c r="M100" s="321"/>
      <c r="N100" s="321"/>
      <c r="O100" s="321"/>
      <c r="P100" s="321"/>
      <c r="Q100" s="322"/>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c r="AN100" s="321"/>
      <c r="AO100" s="321"/>
      <c r="AP100" s="321"/>
      <c r="AQ100" s="321"/>
      <c r="AR100" s="321"/>
      <c r="AS100" s="321"/>
      <c r="AT100" s="321"/>
      <c r="AU100" s="321"/>
      <c r="AV100" s="321"/>
      <c r="AW100" s="256"/>
    </row>
    <row r="101">
      <c r="A101" s="68"/>
      <c r="B101" s="13"/>
      <c r="C101" s="13"/>
      <c r="D101" s="13"/>
      <c r="E101" s="323" t="s">
        <v>233</v>
      </c>
      <c r="F101" s="324" t="str">
        <f>Inputs!F257</f>
        <v>#</v>
      </c>
      <c r="G101" s="324" t="str">
        <f>Inputs!G257</f>
        <v>input</v>
      </c>
      <c r="H101" s="325">
        <f>Inputs!H257</f>
        <v>6</v>
      </c>
      <c r="I101" s="326" t="str">
        <f>Inputs!I257</f>
        <v>-</v>
      </c>
      <c r="J101" s="326" t="str">
        <f>Inputs!J257</f>
        <v>-</v>
      </c>
      <c r="K101" s="326" t="str">
        <f>Inputs!K257</f>
        <v>-</v>
      </c>
      <c r="L101" s="321" t="str">
        <f>Inputs!L257</f>
        <v>-</v>
      </c>
      <c r="M101" s="326" t="str">
        <f>Inputs!M257</f>
        <v>-</v>
      </c>
      <c r="N101" s="326" t="str">
        <f>Inputs!N257</f>
        <v>-</v>
      </c>
      <c r="O101" s="326" t="str">
        <f>Inputs!O257</f>
        <v>-</v>
      </c>
      <c r="P101" s="326" t="str">
        <f>Inputs!P257</f>
        <v>-</v>
      </c>
      <c r="Q101" s="327" t="str">
        <f>Inputs!Q257</f>
        <v>-</v>
      </c>
      <c r="R101" s="326" t="str">
        <f>Inputs!R257</f>
        <v>-</v>
      </c>
      <c r="S101" s="326" t="str">
        <f>Inputs!S257</f>
        <v>-</v>
      </c>
      <c r="T101" s="326" t="str">
        <f>Inputs!T257</f>
        <v>-</v>
      </c>
      <c r="U101" s="326" t="str">
        <f>Inputs!U257</f>
        <v>-</v>
      </c>
      <c r="V101" s="326" t="str">
        <f>Inputs!V257</f>
        <v>-</v>
      </c>
      <c r="W101" s="326" t="str">
        <f>Inputs!W257</f>
        <v>-</v>
      </c>
      <c r="X101" s="326" t="str">
        <f>Inputs!X257</f>
        <v>-</v>
      </c>
      <c r="Y101" s="326" t="str">
        <f>Inputs!Y257</f>
        <v>-</v>
      </c>
      <c r="Z101" s="326" t="str">
        <f>Inputs!Z257</f>
        <v>-</v>
      </c>
      <c r="AA101" s="326" t="str">
        <f>Inputs!AA257</f>
        <v>-</v>
      </c>
      <c r="AB101" s="326" t="str">
        <f>Inputs!AB257</f>
        <v>-</v>
      </c>
      <c r="AC101" s="326" t="str">
        <f>Inputs!AC257</f>
        <v>-</v>
      </c>
      <c r="AD101" s="326" t="str">
        <f>Inputs!AD257</f>
        <v>-</v>
      </c>
      <c r="AE101" s="326" t="str">
        <f>Inputs!AE257</f>
        <v>-</v>
      </c>
      <c r="AF101" s="326" t="str">
        <f>Inputs!AF257</f>
        <v>-</v>
      </c>
      <c r="AG101" s="326" t="str">
        <f>Inputs!AG257</f>
        <v>-</v>
      </c>
      <c r="AH101" s="326" t="str">
        <f>Inputs!AH257</f>
        <v>-</v>
      </c>
      <c r="AI101" s="326" t="str">
        <f>Inputs!AI257</f>
        <v>-</v>
      </c>
      <c r="AJ101" s="326" t="str">
        <f>Inputs!AJ257</f>
        <v>-</v>
      </c>
      <c r="AK101" s="326" t="str">
        <f>Inputs!AK257</f>
        <v>-</v>
      </c>
      <c r="AL101" s="326" t="str">
        <f>Inputs!AL257</f>
        <v>-</v>
      </c>
      <c r="AM101" s="326" t="str">
        <f>Inputs!AM257</f>
        <v>-</v>
      </c>
      <c r="AN101" s="326" t="str">
        <f>Inputs!AN257</f>
        <v>-</v>
      </c>
      <c r="AO101" s="326" t="str">
        <f>Inputs!AO257</f>
        <v>-</v>
      </c>
      <c r="AP101" s="326" t="str">
        <f>Inputs!AP257</f>
        <v>-</v>
      </c>
      <c r="AQ101" s="326" t="str">
        <f>Inputs!AQ257</f>
        <v>-</v>
      </c>
      <c r="AR101" s="326" t="str">
        <f>Inputs!AR257</f>
        <v>-</v>
      </c>
      <c r="AS101" s="326" t="str">
        <f>Inputs!AS257</f>
        <v>-</v>
      </c>
      <c r="AT101" s="326" t="str">
        <f>Inputs!AT257</f>
        <v>-</v>
      </c>
      <c r="AU101" s="326" t="str">
        <f>Inputs!AU257</f>
        <v>-</v>
      </c>
      <c r="AV101" s="326" t="str">
        <f>Inputs!AV257</f>
        <v>-</v>
      </c>
      <c r="AW101" s="259"/>
    </row>
    <row r="102">
      <c r="A102" s="68"/>
      <c r="B102" s="13"/>
      <c r="C102" s="13"/>
      <c r="D102" s="13"/>
      <c r="E102" s="328" t="s">
        <v>234</v>
      </c>
      <c r="F102" s="324" t="str">
        <f>Inputs!F258</f>
        <v>₦</v>
      </c>
      <c r="G102" s="329" t="s">
        <v>161</v>
      </c>
      <c r="H102" s="330">
        <f>(H99*H101)*(1-H100)</f>
        <v>577.1664</v>
      </c>
      <c r="I102" s="326" t="str">
        <f>Inputs!I258</f>
        <v>-</v>
      </c>
      <c r="J102" s="326" t="str">
        <f>Inputs!J258</f>
        <v>-</v>
      </c>
      <c r="K102" s="326" t="str">
        <f>Inputs!K258</f>
        <v>-</v>
      </c>
      <c r="L102" s="321" t="str">
        <f>Inputs!L258</f>
        <v>-</v>
      </c>
      <c r="M102" s="326" t="str">
        <f>Inputs!M258</f>
        <v>-</v>
      </c>
      <c r="N102" s="326" t="str">
        <f>Inputs!N258</f>
        <v>-</v>
      </c>
      <c r="O102" s="326" t="str">
        <f>Inputs!O258</f>
        <v>-</v>
      </c>
      <c r="P102" s="326" t="str">
        <f>Inputs!P258</f>
        <v>-</v>
      </c>
      <c r="Q102" s="327" t="str">
        <f>Inputs!Q258</f>
        <v>-</v>
      </c>
      <c r="R102" s="326" t="str">
        <f>Inputs!R258</f>
        <v>-</v>
      </c>
      <c r="S102" s="326" t="str">
        <f>Inputs!S258</f>
        <v>-</v>
      </c>
      <c r="T102" s="326" t="str">
        <f>Inputs!T258</f>
        <v>-</v>
      </c>
      <c r="U102" s="326" t="str">
        <f>Inputs!U258</f>
        <v>-</v>
      </c>
      <c r="V102" s="326" t="str">
        <f>Inputs!V258</f>
        <v>-</v>
      </c>
      <c r="W102" s="326" t="str">
        <f>Inputs!W258</f>
        <v>-</v>
      </c>
      <c r="X102" s="326" t="str">
        <f>Inputs!X258</f>
        <v>-</v>
      </c>
      <c r="Y102" s="326" t="str">
        <f>Inputs!Y258</f>
        <v>-</v>
      </c>
      <c r="Z102" s="326" t="str">
        <f>Inputs!Z258</f>
        <v>-</v>
      </c>
      <c r="AA102" s="326" t="str">
        <f>Inputs!AA258</f>
        <v>-</v>
      </c>
      <c r="AB102" s="326" t="str">
        <f>Inputs!AB258</f>
        <v>-</v>
      </c>
      <c r="AC102" s="326" t="str">
        <f>Inputs!AC258</f>
        <v>-</v>
      </c>
      <c r="AD102" s="326" t="str">
        <f>Inputs!AD258</f>
        <v>-</v>
      </c>
      <c r="AE102" s="326" t="str">
        <f>Inputs!AE258</f>
        <v>-</v>
      </c>
      <c r="AF102" s="326" t="str">
        <f>Inputs!AF258</f>
        <v>-</v>
      </c>
      <c r="AG102" s="326" t="str">
        <f>Inputs!AG258</f>
        <v>-</v>
      </c>
      <c r="AH102" s="326" t="str">
        <f>Inputs!AH258</f>
        <v>-</v>
      </c>
      <c r="AI102" s="326" t="str">
        <f>Inputs!AI258</f>
        <v>-</v>
      </c>
      <c r="AJ102" s="326" t="str">
        <f>Inputs!AJ258</f>
        <v>-</v>
      </c>
      <c r="AK102" s="326" t="str">
        <f>Inputs!AK258</f>
        <v>-</v>
      </c>
      <c r="AL102" s="326" t="str">
        <f>Inputs!AL258</f>
        <v>-</v>
      </c>
      <c r="AM102" s="326" t="str">
        <f>Inputs!AM258</f>
        <v>-</v>
      </c>
      <c r="AN102" s="326" t="str">
        <f>Inputs!AN258</f>
        <v>-</v>
      </c>
      <c r="AO102" s="326" t="str">
        <f>Inputs!AO258</f>
        <v>-</v>
      </c>
      <c r="AP102" s="326" t="str">
        <f>Inputs!AP258</f>
        <v>-</v>
      </c>
      <c r="AQ102" s="326" t="str">
        <f>Inputs!AQ258</f>
        <v>-</v>
      </c>
      <c r="AR102" s="326" t="str">
        <f>Inputs!AR258</f>
        <v>-</v>
      </c>
      <c r="AS102" s="326" t="str">
        <f>Inputs!AS258</f>
        <v>-</v>
      </c>
      <c r="AT102" s="326" t="str">
        <f>Inputs!AT258</f>
        <v>-</v>
      </c>
      <c r="AU102" s="326" t="str">
        <f>Inputs!AU258</f>
        <v>-</v>
      </c>
      <c r="AV102" s="326" t="str">
        <f>Inputs!AV258</f>
        <v>-</v>
      </c>
      <c r="AW102" s="259"/>
    </row>
    <row r="103">
      <c r="A103" s="68"/>
      <c r="B103" s="13"/>
      <c r="C103" s="13"/>
      <c r="D103" s="13"/>
      <c r="E103" s="323" t="s">
        <v>235</v>
      </c>
      <c r="F103" s="324" t="str">
        <f>Inputs!F258</f>
        <v>₦</v>
      </c>
      <c r="G103" s="324" t="str">
        <f>Inputs!G258</f>
        <v>input</v>
      </c>
      <c r="H103" s="330">
        <f>Inputs!H258</f>
        <v>1000</v>
      </c>
      <c r="I103" s="326" t="str">
        <f>Inputs!I258</f>
        <v>-</v>
      </c>
      <c r="J103" s="326" t="str">
        <f>Inputs!J258</f>
        <v>-</v>
      </c>
      <c r="K103" s="326" t="str">
        <f>Inputs!K258</f>
        <v>-</v>
      </c>
      <c r="L103" s="321" t="str">
        <f>Inputs!L259</f>
        <v>-</v>
      </c>
      <c r="M103" s="326" t="str">
        <f>Inputs!M258</f>
        <v>-</v>
      </c>
      <c r="N103" s="326" t="str">
        <f>Inputs!N258</f>
        <v>-</v>
      </c>
      <c r="O103" s="326" t="str">
        <f>Inputs!O258</f>
        <v>-</v>
      </c>
      <c r="P103" s="326" t="str">
        <f>Inputs!P258</f>
        <v>-</v>
      </c>
      <c r="Q103" s="327" t="str">
        <f>Inputs!Q258</f>
        <v>-</v>
      </c>
      <c r="R103" s="326" t="str">
        <f>Inputs!R258</f>
        <v>-</v>
      </c>
      <c r="S103" s="326" t="str">
        <f>Inputs!S258</f>
        <v>-</v>
      </c>
      <c r="T103" s="326" t="str">
        <f>Inputs!T258</f>
        <v>-</v>
      </c>
      <c r="U103" s="326" t="str">
        <f>Inputs!U258</f>
        <v>-</v>
      </c>
      <c r="V103" s="326" t="str">
        <f>Inputs!V258</f>
        <v>-</v>
      </c>
      <c r="W103" s="326" t="str">
        <f>Inputs!W258</f>
        <v>-</v>
      </c>
      <c r="X103" s="326" t="str">
        <f>Inputs!X258</f>
        <v>-</v>
      </c>
      <c r="Y103" s="326" t="str">
        <f>Inputs!Y258</f>
        <v>-</v>
      </c>
      <c r="Z103" s="326" t="str">
        <f>Inputs!Z258</f>
        <v>-</v>
      </c>
      <c r="AA103" s="326" t="str">
        <f>Inputs!AA258</f>
        <v>-</v>
      </c>
      <c r="AB103" s="326" t="str">
        <f>Inputs!AB258</f>
        <v>-</v>
      </c>
      <c r="AC103" s="326" t="str">
        <f>Inputs!AC258</f>
        <v>-</v>
      </c>
      <c r="AD103" s="326" t="str">
        <f>Inputs!AD258</f>
        <v>-</v>
      </c>
      <c r="AE103" s="326" t="str">
        <f>Inputs!AE258</f>
        <v>-</v>
      </c>
      <c r="AF103" s="326" t="str">
        <f>Inputs!AF258</f>
        <v>-</v>
      </c>
      <c r="AG103" s="326" t="str">
        <f>Inputs!AG258</f>
        <v>-</v>
      </c>
      <c r="AH103" s="326" t="str">
        <f>Inputs!AH258</f>
        <v>-</v>
      </c>
      <c r="AI103" s="326" t="str">
        <f>Inputs!AI258</f>
        <v>-</v>
      </c>
      <c r="AJ103" s="326" t="str">
        <f>Inputs!AJ258</f>
        <v>-</v>
      </c>
      <c r="AK103" s="326" t="str">
        <f>Inputs!AK258</f>
        <v>-</v>
      </c>
      <c r="AL103" s="326" t="str">
        <f>Inputs!AL258</f>
        <v>-</v>
      </c>
      <c r="AM103" s="326" t="str">
        <f>Inputs!AM258</f>
        <v>-</v>
      </c>
      <c r="AN103" s="326" t="str">
        <f>Inputs!AN258</f>
        <v>-</v>
      </c>
      <c r="AO103" s="326" t="str">
        <f>Inputs!AO258</f>
        <v>-</v>
      </c>
      <c r="AP103" s="326" t="str">
        <f>Inputs!AP258</f>
        <v>-</v>
      </c>
      <c r="AQ103" s="326" t="str">
        <f>Inputs!AQ258</f>
        <v>-</v>
      </c>
      <c r="AR103" s="326" t="str">
        <f>Inputs!AR258</f>
        <v>-</v>
      </c>
      <c r="AS103" s="326" t="str">
        <f>Inputs!AS258</f>
        <v>-</v>
      </c>
      <c r="AT103" s="326" t="str">
        <f>Inputs!AT258</f>
        <v>-</v>
      </c>
      <c r="AU103" s="326" t="str">
        <f>Inputs!AU258</f>
        <v>-</v>
      </c>
      <c r="AV103" s="326" t="str">
        <f>Inputs!AV258</f>
        <v>-</v>
      </c>
      <c r="AW103" s="259"/>
    </row>
    <row r="104">
      <c r="A104" s="68"/>
      <c r="B104" s="13"/>
      <c r="C104" s="13"/>
      <c r="D104" s="13"/>
      <c r="E104" s="323" t="s">
        <v>236</v>
      </c>
      <c r="F104" s="324" t="str">
        <f>Inputs!F259</f>
        <v>₦</v>
      </c>
      <c r="G104" s="324" t="str">
        <f>Inputs!G259</f>
        <v>input</v>
      </c>
      <c r="H104" s="330">
        <f>Inputs!H259</f>
        <v>1000</v>
      </c>
      <c r="I104" s="326" t="str">
        <f>Inputs!I259</f>
        <v>-</v>
      </c>
      <c r="J104" s="326" t="str">
        <f>Inputs!J259</f>
        <v>-</v>
      </c>
      <c r="K104" s="326" t="str">
        <f>Inputs!K259</f>
        <v>-</v>
      </c>
      <c r="L104" s="321" t="str">
        <f>Inputs!L260</f>
        <v>-</v>
      </c>
      <c r="M104" s="326" t="str">
        <f>Inputs!M259</f>
        <v>-</v>
      </c>
      <c r="N104" s="326" t="str">
        <f>Inputs!N259</f>
        <v>-</v>
      </c>
      <c r="O104" s="326" t="str">
        <f>Inputs!O259</f>
        <v>-</v>
      </c>
      <c r="P104" s="326" t="str">
        <f>Inputs!P259</f>
        <v>-</v>
      </c>
      <c r="Q104" s="327" t="str">
        <f>Inputs!Q259</f>
        <v>-</v>
      </c>
      <c r="R104" s="326" t="str">
        <f>Inputs!R259</f>
        <v>-</v>
      </c>
      <c r="S104" s="326" t="str">
        <f>Inputs!S259</f>
        <v>-</v>
      </c>
      <c r="T104" s="326" t="str">
        <f>Inputs!T259</f>
        <v>-</v>
      </c>
      <c r="U104" s="326" t="str">
        <f>Inputs!U259</f>
        <v>-</v>
      </c>
      <c r="V104" s="326" t="str">
        <f>Inputs!V259</f>
        <v>-</v>
      </c>
      <c r="W104" s="326" t="str">
        <f>Inputs!W259</f>
        <v>-</v>
      </c>
      <c r="X104" s="326" t="str">
        <f>Inputs!X259</f>
        <v>-</v>
      </c>
      <c r="Y104" s="326" t="str">
        <f>Inputs!Y259</f>
        <v>-</v>
      </c>
      <c r="Z104" s="326" t="str">
        <f>Inputs!Z259</f>
        <v>-</v>
      </c>
      <c r="AA104" s="326" t="str">
        <f>Inputs!AA259</f>
        <v>-</v>
      </c>
      <c r="AB104" s="326" t="str">
        <f>Inputs!AB259</f>
        <v>-</v>
      </c>
      <c r="AC104" s="326" t="str">
        <f>Inputs!AC259</f>
        <v>-</v>
      </c>
      <c r="AD104" s="326" t="str">
        <f>Inputs!AD259</f>
        <v>-</v>
      </c>
      <c r="AE104" s="326" t="str">
        <f>Inputs!AE259</f>
        <v>-</v>
      </c>
      <c r="AF104" s="326" t="str">
        <f>Inputs!AF259</f>
        <v>-</v>
      </c>
      <c r="AG104" s="326" t="str">
        <f>Inputs!AG259</f>
        <v>-</v>
      </c>
      <c r="AH104" s="326" t="str">
        <f>Inputs!AH259</f>
        <v>-</v>
      </c>
      <c r="AI104" s="326" t="str">
        <f>Inputs!AI259</f>
        <v>-</v>
      </c>
      <c r="AJ104" s="326" t="str">
        <f>Inputs!AJ259</f>
        <v>-</v>
      </c>
      <c r="AK104" s="326" t="str">
        <f>Inputs!AK259</f>
        <v>-</v>
      </c>
      <c r="AL104" s="326" t="str">
        <f>Inputs!AL259</f>
        <v>-</v>
      </c>
      <c r="AM104" s="326" t="str">
        <f>Inputs!AM259</f>
        <v>-</v>
      </c>
      <c r="AN104" s="326" t="str">
        <f>Inputs!AN259</f>
        <v>-</v>
      </c>
      <c r="AO104" s="326" t="str">
        <f>Inputs!AO259</f>
        <v>-</v>
      </c>
      <c r="AP104" s="326" t="str">
        <f>Inputs!AP259</f>
        <v>-</v>
      </c>
      <c r="AQ104" s="326" t="str">
        <f>Inputs!AQ259</f>
        <v>-</v>
      </c>
      <c r="AR104" s="326" t="str">
        <f>Inputs!AR259</f>
        <v>-</v>
      </c>
      <c r="AS104" s="326" t="str">
        <f>Inputs!AS259</f>
        <v>-</v>
      </c>
      <c r="AT104" s="326" t="str">
        <f>Inputs!AT259</f>
        <v>-</v>
      </c>
      <c r="AU104" s="326" t="str">
        <f>Inputs!AU259</f>
        <v>-</v>
      </c>
      <c r="AV104" s="326" t="str">
        <f>Inputs!AV259</f>
        <v>-</v>
      </c>
      <c r="AW104" s="259"/>
    </row>
    <row r="105">
      <c r="A105" s="68"/>
      <c r="B105" s="13"/>
      <c r="C105" s="13"/>
      <c r="D105" s="13"/>
      <c r="E105" s="323" t="s">
        <v>237</v>
      </c>
      <c r="F105" s="324" t="str">
        <f>Inputs!F260</f>
        <v>₦</v>
      </c>
      <c r="G105" s="324" t="str">
        <f>Inputs!G260</f>
        <v>input</v>
      </c>
      <c r="H105" s="330">
        <f>Inputs!H260</f>
        <v>1000</v>
      </c>
      <c r="I105" s="326" t="str">
        <f>Inputs!I260</f>
        <v>-</v>
      </c>
      <c r="J105" s="326" t="str">
        <f>Inputs!J260</f>
        <v>-</v>
      </c>
      <c r="K105" s="326" t="str">
        <f>Inputs!K260</f>
        <v>-</v>
      </c>
      <c r="L105" s="321" t="str">
        <f>Inputs!L261</f>
        <v>-</v>
      </c>
      <c r="M105" s="326" t="str">
        <f>Inputs!M260</f>
        <v>-</v>
      </c>
      <c r="N105" s="326" t="str">
        <f>Inputs!N260</f>
        <v>-</v>
      </c>
      <c r="O105" s="326" t="str">
        <f>Inputs!O260</f>
        <v>-</v>
      </c>
      <c r="P105" s="326" t="str">
        <f>Inputs!P260</f>
        <v>-</v>
      </c>
      <c r="Q105" s="327" t="str">
        <f>Inputs!Q260</f>
        <v>-</v>
      </c>
      <c r="R105" s="326" t="str">
        <f>Inputs!R260</f>
        <v>-</v>
      </c>
      <c r="S105" s="326" t="str">
        <f>Inputs!S260</f>
        <v>-</v>
      </c>
      <c r="T105" s="326" t="str">
        <f>Inputs!T260</f>
        <v>-</v>
      </c>
      <c r="U105" s="326" t="str">
        <f>Inputs!U260</f>
        <v>-</v>
      </c>
      <c r="V105" s="326" t="str">
        <f>Inputs!V260</f>
        <v>-</v>
      </c>
      <c r="W105" s="326" t="str">
        <f>Inputs!W260</f>
        <v>-</v>
      </c>
      <c r="X105" s="326" t="str">
        <f>Inputs!X260</f>
        <v>-</v>
      </c>
      <c r="Y105" s="326" t="str">
        <f>Inputs!Y260</f>
        <v>-</v>
      </c>
      <c r="Z105" s="326" t="str">
        <f>Inputs!Z260</f>
        <v>-</v>
      </c>
      <c r="AA105" s="326" t="str">
        <f>Inputs!AA260</f>
        <v>-</v>
      </c>
      <c r="AB105" s="326" t="str">
        <f>Inputs!AB260</f>
        <v>-</v>
      </c>
      <c r="AC105" s="326" t="str">
        <f>Inputs!AC260</f>
        <v>-</v>
      </c>
      <c r="AD105" s="326" t="str">
        <f>Inputs!AD260</f>
        <v>-</v>
      </c>
      <c r="AE105" s="326" t="str">
        <f>Inputs!AE260</f>
        <v>-</v>
      </c>
      <c r="AF105" s="326" t="str">
        <f>Inputs!AF260</f>
        <v>-</v>
      </c>
      <c r="AG105" s="326" t="str">
        <f>Inputs!AG260</f>
        <v>-</v>
      </c>
      <c r="AH105" s="326" t="str">
        <f>Inputs!AH260</f>
        <v>-</v>
      </c>
      <c r="AI105" s="326" t="str">
        <f>Inputs!AI260</f>
        <v>-</v>
      </c>
      <c r="AJ105" s="326" t="str">
        <f>Inputs!AJ260</f>
        <v>-</v>
      </c>
      <c r="AK105" s="326" t="str">
        <f>Inputs!AK260</f>
        <v>-</v>
      </c>
      <c r="AL105" s="326" t="str">
        <f>Inputs!AL260</f>
        <v>-</v>
      </c>
      <c r="AM105" s="326" t="str">
        <f>Inputs!AM260</f>
        <v>-</v>
      </c>
      <c r="AN105" s="326" t="str">
        <f>Inputs!AN260</f>
        <v>-</v>
      </c>
      <c r="AO105" s="326" t="str">
        <f>Inputs!AO260</f>
        <v>-</v>
      </c>
      <c r="AP105" s="326" t="str">
        <f>Inputs!AP260</f>
        <v>-</v>
      </c>
      <c r="AQ105" s="326" t="str">
        <f>Inputs!AQ260</f>
        <v>-</v>
      </c>
      <c r="AR105" s="326" t="str">
        <f>Inputs!AR260</f>
        <v>-</v>
      </c>
      <c r="AS105" s="326" t="str">
        <f>Inputs!AS260</f>
        <v>-</v>
      </c>
      <c r="AT105" s="326" t="str">
        <f>Inputs!AT260</f>
        <v>-</v>
      </c>
      <c r="AU105" s="326" t="str">
        <f>Inputs!AU260</f>
        <v>-</v>
      </c>
      <c r="AV105" s="326" t="str">
        <f>Inputs!AV260</f>
        <v>-</v>
      </c>
      <c r="AW105" s="259"/>
    </row>
    <row r="106">
      <c r="A106" s="68"/>
      <c r="B106" s="13"/>
      <c r="C106" s="13"/>
      <c r="D106" s="13"/>
      <c r="E106" s="323" t="s">
        <v>238</v>
      </c>
      <c r="F106" s="324" t="str">
        <f>Inputs!F261</f>
        <v>₦</v>
      </c>
      <c r="G106" s="324" t="str">
        <f>Inputs!G261</f>
        <v>input</v>
      </c>
      <c r="H106" s="330">
        <f>Inputs!H261</f>
        <v>1000</v>
      </c>
      <c r="I106" s="326" t="str">
        <f>Inputs!I261</f>
        <v>-</v>
      </c>
      <c r="J106" s="326" t="str">
        <f>Inputs!J261</f>
        <v>-</v>
      </c>
      <c r="K106" s="326" t="str">
        <f>Inputs!K261</f>
        <v>-</v>
      </c>
      <c r="L106" s="321" t="str">
        <f>Inputs!L262</f>
        <v>-</v>
      </c>
      <c r="M106" s="326" t="str">
        <f>Inputs!M261</f>
        <v>-</v>
      </c>
      <c r="N106" s="326" t="str">
        <f>Inputs!N261</f>
        <v>-</v>
      </c>
      <c r="O106" s="326" t="str">
        <f>Inputs!O261</f>
        <v>-</v>
      </c>
      <c r="P106" s="326" t="str">
        <f>Inputs!P261</f>
        <v>-</v>
      </c>
      <c r="Q106" s="327" t="str">
        <f>Inputs!Q261</f>
        <v>-</v>
      </c>
      <c r="R106" s="326" t="str">
        <f>Inputs!R261</f>
        <v>-</v>
      </c>
      <c r="S106" s="326" t="str">
        <f>Inputs!S261</f>
        <v>-</v>
      </c>
      <c r="T106" s="326" t="str">
        <f>Inputs!T261</f>
        <v>-</v>
      </c>
      <c r="U106" s="326" t="str">
        <f>Inputs!U261</f>
        <v>-</v>
      </c>
      <c r="V106" s="326" t="str">
        <f>Inputs!V261</f>
        <v>-</v>
      </c>
      <c r="W106" s="326" t="str">
        <f>Inputs!W261</f>
        <v>-</v>
      </c>
      <c r="X106" s="326" t="str">
        <f>Inputs!X261</f>
        <v>-</v>
      </c>
      <c r="Y106" s="326" t="str">
        <f>Inputs!Y261</f>
        <v>-</v>
      </c>
      <c r="Z106" s="326" t="str">
        <f>Inputs!Z261</f>
        <v>-</v>
      </c>
      <c r="AA106" s="326" t="str">
        <f>Inputs!AA261</f>
        <v>-</v>
      </c>
      <c r="AB106" s="326" t="str">
        <f>Inputs!AB261</f>
        <v>-</v>
      </c>
      <c r="AC106" s="326" t="str">
        <f>Inputs!AC261</f>
        <v>-</v>
      </c>
      <c r="AD106" s="326" t="str">
        <f>Inputs!AD261</f>
        <v>-</v>
      </c>
      <c r="AE106" s="326" t="str">
        <f>Inputs!AE261</f>
        <v>-</v>
      </c>
      <c r="AF106" s="326" t="str">
        <f>Inputs!AF261</f>
        <v>-</v>
      </c>
      <c r="AG106" s="326" t="str">
        <f>Inputs!AG261</f>
        <v>-</v>
      </c>
      <c r="AH106" s="326" t="str">
        <f>Inputs!AH261</f>
        <v>-</v>
      </c>
      <c r="AI106" s="326" t="str">
        <f>Inputs!AI261</f>
        <v>-</v>
      </c>
      <c r="AJ106" s="326" t="str">
        <f>Inputs!AJ261</f>
        <v>-</v>
      </c>
      <c r="AK106" s="326" t="str">
        <f>Inputs!AK261</f>
        <v>-</v>
      </c>
      <c r="AL106" s="326" t="str">
        <f>Inputs!AL261</f>
        <v>-</v>
      </c>
      <c r="AM106" s="326" t="str">
        <f>Inputs!AM261</f>
        <v>-</v>
      </c>
      <c r="AN106" s="326" t="str">
        <f>Inputs!AN261</f>
        <v>-</v>
      </c>
      <c r="AO106" s="326" t="str">
        <f>Inputs!AO261</f>
        <v>-</v>
      </c>
      <c r="AP106" s="326" t="str">
        <f>Inputs!AP261</f>
        <v>-</v>
      </c>
      <c r="AQ106" s="326" t="str">
        <f>Inputs!AQ261</f>
        <v>-</v>
      </c>
      <c r="AR106" s="326" t="str">
        <f>Inputs!AR261</f>
        <v>-</v>
      </c>
      <c r="AS106" s="326" t="str">
        <f>Inputs!AS261</f>
        <v>-</v>
      </c>
      <c r="AT106" s="326" t="str">
        <f>Inputs!AT261</f>
        <v>-</v>
      </c>
      <c r="AU106" s="326" t="str">
        <f>Inputs!AU261</f>
        <v>-</v>
      </c>
      <c r="AV106" s="326" t="str">
        <f>Inputs!AV261</f>
        <v>-</v>
      </c>
      <c r="AW106" s="259"/>
    </row>
    <row r="107">
      <c r="A107" s="68"/>
      <c r="B107" s="13"/>
      <c r="C107" s="13"/>
      <c r="D107" s="13"/>
      <c r="E107" s="323" t="s">
        <v>239</v>
      </c>
      <c r="F107" s="324" t="str">
        <f>Inputs!F262</f>
        <v>₦</v>
      </c>
      <c r="G107" s="324" t="str">
        <f>Inputs!G262</f>
        <v>input</v>
      </c>
      <c r="H107" s="330">
        <f>Inputs!H262</f>
        <v>1000</v>
      </c>
      <c r="I107" s="326" t="str">
        <f>Inputs!I262</f>
        <v>-</v>
      </c>
      <c r="J107" s="326" t="str">
        <f>Inputs!J262</f>
        <v>-</v>
      </c>
      <c r="K107" s="326" t="str">
        <f>Inputs!K262</f>
        <v>-</v>
      </c>
      <c r="L107" s="321" t="str">
        <f>Inputs!L265</f>
        <v>-</v>
      </c>
      <c r="M107" s="326" t="str">
        <f>Inputs!M262</f>
        <v>-</v>
      </c>
      <c r="N107" s="326" t="str">
        <f>Inputs!N262</f>
        <v>-</v>
      </c>
      <c r="O107" s="326" t="str">
        <f>Inputs!O262</f>
        <v>-</v>
      </c>
      <c r="P107" s="326" t="str">
        <f>Inputs!P262</f>
        <v>-</v>
      </c>
      <c r="Q107" s="327" t="str">
        <f>Inputs!Q262</f>
        <v>-</v>
      </c>
      <c r="R107" s="326" t="str">
        <f>Inputs!R262</f>
        <v>-</v>
      </c>
      <c r="S107" s="326" t="str">
        <f>Inputs!S262</f>
        <v>-</v>
      </c>
      <c r="T107" s="326" t="str">
        <f>Inputs!T262</f>
        <v>-</v>
      </c>
      <c r="U107" s="326" t="str">
        <f>Inputs!U262</f>
        <v>-</v>
      </c>
      <c r="V107" s="326" t="str">
        <f>Inputs!V262</f>
        <v>-</v>
      </c>
      <c r="W107" s="326" t="str">
        <f>Inputs!W262</f>
        <v>-</v>
      </c>
      <c r="X107" s="326" t="str">
        <f>Inputs!X262</f>
        <v>-</v>
      </c>
      <c r="Y107" s="326" t="str">
        <f>Inputs!Y262</f>
        <v>-</v>
      </c>
      <c r="Z107" s="326" t="str">
        <f>Inputs!Z262</f>
        <v>-</v>
      </c>
      <c r="AA107" s="326" t="str">
        <f>Inputs!AA262</f>
        <v>-</v>
      </c>
      <c r="AB107" s="326" t="str">
        <f>Inputs!AB262</f>
        <v>-</v>
      </c>
      <c r="AC107" s="326" t="str">
        <f>Inputs!AC262</f>
        <v>-</v>
      </c>
      <c r="AD107" s="326" t="str">
        <f>Inputs!AD262</f>
        <v>-</v>
      </c>
      <c r="AE107" s="326" t="str">
        <f>Inputs!AE262</f>
        <v>-</v>
      </c>
      <c r="AF107" s="326" t="str">
        <f>Inputs!AF262</f>
        <v>-</v>
      </c>
      <c r="AG107" s="326" t="str">
        <f>Inputs!AG262</f>
        <v>-</v>
      </c>
      <c r="AH107" s="326" t="str">
        <f>Inputs!AH262</f>
        <v>-</v>
      </c>
      <c r="AI107" s="326" t="str">
        <f>Inputs!AI262</f>
        <v>-</v>
      </c>
      <c r="AJ107" s="326" t="str">
        <f>Inputs!AJ262</f>
        <v>-</v>
      </c>
      <c r="AK107" s="326" t="str">
        <f>Inputs!AK262</f>
        <v>-</v>
      </c>
      <c r="AL107" s="326" t="str">
        <f>Inputs!AL262</f>
        <v>-</v>
      </c>
      <c r="AM107" s="326" t="str">
        <f>Inputs!AM262</f>
        <v>-</v>
      </c>
      <c r="AN107" s="326" t="str">
        <f>Inputs!AN262</f>
        <v>-</v>
      </c>
      <c r="AO107" s="326" t="str">
        <f>Inputs!AO262</f>
        <v>-</v>
      </c>
      <c r="AP107" s="326" t="str">
        <f>Inputs!AP262</f>
        <v>-</v>
      </c>
      <c r="AQ107" s="326" t="str">
        <f>Inputs!AQ262</f>
        <v>-</v>
      </c>
      <c r="AR107" s="326" t="str">
        <f>Inputs!AR262</f>
        <v>-</v>
      </c>
      <c r="AS107" s="326" t="str">
        <f>Inputs!AS262</f>
        <v>-</v>
      </c>
      <c r="AT107" s="326" t="str">
        <f>Inputs!AT262</f>
        <v>-</v>
      </c>
      <c r="AU107" s="326" t="str">
        <f>Inputs!AU262</f>
        <v>-</v>
      </c>
      <c r="AV107" s="326" t="str">
        <f>Inputs!AV262</f>
        <v>-</v>
      </c>
      <c r="AW107" s="259"/>
    </row>
    <row r="108">
      <c r="A108" s="68"/>
      <c r="B108" s="13"/>
      <c r="C108" s="13"/>
      <c r="D108" s="13"/>
      <c r="E108" s="328" t="s">
        <v>240</v>
      </c>
      <c r="F108" s="324" t="str">
        <f>Inputs!F263</f>
        <v>₦</v>
      </c>
      <c r="G108" s="324" t="str">
        <f>Inputs!G263</f>
        <v>input</v>
      </c>
      <c r="H108" s="330">
        <f>Inputs!H263</f>
        <v>1000</v>
      </c>
      <c r="I108" s="220"/>
      <c r="J108" s="220"/>
      <c r="K108" s="220"/>
      <c r="L108" s="331"/>
      <c r="M108" s="220"/>
      <c r="N108" s="220"/>
      <c r="O108" s="220"/>
      <c r="P108" s="220"/>
      <c r="Q108" s="265"/>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59"/>
    </row>
    <row r="109">
      <c r="A109" s="68"/>
      <c r="B109" s="13"/>
      <c r="C109" s="13"/>
      <c r="D109" s="13"/>
      <c r="E109" s="328" t="s">
        <v>241</v>
      </c>
      <c r="F109" s="324" t="str">
        <f>Inputs!F264</f>
        <v>₦</v>
      </c>
      <c r="G109" s="324" t="str">
        <f>Inputs!G264</f>
        <v>input</v>
      </c>
      <c r="H109" s="330">
        <f>Inputs!H264</f>
        <v>5000</v>
      </c>
      <c r="I109" s="220"/>
      <c r="J109" s="220"/>
      <c r="K109" s="220"/>
      <c r="L109" s="331"/>
      <c r="M109" s="220"/>
      <c r="N109" s="220"/>
      <c r="O109" s="220"/>
      <c r="P109" s="220"/>
      <c r="Q109" s="265"/>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59"/>
    </row>
    <row r="110">
      <c r="A110" s="68"/>
      <c r="B110" s="13"/>
      <c r="C110" s="13"/>
      <c r="D110" s="13"/>
      <c r="E110" s="328" t="s">
        <v>242</v>
      </c>
      <c r="F110" s="324" t="s">
        <v>243</v>
      </c>
      <c r="G110" s="329" t="s">
        <v>161</v>
      </c>
      <c r="H110" s="330">
        <f>SUM(H103:H109)</f>
        <v>11000</v>
      </c>
      <c r="I110" s="220" t="s">
        <v>162</v>
      </c>
      <c r="J110" s="220" t="s">
        <v>162</v>
      </c>
      <c r="K110" s="220" t="s">
        <v>162</v>
      </c>
      <c r="L110" s="220" t="s">
        <v>162</v>
      </c>
      <c r="M110" s="220" t="s">
        <v>162</v>
      </c>
      <c r="N110" s="220" t="s">
        <v>162</v>
      </c>
      <c r="O110" s="220" t="s">
        <v>162</v>
      </c>
      <c r="P110" s="220" t="s">
        <v>162</v>
      </c>
      <c r="Q110" s="265" t="s">
        <v>162</v>
      </c>
      <c r="R110" s="220" t="s">
        <v>162</v>
      </c>
      <c r="S110" s="220" t="s">
        <v>162</v>
      </c>
      <c r="T110" s="220" t="s">
        <v>162</v>
      </c>
      <c r="U110" s="220" t="s">
        <v>162</v>
      </c>
      <c r="V110" s="220" t="s">
        <v>162</v>
      </c>
      <c r="W110" s="220" t="s">
        <v>162</v>
      </c>
      <c r="X110" s="220" t="s">
        <v>162</v>
      </c>
      <c r="Y110" s="220" t="s">
        <v>162</v>
      </c>
      <c r="Z110" s="220" t="s">
        <v>162</v>
      </c>
      <c r="AA110" s="220" t="s">
        <v>162</v>
      </c>
      <c r="AB110" s="220" t="s">
        <v>162</v>
      </c>
      <c r="AC110" s="220" t="s">
        <v>162</v>
      </c>
      <c r="AD110" s="220" t="s">
        <v>162</v>
      </c>
      <c r="AE110" s="220" t="s">
        <v>162</v>
      </c>
      <c r="AF110" s="220" t="s">
        <v>162</v>
      </c>
      <c r="AG110" s="220" t="s">
        <v>162</v>
      </c>
      <c r="AH110" s="220" t="s">
        <v>162</v>
      </c>
      <c r="AI110" s="220" t="s">
        <v>162</v>
      </c>
      <c r="AJ110" s="220" t="s">
        <v>162</v>
      </c>
      <c r="AK110" s="220" t="s">
        <v>162</v>
      </c>
      <c r="AL110" s="220" t="s">
        <v>162</v>
      </c>
      <c r="AM110" s="220" t="s">
        <v>162</v>
      </c>
      <c r="AN110" s="220" t="s">
        <v>162</v>
      </c>
      <c r="AO110" s="220" t="s">
        <v>162</v>
      </c>
      <c r="AP110" s="220" t="s">
        <v>162</v>
      </c>
      <c r="AQ110" s="220" t="s">
        <v>162</v>
      </c>
      <c r="AR110" s="220" t="s">
        <v>162</v>
      </c>
      <c r="AS110" s="220" t="s">
        <v>162</v>
      </c>
      <c r="AT110" s="220" t="s">
        <v>162</v>
      </c>
      <c r="AU110" s="220" t="s">
        <v>162</v>
      </c>
      <c r="AV110" s="220" t="s">
        <v>162</v>
      </c>
      <c r="AW110" s="259"/>
    </row>
    <row r="111">
      <c r="A111" s="68"/>
      <c r="B111" s="13"/>
      <c r="C111" s="13"/>
      <c r="D111" s="13"/>
      <c r="E111" s="323" t="s">
        <v>244</v>
      </c>
      <c r="F111" s="324" t="str">
        <f>Inputs!F265</f>
        <v>₦</v>
      </c>
      <c r="G111" s="324" t="str">
        <f>Inputs!G265</f>
        <v>input</v>
      </c>
      <c r="H111" s="330">
        <f>Inputs!H265</f>
        <v>1165</v>
      </c>
      <c r="I111" s="326" t="str">
        <f>Inputs!I265</f>
        <v>-</v>
      </c>
      <c r="J111" s="326" t="str">
        <f>Inputs!J265</f>
        <v>-</v>
      </c>
      <c r="K111" s="326" t="str">
        <f>Inputs!K265</f>
        <v>-</v>
      </c>
      <c r="L111" s="326" t="str">
        <f>Inputs!L265</f>
        <v>-</v>
      </c>
      <c r="M111" s="326" t="str">
        <f>Inputs!M265</f>
        <v>-</v>
      </c>
      <c r="N111" s="326" t="str">
        <f>Inputs!N265</f>
        <v>-</v>
      </c>
      <c r="O111" s="326" t="str">
        <f>Inputs!O265</f>
        <v>-</v>
      </c>
      <c r="P111" s="326" t="str">
        <f>Inputs!P265</f>
        <v>-</v>
      </c>
      <c r="Q111" s="327" t="str">
        <f>Inputs!Q265</f>
        <v>-</v>
      </c>
      <c r="R111" s="326" t="str">
        <f>Inputs!R265</f>
        <v>-</v>
      </c>
      <c r="S111" s="326" t="str">
        <f>Inputs!S265</f>
        <v>-</v>
      </c>
      <c r="T111" s="326" t="str">
        <f>Inputs!T265</f>
        <v>-</v>
      </c>
      <c r="U111" s="326" t="str">
        <f>Inputs!U265</f>
        <v>-</v>
      </c>
      <c r="V111" s="326" t="str">
        <f>Inputs!V265</f>
        <v>-</v>
      </c>
      <c r="W111" s="326" t="str">
        <f>Inputs!W265</f>
        <v>-</v>
      </c>
      <c r="X111" s="326" t="str">
        <f>Inputs!X265</f>
        <v>-</v>
      </c>
      <c r="Y111" s="326" t="str">
        <f>Inputs!Y265</f>
        <v>-</v>
      </c>
      <c r="Z111" s="326" t="str">
        <f>Inputs!Z265</f>
        <v>-</v>
      </c>
      <c r="AA111" s="326" t="str">
        <f>Inputs!AA265</f>
        <v>-</v>
      </c>
      <c r="AB111" s="326" t="str">
        <f>Inputs!AB265</f>
        <v>-</v>
      </c>
      <c r="AC111" s="326" t="str">
        <f>Inputs!AC265</f>
        <v>-</v>
      </c>
      <c r="AD111" s="326" t="str">
        <f>Inputs!AD265</f>
        <v>-</v>
      </c>
      <c r="AE111" s="326" t="str">
        <f>Inputs!AE265</f>
        <v>-</v>
      </c>
      <c r="AF111" s="326" t="str">
        <f>Inputs!AF265</f>
        <v>-</v>
      </c>
      <c r="AG111" s="326" t="str">
        <f>Inputs!AG265</f>
        <v>-</v>
      </c>
      <c r="AH111" s="326" t="str">
        <f>Inputs!AH265</f>
        <v>-</v>
      </c>
      <c r="AI111" s="326" t="str">
        <f>Inputs!AI265</f>
        <v>-</v>
      </c>
      <c r="AJ111" s="326" t="str">
        <f>Inputs!AJ265</f>
        <v>-</v>
      </c>
      <c r="AK111" s="326" t="str">
        <f>Inputs!AK265</f>
        <v>-</v>
      </c>
      <c r="AL111" s="326" t="str">
        <f>Inputs!AL265</f>
        <v>-</v>
      </c>
      <c r="AM111" s="326" t="str">
        <f>Inputs!AM265</f>
        <v>-</v>
      </c>
      <c r="AN111" s="326" t="str">
        <f>Inputs!AN265</f>
        <v>-</v>
      </c>
      <c r="AO111" s="326" t="str">
        <f>Inputs!AO265</f>
        <v>-</v>
      </c>
      <c r="AP111" s="326" t="str">
        <f>Inputs!AP265</f>
        <v>-</v>
      </c>
      <c r="AQ111" s="326" t="str">
        <f>Inputs!AQ265</f>
        <v>-</v>
      </c>
      <c r="AR111" s="326" t="str">
        <f>Inputs!AR265</f>
        <v>-</v>
      </c>
      <c r="AS111" s="326" t="str">
        <f>Inputs!AS265</f>
        <v>-</v>
      </c>
      <c r="AT111" s="326" t="str">
        <f>Inputs!AT265</f>
        <v>-</v>
      </c>
      <c r="AU111" s="326" t="str">
        <f>Inputs!AU265</f>
        <v>-</v>
      </c>
      <c r="AV111" s="326" t="str">
        <f>Inputs!AV265</f>
        <v>-</v>
      </c>
      <c r="AW111" s="259"/>
    </row>
    <row r="112">
      <c r="A112" s="68"/>
      <c r="B112" s="13"/>
      <c r="C112" s="13"/>
      <c r="D112" s="13"/>
      <c r="E112" s="328" t="s">
        <v>245</v>
      </c>
      <c r="F112" s="329" t="s">
        <v>68</v>
      </c>
      <c r="G112" s="329" t="s">
        <v>161</v>
      </c>
      <c r="H112" s="332">
        <f>H102/H111</f>
        <v>0.4954218026</v>
      </c>
      <c r="I112" s="220" t="s">
        <v>162</v>
      </c>
      <c r="J112" s="220" t="s">
        <v>162</v>
      </c>
      <c r="K112" s="220" t="s">
        <v>162</v>
      </c>
      <c r="L112" s="220" t="s">
        <v>162</v>
      </c>
      <c r="M112" s="220" t="s">
        <v>162</v>
      </c>
      <c r="N112" s="220" t="s">
        <v>162</v>
      </c>
      <c r="O112" s="220" t="s">
        <v>162</v>
      </c>
      <c r="P112" s="220" t="s">
        <v>162</v>
      </c>
      <c r="Q112" s="265" t="s">
        <v>162</v>
      </c>
      <c r="R112" s="220" t="s">
        <v>162</v>
      </c>
      <c r="S112" s="220" t="s">
        <v>162</v>
      </c>
      <c r="T112" s="220" t="s">
        <v>162</v>
      </c>
      <c r="U112" s="220" t="s">
        <v>162</v>
      </c>
      <c r="V112" s="220" t="s">
        <v>162</v>
      </c>
      <c r="W112" s="220" t="s">
        <v>162</v>
      </c>
      <c r="X112" s="220" t="s">
        <v>162</v>
      </c>
      <c r="Y112" s="220" t="s">
        <v>162</v>
      </c>
      <c r="Z112" s="220" t="s">
        <v>162</v>
      </c>
      <c r="AA112" s="220" t="s">
        <v>162</v>
      </c>
      <c r="AB112" s="220" t="s">
        <v>162</v>
      </c>
      <c r="AC112" s="220" t="s">
        <v>162</v>
      </c>
      <c r="AD112" s="220" t="s">
        <v>162</v>
      </c>
      <c r="AE112" s="220" t="s">
        <v>162</v>
      </c>
      <c r="AF112" s="220" t="s">
        <v>162</v>
      </c>
      <c r="AG112" s="220" t="s">
        <v>162</v>
      </c>
      <c r="AH112" s="220" t="s">
        <v>162</v>
      </c>
      <c r="AI112" s="220" t="s">
        <v>162</v>
      </c>
      <c r="AJ112" s="220" t="s">
        <v>162</v>
      </c>
      <c r="AK112" s="220" t="s">
        <v>162</v>
      </c>
      <c r="AL112" s="326" t="str">
        <f>Inputs!AL266</f>
        <v>-</v>
      </c>
      <c r="AM112" s="326" t="str">
        <f>Inputs!AM266</f>
        <v>-</v>
      </c>
      <c r="AN112" s="326" t="str">
        <f>Inputs!AN266</f>
        <v>-</v>
      </c>
      <c r="AO112" s="220" t="s">
        <v>162</v>
      </c>
      <c r="AP112" s="220" t="s">
        <v>162</v>
      </c>
      <c r="AQ112" s="220" t="s">
        <v>162</v>
      </c>
      <c r="AR112" s="220" t="s">
        <v>162</v>
      </c>
      <c r="AS112" s="220" t="s">
        <v>162</v>
      </c>
      <c r="AT112" s="220" t="s">
        <v>162</v>
      </c>
      <c r="AU112" s="220" t="s">
        <v>162</v>
      </c>
      <c r="AV112" s="220" t="s">
        <v>162</v>
      </c>
      <c r="AW112" s="259"/>
    </row>
    <row r="113">
      <c r="A113" s="68"/>
      <c r="B113" s="13"/>
      <c r="C113" s="13"/>
      <c r="D113" s="13"/>
      <c r="E113" s="328" t="s">
        <v>246</v>
      </c>
      <c r="F113" s="329" t="s">
        <v>68</v>
      </c>
      <c r="G113" s="329" t="s">
        <v>161</v>
      </c>
      <c r="H113" s="332">
        <f>H110/H111</f>
        <v>9.442060086</v>
      </c>
      <c r="I113" s="220" t="s">
        <v>162</v>
      </c>
      <c r="J113" s="220" t="s">
        <v>162</v>
      </c>
      <c r="K113" s="220" t="s">
        <v>162</v>
      </c>
      <c r="L113" s="220" t="s">
        <v>162</v>
      </c>
      <c r="M113" s="220" t="s">
        <v>162</v>
      </c>
      <c r="N113" s="220" t="s">
        <v>162</v>
      </c>
      <c r="O113" s="220" t="s">
        <v>162</v>
      </c>
      <c r="P113" s="220" t="s">
        <v>162</v>
      </c>
      <c r="Q113" s="265" t="s">
        <v>162</v>
      </c>
      <c r="R113" s="220" t="s">
        <v>162</v>
      </c>
      <c r="S113" s="220" t="s">
        <v>162</v>
      </c>
      <c r="T113" s="220" t="s">
        <v>162</v>
      </c>
      <c r="U113" s="220" t="s">
        <v>162</v>
      </c>
      <c r="V113" s="220" t="s">
        <v>162</v>
      </c>
      <c r="W113" s="220" t="s">
        <v>162</v>
      </c>
      <c r="X113" s="220" t="s">
        <v>162</v>
      </c>
      <c r="Y113" s="220" t="s">
        <v>162</v>
      </c>
      <c r="Z113" s="220" t="s">
        <v>162</v>
      </c>
      <c r="AA113" s="220" t="s">
        <v>162</v>
      </c>
      <c r="AB113" s="220" t="s">
        <v>162</v>
      </c>
      <c r="AC113" s="220" t="s">
        <v>162</v>
      </c>
      <c r="AD113" s="220" t="s">
        <v>162</v>
      </c>
      <c r="AE113" s="220" t="s">
        <v>162</v>
      </c>
      <c r="AF113" s="220" t="s">
        <v>162</v>
      </c>
      <c r="AG113" s="220" t="s">
        <v>162</v>
      </c>
      <c r="AH113" s="220" t="s">
        <v>162</v>
      </c>
      <c r="AI113" s="220" t="s">
        <v>162</v>
      </c>
      <c r="AJ113" s="220" t="s">
        <v>162</v>
      </c>
      <c r="AK113" s="220" t="s">
        <v>162</v>
      </c>
      <c r="AL113" s="326" t="str">
        <f>Inputs!AL267</f>
        <v>-</v>
      </c>
      <c r="AM113" s="326" t="str">
        <f>Inputs!AM267</f>
        <v>-</v>
      </c>
      <c r="AN113" s="326" t="str">
        <f>Inputs!AN267</f>
        <v>-</v>
      </c>
      <c r="AO113" s="220" t="s">
        <v>162</v>
      </c>
      <c r="AP113" s="220" t="s">
        <v>162</v>
      </c>
      <c r="AQ113" s="220" t="s">
        <v>162</v>
      </c>
      <c r="AR113" s="220" t="s">
        <v>162</v>
      </c>
      <c r="AS113" s="220" t="s">
        <v>162</v>
      </c>
      <c r="AT113" s="220" t="s">
        <v>162</v>
      </c>
      <c r="AU113" s="220" t="s">
        <v>162</v>
      </c>
      <c r="AV113" s="220" t="s">
        <v>162</v>
      </c>
      <c r="AW113" s="259"/>
    </row>
    <row r="114">
      <c r="A114" s="68"/>
      <c r="B114" s="13"/>
      <c r="C114" s="13"/>
      <c r="D114" s="13"/>
      <c r="E114" s="328" t="s">
        <v>247</v>
      </c>
      <c r="F114" s="329" t="s">
        <v>68</v>
      </c>
      <c r="G114" s="329" t="s">
        <v>161</v>
      </c>
      <c r="H114" s="332">
        <f>H113-H112</f>
        <v>8.946638283</v>
      </c>
      <c r="I114" s="220" t="s">
        <v>162</v>
      </c>
      <c r="J114" s="220" t="s">
        <v>162</v>
      </c>
      <c r="K114" s="220" t="s">
        <v>162</v>
      </c>
      <c r="L114" s="220" t="s">
        <v>162</v>
      </c>
      <c r="M114" s="220" t="s">
        <v>162</v>
      </c>
      <c r="N114" s="220" t="s">
        <v>162</v>
      </c>
      <c r="O114" s="220" t="s">
        <v>162</v>
      </c>
      <c r="P114" s="220" t="s">
        <v>162</v>
      </c>
      <c r="Q114" s="265" t="s">
        <v>162</v>
      </c>
      <c r="R114" s="220" t="s">
        <v>162</v>
      </c>
      <c r="S114" s="220" t="s">
        <v>162</v>
      </c>
      <c r="T114" s="220" t="s">
        <v>162</v>
      </c>
      <c r="U114" s="220" t="s">
        <v>162</v>
      </c>
      <c r="V114" s="220" t="s">
        <v>162</v>
      </c>
      <c r="W114" s="220" t="s">
        <v>162</v>
      </c>
      <c r="X114" s="220" t="s">
        <v>162</v>
      </c>
      <c r="Y114" s="220" t="s">
        <v>162</v>
      </c>
      <c r="Z114" s="220" t="s">
        <v>162</v>
      </c>
      <c r="AA114" s="220" t="s">
        <v>162</v>
      </c>
      <c r="AB114" s="220" t="s">
        <v>162</v>
      </c>
      <c r="AC114" s="220" t="s">
        <v>162</v>
      </c>
      <c r="AD114" s="220" t="s">
        <v>162</v>
      </c>
      <c r="AE114" s="220" t="s">
        <v>162</v>
      </c>
      <c r="AF114" s="220" t="s">
        <v>162</v>
      </c>
      <c r="AG114" s="220" t="s">
        <v>162</v>
      </c>
      <c r="AH114" s="220" t="s">
        <v>162</v>
      </c>
      <c r="AI114" s="220" t="s">
        <v>162</v>
      </c>
      <c r="AJ114" s="220" t="s">
        <v>162</v>
      </c>
      <c r="AK114" s="220" t="s">
        <v>162</v>
      </c>
      <c r="AL114" s="220" t="s">
        <v>162</v>
      </c>
      <c r="AM114" s="220" t="s">
        <v>162</v>
      </c>
      <c r="AN114" s="220" t="s">
        <v>162</v>
      </c>
      <c r="AO114" s="220" t="s">
        <v>162</v>
      </c>
      <c r="AP114" s="220" t="s">
        <v>162</v>
      </c>
      <c r="AQ114" s="220" t="s">
        <v>162</v>
      </c>
      <c r="AR114" s="220" t="s">
        <v>162</v>
      </c>
      <c r="AS114" s="220" t="s">
        <v>162</v>
      </c>
      <c r="AT114" s="220" t="s">
        <v>162</v>
      </c>
      <c r="AU114" s="220" t="s">
        <v>162</v>
      </c>
      <c r="AV114" s="220" t="s">
        <v>162</v>
      </c>
      <c r="AW114" s="259"/>
    </row>
    <row r="115">
      <c r="A115" s="68"/>
      <c r="B115" s="13"/>
      <c r="C115" s="13"/>
      <c r="D115" s="13"/>
      <c r="E115" s="323" t="s">
        <v>248</v>
      </c>
      <c r="F115" s="324" t="str">
        <f>Inputs!F266</f>
        <v>#</v>
      </c>
      <c r="G115" s="324" t="str">
        <f>Inputs!G266</f>
        <v>input</v>
      </c>
      <c r="H115" s="243">
        <f>Inputs!H266</f>
        <v>6.7</v>
      </c>
      <c r="I115" s="326" t="str">
        <f>Inputs!I266</f>
        <v>-</v>
      </c>
      <c r="J115" s="326" t="str">
        <f>Inputs!J266</f>
        <v>-</v>
      </c>
      <c r="K115" s="326" t="str">
        <f>Inputs!K266</f>
        <v>-</v>
      </c>
      <c r="L115" s="326" t="str">
        <f>Inputs!L266</f>
        <v>-</v>
      </c>
      <c r="M115" s="326" t="str">
        <f>Inputs!M266</f>
        <v>-</v>
      </c>
      <c r="N115" s="326" t="str">
        <f>Inputs!N266</f>
        <v>-</v>
      </c>
      <c r="O115" s="326" t="str">
        <f>Inputs!O266</f>
        <v>-</v>
      </c>
      <c r="P115" s="326" t="str">
        <f>Inputs!P266</f>
        <v>-</v>
      </c>
      <c r="Q115" s="327" t="str">
        <f>Inputs!Q266</f>
        <v>-</v>
      </c>
      <c r="R115" s="326" t="str">
        <f>Inputs!R266</f>
        <v>-</v>
      </c>
      <c r="S115" s="326" t="str">
        <f>Inputs!S266</f>
        <v>-</v>
      </c>
      <c r="T115" s="326" t="str">
        <f>Inputs!T266</f>
        <v>-</v>
      </c>
      <c r="U115" s="326" t="str">
        <f>Inputs!U266</f>
        <v>-</v>
      </c>
      <c r="V115" s="326" t="str">
        <f>Inputs!V266</f>
        <v>-</v>
      </c>
      <c r="W115" s="326" t="str">
        <f>Inputs!W266</f>
        <v>-</v>
      </c>
      <c r="X115" s="326" t="str">
        <f>Inputs!X266</f>
        <v>-</v>
      </c>
      <c r="Y115" s="326" t="str">
        <f>Inputs!Y266</f>
        <v>-</v>
      </c>
      <c r="Z115" s="326" t="str">
        <f>Inputs!Z266</f>
        <v>-</v>
      </c>
      <c r="AA115" s="326" t="str">
        <f>Inputs!AA266</f>
        <v>-</v>
      </c>
      <c r="AB115" s="326" t="str">
        <f>Inputs!AB266</f>
        <v>-</v>
      </c>
      <c r="AC115" s="326" t="str">
        <f>Inputs!AC266</f>
        <v>-</v>
      </c>
      <c r="AD115" s="326" t="str">
        <f>Inputs!AD266</f>
        <v>-</v>
      </c>
      <c r="AE115" s="326" t="str">
        <f>Inputs!AE266</f>
        <v>-</v>
      </c>
      <c r="AF115" s="326" t="str">
        <f>Inputs!AF266</f>
        <v>-</v>
      </c>
      <c r="AG115" s="326" t="str">
        <f>Inputs!AG266</f>
        <v>-</v>
      </c>
      <c r="AH115" s="326" t="str">
        <f>Inputs!AH266</f>
        <v>-</v>
      </c>
      <c r="AI115" s="326" t="str">
        <f>Inputs!AI266</f>
        <v>-</v>
      </c>
      <c r="AJ115" s="326" t="str">
        <f>Inputs!AJ266</f>
        <v>-</v>
      </c>
      <c r="AK115" s="326" t="str">
        <f>Inputs!AK266</f>
        <v>-</v>
      </c>
      <c r="AL115" s="326" t="str">
        <f>Inputs!AL266</f>
        <v>-</v>
      </c>
      <c r="AM115" s="326" t="str">
        <f>Inputs!AM266</f>
        <v>-</v>
      </c>
      <c r="AN115" s="326" t="str">
        <f>Inputs!AN266</f>
        <v>-</v>
      </c>
      <c r="AO115" s="326" t="str">
        <f>Inputs!AO266</f>
        <v>-</v>
      </c>
      <c r="AP115" s="326" t="str">
        <f>Inputs!AP266</f>
        <v>-</v>
      </c>
      <c r="AQ115" s="326" t="str">
        <f>Inputs!AQ266</f>
        <v>-</v>
      </c>
      <c r="AR115" s="326" t="str">
        <f>Inputs!AR266</f>
        <v>-</v>
      </c>
      <c r="AS115" s="326" t="str">
        <f>Inputs!AS266</f>
        <v>-</v>
      </c>
      <c r="AT115" s="326" t="str">
        <f>Inputs!AT266</f>
        <v>-</v>
      </c>
      <c r="AU115" s="326" t="str">
        <f>Inputs!AU266</f>
        <v>-</v>
      </c>
      <c r="AV115" s="326" t="str">
        <f>Inputs!AV266</f>
        <v>-</v>
      </c>
      <c r="AW115" s="259"/>
    </row>
    <row r="116">
      <c r="A116" s="68"/>
      <c r="B116" s="13"/>
      <c r="C116" s="13"/>
      <c r="D116" s="13"/>
      <c r="E116" s="328" t="s">
        <v>249</v>
      </c>
      <c r="F116" s="329" t="s">
        <v>68</v>
      </c>
      <c r="G116" s="329" t="s">
        <v>161</v>
      </c>
      <c r="H116" s="332">
        <f>H114/H115</f>
        <v>1.335319147</v>
      </c>
      <c r="I116" s="220" t="s">
        <v>162</v>
      </c>
      <c r="J116" s="220" t="s">
        <v>162</v>
      </c>
      <c r="K116" s="220" t="s">
        <v>162</v>
      </c>
      <c r="L116" s="220" t="s">
        <v>162</v>
      </c>
      <c r="M116" s="220" t="s">
        <v>162</v>
      </c>
      <c r="N116" s="220" t="s">
        <v>162</v>
      </c>
      <c r="O116" s="220" t="s">
        <v>162</v>
      </c>
      <c r="P116" s="220" t="s">
        <v>162</v>
      </c>
      <c r="Q116" s="265" t="s">
        <v>162</v>
      </c>
      <c r="R116" s="220" t="s">
        <v>162</v>
      </c>
      <c r="S116" s="220" t="s">
        <v>162</v>
      </c>
      <c r="T116" s="220" t="s">
        <v>162</v>
      </c>
      <c r="U116" s="220" t="s">
        <v>162</v>
      </c>
      <c r="V116" s="220" t="s">
        <v>162</v>
      </c>
      <c r="W116" s="220" t="s">
        <v>162</v>
      </c>
      <c r="X116" s="220" t="s">
        <v>162</v>
      </c>
      <c r="Y116" s="220" t="s">
        <v>162</v>
      </c>
      <c r="Z116" s="220" t="s">
        <v>162</v>
      </c>
      <c r="AA116" s="220" t="s">
        <v>162</v>
      </c>
      <c r="AB116" s="220" t="s">
        <v>162</v>
      </c>
      <c r="AC116" s="220" t="s">
        <v>162</v>
      </c>
      <c r="AD116" s="220" t="s">
        <v>162</v>
      </c>
      <c r="AE116" s="220" t="s">
        <v>162</v>
      </c>
      <c r="AF116" s="220" t="s">
        <v>162</v>
      </c>
      <c r="AG116" s="220" t="s">
        <v>162</v>
      </c>
      <c r="AH116" s="220" t="s">
        <v>162</v>
      </c>
      <c r="AI116" s="220" t="s">
        <v>162</v>
      </c>
      <c r="AJ116" s="220" t="s">
        <v>162</v>
      </c>
      <c r="AK116" s="220" t="s">
        <v>162</v>
      </c>
      <c r="AL116" s="220" t="s">
        <v>162</v>
      </c>
      <c r="AM116" s="220" t="s">
        <v>162</v>
      </c>
      <c r="AN116" s="220" t="s">
        <v>162</v>
      </c>
      <c r="AO116" s="220" t="s">
        <v>162</v>
      </c>
      <c r="AP116" s="220" t="s">
        <v>162</v>
      </c>
      <c r="AQ116" s="220" t="s">
        <v>162</v>
      </c>
      <c r="AR116" s="220" t="s">
        <v>162</v>
      </c>
      <c r="AS116" s="220" t="s">
        <v>162</v>
      </c>
      <c r="AT116" s="220" t="s">
        <v>162</v>
      </c>
      <c r="AU116" s="220" t="s">
        <v>162</v>
      </c>
      <c r="AV116" s="220" t="s">
        <v>162</v>
      </c>
      <c r="AW116" s="259"/>
    </row>
    <row r="117">
      <c r="A117" s="68"/>
      <c r="B117" s="13"/>
      <c r="C117" s="13"/>
      <c r="D117" s="13"/>
      <c r="E117" s="323" t="s">
        <v>250</v>
      </c>
      <c r="F117" s="333" t="str">
        <f>Inputs!F267</f>
        <v>$</v>
      </c>
      <c r="G117" s="333" t="str">
        <f>Inputs!G267</f>
        <v>input</v>
      </c>
      <c r="H117" s="334">
        <f>Inputs!H267</f>
        <v>285.92</v>
      </c>
      <c r="I117" s="326" t="str">
        <f>Inputs!I267</f>
        <v>-</v>
      </c>
      <c r="J117" s="326" t="str">
        <f>Inputs!J267</f>
        <v>-</v>
      </c>
      <c r="K117" s="326" t="str">
        <f>Inputs!K267</f>
        <v>-</v>
      </c>
      <c r="L117" s="326" t="str">
        <f>Inputs!L267</f>
        <v>-</v>
      </c>
      <c r="M117" s="326" t="str">
        <f>Inputs!M267</f>
        <v>-</v>
      </c>
      <c r="N117" s="326" t="str">
        <f>Inputs!N267</f>
        <v>-</v>
      </c>
      <c r="O117" s="326" t="str">
        <f>Inputs!O267</f>
        <v>-</v>
      </c>
      <c r="P117" s="326" t="str">
        <f>Inputs!P267</f>
        <v>-</v>
      </c>
      <c r="Q117" s="327" t="str">
        <f>Inputs!Q267</f>
        <v>-</v>
      </c>
      <c r="R117" s="326" t="str">
        <f>Inputs!R267</f>
        <v>-</v>
      </c>
      <c r="S117" s="326" t="str">
        <f>Inputs!S267</f>
        <v>-</v>
      </c>
      <c r="T117" s="326" t="str">
        <f>Inputs!T267</f>
        <v>-</v>
      </c>
      <c r="U117" s="326" t="str">
        <f>Inputs!U267</f>
        <v>-</v>
      </c>
      <c r="V117" s="326" t="str">
        <f>Inputs!V267</f>
        <v>-</v>
      </c>
      <c r="W117" s="326" t="str">
        <f>Inputs!W267</f>
        <v>-</v>
      </c>
      <c r="X117" s="326" t="str">
        <f>Inputs!X267</f>
        <v>-</v>
      </c>
      <c r="Y117" s="326" t="str">
        <f>Inputs!Y267</f>
        <v>-</v>
      </c>
      <c r="Z117" s="326" t="str">
        <f>Inputs!Z267</f>
        <v>-</v>
      </c>
      <c r="AA117" s="326" t="str">
        <f>Inputs!AA267</f>
        <v>-</v>
      </c>
      <c r="AB117" s="326" t="str">
        <f>Inputs!AB267</f>
        <v>-</v>
      </c>
      <c r="AC117" s="326" t="str">
        <f>Inputs!AC267</f>
        <v>-</v>
      </c>
      <c r="AD117" s="326" t="str">
        <f>Inputs!AD267</f>
        <v>-</v>
      </c>
      <c r="AE117" s="326" t="str">
        <f>Inputs!AE267</f>
        <v>-</v>
      </c>
      <c r="AF117" s="326" t="str">
        <f>Inputs!AF267</f>
        <v>-</v>
      </c>
      <c r="AG117" s="326" t="str">
        <f>Inputs!AG267</f>
        <v>-</v>
      </c>
      <c r="AH117" s="326" t="str">
        <f>Inputs!AH267</f>
        <v>-</v>
      </c>
      <c r="AI117" s="326" t="str">
        <f>Inputs!AI267</f>
        <v>-</v>
      </c>
      <c r="AJ117" s="326" t="str">
        <f>Inputs!AJ267</f>
        <v>-</v>
      </c>
      <c r="AK117" s="326" t="str">
        <f>Inputs!AK267</f>
        <v>-</v>
      </c>
      <c r="AL117" s="326" t="str">
        <f>Inputs!AL267</f>
        <v>-</v>
      </c>
      <c r="AM117" s="326" t="str">
        <f>Inputs!AM267</f>
        <v>-</v>
      </c>
      <c r="AN117" s="326" t="str">
        <f>Inputs!AN267</f>
        <v>-</v>
      </c>
      <c r="AO117" s="326" t="str">
        <f>Inputs!AO267</f>
        <v>-</v>
      </c>
      <c r="AP117" s="326" t="str">
        <f>Inputs!AP267</f>
        <v>-</v>
      </c>
      <c r="AQ117" s="326" t="str">
        <f>Inputs!AQ267</f>
        <v>-</v>
      </c>
      <c r="AR117" s="326" t="str">
        <f>Inputs!AR267</f>
        <v>-</v>
      </c>
      <c r="AS117" s="326" t="str">
        <f>Inputs!AS267</f>
        <v>-</v>
      </c>
      <c r="AT117" s="326" t="str">
        <f>Inputs!AT267</f>
        <v>-</v>
      </c>
      <c r="AU117" s="326" t="str">
        <f>Inputs!AU267</f>
        <v>-</v>
      </c>
      <c r="AV117" s="326" t="str">
        <f>Inputs!AV267</f>
        <v>-</v>
      </c>
      <c r="AW117" s="259"/>
    </row>
    <row r="118">
      <c r="A118" s="68"/>
      <c r="B118" s="13"/>
      <c r="C118" s="13"/>
      <c r="D118" s="13"/>
      <c r="E118" s="328" t="s">
        <v>251</v>
      </c>
      <c r="F118" s="329" t="s">
        <v>70</v>
      </c>
      <c r="G118" s="329" t="s">
        <v>161</v>
      </c>
      <c r="H118" s="335">
        <f>LN(SUM(H116:H117))-LN(H117)</f>
        <v>0.004659382628</v>
      </c>
      <c r="I118" s="220" t="s">
        <v>162</v>
      </c>
      <c r="J118" s="220" t="s">
        <v>162</v>
      </c>
      <c r="K118" s="220" t="s">
        <v>162</v>
      </c>
      <c r="L118" s="220" t="s">
        <v>162</v>
      </c>
      <c r="M118" s="220" t="s">
        <v>162</v>
      </c>
      <c r="N118" s="220" t="s">
        <v>162</v>
      </c>
      <c r="O118" s="220" t="s">
        <v>162</v>
      </c>
      <c r="P118" s="220" t="s">
        <v>162</v>
      </c>
      <c r="Q118" s="265" t="s">
        <v>162</v>
      </c>
      <c r="R118" s="220" t="s">
        <v>162</v>
      </c>
      <c r="S118" s="220" t="s">
        <v>162</v>
      </c>
      <c r="T118" s="220" t="s">
        <v>162</v>
      </c>
      <c r="U118" s="220" t="s">
        <v>162</v>
      </c>
      <c r="V118" s="220" t="s">
        <v>162</v>
      </c>
      <c r="W118" s="220" t="s">
        <v>162</v>
      </c>
      <c r="X118" s="220" t="s">
        <v>162</v>
      </c>
      <c r="Y118" s="220" t="s">
        <v>162</v>
      </c>
      <c r="Z118" s="220" t="s">
        <v>162</v>
      </c>
      <c r="AA118" s="220" t="s">
        <v>162</v>
      </c>
      <c r="AB118" s="220" t="s">
        <v>162</v>
      </c>
      <c r="AC118" s="220" t="s">
        <v>162</v>
      </c>
      <c r="AD118" s="220" t="s">
        <v>162</v>
      </c>
      <c r="AE118" s="220" t="s">
        <v>162</v>
      </c>
      <c r="AF118" s="220" t="s">
        <v>162</v>
      </c>
      <c r="AG118" s="220" t="s">
        <v>162</v>
      </c>
      <c r="AH118" s="220" t="s">
        <v>162</v>
      </c>
      <c r="AI118" s="220" t="s">
        <v>162</v>
      </c>
      <c r="AJ118" s="220" t="s">
        <v>162</v>
      </c>
      <c r="AK118" s="220" t="s">
        <v>162</v>
      </c>
      <c r="AL118" s="220" t="s">
        <v>162</v>
      </c>
      <c r="AM118" s="326" t="str">
        <f>Inputs!AM272</f>
        <v>-</v>
      </c>
      <c r="AN118" s="326" t="str">
        <f>Inputs!AN272</f>
        <v>-</v>
      </c>
      <c r="AO118" s="220" t="s">
        <v>162</v>
      </c>
      <c r="AP118" s="220" t="s">
        <v>162</v>
      </c>
      <c r="AQ118" s="220" t="s">
        <v>162</v>
      </c>
      <c r="AR118" s="220" t="s">
        <v>162</v>
      </c>
      <c r="AS118" s="220" t="s">
        <v>162</v>
      </c>
      <c r="AT118" s="220" t="s">
        <v>162</v>
      </c>
      <c r="AU118" s="220" t="s">
        <v>162</v>
      </c>
      <c r="AV118" s="220" t="s">
        <v>162</v>
      </c>
      <c r="AW118" s="259"/>
    </row>
    <row r="119">
      <c r="A119" s="68"/>
      <c r="B119" s="13"/>
      <c r="C119" s="13"/>
      <c r="D119" s="13"/>
      <c r="E119" s="336" t="s">
        <v>252</v>
      </c>
      <c r="F119" s="337" t="s">
        <v>70</v>
      </c>
      <c r="G119" s="337" t="s">
        <v>161</v>
      </c>
      <c r="H119" s="228" t="s">
        <v>162</v>
      </c>
      <c r="I119" s="338">
        <f t="shared" ref="I119:AV119" si="26">I21*$H115*$H118</f>
        <v>1714.081503</v>
      </c>
      <c r="J119" s="338">
        <f t="shared" si="26"/>
        <v>1714.081503</v>
      </c>
      <c r="K119" s="338">
        <f t="shared" si="26"/>
        <v>1714.081503</v>
      </c>
      <c r="L119" s="338">
        <f t="shared" si="26"/>
        <v>1714.081503</v>
      </c>
      <c r="M119" s="338">
        <f t="shared" si="26"/>
        <v>1714.081503</v>
      </c>
      <c r="N119" s="338">
        <f t="shared" si="26"/>
        <v>1714.081503</v>
      </c>
      <c r="O119" s="338">
        <f t="shared" si="26"/>
        <v>1714.081503</v>
      </c>
      <c r="P119" s="338">
        <f t="shared" si="26"/>
        <v>1714.081503</v>
      </c>
      <c r="Q119" s="339">
        <f t="shared" si="26"/>
        <v>1714.081503</v>
      </c>
      <c r="R119" s="338">
        <f t="shared" si="26"/>
        <v>1714.081503</v>
      </c>
      <c r="S119" s="338">
        <f t="shared" si="26"/>
        <v>1714.081503</v>
      </c>
      <c r="T119" s="338">
        <f t="shared" si="26"/>
        <v>1714.081503</v>
      </c>
      <c r="U119" s="338">
        <f t="shared" si="26"/>
        <v>1714.081503</v>
      </c>
      <c r="V119" s="338">
        <f t="shared" si="26"/>
        <v>1714.081503</v>
      </c>
      <c r="W119" s="338">
        <f t="shared" si="26"/>
        <v>1714.081503</v>
      </c>
      <c r="X119" s="338">
        <f t="shared" si="26"/>
        <v>1714.081503</v>
      </c>
      <c r="Y119" s="338">
        <f t="shared" si="26"/>
        <v>1714.081503</v>
      </c>
      <c r="Z119" s="338">
        <f t="shared" si="26"/>
        <v>1714.081503</v>
      </c>
      <c r="AA119" s="338">
        <f t="shared" si="26"/>
        <v>1714.081503</v>
      </c>
      <c r="AB119" s="338">
        <f t="shared" si="26"/>
        <v>1714.081503</v>
      </c>
      <c r="AC119" s="338">
        <f t="shared" si="26"/>
        <v>1714.081503</v>
      </c>
      <c r="AD119" s="338">
        <f t="shared" si="26"/>
        <v>1714.081503</v>
      </c>
      <c r="AE119" s="338">
        <f t="shared" si="26"/>
        <v>1714.081503</v>
      </c>
      <c r="AF119" s="338">
        <f t="shared" si="26"/>
        <v>1714.081503</v>
      </c>
      <c r="AG119" s="338">
        <f t="shared" si="26"/>
        <v>1714.081503</v>
      </c>
      <c r="AH119" s="338">
        <f t="shared" si="26"/>
        <v>1714.081503</v>
      </c>
      <c r="AI119" s="338">
        <f t="shared" si="26"/>
        <v>1714.081503</v>
      </c>
      <c r="AJ119" s="338">
        <f t="shared" si="26"/>
        <v>1714.081503</v>
      </c>
      <c r="AK119" s="338">
        <f t="shared" si="26"/>
        <v>1714.081503</v>
      </c>
      <c r="AL119" s="338">
        <f t="shared" si="26"/>
        <v>1714.081503</v>
      </c>
      <c r="AM119" s="338">
        <f t="shared" si="26"/>
        <v>1714.081503</v>
      </c>
      <c r="AN119" s="338">
        <f t="shared" si="26"/>
        <v>1714.081503</v>
      </c>
      <c r="AO119" s="338">
        <f t="shared" si="26"/>
        <v>1714.081503</v>
      </c>
      <c r="AP119" s="338">
        <f t="shared" si="26"/>
        <v>1714.081503</v>
      </c>
      <c r="AQ119" s="338">
        <f t="shared" si="26"/>
        <v>1714.081503</v>
      </c>
      <c r="AR119" s="338">
        <f t="shared" si="26"/>
        <v>1714.081503</v>
      </c>
      <c r="AS119" s="338">
        <f t="shared" si="26"/>
        <v>1714.081503</v>
      </c>
      <c r="AT119" s="338">
        <f t="shared" si="26"/>
        <v>1714.081503</v>
      </c>
      <c r="AU119" s="338">
        <f t="shared" si="26"/>
        <v>1714.081503</v>
      </c>
      <c r="AV119" s="338">
        <f t="shared" si="26"/>
        <v>1714.081503</v>
      </c>
      <c r="AW119" s="274"/>
    </row>
    <row r="120">
      <c r="A120" s="68"/>
      <c r="B120" s="13"/>
      <c r="C120" s="13"/>
      <c r="D120" s="13"/>
      <c r="E120" s="314"/>
      <c r="F120" s="315"/>
      <c r="G120" s="315"/>
      <c r="H120" s="127"/>
      <c r="I120" s="128"/>
      <c r="J120" s="128"/>
      <c r="K120" s="128"/>
      <c r="L120" s="128"/>
      <c r="M120" s="128"/>
      <c r="N120" s="128"/>
      <c r="O120" s="128"/>
      <c r="P120" s="128"/>
      <c r="Q120" s="129"/>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30"/>
    </row>
    <row r="121">
      <c r="A121" s="117" t="s">
        <v>253</v>
      </c>
      <c r="B121" s="7"/>
      <c r="C121" s="7"/>
      <c r="D121" s="7"/>
      <c r="E121" s="7"/>
      <c r="F121" s="7"/>
      <c r="G121" s="7"/>
      <c r="H121" s="118"/>
      <c r="I121" s="340"/>
      <c r="J121" s="340"/>
      <c r="K121" s="340"/>
      <c r="L121" s="340"/>
      <c r="M121" s="340"/>
      <c r="N121" s="340"/>
      <c r="O121" s="340"/>
      <c r="P121" s="340"/>
      <c r="Q121" s="341"/>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121"/>
    </row>
    <row r="122">
      <c r="A122" s="122"/>
      <c r="B122" s="123"/>
      <c r="C122" s="123"/>
      <c r="D122" s="123"/>
      <c r="E122" s="124"/>
      <c r="F122" s="125"/>
      <c r="G122" s="126"/>
      <c r="H122" s="127"/>
      <c r="I122" s="128"/>
      <c r="J122" s="128"/>
      <c r="K122" s="128"/>
      <c r="L122" s="128"/>
      <c r="M122" s="128"/>
      <c r="N122" s="128"/>
      <c r="O122" s="128"/>
      <c r="P122" s="128"/>
      <c r="Q122" s="129"/>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254</v>
      </c>
      <c r="F123" s="125"/>
      <c r="G123" s="126"/>
      <c r="H123" s="127"/>
      <c r="I123" s="128"/>
      <c r="J123" s="128"/>
      <c r="K123" s="128"/>
      <c r="L123" s="128"/>
      <c r="M123" s="128"/>
      <c r="N123" s="128"/>
      <c r="O123" s="128"/>
      <c r="P123" s="128"/>
      <c r="Q123" s="129"/>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123"/>
      <c r="D124" s="123"/>
      <c r="E124" s="192" t="s">
        <v>226</v>
      </c>
      <c r="F124" s="193" t="str">
        <f>Inputs!F272</f>
        <v>UoV</v>
      </c>
      <c r="G124" s="235" t="str">
        <f>Inputs!G272</f>
        <v>input</v>
      </c>
      <c r="H124" s="343">
        <f>Inputs!H272</f>
        <v>116.25262</v>
      </c>
      <c r="I124" s="321" t="str">
        <f>Inputs!I272</f>
        <v>-</v>
      </c>
      <c r="J124" s="321" t="str">
        <f>Inputs!J272</f>
        <v>-</v>
      </c>
      <c r="K124" s="321" t="str">
        <f>Inputs!K272</f>
        <v>-</v>
      </c>
      <c r="L124" s="321" t="str">
        <f>Inputs!L272</f>
        <v>-</v>
      </c>
      <c r="M124" s="321" t="str">
        <f>Inputs!M272</f>
        <v>-</v>
      </c>
      <c r="N124" s="321" t="str">
        <f>Inputs!N272</f>
        <v>-</v>
      </c>
      <c r="O124" s="321" t="str">
        <f>Inputs!O272</f>
        <v>-</v>
      </c>
      <c r="P124" s="321" t="str">
        <f>Inputs!P272</f>
        <v>-</v>
      </c>
      <c r="Q124" s="322" t="str">
        <f>Inputs!Q272</f>
        <v>-</v>
      </c>
      <c r="R124" s="321" t="str">
        <f>Inputs!R272</f>
        <v>-</v>
      </c>
      <c r="S124" s="321" t="str">
        <f>Inputs!S272</f>
        <v>-</v>
      </c>
      <c r="T124" s="321" t="str">
        <f>Inputs!T272</f>
        <v>-</v>
      </c>
      <c r="U124" s="321" t="str">
        <f>Inputs!U272</f>
        <v>-</v>
      </c>
      <c r="V124" s="321" t="str">
        <f>Inputs!V272</f>
        <v>-</v>
      </c>
      <c r="W124" s="321" t="str">
        <f>Inputs!W272</f>
        <v>-</v>
      </c>
      <c r="X124" s="321" t="str">
        <f>Inputs!X272</f>
        <v>-</v>
      </c>
      <c r="Y124" s="321" t="str">
        <f>Inputs!Y272</f>
        <v>-</v>
      </c>
      <c r="Z124" s="321" t="str">
        <f>Inputs!Z272</f>
        <v>-</v>
      </c>
      <c r="AA124" s="321" t="str">
        <f>Inputs!AA272</f>
        <v>-</v>
      </c>
      <c r="AB124" s="321" t="str">
        <f>Inputs!AB272</f>
        <v>-</v>
      </c>
      <c r="AC124" s="321" t="str">
        <f>Inputs!AC272</f>
        <v>-</v>
      </c>
      <c r="AD124" s="321" t="str">
        <f>Inputs!AD272</f>
        <v>-</v>
      </c>
      <c r="AE124" s="321" t="str">
        <f>Inputs!AE272</f>
        <v>-</v>
      </c>
      <c r="AF124" s="321" t="str">
        <f>Inputs!AF272</f>
        <v>-</v>
      </c>
      <c r="AG124" s="321" t="str">
        <f>Inputs!AG272</f>
        <v>-</v>
      </c>
      <c r="AH124" s="321" t="str">
        <f>Inputs!AH272</f>
        <v>-</v>
      </c>
      <c r="AI124" s="321" t="str">
        <f>Inputs!AI272</f>
        <v>-</v>
      </c>
      <c r="AJ124" s="321" t="str">
        <f>Inputs!AJ272</f>
        <v>-</v>
      </c>
      <c r="AK124" s="321" t="str">
        <f>Inputs!AK272</f>
        <v>-</v>
      </c>
      <c r="AL124" s="321" t="str">
        <f>Inputs!AL272</f>
        <v>-</v>
      </c>
      <c r="AM124" s="321" t="str">
        <f>Inputs!AM272</f>
        <v>-</v>
      </c>
      <c r="AN124" s="321" t="str">
        <f>Inputs!AN272</f>
        <v>-</v>
      </c>
      <c r="AO124" s="321" t="str">
        <f>Inputs!AO272</f>
        <v>-</v>
      </c>
      <c r="AP124" s="321" t="str">
        <f>Inputs!AP272</f>
        <v>-</v>
      </c>
      <c r="AQ124" s="321" t="str">
        <f>Inputs!AQ272</f>
        <v>-</v>
      </c>
      <c r="AR124" s="321" t="str">
        <f>Inputs!AR272</f>
        <v>-</v>
      </c>
      <c r="AS124" s="321" t="str">
        <f>Inputs!AS272</f>
        <v>-</v>
      </c>
      <c r="AT124" s="321" t="str">
        <f>Inputs!AT272</f>
        <v>-</v>
      </c>
      <c r="AU124" s="321" t="str">
        <f>Inputs!AU272</f>
        <v>-</v>
      </c>
      <c r="AV124" s="321" t="str">
        <f>Inputs!AV272</f>
        <v>-</v>
      </c>
      <c r="AW124" s="256"/>
    </row>
    <row r="125">
      <c r="A125" s="122"/>
      <c r="B125" s="123"/>
      <c r="C125" s="123"/>
      <c r="D125" s="123"/>
      <c r="E125" s="199" t="s">
        <v>255</v>
      </c>
      <c r="F125" s="200" t="s">
        <v>76</v>
      </c>
      <c r="G125" s="273" t="s">
        <v>161</v>
      </c>
      <c r="H125" s="344" t="s">
        <v>162</v>
      </c>
      <c r="I125" s="338">
        <f t="shared" ref="I125:AV125" si="27">I48*$H124</f>
        <v>34928.69692</v>
      </c>
      <c r="J125" s="338">
        <f t="shared" si="27"/>
        <v>16956.57585</v>
      </c>
      <c r="K125" s="338">
        <f t="shared" si="27"/>
        <v>31625.53862</v>
      </c>
      <c r="L125" s="338">
        <f t="shared" si="27"/>
        <v>15563.17962</v>
      </c>
      <c r="M125" s="338">
        <f t="shared" si="27"/>
        <v>22105.40839</v>
      </c>
      <c r="N125" s="338">
        <f t="shared" si="27"/>
        <v>28995.19627</v>
      </c>
      <c r="O125" s="338">
        <f t="shared" si="27"/>
        <v>51217.03447</v>
      </c>
      <c r="P125" s="338">
        <f t="shared" si="27"/>
        <v>67852.84805</v>
      </c>
      <c r="Q125" s="339">
        <f t="shared" si="27"/>
        <v>55591.86479</v>
      </c>
      <c r="R125" s="338">
        <f t="shared" si="27"/>
        <v>1836.124262</v>
      </c>
      <c r="S125" s="338">
        <f t="shared" si="27"/>
        <v>6608.03301</v>
      </c>
      <c r="T125" s="338">
        <f t="shared" si="27"/>
        <v>1688.239978</v>
      </c>
      <c r="U125" s="338">
        <f t="shared" si="27"/>
        <v>2149.774349</v>
      </c>
      <c r="V125" s="338">
        <f t="shared" si="27"/>
        <v>4016.864063</v>
      </c>
      <c r="W125" s="338">
        <f t="shared" si="27"/>
        <v>4547.648516</v>
      </c>
      <c r="X125" s="338">
        <f t="shared" si="27"/>
        <v>9313.533238</v>
      </c>
      <c r="Y125" s="338">
        <f t="shared" si="27"/>
        <v>1191.578427</v>
      </c>
      <c r="Z125" s="338">
        <f t="shared" si="27"/>
        <v>2780.473328</v>
      </c>
      <c r="AA125" s="338">
        <f t="shared" si="27"/>
        <v>258.0944661</v>
      </c>
      <c r="AB125" s="338">
        <f t="shared" si="27"/>
        <v>1434.833757</v>
      </c>
      <c r="AC125" s="338">
        <f t="shared" si="27"/>
        <v>660.6231093</v>
      </c>
      <c r="AD125" s="338">
        <f t="shared" si="27"/>
        <v>309.5506331</v>
      </c>
      <c r="AE125" s="338">
        <f t="shared" si="27"/>
        <v>1199.086488</v>
      </c>
      <c r="AF125" s="338">
        <f t="shared" si="27"/>
        <v>576.1188034</v>
      </c>
      <c r="AG125" s="338">
        <f t="shared" si="27"/>
        <v>9625.235233</v>
      </c>
      <c r="AH125" s="338">
        <f t="shared" si="27"/>
        <v>3088.930345</v>
      </c>
      <c r="AI125" s="338">
        <f t="shared" si="27"/>
        <v>2747.541521</v>
      </c>
      <c r="AJ125" s="338">
        <f t="shared" si="27"/>
        <v>519.8039914</v>
      </c>
      <c r="AK125" s="338">
        <f t="shared" si="27"/>
        <v>5319.883138</v>
      </c>
      <c r="AL125" s="338">
        <f t="shared" si="27"/>
        <v>13485.32421</v>
      </c>
      <c r="AM125" s="338">
        <f t="shared" si="27"/>
        <v>16027.9276</v>
      </c>
      <c r="AN125" s="338">
        <f t="shared" si="27"/>
        <v>9222.582127</v>
      </c>
      <c r="AO125" s="338">
        <f t="shared" si="27"/>
        <v>3706.378889</v>
      </c>
      <c r="AP125" s="338">
        <f t="shared" si="27"/>
        <v>3036.405394</v>
      </c>
      <c r="AQ125" s="338">
        <f t="shared" si="27"/>
        <v>658.6865971</v>
      </c>
      <c r="AR125" s="338">
        <f t="shared" si="27"/>
        <v>2279.26699</v>
      </c>
      <c r="AS125" s="338">
        <f t="shared" si="27"/>
        <v>2863.685742</v>
      </c>
      <c r="AT125" s="338">
        <f t="shared" si="27"/>
        <v>1487.788916</v>
      </c>
      <c r="AU125" s="338">
        <f t="shared" si="27"/>
        <v>13374.99965</v>
      </c>
      <c r="AV125" s="338">
        <f t="shared" si="27"/>
        <v>20782.94349</v>
      </c>
      <c r="AW125" s="345"/>
    </row>
    <row r="126">
      <c r="A126" s="122"/>
      <c r="B126" s="123"/>
      <c r="C126" s="123"/>
      <c r="D126" s="123"/>
      <c r="E126" s="140"/>
      <c r="F126" s="141"/>
      <c r="G126" s="144"/>
      <c r="H126" s="346"/>
      <c r="I126" s="347"/>
      <c r="J126" s="347"/>
      <c r="K126" s="347"/>
      <c r="L126" s="347"/>
      <c r="M126" s="347"/>
      <c r="N126" s="347"/>
      <c r="O126" s="347"/>
      <c r="P126" s="347"/>
      <c r="Q126" s="348"/>
      <c r="R126" s="347"/>
      <c r="S126" s="347"/>
      <c r="T126" s="347"/>
      <c r="U126" s="347"/>
      <c r="V126" s="347"/>
      <c r="W126" s="347"/>
      <c r="X126" s="347"/>
      <c r="Y126" s="347"/>
      <c r="Z126" s="347"/>
      <c r="AA126" s="347"/>
      <c r="AB126" s="347"/>
      <c r="AC126" s="347"/>
      <c r="AD126" s="347"/>
      <c r="AE126" s="347"/>
      <c r="AF126" s="347"/>
      <c r="AG126" s="347"/>
      <c r="AH126" s="347"/>
      <c r="AI126" s="347"/>
      <c r="AJ126" s="347"/>
      <c r="AK126" s="347"/>
      <c r="AL126" s="347"/>
      <c r="AM126" s="347"/>
      <c r="AN126" s="347"/>
      <c r="AO126" s="347"/>
      <c r="AP126" s="347"/>
      <c r="AQ126" s="347"/>
      <c r="AR126" s="347"/>
      <c r="AS126" s="347"/>
      <c r="AT126" s="347"/>
      <c r="AU126" s="347"/>
      <c r="AV126" s="347"/>
      <c r="AW126" s="130"/>
    </row>
    <row r="127">
      <c r="A127" s="122"/>
      <c r="B127" s="123"/>
      <c r="C127" s="187" t="s">
        <v>256</v>
      </c>
      <c r="F127" s="294"/>
      <c r="G127" s="349"/>
      <c r="H127" s="350"/>
      <c r="I127" s="351"/>
      <c r="J127" s="351"/>
      <c r="K127" s="351"/>
      <c r="L127" s="351"/>
      <c r="M127" s="351"/>
      <c r="N127" s="351"/>
      <c r="O127" s="351"/>
      <c r="P127" s="351"/>
      <c r="Q127" s="352"/>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130"/>
    </row>
    <row r="128">
      <c r="A128" s="122"/>
      <c r="B128" s="123"/>
      <c r="C128" s="123"/>
      <c r="D128" s="123"/>
      <c r="E128" s="192" t="s">
        <v>227</v>
      </c>
      <c r="F128" s="193" t="str">
        <f>Inputs!F273</f>
        <v>UoV</v>
      </c>
      <c r="G128" s="235" t="str">
        <f>Inputs!G273</f>
        <v>input</v>
      </c>
      <c r="H128" s="343">
        <f>Inputs!H273</f>
        <v>133.7</v>
      </c>
      <c r="I128" s="321" t="str">
        <f>Inputs!I273</f>
        <v>-</v>
      </c>
      <c r="J128" s="321" t="str">
        <f>Inputs!J273</f>
        <v>-</v>
      </c>
      <c r="K128" s="321" t="str">
        <f>Inputs!K273</f>
        <v>-</v>
      </c>
      <c r="L128" s="321" t="str">
        <f>Inputs!L273</f>
        <v>-</v>
      </c>
      <c r="M128" s="321" t="str">
        <f>Inputs!M273</f>
        <v>-</v>
      </c>
      <c r="N128" s="321" t="str">
        <f>Inputs!N273</f>
        <v>-</v>
      </c>
      <c r="O128" s="321" t="str">
        <f>Inputs!O273</f>
        <v>-</v>
      </c>
      <c r="P128" s="321" t="str">
        <f>Inputs!P273</f>
        <v>-</v>
      </c>
      <c r="Q128" s="322" t="str">
        <f>Inputs!Q273</f>
        <v>-</v>
      </c>
      <c r="R128" s="321" t="str">
        <f>Inputs!R273</f>
        <v>-</v>
      </c>
      <c r="S128" s="321" t="str">
        <f>Inputs!S273</f>
        <v>-</v>
      </c>
      <c r="T128" s="321" t="str">
        <f>Inputs!T273</f>
        <v>-</v>
      </c>
      <c r="U128" s="321" t="str">
        <f>Inputs!U273</f>
        <v>-</v>
      </c>
      <c r="V128" s="321" t="str">
        <f>Inputs!V273</f>
        <v>-</v>
      </c>
      <c r="W128" s="321" t="str">
        <f>Inputs!W273</f>
        <v>-</v>
      </c>
      <c r="X128" s="321" t="str">
        <f>Inputs!X273</f>
        <v>-</v>
      </c>
      <c r="Y128" s="321" t="str">
        <f>Inputs!Y273</f>
        <v>-</v>
      </c>
      <c r="Z128" s="321" t="str">
        <f>Inputs!Z273</f>
        <v>-</v>
      </c>
      <c r="AA128" s="321" t="str">
        <f>Inputs!AA273</f>
        <v>-</v>
      </c>
      <c r="AB128" s="321" t="str">
        <f>Inputs!AB273</f>
        <v>-</v>
      </c>
      <c r="AC128" s="321" t="str">
        <f>Inputs!AC273</f>
        <v>-</v>
      </c>
      <c r="AD128" s="321" t="str">
        <f>Inputs!AD273</f>
        <v>-</v>
      </c>
      <c r="AE128" s="321" t="str">
        <f>Inputs!AE273</f>
        <v>-</v>
      </c>
      <c r="AF128" s="321" t="str">
        <f>Inputs!AF273</f>
        <v>-</v>
      </c>
      <c r="AG128" s="321" t="str">
        <f>Inputs!AG273</f>
        <v>-</v>
      </c>
      <c r="AH128" s="321" t="str">
        <f>Inputs!AH273</f>
        <v>-</v>
      </c>
      <c r="AI128" s="321" t="str">
        <f>Inputs!AI273</f>
        <v>-</v>
      </c>
      <c r="AJ128" s="321" t="str">
        <f>Inputs!AJ273</f>
        <v>-</v>
      </c>
      <c r="AK128" s="321" t="str">
        <f>Inputs!AK273</f>
        <v>-</v>
      </c>
      <c r="AL128" s="321" t="str">
        <f>Inputs!AL273</f>
        <v>-</v>
      </c>
      <c r="AM128" s="321" t="str">
        <f>Inputs!AM273</f>
        <v>-</v>
      </c>
      <c r="AN128" s="321" t="str">
        <f>Inputs!AN273</f>
        <v>-</v>
      </c>
      <c r="AO128" s="321" t="str">
        <f>Inputs!AO273</f>
        <v>-</v>
      </c>
      <c r="AP128" s="321" t="str">
        <f>Inputs!AP273</f>
        <v>-</v>
      </c>
      <c r="AQ128" s="321" t="str">
        <f>Inputs!AQ273</f>
        <v>-</v>
      </c>
      <c r="AR128" s="321" t="str">
        <f>Inputs!AR273</f>
        <v>-</v>
      </c>
      <c r="AS128" s="321" t="str">
        <f>Inputs!AS273</f>
        <v>-</v>
      </c>
      <c r="AT128" s="321" t="str">
        <f>Inputs!AT273</f>
        <v>-</v>
      </c>
      <c r="AU128" s="321" t="str">
        <f>Inputs!AU273</f>
        <v>-</v>
      </c>
      <c r="AV128" s="321" t="str">
        <f>Inputs!AV273</f>
        <v>-</v>
      </c>
      <c r="AW128" s="256"/>
    </row>
    <row r="129">
      <c r="A129" s="122"/>
      <c r="B129" s="123"/>
      <c r="C129" s="123"/>
      <c r="D129" s="123"/>
      <c r="E129" s="199" t="s">
        <v>257</v>
      </c>
      <c r="F129" s="200" t="s">
        <v>76</v>
      </c>
      <c r="G129" s="273" t="s">
        <v>161</v>
      </c>
      <c r="H129" s="344" t="s">
        <v>162</v>
      </c>
      <c r="I129" s="338">
        <f t="shared" ref="I129:AV129" si="28">I61*$H128</f>
        <v>2846.246208</v>
      </c>
      <c r="J129" s="338">
        <f t="shared" si="28"/>
        <v>1320.695999</v>
      </c>
      <c r="K129" s="338">
        <f t="shared" si="28"/>
        <v>2424.537189</v>
      </c>
      <c r="L129" s="338">
        <f t="shared" si="28"/>
        <v>1219.564574</v>
      </c>
      <c r="M129" s="338">
        <f t="shared" si="28"/>
        <v>1755.675176</v>
      </c>
      <c r="N129" s="338">
        <f t="shared" si="28"/>
        <v>2520.040071</v>
      </c>
      <c r="O129" s="338">
        <f t="shared" si="28"/>
        <v>4370.799275</v>
      </c>
      <c r="P129" s="338">
        <f t="shared" si="28"/>
        <v>5973.594105</v>
      </c>
      <c r="Q129" s="339">
        <f t="shared" si="28"/>
        <v>4338.504022</v>
      </c>
      <c r="R129" s="338">
        <f t="shared" si="28"/>
        <v>133.5446402</v>
      </c>
      <c r="S129" s="338">
        <f t="shared" si="28"/>
        <v>474.7230855</v>
      </c>
      <c r="T129" s="338">
        <f t="shared" si="28"/>
        <v>146.0153741</v>
      </c>
      <c r="U129" s="338">
        <f t="shared" si="28"/>
        <v>201.2042389</v>
      </c>
      <c r="V129" s="338">
        <f t="shared" si="28"/>
        <v>313.3617306</v>
      </c>
      <c r="W129" s="338">
        <f t="shared" si="28"/>
        <v>430.0014538</v>
      </c>
      <c r="X129" s="338">
        <f t="shared" si="28"/>
        <v>1010.675074</v>
      </c>
      <c r="Y129" s="338">
        <f t="shared" si="28"/>
        <v>105.8641281</v>
      </c>
      <c r="Z129" s="338">
        <f t="shared" si="28"/>
        <v>250.3258693</v>
      </c>
      <c r="AA129" s="338">
        <f t="shared" si="28"/>
        <v>19.75887575</v>
      </c>
      <c r="AB129" s="338">
        <f t="shared" si="28"/>
        <v>94.18874849</v>
      </c>
      <c r="AC129" s="338">
        <f t="shared" si="28"/>
        <v>49.16614762</v>
      </c>
      <c r="AD129" s="338">
        <f t="shared" si="28"/>
        <v>28.67978655</v>
      </c>
      <c r="AE129" s="338">
        <f t="shared" si="28"/>
        <v>103.4796014</v>
      </c>
      <c r="AF129" s="338">
        <f t="shared" si="28"/>
        <v>53.03990499</v>
      </c>
      <c r="AG129" s="338">
        <f t="shared" si="28"/>
        <v>754.2543484</v>
      </c>
      <c r="AH129" s="338">
        <f t="shared" si="28"/>
        <v>297.9633254</v>
      </c>
      <c r="AI129" s="338">
        <f t="shared" si="28"/>
        <v>343.0751814</v>
      </c>
      <c r="AJ129" s="338">
        <f t="shared" si="28"/>
        <v>59.09204728</v>
      </c>
      <c r="AK129" s="338">
        <f t="shared" si="28"/>
        <v>528.9838989</v>
      </c>
      <c r="AL129" s="338">
        <f t="shared" si="28"/>
        <v>1226.90725</v>
      </c>
      <c r="AM129" s="338">
        <f t="shared" si="28"/>
        <v>1458.235654</v>
      </c>
      <c r="AN129" s="338">
        <f t="shared" si="28"/>
        <v>839.0790387</v>
      </c>
      <c r="AO129" s="338">
        <f t="shared" si="28"/>
        <v>408.0526679</v>
      </c>
      <c r="AP129" s="338">
        <f t="shared" si="28"/>
        <v>310.7031817</v>
      </c>
      <c r="AQ129" s="338">
        <f t="shared" si="28"/>
        <v>66.61538269</v>
      </c>
      <c r="AR129" s="338">
        <f t="shared" si="28"/>
        <v>227.9750983</v>
      </c>
      <c r="AS129" s="338">
        <f t="shared" si="28"/>
        <v>326.4314948</v>
      </c>
      <c r="AT129" s="338">
        <f t="shared" si="28"/>
        <v>111.7900016</v>
      </c>
      <c r="AU129" s="338">
        <f t="shared" si="28"/>
        <v>989.1625251</v>
      </c>
      <c r="AV129" s="338">
        <f t="shared" si="28"/>
        <v>1857.857428</v>
      </c>
      <c r="AW129" s="345"/>
    </row>
    <row r="130">
      <c r="A130" s="122"/>
      <c r="B130" s="123"/>
      <c r="C130" s="342"/>
      <c r="D130" s="342"/>
      <c r="E130" s="353"/>
      <c r="F130" s="125"/>
      <c r="G130" s="126"/>
      <c r="H130" s="350"/>
      <c r="I130" s="351"/>
      <c r="J130" s="351"/>
      <c r="K130" s="351"/>
      <c r="L130" s="351"/>
      <c r="M130" s="351"/>
      <c r="N130" s="351"/>
      <c r="O130" s="351"/>
      <c r="P130" s="351"/>
      <c r="Q130" s="352"/>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130"/>
    </row>
    <row r="131">
      <c r="A131" s="122"/>
      <c r="B131" s="123"/>
      <c r="C131" s="187" t="s">
        <v>258</v>
      </c>
      <c r="F131" s="294"/>
      <c r="G131" s="349"/>
      <c r="H131" s="350"/>
      <c r="I131" s="351"/>
      <c r="J131" s="351"/>
      <c r="K131" s="351"/>
      <c r="L131" s="351"/>
      <c r="M131" s="351"/>
      <c r="N131" s="351"/>
      <c r="O131" s="351"/>
      <c r="P131" s="351"/>
      <c r="Q131" s="352"/>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130"/>
    </row>
    <row r="132">
      <c r="A132" s="122"/>
      <c r="B132" s="123"/>
      <c r="C132" s="123"/>
      <c r="D132" s="123"/>
      <c r="E132" s="192" t="s">
        <v>259</v>
      </c>
      <c r="F132" s="193" t="str">
        <f>Inputs!F274</f>
        <v>UoV</v>
      </c>
      <c r="G132" s="235" t="str">
        <f>Inputs!G274</f>
        <v>input</v>
      </c>
      <c r="H132" s="343">
        <f>Inputs!H274</f>
        <v>103.58571</v>
      </c>
      <c r="I132" s="321" t="str">
        <f>Inputs!I274</f>
        <v>-</v>
      </c>
      <c r="J132" s="321" t="str">
        <f>Inputs!J274</f>
        <v>-</v>
      </c>
      <c r="K132" s="321" t="str">
        <f>Inputs!K274</f>
        <v>-</v>
      </c>
      <c r="L132" s="321" t="str">
        <f>Inputs!L274</f>
        <v>-</v>
      </c>
      <c r="M132" s="321" t="str">
        <f>Inputs!M274</f>
        <v>-</v>
      </c>
      <c r="N132" s="321" t="str">
        <f>Inputs!N274</f>
        <v>-</v>
      </c>
      <c r="O132" s="321" t="str">
        <f>Inputs!O274</f>
        <v>-</v>
      </c>
      <c r="P132" s="321" t="str">
        <f>Inputs!P274</f>
        <v>-</v>
      </c>
      <c r="Q132" s="322" t="str">
        <f>Inputs!Q274</f>
        <v>-</v>
      </c>
      <c r="R132" s="321" t="str">
        <f>Inputs!R274</f>
        <v>-</v>
      </c>
      <c r="S132" s="321" t="str">
        <f>Inputs!S274</f>
        <v>-</v>
      </c>
      <c r="T132" s="321" t="str">
        <f>Inputs!T274</f>
        <v>-</v>
      </c>
      <c r="U132" s="321" t="str">
        <f>Inputs!U274</f>
        <v>-</v>
      </c>
      <c r="V132" s="321" t="str">
        <f>Inputs!V274</f>
        <v>-</v>
      </c>
      <c r="W132" s="321" t="str">
        <f>Inputs!W274</f>
        <v>-</v>
      </c>
      <c r="X132" s="321" t="str">
        <f>Inputs!X274</f>
        <v>-</v>
      </c>
      <c r="Y132" s="321" t="str">
        <f>Inputs!Y274</f>
        <v>-</v>
      </c>
      <c r="Z132" s="321" t="str">
        <f>Inputs!Z274</f>
        <v>-</v>
      </c>
      <c r="AA132" s="321" t="str">
        <f>Inputs!AA274</f>
        <v>-</v>
      </c>
      <c r="AB132" s="321" t="str">
        <f>Inputs!AB274</f>
        <v>-</v>
      </c>
      <c r="AC132" s="321" t="str">
        <f>Inputs!AC274</f>
        <v>-</v>
      </c>
      <c r="AD132" s="321" t="str">
        <f>Inputs!AD274</f>
        <v>-</v>
      </c>
      <c r="AE132" s="321" t="str">
        <f>Inputs!AE274</f>
        <v>-</v>
      </c>
      <c r="AF132" s="321" t="str">
        <f>Inputs!AF274</f>
        <v>-</v>
      </c>
      <c r="AG132" s="321" t="str">
        <f>Inputs!AG274</f>
        <v>-</v>
      </c>
      <c r="AH132" s="321" t="str">
        <f>Inputs!AH274</f>
        <v>-</v>
      </c>
      <c r="AI132" s="321" t="str">
        <f>Inputs!AI274</f>
        <v>-</v>
      </c>
      <c r="AJ132" s="321" t="str">
        <f>Inputs!AJ274</f>
        <v>-</v>
      </c>
      <c r="AK132" s="321" t="str">
        <f>Inputs!AK274</f>
        <v>-</v>
      </c>
      <c r="AL132" s="321" t="str">
        <f>Inputs!AL274</f>
        <v>-</v>
      </c>
      <c r="AM132" s="321" t="str">
        <f>Inputs!AM274</f>
        <v>-</v>
      </c>
      <c r="AN132" s="321" t="str">
        <f>Inputs!AN274</f>
        <v>-</v>
      </c>
      <c r="AO132" s="321" t="str">
        <f>Inputs!AO274</f>
        <v>-</v>
      </c>
      <c r="AP132" s="321" t="str">
        <f>Inputs!AP274</f>
        <v>-</v>
      </c>
      <c r="AQ132" s="321" t="str">
        <f>Inputs!AQ274</f>
        <v>-</v>
      </c>
      <c r="AR132" s="321" t="str">
        <f>Inputs!AR274</f>
        <v>-</v>
      </c>
      <c r="AS132" s="321" t="str">
        <f>Inputs!AS274</f>
        <v>-</v>
      </c>
      <c r="AT132" s="321" t="str">
        <f>Inputs!AT274</f>
        <v>-</v>
      </c>
      <c r="AU132" s="321" t="str">
        <f>Inputs!AU274</f>
        <v>-</v>
      </c>
      <c r="AV132" s="321" t="str">
        <f>Inputs!AV274</f>
        <v>-</v>
      </c>
      <c r="AW132" s="256"/>
    </row>
    <row r="133">
      <c r="A133" s="122"/>
      <c r="B133" s="123"/>
      <c r="C133" s="123"/>
      <c r="D133" s="123"/>
      <c r="E133" s="199" t="s">
        <v>260</v>
      </c>
      <c r="F133" s="200" t="s">
        <v>76</v>
      </c>
      <c r="G133" s="273" t="s">
        <v>161</v>
      </c>
      <c r="H133" s="344" t="s">
        <v>162</v>
      </c>
      <c r="I133" s="338">
        <f t="shared" ref="I133:AV133" si="29">I74*$H132</f>
        <v>2104.944826</v>
      </c>
      <c r="J133" s="338">
        <f t="shared" si="29"/>
        <v>845.8148804</v>
      </c>
      <c r="K133" s="338">
        <f t="shared" si="29"/>
        <v>1800.306722</v>
      </c>
      <c r="L133" s="338">
        <f t="shared" si="29"/>
        <v>837.2159745</v>
      </c>
      <c r="M133" s="338">
        <f t="shared" si="29"/>
        <v>1097.044267</v>
      </c>
      <c r="N133" s="338">
        <f t="shared" si="29"/>
        <v>1998.039732</v>
      </c>
      <c r="O133" s="338">
        <f t="shared" si="29"/>
        <v>3204.937712</v>
      </c>
      <c r="P133" s="338">
        <f t="shared" si="29"/>
        <v>4837.012184</v>
      </c>
      <c r="Q133" s="339">
        <f t="shared" si="29"/>
        <v>2782.174604</v>
      </c>
      <c r="R133" s="338">
        <f t="shared" si="29"/>
        <v>129.9454504</v>
      </c>
      <c r="S133" s="338">
        <f t="shared" si="29"/>
        <v>349.7563077</v>
      </c>
      <c r="T133" s="338">
        <f t="shared" si="29"/>
        <v>179.645256</v>
      </c>
      <c r="U133" s="338">
        <f t="shared" si="29"/>
        <v>214.0923259</v>
      </c>
      <c r="V133" s="338">
        <f t="shared" si="29"/>
        <v>334.4125146</v>
      </c>
      <c r="W133" s="338">
        <f t="shared" si="29"/>
        <v>437.4889864</v>
      </c>
      <c r="X133" s="338">
        <f t="shared" si="29"/>
        <v>920.2860617</v>
      </c>
      <c r="Y133" s="338">
        <f t="shared" si="29"/>
        <v>141.8934394</v>
      </c>
      <c r="Z133" s="338">
        <f t="shared" si="29"/>
        <v>257.3257807</v>
      </c>
      <c r="AA133" s="338">
        <f t="shared" si="29"/>
        <v>18.40035178</v>
      </c>
      <c r="AB133" s="338">
        <f t="shared" si="29"/>
        <v>116.2418115</v>
      </c>
      <c r="AC133" s="338">
        <f t="shared" si="29"/>
        <v>59.42678454</v>
      </c>
      <c r="AD133" s="338">
        <f t="shared" si="29"/>
        <v>38.29338659</v>
      </c>
      <c r="AE133" s="338">
        <f t="shared" si="29"/>
        <v>96.52514297</v>
      </c>
      <c r="AF133" s="338">
        <f t="shared" si="29"/>
        <v>67.5984733</v>
      </c>
      <c r="AG133" s="338">
        <f t="shared" si="29"/>
        <v>517.786268</v>
      </c>
      <c r="AH133" s="338">
        <f t="shared" si="29"/>
        <v>252.2276277</v>
      </c>
      <c r="AI133" s="338">
        <f t="shared" si="29"/>
        <v>492.3176711</v>
      </c>
      <c r="AJ133" s="338">
        <f t="shared" si="29"/>
        <v>63.49205599</v>
      </c>
      <c r="AK133" s="338">
        <f t="shared" si="29"/>
        <v>552.7518745</v>
      </c>
      <c r="AL133" s="338">
        <f t="shared" si="29"/>
        <v>1203.693836</v>
      </c>
      <c r="AM133" s="338">
        <f t="shared" si="29"/>
        <v>1430.645445</v>
      </c>
      <c r="AN133" s="338">
        <f t="shared" si="29"/>
        <v>823.2034384</v>
      </c>
      <c r="AO133" s="338">
        <f t="shared" si="29"/>
        <v>526.4777795</v>
      </c>
      <c r="AP133" s="338">
        <f t="shared" si="29"/>
        <v>355.761947</v>
      </c>
      <c r="AQ133" s="338">
        <f t="shared" si="29"/>
        <v>87.79870074</v>
      </c>
      <c r="AR133" s="338">
        <f t="shared" si="29"/>
        <v>295.9965699</v>
      </c>
      <c r="AS133" s="338">
        <f t="shared" si="29"/>
        <v>393.0596031</v>
      </c>
      <c r="AT133" s="338">
        <f t="shared" si="29"/>
        <v>121.8563059</v>
      </c>
      <c r="AU133" s="338">
        <f t="shared" si="29"/>
        <v>822.5490865</v>
      </c>
      <c r="AV133" s="338">
        <f t="shared" si="29"/>
        <v>1644.345287</v>
      </c>
      <c r="AW133" s="345"/>
    </row>
    <row r="134">
      <c r="A134" s="122"/>
      <c r="B134" s="123"/>
      <c r="C134" s="342"/>
      <c r="D134" s="342"/>
      <c r="E134" s="353"/>
      <c r="F134" s="125"/>
      <c r="G134" s="126"/>
      <c r="H134" s="350"/>
      <c r="I134" s="351"/>
      <c r="J134" s="351"/>
      <c r="K134" s="351"/>
      <c r="L134" s="351"/>
      <c r="M134" s="351"/>
      <c r="N134" s="351"/>
      <c r="O134" s="351"/>
      <c r="P134" s="351"/>
      <c r="Q134" s="352"/>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130"/>
    </row>
    <row r="135">
      <c r="A135" s="122"/>
      <c r="B135" s="123"/>
      <c r="C135" s="187" t="s">
        <v>261</v>
      </c>
      <c r="F135" s="294"/>
      <c r="G135" s="349"/>
      <c r="H135" s="350"/>
      <c r="I135" s="351"/>
      <c r="J135" s="351"/>
      <c r="K135" s="351"/>
      <c r="L135" s="351"/>
      <c r="M135" s="351"/>
      <c r="N135" s="351"/>
      <c r="O135" s="351"/>
      <c r="P135" s="351"/>
      <c r="Q135" s="352"/>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130"/>
    </row>
    <row r="136">
      <c r="A136" s="122"/>
      <c r="B136" s="123"/>
      <c r="C136" s="123"/>
      <c r="D136" s="123"/>
      <c r="E136" s="192" t="s">
        <v>262</v>
      </c>
      <c r="F136" s="193" t="str">
        <f>Inputs!F275</f>
        <v>UoV</v>
      </c>
      <c r="G136" s="235" t="str">
        <f>Inputs!G275</f>
        <v>input</v>
      </c>
      <c r="H136" s="343">
        <f>Inputs!H275</f>
        <v>42.44</v>
      </c>
      <c r="I136" s="321" t="str">
        <f>Inputs!I275</f>
        <v>-</v>
      </c>
      <c r="J136" s="321" t="str">
        <f>Inputs!J275</f>
        <v>-</v>
      </c>
      <c r="K136" s="321" t="str">
        <f>Inputs!K275</f>
        <v>-</v>
      </c>
      <c r="L136" s="321" t="str">
        <f>Inputs!L275</f>
        <v>-</v>
      </c>
      <c r="M136" s="321" t="str">
        <f>Inputs!M275</f>
        <v>-</v>
      </c>
      <c r="N136" s="321" t="str">
        <f>Inputs!N275</f>
        <v>-</v>
      </c>
      <c r="O136" s="321" t="str">
        <f>Inputs!O275</f>
        <v>-</v>
      </c>
      <c r="P136" s="321" t="str">
        <f>Inputs!P275</f>
        <v>-</v>
      </c>
      <c r="Q136" s="322" t="str">
        <f>Inputs!Q275</f>
        <v>-</v>
      </c>
      <c r="R136" s="321" t="str">
        <f>Inputs!R275</f>
        <v>-</v>
      </c>
      <c r="S136" s="321" t="str">
        <f>Inputs!S275</f>
        <v>-</v>
      </c>
      <c r="T136" s="321" t="str">
        <f>Inputs!T275</f>
        <v>-</v>
      </c>
      <c r="U136" s="321" t="str">
        <f>Inputs!U275</f>
        <v>-</v>
      </c>
      <c r="V136" s="321" t="str">
        <f>Inputs!V275</f>
        <v>-</v>
      </c>
      <c r="W136" s="321" t="str">
        <f>Inputs!W275</f>
        <v>-</v>
      </c>
      <c r="X136" s="321" t="str">
        <f>Inputs!X275</f>
        <v>-</v>
      </c>
      <c r="Y136" s="321" t="str">
        <f>Inputs!Y275</f>
        <v>-</v>
      </c>
      <c r="Z136" s="321" t="str">
        <f>Inputs!Z275</f>
        <v>-</v>
      </c>
      <c r="AA136" s="321" t="str">
        <f>Inputs!AA275</f>
        <v>-</v>
      </c>
      <c r="AB136" s="321" t="str">
        <f>Inputs!AB275</f>
        <v>-</v>
      </c>
      <c r="AC136" s="321" t="str">
        <f>Inputs!AC275</f>
        <v>-</v>
      </c>
      <c r="AD136" s="321" t="str">
        <f>Inputs!AD275</f>
        <v>-</v>
      </c>
      <c r="AE136" s="321" t="str">
        <f>Inputs!AE275</f>
        <v>-</v>
      </c>
      <c r="AF136" s="321" t="str">
        <f>Inputs!AF275</f>
        <v>-</v>
      </c>
      <c r="AG136" s="321" t="str">
        <f>Inputs!AG275</f>
        <v>-</v>
      </c>
      <c r="AH136" s="321" t="str">
        <f>Inputs!AH275</f>
        <v>-</v>
      </c>
      <c r="AI136" s="321" t="str">
        <f>Inputs!AI275</f>
        <v>-</v>
      </c>
      <c r="AJ136" s="321" t="str">
        <f>Inputs!AJ275</f>
        <v>-</v>
      </c>
      <c r="AK136" s="321" t="str">
        <f>Inputs!AK275</f>
        <v>-</v>
      </c>
      <c r="AL136" s="321" t="str">
        <f>Inputs!AL275</f>
        <v>-</v>
      </c>
      <c r="AM136" s="321" t="str">
        <f>Inputs!AM275</f>
        <v>-</v>
      </c>
      <c r="AN136" s="321" t="str">
        <f>Inputs!AN275</f>
        <v>-</v>
      </c>
      <c r="AO136" s="321" t="str">
        <f>Inputs!AO275</f>
        <v>-</v>
      </c>
      <c r="AP136" s="321" t="str">
        <f>Inputs!AP275</f>
        <v>-</v>
      </c>
      <c r="AQ136" s="321" t="str">
        <f>Inputs!AQ275</f>
        <v>-</v>
      </c>
      <c r="AR136" s="321" t="str">
        <f>Inputs!AR275</f>
        <v>-</v>
      </c>
      <c r="AS136" s="321" t="str">
        <f>Inputs!AS275</f>
        <v>-</v>
      </c>
      <c r="AT136" s="321" t="str">
        <f>Inputs!AT275</f>
        <v>-</v>
      </c>
      <c r="AU136" s="321" t="str">
        <f>Inputs!AU275</f>
        <v>-</v>
      </c>
      <c r="AV136" s="321" t="str">
        <f>Inputs!AV275</f>
        <v>-</v>
      </c>
      <c r="AW136" s="256"/>
    </row>
    <row r="137">
      <c r="A137" s="122"/>
      <c r="B137" s="123"/>
      <c r="C137" s="123"/>
      <c r="D137" s="123"/>
      <c r="E137" s="199" t="s">
        <v>263</v>
      </c>
      <c r="F137" s="200" t="s">
        <v>76</v>
      </c>
      <c r="G137" s="273" t="s">
        <v>161</v>
      </c>
      <c r="H137" s="344" t="s">
        <v>162</v>
      </c>
      <c r="I137" s="338">
        <f t="shared" ref="I137:AV137" si="30">I87*$H136</f>
        <v>1433.99672</v>
      </c>
      <c r="J137" s="338">
        <f t="shared" si="30"/>
        <v>687.6636301</v>
      </c>
      <c r="K137" s="338">
        <f t="shared" si="30"/>
        <v>1044.341397</v>
      </c>
      <c r="L137" s="338">
        <f t="shared" si="30"/>
        <v>507.9246905</v>
      </c>
      <c r="M137" s="338">
        <f t="shared" si="30"/>
        <v>703.6009666</v>
      </c>
      <c r="N137" s="338">
        <f t="shared" si="30"/>
        <v>1232.510611</v>
      </c>
      <c r="O137" s="338">
        <f t="shared" si="30"/>
        <v>2280.128919</v>
      </c>
      <c r="P137" s="338">
        <f t="shared" si="30"/>
        <v>2589.026871</v>
      </c>
      <c r="Q137" s="339">
        <f t="shared" si="30"/>
        <v>1996.675855</v>
      </c>
      <c r="R137" s="338">
        <f t="shared" si="30"/>
        <v>89.38247173</v>
      </c>
      <c r="S137" s="338">
        <f t="shared" si="30"/>
        <v>243.746787</v>
      </c>
      <c r="T137" s="338">
        <f t="shared" si="30"/>
        <v>124.8893341</v>
      </c>
      <c r="U137" s="338">
        <f t="shared" si="30"/>
        <v>137.705718</v>
      </c>
      <c r="V137" s="338">
        <f t="shared" si="30"/>
        <v>223.1539589</v>
      </c>
      <c r="W137" s="338">
        <f t="shared" si="30"/>
        <v>282.7502168</v>
      </c>
      <c r="X137" s="338">
        <f t="shared" si="30"/>
        <v>699.9889034</v>
      </c>
      <c r="Y137" s="338">
        <f t="shared" si="30"/>
        <v>101.0736602</v>
      </c>
      <c r="Z137" s="338">
        <f t="shared" si="30"/>
        <v>146.9210435</v>
      </c>
      <c r="AA137" s="338">
        <f t="shared" si="30"/>
        <v>11.91118716</v>
      </c>
      <c r="AB137" s="338">
        <f t="shared" si="30"/>
        <v>63.68102227</v>
      </c>
      <c r="AC137" s="338">
        <f t="shared" si="30"/>
        <v>39.8683255</v>
      </c>
      <c r="AD137" s="338">
        <f t="shared" si="30"/>
        <v>27.0329677</v>
      </c>
      <c r="AE137" s="338">
        <f t="shared" si="30"/>
        <v>49.75981539</v>
      </c>
      <c r="AF137" s="338">
        <f t="shared" si="30"/>
        <v>44.84764083</v>
      </c>
      <c r="AG137" s="338">
        <f t="shared" si="30"/>
        <v>314.1321211</v>
      </c>
      <c r="AH137" s="338">
        <f t="shared" si="30"/>
        <v>183.2993522</v>
      </c>
      <c r="AI137" s="338">
        <f t="shared" si="30"/>
        <v>293.2180503</v>
      </c>
      <c r="AJ137" s="338">
        <f t="shared" si="30"/>
        <v>37.83864761</v>
      </c>
      <c r="AK137" s="338">
        <f t="shared" si="30"/>
        <v>271.7995698</v>
      </c>
      <c r="AL137" s="338">
        <f t="shared" si="30"/>
        <v>735.8938493</v>
      </c>
      <c r="AM137" s="338">
        <f t="shared" si="30"/>
        <v>874.6436611</v>
      </c>
      <c r="AN137" s="338">
        <f t="shared" si="30"/>
        <v>503.2761065</v>
      </c>
      <c r="AO137" s="338">
        <f t="shared" si="30"/>
        <v>347.780266</v>
      </c>
      <c r="AP137" s="338">
        <f t="shared" si="30"/>
        <v>247.6172368</v>
      </c>
      <c r="AQ137" s="338">
        <f t="shared" si="30"/>
        <v>73.33350384</v>
      </c>
      <c r="AR137" s="338">
        <f t="shared" si="30"/>
        <v>189.2325768</v>
      </c>
      <c r="AS137" s="338">
        <f t="shared" si="30"/>
        <v>192.1235121</v>
      </c>
      <c r="AT137" s="338">
        <f t="shared" si="30"/>
        <v>76.55590929</v>
      </c>
      <c r="AU137" s="338">
        <f t="shared" si="30"/>
        <v>400.0855303</v>
      </c>
      <c r="AV137" s="338">
        <f t="shared" si="30"/>
        <v>1043.751332</v>
      </c>
      <c r="AW137" s="345"/>
    </row>
    <row r="138">
      <c r="A138" s="122"/>
      <c r="B138" s="123"/>
      <c r="C138" s="342"/>
      <c r="D138" s="342"/>
      <c r="E138" s="353"/>
      <c r="F138" s="125"/>
      <c r="G138" s="126"/>
      <c r="H138" s="350"/>
      <c r="I138" s="351"/>
      <c r="J138" s="351"/>
      <c r="K138" s="351"/>
      <c r="L138" s="351"/>
      <c r="M138" s="351"/>
      <c r="N138" s="351"/>
      <c r="O138" s="351"/>
      <c r="P138" s="351"/>
      <c r="Q138" s="352"/>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130"/>
    </row>
    <row r="139">
      <c r="A139" s="122"/>
      <c r="B139" s="123"/>
      <c r="C139" s="342" t="s">
        <v>264</v>
      </c>
      <c r="F139" s="125"/>
      <c r="G139" s="126"/>
      <c r="H139" s="350"/>
      <c r="I139" s="347"/>
      <c r="J139" s="347"/>
      <c r="K139" s="347"/>
      <c r="L139" s="347"/>
      <c r="M139" s="347"/>
      <c r="N139" s="347"/>
      <c r="O139" s="347"/>
      <c r="P139" s="347"/>
      <c r="Q139" s="348"/>
      <c r="R139" s="347"/>
      <c r="S139" s="347"/>
      <c r="T139" s="347"/>
      <c r="U139" s="347"/>
      <c r="V139" s="347"/>
      <c r="W139" s="347"/>
      <c r="X139" s="347"/>
      <c r="Y139" s="347"/>
      <c r="Z139" s="347"/>
      <c r="AA139" s="347"/>
      <c r="AB139" s="347"/>
      <c r="AC139" s="347"/>
      <c r="AD139" s="347"/>
      <c r="AE139" s="347"/>
      <c r="AF139" s="347"/>
      <c r="AG139" s="347"/>
      <c r="AH139" s="347"/>
      <c r="AI139" s="347"/>
      <c r="AJ139" s="347"/>
      <c r="AK139" s="347"/>
      <c r="AL139" s="347"/>
      <c r="AM139" s="347"/>
      <c r="AN139" s="347"/>
      <c r="AO139" s="347"/>
      <c r="AP139" s="347"/>
      <c r="AQ139" s="347"/>
      <c r="AR139" s="347"/>
      <c r="AS139" s="347"/>
      <c r="AT139" s="347"/>
      <c r="AU139" s="347"/>
      <c r="AV139" s="347"/>
      <c r="AW139" s="130"/>
    </row>
    <row r="140">
      <c r="A140" s="122"/>
      <c r="B140" s="123"/>
      <c r="C140" s="123"/>
      <c r="D140" s="123"/>
      <c r="E140" s="192" t="s">
        <v>265</v>
      </c>
      <c r="F140" s="193" t="s">
        <v>76</v>
      </c>
      <c r="G140" s="235" t="s">
        <v>161</v>
      </c>
      <c r="H140" s="236" t="s">
        <v>162</v>
      </c>
      <c r="I140" s="354">
        <f t="shared" ref="I140:AV140" si="31">I96/I36</f>
        <v>1.138315431</v>
      </c>
      <c r="J140" s="354">
        <f t="shared" si="31"/>
        <v>0.8504719502</v>
      </c>
      <c r="K140" s="354">
        <f t="shared" si="31"/>
        <v>1.336417677</v>
      </c>
      <c r="L140" s="354">
        <f t="shared" si="31"/>
        <v>0.5940959188</v>
      </c>
      <c r="M140" s="354">
        <f t="shared" si="31"/>
        <v>0.794181635</v>
      </c>
      <c r="N140" s="354">
        <f t="shared" si="31"/>
        <v>0.9281607558</v>
      </c>
      <c r="O140" s="354">
        <f t="shared" si="31"/>
        <v>1.105449642</v>
      </c>
      <c r="P140" s="354">
        <f t="shared" si="31"/>
        <v>1.306861892</v>
      </c>
      <c r="Q140" s="355">
        <f t="shared" si="31"/>
        <v>1.626844019</v>
      </c>
      <c r="R140" s="354">
        <f t="shared" si="31"/>
        <v>0.3059680952</v>
      </c>
      <c r="S140" s="354">
        <f t="shared" si="31"/>
        <v>0.7490560154</v>
      </c>
      <c r="T140" s="354">
        <f t="shared" si="31"/>
        <v>0.2230646755</v>
      </c>
      <c r="U140" s="354">
        <f t="shared" si="31"/>
        <v>0.2330754132</v>
      </c>
      <c r="V140" s="354">
        <f t="shared" si="31"/>
        <v>0.3708846038</v>
      </c>
      <c r="W140" s="354">
        <f t="shared" si="31"/>
        <v>0.4246658585</v>
      </c>
      <c r="X140" s="354">
        <f t="shared" si="31"/>
        <v>0.3553889426</v>
      </c>
      <c r="Y140" s="354">
        <f t="shared" si="31"/>
        <v>0.2982606902</v>
      </c>
      <c r="Z140" s="354">
        <f t="shared" si="31"/>
        <v>0.2807199203</v>
      </c>
      <c r="AA140" s="354">
        <f t="shared" si="31"/>
        <v>0.4681592912</v>
      </c>
      <c r="AB140" s="354">
        <f t="shared" si="31"/>
        <v>0.2953746226</v>
      </c>
      <c r="AC140" s="354">
        <f t="shared" si="31"/>
        <v>0.2459642861</v>
      </c>
      <c r="AD140" s="354">
        <f t="shared" si="31"/>
        <v>0.1942043917</v>
      </c>
      <c r="AE140" s="354">
        <f t="shared" si="31"/>
        <v>0.2664070692</v>
      </c>
      <c r="AF140" s="354">
        <f t="shared" si="31"/>
        <v>0.175774328</v>
      </c>
      <c r="AG140" s="354">
        <f t="shared" si="31"/>
        <v>0.5940959188</v>
      </c>
      <c r="AH140" s="354">
        <f t="shared" si="31"/>
        <v>0.3303137094</v>
      </c>
      <c r="AI140" s="354">
        <f t="shared" si="31"/>
        <v>0.1668597217</v>
      </c>
      <c r="AJ140" s="354">
        <f t="shared" si="31"/>
        <v>0.1347167483</v>
      </c>
      <c r="AK140" s="354">
        <f t="shared" si="31"/>
        <v>0.355434205</v>
      </c>
      <c r="AL140" s="354">
        <f t="shared" si="31"/>
        <v>0.5150915838</v>
      </c>
      <c r="AM140" s="354">
        <f t="shared" si="31"/>
        <v>0.5150915838</v>
      </c>
      <c r="AN140" s="354">
        <f t="shared" si="31"/>
        <v>0.5150915838</v>
      </c>
      <c r="AO140" s="354">
        <f t="shared" si="31"/>
        <v>0.1991236529</v>
      </c>
      <c r="AP140" s="354">
        <f t="shared" si="31"/>
        <v>0.2220570169</v>
      </c>
      <c r="AQ140" s="354">
        <f t="shared" si="31"/>
        <v>0.1266007236</v>
      </c>
      <c r="AR140" s="354">
        <f t="shared" si="31"/>
        <v>0.1604949671</v>
      </c>
      <c r="AS140" s="354">
        <f t="shared" si="31"/>
        <v>0.2830416906</v>
      </c>
      <c r="AT140" s="354">
        <f t="shared" si="31"/>
        <v>0.2797135362</v>
      </c>
      <c r="AU140" s="354">
        <f t="shared" si="31"/>
        <v>0.8105536529</v>
      </c>
      <c r="AV140" s="354">
        <f t="shared" si="31"/>
        <v>0.8309915132</v>
      </c>
      <c r="AW140" s="198"/>
    </row>
    <row r="141">
      <c r="A141" s="122"/>
      <c r="B141" s="123"/>
      <c r="C141" s="123"/>
      <c r="D141" s="123"/>
      <c r="E141" s="133" t="s">
        <v>266</v>
      </c>
      <c r="F141" s="134" t="s">
        <v>76</v>
      </c>
      <c r="G141" s="145" t="s">
        <v>161</v>
      </c>
      <c r="H141" s="146" t="s">
        <v>162</v>
      </c>
      <c r="I141" s="185">
        <f t="shared" ref="I141:AV141" si="32">I36*I140</f>
        <v>11576.88682</v>
      </c>
      <c r="J141" s="185">
        <f t="shared" si="32"/>
        <v>5601.435503</v>
      </c>
      <c r="K141" s="185">
        <f t="shared" si="32"/>
        <v>10435.32673</v>
      </c>
      <c r="L141" s="185">
        <f t="shared" si="32"/>
        <v>5143.407614</v>
      </c>
      <c r="M141" s="185">
        <f t="shared" si="32"/>
        <v>7312.70628</v>
      </c>
      <c r="N141" s="185">
        <f t="shared" si="32"/>
        <v>9658.47448</v>
      </c>
      <c r="O141" s="185">
        <f t="shared" si="32"/>
        <v>17036.00341</v>
      </c>
      <c r="P141" s="185">
        <f t="shared" si="32"/>
        <v>22625.58973</v>
      </c>
      <c r="Q141" s="186">
        <f t="shared" si="32"/>
        <v>18366.86013</v>
      </c>
      <c r="R141" s="185">
        <f t="shared" si="32"/>
        <v>603.6444286</v>
      </c>
      <c r="S141" s="185">
        <f t="shared" si="32"/>
        <v>2170.652261</v>
      </c>
      <c r="T141" s="185">
        <f t="shared" si="32"/>
        <v>562.1442377</v>
      </c>
      <c r="U141" s="185">
        <f t="shared" si="32"/>
        <v>720.5044078</v>
      </c>
      <c r="V141" s="185">
        <f t="shared" si="32"/>
        <v>1327.084299</v>
      </c>
      <c r="W141" s="185">
        <f t="shared" si="32"/>
        <v>1525.500386</v>
      </c>
      <c r="X141" s="185">
        <f t="shared" si="32"/>
        <v>3164.060121</v>
      </c>
      <c r="Y141" s="185">
        <f t="shared" si="32"/>
        <v>397.62722</v>
      </c>
      <c r="Z141" s="185">
        <f t="shared" si="32"/>
        <v>928.8490301</v>
      </c>
      <c r="AA141" s="185">
        <f t="shared" si="32"/>
        <v>85.15371367</v>
      </c>
      <c r="AB141" s="185">
        <f t="shared" si="32"/>
        <v>468.5995272</v>
      </c>
      <c r="AC141" s="185">
        <f t="shared" si="32"/>
        <v>217.5291136</v>
      </c>
      <c r="AD141" s="185">
        <f t="shared" si="32"/>
        <v>103.6574767</v>
      </c>
      <c r="AE141" s="185">
        <f t="shared" si="32"/>
        <v>399.1974294</v>
      </c>
      <c r="AF141" s="185">
        <f t="shared" si="32"/>
        <v>192.8182694</v>
      </c>
      <c r="AG141" s="185">
        <f t="shared" si="32"/>
        <v>3181.002172</v>
      </c>
      <c r="AH141" s="185">
        <f t="shared" si="32"/>
        <v>1037.981303</v>
      </c>
      <c r="AI141" s="185">
        <f t="shared" si="32"/>
        <v>947.1813008</v>
      </c>
      <c r="AJ141" s="185">
        <f t="shared" si="32"/>
        <v>177.414269</v>
      </c>
      <c r="AK141" s="185">
        <f t="shared" si="32"/>
        <v>1792.502281</v>
      </c>
      <c r="AL141" s="185">
        <f t="shared" si="32"/>
        <v>4508.857574</v>
      </c>
      <c r="AM141" s="185">
        <f t="shared" si="32"/>
        <v>5358.984452</v>
      </c>
      <c r="AN141" s="185">
        <f t="shared" si="32"/>
        <v>3083.597297</v>
      </c>
      <c r="AO141" s="185">
        <f t="shared" si="32"/>
        <v>1260.949839</v>
      </c>
      <c r="AP141" s="185">
        <f t="shared" si="32"/>
        <v>1025.788365</v>
      </c>
      <c r="AQ141" s="185">
        <f t="shared" si="32"/>
        <v>222.2832978</v>
      </c>
      <c r="AR141" s="185">
        <f t="shared" si="32"/>
        <v>768.3944828</v>
      </c>
      <c r="AS141" s="185">
        <f t="shared" si="32"/>
        <v>977.6752295</v>
      </c>
      <c r="AT141" s="185">
        <f t="shared" si="32"/>
        <v>490.2229509</v>
      </c>
      <c r="AU141" s="185">
        <f t="shared" si="32"/>
        <v>4402.184783</v>
      </c>
      <c r="AV141" s="185">
        <f t="shared" si="32"/>
        <v>6938.726257</v>
      </c>
      <c r="AW141" s="139"/>
    </row>
    <row r="142">
      <c r="A142" s="122"/>
      <c r="B142" s="123"/>
      <c r="C142" s="342"/>
      <c r="D142" s="123"/>
      <c r="E142" s="124"/>
      <c r="F142" s="125"/>
      <c r="G142" s="126"/>
      <c r="H142" s="127"/>
      <c r="I142" s="128"/>
      <c r="J142" s="128"/>
      <c r="K142" s="128"/>
      <c r="L142" s="128"/>
      <c r="M142" s="128"/>
      <c r="N142" s="128"/>
      <c r="O142" s="128"/>
      <c r="P142" s="128"/>
      <c r="Q142" s="129"/>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30"/>
    </row>
    <row r="143">
      <c r="A143" s="122"/>
      <c r="B143" s="123"/>
      <c r="C143" s="342" t="s">
        <v>267</v>
      </c>
      <c r="F143" s="125"/>
      <c r="G143" s="125"/>
      <c r="H143" s="127"/>
      <c r="I143" s="128"/>
      <c r="J143" s="128"/>
      <c r="K143" s="128"/>
      <c r="L143" s="128"/>
      <c r="M143" s="128"/>
      <c r="N143" s="128"/>
      <c r="O143" s="128"/>
      <c r="P143" s="128"/>
      <c r="Q143" s="129"/>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30"/>
    </row>
    <row r="144">
      <c r="A144" s="122"/>
      <c r="B144" s="123"/>
      <c r="C144" s="342"/>
      <c r="D144" s="123"/>
      <c r="E144" s="192" t="s">
        <v>268</v>
      </c>
      <c r="F144" s="356" t="str">
        <f>Inputs!F277</f>
        <v>UoV</v>
      </c>
      <c r="G144" s="356" t="str">
        <f>Inputs!G277</f>
        <v>input</v>
      </c>
      <c r="H144" s="357">
        <f>Inputs!H277</f>
        <v>1.442695041</v>
      </c>
      <c r="I144" s="321" t="str">
        <f>Inputs!I277</f>
        <v>-</v>
      </c>
      <c r="J144" s="321" t="str">
        <f>Inputs!J277</f>
        <v>-</v>
      </c>
      <c r="K144" s="321" t="str">
        <f>Inputs!K277</f>
        <v>-</v>
      </c>
      <c r="L144" s="321" t="str">
        <f>Inputs!L277</f>
        <v>-</v>
      </c>
      <c r="M144" s="321" t="str">
        <f>Inputs!M277</f>
        <v>-</v>
      </c>
      <c r="N144" s="321" t="str">
        <f>Inputs!N277</f>
        <v>-</v>
      </c>
      <c r="O144" s="321" t="str">
        <f>Inputs!O277</f>
        <v>-</v>
      </c>
      <c r="P144" s="321" t="str">
        <f>Inputs!P277</f>
        <v>-</v>
      </c>
      <c r="Q144" s="322" t="str">
        <f>Inputs!Q277</f>
        <v>-</v>
      </c>
      <c r="R144" s="321" t="str">
        <f>Inputs!R277</f>
        <v>-</v>
      </c>
      <c r="S144" s="321" t="str">
        <f>Inputs!S277</f>
        <v>-</v>
      </c>
      <c r="T144" s="321" t="str">
        <f>Inputs!T277</f>
        <v>-</v>
      </c>
      <c r="U144" s="321" t="str">
        <f>Inputs!U277</f>
        <v>-</v>
      </c>
      <c r="V144" s="321" t="str">
        <f>Inputs!V277</f>
        <v>-</v>
      </c>
      <c r="W144" s="321" t="str">
        <f>Inputs!W277</f>
        <v>-</v>
      </c>
      <c r="X144" s="321" t="str">
        <f>Inputs!X277</f>
        <v>-</v>
      </c>
      <c r="Y144" s="321" t="str">
        <f>Inputs!Y277</f>
        <v>-</v>
      </c>
      <c r="Z144" s="321" t="str">
        <f>Inputs!Z277</f>
        <v>-</v>
      </c>
      <c r="AA144" s="321" t="str">
        <f>Inputs!AA277</f>
        <v>-</v>
      </c>
      <c r="AB144" s="321" t="str">
        <f>Inputs!AB277</f>
        <v>-</v>
      </c>
      <c r="AC144" s="321" t="str">
        <f>Inputs!AC277</f>
        <v>-</v>
      </c>
      <c r="AD144" s="321" t="str">
        <f>Inputs!AD277</f>
        <v>-</v>
      </c>
      <c r="AE144" s="321" t="str">
        <f>Inputs!AE277</f>
        <v>-</v>
      </c>
      <c r="AF144" s="321" t="str">
        <f>Inputs!AF277</f>
        <v>-</v>
      </c>
      <c r="AG144" s="321" t="str">
        <f>Inputs!AG277</f>
        <v>-</v>
      </c>
      <c r="AH144" s="321" t="str">
        <f>Inputs!AH277</f>
        <v>-</v>
      </c>
      <c r="AI144" s="321" t="str">
        <f>Inputs!AI277</f>
        <v>-</v>
      </c>
      <c r="AJ144" s="321" t="str">
        <f>Inputs!AJ277</f>
        <v>-</v>
      </c>
      <c r="AK144" s="321" t="str">
        <f>Inputs!AK277</f>
        <v>-</v>
      </c>
      <c r="AL144" s="321" t="str">
        <f>Inputs!AL277</f>
        <v>-</v>
      </c>
      <c r="AM144" s="321" t="str">
        <f>Inputs!AM277</f>
        <v>-</v>
      </c>
      <c r="AN144" s="321" t="str">
        <f>Inputs!AN277</f>
        <v>-</v>
      </c>
      <c r="AO144" s="321" t="str">
        <f>Inputs!AO277</f>
        <v>-</v>
      </c>
      <c r="AP144" s="321" t="str">
        <f>Inputs!AP277</f>
        <v>-</v>
      </c>
      <c r="AQ144" s="321" t="str">
        <f>Inputs!AQ277</f>
        <v>-</v>
      </c>
      <c r="AR144" s="321" t="str">
        <f>Inputs!AR277</f>
        <v>-</v>
      </c>
      <c r="AS144" s="321" t="str">
        <f>Inputs!AS277</f>
        <v>-</v>
      </c>
      <c r="AT144" s="321" t="str">
        <f>Inputs!AT277</f>
        <v>-</v>
      </c>
      <c r="AU144" s="321" t="str">
        <f>Inputs!AU277</f>
        <v>-</v>
      </c>
      <c r="AV144" s="321" t="str">
        <f>Inputs!AV277</f>
        <v>-</v>
      </c>
      <c r="AW144" s="256"/>
    </row>
    <row r="145">
      <c r="A145" s="122"/>
      <c r="B145" s="123"/>
      <c r="C145" s="342"/>
      <c r="D145" s="123"/>
      <c r="E145" s="199" t="s">
        <v>269</v>
      </c>
      <c r="F145" s="200" t="s">
        <v>76</v>
      </c>
      <c r="G145" s="200" t="s">
        <v>161</v>
      </c>
      <c r="H145" s="228" t="s">
        <v>162</v>
      </c>
      <c r="I145" s="338">
        <f t="shared" ref="I145:AV145" si="33">I119*$H144</f>
        <v>2472.896884</v>
      </c>
      <c r="J145" s="338">
        <f t="shared" si="33"/>
        <v>2472.896884</v>
      </c>
      <c r="K145" s="338">
        <f t="shared" si="33"/>
        <v>2472.896884</v>
      </c>
      <c r="L145" s="338">
        <f t="shared" si="33"/>
        <v>2472.896884</v>
      </c>
      <c r="M145" s="338">
        <f t="shared" si="33"/>
        <v>2472.896884</v>
      </c>
      <c r="N145" s="338">
        <f t="shared" si="33"/>
        <v>2472.896884</v>
      </c>
      <c r="O145" s="338">
        <f t="shared" si="33"/>
        <v>2472.896884</v>
      </c>
      <c r="P145" s="338">
        <f t="shared" si="33"/>
        <v>2472.896884</v>
      </c>
      <c r="Q145" s="339">
        <f t="shared" si="33"/>
        <v>2472.896884</v>
      </c>
      <c r="R145" s="338">
        <f t="shared" si="33"/>
        <v>2472.896884</v>
      </c>
      <c r="S145" s="338">
        <f t="shared" si="33"/>
        <v>2472.896884</v>
      </c>
      <c r="T145" s="338">
        <f t="shared" si="33"/>
        <v>2472.896884</v>
      </c>
      <c r="U145" s="338">
        <f t="shared" si="33"/>
        <v>2472.896884</v>
      </c>
      <c r="V145" s="338">
        <f t="shared" si="33"/>
        <v>2472.896884</v>
      </c>
      <c r="W145" s="338">
        <f t="shared" si="33"/>
        <v>2472.896884</v>
      </c>
      <c r="X145" s="338">
        <f t="shared" si="33"/>
        <v>2472.896884</v>
      </c>
      <c r="Y145" s="338">
        <f t="shared" si="33"/>
        <v>2472.896884</v>
      </c>
      <c r="Z145" s="338">
        <f t="shared" si="33"/>
        <v>2472.896884</v>
      </c>
      <c r="AA145" s="338">
        <f t="shared" si="33"/>
        <v>2472.896884</v>
      </c>
      <c r="AB145" s="338">
        <f t="shared" si="33"/>
        <v>2472.896884</v>
      </c>
      <c r="AC145" s="338">
        <f t="shared" si="33"/>
        <v>2472.896884</v>
      </c>
      <c r="AD145" s="338">
        <f t="shared" si="33"/>
        <v>2472.896884</v>
      </c>
      <c r="AE145" s="338">
        <f t="shared" si="33"/>
        <v>2472.896884</v>
      </c>
      <c r="AF145" s="338">
        <f t="shared" si="33"/>
        <v>2472.896884</v>
      </c>
      <c r="AG145" s="338">
        <f t="shared" si="33"/>
        <v>2472.896884</v>
      </c>
      <c r="AH145" s="338">
        <f t="shared" si="33"/>
        <v>2472.896884</v>
      </c>
      <c r="AI145" s="338">
        <f t="shared" si="33"/>
        <v>2472.896884</v>
      </c>
      <c r="AJ145" s="338">
        <f t="shared" si="33"/>
        <v>2472.896884</v>
      </c>
      <c r="AK145" s="338">
        <f t="shared" si="33"/>
        <v>2472.896884</v>
      </c>
      <c r="AL145" s="338">
        <f t="shared" si="33"/>
        <v>2472.896884</v>
      </c>
      <c r="AM145" s="338">
        <f t="shared" si="33"/>
        <v>2472.896884</v>
      </c>
      <c r="AN145" s="338">
        <f t="shared" si="33"/>
        <v>2472.896884</v>
      </c>
      <c r="AO145" s="338">
        <f t="shared" si="33"/>
        <v>2472.896884</v>
      </c>
      <c r="AP145" s="338">
        <f t="shared" si="33"/>
        <v>2472.896884</v>
      </c>
      <c r="AQ145" s="338">
        <f t="shared" si="33"/>
        <v>2472.896884</v>
      </c>
      <c r="AR145" s="338">
        <f t="shared" si="33"/>
        <v>2472.896884</v>
      </c>
      <c r="AS145" s="338">
        <f t="shared" si="33"/>
        <v>2472.896884</v>
      </c>
      <c r="AT145" s="338">
        <f t="shared" si="33"/>
        <v>2472.896884</v>
      </c>
      <c r="AU145" s="338">
        <f t="shared" si="33"/>
        <v>2472.896884</v>
      </c>
      <c r="AV145" s="338">
        <f t="shared" si="33"/>
        <v>2472.896884</v>
      </c>
      <c r="AW145" s="274"/>
    </row>
    <row r="146">
      <c r="A146" s="122"/>
      <c r="B146" s="123"/>
      <c r="C146" s="342"/>
      <c r="D146" s="123"/>
      <c r="E146" s="124"/>
      <c r="F146" s="125"/>
      <c r="G146" s="125"/>
      <c r="H146" s="127"/>
      <c r="I146" s="128"/>
      <c r="J146" s="128"/>
      <c r="K146" s="128"/>
      <c r="L146" s="128"/>
      <c r="M146" s="128"/>
      <c r="N146" s="128"/>
      <c r="O146" s="128"/>
      <c r="P146" s="128"/>
      <c r="Q146" s="129"/>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30"/>
    </row>
    <row r="147">
      <c r="A147" s="117" t="s">
        <v>270</v>
      </c>
      <c r="B147" s="7"/>
      <c r="C147" s="7"/>
      <c r="D147" s="7"/>
      <c r="E147" s="7"/>
      <c r="F147" s="7"/>
      <c r="G147" s="7"/>
      <c r="H147" s="118"/>
      <c r="I147" s="340"/>
      <c r="J147" s="340"/>
      <c r="K147" s="340"/>
      <c r="L147" s="340"/>
      <c r="M147" s="340"/>
      <c r="N147" s="340"/>
      <c r="O147" s="340"/>
      <c r="P147" s="340"/>
      <c r="Q147" s="341"/>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121"/>
    </row>
    <row r="148">
      <c r="A148" s="122"/>
      <c r="B148" s="123"/>
      <c r="C148" s="123"/>
      <c r="D148" s="123"/>
      <c r="E148" s="124"/>
      <c r="F148" s="125"/>
      <c r="G148" s="126"/>
      <c r="H148" s="127"/>
      <c r="I148" s="128"/>
      <c r="J148" s="128"/>
      <c r="K148" s="128"/>
      <c r="L148" s="128"/>
      <c r="M148" s="128"/>
      <c r="N148" s="128"/>
      <c r="O148" s="128"/>
      <c r="P148" s="128"/>
      <c r="Q148" s="129"/>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342" t="s">
        <v>271</v>
      </c>
      <c r="F149" s="125"/>
      <c r="G149" s="126"/>
      <c r="H149" s="127"/>
      <c r="I149" s="128"/>
      <c r="J149" s="128"/>
      <c r="K149" s="128"/>
      <c r="L149" s="128"/>
      <c r="M149" s="128"/>
      <c r="N149" s="128"/>
      <c r="O149" s="128"/>
      <c r="P149" s="128"/>
      <c r="Q149" s="129"/>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123"/>
      <c r="D150" s="123"/>
      <c r="E150" s="192" t="s">
        <v>193</v>
      </c>
      <c r="F150" s="193" t="str">
        <f>F48</f>
        <v>#</v>
      </c>
      <c r="G150" s="235" t="s">
        <v>155</v>
      </c>
      <c r="H150" s="236" t="str">
        <f t="shared" ref="H150:AV150" si="34">H48</f>
        <v>-</v>
      </c>
      <c r="I150" s="358">
        <f t="shared" si="34"/>
        <v>300.4551374</v>
      </c>
      <c r="J150" s="358">
        <f t="shared" si="34"/>
        <v>145.8597307</v>
      </c>
      <c r="K150" s="358">
        <f t="shared" si="34"/>
        <v>272.0415129</v>
      </c>
      <c r="L150" s="358">
        <f t="shared" si="34"/>
        <v>133.8737968</v>
      </c>
      <c r="M150" s="358">
        <f t="shared" si="34"/>
        <v>190.1497651</v>
      </c>
      <c r="N150" s="358">
        <f t="shared" si="34"/>
        <v>249.4154219</v>
      </c>
      <c r="O150" s="358">
        <f t="shared" si="34"/>
        <v>440.5667112</v>
      </c>
      <c r="P150" s="358">
        <f t="shared" si="34"/>
        <v>583.6672589</v>
      </c>
      <c r="Q150" s="359">
        <f t="shared" si="34"/>
        <v>478.1988121</v>
      </c>
      <c r="R150" s="358">
        <f t="shared" si="34"/>
        <v>15.79426135</v>
      </c>
      <c r="S150" s="358">
        <f t="shared" si="34"/>
        <v>56.84201363</v>
      </c>
      <c r="T150" s="358">
        <f t="shared" si="34"/>
        <v>14.52216714</v>
      </c>
      <c r="U150" s="358">
        <f t="shared" si="34"/>
        <v>18.4922658</v>
      </c>
      <c r="V150" s="358">
        <f t="shared" si="34"/>
        <v>34.55289062</v>
      </c>
      <c r="W150" s="358">
        <f t="shared" si="34"/>
        <v>39.11867548</v>
      </c>
      <c r="X150" s="358">
        <f t="shared" si="34"/>
        <v>80.11460936</v>
      </c>
      <c r="Y150" s="358">
        <f t="shared" si="34"/>
        <v>10.249906</v>
      </c>
      <c r="Z150" s="358">
        <f t="shared" si="34"/>
        <v>23.91751109</v>
      </c>
      <c r="AA150" s="358">
        <f t="shared" si="34"/>
        <v>2.220117414</v>
      </c>
      <c r="AB150" s="358">
        <f t="shared" si="34"/>
        <v>12.3423778</v>
      </c>
      <c r="AC150" s="358">
        <f t="shared" si="34"/>
        <v>5.682651361</v>
      </c>
      <c r="AD150" s="358">
        <f t="shared" si="34"/>
        <v>2.662741133</v>
      </c>
      <c r="AE150" s="358">
        <f t="shared" si="34"/>
        <v>10.31449001</v>
      </c>
      <c r="AF150" s="358">
        <f t="shared" si="34"/>
        <v>4.955748984</v>
      </c>
      <c r="AG150" s="358">
        <f t="shared" si="34"/>
        <v>82.79585641</v>
      </c>
      <c r="AH150" s="358">
        <f t="shared" si="34"/>
        <v>26.57084498</v>
      </c>
      <c r="AI150" s="358">
        <f t="shared" si="34"/>
        <v>23.63423311</v>
      </c>
      <c r="AJ150" s="358">
        <f t="shared" si="34"/>
        <v>4.471331411</v>
      </c>
      <c r="AK150" s="358">
        <f t="shared" si="34"/>
        <v>45.76140424</v>
      </c>
      <c r="AL150" s="358">
        <f t="shared" si="34"/>
        <v>116.0001745</v>
      </c>
      <c r="AM150" s="358">
        <f t="shared" si="34"/>
        <v>137.8715387</v>
      </c>
      <c r="AN150" s="358">
        <f t="shared" si="34"/>
        <v>79.33225184</v>
      </c>
      <c r="AO150" s="358">
        <f t="shared" si="34"/>
        <v>31.88211061</v>
      </c>
      <c r="AP150" s="358">
        <f t="shared" si="34"/>
        <v>26.11902763</v>
      </c>
      <c r="AQ150" s="358">
        <f t="shared" si="34"/>
        <v>5.665993568</v>
      </c>
      <c r="AR150" s="358">
        <f t="shared" si="34"/>
        <v>19.60615589</v>
      </c>
      <c r="AS150" s="358">
        <f t="shared" si="34"/>
        <v>24.63330067</v>
      </c>
      <c r="AT150" s="358">
        <f t="shared" si="34"/>
        <v>12.79789579</v>
      </c>
      <c r="AU150" s="358">
        <f t="shared" si="34"/>
        <v>115.0511675</v>
      </c>
      <c r="AV150" s="358">
        <f t="shared" si="34"/>
        <v>178.7739794</v>
      </c>
      <c r="AW150" s="360"/>
    </row>
    <row r="151">
      <c r="A151" s="122"/>
      <c r="B151" s="123"/>
      <c r="C151" s="123"/>
      <c r="D151" s="123"/>
      <c r="E151" s="212" t="s">
        <v>203</v>
      </c>
      <c r="F151" s="213" t="str">
        <f>F61</f>
        <v>#</v>
      </c>
      <c r="G151" s="235" t="s">
        <v>155</v>
      </c>
      <c r="H151" s="240" t="str">
        <f t="shared" ref="H151:AV151" si="35">H61</f>
        <v>-</v>
      </c>
      <c r="I151" s="361">
        <f t="shared" si="35"/>
        <v>21.28830372</v>
      </c>
      <c r="J151" s="361">
        <f t="shared" si="35"/>
        <v>9.878055339</v>
      </c>
      <c r="K151" s="361">
        <f t="shared" si="35"/>
        <v>18.13415998</v>
      </c>
      <c r="L151" s="361">
        <f t="shared" si="35"/>
        <v>9.121649768</v>
      </c>
      <c r="M151" s="361">
        <f t="shared" si="35"/>
        <v>13.13145233</v>
      </c>
      <c r="N151" s="361">
        <f t="shared" si="35"/>
        <v>18.84846725</v>
      </c>
      <c r="O151" s="361">
        <f t="shared" si="35"/>
        <v>32.69109405</v>
      </c>
      <c r="P151" s="361">
        <f t="shared" si="35"/>
        <v>44.67908829</v>
      </c>
      <c r="Q151" s="362">
        <f t="shared" si="35"/>
        <v>32.44954392</v>
      </c>
      <c r="R151" s="361">
        <f t="shared" si="35"/>
        <v>0.9988379973</v>
      </c>
      <c r="S151" s="361">
        <f t="shared" si="35"/>
        <v>3.55065883</v>
      </c>
      <c r="T151" s="361">
        <f t="shared" si="35"/>
        <v>1.092111997</v>
      </c>
      <c r="U151" s="361">
        <f t="shared" si="35"/>
        <v>1.504893335</v>
      </c>
      <c r="V151" s="361">
        <f t="shared" si="35"/>
        <v>2.343767619</v>
      </c>
      <c r="W151" s="361">
        <f t="shared" si="35"/>
        <v>3.216166446</v>
      </c>
      <c r="X151" s="361">
        <f t="shared" si="35"/>
        <v>7.55927505</v>
      </c>
      <c r="Y151" s="361">
        <f t="shared" si="35"/>
        <v>0.7918035009</v>
      </c>
      <c r="Z151" s="361">
        <f t="shared" si="35"/>
        <v>1.872295208</v>
      </c>
      <c r="AA151" s="361">
        <f t="shared" si="35"/>
        <v>0.1477851589</v>
      </c>
      <c r="AB151" s="361">
        <f t="shared" si="35"/>
        <v>0.7044782984</v>
      </c>
      <c r="AC151" s="361">
        <f t="shared" si="35"/>
        <v>0.3677348363</v>
      </c>
      <c r="AD151" s="361">
        <f t="shared" si="35"/>
        <v>0.2145085008</v>
      </c>
      <c r="AE151" s="361">
        <f t="shared" si="35"/>
        <v>0.7739685967</v>
      </c>
      <c r="AF151" s="361">
        <f t="shared" si="35"/>
        <v>0.3967083395</v>
      </c>
      <c r="AG151" s="361">
        <f t="shared" si="35"/>
        <v>5.64139378</v>
      </c>
      <c r="AH151" s="361">
        <f t="shared" si="35"/>
        <v>2.2285963</v>
      </c>
      <c r="AI151" s="361">
        <f t="shared" si="35"/>
        <v>2.566007341</v>
      </c>
      <c r="AJ151" s="361">
        <f t="shared" si="35"/>
        <v>0.4419749236</v>
      </c>
      <c r="AK151" s="361">
        <f t="shared" si="35"/>
        <v>3.95649887</v>
      </c>
      <c r="AL151" s="361">
        <f t="shared" si="35"/>
        <v>9.176568808</v>
      </c>
      <c r="AM151" s="361">
        <f t="shared" si="35"/>
        <v>10.90677378</v>
      </c>
      <c r="AN151" s="361">
        <f t="shared" si="35"/>
        <v>6.275834246</v>
      </c>
      <c r="AO151" s="361">
        <f t="shared" si="35"/>
        <v>3.052002004</v>
      </c>
      <c r="AP151" s="361">
        <f t="shared" si="35"/>
        <v>2.323883184</v>
      </c>
      <c r="AQ151" s="361">
        <f t="shared" si="35"/>
        <v>0.4982451959</v>
      </c>
      <c r="AR151" s="361">
        <f t="shared" si="35"/>
        <v>1.705124146</v>
      </c>
      <c r="AS151" s="361">
        <f t="shared" si="35"/>
        <v>2.441522025</v>
      </c>
      <c r="AT151" s="361">
        <f t="shared" si="35"/>
        <v>0.8361256668</v>
      </c>
      <c r="AU151" s="361">
        <f t="shared" si="35"/>
        <v>7.398373412</v>
      </c>
      <c r="AV151" s="361">
        <f t="shared" si="35"/>
        <v>13.89571749</v>
      </c>
      <c r="AW151" s="363"/>
    </row>
    <row r="152">
      <c r="A152" s="122"/>
      <c r="B152" s="123"/>
      <c r="C152" s="123"/>
      <c r="D152" s="123"/>
      <c r="E152" s="212" t="s">
        <v>212</v>
      </c>
      <c r="F152" s="213" t="str">
        <f>F74</f>
        <v>#</v>
      </c>
      <c r="G152" s="235" t="s">
        <v>155</v>
      </c>
      <c r="H152" s="240" t="str">
        <f t="shared" ref="H152:AV152" si="36">H74</f>
        <v>-</v>
      </c>
      <c r="I152" s="361">
        <f t="shared" si="36"/>
        <v>20.32080319</v>
      </c>
      <c r="J152" s="361">
        <f t="shared" si="36"/>
        <v>8.165362582</v>
      </c>
      <c r="K152" s="361">
        <f t="shared" si="36"/>
        <v>17.37987529</v>
      </c>
      <c r="L152" s="361">
        <f t="shared" si="36"/>
        <v>8.082350109</v>
      </c>
      <c r="M152" s="361">
        <f t="shared" si="36"/>
        <v>10.5906912</v>
      </c>
      <c r="N152" s="361">
        <f t="shared" si="36"/>
        <v>19.28875838</v>
      </c>
      <c r="O152" s="361">
        <f t="shared" si="36"/>
        <v>30.93995989</v>
      </c>
      <c r="P152" s="361">
        <f t="shared" si="36"/>
        <v>46.69574775</v>
      </c>
      <c r="Q152" s="362">
        <f t="shared" si="36"/>
        <v>26.85867195</v>
      </c>
      <c r="R152" s="361">
        <f t="shared" si="36"/>
        <v>1.254472749</v>
      </c>
      <c r="S152" s="361">
        <f t="shared" si="36"/>
        <v>3.37649187</v>
      </c>
      <c r="T152" s="361">
        <f t="shared" si="36"/>
        <v>1.734266782</v>
      </c>
      <c r="U152" s="361">
        <f t="shared" si="36"/>
        <v>2.066813327</v>
      </c>
      <c r="V152" s="361">
        <f t="shared" si="36"/>
        <v>3.228365327</v>
      </c>
      <c r="W152" s="361">
        <f t="shared" si="36"/>
        <v>4.223449223</v>
      </c>
      <c r="X152" s="361">
        <f t="shared" si="36"/>
        <v>8.884295544</v>
      </c>
      <c r="Y152" s="361">
        <f t="shared" si="36"/>
        <v>1.369816738</v>
      </c>
      <c r="Z152" s="361">
        <f t="shared" si="36"/>
        <v>2.484182236</v>
      </c>
      <c r="AA152" s="361">
        <f t="shared" si="36"/>
        <v>0.177634075</v>
      </c>
      <c r="AB152" s="361">
        <f t="shared" si="36"/>
        <v>1.122179994</v>
      </c>
      <c r="AC152" s="361">
        <f t="shared" si="36"/>
        <v>0.5736967439</v>
      </c>
      <c r="AD152" s="361">
        <f t="shared" si="36"/>
        <v>0.369678275</v>
      </c>
      <c r="AE152" s="361">
        <f t="shared" si="36"/>
        <v>0.9318384067</v>
      </c>
      <c r="AF152" s="361">
        <f t="shared" si="36"/>
        <v>0.6525849299</v>
      </c>
      <c r="AG152" s="361">
        <f t="shared" si="36"/>
        <v>4.998626432</v>
      </c>
      <c r="AH152" s="361">
        <f t="shared" si="36"/>
        <v>2.434965476</v>
      </c>
      <c r="AI152" s="361">
        <f t="shared" si="36"/>
        <v>4.752756641</v>
      </c>
      <c r="AJ152" s="361">
        <f t="shared" si="36"/>
        <v>0.6129422291</v>
      </c>
      <c r="AK152" s="361">
        <f t="shared" si="36"/>
        <v>5.336178846</v>
      </c>
      <c r="AL152" s="361">
        <f t="shared" si="36"/>
        <v>11.6202692</v>
      </c>
      <c r="AM152" s="361">
        <f t="shared" si="36"/>
        <v>13.81122401</v>
      </c>
      <c r="AN152" s="361">
        <f t="shared" si="36"/>
        <v>7.947075309</v>
      </c>
      <c r="AO152" s="361">
        <f t="shared" si="36"/>
        <v>5.082532904</v>
      </c>
      <c r="AP152" s="361">
        <f t="shared" si="36"/>
        <v>3.434469359</v>
      </c>
      <c r="AQ152" s="361">
        <f t="shared" si="36"/>
        <v>0.8475947188</v>
      </c>
      <c r="AR152" s="361">
        <f t="shared" si="36"/>
        <v>2.857503896</v>
      </c>
      <c r="AS152" s="361">
        <f t="shared" si="36"/>
        <v>3.79453501</v>
      </c>
      <c r="AT152" s="361">
        <f t="shared" si="36"/>
        <v>1.176381432</v>
      </c>
      <c r="AU152" s="361">
        <f t="shared" si="36"/>
        <v>7.940758301</v>
      </c>
      <c r="AV152" s="361">
        <f t="shared" si="36"/>
        <v>15.87424836</v>
      </c>
      <c r="AW152" s="363"/>
    </row>
    <row r="153">
      <c r="A153" s="122"/>
      <c r="B153" s="123"/>
      <c r="C153" s="123"/>
      <c r="D153" s="123"/>
      <c r="E153" s="212" t="s">
        <v>221</v>
      </c>
      <c r="F153" s="213" t="str">
        <f>F87</f>
        <v>#</v>
      </c>
      <c r="G153" s="235" t="s">
        <v>155</v>
      </c>
      <c r="H153" s="240" t="str">
        <f t="shared" ref="H153:AV153" si="37">H87</f>
        <v>-</v>
      </c>
      <c r="I153" s="361">
        <f t="shared" si="37"/>
        <v>33.78880112</v>
      </c>
      <c r="J153" s="361">
        <f t="shared" si="37"/>
        <v>16.20319581</v>
      </c>
      <c r="K153" s="361">
        <f t="shared" si="37"/>
        <v>24.60747872</v>
      </c>
      <c r="L153" s="361">
        <f t="shared" si="37"/>
        <v>11.96806528</v>
      </c>
      <c r="M153" s="361">
        <f t="shared" si="37"/>
        <v>16.57872211</v>
      </c>
      <c r="N153" s="361">
        <f t="shared" si="37"/>
        <v>29.04124909</v>
      </c>
      <c r="O153" s="361">
        <f t="shared" si="37"/>
        <v>53.7259406</v>
      </c>
      <c r="P153" s="361">
        <f t="shared" si="37"/>
        <v>61.00440319</v>
      </c>
      <c r="Q153" s="362">
        <f t="shared" si="37"/>
        <v>47.04702769</v>
      </c>
      <c r="R153" s="361">
        <f t="shared" si="37"/>
        <v>2.106090286</v>
      </c>
      <c r="S153" s="361">
        <f t="shared" si="37"/>
        <v>5.743326742</v>
      </c>
      <c r="T153" s="361">
        <f t="shared" si="37"/>
        <v>2.942727005</v>
      </c>
      <c r="U153" s="361">
        <f t="shared" si="37"/>
        <v>3.244715316</v>
      </c>
      <c r="V153" s="361">
        <f t="shared" si="37"/>
        <v>5.258104592</v>
      </c>
      <c r="W153" s="361">
        <f t="shared" si="37"/>
        <v>6.662351952</v>
      </c>
      <c r="X153" s="361">
        <f t="shared" si="37"/>
        <v>16.49361224</v>
      </c>
      <c r="Y153" s="361">
        <f t="shared" si="37"/>
        <v>2.381565981</v>
      </c>
      <c r="Z153" s="361">
        <f t="shared" si="37"/>
        <v>3.461853051</v>
      </c>
      <c r="AA153" s="361">
        <f t="shared" si="37"/>
        <v>0.2806594524</v>
      </c>
      <c r="AB153" s="361">
        <f t="shared" si="37"/>
        <v>1.500495341</v>
      </c>
      <c r="AC153" s="361">
        <f t="shared" si="37"/>
        <v>0.9394044651</v>
      </c>
      <c r="AD153" s="361">
        <f t="shared" si="37"/>
        <v>0.6369690786</v>
      </c>
      <c r="AE153" s="361">
        <f t="shared" si="37"/>
        <v>1.172474444</v>
      </c>
      <c r="AF153" s="361">
        <f t="shared" si="37"/>
        <v>1.056730463</v>
      </c>
      <c r="AG153" s="361">
        <f t="shared" si="37"/>
        <v>7.401793617</v>
      </c>
      <c r="AH153" s="361">
        <f t="shared" si="37"/>
        <v>4.319023378</v>
      </c>
      <c r="AI153" s="361">
        <f t="shared" si="37"/>
        <v>6.909002129</v>
      </c>
      <c r="AJ153" s="361">
        <f t="shared" si="37"/>
        <v>0.8915798212</v>
      </c>
      <c r="AK153" s="361">
        <f t="shared" si="37"/>
        <v>6.404325397</v>
      </c>
      <c r="AL153" s="361">
        <f t="shared" si="37"/>
        <v>17.33962887</v>
      </c>
      <c r="AM153" s="361">
        <f t="shared" si="37"/>
        <v>20.60894583</v>
      </c>
      <c r="AN153" s="361">
        <f t="shared" si="37"/>
        <v>11.8585322</v>
      </c>
      <c r="AO153" s="361">
        <f t="shared" si="37"/>
        <v>8.194633978</v>
      </c>
      <c r="AP153" s="361">
        <f t="shared" si="37"/>
        <v>5.834524901</v>
      </c>
      <c r="AQ153" s="361">
        <f t="shared" si="37"/>
        <v>1.727933644</v>
      </c>
      <c r="AR153" s="361">
        <f t="shared" si="37"/>
        <v>4.458826033</v>
      </c>
      <c r="AS153" s="361">
        <f t="shared" si="37"/>
        <v>4.526944206</v>
      </c>
      <c r="AT153" s="361">
        <f t="shared" si="37"/>
        <v>1.803862142</v>
      </c>
      <c r="AU153" s="361">
        <f t="shared" si="37"/>
        <v>9.427086011</v>
      </c>
      <c r="AV153" s="361">
        <f t="shared" si="37"/>
        <v>24.5935752</v>
      </c>
      <c r="AW153" s="363"/>
    </row>
    <row r="154">
      <c r="A154" s="122"/>
      <c r="B154" s="123"/>
      <c r="C154" s="123"/>
      <c r="D154" s="123"/>
      <c r="E154" s="212" t="s">
        <v>183</v>
      </c>
      <c r="F154" s="213" t="str">
        <f>F36</f>
        <v>#</v>
      </c>
      <c r="G154" s="235" t="s">
        <v>155</v>
      </c>
      <c r="H154" s="240" t="str">
        <f t="shared" ref="H154:AV154" si="38">H36</f>
        <v>-</v>
      </c>
      <c r="I154" s="361">
        <f t="shared" si="38"/>
        <v>10170.19229</v>
      </c>
      <c r="J154" s="361">
        <f t="shared" si="38"/>
        <v>6586.267192</v>
      </c>
      <c r="K154" s="361">
        <f t="shared" si="38"/>
        <v>7808.432134</v>
      </c>
      <c r="L154" s="361">
        <f t="shared" si="38"/>
        <v>8657.537363</v>
      </c>
      <c r="M154" s="361">
        <f t="shared" si="38"/>
        <v>9207.851148</v>
      </c>
      <c r="N154" s="361">
        <f t="shared" si="38"/>
        <v>10406.03626</v>
      </c>
      <c r="O154" s="361">
        <f t="shared" si="38"/>
        <v>15410.9267</v>
      </c>
      <c r="P154" s="361">
        <f t="shared" si="38"/>
        <v>17312.91567</v>
      </c>
      <c r="Q154" s="362">
        <f t="shared" si="38"/>
        <v>11289.87163</v>
      </c>
      <c r="R154" s="361">
        <f t="shared" si="38"/>
        <v>1972.899914</v>
      </c>
      <c r="S154" s="361">
        <f t="shared" si="38"/>
        <v>2897.850382</v>
      </c>
      <c r="T154" s="361">
        <f t="shared" si="38"/>
        <v>2520.095288</v>
      </c>
      <c r="U154" s="361">
        <f t="shared" si="38"/>
        <v>3091.293062</v>
      </c>
      <c r="V154" s="361">
        <f t="shared" si="38"/>
        <v>3578.159582</v>
      </c>
      <c r="W154" s="361">
        <f t="shared" si="38"/>
        <v>3592.236945</v>
      </c>
      <c r="X154" s="361">
        <f t="shared" si="38"/>
        <v>8903.09107</v>
      </c>
      <c r="Y154" s="361">
        <f t="shared" si="38"/>
        <v>1333.153289</v>
      </c>
      <c r="Z154" s="361">
        <f t="shared" si="38"/>
        <v>3308.810537</v>
      </c>
      <c r="AA154" s="361">
        <f t="shared" si="38"/>
        <v>181.8904703</v>
      </c>
      <c r="AB154" s="361">
        <f t="shared" si="38"/>
        <v>1586.458319</v>
      </c>
      <c r="AC154" s="361">
        <f t="shared" si="38"/>
        <v>884.393084</v>
      </c>
      <c r="AD154" s="361">
        <f t="shared" si="38"/>
        <v>533.7545447</v>
      </c>
      <c r="AE154" s="361">
        <f t="shared" si="38"/>
        <v>1498.449086</v>
      </c>
      <c r="AF154" s="361">
        <f t="shared" si="38"/>
        <v>1096.964907</v>
      </c>
      <c r="AG154" s="361">
        <f t="shared" si="38"/>
        <v>5354.357893</v>
      </c>
      <c r="AH154" s="361">
        <f t="shared" si="38"/>
        <v>3142.410604</v>
      </c>
      <c r="AI154" s="361">
        <f t="shared" si="38"/>
        <v>5676.51253</v>
      </c>
      <c r="AJ154" s="361">
        <f t="shared" si="38"/>
        <v>1316.942928</v>
      </c>
      <c r="AK154" s="361">
        <f t="shared" si="38"/>
        <v>5043.133879</v>
      </c>
      <c r="AL154" s="361">
        <f t="shared" si="38"/>
        <v>8753.506592</v>
      </c>
      <c r="AM154" s="361">
        <f t="shared" si="38"/>
        <v>10403.94489</v>
      </c>
      <c r="AN154" s="361">
        <f t="shared" si="38"/>
        <v>5986.502973</v>
      </c>
      <c r="AO154" s="361">
        <f t="shared" si="38"/>
        <v>6332.496522</v>
      </c>
      <c r="AP154" s="361">
        <f t="shared" si="38"/>
        <v>4619.481876</v>
      </c>
      <c r="AQ154" s="361">
        <f t="shared" si="38"/>
        <v>1755.782206</v>
      </c>
      <c r="AR154" s="361">
        <f t="shared" si="38"/>
        <v>4787.654694</v>
      </c>
      <c r="AS154" s="361">
        <f t="shared" si="38"/>
        <v>3454.173932</v>
      </c>
      <c r="AT154" s="361">
        <f t="shared" si="38"/>
        <v>1752.589301</v>
      </c>
      <c r="AU154" s="361">
        <f t="shared" si="38"/>
        <v>5431.083763</v>
      </c>
      <c r="AV154" s="361">
        <f t="shared" si="38"/>
        <v>8349.936367</v>
      </c>
      <c r="AW154" s="363"/>
    </row>
    <row r="155">
      <c r="A155" s="122"/>
      <c r="B155" s="123"/>
      <c r="C155" s="123"/>
      <c r="D155" s="123"/>
      <c r="E155" s="199" t="s">
        <v>272</v>
      </c>
      <c r="F155" s="200" t="s">
        <v>62</v>
      </c>
      <c r="G155" s="273" t="s">
        <v>161</v>
      </c>
      <c r="H155" s="228" t="s">
        <v>162</v>
      </c>
      <c r="I155" s="338">
        <f t="shared" ref="I155:AV155" si="39">I21*$H115</f>
        <v>367877.3862</v>
      </c>
      <c r="J155" s="338">
        <f t="shared" si="39"/>
        <v>367877.3862</v>
      </c>
      <c r="K155" s="338">
        <f t="shared" si="39"/>
        <v>367877.3862</v>
      </c>
      <c r="L155" s="338">
        <f t="shared" si="39"/>
        <v>367877.3862</v>
      </c>
      <c r="M155" s="338">
        <f t="shared" si="39"/>
        <v>367877.3862</v>
      </c>
      <c r="N155" s="338">
        <f t="shared" si="39"/>
        <v>367877.3862</v>
      </c>
      <c r="O155" s="338">
        <f t="shared" si="39"/>
        <v>367877.3862</v>
      </c>
      <c r="P155" s="338">
        <f t="shared" si="39"/>
        <v>367877.3862</v>
      </c>
      <c r="Q155" s="339">
        <f t="shared" si="39"/>
        <v>367877.3862</v>
      </c>
      <c r="R155" s="338">
        <f t="shared" si="39"/>
        <v>367877.3862</v>
      </c>
      <c r="S155" s="338">
        <f t="shared" si="39"/>
        <v>367877.3862</v>
      </c>
      <c r="T155" s="338">
        <f t="shared" si="39"/>
        <v>367877.3862</v>
      </c>
      <c r="U155" s="338">
        <f t="shared" si="39"/>
        <v>367877.3862</v>
      </c>
      <c r="V155" s="338">
        <f t="shared" si="39"/>
        <v>367877.3862</v>
      </c>
      <c r="W155" s="338">
        <f t="shared" si="39"/>
        <v>367877.3862</v>
      </c>
      <c r="X155" s="338">
        <f t="shared" si="39"/>
        <v>367877.3862</v>
      </c>
      <c r="Y155" s="338">
        <f t="shared" si="39"/>
        <v>367877.3862</v>
      </c>
      <c r="Z155" s="338">
        <f t="shared" si="39"/>
        <v>367877.3862</v>
      </c>
      <c r="AA155" s="338">
        <f t="shared" si="39"/>
        <v>367877.3862</v>
      </c>
      <c r="AB155" s="338">
        <f t="shared" si="39"/>
        <v>367877.3862</v>
      </c>
      <c r="AC155" s="338">
        <f t="shared" si="39"/>
        <v>367877.3862</v>
      </c>
      <c r="AD155" s="338">
        <f t="shared" si="39"/>
        <v>367877.3862</v>
      </c>
      <c r="AE155" s="338">
        <f t="shared" si="39"/>
        <v>367877.3862</v>
      </c>
      <c r="AF155" s="338">
        <f t="shared" si="39"/>
        <v>367877.3862</v>
      </c>
      <c r="AG155" s="338">
        <f t="shared" si="39"/>
        <v>367877.3862</v>
      </c>
      <c r="AH155" s="338">
        <f t="shared" si="39"/>
        <v>367877.3862</v>
      </c>
      <c r="AI155" s="338">
        <f t="shared" si="39"/>
        <v>367877.3862</v>
      </c>
      <c r="AJ155" s="338">
        <f t="shared" si="39"/>
        <v>367877.3862</v>
      </c>
      <c r="AK155" s="338">
        <f t="shared" si="39"/>
        <v>367877.3862</v>
      </c>
      <c r="AL155" s="338">
        <f t="shared" si="39"/>
        <v>367877.3862</v>
      </c>
      <c r="AM155" s="338">
        <f t="shared" si="39"/>
        <v>367877.3862</v>
      </c>
      <c r="AN155" s="338">
        <f t="shared" si="39"/>
        <v>367877.3862</v>
      </c>
      <c r="AO155" s="338">
        <f t="shared" si="39"/>
        <v>367877.3862</v>
      </c>
      <c r="AP155" s="338">
        <f t="shared" si="39"/>
        <v>367877.3862</v>
      </c>
      <c r="AQ155" s="338">
        <f t="shared" si="39"/>
        <v>367877.3862</v>
      </c>
      <c r="AR155" s="338">
        <f t="shared" si="39"/>
        <v>367877.3862</v>
      </c>
      <c r="AS155" s="338">
        <f t="shared" si="39"/>
        <v>367877.3862</v>
      </c>
      <c r="AT155" s="338">
        <f t="shared" si="39"/>
        <v>367877.3862</v>
      </c>
      <c r="AU155" s="338">
        <f t="shared" si="39"/>
        <v>367877.3862</v>
      </c>
      <c r="AV155" s="338">
        <f t="shared" si="39"/>
        <v>367877.3862</v>
      </c>
      <c r="AW155" s="345"/>
    </row>
    <row r="156">
      <c r="A156" s="122"/>
      <c r="B156" s="123"/>
      <c r="C156" s="123"/>
      <c r="D156" s="123"/>
      <c r="E156" s="124"/>
      <c r="F156" s="125"/>
      <c r="G156" s="126"/>
      <c r="H156" s="127"/>
      <c r="I156" s="128"/>
      <c r="J156" s="128"/>
      <c r="K156" s="128"/>
      <c r="L156" s="128"/>
      <c r="M156" s="128"/>
      <c r="N156" s="128"/>
      <c r="O156" s="128"/>
      <c r="P156" s="128"/>
      <c r="Q156" s="129"/>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30"/>
    </row>
    <row r="157">
      <c r="A157" s="122"/>
      <c r="B157" s="123"/>
      <c r="C157" s="342" t="s">
        <v>273</v>
      </c>
      <c r="F157" s="125"/>
      <c r="G157" s="126"/>
      <c r="H157" s="127"/>
      <c r="I157" s="128"/>
      <c r="J157" s="128"/>
      <c r="K157" s="128"/>
      <c r="L157" s="128"/>
      <c r="M157" s="128"/>
      <c r="N157" s="128"/>
      <c r="O157" s="128"/>
      <c r="P157" s="128"/>
      <c r="Q157" s="129"/>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30"/>
    </row>
    <row r="158">
      <c r="A158" s="122"/>
      <c r="B158" s="123"/>
      <c r="C158" s="123"/>
      <c r="D158" s="123"/>
      <c r="E158" s="192" t="s">
        <v>226</v>
      </c>
      <c r="F158" s="193" t="s">
        <v>76</v>
      </c>
      <c r="G158" s="235" t="s">
        <v>155</v>
      </c>
      <c r="H158" s="364">
        <f t="shared" ref="H158:AV158" si="40">H124</f>
        <v>116.25262</v>
      </c>
      <c r="I158" s="331" t="str">
        <f t="shared" si="40"/>
        <v>-</v>
      </c>
      <c r="J158" s="331" t="str">
        <f t="shared" si="40"/>
        <v>-</v>
      </c>
      <c r="K158" s="331" t="str">
        <f t="shared" si="40"/>
        <v>-</v>
      </c>
      <c r="L158" s="331" t="str">
        <f t="shared" si="40"/>
        <v>-</v>
      </c>
      <c r="M158" s="331" t="str">
        <f t="shared" si="40"/>
        <v>-</v>
      </c>
      <c r="N158" s="331" t="str">
        <f t="shared" si="40"/>
        <v>-</v>
      </c>
      <c r="O158" s="331" t="str">
        <f t="shared" si="40"/>
        <v>-</v>
      </c>
      <c r="P158" s="331" t="str">
        <f t="shared" si="40"/>
        <v>-</v>
      </c>
      <c r="Q158" s="365" t="str">
        <f t="shared" si="40"/>
        <v>-</v>
      </c>
      <c r="R158" s="331" t="str">
        <f t="shared" si="40"/>
        <v>-</v>
      </c>
      <c r="S158" s="331" t="str">
        <f t="shared" si="40"/>
        <v>-</v>
      </c>
      <c r="T158" s="331" t="str">
        <f t="shared" si="40"/>
        <v>-</v>
      </c>
      <c r="U158" s="331" t="str">
        <f t="shared" si="40"/>
        <v>-</v>
      </c>
      <c r="V158" s="331" t="str">
        <f t="shared" si="40"/>
        <v>-</v>
      </c>
      <c r="W158" s="331" t="str">
        <f t="shared" si="40"/>
        <v>-</v>
      </c>
      <c r="X158" s="331" t="str">
        <f t="shared" si="40"/>
        <v>-</v>
      </c>
      <c r="Y158" s="331" t="str">
        <f t="shared" si="40"/>
        <v>-</v>
      </c>
      <c r="Z158" s="331" t="str">
        <f t="shared" si="40"/>
        <v>-</v>
      </c>
      <c r="AA158" s="331" t="str">
        <f t="shared" si="40"/>
        <v>-</v>
      </c>
      <c r="AB158" s="331" t="str">
        <f t="shared" si="40"/>
        <v>-</v>
      </c>
      <c r="AC158" s="331" t="str">
        <f t="shared" si="40"/>
        <v>-</v>
      </c>
      <c r="AD158" s="331" t="str">
        <f t="shared" si="40"/>
        <v>-</v>
      </c>
      <c r="AE158" s="331" t="str">
        <f t="shared" si="40"/>
        <v>-</v>
      </c>
      <c r="AF158" s="331" t="str">
        <f t="shared" si="40"/>
        <v>-</v>
      </c>
      <c r="AG158" s="331" t="str">
        <f t="shared" si="40"/>
        <v>-</v>
      </c>
      <c r="AH158" s="331" t="str">
        <f t="shared" si="40"/>
        <v>-</v>
      </c>
      <c r="AI158" s="331" t="str">
        <f t="shared" si="40"/>
        <v>-</v>
      </c>
      <c r="AJ158" s="331" t="str">
        <f t="shared" si="40"/>
        <v>-</v>
      </c>
      <c r="AK158" s="331" t="str">
        <f t="shared" si="40"/>
        <v>-</v>
      </c>
      <c r="AL158" s="331" t="str">
        <f t="shared" si="40"/>
        <v>-</v>
      </c>
      <c r="AM158" s="331" t="str">
        <f t="shared" si="40"/>
        <v>-</v>
      </c>
      <c r="AN158" s="331" t="str">
        <f t="shared" si="40"/>
        <v>-</v>
      </c>
      <c r="AO158" s="331" t="str">
        <f t="shared" si="40"/>
        <v>-</v>
      </c>
      <c r="AP158" s="331" t="str">
        <f t="shared" si="40"/>
        <v>-</v>
      </c>
      <c r="AQ158" s="331" t="str">
        <f t="shared" si="40"/>
        <v>-</v>
      </c>
      <c r="AR158" s="331" t="str">
        <f t="shared" si="40"/>
        <v>-</v>
      </c>
      <c r="AS158" s="331" t="str">
        <f t="shared" si="40"/>
        <v>-</v>
      </c>
      <c r="AT158" s="331" t="str">
        <f t="shared" si="40"/>
        <v>-</v>
      </c>
      <c r="AU158" s="331" t="str">
        <f t="shared" si="40"/>
        <v>-</v>
      </c>
      <c r="AV158" s="331" t="str">
        <f t="shared" si="40"/>
        <v>-</v>
      </c>
      <c r="AW158" s="198"/>
    </row>
    <row r="159">
      <c r="A159" s="122"/>
      <c r="B159" s="123"/>
      <c r="C159" s="123"/>
      <c r="D159" s="123"/>
      <c r="E159" s="212" t="s">
        <v>227</v>
      </c>
      <c r="F159" s="213" t="str">
        <f>Inputs!F273</f>
        <v>UoV</v>
      </c>
      <c r="G159" s="239" t="str">
        <f>Inputs!G273</f>
        <v>input</v>
      </c>
      <c r="H159" s="366">
        <f>Inputs!H273</f>
        <v>133.7</v>
      </c>
      <c r="I159" s="220" t="str">
        <f>Inputs!I273</f>
        <v>-</v>
      </c>
      <c r="J159" s="220" t="str">
        <f>Inputs!J273</f>
        <v>-</v>
      </c>
      <c r="K159" s="220" t="str">
        <f>Inputs!K273</f>
        <v>-</v>
      </c>
      <c r="L159" s="220" t="str">
        <f>Inputs!L273</f>
        <v>-</v>
      </c>
      <c r="M159" s="220" t="str">
        <f>Inputs!M273</f>
        <v>-</v>
      </c>
      <c r="N159" s="220" t="str">
        <f>Inputs!N273</f>
        <v>-</v>
      </c>
      <c r="O159" s="220" t="str">
        <f>Inputs!O273</f>
        <v>-</v>
      </c>
      <c r="P159" s="220" t="str">
        <f>Inputs!P273</f>
        <v>-</v>
      </c>
      <c r="Q159" s="265" t="str">
        <f>Inputs!Q273</f>
        <v>-</v>
      </c>
      <c r="R159" s="220" t="str">
        <f>Inputs!R273</f>
        <v>-</v>
      </c>
      <c r="S159" s="220" t="str">
        <f>Inputs!S273</f>
        <v>-</v>
      </c>
      <c r="T159" s="220" t="str">
        <f>Inputs!T273</f>
        <v>-</v>
      </c>
      <c r="U159" s="220" t="str">
        <f>Inputs!U273</f>
        <v>-</v>
      </c>
      <c r="V159" s="220" t="str">
        <f>Inputs!V273</f>
        <v>-</v>
      </c>
      <c r="W159" s="220" t="str">
        <f>Inputs!W273</f>
        <v>-</v>
      </c>
      <c r="X159" s="220" t="str">
        <f>Inputs!X273</f>
        <v>-</v>
      </c>
      <c r="Y159" s="220" t="str">
        <f>Inputs!Y273</f>
        <v>-</v>
      </c>
      <c r="Z159" s="220" t="str">
        <f>Inputs!Z273</f>
        <v>-</v>
      </c>
      <c r="AA159" s="220" t="str">
        <f>Inputs!AA273</f>
        <v>-</v>
      </c>
      <c r="AB159" s="220" t="str">
        <f>Inputs!AB273</f>
        <v>-</v>
      </c>
      <c r="AC159" s="220" t="str">
        <f>Inputs!AC273</f>
        <v>-</v>
      </c>
      <c r="AD159" s="220" t="str">
        <f>Inputs!AD273</f>
        <v>-</v>
      </c>
      <c r="AE159" s="220" t="str">
        <f>Inputs!AE273</f>
        <v>-</v>
      </c>
      <c r="AF159" s="220" t="str">
        <f>Inputs!AF273</f>
        <v>-</v>
      </c>
      <c r="AG159" s="220" t="str">
        <f>Inputs!AG273</f>
        <v>-</v>
      </c>
      <c r="AH159" s="220" t="str">
        <f>Inputs!AH273</f>
        <v>-</v>
      </c>
      <c r="AI159" s="220" t="str">
        <f>Inputs!AI273</f>
        <v>-</v>
      </c>
      <c r="AJ159" s="220" t="str">
        <f>Inputs!AJ273</f>
        <v>-</v>
      </c>
      <c r="AK159" s="220" t="str">
        <f>Inputs!AK273</f>
        <v>-</v>
      </c>
      <c r="AL159" s="220" t="str">
        <f>Inputs!AL273</f>
        <v>-</v>
      </c>
      <c r="AM159" s="220" t="str">
        <f>Inputs!AM273</f>
        <v>-</v>
      </c>
      <c r="AN159" s="220" t="str">
        <f>Inputs!AN273</f>
        <v>-</v>
      </c>
      <c r="AO159" s="220" t="str">
        <f>Inputs!AO273</f>
        <v>-</v>
      </c>
      <c r="AP159" s="220" t="str">
        <f>Inputs!AP273</f>
        <v>-</v>
      </c>
      <c r="AQ159" s="220" t="str">
        <f>Inputs!AQ273</f>
        <v>-</v>
      </c>
      <c r="AR159" s="220" t="str">
        <f>Inputs!AR273</f>
        <v>-</v>
      </c>
      <c r="AS159" s="220" t="str">
        <f>Inputs!AS273</f>
        <v>-</v>
      </c>
      <c r="AT159" s="220" t="str">
        <f>Inputs!AT273</f>
        <v>-</v>
      </c>
      <c r="AU159" s="220" t="str">
        <f>Inputs!AU273</f>
        <v>-</v>
      </c>
      <c r="AV159" s="220" t="str">
        <f>Inputs!AV273</f>
        <v>-</v>
      </c>
      <c r="AW159" s="363"/>
    </row>
    <row r="160">
      <c r="A160" s="122"/>
      <c r="B160" s="123"/>
      <c r="C160" s="123"/>
      <c r="D160" s="123"/>
      <c r="E160" s="212" t="s">
        <v>259</v>
      </c>
      <c r="F160" s="213" t="str">
        <f>Inputs!F274</f>
        <v>UoV</v>
      </c>
      <c r="G160" s="239" t="str">
        <f>Inputs!G274</f>
        <v>input</v>
      </c>
      <c r="H160" s="366">
        <f>Inputs!H274</f>
        <v>103.58571</v>
      </c>
      <c r="I160" s="220" t="str">
        <f>Inputs!I274</f>
        <v>-</v>
      </c>
      <c r="J160" s="220" t="str">
        <f>Inputs!J274</f>
        <v>-</v>
      </c>
      <c r="K160" s="220" t="str">
        <f>Inputs!K274</f>
        <v>-</v>
      </c>
      <c r="L160" s="220" t="str">
        <f>Inputs!L274</f>
        <v>-</v>
      </c>
      <c r="M160" s="220" t="str">
        <f>Inputs!M274</f>
        <v>-</v>
      </c>
      <c r="N160" s="220" t="str">
        <f>Inputs!N274</f>
        <v>-</v>
      </c>
      <c r="O160" s="220" t="str">
        <f>Inputs!O274</f>
        <v>-</v>
      </c>
      <c r="P160" s="220" t="str">
        <f>Inputs!P274</f>
        <v>-</v>
      </c>
      <c r="Q160" s="265" t="str">
        <f>Inputs!Q274</f>
        <v>-</v>
      </c>
      <c r="R160" s="220" t="str">
        <f>Inputs!R274</f>
        <v>-</v>
      </c>
      <c r="S160" s="220" t="str">
        <f>Inputs!S274</f>
        <v>-</v>
      </c>
      <c r="T160" s="220" t="str">
        <f>Inputs!T274</f>
        <v>-</v>
      </c>
      <c r="U160" s="220" t="str">
        <f>Inputs!U274</f>
        <v>-</v>
      </c>
      <c r="V160" s="220" t="str">
        <f>Inputs!V274</f>
        <v>-</v>
      </c>
      <c r="W160" s="220" t="str">
        <f>Inputs!W274</f>
        <v>-</v>
      </c>
      <c r="X160" s="220" t="str">
        <f>Inputs!X274</f>
        <v>-</v>
      </c>
      <c r="Y160" s="220" t="str">
        <f>Inputs!Y274</f>
        <v>-</v>
      </c>
      <c r="Z160" s="220" t="str">
        <f>Inputs!Z274</f>
        <v>-</v>
      </c>
      <c r="AA160" s="220" t="str">
        <f>Inputs!AA274</f>
        <v>-</v>
      </c>
      <c r="AB160" s="220" t="str">
        <f>Inputs!AB274</f>
        <v>-</v>
      </c>
      <c r="AC160" s="220" t="str">
        <f>Inputs!AC274</f>
        <v>-</v>
      </c>
      <c r="AD160" s="220" t="str">
        <f>Inputs!AD274</f>
        <v>-</v>
      </c>
      <c r="AE160" s="220" t="str">
        <f>Inputs!AE274</f>
        <v>-</v>
      </c>
      <c r="AF160" s="220" t="str">
        <f>Inputs!AF274</f>
        <v>-</v>
      </c>
      <c r="AG160" s="220" t="str">
        <f>Inputs!AG274</f>
        <v>-</v>
      </c>
      <c r="AH160" s="220" t="str">
        <f>Inputs!AH274</f>
        <v>-</v>
      </c>
      <c r="AI160" s="220" t="str">
        <f>Inputs!AI274</f>
        <v>-</v>
      </c>
      <c r="AJ160" s="220" t="str">
        <f>Inputs!AJ274</f>
        <v>-</v>
      </c>
      <c r="AK160" s="220" t="str">
        <f>Inputs!AK274</f>
        <v>-</v>
      </c>
      <c r="AL160" s="220" t="str">
        <f>Inputs!AL274</f>
        <v>-</v>
      </c>
      <c r="AM160" s="220" t="str">
        <f>Inputs!AM274</f>
        <v>-</v>
      </c>
      <c r="AN160" s="220" t="str">
        <f>Inputs!AN274</f>
        <v>-</v>
      </c>
      <c r="AO160" s="220" t="str">
        <f>Inputs!AO274</f>
        <v>-</v>
      </c>
      <c r="AP160" s="220" t="str">
        <f>Inputs!AP274</f>
        <v>-</v>
      </c>
      <c r="AQ160" s="220" t="str">
        <f>Inputs!AQ274</f>
        <v>-</v>
      </c>
      <c r="AR160" s="220" t="str">
        <f>Inputs!AR274</f>
        <v>-</v>
      </c>
      <c r="AS160" s="220" t="str">
        <f>Inputs!AS274</f>
        <v>-</v>
      </c>
      <c r="AT160" s="220" t="str">
        <f>Inputs!AT274</f>
        <v>-</v>
      </c>
      <c r="AU160" s="220" t="str">
        <f>Inputs!AU274</f>
        <v>-</v>
      </c>
      <c r="AV160" s="220" t="str">
        <f>Inputs!AV274</f>
        <v>-</v>
      </c>
      <c r="AW160" s="363"/>
    </row>
    <row r="161">
      <c r="A161" s="122"/>
      <c r="B161" s="123"/>
      <c r="C161" s="123"/>
      <c r="D161" s="123"/>
      <c r="E161" s="212" t="s">
        <v>262</v>
      </c>
      <c r="F161" s="213" t="str">
        <f>Inputs!F275</f>
        <v>UoV</v>
      </c>
      <c r="G161" s="239" t="str">
        <f>Inputs!G275</f>
        <v>input</v>
      </c>
      <c r="H161" s="366">
        <f>Inputs!H275</f>
        <v>42.44</v>
      </c>
      <c r="I161" s="220" t="str">
        <f>Inputs!I275</f>
        <v>-</v>
      </c>
      <c r="J161" s="220" t="str">
        <f>Inputs!J275</f>
        <v>-</v>
      </c>
      <c r="K161" s="220" t="str">
        <f>Inputs!K275</f>
        <v>-</v>
      </c>
      <c r="L161" s="220" t="str">
        <f>Inputs!L275</f>
        <v>-</v>
      </c>
      <c r="M161" s="220" t="str">
        <f>Inputs!M275</f>
        <v>-</v>
      </c>
      <c r="N161" s="220" t="str">
        <f>Inputs!N275</f>
        <v>-</v>
      </c>
      <c r="O161" s="220" t="str">
        <f>Inputs!O275</f>
        <v>-</v>
      </c>
      <c r="P161" s="220" t="str">
        <f>Inputs!P275</f>
        <v>-</v>
      </c>
      <c r="Q161" s="265" t="str">
        <f>Inputs!Q275</f>
        <v>-</v>
      </c>
      <c r="R161" s="220" t="str">
        <f>Inputs!R275</f>
        <v>-</v>
      </c>
      <c r="S161" s="220" t="str">
        <f>Inputs!S275</f>
        <v>-</v>
      </c>
      <c r="T161" s="220" t="str">
        <f>Inputs!T275</f>
        <v>-</v>
      </c>
      <c r="U161" s="220" t="str">
        <f>Inputs!U275</f>
        <v>-</v>
      </c>
      <c r="V161" s="220" t="str">
        <f>Inputs!V275</f>
        <v>-</v>
      </c>
      <c r="W161" s="220" t="str">
        <f>Inputs!W275</f>
        <v>-</v>
      </c>
      <c r="X161" s="220" t="str">
        <f>Inputs!X275</f>
        <v>-</v>
      </c>
      <c r="Y161" s="220" t="str">
        <f>Inputs!Y275</f>
        <v>-</v>
      </c>
      <c r="Z161" s="220" t="str">
        <f>Inputs!Z275</f>
        <v>-</v>
      </c>
      <c r="AA161" s="220" t="str">
        <f>Inputs!AA275</f>
        <v>-</v>
      </c>
      <c r="AB161" s="220" t="str">
        <f>Inputs!AB275</f>
        <v>-</v>
      </c>
      <c r="AC161" s="220" t="str">
        <f>Inputs!AC275</f>
        <v>-</v>
      </c>
      <c r="AD161" s="220" t="str">
        <f>Inputs!AD275</f>
        <v>-</v>
      </c>
      <c r="AE161" s="220" t="str">
        <f>Inputs!AE275</f>
        <v>-</v>
      </c>
      <c r="AF161" s="220" t="str">
        <f>Inputs!AF275</f>
        <v>-</v>
      </c>
      <c r="AG161" s="220" t="str">
        <f>Inputs!AG275</f>
        <v>-</v>
      </c>
      <c r="AH161" s="220" t="str">
        <f>Inputs!AH275</f>
        <v>-</v>
      </c>
      <c r="AI161" s="220" t="str">
        <f>Inputs!AI275</f>
        <v>-</v>
      </c>
      <c r="AJ161" s="220" t="str">
        <f>Inputs!AJ275</f>
        <v>-</v>
      </c>
      <c r="AK161" s="220" t="str">
        <f>Inputs!AK275</f>
        <v>-</v>
      </c>
      <c r="AL161" s="220" t="str">
        <f>Inputs!AL275</f>
        <v>-</v>
      </c>
      <c r="AM161" s="220" t="str">
        <f>Inputs!AM275</f>
        <v>-</v>
      </c>
      <c r="AN161" s="220" t="str">
        <f>Inputs!AN275</f>
        <v>-</v>
      </c>
      <c r="AO161" s="220" t="str">
        <f>Inputs!AO275</f>
        <v>-</v>
      </c>
      <c r="AP161" s="220" t="str">
        <f>Inputs!AP275</f>
        <v>-</v>
      </c>
      <c r="AQ161" s="220" t="str">
        <f>Inputs!AQ275</f>
        <v>-</v>
      </c>
      <c r="AR161" s="220" t="str">
        <f>Inputs!AR275</f>
        <v>-</v>
      </c>
      <c r="AS161" s="220" t="str">
        <f>Inputs!AS275</f>
        <v>-</v>
      </c>
      <c r="AT161" s="220" t="str">
        <f>Inputs!AT275</f>
        <v>-</v>
      </c>
      <c r="AU161" s="220" t="str">
        <f>Inputs!AU275</f>
        <v>-</v>
      </c>
      <c r="AV161" s="220" t="str">
        <f>Inputs!AV275</f>
        <v>-</v>
      </c>
      <c r="AW161" s="363"/>
    </row>
    <row r="162">
      <c r="A162" s="122"/>
      <c r="B162" s="123"/>
      <c r="C162" s="123"/>
      <c r="D162" s="123"/>
      <c r="E162" s="212" t="s">
        <v>265</v>
      </c>
      <c r="F162" s="213" t="str">
        <f>F140</f>
        <v>UoV</v>
      </c>
      <c r="G162" s="239" t="s">
        <v>155</v>
      </c>
      <c r="H162" s="367" t="str">
        <f t="shared" ref="H162:AV162" si="41">H140</f>
        <v>-</v>
      </c>
      <c r="I162" s="368">
        <f t="shared" si="41"/>
        <v>1.138315431</v>
      </c>
      <c r="J162" s="368">
        <f t="shared" si="41"/>
        <v>0.8504719502</v>
      </c>
      <c r="K162" s="368">
        <f t="shared" si="41"/>
        <v>1.336417677</v>
      </c>
      <c r="L162" s="368">
        <f t="shared" si="41"/>
        <v>0.5940959188</v>
      </c>
      <c r="M162" s="368">
        <f t="shared" si="41"/>
        <v>0.794181635</v>
      </c>
      <c r="N162" s="368">
        <f t="shared" si="41"/>
        <v>0.9281607558</v>
      </c>
      <c r="O162" s="368">
        <f t="shared" si="41"/>
        <v>1.105449642</v>
      </c>
      <c r="P162" s="368">
        <f t="shared" si="41"/>
        <v>1.306861892</v>
      </c>
      <c r="Q162" s="369">
        <f t="shared" si="41"/>
        <v>1.626844019</v>
      </c>
      <c r="R162" s="368">
        <f t="shared" si="41"/>
        <v>0.3059680952</v>
      </c>
      <c r="S162" s="368">
        <f t="shared" si="41"/>
        <v>0.7490560154</v>
      </c>
      <c r="T162" s="368">
        <f t="shared" si="41"/>
        <v>0.2230646755</v>
      </c>
      <c r="U162" s="368">
        <f t="shared" si="41"/>
        <v>0.2330754132</v>
      </c>
      <c r="V162" s="368">
        <f t="shared" si="41"/>
        <v>0.3708846038</v>
      </c>
      <c r="W162" s="368">
        <f t="shared" si="41"/>
        <v>0.4246658585</v>
      </c>
      <c r="X162" s="368">
        <f t="shared" si="41"/>
        <v>0.3553889426</v>
      </c>
      <c r="Y162" s="368">
        <f t="shared" si="41"/>
        <v>0.2982606902</v>
      </c>
      <c r="Z162" s="368">
        <f t="shared" si="41"/>
        <v>0.2807199203</v>
      </c>
      <c r="AA162" s="368">
        <f t="shared" si="41"/>
        <v>0.4681592912</v>
      </c>
      <c r="AB162" s="368">
        <f t="shared" si="41"/>
        <v>0.2953746226</v>
      </c>
      <c r="AC162" s="368">
        <f t="shared" si="41"/>
        <v>0.2459642861</v>
      </c>
      <c r="AD162" s="368">
        <f t="shared" si="41"/>
        <v>0.1942043917</v>
      </c>
      <c r="AE162" s="368">
        <f t="shared" si="41"/>
        <v>0.2664070692</v>
      </c>
      <c r="AF162" s="368">
        <f t="shared" si="41"/>
        <v>0.175774328</v>
      </c>
      <c r="AG162" s="368">
        <f t="shared" si="41"/>
        <v>0.5940959188</v>
      </c>
      <c r="AH162" s="368">
        <f t="shared" si="41"/>
        <v>0.3303137094</v>
      </c>
      <c r="AI162" s="368">
        <f t="shared" si="41"/>
        <v>0.1668597217</v>
      </c>
      <c r="AJ162" s="368">
        <f t="shared" si="41"/>
        <v>0.1347167483</v>
      </c>
      <c r="AK162" s="368">
        <f t="shared" si="41"/>
        <v>0.355434205</v>
      </c>
      <c r="AL162" s="368">
        <f t="shared" si="41"/>
        <v>0.5150915838</v>
      </c>
      <c r="AM162" s="368">
        <f t="shared" si="41"/>
        <v>0.5150915838</v>
      </c>
      <c r="AN162" s="368">
        <f t="shared" si="41"/>
        <v>0.5150915838</v>
      </c>
      <c r="AO162" s="368">
        <f t="shared" si="41"/>
        <v>0.1991236529</v>
      </c>
      <c r="AP162" s="368">
        <f t="shared" si="41"/>
        <v>0.2220570169</v>
      </c>
      <c r="AQ162" s="368">
        <f t="shared" si="41"/>
        <v>0.1266007236</v>
      </c>
      <c r="AR162" s="368">
        <f t="shared" si="41"/>
        <v>0.1604949671</v>
      </c>
      <c r="AS162" s="368">
        <f t="shared" si="41"/>
        <v>0.2830416906</v>
      </c>
      <c r="AT162" s="368">
        <f t="shared" si="41"/>
        <v>0.2797135362</v>
      </c>
      <c r="AU162" s="368">
        <f t="shared" si="41"/>
        <v>0.8105536529</v>
      </c>
      <c r="AV162" s="368">
        <f t="shared" si="41"/>
        <v>0.8309915132</v>
      </c>
      <c r="AW162" s="363"/>
    </row>
    <row r="163">
      <c r="A163" s="122"/>
      <c r="B163" s="123"/>
      <c r="C163" s="123"/>
      <c r="D163" s="123"/>
      <c r="E163" s="199" t="s">
        <v>274</v>
      </c>
      <c r="F163" s="200" t="s">
        <v>76</v>
      </c>
      <c r="G163" s="273" t="s">
        <v>161</v>
      </c>
      <c r="H163" s="370">
        <f>H118*H144</f>
        <v>0.006722068212</v>
      </c>
      <c r="I163" s="229" t="s">
        <v>162</v>
      </c>
      <c r="J163" s="229" t="s">
        <v>162</v>
      </c>
      <c r="K163" s="229" t="s">
        <v>162</v>
      </c>
      <c r="L163" s="229" t="s">
        <v>162</v>
      </c>
      <c r="M163" s="229" t="s">
        <v>162</v>
      </c>
      <c r="N163" s="229" t="s">
        <v>162</v>
      </c>
      <c r="O163" s="229" t="s">
        <v>162</v>
      </c>
      <c r="P163" s="229" t="s">
        <v>162</v>
      </c>
      <c r="Q163" s="230" t="s">
        <v>162</v>
      </c>
      <c r="R163" s="229" t="s">
        <v>162</v>
      </c>
      <c r="S163" s="229" t="s">
        <v>162</v>
      </c>
      <c r="T163" s="229" t="s">
        <v>162</v>
      </c>
      <c r="U163" s="229" t="s">
        <v>162</v>
      </c>
      <c r="V163" s="229" t="s">
        <v>162</v>
      </c>
      <c r="W163" s="229" t="s">
        <v>162</v>
      </c>
      <c r="X163" s="229" t="s">
        <v>162</v>
      </c>
      <c r="Y163" s="229" t="s">
        <v>162</v>
      </c>
      <c r="Z163" s="229" t="s">
        <v>162</v>
      </c>
      <c r="AA163" s="229" t="s">
        <v>162</v>
      </c>
      <c r="AB163" s="229" t="s">
        <v>162</v>
      </c>
      <c r="AC163" s="229" t="s">
        <v>162</v>
      </c>
      <c r="AD163" s="229" t="s">
        <v>162</v>
      </c>
      <c r="AE163" s="229" t="s">
        <v>162</v>
      </c>
      <c r="AF163" s="229" t="s">
        <v>162</v>
      </c>
      <c r="AG163" s="229" t="s">
        <v>162</v>
      </c>
      <c r="AH163" s="229" t="s">
        <v>162</v>
      </c>
      <c r="AI163" s="229" t="s">
        <v>162</v>
      </c>
      <c r="AJ163" s="229" t="s">
        <v>162</v>
      </c>
      <c r="AK163" s="229" t="s">
        <v>162</v>
      </c>
      <c r="AL163" s="229" t="s">
        <v>162</v>
      </c>
      <c r="AM163" s="229" t="s">
        <v>162</v>
      </c>
      <c r="AN163" s="229" t="s">
        <v>162</v>
      </c>
      <c r="AO163" s="229" t="s">
        <v>162</v>
      </c>
      <c r="AP163" s="229" t="s">
        <v>162</v>
      </c>
      <c r="AQ163" s="229" t="s">
        <v>162</v>
      </c>
      <c r="AR163" s="229" t="s">
        <v>162</v>
      </c>
      <c r="AS163" s="229" t="s">
        <v>162</v>
      </c>
      <c r="AT163" s="229" t="s">
        <v>162</v>
      </c>
      <c r="AU163" s="229" t="s">
        <v>162</v>
      </c>
      <c r="AV163" s="229" t="s">
        <v>162</v>
      </c>
      <c r="AW163" s="345"/>
    </row>
    <row r="164">
      <c r="A164" s="122"/>
      <c r="B164" s="123"/>
      <c r="C164" s="123"/>
      <c r="D164" s="123"/>
      <c r="E164" s="124"/>
      <c r="F164" s="125"/>
      <c r="G164" s="126"/>
      <c r="H164" s="127"/>
      <c r="I164" s="128"/>
      <c r="J164" s="128"/>
      <c r="K164" s="128"/>
      <c r="L164" s="128"/>
      <c r="M164" s="128"/>
      <c r="N164" s="128"/>
      <c r="O164" s="128"/>
      <c r="P164" s="128"/>
      <c r="Q164" s="129"/>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30"/>
    </row>
    <row r="165">
      <c r="A165" s="122"/>
      <c r="B165" s="123"/>
      <c r="C165" s="342" t="s">
        <v>275</v>
      </c>
      <c r="F165" s="125"/>
      <c r="G165" s="126"/>
      <c r="H165" s="127"/>
      <c r="I165" s="128"/>
      <c r="J165" s="128"/>
      <c r="K165" s="128"/>
      <c r="L165" s="128"/>
      <c r="M165" s="128"/>
      <c r="N165" s="128"/>
      <c r="O165" s="128"/>
      <c r="P165" s="128"/>
      <c r="Q165" s="129"/>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30"/>
    </row>
    <row r="166">
      <c r="A166" s="122"/>
      <c r="B166" s="123"/>
      <c r="C166" s="123"/>
      <c r="D166" s="123"/>
      <c r="E166" s="192" t="s">
        <v>276</v>
      </c>
      <c r="F166" s="193" t="s">
        <v>76</v>
      </c>
      <c r="G166" s="235" t="s">
        <v>161</v>
      </c>
      <c r="H166" s="236" t="s">
        <v>162</v>
      </c>
      <c r="I166" s="358">
        <f t="shared" ref="I166:AV166" si="42">I150*$H158</f>
        <v>34928.69692</v>
      </c>
      <c r="J166" s="358">
        <f t="shared" si="42"/>
        <v>16956.57585</v>
      </c>
      <c r="K166" s="358">
        <f t="shared" si="42"/>
        <v>31625.53862</v>
      </c>
      <c r="L166" s="358">
        <f t="shared" si="42"/>
        <v>15563.17962</v>
      </c>
      <c r="M166" s="358">
        <f t="shared" si="42"/>
        <v>22105.40839</v>
      </c>
      <c r="N166" s="358">
        <f t="shared" si="42"/>
        <v>28995.19627</v>
      </c>
      <c r="O166" s="358">
        <f t="shared" si="42"/>
        <v>51217.03447</v>
      </c>
      <c r="P166" s="358">
        <f t="shared" si="42"/>
        <v>67852.84805</v>
      </c>
      <c r="Q166" s="359">
        <f t="shared" si="42"/>
        <v>55591.86479</v>
      </c>
      <c r="R166" s="358">
        <f t="shared" si="42"/>
        <v>1836.124262</v>
      </c>
      <c r="S166" s="358">
        <f t="shared" si="42"/>
        <v>6608.03301</v>
      </c>
      <c r="T166" s="358">
        <f t="shared" si="42"/>
        <v>1688.239978</v>
      </c>
      <c r="U166" s="358">
        <f t="shared" si="42"/>
        <v>2149.774349</v>
      </c>
      <c r="V166" s="358">
        <f t="shared" si="42"/>
        <v>4016.864063</v>
      </c>
      <c r="W166" s="358">
        <f t="shared" si="42"/>
        <v>4547.648516</v>
      </c>
      <c r="X166" s="358">
        <f t="shared" si="42"/>
        <v>9313.533238</v>
      </c>
      <c r="Y166" s="358">
        <f t="shared" si="42"/>
        <v>1191.578427</v>
      </c>
      <c r="Z166" s="358">
        <f t="shared" si="42"/>
        <v>2780.473328</v>
      </c>
      <c r="AA166" s="358">
        <f t="shared" si="42"/>
        <v>258.0944661</v>
      </c>
      <c r="AB166" s="358">
        <f t="shared" si="42"/>
        <v>1434.833757</v>
      </c>
      <c r="AC166" s="358">
        <f t="shared" si="42"/>
        <v>660.6231093</v>
      </c>
      <c r="AD166" s="358">
        <f t="shared" si="42"/>
        <v>309.5506331</v>
      </c>
      <c r="AE166" s="358">
        <f t="shared" si="42"/>
        <v>1199.086488</v>
      </c>
      <c r="AF166" s="358">
        <f t="shared" si="42"/>
        <v>576.1188034</v>
      </c>
      <c r="AG166" s="358">
        <f t="shared" si="42"/>
        <v>9625.235233</v>
      </c>
      <c r="AH166" s="358">
        <f t="shared" si="42"/>
        <v>3088.930345</v>
      </c>
      <c r="AI166" s="358">
        <f t="shared" si="42"/>
        <v>2747.541521</v>
      </c>
      <c r="AJ166" s="358">
        <f t="shared" si="42"/>
        <v>519.8039914</v>
      </c>
      <c r="AK166" s="358">
        <f t="shared" si="42"/>
        <v>5319.883138</v>
      </c>
      <c r="AL166" s="358">
        <f t="shared" si="42"/>
        <v>13485.32421</v>
      </c>
      <c r="AM166" s="358">
        <f t="shared" si="42"/>
        <v>16027.9276</v>
      </c>
      <c r="AN166" s="358">
        <f t="shared" si="42"/>
        <v>9222.582127</v>
      </c>
      <c r="AO166" s="358">
        <f t="shared" si="42"/>
        <v>3706.378889</v>
      </c>
      <c r="AP166" s="358">
        <f t="shared" si="42"/>
        <v>3036.405394</v>
      </c>
      <c r="AQ166" s="358">
        <f t="shared" si="42"/>
        <v>658.6865971</v>
      </c>
      <c r="AR166" s="358">
        <f t="shared" si="42"/>
        <v>2279.26699</v>
      </c>
      <c r="AS166" s="358">
        <f t="shared" si="42"/>
        <v>2863.685742</v>
      </c>
      <c r="AT166" s="358">
        <f t="shared" si="42"/>
        <v>1487.788916</v>
      </c>
      <c r="AU166" s="358">
        <f t="shared" si="42"/>
        <v>13374.99965</v>
      </c>
      <c r="AV166" s="358">
        <f t="shared" si="42"/>
        <v>20782.94349</v>
      </c>
      <c r="AW166" s="360"/>
    </row>
    <row r="167">
      <c r="A167" s="122"/>
      <c r="B167" s="123"/>
      <c r="C167" s="123"/>
      <c r="D167" s="123"/>
      <c r="E167" s="212" t="s">
        <v>277</v>
      </c>
      <c r="F167" s="213" t="s">
        <v>76</v>
      </c>
      <c r="G167" s="239" t="s">
        <v>161</v>
      </c>
      <c r="H167" s="240" t="s">
        <v>162</v>
      </c>
      <c r="I167" s="361">
        <f t="shared" ref="I167:AV167" si="43">I151*$H159</f>
        <v>2846.246208</v>
      </c>
      <c r="J167" s="361">
        <f t="shared" si="43"/>
        <v>1320.695999</v>
      </c>
      <c r="K167" s="361">
        <f t="shared" si="43"/>
        <v>2424.537189</v>
      </c>
      <c r="L167" s="361">
        <f t="shared" si="43"/>
        <v>1219.564574</v>
      </c>
      <c r="M167" s="361">
        <f t="shared" si="43"/>
        <v>1755.675176</v>
      </c>
      <c r="N167" s="361">
        <f t="shared" si="43"/>
        <v>2520.040071</v>
      </c>
      <c r="O167" s="361">
        <f t="shared" si="43"/>
        <v>4370.799275</v>
      </c>
      <c r="P167" s="361">
        <f t="shared" si="43"/>
        <v>5973.594105</v>
      </c>
      <c r="Q167" s="362">
        <f t="shared" si="43"/>
        <v>4338.504022</v>
      </c>
      <c r="R167" s="361">
        <f t="shared" si="43"/>
        <v>133.5446402</v>
      </c>
      <c r="S167" s="361">
        <f t="shared" si="43"/>
        <v>474.7230855</v>
      </c>
      <c r="T167" s="361">
        <f t="shared" si="43"/>
        <v>146.0153741</v>
      </c>
      <c r="U167" s="361">
        <f t="shared" si="43"/>
        <v>201.2042389</v>
      </c>
      <c r="V167" s="361">
        <f t="shared" si="43"/>
        <v>313.3617306</v>
      </c>
      <c r="W167" s="361">
        <f t="shared" si="43"/>
        <v>430.0014538</v>
      </c>
      <c r="X167" s="361">
        <f t="shared" si="43"/>
        <v>1010.675074</v>
      </c>
      <c r="Y167" s="361">
        <f t="shared" si="43"/>
        <v>105.8641281</v>
      </c>
      <c r="Z167" s="361">
        <f t="shared" si="43"/>
        <v>250.3258693</v>
      </c>
      <c r="AA167" s="361">
        <f t="shared" si="43"/>
        <v>19.75887575</v>
      </c>
      <c r="AB167" s="361">
        <f t="shared" si="43"/>
        <v>94.18874849</v>
      </c>
      <c r="AC167" s="361">
        <f t="shared" si="43"/>
        <v>49.16614762</v>
      </c>
      <c r="AD167" s="361">
        <f t="shared" si="43"/>
        <v>28.67978655</v>
      </c>
      <c r="AE167" s="361">
        <f t="shared" si="43"/>
        <v>103.4796014</v>
      </c>
      <c r="AF167" s="361">
        <f t="shared" si="43"/>
        <v>53.03990499</v>
      </c>
      <c r="AG167" s="361">
        <f t="shared" si="43"/>
        <v>754.2543484</v>
      </c>
      <c r="AH167" s="361">
        <f t="shared" si="43"/>
        <v>297.9633254</v>
      </c>
      <c r="AI167" s="361">
        <f t="shared" si="43"/>
        <v>343.0751814</v>
      </c>
      <c r="AJ167" s="361">
        <f t="shared" si="43"/>
        <v>59.09204728</v>
      </c>
      <c r="AK167" s="361">
        <f t="shared" si="43"/>
        <v>528.9838989</v>
      </c>
      <c r="AL167" s="361">
        <f t="shared" si="43"/>
        <v>1226.90725</v>
      </c>
      <c r="AM167" s="361">
        <f t="shared" si="43"/>
        <v>1458.235654</v>
      </c>
      <c r="AN167" s="361">
        <f t="shared" si="43"/>
        <v>839.0790387</v>
      </c>
      <c r="AO167" s="361">
        <f t="shared" si="43"/>
        <v>408.0526679</v>
      </c>
      <c r="AP167" s="361">
        <f t="shared" si="43"/>
        <v>310.7031817</v>
      </c>
      <c r="AQ167" s="361">
        <f t="shared" si="43"/>
        <v>66.61538269</v>
      </c>
      <c r="AR167" s="361">
        <f t="shared" si="43"/>
        <v>227.9750983</v>
      </c>
      <c r="AS167" s="361">
        <f t="shared" si="43"/>
        <v>326.4314948</v>
      </c>
      <c r="AT167" s="361">
        <f t="shared" si="43"/>
        <v>111.7900016</v>
      </c>
      <c r="AU167" s="361">
        <f t="shared" si="43"/>
        <v>989.1625251</v>
      </c>
      <c r="AV167" s="361">
        <f t="shared" si="43"/>
        <v>1857.857428</v>
      </c>
      <c r="AW167" s="363"/>
    </row>
    <row r="168">
      <c r="A168" s="122"/>
      <c r="B168" s="123"/>
      <c r="C168" s="123"/>
      <c r="D168" s="123"/>
      <c r="E168" s="212" t="s">
        <v>278</v>
      </c>
      <c r="F168" s="213" t="s">
        <v>76</v>
      </c>
      <c r="G168" s="239" t="s">
        <v>161</v>
      </c>
      <c r="H168" s="240" t="s">
        <v>162</v>
      </c>
      <c r="I168" s="361">
        <f t="shared" ref="I168:AV168" si="44">I152*$H160</f>
        <v>2104.944826</v>
      </c>
      <c r="J168" s="361">
        <f t="shared" si="44"/>
        <v>845.8148804</v>
      </c>
      <c r="K168" s="361">
        <f t="shared" si="44"/>
        <v>1800.306722</v>
      </c>
      <c r="L168" s="361">
        <f t="shared" si="44"/>
        <v>837.2159745</v>
      </c>
      <c r="M168" s="361">
        <f t="shared" si="44"/>
        <v>1097.044267</v>
      </c>
      <c r="N168" s="361">
        <f t="shared" si="44"/>
        <v>1998.039732</v>
      </c>
      <c r="O168" s="361">
        <f t="shared" si="44"/>
        <v>3204.937712</v>
      </c>
      <c r="P168" s="361">
        <f t="shared" si="44"/>
        <v>4837.012184</v>
      </c>
      <c r="Q168" s="362">
        <f t="shared" si="44"/>
        <v>2782.174604</v>
      </c>
      <c r="R168" s="361">
        <f t="shared" si="44"/>
        <v>129.9454504</v>
      </c>
      <c r="S168" s="361">
        <f t="shared" si="44"/>
        <v>349.7563077</v>
      </c>
      <c r="T168" s="361">
        <f t="shared" si="44"/>
        <v>179.645256</v>
      </c>
      <c r="U168" s="361">
        <f t="shared" si="44"/>
        <v>214.0923259</v>
      </c>
      <c r="V168" s="361">
        <f t="shared" si="44"/>
        <v>334.4125146</v>
      </c>
      <c r="W168" s="361">
        <f t="shared" si="44"/>
        <v>437.4889864</v>
      </c>
      <c r="X168" s="361">
        <f t="shared" si="44"/>
        <v>920.2860617</v>
      </c>
      <c r="Y168" s="361">
        <f t="shared" si="44"/>
        <v>141.8934394</v>
      </c>
      <c r="Z168" s="361">
        <f t="shared" si="44"/>
        <v>257.3257807</v>
      </c>
      <c r="AA168" s="361">
        <f t="shared" si="44"/>
        <v>18.40035178</v>
      </c>
      <c r="AB168" s="361">
        <f t="shared" si="44"/>
        <v>116.2418115</v>
      </c>
      <c r="AC168" s="361">
        <f t="shared" si="44"/>
        <v>59.42678454</v>
      </c>
      <c r="AD168" s="361">
        <f t="shared" si="44"/>
        <v>38.29338659</v>
      </c>
      <c r="AE168" s="361">
        <f t="shared" si="44"/>
        <v>96.52514297</v>
      </c>
      <c r="AF168" s="361">
        <f t="shared" si="44"/>
        <v>67.5984733</v>
      </c>
      <c r="AG168" s="361">
        <f t="shared" si="44"/>
        <v>517.786268</v>
      </c>
      <c r="AH168" s="361">
        <f t="shared" si="44"/>
        <v>252.2276277</v>
      </c>
      <c r="AI168" s="361">
        <f t="shared" si="44"/>
        <v>492.3176711</v>
      </c>
      <c r="AJ168" s="361">
        <f t="shared" si="44"/>
        <v>63.49205599</v>
      </c>
      <c r="AK168" s="361">
        <f t="shared" si="44"/>
        <v>552.7518745</v>
      </c>
      <c r="AL168" s="361">
        <f t="shared" si="44"/>
        <v>1203.693836</v>
      </c>
      <c r="AM168" s="361">
        <f t="shared" si="44"/>
        <v>1430.645445</v>
      </c>
      <c r="AN168" s="361">
        <f t="shared" si="44"/>
        <v>823.2034384</v>
      </c>
      <c r="AO168" s="361">
        <f t="shared" si="44"/>
        <v>526.4777795</v>
      </c>
      <c r="AP168" s="361">
        <f t="shared" si="44"/>
        <v>355.761947</v>
      </c>
      <c r="AQ168" s="361">
        <f t="shared" si="44"/>
        <v>87.79870074</v>
      </c>
      <c r="AR168" s="361">
        <f t="shared" si="44"/>
        <v>295.9965699</v>
      </c>
      <c r="AS168" s="361">
        <f t="shared" si="44"/>
        <v>393.0596031</v>
      </c>
      <c r="AT168" s="361">
        <f t="shared" si="44"/>
        <v>121.8563059</v>
      </c>
      <c r="AU168" s="361">
        <f t="shared" si="44"/>
        <v>822.5490865</v>
      </c>
      <c r="AV168" s="361">
        <f t="shared" si="44"/>
        <v>1644.345287</v>
      </c>
      <c r="AW168" s="363"/>
    </row>
    <row r="169">
      <c r="A169" s="122"/>
      <c r="B169" s="123"/>
      <c r="C169" s="123"/>
      <c r="D169" s="123"/>
      <c r="E169" s="212" t="s">
        <v>279</v>
      </c>
      <c r="F169" s="213" t="s">
        <v>76</v>
      </c>
      <c r="G169" s="239" t="s">
        <v>161</v>
      </c>
      <c r="H169" s="240" t="s">
        <v>162</v>
      </c>
      <c r="I169" s="361">
        <f t="shared" ref="I169:AV169" si="45">I153*$H161</f>
        <v>1433.99672</v>
      </c>
      <c r="J169" s="361">
        <f t="shared" si="45"/>
        <v>687.6636301</v>
      </c>
      <c r="K169" s="361">
        <f t="shared" si="45"/>
        <v>1044.341397</v>
      </c>
      <c r="L169" s="361">
        <f t="shared" si="45"/>
        <v>507.9246905</v>
      </c>
      <c r="M169" s="361">
        <f t="shared" si="45"/>
        <v>703.6009666</v>
      </c>
      <c r="N169" s="361">
        <f t="shared" si="45"/>
        <v>1232.510611</v>
      </c>
      <c r="O169" s="361">
        <f t="shared" si="45"/>
        <v>2280.128919</v>
      </c>
      <c r="P169" s="361">
        <f t="shared" si="45"/>
        <v>2589.026871</v>
      </c>
      <c r="Q169" s="362">
        <f t="shared" si="45"/>
        <v>1996.675855</v>
      </c>
      <c r="R169" s="361">
        <f t="shared" si="45"/>
        <v>89.38247173</v>
      </c>
      <c r="S169" s="361">
        <f t="shared" si="45"/>
        <v>243.746787</v>
      </c>
      <c r="T169" s="361">
        <f t="shared" si="45"/>
        <v>124.8893341</v>
      </c>
      <c r="U169" s="361">
        <f t="shared" si="45"/>
        <v>137.705718</v>
      </c>
      <c r="V169" s="361">
        <f t="shared" si="45"/>
        <v>223.1539589</v>
      </c>
      <c r="W169" s="361">
        <f t="shared" si="45"/>
        <v>282.7502168</v>
      </c>
      <c r="X169" s="361">
        <f t="shared" si="45"/>
        <v>699.9889034</v>
      </c>
      <c r="Y169" s="361">
        <f t="shared" si="45"/>
        <v>101.0736602</v>
      </c>
      <c r="Z169" s="361">
        <f t="shared" si="45"/>
        <v>146.9210435</v>
      </c>
      <c r="AA169" s="361">
        <f t="shared" si="45"/>
        <v>11.91118716</v>
      </c>
      <c r="AB169" s="361">
        <f t="shared" si="45"/>
        <v>63.68102227</v>
      </c>
      <c r="AC169" s="361">
        <f t="shared" si="45"/>
        <v>39.8683255</v>
      </c>
      <c r="AD169" s="361">
        <f t="shared" si="45"/>
        <v>27.0329677</v>
      </c>
      <c r="AE169" s="361">
        <f t="shared" si="45"/>
        <v>49.75981539</v>
      </c>
      <c r="AF169" s="361">
        <f t="shared" si="45"/>
        <v>44.84764083</v>
      </c>
      <c r="AG169" s="361">
        <f t="shared" si="45"/>
        <v>314.1321211</v>
      </c>
      <c r="AH169" s="361">
        <f t="shared" si="45"/>
        <v>183.2993522</v>
      </c>
      <c r="AI169" s="361">
        <f t="shared" si="45"/>
        <v>293.2180503</v>
      </c>
      <c r="AJ169" s="361">
        <f t="shared" si="45"/>
        <v>37.83864761</v>
      </c>
      <c r="AK169" s="361">
        <f t="shared" si="45"/>
        <v>271.7995698</v>
      </c>
      <c r="AL169" s="361">
        <f t="shared" si="45"/>
        <v>735.8938493</v>
      </c>
      <c r="AM169" s="361">
        <f t="shared" si="45"/>
        <v>874.6436611</v>
      </c>
      <c r="AN169" s="361">
        <f t="shared" si="45"/>
        <v>503.2761065</v>
      </c>
      <c r="AO169" s="361">
        <f t="shared" si="45"/>
        <v>347.780266</v>
      </c>
      <c r="AP169" s="361">
        <f t="shared" si="45"/>
        <v>247.6172368</v>
      </c>
      <c r="AQ169" s="361">
        <f t="shared" si="45"/>
        <v>73.33350384</v>
      </c>
      <c r="AR169" s="361">
        <f t="shared" si="45"/>
        <v>189.2325768</v>
      </c>
      <c r="AS169" s="361">
        <f t="shared" si="45"/>
        <v>192.1235121</v>
      </c>
      <c r="AT169" s="361">
        <f t="shared" si="45"/>
        <v>76.55590929</v>
      </c>
      <c r="AU169" s="361">
        <f t="shared" si="45"/>
        <v>400.0855303</v>
      </c>
      <c r="AV169" s="361">
        <f t="shared" si="45"/>
        <v>1043.751332</v>
      </c>
      <c r="AW169" s="363"/>
    </row>
    <row r="170">
      <c r="A170" s="122"/>
      <c r="B170" s="123"/>
      <c r="C170" s="123"/>
      <c r="D170" s="123"/>
      <c r="E170" s="212" t="s">
        <v>280</v>
      </c>
      <c r="F170" s="213" t="s">
        <v>76</v>
      </c>
      <c r="G170" s="239" t="s">
        <v>161</v>
      </c>
      <c r="H170" s="240" t="s">
        <v>162</v>
      </c>
      <c r="I170" s="361">
        <f t="shared" ref="I170:AV170" si="46">I154*I162</f>
        <v>11576.88682</v>
      </c>
      <c r="J170" s="361">
        <f t="shared" si="46"/>
        <v>5601.435503</v>
      </c>
      <c r="K170" s="361">
        <f t="shared" si="46"/>
        <v>10435.32673</v>
      </c>
      <c r="L170" s="361">
        <f t="shared" si="46"/>
        <v>5143.407614</v>
      </c>
      <c r="M170" s="361">
        <f t="shared" si="46"/>
        <v>7312.70628</v>
      </c>
      <c r="N170" s="361">
        <f t="shared" si="46"/>
        <v>9658.47448</v>
      </c>
      <c r="O170" s="361">
        <f t="shared" si="46"/>
        <v>17036.00341</v>
      </c>
      <c r="P170" s="361">
        <f t="shared" si="46"/>
        <v>22625.58973</v>
      </c>
      <c r="Q170" s="362">
        <f t="shared" si="46"/>
        <v>18366.86013</v>
      </c>
      <c r="R170" s="361">
        <f t="shared" si="46"/>
        <v>603.6444286</v>
      </c>
      <c r="S170" s="361">
        <f t="shared" si="46"/>
        <v>2170.652261</v>
      </c>
      <c r="T170" s="361">
        <f t="shared" si="46"/>
        <v>562.1442377</v>
      </c>
      <c r="U170" s="361">
        <f t="shared" si="46"/>
        <v>720.5044078</v>
      </c>
      <c r="V170" s="361">
        <f t="shared" si="46"/>
        <v>1327.084299</v>
      </c>
      <c r="W170" s="361">
        <f t="shared" si="46"/>
        <v>1525.500386</v>
      </c>
      <c r="X170" s="361">
        <f t="shared" si="46"/>
        <v>3164.060121</v>
      </c>
      <c r="Y170" s="361">
        <f t="shared" si="46"/>
        <v>397.62722</v>
      </c>
      <c r="Z170" s="361">
        <f t="shared" si="46"/>
        <v>928.8490301</v>
      </c>
      <c r="AA170" s="361">
        <f t="shared" si="46"/>
        <v>85.15371367</v>
      </c>
      <c r="AB170" s="361">
        <f t="shared" si="46"/>
        <v>468.5995272</v>
      </c>
      <c r="AC170" s="361">
        <f t="shared" si="46"/>
        <v>217.5291136</v>
      </c>
      <c r="AD170" s="361">
        <f t="shared" si="46"/>
        <v>103.6574767</v>
      </c>
      <c r="AE170" s="361">
        <f t="shared" si="46"/>
        <v>399.1974294</v>
      </c>
      <c r="AF170" s="361">
        <f t="shared" si="46"/>
        <v>192.8182694</v>
      </c>
      <c r="AG170" s="361">
        <f t="shared" si="46"/>
        <v>3181.002172</v>
      </c>
      <c r="AH170" s="361">
        <f t="shared" si="46"/>
        <v>1037.981303</v>
      </c>
      <c r="AI170" s="361">
        <f t="shared" si="46"/>
        <v>947.1813008</v>
      </c>
      <c r="AJ170" s="361">
        <f t="shared" si="46"/>
        <v>177.414269</v>
      </c>
      <c r="AK170" s="361">
        <f t="shared" si="46"/>
        <v>1792.502281</v>
      </c>
      <c r="AL170" s="361">
        <f t="shared" si="46"/>
        <v>4508.857574</v>
      </c>
      <c r="AM170" s="361">
        <f t="shared" si="46"/>
        <v>5358.984452</v>
      </c>
      <c r="AN170" s="361">
        <f t="shared" si="46"/>
        <v>3083.597297</v>
      </c>
      <c r="AO170" s="361">
        <f t="shared" si="46"/>
        <v>1260.949839</v>
      </c>
      <c r="AP170" s="361">
        <f t="shared" si="46"/>
        <v>1025.788365</v>
      </c>
      <c r="AQ170" s="361">
        <f t="shared" si="46"/>
        <v>222.2832978</v>
      </c>
      <c r="AR170" s="361">
        <f t="shared" si="46"/>
        <v>768.3944828</v>
      </c>
      <c r="AS170" s="361">
        <f t="shared" si="46"/>
        <v>977.6752295</v>
      </c>
      <c r="AT170" s="361">
        <f t="shared" si="46"/>
        <v>490.2229509</v>
      </c>
      <c r="AU170" s="361">
        <f t="shared" si="46"/>
        <v>4402.184783</v>
      </c>
      <c r="AV170" s="361">
        <f t="shared" si="46"/>
        <v>6938.726257</v>
      </c>
      <c r="AW170" s="363"/>
    </row>
    <row r="171">
      <c r="A171" s="122"/>
      <c r="B171" s="123"/>
      <c r="C171" s="123"/>
      <c r="D171" s="123"/>
      <c r="E171" s="199" t="s">
        <v>281</v>
      </c>
      <c r="F171" s="200" t="s">
        <v>76</v>
      </c>
      <c r="G171" s="273" t="s">
        <v>161</v>
      </c>
      <c r="H171" s="228"/>
      <c r="I171" s="338">
        <f t="shared" ref="I171:AV171" si="47">I155*$H163</f>
        <v>2472.896884</v>
      </c>
      <c r="J171" s="338">
        <f t="shared" si="47"/>
        <v>2472.896884</v>
      </c>
      <c r="K171" s="338">
        <f t="shared" si="47"/>
        <v>2472.896884</v>
      </c>
      <c r="L171" s="338">
        <f t="shared" si="47"/>
        <v>2472.896884</v>
      </c>
      <c r="M171" s="338">
        <f t="shared" si="47"/>
        <v>2472.896884</v>
      </c>
      <c r="N171" s="338">
        <f t="shared" si="47"/>
        <v>2472.896884</v>
      </c>
      <c r="O171" s="338">
        <f t="shared" si="47"/>
        <v>2472.896884</v>
      </c>
      <c r="P171" s="338">
        <f t="shared" si="47"/>
        <v>2472.896884</v>
      </c>
      <c r="Q171" s="339">
        <f t="shared" si="47"/>
        <v>2472.896884</v>
      </c>
      <c r="R171" s="338">
        <f t="shared" si="47"/>
        <v>2472.896884</v>
      </c>
      <c r="S171" s="338">
        <f t="shared" si="47"/>
        <v>2472.896884</v>
      </c>
      <c r="T171" s="338">
        <f t="shared" si="47"/>
        <v>2472.896884</v>
      </c>
      <c r="U171" s="338">
        <f t="shared" si="47"/>
        <v>2472.896884</v>
      </c>
      <c r="V171" s="338">
        <f t="shared" si="47"/>
        <v>2472.896884</v>
      </c>
      <c r="W171" s="338">
        <f t="shared" si="47"/>
        <v>2472.896884</v>
      </c>
      <c r="X171" s="338">
        <f t="shared" si="47"/>
        <v>2472.896884</v>
      </c>
      <c r="Y171" s="338">
        <f t="shared" si="47"/>
        <v>2472.896884</v>
      </c>
      <c r="Z171" s="338">
        <f t="shared" si="47"/>
        <v>2472.896884</v>
      </c>
      <c r="AA171" s="338">
        <f t="shared" si="47"/>
        <v>2472.896884</v>
      </c>
      <c r="AB171" s="338">
        <f t="shared" si="47"/>
        <v>2472.896884</v>
      </c>
      <c r="AC171" s="338">
        <f t="shared" si="47"/>
        <v>2472.896884</v>
      </c>
      <c r="AD171" s="338">
        <f t="shared" si="47"/>
        <v>2472.896884</v>
      </c>
      <c r="AE171" s="338">
        <f t="shared" si="47"/>
        <v>2472.896884</v>
      </c>
      <c r="AF171" s="338">
        <f t="shared" si="47"/>
        <v>2472.896884</v>
      </c>
      <c r="AG171" s="338">
        <f t="shared" si="47"/>
        <v>2472.896884</v>
      </c>
      <c r="AH171" s="338">
        <f t="shared" si="47"/>
        <v>2472.896884</v>
      </c>
      <c r="AI171" s="338">
        <f t="shared" si="47"/>
        <v>2472.896884</v>
      </c>
      <c r="AJ171" s="338">
        <f t="shared" si="47"/>
        <v>2472.896884</v>
      </c>
      <c r="AK171" s="338">
        <f t="shared" si="47"/>
        <v>2472.896884</v>
      </c>
      <c r="AL171" s="338">
        <f t="shared" si="47"/>
        <v>2472.896884</v>
      </c>
      <c r="AM171" s="338">
        <f t="shared" si="47"/>
        <v>2472.896884</v>
      </c>
      <c r="AN171" s="338">
        <f t="shared" si="47"/>
        <v>2472.896884</v>
      </c>
      <c r="AO171" s="338">
        <f t="shared" si="47"/>
        <v>2472.896884</v>
      </c>
      <c r="AP171" s="338">
        <f t="shared" si="47"/>
        <v>2472.896884</v>
      </c>
      <c r="AQ171" s="338">
        <f t="shared" si="47"/>
        <v>2472.896884</v>
      </c>
      <c r="AR171" s="338">
        <f t="shared" si="47"/>
        <v>2472.896884</v>
      </c>
      <c r="AS171" s="338">
        <f t="shared" si="47"/>
        <v>2472.896884</v>
      </c>
      <c r="AT171" s="338">
        <f t="shared" si="47"/>
        <v>2472.896884</v>
      </c>
      <c r="AU171" s="338">
        <f t="shared" si="47"/>
        <v>2472.896884</v>
      </c>
      <c r="AV171" s="338">
        <f t="shared" si="47"/>
        <v>2472.896884</v>
      </c>
      <c r="AW171" s="345"/>
    </row>
    <row r="172">
      <c r="A172" s="122"/>
      <c r="B172" s="123"/>
      <c r="C172" s="123"/>
      <c r="D172" s="123"/>
      <c r="E172" s="124"/>
      <c r="F172" s="125"/>
      <c r="G172" s="126"/>
      <c r="H172" s="127"/>
      <c r="I172" s="128"/>
      <c r="J172" s="128"/>
      <c r="K172" s="128"/>
      <c r="L172" s="128"/>
      <c r="M172" s="128"/>
      <c r="N172" s="128"/>
      <c r="O172" s="128"/>
      <c r="P172" s="128"/>
      <c r="Q172" s="129"/>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30"/>
    </row>
    <row r="173">
      <c r="A173" s="122"/>
      <c r="B173" s="123"/>
      <c r="C173" s="342" t="s">
        <v>282</v>
      </c>
      <c r="F173" s="125"/>
      <c r="G173" s="126"/>
      <c r="H173" s="127"/>
      <c r="I173" s="128"/>
      <c r="J173" s="128"/>
      <c r="K173" s="128"/>
      <c r="L173" s="128"/>
      <c r="M173" s="128"/>
      <c r="N173" s="128"/>
      <c r="O173" s="128"/>
      <c r="P173" s="128"/>
      <c r="Q173" s="129"/>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30"/>
    </row>
    <row r="174">
      <c r="A174" s="122"/>
      <c r="B174" s="123"/>
      <c r="C174" s="123"/>
      <c r="D174" s="123"/>
      <c r="E174" s="192" t="s">
        <v>160</v>
      </c>
      <c r="F174" s="193" t="str">
        <f>F11</f>
        <v>$</v>
      </c>
      <c r="G174" s="235" t="s">
        <v>155</v>
      </c>
      <c r="H174" s="236" t="str">
        <f t="shared" ref="H174:AV174" si="48">H11</f>
        <v>-</v>
      </c>
      <c r="I174" s="371">
        <f t="shared" si="48"/>
        <v>1000000</v>
      </c>
      <c r="J174" s="371">
        <f t="shared" si="48"/>
        <v>1000000</v>
      </c>
      <c r="K174" s="371">
        <f t="shared" si="48"/>
        <v>1000000</v>
      </c>
      <c r="L174" s="371">
        <f t="shared" si="48"/>
        <v>1000000</v>
      </c>
      <c r="M174" s="371">
        <f t="shared" si="48"/>
        <v>1000000</v>
      </c>
      <c r="N174" s="371">
        <f t="shared" si="48"/>
        <v>1000000</v>
      </c>
      <c r="O174" s="371">
        <f t="shared" si="48"/>
        <v>1000000</v>
      </c>
      <c r="P174" s="371">
        <f t="shared" si="48"/>
        <v>1000000</v>
      </c>
      <c r="Q174" s="372">
        <f t="shared" si="48"/>
        <v>1000000</v>
      </c>
      <c r="R174" s="371">
        <f t="shared" si="48"/>
        <v>1000000</v>
      </c>
      <c r="S174" s="371">
        <f t="shared" si="48"/>
        <v>1000000</v>
      </c>
      <c r="T174" s="371">
        <f t="shared" si="48"/>
        <v>1000000</v>
      </c>
      <c r="U174" s="371">
        <f t="shared" si="48"/>
        <v>1000000</v>
      </c>
      <c r="V174" s="371">
        <f t="shared" si="48"/>
        <v>1000000</v>
      </c>
      <c r="W174" s="371">
        <f t="shared" si="48"/>
        <v>1000000</v>
      </c>
      <c r="X174" s="371">
        <f t="shared" si="48"/>
        <v>1000000</v>
      </c>
      <c r="Y174" s="371">
        <f t="shared" si="48"/>
        <v>1000000</v>
      </c>
      <c r="Z174" s="371">
        <f t="shared" si="48"/>
        <v>1000000</v>
      </c>
      <c r="AA174" s="371">
        <f t="shared" si="48"/>
        <v>1000000</v>
      </c>
      <c r="AB174" s="371">
        <f t="shared" si="48"/>
        <v>1000000</v>
      </c>
      <c r="AC174" s="371">
        <f t="shared" si="48"/>
        <v>1000000</v>
      </c>
      <c r="AD174" s="371">
        <f t="shared" si="48"/>
        <v>1000000</v>
      </c>
      <c r="AE174" s="371">
        <f t="shared" si="48"/>
        <v>1000000</v>
      </c>
      <c r="AF174" s="371">
        <f t="shared" si="48"/>
        <v>1000000</v>
      </c>
      <c r="AG174" s="371">
        <f t="shared" si="48"/>
        <v>1000000</v>
      </c>
      <c r="AH174" s="371">
        <f t="shared" si="48"/>
        <v>1000000</v>
      </c>
      <c r="AI174" s="371">
        <f t="shared" si="48"/>
        <v>1000000</v>
      </c>
      <c r="AJ174" s="371">
        <f t="shared" si="48"/>
        <v>1000000</v>
      </c>
      <c r="AK174" s="371">
        <f t="shared" si="48"/>
        <v>1000000</v>
      </c>
      <c r="AL174" s="371">
        <f t="shared" si="48"/>
        <v>1000000</v>
      </c>
      <c r="AM174" s="371">
        <f t="shared" si="48"/>
        <v>1000000</v>
      </c>
      <c r="AN174" s="371">
        <f t="shared" si="48"/>
        <v>1000000</v>
      </c>
      <c r="AO174" s="371">
        <f t="shared" si="48"/>
        <v>1000000</v>
      </c>
      <c r="AP174" s="371">
        <f t="shared" si="48"/>
        <v>1000000</v>
      </c>
      <c r="AQ174" s="371">
        <f t="shared" si="48"/>
        <v>1000000</v>
      </c>
      <c r="AR174" s="371">
        <f t="shared" si="48"/>
        <v>1000000</v>
      </c>
      <c r="AS174" s="371">
        <f t="shared" si="48"/>
        <v>1000000</v>
      </c>
      <c r="AT174" s="371">
        <f t="shared" si="48"/>
        <v>1000000</v>
      </c>
      <c r="AU174" s="371">
        <f t="shared" si="48"/>
        <v>1000000</v>
      </c>
      <c r="AV174" s="371">
        <f t="shared" si="48"/>
        <v>1000000</v>
      </c>
      <c r="AW174" s="198"/>
    </row>
    <row r="175">
      <c r="A175" s="122"/>
      <c r="B175" s="123"/>
      <c r="C175" s="123"/>
      <c r="D175" s="123"/>
      <c r="E175" s="212" t="s">
        <v>283</v>
      </c>
      <c r="F175" s="213" t="s">
        <v>76</v>
      </c>
      <c r="G175" s="239" t="s">
        <v>161</v>
      </c>
      <c r="H175" s="240" t="s">
        <v>162</v>
      </c>
      <c r="I175" s="361">
        <f t="shared" ref="I175:AV175" si="49">SUM(I166:I171)</f>
        <v>55363.66837</v>
      </c>
      <c r="J175" s="361">
        <f t="shared" si="49"/>
        <v>27885.08275</v>
      </c>
      <c r="K175" s="361">
        <f t="shared" si="49"/>
        <v>49802.94755</v>
      </c>
      <c r="L175" s="361">
        <f t="shared" si="49"/>
        <v>25744.18936</v>
      </c>
      <c r="M175" s="361">
        <f t="shared" si="49"/>
        <v>35447.33196</v>
      </c>
      <c r="N175" s="361">
        <f t="shared" si="49"/>
        <v>46877.15804</v>
      </c>
      <c r="O175" s="361">
        <f t="shared" si="49"/>
        <v>80581.80066</v>
      </c>
      <c r="P175" s="361">
        <f t="shared" si="49"/>
        <v>106350.9678</v>
      </c>
      <c r="Q175" s="362">
        <f t="shared" si="49"/>
        <v>85548.97629</v>
      </c>
      <c r="R175" s="361">
        <f t="shared" si="49"/>
        <v>5265.538137</v>
      </c>
      <c r="S175" s="361">
        <f t="shared" si="49"/>
        <v>12319.80833</v>
      </c>
      <c r="T175" s="361">
        <f t="shared" si="49"/>
        <v>5173.831063</v>
      </c>
      <c r="U175" s="361">
        <f t="shared" si="49"/>
        <v>5896.177923</v>
      </c>
      <c r="V175" s="361">
        <f t="shared" si="49"/>
        <v>8687.773449</v>
      </c>
      <c r="W175" s="361">
        <f t="shared" si="49"/>
        <v>9696.286443</v>
      </c>
      <c r="X175" s="361">
        <f t="shared" si="49"/>
        <v>17581.44028</v>
      </c>
      <c r="Y175" s="361">
        <f t="shared" si="49"/>
        <v>4410.933759</v>
      </c>
      <c r="Z175" s="361">
        <f t="shared" si="49"/>
        <v>6836.791936</v>
      </c>
      <c r="AA175" s="361">
        <f t="shared" si="49"/>
        <v>2866.215478</v>
      </c>
      <c r="AB175" s="361">
        <f t="shared" si="49"/>
        <v>4650.44175</v>
      </c>
      <c r="AC175" s="361">
        <f t="shared" si="49"/>
        <v>3499.510364</v>
      </c>
      <c r="AD175" s="361">
        <f t="shared" si="49"/>
        <v>2980.111134</v>
      </c>
      <c r="AE175" s="361">
        <f t="shared" si="49"/>
        <v>4320.945361</v>
      </c>
      <c r="AF175" s="361">
        <f t="shared" si="49"/>
        <v>3407.319976</v>
      </c>
      <c r="AG175" s="361">
        <f t="shared" si="49"/>
        <v>16865.30703</v>
      </c>
      <c r="AH175" s="361">
        <f t="shared" si="49"/>
        <v>7333.298837</v>
      </c>
      <c r="AI175" s="361">
        <f t="shared" si="49"/>
        <v>7296.230608</v>
      </c>
      <c r="AJ175" s="361">
        <f t="shared" si="49"/>
        <v>3330.537895</v>
      </c>
      <c r="AK175" s="361">
        <f t="shared" si="49"/>
        <v>10938.81765</v>
      </c>
      <c r="AL175" s="361">
        <f t="shared" si="49"/>
        <v>23633.5736</v>
      </c>
      <c r="AM175" s="361">
        <f t="shared" si="49"/>
        <v>27623.33369</v>
      </c>
      <c r="AN175" s="361">
        <f t="shared" si="49"/>
        <v>16944.63489</v>
      </c>
      <c r="AO175" s="361">
        <f t="shared" si="49"/>
        <v>8722.536325</v>
      </c>
      <c r="AP175" s="361">
        <f t="shared" si="49"/>
        <v>7449.173008</v>
      </c>
      <c r="AQ175" s="361">
        <f t="shared" si="49"/>
        <v>3581.614366</v>
      </c>
      <c r="AR175" s="361">
        <f t="shared" si="49"/>
        <v>6233.762602</v>
      </c>
      <c r="AS175" s="361">
        <f t="shared" si="49"/>
        <v>7225.872465</v>
      </c>
      <c r="AT175" s="361">
        <f t="shared" si="49"/>
        <v>4761.110967</v>
      </c>
      <c r="AU175" s="361">
        <f t="shared" si="49"/>
        <v>22461.87846</v>
      </c>
      <c r="AV175" s="361">
        <f t="shared" si="49"/>
        <v>34740.52068</v>
      </c>
      <c r="AW175" s="363"/>
    </row>
    <row r="176">
      <c r="A176" s="122"/>
      <c r="B176" s="123"/>
      <c r="C176" s="123"/>
      <c r="D176" s="123"/>
      <c r="E176" s="289" t="s">
        <v>284</v>
      </c>
      <c r="F176" s="279" t="s">
        <v>76</v>
      </c>
      <c r="G176" s="280" t="s">
        <v>161</v>
      </c>
      <c r="H176" s="373" t="s">
        <v>162</v>
      </c>
      <c r="I176" s="374">
        <f t="shared" ref="I176:AV176" si="50">I175/I174</f>
        <v>0.05536366837</v>
      </c>
      <c r="J176" s="374">
        <f t="shared" si="50"/>
        <v>0.02788508275</v>
      </c>
      <c r="K176" s="374">
        <f t="shared" si="50"/>
        <v>0.04980294755</v>
      </c>
      <c r="L176" s="374">
        <f t="shared" si="50"/>
        <v>0.02574418936</v>
      </c>
      <c r="M176" s="374">
        <f t="shared" si="50"/>
        <v>0.03544733196</v>
      </c>
      <c r="N176" s="374">
        <f t="shared" si="50"/>
        <v>0.04687715804</v>
      </c>
      <c r="O176" s="374">
        <f t="shared" si="50"/>
        <v>0.08058180066</v>
      </c>
      <c r="P176" s="374">
        <f t="shared" si="50"/>
        <v>0.1063509678</v>
      </c>
      <c r="Q176" s="375">
        <f t="shared" si="50"/>
        <v>0.08554897629</v>
      </c>
      <c r="R176" s="374">
        <f t="shared" si="50"/>
        <v>0.005265538137</v>
      </c>
      <c r="S176" s="374">
        <f t="shared" si="50"/>
        <v>0.01231980833</v>
      </c>
      <c r="T176" s="374">
        <f t="shared" si="50"/>
        <v>0.005173831063</v>
      </c>
      <c r="U176" s="374">
        <f t="shared" si="50"/>
        <v>0.005896177923</v>
      </c>
      <c r="V176" s="374">
        <f t="shared" si="50"/>
        <v>0.008687773449</v>
      </c>
      <c r="W176" s="374">
        <f t="shared" si="50"/>
        <v>0.009696286443</v>
      </c>
      <c r="X176" s="374">
        <f t="shared" si="50"/>
        <v>0.01758144028</v>
      </c>
      <c r="Y176" s="374">
        <f t="shared" si="50"/>
        <v>0.004410933759</v>
      </c>
      <c r="Z176" s="374">
        <f t="shared" si="50"/>
        <v>0.006836791936</v>
      </c>
      <c r="AA176" s="374">
        <f t="shared" si="50"/>
        <v>0.002866215478</v>
      </c>
      <c r="AB176" s="374">
        <f t="shared" si="50"/>
        <v>0.00465044175</v>
      </c>
      <c r="AC176" s="374">
        <f t="shared" si="50"/>
        <v>0.003499510364</v>
      </c>
      <c r="AD176" s="374">
        <f t="shared" si="50"/>
        <v>0.002980111134</v>
      </c>
      <c r="AE176" s="374">
        <f t="shared" si="50"/>
        <v>0.004320945361</v>
      </c>
      <c r="AF176" s="374">
        <f t="shared" si="50"/>
        <v>0.003407319976</v>
      </c>
      <c r="AG176" s="374">
        <f t="shared" si="50"/>
        <v>0.01686530703</v>
      </c>
      <c r="AH176" s="374">
        <f t="shared" si="50"/>
        <v>0.007333298837</v>
      </c>
      <c r="AI176" s="374">
        <f t="shared" si="50"/>
        <v>0.007296230608</v>
      </c>
      <c r="AJ176" s="374">
        <f t="shared" si="50"/>
        <v>0.003330537895</v>
      </c>
      <c r="AK176" s="374">
        <f t="shared" si="50"/>
        <v>0.01093881765</v>
      </c>
      <c r="AL176" s="374">
        <f t="shared" si="50"/>
        <v>0.0236335736</v>
      </c>
      <c r="AM176" s="374">
        <f t="shared" si="50"/>
        <v>0.02762333369</v>
      </c>
      <c r="AN176" s="374">
        <f t="shared" si="50"/>
        <v>0.01694463489</v>
      </c>
      <c r="AO176" s="374">
        <f t="shared" si="50"/>
        <v>0.008722536325</v>
      </c>
      <c r="AP176" s="374">
        <f t="shared" si="50"/>
        <v>0.007449173008</v>
      </c>
      <c r="AQ176" s="374">
        <f t="shared" si="50"/>
        <v>0.003581614366</v>
      </c>
      <c r="AR176" s="374">
        <f t="shared" si="50"/>
        <v>0.006233762602</v>
      </c>
      <c r="AS176" s="374">
        <f t="shared" si="50"/>
        <v>0.007225872465</v>
      </c>
      <c r="AT176" s="374">
        <f t="shared" si="50"/>
        <v>0.004761110967</v>
      </c>
      <c r="AU176" s="374">
        <f t="shared" si="50"/>
        <v>0.02246187846</v>
      </c>
      <c r="AV176" s="374">
        <f t="shared" si="50"/>
        <v>0.03474052068</v>
      </c>
      <c r="AW176" s="376"/>
    </row>
    <row r="177">
      <c r="A177" s="122"/>
      <c r="B177" s="123"/>
      <c r="C177" s="123"/>
      <c r="D177" s="123"/>
      <c r="E177" s="289" t="s">
        <v>285</v>
      </c>
      <c r="F177" s="279" t="s">
        <v>76</v>
      </c>
      <c r="G177" s="280" t="s">
        <v>165</v>
      </c>
      <c r="H177" s="377">
        <f>Inputs!H282</f>
        <v>0.00333</v>
      </c>
      <c r="I177" s="378" t="str">
        <f>Inputs!I282</f>
        <v>-</v>
      </c>
      <c r="J177" s="378" t="str">
        <f>Inputs!J282</f>
        <v>-</v>
      </c>
      <c r="K177" s="378" t="str">
        <f>Inputs!K282</f>
        <v>-</v>
      </c>
      <c r="L177" s="378" t="str">
        <f>Inputs!L282</f>
        <v>-</v>
      </c>
      <c r="M177" s="378" t="str">
        <f>Inputs!M282</f>
        <v>-</v>
      </c>
      <c r="N177" s="378" t="str">
        <f>Inputs!N282</f>
        <v>-</v>
      </c>
      <c r="O177" s="378" t="str">
        <f>Inputs!O282</f>
        <v>-</v>
      </c>
      <c r="P177" s="378" t="str">
        <f>Inputs!P282</f>
        <v>-</v>
      </c>
      <c r="Q177" s="379" t="str">
        <f>Inputs!Q282</f>
        <v>-</v>
      </c>
      <c r="R177" s="378" t="str">
        <f>Inputs!R282</f>
        <v>-</v>
      </c>
      <c r="S177" s="378" t="str">
        <f>Inputs!S282</f>
        <v>-</v>
      </c>
      <c r="T177" s="378" t="str">
        <f>Inputs!T282</f>
        <v>-</v>
      </c>
      <c r="U177" s="378" t="str">
        <f>Inputs!U282</f>
        <v>-</v>
      </c>
      <c r="V177" s="378" t="str">
        <f>Inputs!V282</f>
        <v>-</v>
      </c>
      <c r="W177" s="378" t="str">
        <f>Inputs!W282</f>
        <v>-</v>
      </c>
      <c r="X177" s="378" t="str">
        <f>Inputs!X282</f>
        <v>-</v>
      </c>
      <c r="Y177" s="378" t="str">
        <f>Inputs!Y282</f>
        <v>-</v>
      </c>
      <c r="Z177" s="378" t="str">
        <f>Inputs!Z282</f>
        <v>-</v>
      </c>
      <c r="AA177" s="378" t="str">
        <f>Inputs!AA282</f>
        <v>-</v>
      </c>
      <c r="AB177" s="378" t="str">
        <f>Inputs!AB282</f>
        <v>-</v>
      </c>
      <c r="AC177" s="378" t="str">
        <f>Inputs!AC282</f>
        <v>-</v>
      </c>
      <c r="AD177" s="378" t="str">
        <f>Inputs!AD282</f>
        <v>-</v>
      </c>
      <c r="AE177" s="378" t="str">
        <f>Inputs!AE282</f>
        <v>-</v>
      </c>
      <c r="AF177" s="378" t="str">
        <f>Inputs!AF282</f>
        <v>-</v>
      </c>
      <c r="AG177" s="378" t="str">
        <f>Inputs!AG282</f>
        <v>-</v>
      </c>
      <c r="AH177" s="378" t="str">
        <f>Inputs!AH282</f>
        <v>-</v>
      </c>
      <c r="AI177" s="378" t="str">
        <f>Inputs!AI282</f>
        <v>-</v>
      </c>
      <c r="AJ177" s="378" t="str">
        <f>Inputs!AJ282</f>
        <v>-</v>
      </c>
      <c r="AK177" s="378" t="str">
        <f>Inputs!AK282</f>
        <v>-</v>
      </c>
      <c r="AL177" s="378" t="str">
        <f>Inputs!AL282</f>
        <v>-</v>
      </c>
      <c r="AM177" s="378" t="str">
        <f>Inputs!AM282</f>
        <v>-</v>
      </c>
      <c r="AN177" s="378" t="str">
        <f>Inputs!AN282</f>
        <v>-</v>
      </c>
      <c r="AO177" s="378" t="str">
        <f>Inputs!AO282</f>
        <v>-</v>
      </c>
      <c r="AP177" s="378" t="str">
        <f>Inputs!AP282</f>
        <v>-</v>
      </c>
      <c r="AQ177" s="378" t="str">
        <f>Inputs!AQ282</f>
        <v>-</v>
      </c>
      <c r="AR177" s="378" t="str">
        <f>Inputs!AR282</f>
        <v>-</v>
      </c>
      <c r="AS177" s="378" t="str">
        <f>Inputs!AS282</f>
        <v>-</v>
      </c>
      <c r="AT177" s="378" t="str">
        <f>Inputs!AT282</f>
        <v>-</v>
      </c>
      <c r="AU177" s="378" t="str">
        <f>Inputs!AU282</f>
        <v>-</v>
      </c>
      <c r="AV177" s="378" t="str">
        <f>Inputs!AV282</f>
        <v>-</v>
      </c>
      <c r="AW177" s="376"/>
    </row>
    <row r="178">
      <c r="A178" s="122"/>
      <c r="B178" s="123"/>
      <c r="C178" s="123"/>
      <c r="D178" s="123"/>
      <c r="E178" s="199" t="s">
        <v>286</v>
      </c>
      <c r="F178" s="380" t="s">
        <v>78</v>
      </c>
      <c r="G178" s="273" t="s">
        <v>161</v>
      </c>
      <c r="H178" s="228" t="s">
        <v>162</v>
      </c>
      <c r="I178" s="381">
        <f t="shared" ref="I178:AV178" si="51">I176/$H177</f>
        <v>16.62572624</v>
      </c>
      <c r="J178" s="381">
        <f t="shared" si="51"/>
        <v>8.373898723</v>
      </c>
      <c r="K178" s="381">
        <f t="shared" si="51"/>
        <v>14.95584011</v>
      </c>
      <c r="L178" s="381">
        <f t="shared" si="51"/>
        <v>7.730987795</v>
      </c>
      <c r="M178" s="381">
        <f t="shared" si="51"/>
        <v>10.64484443</v>
      </c>
      <c r="N178" s="381">
        <f t="shared" si="51"/>
        <v>14.07722464</v>
      </c>
      <c r="O178" s="381">
        <f t="shared" si="51"/>
        <v>24.19873894</v>
      </c>
      <c r="P178" s="381">
        <f t="shared" si="51"/>
        <v>31.93722757</v>
      </c>
      <c r="Q178" s="382">
        <f t="shared" si="51"/>
        <v>25.69038327</v>
      </c>
      <c r="R178" s="381">
        <f t="shared" si="51"/>
        <v>1.581242684</v>
      </c>
      <c r="S178" s="381">
        <f t="shared" si="51"/>
        <v>3.699642143</v>
      </c>
      <c r="T178" s="381">
        <f t="shared" si="51"/>
        <v>1.553703022</v>
      </c>
      <c r="U178" s="381">
        <f t="shared" si="51"/>
        <v>1.770624001</v>
      </c>
      <c r="V178" s="381">
        <f t="shared" si="51"/>
        <v>2.608940976</v>
      </c>
      <c r="W178" s="381">
        <f t="shared" si="51"/>
        <v>2.911797731</v>
      </c>
      <c r="X178" s="381">
        <f t="shared" si="51"/>
        <v>5.279711797</v>
      </c>
      <c r="Y178" s="381">
        <f t="shared" si="51"/>
        <v>1.324604732</v>
      </c>
      <c r="Z178" s="381">
        <f t="shared" si="51"/>
        <v>2.053090671</v>
      </c>
      <c r="AA178" s="381">
        <f t="shared" si="51"/>
        <v>0.8607253688</v>
      </c>
      <c r="AB178" s="381">
        <f t="shared" si="51"/>
        <v>1.396529054</v>
      </c>
      <c r="AC178" s="381">
        <f t="shared" si="51"/>
        <v>1.050904013</v>
      </c>
      <c r="AD178" s="381">
        <f t="shared" si="51"/>
        <v>0.8949282686</v>
      </c>
      <c r="AE178" s="381">
        <f t="shared" si="51"/>
        <v>1.297581189</v>
      </c>
      <c r="AF178" s="381">
        <f t="shared" si="51"/>
        <v>1.023219212</v>
      </c>
      <c r="AG178" s="381">
        <f t="shared" si="51"/>
        <v>5.064656765</v>
      </c>
      <c r="AH178" s="381">
        <f t="shared" si="51"/>
        <v>2.202191843</v>
      </c>
      <c r="AI178" s="381">
        <f t="shared" si="51"/>
        <v>2.191060243</v>
      </c>
      <c r="AJ178" s="381">
        <f t="shared" si="51"/>
        <v>1.00016153</v>
      </c>
      <c r="AK178" s="381">
        <f t="shared" si="51"/>
        <v>3.284930224</v>
      </c>
      <c r="AL178" s="381">
        <f t="shared" si="51"/>
        <v>7.097169249</v>
      </c>
      <c r="AM178" s="381">
        <f t="shared" si="51"/>
        <v>8.295295403</v>
      </c>
      <c r="AN178" s="381">
        <f t="shared" si="51"/>
        <v>5.088478946</v>
      </c>
      <c r="AO178" s="381">
        <f t="shared" si="51"/>
        <v>2.619380278</v>
      </c>
      <c r="AP178" s="381">
        <f t="shared" si="51"/>
        <v>2.236988891</v>
      </c>
      <c r="AQ178" s="381">
        <f t="shared" si="51"/>
        <v>1.07555987</v>
      </c>
      <c r="AR178" s="381">
        <f t="shared" si="51"/>
        <v>1.872000781</v>
      </c>
      <c r="AS178" s="381">
        <f t="shared" si="51"/>
        <v>2.169931671</v>
      </c>
      <c r="AT178" s="381">
        <f t="shared" si="51"/>
        <v>1.429763053</v>
      </c>
      <c r="AU178" s="381">
        <f t="shared" si="51"/>
        <v>6.745308848</v>
      </c>
      <c r="AV178" s="381">
        <f t="shared" si="51"/>
        <v>10.43258879</v>
      </c>
      <c r="AW178" s="345"/>
    </row>
    <row r="179">
      <c r="A179" s="122"/>
      <c r="B179" s="123"/>
      <c r="C179" s="123"/>
      <c r="D179" s="123"/>
      <c r="E179" s="124"/>
      <c r="F179" s="125"/>
      <c r="G179" s="126"/>
      <c r="H179" s="127"/>
      <c r="I179" s="128"/>
      <c r="J179" s="128"/>
      <c r="K179" s="128"/>
      <c r="L179" s="128"/>
      <c r="M179" s="128"/>
      <c r="N179" s="128"/>
      <c r="O179" s="128"/>
      <c r="P179" s="128"/>
      <c r="Q179" s="129"/>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30"/>
    </row>
    <row r="180">
      <c r="A180" s="122"/>
      <c r="B180" s="123"/>
      <c r="C180" s="342" t="s">
        <v>287</v>
      </c>
      <c r="F180" s="141"/>
      <c r="G180" s="126"/>
      <c r="H180" s="127"/>
      <c r="I180" s="128"/>
      <c r="J180" s="128"/>
      <c r="K180" s="128"/>
      <c r="L180" s="128"/>
      <c r="M180" s="128"/>
      <c r="N180" s="128"/>
      <c r="O180" s="128"/>
      <c r="P180" s="128"/>
      <c r="Q180" s="129"/>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30"/>
    </row>
    <row r="181">
      <c r="A181" s="122"/>
      <c r="B181" s="123"/>
      <c r="C181" s="342"/>
      <c r="D181" s="123"/>
      <c r="E181" s="192" t="s">
        <v>288</v>
      </c>
      <c r="F181" s="193" t="s">
        <v>72</v>
      </c>
      <c r="G181" s="235" t="s">
        <v>161</v>
      </c>
      <c r="H181" s="236" t="s">
        <v>162</v>
      </c>
      <c r="I181" s="383">
        <f t="shared" ref="I181:AV181" si="52">I166/I$175</f>
        <v>0.6308956387</v>
      </c>
      <c r="J181" s="383">
        <f t="shared" si="52"/>
        <v>0.6080877007</v>
      </c>
      <c r="K181" s="383">
        <f t="shared" si="52"/>
        <v>0.6350133914</v>
      </c>
      <c r="L181" s="383">
        <f t="shared" si="52"/>
        <v>0.6045317413</v>
      </c>
      <c r="M181" s="383">
        <f t="shared" si="52"/>
        <v>0.6236127563</v>
      </c>
      <c r="N181" s="383">
        <f t="shared" si="52"/>
        <v>0.6185357107</v>
      </c>
      <c r="O181" s="383">
        <f t="shared" si="52"/>
        <v>0.635590593</v>
      </c>
      <c r="P181" s="383">
        <f t="shared" si="52"/>
        <v>0.6380087501</v>
      </c>
      <c r="Q181" s="384">
        <f t="shared" si="52"/>
        <v>0.6498250149</v>
      </c>
      <c r="R181" s="383">
        <f t="shared" si="52"/>
        <v>0.348705909</v>
      </c>
      <c r="S181" s="383">
        <f t="shared" si="52"/>
        <v>0.5363746603</v>
      </c>
      <c r="T181" s="383">
        <f t="shared" si="52"/>
        <v>0.3263036534</v>
      </c>
      <c r="U181" s="383">
        <f t="shared" si="52"/>
        <v>0.3646047282</v>
      </c>
      <c r="V181" s="383">
        <f t="shared" si="52"/>
        <v>0.4623582885</v>
      </c>
      <c r="W181" s="383">
        <f t="shared" si="52"/>
        <v>0.4690092999</v>
      </c>
      <c r="X181" s="383">
        <f t="shared" si="52"/>
        <v>0.5297366478</v>
      </c>
      <c r="Y181" s="383">
        <f t="shared" si="52"/>
        <v>0.2701419909</v>
      </c>
      <c r="Z181" s="383">
        <f t="shared" si="52"/>
        <v>0.4066926937</v>
      </c>
      <c r="AA181" s="383">
        <f t="shared" si="52"/>
        <v>0.09004712592</v>
      </c>
      <c r="AB181" s="383">
        <f t="shared" si="52"/>
        <v>0.3085370883</v>
      </c>
      <c r="AC181" s="383">
        <f t="shared" si="52"/>
        <v>0.1887758688</v>
      </c>
      <c r="AD181" s="383">
        <f t="shared" si="52"/>
        <v>0.1038721776</v>
      </c>
      <c r="AE181" s="383">
        <f t="shared" si="52"/>
        <v>0.2775055891</v>
      </c>
      <c r="AF181" s="383">
        <f t="shared" si="52"/>
        <v>0.169082683</v>
      </c>
      <c r="AG181" s="383">
        <f t="shared" si="52"/>
        <v>0.5707121263</v>
      </c>
      <c r="AH181" s="383">
        <f t="shared" si="52"/>
        <v>0.4212197557</v>
      </c>
      <c r="AI181" s="383">
        <f t="shared" si="52"/>
        <v>0.3765699946</v>
      </c>
      <c r="AJ181" s="383">
        <f t="shared" si="52"/>
        <v>0.1560720844</v>
      </c>
      <c r="AK181" s="383">
        <f t="shared" si="52"/>
        <v>0.486330727</v>
      </c>
      <c r="AL181" s="383">
        <f t="shared" si="52"/>
        <v>0.5706003009</v>
      </c>
      <c r="AM181" s="383">
        <f t="shared" si="52"/>
        <v>0.580231473</v>
      </c>
      <c r="AN181" s="383">
        <f t="shared" si="52"/>
        <v>0.544277418</v>
      </c>
      <c r="AO181" s="383">
        <f t="shared" si="52"/>
        <v>0.4249198571</v>
      </c>
      <c r="AP181" s="383">
        <f t="shared" si="52"/>
        <v>0.4076164415</v>
      </c>
      <c r="AQ181" s="383">
        <f t="shared" si="52"/>
        <v>0.1839077382</v>
      </c>
      <c r="AR181" s="383">
        <f t="shared" si="52"/>
        <v>0.365632626</v>
      </c>
      <c r="AS181" s="383">
        <f t="shared" si="52"/>
        <v>0.3963100312</v>
      </c>
      <c r="AT181" s="383">
        <f t="shared" si="52"/>
        <v>0.3124877631</v>
      </c>
      <c r="AU181" s="383">
        <f t="shared" si="52"/>
        <v>0.5954533</v>
      </c>
      <c r="AV181" s="383">
        <f t="shared" si="52"/>
        <v>0.5982335061</v>
      </c>
      <c r="AW181" s="198"/>
    </row>
    <row r="182">
      <c r="A182" s="122"/>
      <c r="B182" s="123"/>
      <c r="C182" s="342"/>
      <c r="D182" s="123"/>
      <c r="E182" s="212" t="s">
        <v>289</v>
      </c>
      <c r="F182" s="193" t="s">
        <v>72</v>
      </c>
      <c r="G182" s="235" t="s">
        <v>161</v>
      </c>
      <c r="H182" s="236" t="s">
        <v>162</v>
      </c>
      <c r="I182" s="241">
        <f t="shared" ref="I182:AV182" si="53">I167/I$175</f>
        <v>0.0514100003</v>
      </c>
      <c r="J182" s="241">
        <f t="shared" si="53"/>
        <v>0.04736209718</v>
      </c>
      <c r="K182" s="241">
        <f t="shared" si="53"/>
        <v>0.04868260431</v>
      </c>
      <c r="L182" s="241">
        <f t="shared" si="53"/>
        <v>0.0473724209</v>
      </c>
      <c r="M182" s="241">
        <f t="shared" si="53"/>
        <v>0.0495291205</v>
      </c>
      <c r="N182" s="241">
        <f t="shared" si="53"/>
        <v>0.05375837991</v>
      </c>
      <c r="O182" s="241">
        <f t="shared" si="53"/>
        <v>0.05424052626</v>
      </c>
      <c r="P182" s="241">
        <f t="shared" si="53"/>
        <v>0.05616868588</v>
      </c>
      <c r="Q182" s="242">
        <f t="shared" si="53"/>
        <v>0.05071368718</v>
      </c>
      <c r="R182" s="241">
        <f t="shared" si="53"/>
        <v>0.02536201178</v>
      </c>
      <c r="S182" s="241">
        <f t="shared" si="53"/>
        <v>0.03853331745</v>
      </c>
      <c r="T182" s="241">
        <f t="shared" si="53"/>
        <v>0.02822190603</v>
      </c>
      <c r="U182" s="241">
        <f t="shared" si="53"/>
        <v>0.03412451956</v>
      </c>
      <c r="V182" s="241">
        <f t="shared" si="53"/>
        <v>0.03606927971</v>
      </c>
      <c r="W182" s="241">
        <f t="shared" si="53"/>
        <v>0.04434702464</v>
      </c>
      <c r="X182" s="241">
        <f t="shared" si="53"/>
        <v>0.0574853401</v>
      </c>
      <c r="Y182" s="241">
        <f t="shared" si="53"/>
        <v>0.02400038945</v>
      </c>
      <c r="Z182" s="241">
        <f t="shared" si="53"/>
        <v>0.03661452208</v>
      </c>
      <c r="AA182" s="241">
        <f t="shared" si="53"/>
        <v>0.006893716085</v>
      </c>
      <c r="AB182" s="241">
        <f t="shared" si="53"/>
        <v>0.02025372073</v>
      </c>
      <c r="AC182" s="241">
        <f t="shared" si="53"/>
        <v>0.01404943621</v>
      </c>
      <c r="AD182" s="241">
        <f t="shared" si="53"/>
        <v>0.009623730546</v>
      </c>
      <c r="AE182" s="241">
        <f t="shared" si="53"/>
        <v>0.02394837072</v>
      </c>
      <c r="AF182" s="241">
        <f t="shared" si="53"/>
        <v>0.0155664585</v>
      </c>
      <c r="AG182" s="241">
        <f t="shared" si="53"/>
        <v>0.04472224237</v>
      </c>
      <c r="AH182" s="241">
        <f t="shared" si="53"/>
        <v>0.04063155368</v>
      </c>
      <c r="AI182" s="241">
        <f t="shared" si="53"/>
        <v>0.04702087967</v>
      </c>
      <c r="AJ182" s="241">
        <f t="shared" si="53"/>
        <v>0.0177424936</v>
      </c>
      <c r="AK182" s="241">
        <f t="shared" si="53"/>
        <v>0.04835841642</v>
      </c>
      <c r="AL182" s="241">
        <f t="shared" si="53"/>
        <v>0.05191374231</v>
      </c>
      <c r="AM182" s="241">
        <f t="shared" si="53"/>
        <v>0.05278999524</v>
      </c>
      <c r="AN182" s="241">
        <f t="shared" si="53"/>
        <v>0.04951886211</v>
      </c>
      <c r="AO182" s="241">
        <f t="shared" si="53"/>
        <v>0.04678142374</v>
      </c>
      <c r="AP182" s="241">
        <f t="shared" si="53"/>
        <v>0.04170975508</v>
      </c>
      <c r="AQ182" s="241">
        <f t="shared" si="53"/>
        <v>0.01859926164</v>
      </c>
      <c r="AR182" s="241">
        <f t="shared" si="53"/>
        <v>0.03657102667</v>
      </c>
      <c r="AS182" s="241">
        <f t="shared" si="53"/>
        <v>0.04517537451</v>
      </c>
      <c r="AT182" s="241">
        <f t="shared" si="53"/>
        <v>0.02347981436</v>
      </c>
      <c r="AU182" s="241">
        <f t="shared" si="53"/>
        <v>0.04403739103</v>
      </c>
      <c r="AV182" s="241">
        <f t="shared" si="53"/>
        <v>0.0534781112</v>
      </c>
      <c r="AW182" s="219"/>
    </row>
    <row r="183">
      <c r="A183" s="122"/>
      <c r="B183" s="123"/>
      <c r="C183" s="342"/>
      <c r="D183" s="123"/>
      <c r="E183" s="212" t="s">
        <v>290</v>
      </c>
      <c r="F183" s="193" t="s">
        <v>72</v>
      </c>
      <c r="G183" s="235" t="s">
        <v>161</v>
      </c>
      <c r="H183" s="236" t="s">
        <v>162</v>
      </c>
      <c r="I183" s="241">
        <f t="shared" ref="I183:AV183" si="54">I168/I$175</f>
        <v>0.03802032792</v>
      </c>
      <c r="J183" s="241">
        <f t="shared" si="54"/>
        <v>0.03033216319</v>
      </c>
      <c r="K183" s="241">
        <f t="shared" si="54"/>
        <v>0.03614859783</v>
      </c>
      <c r="L183" s="241">
        <f t="shared" si="54"/>
        <v>0.03252058019</v>
      </c>
      <c r="M183" s="241">
        <f t="shared" si="54"/>
        <v>0.03094857091</v>
      </c>
      <c r="N183" s="241">
        <f t="shared" si="54"/>
        <v>0.04262288534</v>
      </c>
      <c r="O183" s="241">
        <f t="shared" si="54"/>
        <v>0.03977247574</v>
      </c>
      <c r="P183" s="241">
        <f t="shared" si="54"/>
        <v>0.04548160006</v>
      </c>
      <c r="Q183" s="242">
        <f t="shared" si="54"/>
        <v>0.03252142486</v>
      </c>
      <c r="R183" s="241">
        <f t="shared" si="54"/>
        <v>0.02467847483</v>
      </c>
      <c r="S183" s="241">
        <f t="shared" si="54"/>
        <v>0.02838975235</v>
      </c>
      <c r="T183" s="241">
        <f t="shared" si="54"/>
        <v>0.03472190216</v>
      </c>
      <c r="U183" s="241">
        <f t="shared" si="54"/>
        <v>0.0363103571</v>
      </c>
      <c r="V183" s="241">
        <f t="shared" si="54"/>
        <v>0.03849231527</v>
      </c>
      <c r="W183" s="241">
        <f t="shared" si="54"/>
        <v>0.04511923085</v>
      </c>
      <c r="X183" s="241">
        <f t="shared" si="54"/>
        <v>0.05234417926</v>
      </c>
      <c r="Y183" s="241">
        <f t="shared" si="54"/>
        <v>0.03216857181</v>
      </c>
      <c r="Z183" s="241">
        <f t="shared" si="54"/>
        <v>0.03763838114</v>
      </c>
      <c r="AA183" s="241">
        <f t="shared" si="54"/>
        <v>0.006419737775</v>
      </c>
      <c r="AB183" s="241">
        <f t="shared" si="54"/>
        <v>0.02499586442</v>
      </c>
      <c r="AC183" s="241">
        <f t="shared" si="54"/>
        <v>0.01698145693</v>
      </c>
      <c r="AD183" s="241">
        <f t="shared" si="54"/>
        <v>0.01284965052</v>
      </c>
      <c r="AE183" s="241">
        <f t="shared" si="54"/>
        <v>0.0223388946</v>
      </c>
      <c r="AF183" s="241">
        <f t="shared" si="54"/>
        <v>0.01983919144</v>
      </c>
      <c r="AG183" s="241">
        <f t="shared" si="54"/>
        <v>0.03070126546</v>
      </c>
      <c r="AH183" s="241">
        <f t="shared" si="54"/>
        <v>0.0343948383</v>
      </c>
      <c r="AI183" s="241">
        <f t="shared" si="54"/>
        <v>0.06747561823</v>
      </c>
      <c r="AJ183" s="241">
        <f t="shared" si="54"/>
        <v>0.01906360414</v>
      </c>
      <c r="AK183" s="241">
        <f t="shared" si="54"/>
        <v>0.05053122672</v>
      </c>
      <c r="AL183" s="241">
        <f t="shared" si="54"/>
        <v>0.05093152039</v>
      </c>
      <c r="AM183" s="241">
        <f t="shared" si="54"/>
        <v>0.05179119438</v>
      </c>
      <c r="AN183" s="241">
        <f t="shared" si="54"/>
        <v>0.04858195196</v>
      </c>
      <c r="AO183" s="241">
        <f t="shared" si="54"/>
        <v>0.06035833613</v>
      </c>
      <c r="AP183" s="241">
        <f t="shared" si="54"/>
        <v>0.04775858295</v>
      </c>
      <c r="AQ183" s="241">
        <f t="shared" si="54"/>
        <v>0.02451372252</v>
      </c>
      <c r="AR183" s="241">
        <f t="shared" si="54"/>
        <v>0.04748281076</v>
      </c>
      <c r="AS183" s="241">
        <f t="shared" si="54"/>
        <v>0.05439614455</v>
      </c>
      <c r="AT183" s="241">
        <f t="shared" si="54"/>
        <v>0.02559409068</v>
      </c>
      <c r="AU183" s="241">
        <f t="shared" si="54"/>
        <v>0.03661978173</v>
      </c>
      <c r="AV183" s="241">
        <f t="shared" si="54"/>
        <v>0.0473322004</v>
      </c>
      <c r="AW183" s="219"/>
    </row>
    <row r="184">
      <c r="A184" s="122"/>
      <c r="B184" s="123"/>
      <c r="C184" s="342"/>
      <c r="D184" s="123"/>
      <c r="E184" s="212" t="s">
        <v>291</v>
      </c>
      <c r="F184" s="193" t="s">
        <v>72</v>
      </c>
      <c r="G184" s="235" t="s">
        <v>161</v>
      </c>
      <c r="H184" s="236" t="s">
        <v>162</v>
      </c>
      <c r="I184" s="241">
        <f t="shared" ref="I184:AV184" si="55">I169/I$175</f>
        <v>0.02590140361</v>
      </c>
      <c r="J184" s="241">
        <f t="shared" si="55"/>
        <v>0.0246606272</v>
      </c>
      <c r="K184" s="241">
        <f t="shared" si="55"/>
        <v>0.02096946964</v>
      </c>
      <c r="L184" s="241">
        <f t="shared" si="55"/>
        <v>0.01972968282</v>
      </c>
      <c r="M184" s="241">
        <f t="shared" si="55"/>
        <v>0.01984919393</v>
      </c>
      <c r="N184" s="241">
        <f t="shared" si="55"/>
        <v>0.02629234925</v>
      </c>
      <c r="O184" s="241">
        <f t="shared" si="55"/>
        <v>0.02829582983</v>
      </c>
      <c r="P184" s="241">
        <f t="shared" si="55"/>
        <v>0.02434417781</v>
      </c>
      <c r="Q184" s="242">
        <f t="shared" si="55"/>
        <v>0.02333956456</v>
      </c>
      <c r="R184" s="241">
        <f t="shared" si="55"/>
        <v>0.01697499276</v>
      </c>
      <c r="S184" s="241">
        <f t="shared" si="55"/>
        <v>0.0197849496</v>
      </c>
      <c r="T184" s="241">
        <f t="shared" si="55"/>
        <v>0.02413865713</v>
      </c>
      <c r="U184" s="241">
        <f t="shared" si="55"/>
        <v>0.02335508185</v>
      </c>
      <c r="V184" s="241">
        <f t="shared" si="55"/>
        <v>0.02568597814</v>
      </c>
      <c r="W184" s="241">
        <f t="shared" si="55"/>
        <v>0.02916067079</v>
      </c>
      <c r="X184" s="241">
        <f t="shared" si="55"/>
        <v>0.0398140819</v>
      </c>
      <c r="Y184" s="241">
        <f t="shared" si="55"/>
        <v>0.02291434552</v>
      </c>
      <c r="Z184" s="241">
        <f t="shared" si="55"/>
        <v>0.02148976375</v>
      </c>
      <c r="AA184" s="241">
        <f t="shared" si="55"/>
        <v>0.004155719362</v>
      </c>
      <c r="AB184" s="241">
        <f t="shared" si="55"/>
        <v>0.01369354261</v>
      </c>
      <c r="AC184" s="241">
        <f t="shared" si="55"/>
        <v>0.01139254391</v>
      </c>
      <c r="AD184" s="241">
        <f t="shared" si="55"/>
        <v>0.009071127377</v>
      </c>
      <c r="AE184" s="241">
        <f t="shared" si="55"/>
        <v>0.01151595571</v>
      </c>
      <c r="AF184" s="241">
        <f t="shared" si="55"/>
        <v>0.01316214537</v>
      </c>
      <c r="AG184" s="241">
        <f t="shared" si="55"/>
        <v>0.01862593552</v>
      </c>
      <c r="AH184" s="241">
        <f t="shared" si="55"/>
        <v>0.02499548379</v>
      </c>
      <c r="AI184" s="241">
        <f t="shared" si="55"/>
        <v>0.04018760728</v>
      </c>
      <c r="AJ184" s="241">
        <f t="shared" si="55"/>
        <v>0.01136112208</v>
      </c>
      <c r="AK184" s="241">
        <f t="shared" si="55"/>
        <v>0.02484725303</v>
      </c>
      <c r="AL184" s="241">
        <f t="shared" si="55"/>
        <v>0.03113764604</v>
      </c>
      <c r="AM184" s="241">
        <f t="shared" si="55"/>
        <v>0.03166321889</v>
      </c>
      <c r="AN184" s="241">
        <f t="shared" si="55"/>
        <v>0.02970120689</v>
      </c>
      <c r="AO184" s="241">
        <f t="shared" si="55"/>
        <v>0.0398714609</v>
      </c>
      <c r="AP184" s="241">
        <f t="shared" si="55"/>
        <v>0.03324090292</v>
      </c>
      <c r="AQ184" s="241">
        <f t="shared" si="55"/>
        <v>0.02047498596</v>
      </c>
      <c r="AR184" s="241">
        <f t="shared" si="55"/>
        <v>0.03035607689</v>
      </c>
      <c r="AS184" s="241">
        <f t="shared" si="55"/>
        <v>0.02658827886</v>
      </c>
      <c r="AT184" s="241">
        <f t="shared" si="55"/>
        <v>0.01607942134</v>
      </c>
      <c r="AU184" s="241">
        <f t="shared" si="55"/>
        <v>0.01781175742</v>
      </c>
      <c r="AV184" s="241">
        <f t="shared" si="55"/>
        <v>0.03004420519</v>
      </c>
      <c r="AW184" s="219"/>
    </row>
    <row r="185">
      <c r="A185" s="122"/>
      <c r="B185" s="123"/>
      <c r="C185" s="342"/>
      <c r="D185" s="123"/>
      <c r="E185" s="212" t="s">
        <v>292</v>
      </c>
      <c r="F185" s="213" t="s">
        <v>72</v>
      </c>
      <c r="G185" s="239" t="s">
        <v>161</v>
      </c>
      <c r="H185" s="240" t="s">
        <v>162</v>
      </c>
      <c r="I185" s="241">
        <f t="shared" ref="I185:AV185" si="56">I170/I$175</f>
        <v>0.2091062092</v>
      </c>
      <c r="J185" s="241">
        <f t="shared" si="56"/>
        <v>0.2008756995</v>
      </c>
      <c r="K185" s="241">
        <f t="shared" si="56"/>
        <v>0.2095323118</v>
      </c>
      <c r="L185" s="241">
        <f t="shared" si="56"/>
        <v>0.1997890686</v>
      </c>
      <c r="M185" s="241">
        <f t="shared" si="56"/>
        <v>0.206297791</v>
      </c>
      <c r="N185" s="241">
        <f t="shared" si="56"/>
        <v>0.2060379699</v>
      </c>
      <c r="O185" s="241">
        <f t="shared" si="56"/>
        <v>0.2114125431</v>
      </c>
      <c r="P185" s="241">
        <f t="shared" si="56"/>
        <v>0.2127445588</v>
      </c>
      <c r="Q185" s="242">
        <f t="shared" si="56"/>
        <v>0.214694096</v>
      </c>
      <c r="R185" s="241">
        <f t="shared" si="56"/>
        <v>0.1146405957</v>
      </c>
      <c r="S185" s="241">
        <f t="shared" si="56"/>
        <v>0.1761920479</v>
      </c>
      <c r="T185" s="241">
        <f t="shared" si="56"/>
        <v>0.1086514482</v>
      </c>
      <c r="U185" s="241">
        <f t="shared" si="56"/>
        <v>0.1221985525</v>
      </c>
      <c r="V185" s="241">
        <f t="shared" si="56"/>
        <v>0.1527530968</v>
      </c>
      <c r="W185" s="241">
        <f t="shared" si="56"/>
        <v>0.1573283128</v>
      </c>
      <c r="X185" s="241">
        <f t="shared" si="56"/>
        <v>0.1799659226</v>
      </c>
      <c r="Y185" s="241">
        <f t="shared" si="56"/>
        <v>0.09014581531</v>
      </c>
      <c r="Z185" s="241">
        <f t="shared" si="56"/>
        <v>0.1358603624</v>
      </c>
      <c r="AA185" s="241">
        <f t="shared" si="56"/>
        <v>0.02970945985</v>
      </c>
      <c r="AB185" s="241">
        <f t="shared" si="56"/>
        <v>0.1007645192</v>
      </c>
      <c r="AC185" s="241">
        <f t="shared" si="56"/>
        <v>0.06215987122</v>
      </c>
      <c r="AD185" s="241">
        <f t="shared" si="56"/>
        <v>0.03478309097</v>
      </c>
      <c r="AE185" s="241">
        <f t="shared" si="56"/>
        <v>0.09238659507</v>
      </c>
      <c r="AF185" s="241">
        <f t="shared" si="56"/>
        <v>0.0565894224</v>
      </c>
      <c r="AG185" s="241">
        <f t="shared" si="56"/>
        <v>0.188612171</v>
      </c>
      <c r="AH185" s="241">
        <f t="shared" si="56"/>
        <v>0.1415435708</v>
      </c>
      <c r="AI185" s="241">
        <f t="shared" si="56"/>
        <v>0.1298178952</v>
      </c>
      <c r="AJ185" s="241">
        <f t="shared" si="56"/>
        <v>0.05326895372</v>
      </c>
      <c r="AK185" s="241">
        <f t="shared" si="56"/>
        <v>0.1638661818</v>
      </c>
      <c r="AL185" s="241">
        <f t="shared" si="56"/>
        <v>0.1907818788</v>
      </c>
      <c r="AM185" s="241">
        <f t="shared" si="56"/>
        <v>0.1940020894</v>
      </c>
      <c r="AN185" s="241">
        <f t="shared" si="56"/>
        <v>0.1819807459</v>
      </c>
      <c r="AO185" s="241">
        <f t="shared" si="56"/>
        <v>0.1445622915</v>
      </c>
      <c r="AP185" s="241">
        <f t="shared" si="56"/>
        <v>0.1377049995</v>
      </c>
      <c r="AQ185" s="241">
        <f t="shared" si="56"/>
        <v>0.06206232024</v>
      </c>
      <c r="AR185" s="241">
        <f t="shared" si="56"/>
        <v>0.1232633534</v>
      </c>
      <c r="AS185" s="241">
        <f t="shared" si="56"/>
        <v>0.1353020323</v>
      </c>
      <c r="AT185" s="241">
        <f t="shared" si="56"/>
        <v>0.1029639835</v>
      </c>
      <c r="AU185" s="241">
        <f t="shared" si="56"/>
        <v>0.1959847121</v>
      </c>
      <c r="AV185" s="241">
        <f t="shared" si="56"/>
        <v>0.1997300594</v>
      </c>
      <c r="AW185" s="219"/>
    </row>
    <row r="186">
      <c r="A186" s="122"/>
      <c r="B186" s="123"/>
      <c r="C186" s="342"/>
      <c r="D186" s="123"/>
      <c r="E186" s="199" t="s">
        <v>293</v>
      </c>
      <c r="F186" s="200" t="s">
        <v>72</v>
      </c>
      <c r="G186" s="273" t="s">
        <v>161</v>
      </c>
      <c r="H186" s="228" t="s">
        <v>162</v>
      </c>
      <c r="I186" s="385">
        <f t="shared" ref="I186:AV186" si="57">I171/I$175</f>
        <v>0.04466642035</v>
      </c>
      <c r="J186" s="385">
        <f t="shared" si="57"/>
        <v>0.08868171223</v>
      </c>
      <c r="K186" s="385">
        <f t="shared" si="57"/>
        <v>0.04965362504</v>
      </c>
      <c r="L186" s="385">
        <f t="shared" si="57"/>
        <v>0.09605650616</v>
      </c>
      <c r="M186" s="385">
        <f t="shared" si="57"/>
        <v>0.06976256736</v>
      </c>
      <c r="N186" s="385">
        <f t="shared" si="57"/>
        <v>0.05275270488</v>
      </c>
      <c r="O186" s="385">
        <f t="shared" si="57"/>
        <v>0.03068803208</v>
      </c>
      <c r="P186" s="385">
        <f t="shared" si="57"/>
        <v>0.02325222736</v>
      </c>
      <c r="Q186" s="386">
        <f t="shared" si="57"/>
        <v>0.02890621245</v>
      </c>
      <c r="R186" s="385">
        <f t="shared" si="57"/>
        <v>0.469638016</v>
      </c>
      <c r="S186" s="385">
        <f t="shared" si="57"/>
        <v>0.2007252724</v>
      </c>
      <c r="T186" s="385">
        <f t="shared" si="57"/>
        <v>0.4779624331</v>
      </c>
      <c r="U186" s="385">
        <f t="shared" si="57"/>
        <v>0.4194067608</v>
      </c>
      <c r="V186" s="385">
        <f t="shared" si="57"/>
        <v>0.2846410416</v>
      </c>
      <c r="W186" s="385">
        <f t="shared" si="57"/>
        <v>0.2550354611</v>
      </c>
      <c r="X186" s="385">
        <f t="shared" si="57"/>
        <v>0.1406538284</v>
      </c>
      <c r="Y186" s="385">
        <f t="shared" si="57"/>
        <v>0.560628887</v>
      </c>
      <c r="Z186" s="385">
        <f t="shared" si="57"/>
        <v>0.361704277</v>
      </c>
      <c r="AA186" s="385">
        <f t="shared" si="57"/>
        <v>0.862774241</v>
      </c>
      <c r="AB186" s="385">
        <f t="shared" si="57"/>
        <v>0.5317552647</v>
      </c>
      <c r="AC186" s="385">
        <f t="shared" si="57"/>
        <v>0.706640823</v>
      </c>
      <c r="AD186" s="385">
        <f t="shared" si="57"/>
        <v>0.829800223</v>
      </c>
      <c r="AE186" s="385">
        <f t="shared" si="57"/>
        <v>0.5723045948</v>
      </c>
      <c r="AF186" s="385">
        <f t="shared" si="57"/>
        <v>0.7257600993</v>
      </c>
      <c r="AG186" s="385">
        <f t="shared" si="57"/>
        <v>0.1466262595</v>
      </c>
      <c r="AH186" s="385">
        <f t="shared" si="57"/>
        <v>0.3372147977</v>
      </c>
      <c r="AI186" s="385">
        <f t="shared" si="57"/>
        <v>0.3389280049</v>
      </c>
      <c r="AJ186" s="385">
        <f t="shared" si="57"/>
        <v>0.7424917421</v>
      </c>
      <c r="AK186" s="385">
        <f t="shared" si="57"/>
        <v>0.2260661951</v>
      </c>
      <c r="AL186" s="385">
        <f t="shared" si="57"/>
        <v>0.1046349116</v>
      </c>
      <c r="AM186" s="385">
        <f t="shared" si="57"/>
        <v>0.08952202914</v>
      </c>
      <c r="AN186" s="385">
        <f t="shared" si="57"/>
        <v>0.1459398151</v>
      </c>
      <c r="AO186" s="385">
        <f t="shared" si="57"/>
        <v>0.2835066306</v>
      </c>
      <c r="AP186" s="385">
        <f t="shared" si="57"/>
        <v>0.3319693181</v>
      </c>
      <c r="AQ186" s="385">
        <f t="shared" si="57"/>
        <v>0.6904419714</v>
      </c>
      <c r="AR186" s="385">
        <f t="shared" si="57"/>
        <v>0.3966941062</v>
      </c>
      <c r="AS186" s="385">
        <f t="shared" si="57"/>
        <v>0.3422281386</v>
      </c>
      <c r="AT186" s="385">
        <f t="shared" si="57"/>
        <v>0.5193949271</v>
      </c>
      <c r="AU186" s="385">
        <f t="shared" si="57"/>
        <v>0.1100930578</v>
      </c>
      <c r="AV186" s="385">
        <f t="shared" si="57"/>
        <v>0.0711819177</v>
      </c>
      <c r="AW186" s="205"/>
    </row>
    <row r="187">
      <c r="A187" s="122"/>
      <c r="B187" s="123"/>
      <c r="C187" s="342"/>
      <c r="D187" s="123"/>
      <c r="E187" s="124"/>
      <c r="F187" s="125"/>
      <c r="G187" s="126"/>
      <c r="H187" s="127"/>
      <c r="I187" s="128"/>
      <c r="J187" s="128"/>
      <c r="K187" s="128"/>
      <c r="L187" s="128"/>
      <c r="M187" s="128"/>
      <c r="N187" s="128"/>
      <c r="O187" s="128"/>
      <c r="P187" s="128"/>
      <c r="Q187" s="129"/>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30"/>
    </row>
    <row r="188">
      <c r="A188" s="122"/>
      <c r="B188" s="123"/>
      <c r="C188" s="342" t="s">
        <v>294</v>
      </c>
      <c r="F188" s="125"/>
      <c r="G188" s="126"/>
      <c r="H188" s="127"/>
      <c r="I188" s="128"/>
      <c r="J188" s="128"/>
      <c r="K188" s="128"/>
      <c r="L188" s="128"/>
      <c r="M188" s="128"/>
      <c r="N188" s="128"/>
      <c r="O188" s="128"/>
      <c r="P188" s="128"/>
      <c r="Q188" s="129"/>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30"/>
    </row>
    <row r="189">
      <c r="A189" s="122"/>
      <c r="B189" s="123"/>
      <c r="C189" s="123"/>
      <c r="D189" s="123"/>
      <c r="E189" s="192" t="s">
        <v>160</v>
      </c>
      <c r="F189" s="387" t="s">
        <v>68</v>
      </c>
      <c r="G189" s="388" t="s">
        <v>155</v>
      </c>
      <c r="H189" s="389" t="str">
        <f t="shared" ref="H189:AV189" si="58">H11</f>
        <v>-</v>
      </c>
      <c r="I189" s="371">
        <f t="shared" si="58"/>
        <v>1000000</v>
      </c>
      <c r="J189" s="371">
        <f t="shared" si="58"/>
        <v>1000000</v>
      </c>
      <c r="K189" s="371">
        <f t="shared" si="58"/>
        <v>1000000</v>
      </c>
      <c r="L189" s="371">
        <f t="shared" si="58"/>
        <v>1000000</v>
      </c>
      <c r="M189" s="371">
        <f t="shared" si="58"/>
        <v>1000000</v>
      </c>
      <c r="N189" s="371">
        <f t="shared" si="58"/>
        <v>1000000</v>
      </c>
      <c r="O189" s="371">
        <f t="shared" si="58"/>
        <v>1000000</v>
      </c>
      <c r="P189" s="371">
        <f t="shared" si="58"/>
        <v>1000000</v>
      </c>
      <c r="Q189" s="372">
        <f t="shared" si="58"/>
        <v>1000000</v>
      </c>
      <c r="R189" s="371">
        <f t="shared" si="58"/>
        <v>1000000</v>
      </c>
      <c r="S189" s="371">
        <f t="shared" si="58"/>
        <v>1000000</v>
      </c>
      <c r="T189" s="371">
        <f t="shared" si="58"/>
        <v>1000000</v>
      </c>
      <c r="U189" s="371">
        <f t="shared" si="58"/>
        <v>1000000</v>
      </c>
      <c r="V189" s="371">
        <f t="shared" si="58"/>
        <v>1000000</v>
      </c>
      <c r="W189" s="371">
        <f t="shared" si="58"/>
        <v>1000000</v>
      </c>
      <c r="X189" s="371">
        <f t="shared" si="58"/>
        <v>1000000</v>
      </c>
      <c r="Y189" s="371">
        <f t="shared" si="58"/>
        <v>1000000</v>
      </c>
      <c r="Z189" s="371">
        <f t="shared" si="58"/>
        <v>1000000</v>
      </c>
      <c r="AA189" s="371">
        <f t="shared" si="58"/>
        <v>1000000</v>
      </c>
      <c r="AB189" s="371">
        <f t="shared" si="58"/>
        <v>1000000</v>
      </c>
      <c r="AC189" s="371">
        <f t="shared" si="58"/>
        <v>1000000</v>
      </c>
      <c r="AD189" s="371">
        <f t="shared" si="58"/>
        <v>1000000</v>
      </c>
      <c r="AE189" s="371">
        <f t="shared" si="58"/>
        <v>1000000</v>
      </c>
      <c r="AF189" s="371">
        <f t="shared" si="58"/>
        <v>1000000</v>
      </c>
      <c r="AG189" s="371">
        <f t="shared" si="58"/>
        <v>1000000</v>
      </c>
      <c r="AH189" s="371">
        <f t="shared" si="58"/>
        <v>1000000</v>
      </c>
      <c r="AI189" s="371">
        <f t="shared" si="58"/>
        <v>1000000</v>
      </c>
      <c r="AJ189" s="371">
        <f t="shared" si="58"/>
        <v>1000000</v>
      </c>
      <c r="AK189" s="371">
        <f t="shared" si="58"/>
        <v>1000000</v>
      </c>
      <c r="AL189" s="371">
        <f t="shared" si="58"/>
        <v>1000000</v>
      </c>
      <c r="AM189" s="371">
        <f t="shared" si="58"/>
        <v>1000000</v>
      </c>
      <c r="AN189" s="371">
        <f t="shared" si="58"/>
        <v>1000000</v>
      </c>
      <c r="AO189" s="371">
        <f t="shared" si="58"/>
        <v>1000000</v>
      </c>
      <c r="AP189" s="371">
        <f t="shared" si="58"/>
        <v>1000000</v>
      </c>
      <c r="AQ189" s="371">
        <f t="shared" si="58"/>
        <v>1000000</v>
      </c>
      <c r="AR189" s="371">
        <f t="shared" si="58"/>
        <v>1000000</v>
      </c>
      <c r="AS189" s="371">
        <f t="shared" si="58"/>
        <v>1000000</v>
      </c>
      <c r="AT189" s="371">
        <f t="shared" si="58"/>
        <v>1000000</v>
      </c>
      <c r="AU189" s="371">
        <f t="shared" si="58"/>
        <v>1000000</v>
      </c>
      <c r="AV189" s="371">
        <f t="shared" si="58"/>
        <v>1000000</v>
      </c>
      <c r="AW189" s="198"/>
    </row>
    <row r="190">
      <c r="A190" s="122"/>
      <c r="B190" s="123"/>
      <c r="C190" s="123"/>
      <c r="D190" s="123"/>
      <c r="E190" s="212" t="s">
        <v>295</v>
      </c>
      <c r="F190" s="213" t="s">
        <v>62</v>
      </c>
      <c r="G190" s="239" t="s">
        <v>161</v>
      </c>
      <c r="H190" s="240" t="s">
        <v>162</v>
      </c>
      <c r="I190" s="361">
        <f t="shared" ref="I190:AV190" si="59">SUM(I150:I153)</f>
        <v>375.8530454</v>
      </c>
      <c r="J190" s="361">
        <f t="shared" si="59"/>
        <v>180.1063445</v>
      </c>
      <c r="K190" s="361">
        <f t="shared" si="59"/>
        <v>332.1630269</v>
      </c>
      <c r="L190" s="361">
        <f t="shared" si="59"/>
        <v>163.0458619</v>
      </c>
      <c r="M190" s="361">
        <f t="shared" si="59"/>
        <v>230.4506308</v>
      </c>
      <c r="N190" s="361">
        <f t="shared" si="59"/>
        <v>316.5938966</v>
      </c>
      <c r="O190" s="361">
        <f t="shared" si="59"/>
        <v>557.9237058</v>
      </c>
      <c r="P190" s="361">
        <f t="shared" si="59"/>
        <v>736.0464981</v>
      </c>
      <c r="Q190" s="362">
        <f t="shared" si="59"/>
        <v>584.5540557</v>
      </c>
      <c r="R190" s="361">
        <f t="shared" si="59"/>
        <v>20.15366238</v>
      </c>
      <c r="S190" s="361">
        <f t="shared" si="59"/>
        <v>69.51249107</v>
      </c>
      <c r="T190" s="361">
        <f t="shared" si="59"/>
        <v>20.29127292</v>
      </c>
      <c r="U190" s="361">
        <f t="shared" si="59"/>
        <v>25.30868778</v>
      </c>
      <c r="V190" s="361">
        <f t="shared" si="59"/>
        <v>45.38312815</v>
      </c>
      <c r="W190" s="361">
        <f t="shared" si="59"/>
        <v>53.2206431</v>
      </c>
      <c r="X190" s="361">
        <f t="shared" si="59"/>
        <v>113.0517922</v>
      </c>
      <c r="Y190" s="361">
        <f t="shared" si="59"/>
        <v>14.79309222</v>
      </c>
      <c r="Z190" s="361">
        <f t="shared" si="59"/>
        <v>31.73584159</v>
      </c>
      <c r="AA190" s="361">
        <f t="shared" si="59"/>
        <v>2.8261961</v>
      </c>
      <c r="AB190" s="361">
        <f t="shared" si="59"/>
        <v>15.66953144</v>
      </c>
      <c r="AC190" s="361">
        <f t="shared" si="59"/>
        <v>7.563487406</v>
      </c>
      <c r="AD190" s="361">
        <f t="shared" si="59"/>
        <v>3.883896987</v>
      </c>
      <c r="AE190" s="361">
        <f t="shared" si="59"/>
        <v>13.19277146</v>
      </c>
      <c r="AF190" s="361">
        <f t="shared" si="59"/>
        <v>7.061772716</v>
      </c>
      <c r="AG190" s="361">
        <f t="shared" si="59"/>
        <v>100.8376702</v>
      </c>
      <c r="AH190" s="361">
        <f t="shared" si="59"/>
        <v>35.55343014</v>
      </c>
      <c r="AI190" s="361">
        <f t="shared" si="59"/>
        <v>37.86199922</v>
      </c>
      <c r="AJ190" s="361">
        <f t="shared" si="59"/>
        <v>6.417828385</v>
      </c>
      <c r="AK190" s="361">
        <f t="shared" si="59"/>
        <v>61.45840735</v>
      </c>
      <c r="AL190" s="361">
        <f t="shared" si="59"/>
        <v>154.1366414</v>
      </c>
      <c r="AM190" s="361">
        <f t="shared" si="59"/>
        <v>183.1984823</v>
      </c>
      <c r="AN190" s="361">
        <f t="shared" si="59"/>
        <v>105.4136936</v>
      </c>
      <c r="AO190" s="361">
        <f t="shared" si="59"/>
        <v>48.21127949</v>
      </c>
      <c r="AP190" s="361">
        <f t="shared" si="59"/>
        <v>37.71190507</v>
      </c>
      <c r="AQ190" s="361">
        <f t="shared" si="59"/>
        <v>8.739767126</v>
      </c>
      <c r="AR190" s="361">
        <f t="shared" si="59"/>
        <v>28.62760996</v>
      </c>
      <c r="AS190" s="361">
        <f t="shared" si="59"/>
        <v>35.39630191</v>
      </c>
      <c r="AT190" s="361">
        <f t="shared" si="59"/>
        <v>16.61426503</v>
      </c>
      <c r="AU190" s="361">
        <f t="shared" si="59"/>
        <v>139.8173852</v>
      </c>
      <c r="AV190" s="361">
        <f t="shared" si="59"/>
        <v>233.1375204</v>
      </c>
      <c r="AW190" s="363"/>
    </row>
    <row r="191">
      <c r="A191" s="122"/>
      <c r="B191" s="123"/>
      <c r="C191" s="123"/>
      <c r="D191" s="123"/>
      <c r="E191" s="199" t="s">
        <v>294</v>
      </c>
      <c r="F191" s="200" t="s">
        <v>68</v>
      </c>
      <c r="G191" s="273" t="s">
        <v>161</v>
      </c>
      <c r="H191" s="228" t="s">
        <v>162</v>
      </c>
      <c r="I191" s="390">
        <f t="shared" ref="I191:AV191" si="60">I189/I190</f>
        <v>2660.614333</v>
      </c>
      <c r="J191" s="390">
        <f t="shared" si="60"/>
        <v>5552.275257</v>
      </c>
      <c r="K191" s="390">
        <f t="shared" si="60"/>
        <v>3010.569868</v>
      </c>
      <c r="L191" s="390">
        <f t="shared" si="60"/>
        <v>6133.243667</v>
      </c>
      <c r="M191" s="390">
        <f t="shared" si="60"/>
        <v>4339.324204</v>
      </c>
      <c r="N191" s="390">
        <f t="shared" si="60"/>
        <v>3158.620588</v>
      </c>
      <c r="O191" s="390">
        <f t="shared" si="60"/>
        <v>1792.359761</v>
      </c>
      <c r="P191" s="390">
        <f t="shared" si="60"/>
        <v>1358.60982</v>
      </c>
      <c r="Q191" s="391">
        <f t="shared" si="60"/>
        <v>1710.705777</v>
      </c>
      <c r="R191" s="390">
        <f t="shared" si="60"/>
        <v>49618.77307</v>
      </c>
      <c r="S191" s="390">
        <f t="shared" si="60"/>
        <v>14385.90366</v>
      </c>
      <c r="T191" s="390">
        <f t="shared" si="60"/>
        <v>49282.27045</v>
      </c>
      <c r="U191" s="390">
        <f t="shared" si="60"/>
        <v>39512.12362</v>
      </c>
      <c r="V191" s="390">
        <f t="shared" si="60"/>
        <v>22034.62037</v>
      </c>
      <c r="W191" s="390">
        <f t="shared" si="60"/>
        <v>18789.70155</v>
      </c>
      <c r="X191" s="390">
        <f t="shared" si="60"/>
        <v>8845.503292</v>
      </c>
      <c r="Y191" s="390">
        <f t="shared" si="60"/>
        <v>67599.1189</v>
      </c>
      <c r="Z191" s="390">
        <f t="shared" si="60"/>
        <v>31510.11443</v>
      </c>
      <c r="AA191" s="390">
        <f t="shared" si="60"/>
        <v>353832.4888</v>
      </c>
      <c r="AB191" s="390">
        <f t="shared" si="60"/>
        <v>63818.1176</v>
      </c>
      <c r="AC191" s="390">
        <f t="shared" si="60"/>
        <v>132214.1423</v>
      </c>
      <c r="AD191" s="390">
        <f t="shared" si="60"/>
        <v>257473.3582</v>
      </c>
      <c r="AE191" s="390">
        <f t="shared" si="60"/>
        <v>75799.0846</v>
      </c>
      <c r="AF191" s="390">
        <f t="shared" si="60"/>
        <v>141607.5029</v>
      </c>
      <c r="AG191" s="390">
        <f t="shared" si="60"/>
        <v>9916.928839</v>
      </c>
      <c r="AH191" s="390">
        <f t="shared" si="60"/>
        <v>28126.68134</v>
      </c>
      <c r="AI191" s="390">
        <f t="shared" si="60"/>
        <v>26411.70621</v>
      </c>
      <c r="AJ191" s="390">
        <f t="shared" si="60"/>
        <v>155815.9458</v>
      </c>
      <c r="AK191" s="390">
        <f t="shared" si="60"/>
        <v>16271.16684</v>
      </c>
      <c r="AL191" s="390">
        <f t="shared" si="60"/>
        <v>6487.750032</v>
      </c>
      <c r="AM191" s="390">
        <f t="shared" si="60"/>
        <v>5458.560504</v>
      </c>
      <c r="AN191" s="390">
        <f t="shared" si="60"/>
        <v>9486.433554</v>
      </c>
      <c r="AO191" s="390">
        <f t="shared" si="60"/>
        <v>20742.03403</v>
      </c>
      <c r="AP191" s="390">
        <f t="shared" si="60"/>
        <v>26516.82534</v>
      </c>
      <c r="AQ191" s="390">
        <f t="shared" si="60"/>
        <v>114419.5246</v>
      </c>
      <c r="AR191" s="390">
        <f t="shared" si="60"/>
        <v>34931.31286</v>
      </c>
      <c r="AS191" s="390">
        <f t="shared" si="60"/>
        <v>28251.53889</v>
      </c>
      <c r="AT191" s="390">
        <f t="shared" si="60"/>
        <v>60189.24089</v>
      </c>
      <c r="AU191" s="390">
        <f t="shared" si="60"/>
        <v>7152.186393</v>
      </c>
      <c r="AV191" s="390">
        <f t="shared" si="60"/>
        <v>4289.31387</v>
      </c>
      <c r="AW191" s="205"/>
    </row>
    <row r="192">
      <c r="A192" s="122"/>
      <c r="B192" s="123"/>
      <c r="C192" s="123"/>
      <c r="D192" s="123"/>
      <c r="E192" s="124"/>
      <c r="F192" s="125"/>
      <c r="G192" s="126"/>
      <c r="H192" s="127"/>
      <c r="I192" s="128"/>
      <c r="J192" s="128"/>
      <c r="K192" s="128"/>
      <c r="L192" s="128"/>
      <c r="M192" s="128"/>
      <c r="N192" s="128"/>
      <c r="O192" s="128"/>
      <c r="P192" s="128"/>
      <c r="Q192" s="129"/>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30"/>
    </row>
    <row r="193">
      <c r="A193" s="117" t="s">
        <v>296</v>
      </c>
      <c r="B193" s="7"/>
      <c r="C193" s="7"/>
      <c r="D193" s="7"/>
      <c r="E193" s="7"/>
      <c r="F193" s="7"/>
      <c r="G193" s="7"/>
      <c r="H193" s="118"/>
      <c r="I193" s="340"/>
      <c r="J193" s="340"/>
      <c r="K193" s="340"/>
      <c r="L193" s="340"/>
      <c r="M193" s="340"/>
      <c r="N193" s="340"/>
      <c r="O193" s="340"/>
      <c r="P193" s="340"/>
      <c r="Q193" s="341"/>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121"/>
    </row>
    <row r="194">
      <c r="A194" s="122"/>
      <c r="B194" s="123"/>
      <c r="C194" s="123"/>
      <c r="D194" s="123"/>
      <c r="E194" s="124"/>
      <c r="F194" s="125"/>
      <c r="G194" s="126"/>
      <c r="H194" s="127"/>
      <c r="I194" s="317"/>
      <c r="J194" s="317"/>
      <c r="K194" s="317"/>
      <c r="L194" s="317"/>
      <c r="M194" s="317"/>
      <c r="N194" s="317"/>
      <c r="O194" s="317"/>
      <c r="P194" s="317"/>
      <c r="Q194" s="392"/>
      <c r="R194" s="317"/>
      <c r="S194" s="317"/>
      <c r="T194" s="317"/>
      <c r="U194" s="317"/>
      <c r="V194" s="317"/>
      <c r="W194" s="317"/>
      <c r="X194" s="317"/>
      <c r="Y194" s="317"/>
      <c r="Z194" s="317"/>
      <c r="AA194" s="317"/>
      <c r="AB194" s="317"/>
      <c r="AC194" s="317"/>
      <c r="AD194" s="317"/>
      <c r="AE194" s="317"/>
      <c r="AF194" s="317"/>
      <c r="AG194" s="317"/>
      <c r="AH194" s="317"/>
      <c r="AI194" s="317"/>
      <c r="AJ194" s="317"/>
      <c r="AK194" s="317"/>
      <c r="AL194" s="317"/>
      <c r="AM194" s="317"/>
      <c r="AN194" s="317"/>
      <c r="AO194" s="317"/>
      <c r="AP194" s="317"/>
      <c r="AQ194" s="317"/>
      <c r="AR194" s="317"/>
      <c r="AS194" s="317"/>
      <c r="AT194" s="317"/>
      <c r="AU194" s="317"/>
      <c r="AV194" s="317"/>
      <c r="AW194" s="130"/>
    </row>
    <row r="195">
      <c r="A195" s="122"/>
      <c r="B195" s="123"/>
      <c r="C195" s="342" t="s">
        <v>297</v>
      </c>
      <c r="F195" s="125"/>
      <c r="G195" s="126"/>
      <c r="H195" s="127"/>
      <c r="I195" s="317"/>
      <c r="J195" s="317"/>
      <c r="K195" s="317"/>
      <c r="L195" s="317"/>
      <c r="M195" s="317"/>
      <c r="N195" s="317"/>
      <c r="O195" s="317"/>
      <c r="P195" s="317"/>
      <c r="Q195" s="392"/>
      <c r="R195" s="317"/>
      <c r="S195" s="317"/>
      <c r="T195" s="317"/>
      <c r="U195" s="317"/>
      <c r="V195" s="317"/>
      <c r="W195" s="317"/>
      <c r="X195" s="317"/>
      <c r="Y195" s="317"/>
      <c r="Z195" s="317"/>
      <c r="AA195" s="317"/>
      <c r="AB195" s="317"/>
      <c r="AC195" s="317"/>
      <c r="AD195" s="317"/>
      <c r="AE195" s="317"/>
      <c r="AF195" s="317"/>
      <c r="AG195" s="317"/>
      <c r="AH195" s="317"/>
      <c r="AI195" s="317"/>
      <c r="AJ195" s="317"/>
      <c r="AK195" s="317"/>
      <c r="AL195" s="317"/>
      <c r="AM195" s="317"/>
      <c r="AN195" s="317"/>
      <c r="AO195" s="317"/>
      <c r="AP195" s="317"/>
      <c r="AQ195" s="317"/>
      <c r="AR195" s="317"/>
      <c r="AS195" s="317"/>
      <c r="AT195" s="317"/>
      <c r="AU195" s="317"/>
      <c r="AV195" s="317"/>
      <c r="AW195" s="130"/>
    </row>
    <row r="196">
      <c r="A196" s="122"/>
      <c r="B196" s="123"/>
      <c r="C196" s="123"/>
      <c r="D196" s="393" t="s">
        <v>298</v>
      </c>
      <c r="E196" s="42"/>
      <c r="F196" s="356"/>
      <c r="G196" s="394"/>
      <c r="H196" s="389"/>
      <c r="I196" s="321"/>
      <c r="J196" s="321"/>
      <c r="K196" s="321"/>
      <c r="L196" s="321"/>
      <c r="M196" s="321"/>
      <c r="N196" s="321"/>
      <c r="O196" s="321"/>
      <c r="P196" s="321"/>
      <c r="Q196" s="322"/>
      <c r="R196" s="321"/>
      <c r="S196" s="321"/>
      <c r="T196" s="321"/>
      <c r="U196" s="321"/>
      <c r="V196" s="321"/>
      <c r="W196" s="321"/>
      <c r="X196" s="321"/>
      <c r="Y196" s="321"/>
      <c r="Z196" s="321"/>
      <c r="AA196" s="321"/>
      <c r="AB196" s="321"/>
      <c r="AC196" s="321"/>
      <c r="AD196" s="321"/>
      <c r="AE196" s="321"/>
      <c r="AF196" s="321"/>
      <c r="AG196" s="321"/>
      <c r="AH196" s="321"/>
      <c r="AI196" s="321"/>
      <c r="AJ196" s="321"/>
      <c r="AK196" s="321"/>
      <c r="AL196" s="321"/>
      <c r="AM196" s="321"/>
      <c r="AN196" s="321"/>
      <c r="AO196" s="321"/>
      <c r="AP196" s="321"/>
      <c r="AQ196" s="321"/>
      <c r="AR196" s="321"/>
      <c r="AS196" s="321"/>
      <c r="AT196" s="321"/>
      <c r="AU196" s="321"/>
      <c r="AV196" s="321"/>
      <c r="AW196" s="256"/>
    </row>
    <row r="197">
      <c r="A197" s="122"/>
      <c r="B197" s="123"/>
      <c r="C197" s="123"/>
      <c r="D197" s="123"/>
      <c r="E197" s="192" t="s">
        <v>299</v>
      </c>
      <c r="F197" s="193" t="s">
        <v>72</v>
      </c>
      <c r="G197" s="235" t="s">
        <v>165</v>
      </c>
      <c r="H197" s="255">
        <f>Inputs!H288</f>
        <v>0</v>
      </c>
      <c r="I197" s="196" t="str">
        <f>Inputs!I288</f>
        <v>-</v>
      </c>
      <c r="J197" s="196" t="str">
        <f>Inputs!J288</f>
        <v>-</v>
      </c>
      <c r="K197" s="196" t="str">
        <f>Inputs!K288</f>
        <v>-</v>
      </c>
      <c r="L197" s="196" t="str">
        <f>Inputs!L288</f>
        <v>-</v>
      </c>
      <c r="M197" s="196" t="str">
        <f>Inputs!M288</f>
        <v>-</v>
      </c>
      <c r="N197" s="196" t="str">
        <f>Inputs!N288</f>
        <v>-</v>
      </c>
      <c r="O197" s="196" t="str">
        <f>Inputs!O288</f>
        <v>-</v>
      </c>
      <c r="P197" s="196" t="str">
        <f>Inputs!P288</f>
        <v>-</v>
      </c>
      <c r="Q197" s="197" t="str">
        <f>Inputs!Q288</f>
        <v>-</v>
      </c>
      <c r="R197" s="196" t="str">
        <f>Inputs!R288</f>
        <v>-</v>
      </c>
      <c r="S197" s="196" t="str">
        <f>Inputs!S288</f>
        <v>-</v>
      </c>
      <c r="T197" s="196" t="str">
        <f>Inputs!T288</f>
        <v>-</v>
      </c>
      <c r="U197" s="196" t="str">
        <f>Inputs!U288</f>
        <v>-</v>
      </c>
      <c r="V197" s="196" t="str">
        <f>Inputs!V288</f>
        <v>-</v>
      </c>
      <c r="W197" s="196" t="str">
        <f>Inputs!W288</f>
        <v>-</v>
      </c>
      <c r="X197" s="196" t="str">
        <f>Inputs!X288</f>
        <v>-</v>
      </c>
      <c r="Y197" s="196" t="str">
        <f>Inputs!Y288</f>
        <v>-</v>
      </c>
      <c r="Z197" s="196" t="str">
        <f>Inputs!Z288</f>
        <v>-</v>
      </c>
      <c r="AA197" s="196" t="str">
        <f>Inputs!AA288</f>
        <v>-</v>
      </c>
      <c r="AB197" s="196" t="str">
        <f>Inputs!AB288</f>
        <v>-</v>
      </c>
      <c r="AC197" s="196" t="str">
        <f>Inputs!AC288</f>
        <v>-</v>
      </c>
      <c r="AD197" s="196" t="str">
        <f>Inputs!AD288</f>
        <v>-</v>
      </c>
      <c r="AE197" s="196" t="str">
        <f>Inputs!AE288</f>
        <v>-</v>
      </c>
      <c r="AF197" s="196" t="str">
        <f>Inputs!AF288</f>
        <v>-</v>
      </c>
      <c r="AG197" s="196" t="str">
        <f>Inputs!AG288</f>
        <v>-</v>
      </c>
      <c r="AH197" s="196" t="str">
        <f>Inputs!AH288</f>
        <v>-</v>
      </c>
      <c r="AI197" s="196" t="str">
        <f>Inputs!AI288</f>
        <v>-</v>
      </c>
      <c r="AJ197" s="196" t="str">
        <f>Inputs!AJ288</f>
        <v>-</v>
      </c>
      <c r="AK197" s="196" t="str">
        <f>Inputs!AK288</f>
        <v>-</v>
      </c>
      <c r="AL197" s="196" t="str">
        <f>Inputs!AL288</f>
        <v>-</v>
      </c>
      <c r="AM197" s="196" t="str">
        <f>Inputs!AM288</f>
        <v>-</v>
      </c>
      <c r="AN197" s="196" t="str">
        <f>Inputs!AN288</f>
        <v>-</v>
      </c>
      <c r="AO197" s="196" t="str">
        <f>Inputs!AO288</f>
        <v>-</v>
      </c>
      <c r="AP197" s="196" t="str">
        <f>Inputs!AP288</f>
        <v>-</v>
      </c>
      <c r="AQ197" s="196" t="str">
        <f>Inputs!AQ288</f>
        <v>-</v>
      </c>
      <c r="AR197" s="196" t="str">
        <f>Inputs!AR288</f>
        <v>-</v>
      </c>
      <c r="AS197" s="196" t="str">
        <f>Inputs!AS288</f>
        <v>-</v>
      </c>
      <c r="AT197" s="196" t="str">
        <f>Inputs!AT288</f>
        <v>-</v>
      </c>
      <c r="AU197" s="196" t="str">
        <f>Inputs!AU288</f>
        <v>-</v>
      </c>
      <c r="AV197" s="196" t="str">
        <f>Inputs!AV288</f>
        <v>-</v>
      </c>
      <c r="AW197" s="198"/>
    </row>
    <row r="198">
      <c r="A198" s="122"/>
      <c r="B198" s="123"/>
      <c r="C198" s="123"/>
      <c r="D198" s="123"/>
      <c r="E198" s="192" t="s">
        <v>300</v>
      </c>
      <c r="F198" s="213" t="s">
        <v>72</v>
      </c>
      <c r="G198" s="239" t="s">
        <v>165</v>
      </c>
      <c r="H198" s="258">
        <f>Inputs!H289</f>
        <v>0</v>
      </c>
      <c r="I198" s="217" t="str">
        <f>Inputs!I289</f>
        <v>-</v>
      </c>
      <c r="J198" s="217" t="str">
        <f>Inputs!J289</f>
        <v>-</v>
      </c>
      <c r="K198" s="217" t="str">
        <f>Inputs!K289</f>
        <v>-</v>
      </c>
      <c r="L198" s="217" t="str">
        <f>Inputs!L289</f>
        <v>-</v>
      </c>
      <c r="M198" s="217" t="str">
        <f>Inputs!M289</f>
        <v>-</v>
      </c>
      <c r="N198" s="217" t="str">
        <f>Inputs!N289</f>
        <v>-</v>
      </c>
      <c r="O198" s="217" t="str">
        <f>Inputs!O289</f>
        <v>-</v>
      </c>
      <c r="P198" s="217" t="str">
        <f>Inputs!P289</f>
        <v>-</v>
      </c>
      <c r="Q198" s="218" t="str">
        <f>Inputs!Q289</f>
        <v>-</v>
      </c>
      <c r="R198" s="217" t="str">
        <f>Inputs!R289</f>
        <v>-</v>
      </c>
      <c r="S198" s="217" t="str">
        <f>Inputs!S289</f>
        <v>-</v>
      </c>
      <c r="T198" s="217" t="str">
        <f>Inputs!T289</f>
        <v>-</v>
      </c>
      <c r="U198" s="217" t="str">
        <f>Inputs!U289</f>
        <v>-</v>
      </c>
      <c r="V198" s="217" t="str">
        <f>Inputs!V289</f>
        <v>-</v>
      </c>
      <c r="W198" s="217" t="str">
        <f>Inputs!W289</f>
        <v>-</v>
      </c>
      <c r="X198" s="217" t="str">
        <f>Inputs!X289</f>
        <v>-</v>
      </c>
      <c r="Y198" s="217" t="str">
        <f>Inputs!Y289</f>
        <v>-</v>
      </c>
      <c r="Z198" s="217" t="str">
        <f>Inputs!Z289</f>
        <v>-</v>
      </c>
      <c r="AA198" s="217" t="str">
        <f>Inputs!AA289</f>
        <v>-</v>
      </c>
      <c r="AB198" s="217" t="str">
        <f>Inputs!AB289</f>
        <v>-</v>
      </c>
      <c r="AC198" s="217" t="str">
        <f>Inputs!AC289</f>
        <v>-</v>
      </c>
      <c r="AD198" s="217" t="str">
        <f>Inputs!AD289</f>
        <v>-</v>
      </c>
      <c r="AE198" s="217" t="str">
        <f>Inputs!AE289</f>
        <v>-</v>
      </c>
      <c r="AF198" s="217" t="str">
        <f>Inputs!AF289</f>
        <v>-</v>
      </c>
      <c r="AG198" s="217" t="str">
        <f>Inputs!AG289</f>
        <v>-</v>
      </c>
      <c r="AH198" s="217" t="str">
        <f>Inputs!AH289</f>
        <v>-</v>
      </c>
      <c r="AI198" s="217" t="str">
        <f>Inputs!AI289</f>
        <v>-</v>
      </c>
      <c r="AJ198" s="217" t="str">
        <f>Inputs!AJ289</f>
        <v>-</v>
      </c>
      <c r="AK198" s="217" t="str">
        <f>Inputs!AK289</f>
        <v>-</v>
      </c>
      <c r="AL198" s="217" t="str">
        <f>Inputs!AL289</f>
        <v>-</v>
      </c>
      <c r="AM198" s="217" t="str">
        <f>Inputs!AM289</f>
        <v>-</v>
      </c>
      <c r="AN198" s="217" t="str">
        <f>Inputs!AN289</f>
        <v>-</v>
      </c>
      <c r="AO198" s="217" t="str">
        <f>Inputs!AO289</f>
        <v>-</v>
      </c>
      <c r="AP198" s="217" t="str">
        <f>Inputs!AP289</f>
        <v>-</v>
      </c>
      <c r="AQ198" s="217" t="str">
        <f>Inputs!AQ289</f>
        <v>-</v>
      </c>
      <c r="AR198" s="217" t="str">
        <f>Inputs!AR289</f>
        <v>-</v>
      </c>
      <c r="AS198" s="217" t="str">
        <f>Inputs!AS289</f>
        <v>-</v>
      </c>
      <c r="AT198" s="217" t="str">
        <f>Inputs!AT289</f>
        <v>-</v>
      </c>
      <c r="AU198" s="217" t="str">
        <f>Inputs!AU289</f>
        <v>-</v>
      </c>
      <c r="AV198" s="217" t="str">
        <f>Inputs!AV289</f>
        <v>-</v>
      </c>
      <c r="AW198" s="219"/>
    </row>
    <row r="199">
      <c r="A199" s="122"/>
      <c r="B199" s="123"/>
      <c r="C199" s="123"/>
      <c r="D199" s="123"/>
      <c r="E199" s="192" t="s">
        <v>301</v>
      </c>
      <c r="F199" s="213" t="s">
        <v>72</v>
      </c>
      <c r="G199" s="239" t="s">
        <v>165</v>
      </c>
      <c r="H199" s="258">
        <f>Inputs!H290</f>
        <v>0</v>
      </c>
      <c r="I199" s="217" t="str">
        <f>Inputs!I290</f>
        <v>-</v>
      </c>
      <c r="J199" s="217" t="str">
        <f>Inputs!J290</f>
        <v>-</v>
      </c>
      <c r="K199" s="217" t="str">
        <f>Inputs!K290</f>
        <v>-</v>
      </c>
      <c r="L199" s="217" t="str">
        <f>Inputs!L290</f>
        <v>-</v>
      </c>
      <c r="M199" s="217" t="str">
        <f>Inputs!M290</f>
        <v>-</v>
      </c>
      <c r="N199" s="217" t="str">
        <f>Inputs!N290</f>
        <v>-</v>
      </c>
      <c r="O199" s="217" t="str">
        <f>Inputs!O290</f>
        <v>-</v>
      </c>
      <c r="P199" s="217" t="str">
        <f>Inputs!P290</f>
        <v>-</v>
      </c>
      <c r="Q199" s="218" t="str">
        <f>Inputs!Q290</f>
        <v>-</v>
      </c>
      <c r="R199" s="217" t="str">
        <f>Inputs!R290</f>
        <v>-</v>
      </c>
      <c r="S199" s="217" t="str">
        <f>Inputs!S290</f>
        <v>-</v>
      </c>
      <c r="T199" s="217" t="str">
        <f>Inputs!T290</f>
        <v>-</v>
      </c>
      <c r="U199" s="217" t="str">
        <f>Inputs!U290</f>
        <v>-</v>
      </c>
      <c r="V199" s="217" t="str">
        <f>Inputs!V290</f>
        <v>-</v>
      </c>
      <c r="W199" s="217" t="str">
        <f>Inputs!W290</f>
        <v>-</v>
      </c>
      <c r="X199" s="217" t="str">
        <f>Inputs!X290</f>
        <v>-</v>
      </c>
      <c r="Y199" s="217" t="str">
        <f>Inputs!Y290</f>
        <v>-</v>
      </c>
      <c r="Z199" s="217" t="str">
        <f>Inputs!Z290</f>
        <v>-</v>
      </c>
      <c r="AA199" s="217" t="str">
        <f>Inputs!AA290</f>
        <v>-</v>
      </c>
      <c r="AB199" s="217" t="str">
        <f>Inputs!AB290</f>
        <v>-</v>
      </c>
      <c r="AC199" s="217" t="str">
        <f>Inputs!AC290</f>
        <v>-</v>
      </c>
      <c r="AD199" s="217" t="str">
        <f>Inputs!AD290</f>
        <v>-</v>
      </c>
      <c r="AE199" s="217" t="str">
        <f>Inputs!AE290</f>
        <v>-</v>
      </c>
      <c r="AF199" s="217" t="str">
        <f>Inputs!AF290</f>
        <v>-</v>
      </c>
      <c r="AG199" s="217" t="str">
        <f>Inputs!AG290</f>
        <v>-</v>
      </c>
      <c r="AH199" s="217" t="str">
        <f>Inputs!AH290</f>
        <v>-</v>
      </c>
      <c r="AI199" s="217" t="str">
        <f>Inputs!AI290</f>
        <v>-</v>
      </c>
      <c r="AJ199" s="217" t="str">
        <f>Inputs!AJ290</f>
        <v>-</v>
      </c>
      <c r="AK199" s="217" t="str">
        <f>Inputs!AK290</f>
        <v>-</v>
      </c>
      <c r="AL199" s="217" t="str">
        <f>Inputs!AL290</f>
        <v>-</v>
      </c>
      <c r="AM199" s="217" t="str">
        <f>Inputs!AM290</f>
        <v>-</v>
      </c>
      <c r="AN199" s="217" t="str">
        <f>Inputs!AN290</f>
        <v>-</v>
      </c>
      <c r="AO199" s="217" t="str">
        <f>Inputs!AO290</f>
        <v>-</v>
      </c>
      <c r="AP199" s="217" t="str">
        <f>Inputs!AP290</f>
        <v>-</v>
      </c>
      <c r="AQ199" s="217" t="str">
        <f>Inputs!AQ290</f>
        <v>-</v>
      </c>
      <c r="AR199" s="217" t="str">
        <f>Inputs!AR290</f>
        <v>-</v>
      </c>
      <c r="AS199" s="217" t="str">
        <f>Inputs!AS290</f>
        <v>-</v>
      </c>
      <c r="AT199" s="217" t="str">
        <f>Inputs!AT290</f>
        <v>-</v>
      </c>
      <c r="AU199" s="217" t="str">
        <f>Inputs!AU290</f>
        <v>-</v>
      </c>
      <c r="AV199" s="217" t="str">
        <f>Inputs!AV290</f>
        <v>-</v>
      </c>
      <c r="AW199" s="219"/>
    </row>
    <row r="200">
      <c r="A200" s="122"/>
      <c r="B200" s="123"/>
      <c r="C200" s="123"/>
      <c r="D200" s="393" t="s">
        <v>302</v>
      </c>
      <c r="E200" s="42"/>
      <c r="F200" s="395"/>
      <c r="G200" s="396"/>
      <c r="H200" s="258"/>
      <c r="I200" s="241"/>
      <c r="J200" s="241"/>
      <c r="K200" s="241"/>
      <c r="L200" s="241"/>
      <c r="M200" s="241"/>
      <c r="N200" s="241"/>
      <c r="O200" s="241"/>
      <c r="P200" s="241"/>
      <c r="Q200" s="242"/>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59"/>
    </row>
    <row r="201">
      <c r="A201" s="122"/>
      <c r="B201" s="123"/>
      <c r="C201" s="123"/>
      <c r="D201" s="123"/>
      <c r="E201" s="192" t="s">
        <v>303</v>
      </c>
      <c r="F201" s="213" t="s">
        <v>72</v>
      </c>
      <c r="G201" s="239" t="s">
        <v>165</v>
      </c>
      <c r="H201" s="258">
        <f>Inputs!H292</f>
        <v>0</v>
      </c>
      <c r="I201" s="217" t="str">
        <f>Inputs!I292</f>
        <v>-</v>
      </c>
      <c r="J201" s="217" t="str">
        <f>Inputs!J292</f>
        <v>-</v>
      </c>
      <c r="K201" s="217" t="str">
        <f>Inputs!K292</f>
        <v>-</v>
      </c>
      <c r="L201" s="217" t="str">
        <f>Inputs!L292</f>
        <v>-</v>
      </c>
      <c r="M201" s="217" t="str">
        <f>Inputs!M292</f>
        <v>-</v>
      </c>
      <c r="N201" s="217" t="str">
        <f>Inputs!N292</f>
        <v>-</v>
      </c>
      <c r="O201" s="217" t="str">
        <f>Inputs!O292</f>
        <v>-</v>
      </c>
      <c r="P201" s="217" t="str">
        <f>Inputs!P292</f>
        <v>-</v>
      </c>
      <c r="Q201" s="218" t="str">
        <f>Inputs!Q292</f>
        <v>-</v>
      </c>
      <c r="R201" s="217" t="str">
        <f>Inputs!R292</f>
        <v>-</v>
      </c>
      <c r="S201" s="217" t="str">
        <f>Inputs!S292</f>
        <v>-</v>
      </c>
      <c r="T201" s="217" t="str">
        <f>Inputs!T292</f>
        <v>-</v>
      </c>
      <c r="U201" s="217" t="str">
        <f>Inputs!U292</f>
        <v>-</v>
      </c>
      <c r="V201" s="217" t="str">
        <f>Inputs!V292</f>
        <v>-</v>
      </c>
      <c r="W201" s="217" t="str">
        <f>Inputs!W292</f>
        <v>-</v>
      </c>
      <c r="X201" s="217" t="str">
        <f>Inputs!X292</f>
        <v>-</v>
      </c>
      <c r="Y201" s="217" t="str">
        <f>Inputs!Y292</f>
        <v>-</v>
      </c>
      <c r="Z201" s="217" t="str">
        <f>Inputs!Z292</f>
        <v>-</v>
      </c>
      <c r="AA201" s="217" t="str">
        <f>Inputs!AA292</f>
        <v>-</v>
      </c>
      <c r="AB201" s="217" t="str">
        <f>Inputs!AB292</f>
        <v>-</v>
      </c>
      <c r="AC201" s="217" t="str">
        <f>Inputs!AC292</f>
        <v>-</v>
      </c>
      <c r="AD201" s="217" t="str">
        <f>Inputs!AD292</f>
        <v>-</v>
      </c>
      <c r="AE201" s="217" t="str">
        <f>Inputs!AE292</f>
        <v>-</v>
      </c>
      <c r="AF201" s="217" t="str">
        <f>Inputs!AF292</f>
        <v>-</v>
      </c>
      <c r="AG201" s="217" t="str">
        <f>Inputs!AG292</f>
        <v>-</v>
      </c>
      <c r="AH201" s="217" t="str">
        <f>Inputs!AH292</f>
        <v>-</v>
      </c>
      <c r="AI201" s="217" t="str">
        <f>Inputs!AI292</f>
        <v>-</v>
      </c>
      <c r="AJ201" s="217" t="str">
        <f>Inputs!AJ292</f>
        <v>-</v>
      </c>
      <c r="AK201" s="217" t="str">
        <f>Inputs!AK292</f>
        <v>-</v>
      </c>
      <c r="AL201" s="217" t="str">
        <f>Inputs!AL292</f>
        <v>-</v>
      </c>
      <c r="AM201" s="217" t="str">
        <f>Inputs!AM292</f>
        <v>-</v>
      </c>
      <c r="AN201" s="217" t="str">
        <f>Inputs!AN292</f>
        <v>-</v>
      </c>
      <c r="AO201" s="217" t="str">
        <f>Inputs!AO292</f>
        <v>-</v>
      </c>
      <c r="AP201" s="217" t="str">
        <f>Inputs!AP292</f>
        <v>-</v>
      </c>
      <c r="AQ201" s="217" t="str">
        <f>Inputs!AQ292</f>
        <v>-</v>
      </c>
      <c r="AR201" s="217" t="str">
        <f>Inputs!AR292</f>
        <v>-</v>
      </c>
      <c r="AS201" s="217" t="str">
        <f>Inputs!AS292</f>
        <v>-</v>
      </c>
      <c r="AT201" s="217" t="str">
        <f>Inputs!AT292</f>
        <v>-</v>
      </c>
      <c r="AU201" s="217" t="str">
        <f>Inputs!AU292</f>
        <v>-</v>
      </c>
      <c r="AV201" s="217" t="str">
        <f>Inputs!AV292</f>
        <v>-</v>
      </c>
      <c r="AW201" s="219"/>
    </row>
    <row r="202">
      <c r="A202" s="122"/>
      <c r="B202" s="123"/>
      <c r="C202" s="123"/>
      <c r="D202" s="123"/>
      <c r="E202" s="192" t="s">
        <v>304</v>
      </c>
      <c r="F202" s="213" t="s">
        <v>72</v>
      </c>
      <c r="G202" s="239" t="s">
        <v>165</v>
      </c>
      <c r="H202" s="258">
        <f>Inputs!H293</f>
        <v>-0.02</v>
      </c>
      <c r="I202" s="217" t="str">
        <f>Inputs!I293</f>
        <v>-</v>
      </c>
      <c r="J202" s="217" t="str">
        <f>Inputs!J293</f>
        <v>-</v>
      </c>
      <c r="K202" s="217" t="str">
        <f>Inputs!K293</f>
        <v>-</v>
      </c>
      <c r="L202" s="217" t="str">
        <f>Inputs!L293</f>
        <v>-</v>
      </c>
      <c r="M202" s="217" t="str">
        <f>Inputs!M293</f>
        <v>-</v>
      </c>
      <c r="N202" s="217" t="str">
        <f>Inputs!N293</f>
        <v>-</v>
      </c>
      <c r="O202" s="217" t="str">
        <f>Inputs!O293</f>
        <v>-</v>
      </c>
      <c r="P202" s="217" t="str">
        <f>Inputs!P293</f>
        <v>-</v>
      </c>
      <c r="Q202" s="218" t="str">
        <f>Inputs!Q293</f>
        <v>-</v>
      </c>
      <c r="R202" s="217" t="str">
        <f>Inputs!R293</f>
        <v>-</v>
      </c>
      <c r="S202" s="217" t="str">
        <f>Inputs!S293</f>
        <v>-</v>
      </c>
      <c r="T202" s="217" t="str">
        <f>Inputs!T293</f>
        <v>-</v>
      </c>
      <c r="U202" s="217" t="str">
        <f>Inputs!U293</f>
        <v>-</v>
      </c>
      <c r="V202" s="217" t="str">
        <f>Inputs!V293</f>
        <v>-</v>
      </c>
      <c r="W202" s="217" t="str">
        <f>Inputs!W293</f>
        <v>-</v>
      </c>
      <c r="X202" s="217" t="str">
        <f>Inputs!X293</f>
        <v>-</v>
      </c>
      <c r="Y202" s="217" t="str">
        <f>Inputs!Y293</f>
        <v>-</v>
      </c>
      <c r="Z202" s="217" t="str">
        <f>Inputs!Z293</f>
        <v>-</v>
      </c>
      <c r="AA202" s="217" t="str">
        <f>Inputs!AA293</f>
        <v>-</v>
      </c>
      <c r="AB202" s="217" t="str">
        <f>Inputs!AB293</f>
        <v>-</v>
      </c>
      <c r="AC202" s="217" t="str">
        <f>Inputs!AC293</f>
        <v>-</v>
      </c>
      <c r="AD202" s="217" t="str">
        <f>Inputs!AD293</f>
        <v>-</v>
      </c>
      <c r="AE202" s="217" t="str">
        <f>Inputs!AE293</f>
        <v>-</v>
      </c>
      <c r="AF202" s="217" t="str">
        <f>Inputs!AF293</f>
        <v>-</v>
      </c>
      <c r="AG202" s="217" t="str">
        <f>Inputs!AG293</f>
        <v>-</v>
      </c>
      <c r="AH202" s="217" t="str">
        <f>Inputs!AH293</f>
        <v>-</v>
      </c>
      <c r="AI202" s="217" t="str">
        <f>Inputs!AI293</f>
        <v>-</v>
      </c>
      <c r="AJ202" s="217" t="str">
        <f>Inputs!AJ293</f>
        <v>-</v>
      </c>
      <c r="AK202" s="217" t="str">
        <f>Inputs!AK293</f>
        <v>-</v>
      </c>
      <c r="AL202" s="217" t="str">
        <f>Inputs!AL293</f>
        <v>-</v>
      </c>
      <c r="AM202" s="217" t="str">
        <f>Inputs!AM293</f>
        <v>-</v>
      </c>
      <c r="AN202" s="217" t="str">
        <f>Inputs!AN293</f>
        <v>-</v>
      </c>
      <c r="AO202" s="217" t="str">
        <f>Inputs!AO293</f>
        <v>-</v>
      </c>
      <c r="AP202" s="217" t="str">
        <f>Inputs!AP293</f>
        <v>-</v>
      </c>
      <c r="AQ202" s="217" t="str">
        <f>Inputs!AQ293</f>
        <v>-</v>
      </c>
      <c r="AR202" s="217" t="str">
        <f>Inputs!AR293</f>
        <v>-</v>
      </c>
      <c r="AS202" s="217" t="str">
        <f>Inputs!AS293</f>
        <v>-</v>
      </c>
      <c r="AT202" s="217" t="str">
        <f>Inputs!AT293</f>
        <v>-</v>
      </c>
      <c r="AU202" s="217" t="str">
        <f>Inputs!AU293</f>
        <v>-</v>
      </c>
      <c r="AV202" s="217" t="str">
        <f>Inputs!AV293</f>
        <v>-</v>
      </c>
      <c r="AW202" s="219"/>
    </row>
    <row r="203">
      <c r="A203" s="122"/>
      <c r="B203" s="123"/>
      <c r="C203" s="123"/>
      <c r="D203" s="393" t="s">
        <v>305</v>
      </c>
      <c r="E203" s="42"/>
      <c r="F203" s="395"/>
      <c r="G203" s="396"/>
      <c r="H203" s="258"/>
      <c r="I203" s="241"/>
      <c r="J203" s="241"/>
      <c r="K203" s="241"/>
      <c r="L203" s="241"/>
      <c r="M203" s="241"/>
      <c r="N203" s="241"/>
      <c r="O203" s="241"/>
      <c r="P203" s="241"/>
      <c r="Q203" s="242"/>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59"/>
    </row>
    <row r="204">
      <c r="A204" s="122"/>
      <c r="B204" s="123"/>
      <c r="C204" s="123"/>
      <c r="D204" s="123"/>
      <c r="E204" s="192" t="s">
        <v>306</v>
      </c>
      <c r="F204" s="213" t="s">
        <v>72</v>
      </c>
      <c r="G204" s="239" t="s">
        <v>165</v>
      </c>
      <c r="H204" s="258">
        <f>Inputs!H295</f>
        <v>0</v>
      </c>
      <c r="I204" s="217" t="str">
        <f>Inputs!I295</f>
        <v>-</v>
      </c>
      <c r="J204" s="217" t="str">
        <f>Inputs!J295</f>
        <v>-</v>
      </c>
      <c r="K204" s="217" t="str">
        <f>Inputs!K295</f>
        <v>-</v>
      </c>
      <c r="L204" s="217" t="str">
        <f>Inputs!L295</f>
        <v>-</v>
      </c>
      <c r="M204" s="217" t="str">
        <f>Inputs!M295</f>
        <v>-</v>
      </c>
      <c r="N204" s="217" t="str">
        <f>Inputs!N295</f>
        <v>-</v>
      </c>
      <c r="O204" s="217" t="str">
        <f>Inputs!O295</f>
        <v>-</v>
      </c>
      <c r="P204" s="217" t="str">
        <f>Inputs!P295</f>
        <v>-</v>
      </c>
      <c r="Q204" s="218" t="str">
        <f>Inputs!Q295</f>
        <v>-</v>
      </c>
      <c r="R204" s="217" t="str">
        <f>Inputs!R295</f>
        <v>-</v>
      </c>
      <c r="S204" s="217" t="str">
        <f>Inputs!S295</f>
        <v>-</v>
      </c>
      <c r="T204" s="217" t="str">
        <f>Inputs!T295</f>
        <v>-</v>
      </c>
      <c r="U204" s="217" t="str">
        <f>Inputs!U295</f>
        <v>-</v>
      </c>
      <c r="V204" s="217" t="str">
        <f>Inputs!V295</f>
        <v>-</v>
      </c>
      <c r="W204" s="217" t="str">
        <f>Inputs!W295</f>
        <v>-</v>
      </c>
      <c r="X204" s="217" t="str">
        <f>Inputs!X295</f>
        <v>-</v>
      </c>
      <c r="Y204" s="217" t="str">
        <f>Inputs!Y295</f>
        <v>-</v>
      </c>
      <c r="Z204" s="217" t="str">
        <f>Inputs!Z295</f>
        <v>-</v>
      </c>
      <c r="AA204" s="217" t="str">
        <f>Inputs!AA295</f>
        <v>-</v>
      </c>
      <c r="AB204" s="217" t="str">
        <f>Inputs!AB295</f>
        <v>-</v>
      </c>
      <c r="AC204" s="217" t="str">
        <f>Inputs!AC295</f>
        <v>-</v>
      </c>
      <c r="AD204" s="217" t="str">
        <f>Inputs!AD295</f>
        <v>-</v>
      </c>
      <c r="AE204" s="217" t="str">
        <f>Inputs!AE295</f>
        <v>-</v>
      </c>
      <c r="AF204" s="217" t="str">
        <f>Inputs!AF295</f>
        <v>-</v>
      </c>
      <c r="AG204" s="217" t="str">
        <f>Inputs!AG295</f>
        <v>-</v>
      </c>
      <c r="AH204" s="217" t="str">
        <f>Inputs!AH295</f>
        <v>-</v>
      </c>
      <c r="AI204" s="217" t="str">
        <f>Inputs!AI295</f>
        <v>-</v>
      </c>
      <c r="AJ204" s="217" t="str">
        <f>Inputs!AJ295</f>
        <v>-</v>
      </c>
      <c r="AK204" s="217" t="str">
        <f>Inputs!AK295</f>
        <v>-</v>
      </c>
      <c r="AL204" s="217" t="str">
        <f>Inputs!AL295</f>
        <v>-</v>
      </c>
      <c r="AM204" s="217" t="str">
        <f>Inputs!AM295</f>
        <v>-</v>
      </c>
      <c r="AN204" s="217" t="str">
        <f>Inputs!AN295</f>
        <v>-</v>
      </c>
      <c r="AO204" s="217" t="str">
        <f>Inputs!AO295</f>
        <v>-</v>
      </c>
      <c r="AP204" s="217" t="str">
        <f>Inputs!AP295</f>
        <v>-</v>
      </c>
      <c r="AQ204" s="217" t="str">
        <f>Inputs!AQ295</f>
        <v>-</v>
      </c>
      <c r="AR204" s="217" t="str">
        <f>Inputs!AR295</f>
        <v>-</v>
      </c>
      <c r="AS204" s="217" t="str">
        <f>Inputs!AS295</f>
        <v>-</v>
      </c>
      <c r="AT204" s="217" t="str">
        <f>Inputs!AT295</f>
        <v>-</v>
      </c>
      <c r="AU204" s="217" t="str">
        <f>Inputs!AU295</f>
        <v>-</v>
      </c>
      <c r="AV204" s="217" t="str">
        <f>Inputs!AV295</f>
        <v>-</v>
      </c>
      <c r="AW204" s="219"/>
    </row>
    <row r="205">
      <c r="A205" s="122"/>
      <c r="B205" s="123"/>
      <c r="C205" s="123"/>
      <c r="D205" s="123"/>
      <c r="E205" s="192" t="s">
        <v>307</v>
      </c>
      <c r="F205" s="213" t="s">
        <v>72</v>
      </c>
      <c r="G205" s="239" t="s">
        <v>165</v>
      </c>
      <c r="H205" s="258">
        <f>Inputs!H296</f>
        <v>-0.05</v>
      </c>
      <c r="I205" s="217" t="str">
        <f>Inputs!I296</f>
        <v>-</v>
      </c>
      <c r="J205" s="217" t="str">
        <f>Inputs!J296</f>
        <v>-</v>
      </c>
      <c r="K205" s="217" t="str">
        <f>Inputs!K296</f>
        <v>-</v>
      </c>
      <c r="L205" s="217" t="str">
        <f>Inputs!L296</f>
        <v>-</v>
      </c>
      <c r="M205" s="217" t="str">
        <f>Inputs!M296</f>
        <v>-</v>
      </c>
      <c r="N205" s="217" t="str">
        <f>Inputs!N296</f>
        <v>-</v>
      </c>
      <c r="O205" s="217" t="str">
        <f>Inputs!O296</f>
        <v>-</v>
      </c>
      <c r="P205" s="217" t="str">
        <f>Inputs!P296</f>
        <v>-</v>
      </c>
      <c r="Q205" s="218" t="str">
        <f>Inputs!Q296</f>
        <v>-</v>
      </c>
      <c r="R205" s="217" t="str">
        <f>Inputs!R296</f>
        <v>-</v>
      </c>
      <c r="S205" s="217" t="str">
        <f>Inputs!S296</f>
        <v>-</v>
      </c>
      <c r="T205" s="217" t="str">
        <f>Inputs!T296</f>
        <v>-</v>
      </c>
      <c r="U205" s="217" t="str">
        <f>Inputs!U296</f>
        <v>-</v>
      </c>
      <c r="V205" s="217" t="str">
        <f>Inputs!V296</f>
        <v>-</v>
      </c>
      <c r="W205" s="217" t="str">
        <f>Inputs!W296</f>
        <v>-</v>
      </c>
      <c r="X205" s="217" t="str">
        <f>Inputs!X296</f>
        <v>-</v>
      </c>
      <c r="Y205" s="217" t="str">
        <f>Inputs!Y296</f>
        <v>-</v>
      </c>
      <c r="Z205" s="217" t="str">
        <f>Inputs!Z296</f>
        <v>-</v>
      </c>
      <c r="AA205" s="217" t="str">
        <f>Inputs!AA296</f>
        <v>-</v>
      </c>
      <c r="AB205" s="217" t="str">
        <f>Inputs!AB296</f>
        <v>-</v>
      </c>
      <c r="AC205" s="217" t="str">
        <f>Inputs!AC296</f>
        <v>-</v>
      </c>
      <c r="AD205" s="217" t="str">
        <f>Inputs!AD296</f>
        <v>-</v>
      </c>
      <c r="AE205" s="217" t="str">
        <f>Inputs!AE296</f>
        <v>-</v>
      </c>
      <c r="AF205" s="217" t="str">
        <f>Inputs!AF296</f>
        <v>-</v>
      </c>
      <c r="AG205" s="217" t="str">
        <f>Inputs!AG296</f>
        <v>-</v>
      </c>
      <c r="AH205" s="217" t="str">
        <f>Inputs!AH296</f>
        <v>-</v>
      </c>
      <c r="AI205" s="217" t="str">
        <f>Inputs!AI296</f>
        <v>-</v>
      </c>
      <c r="AJ205" s="217" t="str">
        <f>Inputs!AJ296</f>
        <v>-</v>
      </c>
      <c r="AK205" s="217" t="str">
        <f>Inputs!AK296</f>
        <v>-</v>
      </c>
      <c r="AL205" s="217" t="str">
        <f>Inputs!AL296</f>
        <v>-</v>
      </c>
      <c r="AM205" s="217" t="str">
        <f>Inputs!AM296</f>
        <v>-</v>
      </c>
      <c r="AN205" s="217" t="str">
        <f>Inputs!AN296</f>
        <v>-</v>
      </c>
      <c r="AO205" s="217" t="str">
        <f>Inputs!AO296</f>
        <v>-</v>
      </c>
      <c r="AP205" s="217" t="str">
        <f>Inputs!AP296</f>
        <v>-</v>
      </c>
      <c r="AQ205" s="217" t="str">
        <f>Inputs!AQ296</f>
        <v>-</v>
      </c>
      <c r="AR205" s="217" t="str">
        <f>Inputs!AR296</f>
        <v>-</v>
      </c>
      <c r="AS205" s="217" t="str">
        <f>Inputs!AS296</f>
        <v>-</v>
      </c>
      <c r="AT205" s="217" t="str">
        <f>Inputs!AT296</f>
        <v>-</v>
      </c>
      <c r="AU205" s="217" t="str">
        <f>Inputs!AU296</f>
        <v>-</v>
      </c>
      <c r="AV205" s="217" t="str">
        <f>Inputs!AV296</f>
        <v>-</v>
      </c>
      <c r="AW205" s="219"/>
    </row>
    <row r="206">
      <c r="A206" s="122"/>
      <c r="B206" s="123"/>
      <c r="C206" s="123"/>
      <c r="D206" s="123"/>
      <c r="E206" s="192" t="s">
        <v>308</v>
      </c>
      <c r="F206" s="213" t="s">
        <v>72</v>
      </c>
      <c r="G206" s="239" t="s">
        <v>165</v>
      </c>
      <c r="H206" s="258">
        <f>Inputs!H297</f>
        <v>0</v>
      </c>
      <c r="I206" s="217" t="str">
        <f>Inputs!I297</f>
        <v>-</v>
      </c>
      <c r="J206" s="217" t="str">
        <f>Inputs!J297</f>
        <v>-</v>
      </c>
      <c r="K206" s="217" t="str">
        <f>Inputs!K297</f>
        <v>-</v>
      </c>
      <c r="L206" s="217" t="str">
        <f>Inputs!L297</f>
        <v>-</v>
      </c>
      <c r="M206" s="217" t="str">
        <f>Inputs!M297</f>
        <v>-</v>
      </c>
      <c r="N206" s="217" t="str">
        <f>Inputs!N297</f>
        <v>-</v>
      </c>
      <c r="O206" s="217" t="str">
        <f>Inputs!O297</f>
        <v>-</v>
      </c>
      <c r="P206" s="217" t="str">
        <f>Inputs!P297</f>
        <v>-</v>
      </c>
      <c r="Q206" s="218" t="str">
        <f>Inputs!Q297</f>
        <v>-</v>
      </c>
      <c r="R206" s="217" t="str">
        <f>Inputs!R297</f>
        <v>-</v>
      </c>
      <c r="S206" s="217" t="str">
        <f>Inputs!S297</f>
        <v>-</v>
      </c>
      <c r="T206" s="217" t="str">
        <f>Inputs!T297</f>
        <v>-</v>
      </c>
      <c r="U206" s="217" t="str">
        <f>Inputs!U297</f>
        <v>-</v>
      </c>
      <c r="V206" s="217" t="str">
        <f>Inputs!V297</f>
        <v>-</v>
      </c>
      <c r="W206" s="217" t="str">
        <f>Inputs!W297</f>
        <v>-</v>
      </c>
      <c r="X206" s="217" t="str">
        <f>Inputs!X297</f>
        <v>-</v>
      </c>
      <c r="Y206" s="217" t="str">
        <f>Inputs!Y297</f>
        <v>-</v>
      </c>
      <c r="Z206" s="217" t="str">
        <f>Inputs!Z297</f>
        <v>-</v>
      </c>
      <c r="AA206" s="217" t="str">
        <f>Inputs!AA297</f>
        <v>-</v>
      </c>
      <c r="AB206" s="217" t="str">
        <f>Inputs!AB297</f>
        <v>-</v>
      </c>
      <c r="AC206" s="217" t="str">
        <f>Inputs!AC297</f>
        <v>-</v>
      </c>
      <c r="AD206" s="217" t="str">
        <f>Inputs!AD297</f>
        <v>-</v>
      </c>
      <c r="AE206" s="217" t="str">
        <f>Inputs!AE297</f>
        <v>-</v>
      </c>
      <c r="AF206" s="217" t="str">
        <f>Inputs!AF297</f>
        <v>-</v>
      </c>
      <c r="AG206" s="217" t="str">
        <f>Inputs!AG297</f>
        <v>-</v>
      </c>
      <c r="AH206" s="217" t="str">
        <f>Inputs!AH297</f>
        <v>-</v>
      </c>
      <c r="AI206" s="217" t="str">
        <f>Inputs!AI297</f>
        <v>-</v>
      </c>
      <c r="AJ206" s="217" t="str">
        <f>Inputs!AJ297</f>
        <v>-</v>
      </c>
      <c r="AK206" s="217" t="str">
        <f>Inputs!AK297</f>
        <v>-</v>
      </c>
      <c r="AL206" s="217" t="str">
        <f>Inputs!AL297</f>
        <v>-</v>
      </c>
      <c r="AM206" s="217" t="str">
        <f>Inputs!AM297</f>
        <v>-</v>
      </c>
      <c r="AN206" s="217" t="str">
        <f>Inputs!AN297</f>
        <v>-</v>
      </c>
      <c r="AO206" s="217" t="str">
        <f>Inputs!AO297</f>
        <v>-</v>
      </c>
      <c r="AP206" s="217" t="str">
        <f>Inputs!AP297</f>
        <v>-</v>
      </c>
      <c r="AQ206" s="217" t="str">
        <f>Inputs!AQ297</f>
        <v>-</v>
      </c>
      <c r="AR206" s="217" t="str">
        <f>Inputs!AR297</f>
        <v>-</v>
      </c>
      <c r="AS206" s="217" t="str">
        <f>Inputs!AS297</f>
        <v>-</v>
      </c>
      <c r="AT206" s="217" t="str">
        <f>Inputs!AT297</f>
        <v>-</v>
      </c>
      <c r="AU206" s="217" t="str">
        <f>Inputs!AU297</f>
        <v>-</v>
      </c>
      <c r="AV206" s="217" t="str">
        <f>Inputs!AV297</f>
        <v>-</v>
      </c>
      <c r="AW206" s="219"/>
    </row>
    <row r="207">
      <c r="A207" s="122"/>
      <c r="B207" s="123"/>
      <c r="C207" s="123"/>
      <c r="D207" s="397"/>
      <c r="E207" s="140"/>
      <c r="F207" s="141"/>
      <c r="G207" s="144"/>
      <c r="H207" s="253"/>
      <c r="I207" s="226"/>
      <c r="J207" s="226"/>
      <c r="K207" s="226"/>
      <c r="L207" s="226"/>
      <c r="M207" s="226"/>
      <c r="N207" s="226"/>
      <c r="O207" s="226"/>
      <c r="P207" s="226"/>
      <c r="Q207" s="288"/>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c r="AP207" s="226"/>
      <c r="AQ207" s="226"/>
      <c r="AR207" s="226"/>
      <c r="AS207" s="226"/>
      <c r="AT207" s="226"/>
      <c r="AU207" s="226"/>
      <c r="AV207" s="226"/>
      <c r="AW207" s="191"/>
    </row>
    <row r="208">
      <c r="A208" s="122"/>
      <c r="B208" s="123"/>
      <c r="C208" s="123"/>
      <c r="D208" s="398" t="s">
        <v>309</v>
      </c>
      <c r="E208" s="45"/>
      <c r="F208" s="134" t="s">
        <v>72</v>
      </c>
      <c r="G208" s="145" t="s">
        <v>161</v>
      </c>
      <c r="H208" s="399">
        <f>SUM(H197:H206)</f>
        <v>-0.07</v>
      </c>
      <c r="I208" s="400" t="s">
        <v>162</v>
      </c>
      <c r="J208" s="400" t="s">
        <v>162</v>
      </c>
      <c r="K208" s="400" t="s">
        <v>162</v>
      </c>
      <c r="L208" s="400" t="s">
        <v>162</v>
      </c>
      <c r="M208" s="400" t="s">
        <v>162</v>
      </c>
      <c r="N208" s="400" t="s">
        <v>162</v>
      </c>
      <c r="O208" s="400" t="s">
        <v>162</v>
      </c>
      <c r="P208" s="400" t="s">
        <v>162</v>
      </c>
      <c r="Q208" s="401" t="s">
        <v>162</v>
      </c>
      <c r="R208" s="400" t="s">
        <v>162</v>
      </c>
      <c r="S208" s="400" t="s">
        <v>162</v>
      </c>
      <c r="T208" s="400" t="s">
        <v>162</v>
      </c>
      <c r="U208" s="400" t="s">
        <v>162</v>
      </c>
      <c r="V208" s="400" t="s">
        <v>162</v>
      </c>
      <c r="W208" s="400" t="s">
        <v>162</v>
      </c>
      <c r="X208" s="400" t="s">
        <v>162</v>
      </c>
      <c r="Y208" s="400" t="s">
        <v>162</v>
      </c>
      <c r="Z208" s="400" t="s">
        <v>162</v>
      </c>
      <c r="AA208" s="400" t="s">
        <v>162</v>
      </c>
      <c r="AB208" s="400" t="s">
        <v>162</v>
      </c>
      <c r="AC208" s="400" t="s">
        <v>162</v>
      </c>
      <c r="AD208" s="400" t="s">
        <v>162</v>
      </c>
      <c r="AE208" s="400" t="s">
        <v>162</v>
      </c>
      <c r="AF208" s="400" t="s">
        <v>162</v>
      </c>
      <c r="AG208" s="400" t="s">
        <v>162</v>
      </c>
      <c r="AH208" s="400" t="s">
        <v>162</v>
      </c>
      <c r="AI208" s="400" t="s">
        <v>162</v>
      </c>
      <c r="AJ208" s="400" t="s">
        <v>162</v>
      </c>
      <c r="AK208" s="400" t="s">
        <v>162</v>
      </c>
      <c r="AL208" s="400" t="s">
        <v>162</v>
      </c>
      <c r="AM208" s="400" t="s">
        <v>162</v>
      </c>
      <c r="AN208" s="400" t="s">
        <v>162</v>
      </c>
      <c r="AO208" s="400" t="s">
        <v>162</v>
      </c>
      <c r="AP208" s="400" t="s">
        <v>162</v>
      </c>
      <c r="AQ208" s="400" t="s">
        <v>162</v>
      </c>
      <c r="AR208" s="400" t="s">
        <v>162</v>
      </c>
      <c r="AS208" s="400" t="s">
        <v>162</v>
      </c>
      <c r="AT208" s="400" t="s">
        <v>162</v>
      </c>
      <c r="AU208" s="400" t="s">
        <v>162</v>
      </c>
      <c r="AV208" s="400" t="s">
        <v>162</v>
      </c>
      <c r="AW208" s="139"/>
    </row>
    <row r="209">
      <c r="A209" s="122"/>
      <c r="B209" s="123"/>
      <c r="C209" s="123"/>
      <c r="D209" s="123"/>
      <c r="E209" s="124"/>
      <c r="F209" s="125"/>
      <c r="G209" s="126"/>
      <c r="H209" s="127"/>
      <c r="I209" s="128"/>
      <c r="J209" s="128"/>
      <c r="K209" s="128"/>
      <c r="L209" s="128"/>
      <c r="M209" s="128"/>
      <c r="N209" s="128"/>
      <c r="O209" s="128"/>
      <c r="P209" s="128"/>
      <c r="Q209" s="129"/>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30"/>
    </row>
    <row r="210">
      <c r="A210" s="122"/>
      <c r="B210" s="123"/>
      <c r="C210" s="143" t="s">
        <v>310</v>
      </c>
      <c r="F210" s="125"/>
      <c r="G210" s="126"/>
      <c r="H210" s="127"/>
      <c r="I210" s="128"/>
      <c r="J210" s="128"/>
      <c r="K210" s="128"/>
      <c r="L210" s="128"/>
      <c r="M210" s="128"/>
      <c r="N210" s="128"/>
      <c r="O210" s="128"/>
      <c r="P210" s="128"/>
      <c r="Q210" s="129"/>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30"/>
    </row>
    <row r="211">
      <c r="A211" s="122"/>
      <c r="B211" s="123"/>
      <c r="C211" s="123"/>
      <c r="D211" s="393" t="s">
        <v>311</v>
      </c>
      <c r="E211" s="42"/>
      <c r="F211" s="193"/>
      <c r="G211" s="235"/>
      <c r="H211" s="208"/>
      <c r="I211" s="196"/>
      <c r="J211" s="196"/>
      <c r="K211" s="196"/>
      <c r="L211" s="196"/>
      <c r="M211" s="196"/>
      <c r="N211" s="196"/>
      <c r="O211" s="196"/>
      <c r="P211" s="196"/>
      <c r="Q211" s="197"/>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8"/>
    </row>
    <row r="212">
      <c r="A212" s="122"/>
      <c r="B212" s="123"/>
      <c r="C212" s="123"/>
      <c r="D212" s="123"/>
      <c r="E212" s="192" t="s">
        <v>312</v>
      </c>
      <c r="F212" s="193" t="str">
        <f>Inputs!F300</f>
        <v>%</v>
      </c>
      <c r="G212" s="235" t="str">
        <f>Inputs!G300</f>
        <v>input</v>
      </c>
      <c r="H212" s="208">
        <f>Inputs!H300</f>
        <v>0.06</v>
      </c>
      <c r="I212" s="196" t="str">
        <f>Inputs!I300</f>
        <v>-</v>
      </c>
      <c r="J212" s="196" t="str">
        <f>Inputs!J300</f>
        <v>-</v>
      </c>
      <c r="K212" s="196" t="str">
        <f>Inputs!K300</f>
        <v>-</v>
      </c>
      <c r="L212" s="196" t="str">
        <f>Inputs!L300</f>
        <v>-</v>
      </c>
      <c r="M212" s="196" t="str">
        <f>Inputs!M300</f>
        <v>-</v>
      </c>
      <c r="N212" s="196" t="str">
        <f>Inputs!N300</f>
        <v>-</v>
      </c>
      <c r="O212" s="196" t="str">
        <f>Inputs!O300</f>
        <v>-</v>
      </c>
      <c r="P212" s="196" t="str">
        <f>Inputs!P300</f>
        <v>-</v>
      </c>
      <c r="Q212" s="197" t="str">
        <f>Inputs!Q300</f>
        <v>-</v>
      </c>
      <c r="R212" s="196" t="str">
        <f>Inputs!R300</f>
        <v>-</v>
      </c>
      <c r="S212" s="196" t="str">
        <f>Inputs!S300</f>
        <v>-</v>
      </c>
      <c r="T212" s="196" t="str">
        <f>Inputs!T300</f>
        <v>-</v>
      </c>
      <c r="U212" s="196" t="str">
        <f>Inputs!U300</f>
        <v>-</v>
      </c>
      <c r="V212" s="196" t="str">
        <f>Inputs!V300</f>
        <v>-</v>
      </c>
      <c r="W212" s="196" t="str">
        <f>Inputs!W300</f>
        <v>-</v>
      </c>
      <c r="X212" s="196" t="str">
        <f>Inputs!X300</f>
        <v>-</v>
      </c>
      <c r="Y212" s="196" t="str">
        <f>Inputs!Y300</f>
        <v>-</v>
      </c>
      <c r="Z212" s="196" t="str">
        <f>Inputs!Z300</f>
        <v>-</v>
      </c>
      <c r="AA212" s="196" t="str">
        <f>Inputs!AA300</f>
        <v>-</v>
      </c>
      <c r="AB212" s="196" t="str">
        <f>Inputs!AB300</f>
        <v>-</v>
      </c>
      <c r="AC212" s="196" t="str">
        <f>Inputs!AC300</f>
        <v>-</v>
      </c>
      <c r="AD212" s="196" t="str">
        <f>Inputs!AD300</f>
        <v>-</v>
      </c>
      <c r="AE212" s="196" t="str">
        <f>Inputs!AE300</f>
        <v>-</v>
      </c>
      <c r="AF212" s="196" t="str">
        <f>Inputs!AF300</f>
        <v>-</v>
      </c>
      <c r="AG212" s="196" t="str">
        <f>Inputs!AG300</f>
        <v>-</v>
      </c>
      <c r="AH212" s="196" t="str">
        <f>Inputs!AH300</f>
        <v>-</v>
      </c>
      <c r="AI212" s="196" t="str">
        <f>Inputs!AI300</f>
        <v>-</v>
      </c>
      <c r="AJ212" s="196" t="str">
        <f>Inputs!AJ300</f>
        <v>-</v>
      </c>
      <c r="AK212" s="196" t="str">
        <f>Inputs!AK300</f>
        <v>-</v>
      </c>
      <c r="AL212" s="196" t="str">
        <f>Inputs!AL300</f>
        <v>-</v>
      </c>
      <c r="AM212" s="196" t="str">
        <f>Inputs!AM300</f>
        <v>-</v>
      </c>
      <c r="AN212" s="196" t="str">
        <f>Inputs!AN300</f>
        <v>-</v>
      </c>
      <c r="AO212" s="196" t="str">
        <f>Inputs!AO300</f>
        <v>-</v>
      </c>
      <c r="AP212" s="196" t="str">
        <f>Inputs!AP300</f>
        <v>-</v>
      </c>
      <c r="AQ212" s="196" t="str">
        <f>Inputs!AQ300</f>
        <v>-</v>
      </c>
      <c r="AR212" s="196" t="str">
        <f>Inputs!AR300</f>
        <v>-</v>
      </c>
      <c r="AS212" s="196" t="str">
        <f>Inputs!AS300</f>
        <v>-</v>
      </c>
      <c r="AT212" s="196" t="str">
        <f>Inputs!AT300</f>
        <v>-</v>
      </c>
      <c r="AU212" s="196" t="str">
        <f>Inputs!AU300</f>
        <v>-</v>
      </c>
      <c r="AV212" s="196" t="str">
        <f>Inputs!AV300</f>
        <v>-</v>
      </c>
      <c r="AW212" s="219"/>
    </row>
    <row r="213">
      <c r="A213" s="122"/>
      <c r="B213" s="123"/>
      <c r="C213" s="123"/>
      <c r="D213" s="123"/>
      <c r="E213" s="192" t="s">
        <v>313</v>
      </c>
      <c r="F213" s="193" t="str">
        <f>Inputs!F301</f>
        <v>%</v>
      </c>
      <c r="G213" s="235" t="str">
        <f>Inputs!G301</f>
        <v>input</v>
      </c>
      <c r="H213" s="208">
        <f>Inputs!H301</f>
        <v>0.007</v>
      </c>
      <c r="I213" s="196" t="str">
        <f>Inputs!I301</f>
        <v>-</v>
      </c>
      <c r="J213" s="196" t="str">
        <f>Inputs!J301</f>
        <v>-</v>
      </c>
      <c r="K213" s="196" t="str">
        <f>Inputs!K301</f>
        <v>-</v>
      </c>
      <c r="L213" s="196" t="str">
        <f>Inputs!L301</f>
        <v>-</v>
      </c>
      <c r="M213" s="196" t="str">
        <f>Inputs!M301</f>
        <v>-</v>
      </c>
      <c r="N213" s="196" t="str">
        <f>Inputs!N301</f>
        <v>-</v>
      </c>
      <c r="O213" s="196" t="str">
        <f>Inputs!O301</f>
        <v>-</v>
      </c>
      <c r="P213" s="196" t="str">
        <f>Inputs!P301</f>
        <v>-</v>
      </c>
      <c r="Q213" s="197" t="str">
        <f>Inputs!Q301</f>
        <v>-</v>
      </c>
      <c r="R213" s="196" t="str">
        <f>Inputs!R301</f>
        <v>-</v>
      </c>
      <c r="S213" s="196" t="str">
        <f>Inputs!S301</f>
        <v>-</v>
      </c>
      <c r="T213" s="196" t="str">
        <f>Inputs!T301</f>
        <v>-</v>
      </c>
      <c r="U213" s="196" t="str">
        <f>Inputs!U301</f>
        <v>-</v>
      </c>
      <c r="V213" s="196" t="str">
        <f>Inputs!V301</f>
        <v>-</v>
      </c>
      <c r="W213" s="196" t="str">
        <f>Inputs!W301</f>
        <v>-</v>
      </c>
      <c r="X213" s="196" t="str">
        <f>Inputs!X301</f>
        <v>-</v>
      </c>
      <c r="Y213" s="196" t="str">
        <f>Inputs!Y301</f>
        <v>-</v>
      </c>
      <c r="Z213" s="196" t="str">
        <f>Inputs!Z301</f>
        <v>-</v>
      </c>
      <c r="AA213" s="196" t="str">
        <f>Inputs!AA301</f>
        <v>-</v>
      </c>
      <c r="AB213" s="196" t="str">
        <f>Inputs!AB301</f>
        <v>-</v>
      </c>
      <c r="AC213" s="196" t="str">
        <f>Inputs!AC301</f>
        <v>-</v>
      </c>
      <c r="AD213" s="196" t="str">
        <f>Inputs!AD301</f>
        <v>-</v>
      </c>
      <c r="AE213" s="196" t="str">
        <f>Inputs!AE301</f>
        <v>-</v>
      </c>
      <c r="AF213" s="196" t="str">
        <f>Inputs!AF301</f>
        <v>-</v>
      </c>
      <c r="AG213" s="196" t="str">
        <f>Inputs!AG301</f>
        <v>-</v>
      </c>
      <c r="AH213" s="196" t="str">
        <f>Inputs!AH301</f>
        <v>-</v>
      </c>
      <c r="AI213" s="196" t="str">
        <f>Inputs!AI301</f>
        <v>-</v>
      </c>
      <c r="AJ213" s="196" t="str">
        <f>Inputs!AJ301</f>
        <v>-</v>
      </c>
      <c r="AK213" s="196" t="str">
        <f>Inputs!AK301</f>
        <v>-</v>
      </c>
      <c r="AL213" s="196" t="str">
        <f>Inputs!AL301</f>
        <v>-</v>
      </c>
      <c r="AM213" s="196" t="str">
        <f>Inputs!AM301</f>
        <v>-</v>
      </c>
      <c r="AN213" s="196" t="str">
        <f>Inputs!AN301</f>
        <v>-</v>
      </c>
      <c r="AO213" s="196" t="str">
        <f>Inputs!AO301</f>
        <v>-</v>
      </c>
      <c r="AP213" s="196" t="str">
        <f>Inputs!AP301</f>
        <v>-</v>
      </c>
      <c r="AQ213" s="196" t="str">
        <f>Inputs!AQ301</f>
        <v>-</v>
      </c>
      <c r="AR213" s="196" t="str">
        <f>Inputs!AR301</f>
        <v>-</v>
      </c>
      <c r="AS213" s="196" t="str">
        <f>Inputs!AS301</f>
        <v>-</v>
      </c>
      <c r="AT213" s="196" t="str">
        <f>Inputs!AT301</f>
        <v>-</v>
      </c>
      <c r="AU213" s="196" t="str">
        <f>Inputs!AU301</f>
        <v>-</v>
      </c>
      <c r="AV213" s="196" t="str">
        <f>Inputs!AV301</f>
        <v>-</v>
      </c>
      <c r="AW213" s="219"/>
    </row>
    <row r="214">
      <c r="A214" s="122"/>
      <c r="B214" s="123"/>
      <c r="C214" s="123"/>
      <c r="D214" s="123"/>
      <c r="E214" s="192" t="s">
        <v>314</v>
      </c>
      <c r="F214" s="193" t="str">
        <f>Inputs!F302</f>
        <v>%</v>
      </c>
      <c r="G214" s="235" t="str">
        <f>Inputs!G302</f>
        <v>input</v>
      </c>
      <c r="H214" s="208">
        <f>Inputs!H302</f>
        <v>-0.05</v>
      </c>
      <c r="I214" s="196" t="str">
        <f>Inputs!I302</f>
        <v>-</v>
      </c>
      <c r="J214" s="196" t="str">
        <f>Inputs!J302</f>
        <v>-</v>
      </c>
      <c r="K214" s="196" t="str">
        <f>Inputs!K302</f>
        <v>-</v>
      </c>
      <c r="L214" s="196" t="str">
        <f>Inputs!L302</f>
        <v>-</v>
      </c>
      <c r="M214" s="196" t="str">
        <f>Inputs!M302</f>
        <v>-</v>
      </c>
      <c r="N214" s="196" t="str">
        <f>Inputs!N302</f>
        <v>-</v>
      </c>
      <c r="O214" s="196" t="str">
        <f>Inputs!O302</f>
        <v>-</v>
      </c>
      <c r="P214" s="196" t="str">
        <f>Inputs!P302</f>
        <v>-</v>
      </c>
      <c r="Q214" s="197" t="str">
        <f>Inputs!Q302</f>
        <v>-</v>
      </c>
      <c r="R214" s="196" t="str">
        <f>Inputs!R302</f>
        <v>-</v>
      </c>
      <c r="S214" s="196" t="str">
        <f>Inputs!S302</f>
        <v>-</v>
      </c>
      <c r="T214" s="196" t="str">
        <f>Inputs!T302</f>
        <v>-</v>
      </c>
      <c r="U214" s="196" t="str">
        <f>Inputs!U302</f>
        <v>-</v>
      </c>
      <c r="V214" s="196" t="str">
        <f>Inputs!V302</f>
        <v>-</v>
      </c>
      <c r="W214" s="196" t="str">
        <f>Inputs!W302</f>
        <v>-</v>
      </c>
      <c r="X214" s="196" t="str">
        <f>Inputs!X302</f>
        <v>-</v>
      </c>
      <c r="Y214" s="196" t="str">
        <f>Inputs!Y302</f>
        <v>-</v>
      </c>
      <c r="Z214" s="196" t="str">
        <f>Inputs!Z302</f>
        <v>-</v>
      </c>
      <c r="AA214" s="196" t="str">
        <f>Inputs!AA302</f>
        <v>-</v>
      </c>
      <c r="AB214" s="196" t="str">
        <f>Inputs!AB302</f>
        <v>-</v>
      </c>
      <c r="AC214" s="196" t="str">
        <f>Inputs!AC302</f>
        <v>-</v>
      </c>
      <c r="AD214" s="196" t="str">
        <f>Inputs!AD302</f>
        <v>-</v>
      </c>
      <c r="AE214" s="196" t="str">
        <f>Inputs!AE302</f>
        <v>-</v>
      </c>
      <c r="AF214" s="196" t="str">
        <f>Inputs!AF302</f>
        <v>-</v>
      </c>
      <c r="AG214" s="196" t="str">
        <f>Inputs!AG302</f>
        <v>-</v>
      </c>
      <c r="AH214" s="196" t="str">
        <f>Inputs!AH302</f>
        <v>-</v>
      </c>
      <c r="AI214" s="196" t="str">
        <f>Inputs!AI302</f>
        <v>-</v>
      </c>
      <c r="AJ214" s="196" t="str">
        <f>Inputs!AJ302</f>
        <v>-</v>
      </c>
      <c r="AK214" s="196" t="str">
        <f>Inputs!AK302</f>
        <v>-</v>
      </c>
      <c r="AL214" s="196" t="str">
        <f>Inputs!AL302</f>
        <v>-</v>
      </c>
      <c r="AM214" s="196" t="str">
        <f>Inputs!AM302</f>
        <v>-</v>
      </c>
      <c r="AN214" s="196" t="str">
        <f>Inputs!AN302</f>
        <v>-</v>
      </c>
      <c r="AO214" s="196" t="str">
        <f>Inputs!AO302</f>
        <v>-</v>
      </c>
      <c r="AP214" s="196" t="str">
        <f>Inputs!AP302</f>
        <v>-</v>
      </c>
      <c r="AQ214" s="196" t="str">
        <f>Inputs!AQ302</f>
        <v>-</v>
      </c>
      <c r="AR214" s="196" t="str">
        <f>Inputs!AR302</f>
        <v>-</v>
      </c>
      <c r="AS214" s="196" t="str">
        <f>Inputs!AS302</f>
        <v>-</v>
      </c>
      <c r="AT214" s="196" t="str">
        <f>Inputs!AT302</f>
        <v>-</v>
      </c>
      <c r="AU214" s="196" t="str">
        <f>Inputs!AU302</f>
        <v>-</v>
      </c>
      <c r="AV214" s="196" t="str">
        <f>Inputs!AV302</f>
        <v>-</v>
      </c>
      <c r="AW214" s="219"/>
    </row>
    <row r="215">
      <c r="A215" s="122"/>
      <c r="B215" s="123"/>
      <c r="C215" s="123"/>
      <c r="D215" s="123"/>
      <c r="E215" s="192" t="s">
        <v>315</v>
      </c>
      <c r="F215" s="193" t="str">
        <f>Inputs!F303</f>
        <v>%</v>
      </c>
      <c r="G215" s="235" t="str">
        <f>Inputs!G303</f>
        <v>input</v>
      </c>
      <c r="H215" s="208">
        <f>Inputs!H303</f>
        <v>0.2</v>
      </c>
      <c r="I215" s="196" t="str">
        <f>Inputs!I303</f>
        <v>-</v>
      </c>
      <c r="J215" s="196" t="str">
        <f>Inputs!J303</f>
        <v>-</v>
      </c>
      <c r="K215" s="196" t="str">
        <f>Inputs!K303</f>
        <v>-</v>
      </c>
      <c r="L215" s="196" t="str">
        <f>Inputs!L303</f>
        <v>-</v>
      </c>
      <c r="M215" s="196" t="str">
        <f>Inputs!M303</f>
        <v>-</v>
      </c>
      <c r="N215" s="196" t="str">
        <f>Inputs!N303</f>
        <v>-</v>
      </c>
      <c r="O215" s="196" t="str">
        <f>Inputs!O303</f>
        <v>-</v>
      </c>
      <c r="P215" s="196" t="str">
        <f>Inputs!P303</f>
        <v>-</v>
      </c>
      <c r="Q215" s="197" t="str">
        <f>Inputs!Q303</f>
        <v>-</v>
      </c>
      <c r="R215" s="196" t="str">
        <f>Inputs!R303</f>
        <v>-</v>
      </c>
      <c r="S215" s="196" t="str">
        <f>Inputs!S303</f>
        <v>-</v>
      </c>
      <c r="T215" s="196" t="str">
        <f>Inputs!T303</f>
        <v>-</v>
      </c>
      <c r="U215" s="196" t="str">
        <f>Inputs!U303</f>
        <v>-</v>
      </c>
      <c r="V215" s="196" t="str">
        <f>Inputs!V303</f>
        <v>-</v>
      </c>
      <c r="W215" s="196" t="str">
        <f>Inputs!W303</f>
        <v>-</v>
      </c>
      <c r="X215" s="196" t="str">
        <f>Inputs!X303</f>
        <v>-</v>
      </c>
      <c r="Y215" s="196" t="str">
        <f>Inputs!Y303</f>
        <v>-</v>
      </c>
      <c r="Z215" s="196" t="str">
        <f>Inputs!Z303</f>
        <v>-</v>
      </c>
      <c r="AA215" s="196" t="str">
        <f>Inputs!AA303</f>
        <v>-</v>
      </c>
      <c r="AB215" s="196" t="str">
        <f>Inputs!AB303</f>
        <v>-</v>
      </c>
      <c r="AC215" s="196" t="str">
        <f>Inputs!AC303</f>
        <v>-</v>
      </c>
      <c r="AD215" s="196" t="str">
        <f>Inputs!AD303</f>
        <v>-</v>
      </c>
      <c r="AE215" s="196" t="str">
        <f>Inputs!AE303</f>
        <v>-</v>
      </c>
      <c r="AF215" s="196" t="str">
        <f>Inputs!AF303</f>
        <v>-</v>
      </c>
      <c r="AG215" s="196" t="str">
        <f>Inputs!AG303</f>
        <v>-</v>
      </c>
      <c r="AH215" s="196" t="str">
        <f>Inputs!AH303</f>
        <v>-</v>
      </c>
      <c r="AI215" s="196" t="str">
        <f>Inputs!AI303</f>
        <v>-</v>
      </c>
      <c r="AJ215" s="196" t="str">
        <f>Inputs!AJ303</f>
        <v>-</v>
      </c>
      <c r="AK215" s="196" t="str">
        <f>Inputs!AK303</f>
        <v>-</v>
      </c>
      <c r="AL215" s="196" t="str">
        <f>Inputs!AL303</f>
        <v>-</v>
      </c>
      <c r="AM215" s="196" t="str">
        <f>Inputs!AM303</f>
        <v>-</v>
      </c>
      <c r="AN215" s="196" t="str">
        <f>Inputs!AN303</f>
        <v>-</v>
      </c>
      <c r="AO215" s="196" t="str">
        <f>Inputs!AO303</f>
        <v>-</v>
      </c>
      <c r="AP215" s="196" t="str">
        <f>Inputs!AP303</f>
        <v>-</v>
      </c>
      <c r="AQ215" s="196" t="str">
        <f>Inputs!AQ303</f>
        <v>-</v>
      </c>
      <c r="AR215" s="196" t="str">
        <f>Inputs!AR303</f>
        <v>-</v>
      </c>
      <c r="AS215" s="196" t="str">
        <f>Inputs!AS303</f>
        <v>-</v>
      </c>
      <c r="AT215" s="196" t="str">
        <f>Inputs!AT303</f>
        <v>-</v>
      </c>
      <c r="AU215" s="196" t="str">
        <f>Inputs!AU303</f>
        <v>-</v>
      </c>
      <c r="AV215" s="196" t="str">
        <f>Inputs!AV303</f>
        <v>-</v>
      </c>
      <c r="AW215" s="219"/>
    </row>
    <row r="216">
      <c r="A216" s="122"/>
      <c r="B216" s="123"/>
      <c r="C216" s="123"/>
      <c r="D216" s="123"/>
      <c r="E216" s="192" t="s">
        <v>316</v>
      </c>
      <c r="F216" s="193" t="str">
        <f>Inputs!F304</f>
        <v>%</v>
      </c>
      <c r="G216" s="235" t="str">
        <f>Inputs!G304</f>
        <v>input</v>
      </c>
      <c r="H216" s="208">
        <f>Inputs!H304</f>
        <v>0.05</v>
      </c>
      <c r="I216" s="196" t="str">
        <f>Inputs!I304</f>
        <v>-</v>
      </c>
      <c r="J216" s="196" t="str">
        <f>Inputs!J304</f>
        <v>-</v>
      </c>
      <c r="K216" s="196" t="str">
        <f>Inputs!K304</f>
        <v>-</v>
      </c>
      <c r="L216" s="196" t="str">
        <f>Inputs!L304</f>
        <v>-</v>
      </c>
      <c r="M216" s="196" t="str">
        <f>Inputs!M304</f>
        <v>-</v>
      </c>
      <c r="N216" s="196" t="str">
        <f>Inputs!N304</f>
        <v>-</v>
      </c>
      <c r="O216" s="196" t="str">
        <f>Inputs!O304</f>
        <v>-</v>
      </c>
      <c r="P216" s="196" t="str">
        <f>Inputs!P304</f>
        <v>-</v>
      </c>
      <c r="Q216" s="197" t="str">
        <f>Inputs!Q304</f>
        <v>-</v>
      </c>
      <c r="R216" s="196" t="str">
        <f>Inputs!R304</f>
        <v>-</v>
      </c>
      <c r="S216" s="196" t="str">
        <f>Inputs!S304</f>
        <v>-</v>
      </c>
      <c r="T216" s="196" t="str">
        <f>Inputs!T304</f>
        <v>-</v>
      </c>
      <c r="U216" s="196" t="str">
        <f>Inputs!U304</f>
        <v>-</v>
      </c>
      <c r="V216" s="196" t="str">
        <f>Inputs!V304</f>
        <v>-</v>
      </c>
      <c r="W216" s="196" t="str">
        <f>Inputs!W304</f>
        <v>-</v>
      </c>
      <c r="X216" s="196" t="str">
        <f>Inputs!X304</f>
        <v>-</v>
      </c>
      <c r="Y216" s="196" t="str">
        <f>Inputs!Y304</f>
        <v>-</v>
      </c>
      <c r="Z216" s="196" t="str">
        <f>Inputs!Z304</f>
        <v>-</v>
      </c>
      <c r="AA216" s="196" t="str">
        <f>Inputs!AA304</f>
        <v>-</v>
      </c>
      <c r="AB216" s="196" t="str">
        <f>Inputs!AB304</f>
        <v>-</v>
      </c>
      <c r="AC216" s="196" t="str">
        <f>Inputs!AC304</f>
        <v>-</v>
      </c>
      <c r="AD216" s="196" t="str">
        <f>Inputs!AD304</f>
        <v>-</v>
      </c>
      <c r="AE216" s="196" t="str">
        <f>Inputs!AE304</f>
        <v>-</v>
      </c>
      <c r="AF216" s="196" t="str">
        <f>Inputs!AF304</f>
        <v>-</v>
      </c>
      <c r="AG216" s="196" t="str">
        <f>Inputs!AG304</f>
        <v>-</v>
      </c>
      <c r="AH216" s="196" t="str">
        <f>Inputs!AH304</f>
        <v>-</v>
      </c>
      <c r="AI216" s="196" t="str">
        <f>Inputs!AI304</f>
        <v>-</v>
      </c>
      <c r="AJ216" s="196" t="str">
        <f>Inputs!AJ304</f>
        <v>-</v>
      </c>
      <c r="AK216" s="196" t="str">
        <f>Inputs!AK304</f>
        <v>-</v>
      </c>
      <c r="AL216" s="196" t="str">
        <f>Inputs!AL304</f>
        <v>-</v>
      </c>
      <c r="AM216" s="196" t="str">
        <f>Inputs!AM304</f>
        <v>-</v>
      </c>
      <c r="AN216" s="196" t="str">
        <f>Inputs!AN304</f>
        <v>-</v>
      </c>
      <c r="AO216" s="196" t="str">
        <f>Inputs!AO304</f>
        <v>-</v>
      </c>
      <c r="AP216" s="196" t="str">
        <f>Inputs!AP304</f>
        <v>-</v>
      </c>
      <c r="AQ216" s="196" t="str">
        <f>Inputs!AQ304</f>
        <v>-</v>
      </c>
      <c r="AR216" s="196" t="str">
        <f>Inputs!AR304</f>
        <v>-</v>
      </c>
      <c r="AS216" s="196" t="str">
        <f>Inputs!AS304</f>
        <v>-</v>
      </c>
      <c r="AT216" s="196" t="str">
        <f>Inputs!AT304</f>
        <v>-</v>
      </c>
      <c r="AU216" s="196" t="str">
        <f>Inputs!AU304</f>
        <v>-</v>
      </c>
      <c r="AV216" s="196" t="str">
        <f>Inputs!AV304</f>
        <v>-</v>
      </c>
      <c r="AW216" s="219"/>
    </row>
    <row r="217">
      <c r="A217" s="122"/>
      <c r="B217" s="123"/>
      <c r="C217" s="123"/>
      <c r="D217" s="123"/>
      <c r="E217" s="192" t="s">
        <v>317</v>
      </c>
      <c r="F217" s="193" t="str">
        <f>Inputs!F305</f>
        <v>%</v>
      </c>
      <c r="G217" s="235" t="str">
        <f>Inputs!G305</f>
        <v>input</v>
      </c>
      <c r="H217" s="208">
        <f>Inputs!H305</f>
        <v>0</v>
      </c>
      <c r="I217" s="196" t="str">
        <f>Inputs!I305</f>
        <v>-</v>
      </c>
      <c r="J217" s="196" t="str">
        <f>Inputs!J305</f>
        <v>-</v>
      </c>
      <c r="K217" s="196" t="str">
        <f>Inputs!K305</f>
        <v>-</v>
      </c>
      <c r="L217" s="196" t="str">
        <f>Inputs!L305</f>
        <v>-</v>
      </c>
      <c r="M217" s="196" t="str">
        <f>Inputs!M305</f>
        <v>-</v>
      </c>
      <c r="N217" s="196" t="str">
        <f>Inputs!N305</f>
        <v>-</v>
      </c>
      <c r="O217" s="196" t="str">
        <f>Inputs!O305</f>
        <v>-</v>
      </c>
      <c r="P217" s="196" t="str">
        <f>Inputs!P305</f>
        <v>-</v>
      </c>
      <c r="Q217" s="197" t="str">
        <f>Inputs!Q305</f>
        <v>-</v>
      </c>
      <c r="R217" s="196" t="str">
        <f>Inputs!R305</f>
        <v>-</v>
      </c>
      <c r="S217" s="196" t="str">
        <f>Inputs!S305</f>
        <v>-</v>
      </c>
      <c r="T217" s="196" t="str">
        <f>Inputs!T305</f>
        <v>-</v>
      </c>
      <c r="U217" s="196" t="str">
        <f>Inputs!U305</f>
        <v>-</v>
      </c>
      <c r="V217" s="196" t="str">
        <f>Inputs!V305</f>
        <v>-</v>
      </c>
      <c r="W217" s="196" t="str">
        <f>Inputs!W305</f>
        <v>-</v>
      </c>
      <c r="X217" s="196" t="str">
        <f>Inputs!X305</f>
        <v>-</v>
      </c>
      <c r="Y217" s="196" t="str">
        <f>Inputs!Y305</f>
        <v>-</v>
      </c>
      <c r="Z217" s="196" t="str">
        <f>Inputs!Z305</f>
        <v>-</v>
      </c>
      <c r="AA217" s="196" t="str">
        <f>Inputs!AA305</f>
        <v>-</v>
      </c>
      <c r="AB217" s="196" t="str">
        <f>Inputs!AB305</f>
        <v>-</v>
      </c>
      <c r="AC217" s="196" t="str">
        <f>Inputs!AC305</f>
        <v>-</v>
      </c>
      <c r="AD217" s="196" t="str">
        <f>Inputs!AD305</f>
        <v>-</v>
      </c>
      <c r="AE217" s="196" t="str">
        <f>Inputs!AE305</f>
        <v>-</v>
      </c>
      <c r="AF217" s="196" t="str">
        <f>Inputs!AF305</f>
        <v>-</v>
      </c>
      <c r="AG217" s="196" t="str">
        <f>Inputs!AG305</f>
        <v>-</v>
      </c>
      <c r="AH217" s="196" t="str">
        <f>Inputs!AH305</f>
        <v>-</v>
      </c>
      <c r="AI217" s="196" t="str">
        <f>Inputs!AI305</f>
        <v>-</v>
      </c>
      <c r="AJ217" s="196" t="str">
        <f>Inputs!AJ305</f>
        <v>-</v>
      </c>
      <c r="AK217" s="196" t="str">
        <f>Inputs!AK305</f>
        <v>-</v>
      </c>
      <c r="AL217" s="196" t="str">
        <f>Inputs!AL305</f>
        <v>-</v>
      </c>
      <c r="AM217" s="196" t="str">
        <f>Inputs!AM305</f>
        <v>-</v>
      </c>
      <c r="AN217" s="196" t="str">
        <f>Inputs!AN305</f>
        <v>-</v>
      </c>
      <c r="AO217" s="196" t="str">
        <f>Inputs!AO305</f>
        <v>-</v>
      </c>
      <c r="AP217" s="196" t="str">
        <f>Inputs!AP305</f>
        <v>-</v>
      </c>
      <c r="AQ217" s="196" t="str">
        <f>Inputs!AQ305</f>
        <v>-</v>
      </c>
      <c r="AR217" s="196" t="str">
        <f>Inputs!AR305</f>
        <v>-</v>
      </c>
      <c r="AS217" s="196" t="str">
        <f>Inputs!AS305</f>
        <v>-</v>
      </c>
      <c r="AT217" s="196" t="str">
        <f>Inputs!AT305</f>
        <v>-</v>
      </c>
      <c r="AU217" s="196" t="str">
        <f>Inputs!AU305</f>
        <v>-</v>
      </c>
      <c r="AV217" s="196" t="str">
        <f>Inputs!AV305</f>
        <v>-</v>
      </c>
      <c r="AW217" s="219"/>
    </row>
    <row r="218">
      <c r="A218" s="122"/>
      <c r="B218" s="123"/>
      <c r="C218" s="123"/>
      <c r="D218" s="393" t="s">
        <v>318</v>
      </c>
      <c r="E218" s="42"/>
      <c r="F218" s="193"/>
      <c r="G218" s="235"/>
      <c r="H218" s="208"/>
      <c r="I218" s="196"/>
      <c r="J218" s="196"/>
      <c r="K218" s="196"/>
      <c r="L218" s="196"/>
      <c r="M218" s="196"/>
      <c r="N218" s="196"/>
      <c r="O218" s="196"/>
      <c r="P218" s="196"/>
      <c r="Q218" s="197"/>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219"/>
    </row>
    <row r="219">
      <c r="A219" s="122"/>
      <c r="B219" s="123"/>
      <c r="C219" s="123"/>
      <c r="D219" s="123"/>
      <c r="E219" s="192" t="s">
        <v>319</v>
      </c>
      <c r="F219" s="193" t="str">
        <f>Inputs!F306</f>
        <v>%</v>
      </c>
      <c r="G219" s="235" t="str">
        <f>Inputs!G306</f>
        <v>input</v>
      </c>
      <c r="H219" s="208">
        <f>Inputs!H306</f>
        <v>0.06</v>
      </c>
      <c r="I219" s="196" t="str">
        <f>Inputs!I306</f>
        <v>-</v>
      </c>
      <c r="J219" s="196" t="str">
        <f>Inputs!J306</f>
        <v>-</v>
      </c>
      <c r="K219" s="196" t="str">
        <f>Inputs!K306</f>
        <v>-</v>
      </c>
      <c r="L219" s="196" t="str">
        <f>Inputs!L306</f>
        <v>-</v>
      </c>
      <c r="M219" s="196" t="str">
        <f>Inputs!M306</f>
        <v>-</v>
      </c>
      <c r="N219" s="196" t="str">
        <f>Inputs!N306</f>
        <v>-</v>
      </c>
      <c r="O219" s="196" t="str">
        <f>Inputs!O306</f>
        <v>-</v>
      </c>
      <c r="P219" s="196" t="str">
        <f>Inputs!P306</f>
        <v>-</v>
      </c>
      <c r="Q219" s="197" t="str">
        <f>Inputs!Q306</f>
        <v>-</v>
      </c>
      <c r="R219" s="196" t="str">
        <f>Inputs!R306</f>
        <v>-</v>
      </c>
      <c r="S219" s="196" t="str">
        <f>Inputs!S306</f>
        <v>-</v>
      </c>
      <c r="T219" s="196" t="str">
        <f>Inputs!T306</f>
        <v>-</v>
      </c>
      <c r="U219" s="196" t="str">
        <f>Inputs!U306</f>
        <v>-</v>
      </c>
      <c r="V219" s="196" t="str">
        <f>Inputs!V306</f>
        <v>-</v>
      </c>
      <c r="W219" s="196" t="str">
        <f>Inputs!W306</f>
        <v>-</v>
      </c>
      <c r="X219" s="196" t="str">
        <f>Inputs!X306</f>
        <v>-</v>
      </c>
      <c r="Y219" s="196" t="str">
        <f>Inputs!Y306</f>
        <v>-</v>
      </c>
      <c r="Z219" s="196" t="str">
        <f>Inputs!Z306</f>
        <v>-</v>
      </c>
      <c r="AA219" s="196" t="str">
        <f>Inputs!AA306</f>
        <v>-</v>
      </c>
      <c r="AB219" s="196" t="str">
        <f>Inputs!AB306</f>
        <v>-</v>
      </c>
      <c r="AC219" s="196" t="str">
        <f>Inputs!AC306</f>
        <v>-</v>
      </c>
      <c r="AD219" s="196" t="str">
        <f>Inputs!AD306</f>
        <v>-</v>
      </c>
      <c r="AE219" s="196" t="str">
        <f>Inputs!AE306</f>
        <v>-</v>
      </c>
      <c r="AF219" s="196" t="str">
        <f>Inputs!AF306</f>
        <v>-</v>
      </c>
      <c r="AG219" s="196" t="str">
        <f>Inputs!AG306</f>
        <v>-</v>
      </c>
      <c r="AH219" s="196" t="str">
        <f>Inputs!AH306</f>
        <v>-</v>
      </c>
      <c r="AI219" s="196" t="str">
        <f>Inputs!AI306</f>
        <v>-</v>
      </c>
      <c r="AJ219" s="196" t="str">
        <f>Inputs!AJ306</f>
        <v>-</v>
      </c>
      <c r="AK219" s="196" t="str">
        <f>Inputs!AK306</f>
        <v>-</v>
      </c>
      <c r="AL219" s="196" t="str">
        <f>Inputs!AL306</f>
        <v>-</v>
      </c>
      <c r="AM219" s="196" t="str">
        <f>Inputs!AM306</f>
        <v>-</v>
      </c>
      <c r="AN219" s="196" t="str">
        <f>Inputs!AN306</f>
        <v>-</v>
      </c>
      <c r="AO219" s="196" t="str">
        <f>Inputs!AO306</f>
        <v>-</v>
      </c>
      <c r="AP219" s="196" t="str">
        <f>Inputs!AP306</f>
        <v>-</v>
      </c>
      <c r="AQ219" s="196" t="str">
        <f>Inputs!AQ306</f>
        <v>-</v>
      </c>
      <c r="AR219" s="196" t="str">
        <f>Inputs!AR306</f>
        <v>-</v>
      </c>
      <c r="AS219" s="196" t="str">
        <f>Inputs!AS306</f>
        <v>-</v>
      </c>
      <c r="AT219" s="196" t="str">
        <f>Inputs!AT306</f>
        <v>-</v>
      </c>
      <c r="AU219" s="196" t="str">
        <f>Inputs!AU306</f>
        <v>-</v>
      </c>
      <c r="AV219" s="196" t="str">
        <f>Inputs!AV306</f>
        <v>-</v>
      </c>
      <c r="AW219" s="219"/>
    </row>
    <row r="220">
      <c r="A220" s="122"/>
      <c r="B220" s="123"/>
      <c r="C220" s="123"/>
      <c r="D220" s="123"/>
      <c r="E220" s="192" t="s">
        <v>320</v>
      </c>
      <c r="F220" s="193" t="str">
        <f>Inputs!F307</f>
        <v>%</v>
      </c>
      <c r="G220" s="235" t="str">
        <f>Inputs!G307</f>
        <v>input</v>
      </c>
      <c r="H220" s="208">
        <f>Inputs!H307</f>
        <v>0.125</v>
      </c>
      <c r="I220" s="196" t="str">
        <f>Inputs!I307</f>
        <v>-</v>
      </c>
      <c r="J220" s="196" t="str">
        <f>Inputs!J307</f>
        <v>-</v>
      </c>
      <c r="K220" s="196" t="str">
        <f>Inputs!K307</f>
        <v>-</v>
      </c>
      <c r="L220" s="196" t="str">
        <f>Inputs!L307</f>
        <v>-</v>
      </c>
      <c r="M220" s="196" t="str">
        <f>Inputs!M307</f>
        <v>-</v>
      </c>
      <c r="N220" s="196" t="str">
        <f>Inputs!N307</f>
        <v>-</v>
      </c>
      <c r="O220" s="196" t="str">
        <f>Inputs!O307</f>
        <v>-</v>
      </c>
      <c r="P220" s="196" t="str">
        <f>Inputs!P307</f>
        <v>-</v>
      </c>
      <c r="Q220" s="197" t="str">
        <f>Inputs!Q307</f>
        <v>-</v>
      </c>
      <c r="R220" s="196" t="str">
        <f>Inputs!R307</f>
        <v>-</v>
      </c>
      <c r="S220" s="196" t="str">
        <f>Inputs!S307</f>
        <v>-</v>
      </c>
      <c r="T220" s="196" t="str">
        <f>Inputs!T307</f>
        <v>-</v>
      </c>
      <c r="U220" s="196" t="str">
        <f>Inputs!U307</f>
        <v>-</v>
      </c>
      <c r="V220" s="196" t="str">
        <f>Inputs!V307</f>
        <v>-</v>
      </c>
      <c r="W220" s="196" t="str">
        <f>Inputs!W307</f>
        <v>-</v>
      </c>
      <c r="X220" s="196" t="str">
        <f>Inputs!X307</f>
        <v>-</v>
      </c>
      <c r="Y220" s="196" t="str">
        <f>Inputs!Y307</f>
        <v>-</v>
      </c>
      <c r="Z220" s="196" t="str">
        <f>Inputs!Z307</f>
        <v>-</v>
      </c>
      <c r="AA220" s="196" t="str">
        <f>Inputs!AA307</f>
        <v>-</v>
      </c>
      <c r="AB220" s="196" t="str">
        <f>Inputs!AB307</f>
        <v>-</v>
      </c>
      <c r="AC220" s="196" t="str">
        <f>Inputs!AC307</f>
        <v>-</v>
      </c>
      <c r="AD220" s="196" t="str">
        <f>Inputs!AD307</f>
        <v>-</v>
      </c>
      <c r="AE220" s="196" t="str">
        <f>Inputs!AE307</f>
        <v>-</v>
      </c>
      <c r="AF220" s="196" t="str">
        <f>Inputs!AF307</f>
        <v>-</v>
      </c>
      <c r="AG220" s="196" t="str">
        <f>Inputs!AG307</f>
        <v>-</v>
      </c>
      <c r="AH220" s="196" t="str">
        <f>Inputs!AH307</f>
        <v>-</v>
      </c>
      <c r="AI220" s="196" t="str">
        <f>Inputs!AI307</f>
        <v>-</v>
      </c>
      <c r="AJ220" s="196" t="str">
        <f>Inputs!AJ307</f>
        <v>-</v>
      </c>
      <c r="AK220" s="196" t="str">
        <f>Inputs!AK307</f>
        <v>-</v>
      </c>
      <c r="AL220" s="196" t="str">
        <f>Inputs!AL307</f>
        <v>-</v>
      </c>
      <c r="AM220" s="196" t="str">
        <f>Inputs!AM307</f>
        <v>-</v>
      </c>
      <c r="AN220" s="196" t="str">
        <f>Inputs!AN307</f>
        <v>-</v>
      </c>
      <c r="AO220" s="196" t="str">
        <f>Inputs!AO307</f>
        <v>-</v>
      </c>
      <c r="AP220" s="196" t="str">
        <f>Inputs!AP307</f>
        <v>-</v>
      </c>
      <c r="AQ220" s="196" t="str">
        <f>Inputs!AQ307</f>
        <v>-</v>
      </c>
      <c r="AR220" s="196" t="str">
        <f>Inputs!AR307</f>
        <v>-</v>
      </c>
      <c r="AS220" s="196" t="str">
        <f>Inputs!AS307</f>
        <v>-</v>
      </c>
      <c r="AT220" s="196" t="str">
        <f>Inputs!AT307</f>
        <v>-</v>
      </c>
      <c r="AU220" s="196" t="str">
        <f>Inputs!AU307</f>
        <v>-</v>
      </c>
      <c r="AV220" s="196" t="str">
        <f>Inputs!AV307</f>
        <v>-</v>
      </c>
      <c r="AW220" s="219"/>
    </row>
    <row r="221">
      <c r="A221" s="122"/>
      <c r="B221" s="123"/>
      <c r="C221" s="123"/>
      <c r="D221" s="123"/>
      <c r="E221" s="192" t="s">
        <v>321</v>
      </c>
      <c r="F221" s="193" t="str">
        <f>Inputs!F308</f>
        <v>%</v>
      </c>
      <c r="G221" s="235" t="str">
        <f>Inputs!G308</f>
        <v>input</v>
      </c>
      <c r="H221" s="208">
        <f>Inputs!H308</f>
        <v>0.036</v>
      </c>
      <c r="I221" s="196" t="str">
        <f>Inputs!I308</f>
        <v>-</v>
      </c>
      <c r="J221" s="196" t="str">
        <f>Inputs!J308</f>
        <v>-</v>
      </c>
      <c r="K221" s="196" t="str">
        <f>Inputs!K308</f>
        <v>-</v>
      </c>
      <c r="L221" s="196" t="str">
        <f>Inputs!L308</f>
        <v>-</v>
      </c>
      <c r="M221" s="196" t="str">
        <f>Inputs!M308</f>
        <v>-</v>
      </c>
      <c r="N221" s="196" t="str">
        <f>Inputs!N308</f>
        <v>-</v>
      </c>
      <c r="O221" s="196" t="str">
        <f>Inputs!O308</f>
        <v>-</v>
      </c>
      <c r="P221" s="196" t="str">
        <f>Inputs!P308</f>
        <v>-</v>
      </c>
      <c r="Q221" s="197" t="str">
        <f>Inputs!Q308</f>
        <v>-</v>
      </c>
      <c r="R221" s="196" t="str">
        <f>Inputs!R308</f>
        <v>-</v>
      </c>
      <c r="S221" s="196" t="str">
        <f>Inputs!S308</f>
        <v>-</v>
      </c>
      <c r="T221" s="196" t="str">
        <f>Inputs!T308</f>
        <v>-</v>
      </c>
      <c r="U221" s="196" t="str">
        <f>Inputs!U308</f>
        <v>-</v>
      </c>
      <c r="V221" s="196" t="str">
        <f>Inputs!V308</f>
        <v>-</v>
      </c>
      <c r="W221" s="196" t="str">
        <f>Inputs!W308</f>
        <v>-</v>
      </c>
      <c r="X221" s="196" t="str">
        <f>Inputs!X308</f>
        <v>-</v>
      </c>
      <c r="Y221" s="196" t="str">
        <f>Inputs!Y308</f>
        <v>-</v>
      </c>
      <c r="Z221" s="196" t="str">
        <f>Inputs!Z308</f>
        <v>-</v>
      </c>
      <c r="AA221" s="196" t="str">
        <f>Inputs!AA308</f>
        <v>-</v>
      </c>
      <c r="AB221" s="196" t="str">
        <f>Inputs!AB308</f>
        <v>-</v>
      </c>
      <c r="AC221" s="196" t="str">
        <f>Inputs!AC308</f>
        <v>-</v>
      </c>
      <c r="AD221" s="196" t="str">
        <f>Inputs!AD308</f>
        <v>-</v>
      </c>
      <c r="AE221" s="196" t="str">
        <f>Inputs!AE308</f>
        <v>-</v>
      </c>
      <c r="AF221" s="196" t="str">
        <f>Inputs!AF308</f>
        <v>-</v>
      </c>
      <c r="AG221" s="196" t="str">
        <f>Inputs!AG308</f>
        <v>-</v>
      </c>
      <c r="AH221" s="196" t="str">
        <f>Inputs!AH308</f>
        <v>-</v>
      </c>
      <c r="AI221" s="196" t="str">
        <f>Inputs!AI308</f>
        <v>-</v>
      </c>
      <c r="AJ221" s="196" t="str">
        <f>Inputs!AJ308</f>
        <v>-</v>
      </c>
      <c r="AK221" s="196" t="str">
        <f>Inputs!AK308</f>
        <v>-</v>
      </c>
      <c r="AL221" s="196" t="str">
        <f>Inputs!AL308</f>
        <v>-</v>
      </c>
      <c r="AM221" s="196" t="str">
        <f>Inputs!AM308</f>
        <v>-</v>
      </c>
      <c r="AN221" s="196" t="str">
        <f>Inputs!AN308</f>
        <v>-</v>
      </c>
      <c r="AO221" s="196" t="str">
        <f>Inputs!AO308</f>
        <v>-</v>
      </c>
      <c r="AP221" s="196" t="str">
        <f>Inputs!AP308</f>
        <v>-</v>
      </c>
      <c r="AQ221" s="196" t="str">
        <f>Inputs!AQ308</f>
        <v>-</v>
      </c>
      <c r="AR221" s="196" t="str">
        <f>Inputs!AR308</f>
        <v>-</v>
      </c>
      <c r="AS221" s="196" t="str">
        <f>Inputs!AS308</f>
        <v>-</v>
      </c>
      <c r="AT221" s="196" t="str">
        <f>Inputs!AT308</f>
        <v>-</v>
      </c>
      <c r="AU221" s="196" t="str">
        <f>Inputs!AU308</f>
        <v>-</v>
      </c>
      <c r="AV221" s="196" t="str">
        <f>Inputs!AV308</f>
        <v>-</v>
      </c>
      <c r="AW221" s="219"/>
    </row>
    <row r="222">
      <c r="A222" s="122"/>
      <c r="B222" s="123"/>
      <c r="C222" s="123"/>
      <c r="D222" s="123"/>
      <c r="E222" s="192" t="s">
        <v>322</v>
      </c>
      <c r="F222" s="193" t="str">
        <f>Inputs!F309</f>
        <v>%</v>
      </c>
      <c r="G222" s="235" t="str">
        <f>Inputs!G309</f>
        <v>input</v>
      </c>
      <c r="H222" s="208">
        <f>Inputs!H309</f>
        <v>0.04</v>
      </c>
      <c r="I222" s="196" t="str">
        <f>Inputs!I309</f>
        <v>-</v>
      </c>
      <c r="J222" s="196" t="str">
        <f>Inputs!J309</f>
        <v>-</v>
      </c>
      <c r="K222" s="196" t="str">
        <f>Inputs!K309</f>
        <v>-</v>
      </c>
      <c r="L222" s="196" t="str">
        <f>Inputs!L309</f>
        <v>-</v>
      </c>
      <c r="M222" s="196" t="str">
        <f>Inputs!M309</f>
        <v>-</v>
      </c>
      <c r="N222" s="196" t="str">
        <f>Inputs!N309</f>
        <v>-</v>
      </c>
      <c r="O222" s="196" t="str">
        <f>Inputs!O309</f>
        <v>-</v>
      </c>
      <c r="P222" s="196" t="str">
        <f>Inputs!P309</f>
        <v>-</v>
      </c>
      <c r="Q222" s="197" t="str">
        <f>Inputs!Q309</f>
        <v>-</v>
      </c>
      <c r="R222" s="196" t="str">
        <f>Inputs!R309</f>
        <v>-</v>
      </c>
      <c r="S222" s="196" t="str">
        <f>Inputs!S309</f>
        <v>-</v>
      </c>
      <c r="T222" s="196" t="str">
        <f>Inputs!T309</f>
        <v>-</v>
      </c>
      <c r="U222" s="196" t="str">
        <f>Inputs!U309</f>
        <v>-</v>
      </c>
      <c r="V222" s="196" t="str">
        <f>Inputs!V309</f>
        <v>-</v>
      </c>
      <c r="W222" s="196" t="str">
        <f>Inputs!W309</f>
        <v>-</v>
      </c>
      <c r="X222" s="196" t="str">
        <f>Inputs!X309</f>
        <v>-</v>
      </c>
      <c r="Y222" s="196" t="str">
        <f>Inputs!Y309</f>
        <v>-</v>
      </c>
      <c r="Z222" s="196" t="str">
        <f>Inputs!Z309</f>
        <v>-</v>
      </c>
      <c r="AA222" s="196" t="str">
        <f>Inputs!AA309</f>
        <v>-</v>
      </c>
      <c r="AB222" s="196" t="str">
        <f>Inputs!AB309</f>
        <v>-</v>
      </c>
      <c r="AC222" s="196" t="str">
        <f>Inputs!AC309</f>
        <v>-</v>
      </c>
      <c r="AD222" s="196" t="str">
        <f>Inputs!AD309</f>
        <v>-</v>
      </c>
      <c r="AE222" s="196" t="str">
        <f>Inputs!AE309</f>
        <v>-</v>
      </c>
      <c r="AF222" s="196" t="str">
        <f>Inputs!AF309</f>
        <v>-</v>
      </c>
      <c r="AG222" s="196" t="str">
        <f>Inputs!AG309</f>
        <v>-</v>
      </c>
      <c r="AH222" s="196" t="str">
        <f>Inputs!AH309</f>
        <v>-</v>
      </c>
      <c r="AI222" s="196" t="str">
        <f>Inputs!AI309</f>
        <v>-</v>
      </c>
      <c r="AJ222" s="196" t="str">
        <f>Inputs!AJ309</f>
        <v>-</v>
      </c>
      <c r="AK222" s="196" t="str">
        <f>Inputs!AK309</f>
        <v>-</v>
      </c>
      <c r="AL222" s="196" t="str">
        <f>Inputs!AL309</f>
        <v>-</v>
      </c>
      <c r="AM222" s="196" t="str">
        <f>Inputs!AM309</f>
        <v>-</v>
      </c>
      <c r="AN222" s="196" t="str">
        <f>Inputs!AN309</f>
        <v>-</v>
      </c>
      <c r="AO222" s="196" t="str">
        <f>Inputs!AO309</f>
        <v>-</v>
      </c>
      <c r="AP222" s="196" t="str">
        <f>Inputs!AP309</f>
        <v>-</v>
      </c>
      <c r="AQ222" s="196" t="str">
        <f>Inputs!AQ309</f>
        <v>-</v>
      </c>
      <c r="AR222" s="196" t="str">
        <f>Inputs!AR309</f>
        <v>-</v>
      </c>
      <c r="AS222" s="196" t="str">
        <f>Inputs!AS309</f>
        <v>-</v>
      </c>
      <c r="AT222" s="196" t="str">
        <f>Inputs!AT309</f>
        <v>-</v>
      </c>
      <c r="AU222" s="196" t="str">
        <f>Inputs!AU309</f>
        <v>-</v>
      </c>
      <c r="AV222" s="196" t="str">
        <f>Inputs!AV309</f>
        <v>-</v>
      </c>
      <c r="AW222" s="219"/>
    </row>
    <row r="223">
      <c r="A223" s="122"/>
      <c r="B223" s="123"/>
      <c r="C223" s="123"/>
      <c r="D223" s="123"/>
      <c r="E223" s="192" t="s">
        <v>323</v>
      </c>
      <c r="F223" s="193" t="str">
        <f>Inputs!F310</f>
        <v>%</v>
      </c>
      <c r="G223" s="235" t="str">
        <f>Inputs!G310</f>
        <v>input</v>
      </c>
      <c r="H223" s="208">
        <f>Inputs!H310</f>
        <v>-0.02</v>
      </c>
      <c r="I223" s="196" t="str">
        <f>Inputs!I310</f>
        <v>-</v>
      </c>
      <c r="J223" s="196" t="str">
        <f>Inputs!J310</f>
        <v>-</v>
      </c>
      <c r="K223" s="196" t="str">
        <f>Inputs!K310</f>
        <v>-</v>
      </c>
      <c r="L223" s="196" t="str">
        <f>Inputs!L310</f>
        <v>-</v>
      </c>
      <c r="M223" s="196" t="str">
        <f>Inputs!M310</f>
        <v>-</v>
      </c>
      <c r="N223" s="196" t="str">
        <f>Inputs!N310</f>
        <v>-</v>
      </c>
      <c r="O223" s="196" t="str">
        <f>Inputs!O310</f>
        <v>-</v>
      </c>
      <c r="P223" s="196" t="str">
        <f>Inputs!P310</f>
        <v>-</v>
      </c>
      <c r="Q223" s="197" t="str">
        <f>Inputs!Q310</f>
        <v>-</v>
      </c>
      <c r="R223" s="196" t="str">
        <f>Inputs!R310</f>
        <v>-</v>
      </c>
      <c r="S223" s="196" t="str">
        <f>Inputs!S310</f>
        <v>-</v>
      </c>
      <c r="T223" s="196" t="str">
        <f>Inputs!T310</f>
        <v>-</v>
      </c>
      <c r="U223" s="196" t="str">
        <f>Inputs!U310</f>
        <v>-</v>
      </c>
      <c r="V223" s="196" t="str">
        <f>Inputs!V310</f>
        <v>-</v>
      </c>
      <c r="W223" s="196" t="str">
        <f>Inputs!W310</f>
        <v>-</v>
      </c>
      <c r="X223" s="196" t="str">
        <f>Inputs!X310</f>
        <v>-</v>
      </c>
      <c r="Y223" s="196" t="str">
        <f>Inputs!Y310</f>
        <v>-</v>
      </c>
      <c r="Z223" s="196" t="str">
        <f>Inputs!Z310</f>
        <v>-</v>
      </c>
      <c r="AA223" s="196" t="str">
        <f>Inputs!AA310</f>
        <v>-</v>
      </c>
      <c r="AB223" s="196" t="str">
        <f>Inputs!AB310</f>
        <v>-</v>
      </c>
      <c r="AC223" s="196" t="str">
        <f>Inputs!AC310</f>
        <v>-</v>
      </c>
      <c r="AD223" s="196" t="str">
        <f>Inputs!AD310</f>
        <v>-</v>
      </c>
      <c r="AE223" s="196" t="str">
        <f>Inputs!AE310</f>
        <v>-</v>
      </c>
      <c r="AF223" s="196" t="str">
        <f>Inputs!AF310</f>
        <v>-</v>
      </c>
      <c r="AG223" s="196" t="str">
        <f>Inputs!AG310</f>
        <v>-</v>
      </c>
      <c r="AH223" s="196" t="str">
        <f>Inputs!AH310</f>
        <v>-</v>
      </c>
      <c r="AI223" s="196" t="str">
        <f>Inputs!AI310</f>
        <v>-</v>
      </c>
      <c r="AJ223" s="196" t="str">
        <f>Inputs!AJ310</f>
        <v>-</v>
      </c>
      <c r="AK223" s="196" t="str">
        <f>Inputs!AK310</f>
        <v>-</v>
      </c>
      <c r="AL223" s="196" t="str">
        <f>Inputs!AL310</f>
        <v>-</v>
      </c>
      <c r="AM223" s="196" t="str">
        <f>Inputs!AM310</f>
        <v>-</v>
      </c>
      <c r="AN223" s="196" t="str">
        <f>Inputs!AN310</f>
        <v>-</v>
      </c>
      <c r="AO223" s="196" t="str">
        <f>Inputs!AO310</f>
        <v>-</v>
      </c>
      <c r="AP223" s="196" t="str">
        <f>Inputs!AP310</f>
        <v>-</v>
      </c>
      <c r="AQ223" s="196" t="str">
        <f>Inputs!AQ310</f>
        <v>-</v>
      </c>
      <c r="AR223" s="196" t="str">
        <f>Inputs!AR310</f>
        <v>-</v>
      </c>
      <c r="AS223" s="196" t="str">
        <f>Inputs!AS310</f>
        <v>-</v>
      </c>
      <c r="AT223" s="196" t="str">
        <f>Inputs!AT310</f>
        <v>-</v>
      </c>
      <c r="AU223" s="196" t="str">
        <f>Inputs!AU310</f>
        <v>-</v>
      </c>
      <c r="AV223" s="196" t="str">
        <f>Inputs!AV310</f>
        <v>-</v>
      </c>
      <c r="AW223" s="219"/>
    </row>
    <row r="224">
      <c r="A224" s="122"/>
      <c r="B224" s="123"/>
      <c r="C224" s="123"/>
      <c r="D224" s="123"/>
      <c r="E224" s="192" t="s">
        <v>324</v>
      </c>
      <c r="F224" s="193" t="str">
        <f>Inputs!F311</f>
        <v>%</v>
      </c>
      <c r="G224" s="235" t="str">
        <f>Inputs!G311</f>
        <v>input</v>
      </c>
      <c r="H224" s="208">
        <f>Inputs!H311</f>
        <v>-0.04</v>
      </c>
      <c r="I224" s="196" t="str">
        <f>Inputs!I311</f>
        <v>-</v>
      </c>
      <c r="J224" s="196" t="str">
        <f>Inputs!J311</f>
        <v>-</v>
      </c>
      <c r="K224" s="196" t="str">
        <f>Inputs!K311</f>
        <v>-</v>
      </c>
      <c r="L224" s="196" t="str">
        <f>Inputs!L311</f>
        <v>-</v>
      </c>
      <c r="M224" s="196" t="str">
        <f>Inputs!M311</f>
        <v>-</v>
      </c>
      <c r="N224" s="196" t="str">
        <f>Inputs!N311</f>
        <v>-</v>
      </c>
      <c r="O224" s="196" t="str">
        <f>Inputs!O311</f>
        <v>-</v>
      </c>
      <c r="P224" s="196" t="str">
        <f>Inputs!P311</f>
        <v>-</v>
      </c>
      <c r="Q224" s="197" t="str">
        <f>Inputs!Q311</f>
        <v>-</v>
      </c>
      <c r="R224" s="196" t="str">
        <f>Inputs!R311</f>
        <v>-</v>
      </c>
      <c r="S224" s="196" t="str">
        <f>Inputs!S311</f>
        <v>-</v>
      </c>
      <c r="T224" s="196" t="str">
        <f>Inputs!T311</f>
        <v>-</v>
      </c>
      <c r="U224" s="196" t="str">
        <f>Inputs!U311</f>
        <v>-</v>
      </c>
      <c r="V224" s="196" t="str">
        <f>Inputs!V311</f>
        <v>-</v>
      </c>
      <c r="W224" s="196" t="str">
        <f>Inputs!W311</f>
        <v>-</v>
      </c>
      <c r="X224" s="196" t="str">
        <f>Inputs!X311</f>
        <v>-</v>
      </c>
      <c r="Y224" s="196" t="str">
        <f>Inputs!Y311</f>
        <v>-</v>
      </c>
      <c r="Z224" s="196" t="str">
        <f>Inputs!Z311</f>
        <v>-</v>
      </c>
      <c r="AA224" s="196" t="str">
        <f>Inputs!AA311</f>
        <v>-</v>
      </c>
      <c r="AB224" s="196" t="str">
        <f>Inputs!AB311</f>
        <v>-</v>
      </c>
      <c r="AC224" s="196" t="str">
        <f>Inputs!AC311</f>
        <v>-</v>
      </c>
      <c r="AD224" s="196" t="str">
        <f>Inputs!AD311</f>
        <v>-</v>
      </c>
      <c r="AE224" s="196" t="str">
        <f>Inputs!AE311</f>
        <v>-</v>
      </c>
      <c r="AF224" s="196" t="str">
        <f>Inputs!AF311</f>
        <v>-</v>
      </c>
      <c r="AG224" s="196" t="str">
        <f>Inputs!AG311</f>
        <v>-</v>
      </c>
      <c r="AH224" s="196" t="str">
        <f>Inputs!AH311</f>
        <v>-</v>
      </c>
      <c r="AI224" s="196" t="str">
        <f>Inputs!AI311</f>
        <v>-</v>
      </c>
      <c r="AJ224" s="196" t="str">
        <f>Inputs!AJ311</f>
        <v>-</v>
      </c>
      <c r="AK224" s="196" t="str">
        <f>Inputs!AK311</f>
        <v>-</v>
      </c>
      <c r="AL224" s="196" t="str">
        <f>Inputs!AL311</f>
        <v>-</v>
      </c>
      <c r="AM224" s="196" t="str">
        <f>Inputs!AM311</f>
        <v>-</v>
      </c>
      <c r="AN224" s="196" t="str">
        <f>Inputs!AN311</f>
        <v>-</v>
      </c>
      <c r="AO224" s="196" t="str">
        <f>Inputs!AO311</f>
        <v>-</v>
      </c>
      <c r="AP224" s="196" t="str">
        <f>Inputs!AP311</f>
        <v>-</v>
      </c>
      <c r="AQ224" s="196" t="str">
        <f>Inputs!AQ311</f>
        <v>-</v>
      </c>
      <c r="AR224" s="196" t="str">
        <f>Inputs!AR311</f>
        <v>-</v>
      </c>
      <c r="AS224" s="196" t="str">
        <f>Inputs!AS311</f>
        <v>-</v>
      </c>
      <c r="AT224" s="196" t="str">
        <f>Inputs!AT311</f>
        <v>-</v>
      </c>
      <c r="AU224" s="196" t="str">
        <f>Inputs!AU311</f>
        <v>-</v>
      </c>
      <c r="AV224" s="196" t="str">
        <f>Inputs!AV311</f>
        <v>-</v>
      </c>
      <c r="AW224" s="219"/>
    </row>
    <row r="225">
      <c r="A225" s="122"/>
      <c r="B225" s="123"/>
      <c r="C225" s="123"/>
      <c r="D225" s="397"/>
      <c r="E225" s="192" t="s">
        <v>325</v>
      </c>
      <c r="F225" s="193" t="str">
        <f>Inputs!F312</f>
        <v>%</v>
      </c>
      <c r="G225" s="235" t="str">
        <f>Inputs!G312</f>
        <v>input</v>
      </c>
      <c r="H225" s="208">
        <f>Inputs!H312</f>
        <v>0.035</v>
      </c>
      <c r="I225" s="402" t="str">
        <f>Inputs!I312</f>
        <v>-</v>
      </c>
      <c r="J225" s="196" t="str">
        <f>Inputs!J312</f>
        <v>-</v>
      </c>
      <c r="K225" s="196" t="str">
        <f>Inputs!K312</f>
        <v>-</v>
      </c>
      <c r="L225" s="196" t="str">
        <f>Inputs!L312</f>
        <v>-</v>
      </c>
      <c r="M225" s="196" t="str">
        <f>Inputs!M312</f>
        <v>-</v>
      </c>
      <c r="N225" s="196" t="str">
        <f>Inputs!N312</f>
        <v>-</v>
      </c>
      <c r="O225" s="196" t="str">
        <f>Inputs!O312</f>
        <v>-</v>
      </c>
      <c r="P225" s="196" t="str">
        <f>Inputs!P312</f>
        <v>-</v>
      </c>
      <c r="Q225" s="197" t="str">
        <f>Inputs!Q312</f>
        <v>-</v>
      </c>
      <c r="R225" s="402" t="str">
        <f>Inputs!R312</f>
        <v>-</v>
      </c>
      <c r="S225" s="196" t="str">
        <f>Inputs!S312</f>
        <v>-</v>
      </c>
      <c r="T225" s="196" t="str">
        <f>Inputs!T312</f>
        <v>-</v>
      </c>
      <c r="U225" s="196" t="str">
        <f>Inputs!U312</f>
        <v>-</v>
      </c>
      <c r="V225" s="196" t="str">
        <f>Inputs!V312</f>
        <v>-</v>
      </c>
      <c r="W225" s="196" t="str">
        <f>Inputs!W312</f>
        <v>-</v>
      </c>
      <c r="X225" s="196" t="str">
        <f>Inputs!X312</f>
        <v>-</v>
      </c>
      <c r="Y225" s="196" t="str">
        <f>Inputs!Y312</f>
        <v>-</v>
      </c>
      <c r="Z225" s="196" t="str">
        <f>Inputs!Z312</f>
        <v>-</v>
      </c>
      <c r="AA225" s="196" t="str">
        <f>Inputs!AA312</f>
        <v>-</v>
      </c>
      <c r="AB225" s="196" t="str">
        <f>Inputs!AB312</f>
        <v>-</v>
      </c>
      <c r="AC225" s="196" t="str">
        <f>Inputs!AC312</f>
        <v>-</v>
      </c>
      <c r="AD225" s="196" t="str">
        <f>Inputs!AD312</f>
        <v>-</v>
      </c>
      <c r="AE225" s="196" t="str">
        <f>Inputs!AE312</f>
        <v>-</v>
      </c>
      <c r="AF225" s="196" t="str">
        <f>Inputs!AF312</f>
        <v>-</v>
      </c>
      <c r="AG225" s="196" t="str">
        <f>Inputs!AG312</f>
        <v>-</v>
      </c>
      <c r="AH225" s="196" t="str">
        <f>Inputs!AH312</f>
        <v>-</v>
      </c>
      <c r="AI225" s="196" t="str">
        <f>Inputs!AI312</f>
        <v>-</v>
      </c>
      <c r="AJ225" s="196" t="str">
        <f>Inputs!AJ312</f>
        <v>-</v>
      </c>
      <c r="AK225" s="196" t="str">
        <f>Inputs!AK312</f>
        <v>-</v>
      </c>
      <c r="AL225" s="196" t="str">
        <f>Inputs!AL312</f>
        <v>-</v>
      </c>
      <c r="AM225" s="196" t="str">
        <f>Inputs!AM312</f>
        <v>-</v>
      </c>
      <c r="AN225" s="196" t="str">
        <f>Inputs!AN312</f>
        <v>-</v>
      </c>
      <c r="AO225" s="196" t="str">
        <f>Inputs!AO312</f>
        <v>-</v>
      </c>
      <c r="AP225" s="196" t="str">
        <f>Inputs!AP312</f>
        <v>-</v>
      </c>
      <c r="AQ225" s="196" t="str">
        <f>Inputs!AQ312</f>
        <v>-</v>
      </c>
      <c r="AR225" s="196" t="str">
        <f>Inputs!AR312</f>
        <v>-</v>
      </c>
      <c r="AS225" s="196" t="str">
        <f>Inputs!AS312</f>
        <v>-</v>
      </c>
      <c r="AT225" s="196" t="str">
        <f>Inputs!AT312</f>
        <v>-</v>
      </c>
      <c r="AU225" s="196" t="str">
        <f>Inputs!AU312</f>
        <v>-</v>
      </c>
      <c r="AV225" s="196" t="str">
        <f>Inputs!AV312</f>
        <v>-</v>
      </c>
      <c r="AW225" s="197" t="str">
        <f>Inputs!AW312</f>
        <v/>
      </c>
    </row>
    <row r="226">
      <c r="A226" s="122"/>
      <c r="B226" s="123"/>
      <c r="C226" s="123"/>
      <c r="D226" s="123"/>
      <c r="E226" s="192" t="s">
        <v>326</v>
      </c>
      <c r="F226" s="193" t="str">
        <f>Inputs!F313</f>
        <v>%</v>
      </c>
      <c r="G226" s="235" t="str">
        <f>Inputs!G313</f>
        <v>input</v>
      </c>
      <c r="H226" s="236" t="str">
        <f>Inputs!H313</f>
        <v>-</v>
      </c>
      <c r="I226" s="402">
        <f>Inputs!I313</f>
        <v>0</v>
      </c>
      <c r="J226" s="196">
        <f>Inputs!J313</f>
        <v>0</v>
      </c>
      <c r="K226" s="196">
        <f>Inputs!K313</f>
        <v>0</v>
      </c>
      <c r="L226" s="196">
        <f>Inputs!L313</f>
        <v>0</v>
      </c>
      <c r="M226" s="196">
        <f>Inputs!M313</f>
        <v>0</v>
      </c>
      <c r="N226" s="196">
        <f>Inputs!N313</f>
        <v>0</v>
      </c>
      <c r="O226" s="196">
        <f>Inputs!O313</f>
        <v>0</v>
      </c>
      <c r="P226" s="196">
        <f>Inputs!P313</f>
        <v>0</v>
      </c>
      <c r="Q226" s="197">
        <f>Inputs!Q313</f>
        <v>0</v>
      </c>
      <c r="R226" s="196">
        <f>Inputs!R313</f>
        <v>-0.1866666667</v>
      </c>
      <c r="S226" s="196">
        <f>Inputs!S313</f>
        <v>-0.1866666667</v>
      </c>
      <c r="T226" s="196">
        <f>Inputs!T313</f>
        <v>-0.1866666667</v>
      </c>
      <c r="U226" s="196">
        <f>Inputs!U313</f>
        <v>-0.1866666667</v>
      </c>
      <c r="V226" s="196">
        <f>Inputs!V313</f>
        <v>-0.1866666667</v>
      </c>
      <c r="W226" s="196">
        <f>Inputs!W313</f>
        <v>-0.1866666667</v>
      </c>
      <c r="X226" s="196">
        <f>Inputs!X313</f>
        <v>-0.1866666667</v>
      </c>
      <c r="Y226" s="196">
        <f>Inputs!Y313</f>
        <v>-0.1866666667</v>
      </c>
      <c r="Z226" s="196">
        <f>Inputs!Z313</f>
        <v>-0.1866666667</v>
      </c>
      <c r="AA226" s="196">
        <f>Inputs!AA313</f>
        <v>-0.1866666667</v>
      </c>
      <c r="AB226" s="196">
        <f>Inputs!AB313</f>
        <v>-0.1866666667</v>
      </c>
      <c r="AC226" s="196">
        <f>Inputs!AC313</f>
        <v>-0.1866666667</v>
      </c>
      <c r="AD226" s="196">
        <f>Inputs!AD313</f>
        <v>-0.1866666667</v>
      </c>
      <c r="AE226" s="196">
        <f>Inputs!AE313</f>
        <v>-0.1866666667</v>
      </c>
      <c r="AF226" s="196">
        <f>Inputs!AF313</f>
        <v>-0.1866666667</v>
      </c>
      <c r="AG226" s="196">
        <f>Inputs!AG313</f>
        <v>-0.1866666667</v>
      </c>
      <c r="AH226" s="196">
        <f>Inputs!AH313</f>
        <v>-0.1866666667</v>
      </c>
      <c r="AI226" s="196">
        <f>Inputs!AI313</f>
        <v>-0.1866666667</v>
      </c>
      <c r="AJ226" s="196">
        <f>Inputs!AJ313</f>
        <v>-0.1866666667</v>
      </c>
      <c r="AK226" s="196">
        <f>Inputs!AK313</f>
        <v>-0.1866666667</v>
      </c>
      <c r="AL226" s="196">
        <f>Inputs!AL313</f>
        <v>-0.15</v>
      </c>
      <c r="AM226" s="196">
        <f>Inputs!AM313</f>
        <v>-0.11</v>
      </c>
      <c r="AN226" s="196">
        <f>Inputs!AN313</f>
        <v>-0.15</v>
      </c>
      <c r="AO226" s="196">
        <f>Inputs!AO313</f>
        <v>-0.1866666667</v>
      </c>
      <c r="AP226" s="196">
        <f>Inputs!AP313</f>
        <v>-0.1866666667</v>
      </c>
      <c r="AQ226" s="196">
        <f>Inputs!AQ313</f>
        <v>-0.1866666667</v>
      </c>
      <c r="AR226" s="196">
        <f>Inputs!AR313</f>
        <v>-0.1866666667</v>
      </c>
      <c r="AS226" s="196">
        <f>Inputs!AS313</f>
        <v>-0.1866666667</v>
      </c>
      <c r="AT226" s="196">
        <f>Inputs!AT313</f>
        <v>-0.1866666667</v>
      </c>
      <c r="AU226" s="196">
        <f>Inputs!AU313</f>
        <v>-0.3</v>
      </c>
      <c r="AV226" s="196">
        <f>Inputs!AV313</f>
        <v>-0.11</v>
      </c>
      <c r="AW226" s="198"/>
    </row>
    <row r="227">
      <c r="A227" s="122"/>
      <c r="B227" s="123"/>
      <c r="C227" s="123"/>
      <c r="D227" s="397"/>
      <c r="E227" s="140"/>
      <c r="F227" s="141"/>
      <c r="G227" s="144"/>
      <c r="H227" s="188"/>
      <c r="I227" s="128"/>
      <c r="J227" s="128"/>
      <c r="K227" s="128"/>
      <c r="L227" s="128"/>
      <c r="M227" s="128"/>
      <c r="N227" s="128"/>
      <c r="O227" s="128"/>
      <c r="P227" s="128"/>
      <c r="Q227" s="129"/>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91"/>
    </row>
    <row r="228">
      <c r="A228" s="122"/>
      <c r="B228" s="123"/>
      <c r="C228" s="123"/>
      <c r="D228" s="398" t="s">
        <v>327</v>
      </c>
      <c r="E228" s="45"/>
      <c r="F228" s="134" t="s">
        <v>72</v>
      </c>
      <c r="G228" s="145" t="s">
        <v>161</v>
      </c>
      <c r="H228" s="146" t="s">
        <v>162</v>
      </c>
      <c r="I228" s="223">
        <f t="shared" ref="I228:AV228" si="61">SUM($H$212:$H$225,I226)</f>
        <v>0.503</v>
      </c>
      <c r="J228" s="223">
        <f t="shared" si="61"/>
        <v>0.503</v>
      </c>
      <c r="K228" s="223">
        <f t="shared" si="61"/>
        <v>0.503</v>
      </c>
      <c r="L228" s="223">
        <f t="shared" si="61"/>
        <v>0.503</v>
      </c>
      <c r="M228" s="223">
        <f t="shared" si="61"/>
        <v>0.503</v>
      </c>
      <c r="N228" s="223">
        <f t="shared" si="61"/>
        <v>0.503</v>
      </c>
      <c r="O228" s="223">
        <f t="shared" si="61"/>
        <v>0.503</v>
      </c>
      <c r="P228" s="223">
        <f t="shared" si="61"/>
        <v>0.503</v>
      </c>
      <c r="Q228" s="224">
        <f t="shared" si="61"/>
        <v>0.503</v>
      </c>
      <c r="R228" s="223">
        <f t="shared" si="61"/>
        <v>0.3163333333</v>
      </c>
      <c r="S228" s="223">
        <f t="shared" si="61"/>
        <v>0.3163333333</v>
      </c>
      <c r="T228" s="223">
        <f t="shared" si="61"/>
        <v>0.3163333333</v>
      </c>
      <c r="U228" s="223">
        <f t="shared" si="61"/>
        <v>0.3163333333</v>
      </c>
      <c r="V228" s="223">
        <f t="shared" si="61"/>
        <v>0.3163333333</v>
      </c>
      <c r="W228" s="223">
        <f t="shared" si="61"/>
        <v>0.3163333333</v>
      </c>
      <c r="X228" s="223">
        <f t="shared" si="61"/>
        <v>0.3163333333</v>
      </c>
      <c r="Y228" s="223">
        <f t="shared" si="61"/>
        <v>0.3163333333</v>
      </c>
      <c r="Z228" s="223">
        <f t="shared" si="61"/>
        <v>0.3163333333</v>
      </c>
      <c r="AA228" s="223">
        <f t="shared" si="61"/>
        <v>0.3163333333</v>
      </c>
      <c r="AB228" s="223">
        <f t="shared" si="61"/>
        <v>0.3163333333</v>
      </c>
      <c r="AC228" s="223">
        <f t="shared" si="61"/>
        <v>0.3163333333</v>
      </c>
      <c r="AD228" s="223">
        <f t="shared" si="61"/>
        <v>0.3163333333</v>
      </c>
      <c r="AE228" s="223">
        <f t="shared" si="61"/>
        <v>0.3163333333</v>
      </c>
      <c r="AF228" s="223">
        <f t="shared" si="61"/>
        <v>0.3163333333</v>
      </c>
      <c r="AG228" s="223">
        <f t="shared" si="61"/>
        <v>0.3163333333</v>
      </c>
      <c r="AH228" s="223">
        <f t="shared" si="61"/>
        <v>0.3163333333</v>
      </c>
      <c r="AI228" s="223">
        <f t="shared" si="61"/>
        <v>0.3163333333</v>
      </c>
      <c r="AJ228" s="223">
        <f t="shared" si="61"/>
        <v>0.3163333333</v>
      </c>
      <c r="AK228" s="223">
        <f t="shared" si="61"/>
        <v>0.3163333333</v>
      </c>
      <c r="AL228" s="223">
        <f t="shared" si="61"/>
        <v>0.353</v>
      </c>
      <c r="AM228" s="223">
        <f t="shared" si="61"/>
        <v>0.393</v>
      </c>
      <c r="AN228" s="223">
        <f t="shared" si="61"/>
        <v>0.353</v>
      </c>
      <c r="AO228" s="223">
        <f t="shared" si="61"/>
        <v>0.3163333333</v>
      </c>
      <c r="AP228" s="223">
        <f t="shared" si="61"/>
        <v>0.3163333333</v>
      </c>
      <c r="AQ228" s="223">
        <f t="shared" si="61"/>
        <v>0.3163333333</v>
      </c>
      <c r="AR228" s="223">
        <f t="shared" si="61"/>
        <v>0.3163333333</v>
      </c>
      <c r="AS228" s="223">
        <f t="shared" si="61"/>
        <v>0.3163333333</v>
      </c>
      <c r="AT228" s="223">
        <f t="shared" si="61"/>
        <v>0.3163333333</v>
      </c>
      <c r="AU228" s="223">
        <f t="shared" si="61"/>
        <v>0.203</v>
      </c>
      <c r="AV228" s="223">
        <f t="shared" si="61"/>
        <v>0.393</v>
      </c>
      <c r="AW228" s="403"/>
    </row>
    <row r="229">
      <c r="A229" s="122"/>
      <c r="B229" s="123"/>
      <c r="C229" s="123"/>
      <c r="D229" s="123"/>
      <c r="E229" s="124"/>
      <c r="F229" s="404"/>
      <c r="G229" s="126"/>
      <c r="H229" s="127"/>
      <c r="I229" s="128"/>
      <c r="J229" s="128"/>
      <c r="K229" s="128"/>
      <c r="L229" s="128"/>
      <c r="M229" s="128"/>
      <c r="N229" s="128"/>
      <c r="O229" s="128"/>
      <c r="P229" s="128"/>
      <c r="Q229" s="129"/>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405"/>
    </row>
    <row r="230">
      <c r="A230" s="122"/>
      <c r="B230" s="123"/>
      <c r="C230" s="342" t="s">
        <v>328</v>
      </c>
      <c r="F230" s="404"/>
      <c r="G230" s="126"/>
      <c r="H230" s="127"/>
      <c r="I230" s="128"/>
      <c r="J230" s="128"/>
      <c r="K230" s="128"/>
      <c r="L230" s="128"/>
      <c r="M230" s="128"/>
      <c r="N230" s="128"/>
      <c r="O230" s="128"/>
      <c r="P230" s="128"/>
      <c r="Q230" s="129"/>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123"/>
      <c r="D231" s="123"/>
      <c r="E231" s="192" t="s">
        <v>329</v>
      </c>
      <c r="F231" s="193" t="s">
        <v>72</v>
      </c>
      <c r="G231" s="235" t="s">
        <v>173</v>
      </c>
      <c r="H231" s="389" t="str">
        <f>LeverageFunging!H95</f>
        <v>-</v>
      </c>
      <c r="I231" s="383">
        <f>LeverageFunging!I95</f>
        <v>-0.04421833055</v>
      </c>
      <c r="J231" s="383">
        <f>LeverageFunging!J95</f>
        <v>-0.05685457843</v>
      </c>
      <c r="K231" s="383">
        <f>LeverageFunging!K95</f>
        <v>-0.0377404287</v>
      </c>
      <c r="L231" s="383">
        <f>LeverageFunging!L95</f>
        <v>-0.08094931709</v>
      </c>
      <c r="M231" s="383">
        <f>LeverageFunging!M95</f>
        <v>-0.062527746</v>
      </c>
      <c r="N231" s="383">
        <f>LeverageFunging!N95</f>
        <v>-0.05343454263</v>
      </c>
      <c r="O231" s="383">
        <f>LeverageFunging!O95</f>
        <v>-0.04603517759</v>
      </c>
      <c r="P231" s="383">
        <f>LeverageFunging!P95</f>
        <v>-0.03918562727</v>
      </c>
      <c r="Q231" s="384">
        <f>LeverageFunging!Q95</f>
        <v>-0.03176670886</v>
      </c>
      <c r="R231" s="383">
        <f>LeverageFunging!R95</f>
        <v>-0.1029801284</v>
      </c>
      <c r="S231" s="383">
        <f>LeverageFunging!S95</f>
        <v>-0.06464919851</v>
      </c>
      <c r="T231" s="383">
        <f>LeverageFunging!T95</f>
        <v>-0.1338738817</v>
      </c>
      <c r="U231" s="383">
        <f>LeverageFunging!U95</f>
        <v>-0.1440989235</v>
      </c>
      <c r="V231" s="383">
        <f>LeverageFunging!V95</f>
        <v>-0.1131989389</v>
      </c>
      <c r="W231" s="383">
        <f>LeverageFunging!W95</f>
        <v>-0.1018241225</v>
      </c>
      <c r="X231" s="383">
        <f>LeverageFunging!X95</f>
        <v>-0.1391802151</v>
      </c>
      <c r="Y231" s="383">
        <f>LeverageFunging!Y95</f>
        <v>-0.08306932664</v>
      </c>
      <c r="Z231" s="383">
        <f>LeverageFunging!Z95</f>
        <v>-0.1330180799</v>
      </c>
      <c r="AA231" s="383">
        <f>LeverageFunging!AA95</f>
        <v>-0.01744183793</v>
      </c>
      <c r="AB231" s="383">
        <f>LeverageFunging!AB95</f>
        <v>-0.09376172634</v>
      </c>
      <c r="AC231" s="383">
        <f>LeverageFunging!AC95</f>
        <v>-0.06945910631</v>
      </c>
      <c r="AD231" s="383">
        <f>LeverageFunging!AD95</f>
        <v>-0.0492266479</v>
      </c>
      <c r="AE231" s="383">
        <f>LeverageFunging!AE95</f>
        <v>-0.09531348608</v>
      </c>
      <c r="AF231" s="383">
        <f>LeverageFunging!AF95</f>
        <v>-0.08848526431</v>
      </c>
      <c r="AG231" s="383">
        <f>LeverageFunging!AG95</f>
        <v>-0.0872578047</v>
      </c>
      <c r="AH231" s="383">
        <f>LeverageFunging!AH95</f>
        <v>-0.1177754266</v>
      </c>
      <c r="AI231" s="383">
        <f>LeverageFunging!AI95</f>
        <v>-0.2138327328</v>
      </c>
      <c r="AJ231" s="383">
        <f>LeverageFunging!AJ95</f>
        <v>-0.1086785193</v>
      </c>
      <c r="AK231" s="383">
        <f>LeverageFunging!AK95</f>
        <v>-0.1267130231</v>
      </c>
      <c r="AL231" s="383">
        <f>LeverageFunging!AL95</f>
        <v>-0.09904028638</v>
      </c>
      <c r="AM231" s="383">
        <f>LeverageFunging!AM95</f>
        <v>-0.09782004392</v>
      </c>
      <c r="AN231" s="383">
        <f>LeverageFunging!AN95</f>
        <v>-0.0944713686</v>
      </c>
      <c r="AO231" s="383">
        <f>LeverageFunging!AO95</f>
        <v>-0.1995369413</v>
      </c>
      <c r="AP231" s="383">
        <f>LeverageFunging!AP95</f>
        <v>-0.1704418911</v>
      </c>
      <c r="AQ231" s="383">
        <f>LeverageFunging!AQ95</f>
        <v>-0.1347357852</v>
      </c>
      <c r="AR231" s="383">
        <f>LeverageFunging!AR95</f>
        <v>-0.2110880744</v>
      </c>
      <c r="AS231" s="383">
        <f>LeverageFunging!AS95</f>
        <v>-0.1313847769</v>
      </c>
      <c r="AT231" s="383">
        <f>LeverageFunging!AT95</f>
        <v>-0.1011726184</v>
      </c>
      <c r="AU231" s="383">
        <f>LeverageFunging!AU95</f>
        <v>-0.07271630744</v>
      </c>
      <c r="AV231" s="383">
        <f>LeverageFunging!AV95</f>
        <v>-0.06242416514</v>
      </c>
      <c r="AW231" s="256"/>
    </row>
    <row r="232">
      <c r="A232" s="122"/>
      <c r="B232" s="123"/>
      <c r="C232" s="123"/>
      <c r="D232" s="123"/>
      <c r="E232" s="212" t="s">
        <v>330</v>
      </c>
      <c r="F232" s="213" t="s">
        <v>72</v>
      </c>
      <c r="G232" s="239" t="s">
        <v>173</v>
      </c>
      <c r="H232" s="243" t="str">
        <f>LeverageFunging!H96</f>
        <v>-</v>
      </c>
      <c r="I232" s="241">
        <f>LeverageFunging!I96</f>
        <v>-0.0934652923</v>
      </c>
      <c r="J232" s="241">
        <f>LeverageFunging!J96</f>
        <v>-0.08702584485</v>
      </c>
      <c r="K232" s="241">
        <f>LeverageFunging!K96</f>
        <v>-0.0927356631</v>
      </c>
      <c r="L232" s="241">
        <f>LeverageFunging!L96</f>
        <v>-0.08594691079</v>
      </c>
      <c r="M232" s="241">
        <f>LeverageFunging!M96</f>
        <v>-0.08979372015</v>
      </c>
      <c r="N232" s="241">
        <f>LeverageFunging!N96</f>
        <v>-0.092282267</v>
      </c>
      <c r="O232" s="241">
        <f>LeverageFunging!O96</f>
        <v>-0.09551033376</v>
      </c>
      <c r="P232" s="241">
        <f>LeverageFunging!P96</f>
        <v>-0.09659819372</v>
      </c>
      <c r="Q232" s="242">
        <f>LeverageFunging!Q96</f>
        <v>-0.09577101439</v>
      </c>
      <c r="R232" s="241">
        <f>LeverageFunging!R96</f>
        <v>-0.02154847982</v>
      </c>
      <c r="S232" s="241">
        <f>LeverageFunging!S96</f>
        <v>-0.06646948879</v>
      </c>
      <c r="T232" s="241">
        <f>LeverageFunging!T96</f>
        <v>-0.02015791271</v>
      </c>
      <c r="U232" s="241">
        <f>LeverageFunging!U96</f>
        <v>-0.02993944946</v>
      </c>
      <c r="V232" s="241">
        <f>LeverageFunging!V96</f>
        <v>-0.05245162943</v>
      </c>
      <c r="W232" s="241">
        <f>LeverageFunging!W96</f>
        <v>-0.05739714644</v>
      </c>
      <c r="X232" s="241">
        <f>LeverageFunging!X96</f>
        <v>-0.07650423033</v>
      </c>
      <c r="Y232" s="241">
        <f>LeverageFunging!Y96</f>
        <v>-0.006348747455</v>
      </c>
      <c r="Z232" s="241">
        <f>LeverageFunging!Z96</f>
        <v>-0.0395784638</v>
      </c>
      <c r="AA232" s="241">
        <f>LeverageFunging!AA96</f>
        <v>0.04412366221</v>
      </c>
      <c r="AB232" s="241">
        <f>LeverageFunging!AB96</f>
        <v>-0.0111719932</v>
      </c>
      <c r="AC232" s="241">
        <f>LeverageFunging!AC96</f>
        <v>0.01804207687</v>
      </c>
      <c r="AD232" s="241">
        <f>LeverageFunging!AD96</f>
        <v>0.03861545855</v>
      </c>
      <c r="AE232" s="241">
        <f>LeverageFunging!AE96</f>
        <v>-0.004398358018</v>
      </c>
      <c r="AF232" s="241">
        <f>LeverageFunging!AF96</f>
        <v>0.02123589048</v>
      </c>
      <c r="AG232" s="241">
        <f>LeverageFunging!AG96</f>
        <v>-0.07550655492</v>
      </c>
      <c r="AH232" s="241">
        <f>LeverageFunging!AH96</f>
        <v>-0.04366935255</v>
      </c>
      <c r="AI232" s="241">
        <f>LeverageFunging!AI96</f>
        <v>-0.04338316679</v>
      </c>
      <c r="AJ232" s="241">
        <f>LeverageFunging!AJ96</f>
        <v>0.0240308576</v>
      </c>
      <c r="AK232" s="241">
        <f>LeverageFunging!AK96</f>
        <v>-0.06223636916</v>
      </c>
      <c r="AL232" s="241">
        <f>LeverageFunging!AL96</f>
        <v>-0.08299475815</v>
      </c>
      <c r="AM232" s="241">
        <f>LeverageFunging!AM96</f>
        <v>-0.08586867779</v>
      </c>
      <c r="AN232" s="241">
        <f>LeverageFunging!AN96</f>
        <v>-0.07628189469</v>
      </c>
      <c r="AO232" s="241">
        <f>LeverageFunging!AO96</f>
        <v>-0.05264112914</v>
      </c>
      <c r="AP232" s="241">
        <f>LeverageFunging!AP96</f>
        <v>-0.04454559305</v>
      </c>
      <c r="AQ232" s="241">
        <f>LeverageFunging!AQ96</f>
        <v>0.01533611082</v>
      </c>
      <c r="AR232" s="241">
        <f>LeverageFunging!AR96</f>
        <v>-0.03373352535</v>
      </c>
      <c r="AS232" s="241">
        <f>LeverageFunging!AS96</f>
        <v>-0.04283189007</v>
      </c>
      <c r="AT232" s="241">
        <f>LeverageFunging!AT96</f>
        <v>-0.01323674784</v>
      </c>
      <c r="AU232" s="241">
        <f>LeverageFunging!AU96</f>
        <v>-0.07987674156</v>
      </c>
      <c r="AV232" s="241">
        <f>LeverageFunging!AV96</f>
        <v>-0.08876371968</v>
      </c>
      <c r="AW232" s="259"/>
    </row>
    <row r="233">
      <c r="A233" s="122"/>
      <c r="B233" s="123"/>
      <c r="C233" s="123"/>
      <c r="D233" s="123"/>
      <c r="E233" s="140"/>
      <c r="F233" s="141"/>
      <c r="G233" s="144"/>
      <c r="H233" s="127"/>
      <c r="I233" s="317"/>
      <c r="J233" s="317"/>
      <c r="K233" s="317"/>
      <c r="L233" s="317"/>
      <c r="M233" s="317"/>
      <c r="N233" s="317"/>
      <c r="O233" s="317"/>
      <c r="P233" s="317"/>
      <c r="Q233" s="392"/>
      <c r="R233" s="317"/>
      <c r="S233" s="317"/>
      <c r="T233" s="317"/>
      <c r="U233" s="317"/>
      <c r="V233" s="317"/>
      <c r="W233" s="317"/>
      <c r="X233" s="317"/>
      <c r="Y233" s="317"/>
      <c r="Z233" s="317"/>
      <c r="AA233" s="317"/>
      <c r="AB233" s="317"/>
      <c r="AC233" s="317"/>
      <c r="AD233" s="317"/>
      <c r="AE233" s="317"/>
      <c r="AF233" s="317"/>
      <c r="AG233" s="317"/>
      <c r="AH233" s="317"/>
      <c r="AI233" s="317"/>
      <c r="AJ233" s="317"/>
      <c r="AK233" s="317"/>
      <c r="AL233" s="317"/>
      <c r="AM233" s="317"/>
      <c r="AN233" s="317"/>
      <c r="AO233" s="317"/>
      <c r="AP233" s="317"/>
      <c r="AQ233" s="317"/>
      <c r="AR233" s="317"/>
      <c r="AS233" s="317"/>
      <c r="AT233" s="317"/>
      <c r="AU233" s="317"/>
      <c r="AV233" s="317"/>
      <c r="AW233" s="130"/>
    </row>
    <row r="234">
      <c r="A234" s="122"/>
      <c r="B234" s="123"/>
      <c r="C234" s="123"/>
      <c r="D234" s="133" t="s">
        <v>331</v>
      </c>
      <c r="E234" s="45"/>
      <c r="F234" s="134" t="s">
        <v>72</v>
      </c>
      <c r="G234" s="145" t="s">
        <v>173</v>
      </c>
      <c r="H234" s="406" t="str">
        <f>LeverageFunging!H97</f>
        <v>-</v>
      </c>
      <c r="I234" s="407">
        <f>LeverageFunging!I97</f>
        <v>-0.1376836229</v>
      </c>
      <c r="J234" s="407">
        <f>LeverageFunging!J97</f>
        <v>-0.1438804233</v>
      </c>
      <c r="K234" s="407">
        <f>LeverageFunging!K97</f>
        <v>-0.1304760918</v>
      </c>
      <c r="L234" s="407">
        <f>LeverageFunging!L97</f>
        <v>-0.1668962279</v>
      </c>
      <c r="M234" s="407">
        <f>LeverageFunging!M97</f>
        <v>-0.1523214662</v>
      </c>
      <c r="N234" s="407">
        <f>LeverageFunging!N97</f>
        <v>-0.1457168096</v>
      </c>
      <c r="O234" s="407">
        <f>LeverageFunging!O97</f>
        <v>-0.1415455114</v>
      </c>
      <c r="P234" s="407">
        <f>LeverageFunging!P97</f>
        <v>-0.135783821</v>
      </c>
      <c r="Q234" s="408">
        <f>LeverageFunging!Q97</f>
        <v>-0.1275377233</v>
      </c>
      <c r="R234" s="407">
        <f>LeverageFunging!R97</f>
        <v>-0.1245286082</v>
      </c>
      <c r="S234" s="407">
        <f>LeverageFunging!S97</f>
        <v>-0.1311186873</v>
      </c>
      <c r="T234" s="407">
        <f>LeverageFunging!T97</f>
        <v>-0.1540317944</v>
      </c>
      <c r="U234" s="407">
        <f>LeverageFunging!U97</f>
        <v>-0.174038373</v>
      </c>
      <c r="V234" s="407">
        <f>LeverageFunging!V97</f>
        <v>-0.1656505683</v>
      </c>
      <c r="W234" s="407">
        <f>LeverageFunging!W97</f>
        <v>-0.1592212689</v>
      </c>
      <c r="X234" s="407">
        <f>LeverageFunging!X97</f>
        <v>-0.2156844455</v>
      </c>
      <c r="Y234" s="407">
        <f>LeverageFunging!Y97</f>
        <v>-0.08941807409</v>
      </c>
      <c r="Z234" s="407">
        <f>LeverageFunging!Z97</f>
        <v>-0.1725965437</v>
      </c>
      <c r="AA234" s="407">
        <f>LeverageFunging!AA97</f>
        <v>0.02668182429</v>
      </c>
      <c r="AB234" s="407">
        <f>LeverageFunging!AB97</f>
        <v>-0.1049337195</v>
      </c>
      <c r="AC234" s="407">
        <f>LeverageFunging!AC97</f>
        <v>-0.05141702944</v>
      </c>
      <c r="AD234" s="407">
        <f>LeverageFunging!AD97</f>
        <v>-0.01061118935</v>
      </c>
      <c r="AE234" s="407">
        <f>LeverageFunging!AE97</f>
        <v>-0.0997118441</v>
      </c>
      <c r="AF234" s="407">
        <f>LeverageFunging!AF97</f>
        <v>-0.06724937383</v>
      </c>
      <c r="AG234" s="407">
        <f>LeverageFunging!AG97</f>
        <v>-0.1627643596</v>
      </c>
      <c r="AH234" s="407">
        <f>LeverageFunging!AH97</f>
        <v>-0.1614447792</v>
      </c>
      <c r="AI234" s="407">
        <f>LeverageFunging!AI97</f>
        <v>-0.2572158996</v>
      </c>
      <c r="AJ234" s="407">
        <f>LeverageFunging!AJ97</f>
        <v>-0.08464766168</v>
      </c>
      <c r="AK234" s="407">
        <f>LeverageFunging!AK97</f>
        <v>-0.1889493923</v>
      </c>
      <c r="AL234" s="407">
        <f>LeverageFunging!AL97</f>
        <v>-0.1820350445</v>
      </c>
      <c r="AM234" s="407">
        <f>LeverageFunging!AM97</f>
        <v>-0.1836887217</v>
      </c>
      <c r="AN234" s="407">
        <f>LeverageFunging!AN97</f>
        <v>-0.1707532633</v>
      </c>
      <c r="AO234" s="407">
        <f>LeverageFunging!AO97</f>
        <v>-0.2521780705</v>
      </c>
      <c r="AP234" s="407">
        <f>LeverageFunging!AP97</f>
        <v>-0.2149874842</v>
      </c>
      <c r="AQ234" s="407">
        <f>LeverageFunging!AQ97</f>
        <v>-0.1193996744</v>
      </c>
      <c r="AR234" s="407">
        <f>LeverageFunging!AR97</f>
        <v>-0.2448215997</v>
      </c>
      <c r="AS234" s="407">
        <f>LeverageFunging!AS97</f>
        <v>-0.1742166669</v>
      </c>
      <c r="AT234" s="407">
        <f>LeverageFunging!AT97</f>
        <v>-0.1144093663</v>
      </c>
      <c r="AU234" s="407">
        <f>LeverageFunging!AU97</f>
        <v>-0.152593049</v>
      </c>
      <c r="AV234" s="407">
        <f>LeverageFunging!AV97</f>
        <v>-0.1511878848</v>
      </c>
      <c r="AW234" s="409"/>
    </row>
    <row r="235">
      <c r="A235" s="122"/>
      <c r="B235" s="123"/>
      <c r="C235" s="123"/>
      <c r="D235" s="123"/>
      <c r="E235" s="124"/>
      <c r="F235" s="404"/>
      <c r="G235" s="126"/>
      <c r="H235" s="127"/>
      <c r="I235" s="128"/>
      <c r="J235" s="128"/>
      <c r="K235" s="128"/>
      <c r="L235" s="128"/>
      <c r="M235" s="128"/>
      <c r="N235" s="128"/>
      <c r="O235" s="128"/>
      <c r="P235" s="128"/>
      <c r="Q235" s="129"/>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30"/>
    </row>
    <row r="236">
      <c r="A236" s="117" t="s">
        <v>332</v>
      </c>
      <c r="B236" s="7"/>
      <c r="C236" s="7"/>
      <c r="D236" s="7"/>
      <c r="E236" s="7"/>
      <c r="F236" s="7"/>
      <c r="G236" s="7"/>
      <c r="H236" s="118"/>
      <c r="I236" s="340"/>
      <c r="J236" s="340"/>
      <c r="K236" s="340"/>
      <c r="L236" s="340"/>
      <c r="M236" s="340"/>
      <c r="N236" s="340"/>
      <c r="O236" s="340"/>
      <c r="P236" s="340"/>
      <c r="Q236" s="341"/>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c r="AS236" s="340"/>
      <c r="AT236" s="340"/>
      <c r="AU236" s="340"/>
      <c r="AV236" s="340"/>
      <c r="AW236" s="121"/>
    </row>
    <row r="237">
      <c r="A237" s="122"/>
      <c r="B237" s="123"/>
      <c r="C237" s="123"/>
      <c r="D237" s="123"/>
      <c r="E237" s="124"/>
      <c r="F237" s="404"/>
      <c r="G237" s="126"/>
      <c r="H237" s="127"/>
      <c r="I237" s="128"/>
      <c r="J237" s="128"/>
      <c r="K237" s="128"/>
      <c r="L237" s="128"/>
      <c r="M237" s="128"/>
      <c r="N237" s="128"/>
      <c r="O237" s="128"/>
      <c r="P237" s="128"/>
      <c r="Q237" s="129"/>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30"/>
    </row>
    <row r="238" ht="16.5" customHeight="1">
      <c r="A238" s="122"/>
      <c r="B238" s="123"/>
      <c r="C238" s="53" t="s">
        <v>333</v>
      </c>
      <c r="F238" s="141"/>
      <c r="G238" s="410"/>
      <c r="H238" s="350"/>
      <c r="I238" s="347"/>
      <c r="J238" s="347"/>
      <c r="K238" s="347"/>
      <c r="L238" s="347"/>
      <c r="M238" s="347"/>
      <c r="N238" s="347"/>
      <c r="O238" s="347"/>
      <c r="P238" s="347"/>
      <c r="Q238" s="348"/>
      <c r="R238" s="347"/>
      <c r="S238" s="347"/>
      <c r="T238" s="347"/>
      <c r="U238" s="347"/>
      <c r="V238" s="347"/>
      <c r="W238" s="347"/>
      <c r="X238" s="347"/>
      <c r="Y238" s="347"/>
      <c r="Z238" s="347"/>
      <c r="AA238" s="347"/>
      <c r="AB238" s="347"/>
      <c r="AC238" s="347"/>
      <c r="AD238" s="347"/>
      <c r="AE238" s="347"/>
      <c r="AF238" s="347"/>
      <c r="AG238" s="347"/>
      <c r="AH238" s="347"/>
      <c r="AI238" s="347"/>
      <c r="AJ238" s="347"/>
      <c r="AK238" s="347"/>
      <c r="AL238" s="347"/>
      <c r="AM238" s="347"/>
      <c r="AN238" s="347"/>
      <c r="AO238" s="347"/>
      <c r="AP238" s="347"/>
      <c r="AQ238" s="347"/>
      <c r="AR238" s="347"/>
      <c r="AS238" s="347"/>
      <c r="AT238" s="347"/>
      <c r="AU238" s="347"/>
      <c r="AV238" s="347"/>
      <c r="AW238" s="130"/>
    </row>
    <row r="239">
      <c r="A239" s="122"/>
      <c r="B239" s="123"/>
      <c r="C239" s="13"/>
      <c r="D239" s="123"/>
      <c r="E239" s="192" t="s">
        <v>334</v>
      </c>
      <c r="F239" s="193" t="s">
        <v>76</v>
      </c>
      <c r="G239" s="411" t="s">
        <v>173</v>
      </c>
      <c r="H239" s="364" t="str">
        <f>LeverageFunging!H92</f>
        <v>-</v>
      </c>
      <c r="I239" s="358">
        <f t="shared" ref="I239:AV239" si="62">I175*(1+$H208)*(1+I228)*(1+I234)</f>
        <v>66731.88951</v>
      </c>
      <c r="J239" s="358">
        <f t="shared" si="62"/>
        <v>33369.39208</v>
      </c>
      <c r="K239" s="358">
        <f t="shared" si="62"/>
        <v>60531.0913</v>
      </c>
      <c r="L239" s="358">
        <f t="shared" si="62"/>
        <v>29979.21462</v>
      </c>
      <c r="M239" s="358">
        <f t="shared" si="62"/>
        <v>42000.71339</v>
      </c>
      <c r="N239" s="358">
        <f t="shared" si="62"/>
        <v>55976.41291</v>
      </c>
      <c r="O239" s="358">
        <f t="shared" si="62"/>
        <v>96693.25334</v>
      </c>
      <c r="P239" s="358">
        <f t="shared" si="62"/>
        <v>128471.1963</v>
      </c>
      <c r="Q239" s="359">
        <f t="shared" si="62"/>
        <v>104328.6059</v>
      </c>
      <c r="R239" s="358">
        <f t="shared" si="62"/>
        <v>5643.305341</v>
      </c>
      <c r="S239" s="358">
        <f t="shared" si="62"/>
        <v>13104.28216</v>
      </c>
      <c r="T239" s="358">
        <f t="shared" si="62"/>
        <v>5358.153025</v>
      </c>
      <c r="U239" s="358">
        <f t="shared" si="62"/>
        <v>5961.825757</v>
      </c>
      <c r="V239" s="358">
        <f t="shared" si="62"/>
        <v>8873.711181</v>
      </c>
      <c r="W239" s="358">
        <f t="shared" si="62"/>
        <v>9980.12501</v>
      </c>
      <c r="X239" s="358">
        <f t="shared" si="62"/>
        <v>16880.84202</v>
      </c>
      <c r="Y239" s="358">
        <f t="shared" si="62"/>
        <v>4916.979404</v>
      </c>
      <c r="Z239" s="358">
        <f t="shared" si="62"/>
        <v>6924.979969</v>
      </c>
      <c r="AA239" s="358">
        <f t="shared" si="62"/>
        <v>3602.413307</v>
      </c>
      <c r="AB239" s="358">
        <f t="shared" si="62"/>
        <v>5095.634072</v>
      </c>
      <c r="AC239" s="358">
        <f t="shared" si="62"/>
        <v>4063.791666</v>
      </c>
      <c r="AD239" s="358">
        <f t="shared" si="62"/>
        <v>3609.510272</v>
      </c>
      <c r="AE239" s="358">
        <f t="shared" si="62"/>
        <v>4762.216537</v>
      </c>
      <c r="AF239" s="358">
        <f t="shared" si="62"/>
        <v>3890.695979</v>
      </c>
      <c r="AG239" s="358">
        <f t="shared" si="62"/>
        <v>17285.85187</v>
      </c>
      <c r="AH239" s="358">
        <f t="shared" si="62"/>
        <v>7528.004637</v>
      </c>
      <c r="AI239" s="358">
        <f t="shared" si="62"/>
        <v>6634.527194</v>
      </c>
      <c r="AJ239" s="358">
        <f t="shared" si="62"/>
        <v>3732.084793</v>
      </c>
      <c r="AK239" s="358">
        <f t="shared" si="62"/>
        <v>10860.93374</v>
      </c>
      <c r="AL239" s="358">
        <f t="shared" si="62"/>
        <v>24324.55132</v>
      </c>
      <c r="AM239" s="358">
        <f t="shared" si="62"/>
        <v>29212.31342</v>
      </c>
      <c r="AN239" s="358">
        <f t="shared" si="62"/>
        <v>17680.58912</v>
      </c>
      <c r="AO239" s="358">
        <f t="shared" si="62"/>
        <v>7985.273781</v>
      </c>
      <c r="AP239" s="358">
        <f t="shared" si="62"/>
        <v>7158.688571</v>
      </c>
      <c r="AQ239" s="358">
        <f t="shared" si="62"/>
        <v>3861.059485</v>
      </c>
      <c r="AR239" s="358">
        <f t="shared" si="62"/>
        <v>5763.000356</v>
      </c>
      <c r="AS239" s="358">
        <f t="shared" si="62"/>
        <v>7304.74791</v>
      </c>
      <c r="AT239" s="358">
        <f t="shared" si="62"/>
        <v>5161.668936</v>
      </c>
      <c r="AU239" s="358">
        <f t="shared" si="62"/>
        <v>21295.44261</v>
      </c>
      <c r="AV239" s="358">
        <f t="shared" si="62"/>
        <v>38201.63562</v>
      </c>
      <c r="AW239" s="256"/>
    </row>
    <row r="240">
      <c r="A240" s="122"/>
      <c r="B240" s="123"/>
      <c r="C240" s="123"/>
      <c r="D240" s="123"/>
      <c r="E240" s="192" t="str">
        <f>E11</f>
        <v>Total spending contributed by grantee</v>
      </c>
      <c r="F240" s="193" t="s">
        <v>68</v>
      </c>
      <c r="G240" s="235" t="s">
        <v>155</v>
      </c>
      <c r="H240" s="412" t="str">
        <f t="shared" ref="H240:AV240" si="63">H11</f>
        <v>-</v>
      </c>
      <c r="I240" s="371">
        <f t="shared" si="63"/>
        <v>1000000</v>
      </c>
      <c r="J240" s="371">
        <f t="shared" si="63"/>
        <v>1000000</v>
      </c>
      <c r="K240" s="371">
        <f t="shared" si="63"/>
        <v>1000000</v>
      </c>
      <c r="L240" s="371">
        <f t="shared" si="63"/>
        <v>1000000</v>
      </c>
      <c r="M240" s="371">
        <f t="shared" si="63"/>
        <v>1000000</v>
      </c>
      <c r="N240" s="371">
        <f t="shared" si="63"/>
        <v>1000000</v>
      </c>
      <c r="O240" s="371">
        <f t="shared" si="63"/>
        <v>1000000</v>
      </c>
      <c r="P240" s="371">
        <f t="shared" si="63"/>
        <v>1000000</v>
      </c>
      <c r="Q240" s="372">
        <f t="shared" si="63"/>
        <v>1000000</v>
      </c>
      <c r="R240" s="371">
        <f t="shared" si="63"/>
        <v>1000000</v>
      </c>
      <c r="S240" s="371">
        <f t="shared" si="63"/>
        <v>1000000</v>
      </c>
      <c r="T240" s="371">
        <f t="shared" si="63"/>
        <v>1000000</v>
      </c>
      <c r="U240" s="371">
        <f t="shared" si="63"/>
        <v>1000000</v>
      </c>
      <c r="V240" s="371">
        <f t="shared" si="63"/>
        <v>1000000</v>
      </c>
      <c r="W240" s="371">
        <f t="shared" si="63"/>
        <v>1000000</v>
      </c>
      <c r="X240" s="371">
        <f t="shared" si="63"/>
        <v>1000000</v>
      </c>
      <c r="Y240" s="371">
        <f t="shared" si="63"/>
        <v>1000000</v>
      </c>
      <c r="Z240" s="371">
        <f t="shared" si="63"/>
        <v>1000000</v>
      </c>
      <c r="AA240" s="371">
        <f t="shared" si="63"/>
        <v>1000000</v>
      </c>
      <c r="AB240" s="371">
        <f t="shared" si="63"/>
        <v>1000000</v>
      </c>
      <c r="AC240" s="371">
        <f t="shared" si="63"/>
        <v>1000000</v>
      </c>
      <c r="AD240" s="371">
        <f t="shared" si="63"/>
        <v>1000000</v>
      </c>
      <c r="AE240" s="371">
        <f t="shared" si="63"/>
        <v>1000000</v>
      </c>
      <c r="AF240" s="371">
        <f t="shared" si="63"/>
        <v>1000000</v>
      </c>
      <c r="AG240" s="371">
        <f t="shared" si="63"/>
        <v>1000000</v>
      </c>
      <c r="AH240" s="371">
        <f t="shared" si="63"/>
        <v>1000000</v>
      </c>
      <c r="AI240" s="371">
        <f t="shared" si="63"/>
        <v>1000000</v>
      </c>
      <c r="AJ240" s="371">
        <f t="shared" si="63"/>
        <v>1000000</v>
      </c>
      <c r="AK240" s="371">
        <f t="shared" si="63"/>
        <v>1000000</v>
      </c>
      <c r="AL240" s="371">
        <f t="shared" si="63"/>
        <v>1000000</v>
      </c>
      <c r="AM240" s="371">
        <f t="shared" si="63"/>
        <v>1000000</v>
      </c>
      <c r="AN240" s="371">
        <f t="shared" si="63"/>
        <v>1000000</v>
      </c>
      <c r="AO240" s="371">
        <f t="shared" si="63"/>
        <v>1000000</v>
      </c>
      <c r="AP240" s="371">
        <f t="shared" si="63"/>
        <v>1000000</v>
      </c>
      <c r="AQ240" s="371">
        <f t="shared" si="63"/>
        <v>1000000</v>
      </c>
      <c r="AR240" s="371">
        <f t="shared" si="63"/>
        <v>1000000</v>
      </c>
      <c r="AS240" s="371">
        <f t="shared" si="63"/>
        <v>1000000</v>
      </c>
      <c r="AT240" s="371">
        <f t="shared" si="63"/>
        <v>1000000</v>
      </c>
      <c r="AU240" s="371">
        <f t="shared" si="63"/>
        <v>1000000</v>
      </c>
      <c r="AV240" s="371">
        <f t="shared" si="63"/>
        <v>1000000</v>
      </c>
      <c r="AW240" s="256"/>
    </row>
    <row r="241">
      <c r="A241" s="122"/>
      <c r="B241" s="123"/>
      <c r="C241" s="123"/>
      <c r="D241" s="123"/>
      <c r="E241" s="212" t="s">
        <v>335</v>
      </c>
      <c r="F241" s="213" t="s">
        <v>76</v>
      </c>
      <c r="G241" s="239" t="s">
        <v>161</v>
      </c>
      <c r="H241" s="413" t="s">
        <v>162</v>
      </c>
      <c r="I241" s="414">
        <f t="shared" ref="I241:AV241" si="64">I239/I240</f>
        <v>0.06673188951</v>
      </c>
      <c r="J241" s="414">
        <f t="shared" si="64"/>
        <v>0.03336939208</v>
      </c>
      <c r="K241" s="414">
        <f t="shared" si="64"/>
        <v>0.0605310913</v>
      </c>
      <c r="L241" s="414">
        <f t="shared" si="64"/>
        <v>0.02997921462</v>
      </c>
      <c r="M241" s="414">
        <f t="shared" si="64"/>
        <v>0.04200071339</v>
      </c>
      <c r="N241" s="414">
        <f t="shared" si="64"/>
        <v>0.05597641291</v>
      </c>
      <c r="O241" s="414">
        <f t="shared" si="64"/>
        <v>0.09669325334</v>
      </c>
      <c r="P241" s="414">
        <f t="shared" si="64"/>
        <v>0.1284711963</v>
      </c>
      <c r="Q241" s="415">
        <f t="shared" si="64"/>
        <v>0.1043286059</v>
      </c>
      <c r="R241" s="414">
        <f t="shared" si="64"/>
        <v>0.005643305341</v>
      </c>
      <c r="S241" s="414">
        <f t="shared" si="64"/>
        <v>0.01310428216</v>
      </c>
      <c r="T241" s="414">
        <f t="shared" si="64"/>
        <v>0.005358153025</v>
      </c>
      <c r="U241" s="414">
        <f t="shared" si="64"/>
        <v>0.005961825757</v>
      </c>
      <c r="V241" s="414">
        <f t="shared" si="64"/>
        <v>0.008873711181</v>
      </c>
      <c r="W241" s="414">
        <f t="shared" si="64"/>
        <v>0.00998012501</v>
      </c>
      <c r="X241" s="414">
        <f t="shared" si="64"/>
        <v>0.01688084202</v>
      </c>
      <c r="Y241" s="414">
        <f t="shared" si="64"/>
        <v>0.004916979404</v>
      </c>
      <c r="Z241" s="414">
        <f t="shared" si="64"/>
        <v>0.006924979969</v>
      </c>
      <c r="AA241" s="414">
        <f t="shared" si="64"/>
        <v>0.003602413307</v>
      </c>
      <c r="AB241" s="414">
        <f t="shared" si="64"/>
        <v>0.005095634072</v>
      </c>
      <c r="AC241" s="414">
        <f t="shared" si="64"/>
        <v>0.004063791666</v>
      </c>
      <c r="AD241" s="414">
        <f t="shared" si="64"/>
        <v>0.003609510272</v>
      </c>
      <c r="AE241" s="414">
        <f t="shared" si="64"/>
        <v>0.004762216537</v>
      </c>
      <c r="AF241" s="414">
        <f t="shared" si="64"/>
        <v>0.003890695979</v>
      </c>
      <c r="AG241" s="414">
        <f t="shared" si="64"/>
        <v>0.01728585187</v>
      </c>
      <c r="AH241" s="414">
        <f t="shared" si="64"/>
        <v>0.007528004637</v>
      </c>
      <c r="AI241" s="414">
        <f t="shared" si="64"/>
        <v>0.006634527194</v>
      </c>
      <c r="AJ241" s="414">
        <f t="shared" si="64"/>
        <v>0.003732084793</v>
      </c>
      <c r="AK241" s="414">
        <f t="shared" si="64"/>
        <v>0.01086093374</v>
      </c>
      <c r="AL241" s="414">
        <f t="shared" si="64"/>
        <v>0.02432455132</v>
      </c>
      <c r="AM241" s="414">
        <f t="shared" si="64"/>
        <v>0.02921231342</v>
      </c>
      <c r="AN241" s="414">
        <f t="shared" si="64"/>
        <v>0.01768058912</v>
      </c>
      <c r="AO241" s="414">
        <f t="shared" si="64"/>
        <v>0.007985273781</v>
      </c>
      <c r="AP241" s="414">
        <f t="shared" si="64"/>
        <v>0.007158688571</v>
      </c>
      <c r="AQ241" s="414">
        <f t="shared" si="64"/>
        <v>0.003861059485</v>
      </c>
      <c r="AR241" s="414">
        <f t="shared" si="64"/>
        <v>0.005763000356</v>
      </c>
      <c r="AS241" s="414">
        <f t="shared" si="64"/>
        <v>0.00730474791</v>
      </c>
      <c r="AT241" s="414">
        <f t="shared" si="64"/>
        <v>0.005161668936</v>
      </c>
      <c r="AU241" s="414">
        <f t="shared" si="64"/>
        <v>0.02129544261</v>
      </c>
      <c r="AV241" s="414">
        <f t="shared" si="64"/>
        <v>0.03820163562</v>
      </c>
      <c r="AW241" s="259"/>
    </row>
    <row r="242">
      <c r="A242" s="122"/>
      <c r="B242" s="123"/>
      <c r="C242" s="123"/>
      <c r="D242" s="123"/>
      <c r="E242" s="416" t="s">
        <v>336</v>
      </c>
      <c r="F242" s="417" t="s">
        <v>78</v>
      </c>
      <c r="G242" s="418" t="s">
        <v>161</v>
      </c>
      <c r="H242" s="419" t="s">
        <v>162</v>
      </c>
      <c r="I242" s="420">
        <f t="shared" ref="I242:AV242" si="65">I241/$H177</f>
        <v>20.03960646</v>
      </c>
      <c r="J242" s="420">
        <f t="shared" si="65"/>
        <v>10.02083846</v>
      </c>
      <c r="K242" s="420">
        <f t="shared" si="65"/>
        <v>18.1775049</v>
      </c>
      <c r="L242" s="420">
        <f t="shared" si="65"/>
        <v>9.002767152</v>
      </c>
      <c r="M242" s="420">
        <f t="shared" si="65"/>
        <v>12.61282684</v>
      </c>
      <c r="N242" s="420">
        <f t="shared" si="65"/>
        <v>16.80973361</v>
      </c>
      <c r="O242" s="420">
        <f t="shared" si="65"/>
        <v>29.03701301</v>
      </c>
      <c r="P242" s="420">
        <f t="shared" si="65"/>
        <v>38.57993882</v>
      </c>
      <c r="Q242" s="421">
        <f t="shared" si="65"/>
        <v>31.32991169</v>
      </c>
      <c r="R242" s="420">
        <f t="shared" si="65"/>
        <v>1.694686289</v>
      </c>
      <c r="S242" s="420">
        <f t="shared" si="65"/>
        <v>3.935219868</v>
      </c>
      <c r="T242" s="420">
        <f t="shared" si="65"/>
        <v>1.609054963</v>
      </c>
      <c r="U242" s="420">
        <f t="shared" si="65"/>
        <v>1.790338065</v>
      </c>
      <c r="V242" s="420">
        <f t="shared" si="65"/>
        <v>2.664778133</v>
      </c>
      <c r="W242" s="420">
        <f t="shared" si="65"/>
        <v>2.997034537</v>
      </c>
      <c r="X242" s="420">
        <f t="shared" si="65"/>
        <v>5.069321927</v>
      </c>
      <c r="Y242" s="420">
        <f t="shared" si="65"/>
        <v>1.476570392</v>
      </c>
      <c r="Z242" s="420">
        <f t="shared" si="65"/>
        <v>2.079573564</v>
      </c>
      <c r="AA242" s="420">
        <f t="shared" si="65"/>
        <v>1.081805798</v>
      </c>
      <c r="AB242" s="420">
        <f t="shared" si="65"/>
        <v>1.530220442</v>
      </c>
      <c r="AC242" s="420">
        <f t="shared" si="65"/>
        <v>1.220357858</v>
      </c>
      <c r="AD242" s="420">
        <f t="shared" si="65"/>
        <v>1.083937019</v>
      </c>
      <c r="AE242" s="420">
        <f t="shared" si="65"/>
        <v>1.430095056</v>
      </c>
      <c r="AF242" s="420">
        <f t="shared" si="65"/>
        <v>1.168377171</v>
      </c>
      <c r="AG242" s="420">
        <f t="shared" si="65"/>
        <v>5.190946506</v>
      </c>
      <c r="AH242" s="420">
        <f t="shared" si="65"/>
        <v>2.260662053</v>
      </c>
      <c r="AI242" s="420">
        <f t="shared" si="65"/>
        <v>1.992350509</v>
      </c>
      <c r="AJ242" s="420">
        <f t="shared" si="65"/>
        <v>1.120746184</v>
      </c>
      <c r="AK242" s="420">
        <f t="shared" si="65"/>
        <v>3.261541663</v>
      </c>
      <c r="AL242" s="420">
        <f t="shared" si="65"/>
        <v>7.304670065</v>
      </c>
      <c r="AM242" s="420">
        <f t="shared" si="65"/>
        <v>8.772466493</v>
      </c>
      <c r="AN242" s="420">
        <f t="shared" si="65"/>
        <v>5.309486223</v>
      </c>
      <c r="AO242" s="420">
        <f t="shared" si="65"/>
        <v>2.397980114</v>
      </c>
      <c r="AP242" s="420">
        <f t="shared" si="65"/>
        <v>2.149756328</v>
      </c>
      <c r="AQ242" s="420">
        <f t="shared" si="65"/>
        <v>1.159477323</v>
      </c>
      <c r="AR242" s="420">
        <f t="shared" si="65"/>
        <v>1.730630738</v>
      </c>
      <c r="AS242" s="420">
        <f t="shared" si="65"/>
        <v>2.193617991</v>
      </c>
      <c r="AT242" s="420">
        <f t="shared" si="65"/>
        <v>1.550050732</v>
      </c>
      <c r="AU242" s="420">
        <f t="shared" si="65"/>
        <v>6.395027811</v>
      </c>
      <c r="AV242" s="420">
        <f t="shared" si="65"/>
        <v>11.47196265</v>
      </c>
      <c r="AW242" s="274"/>
    </row>
    <row r="243">
      <c r="A243" s="122"/>
      <c r="B243" s="123"/>
      <c r="C243" s="123"/>
      <c r="D243" s="123"/>
      <c r="E243" s="422"/>
      <c r="F243" s="423"/>
      <c r="G243" s="424"/>
      <c r="H243" s="425"/>
      <c r="I243" s="426"/>
      <c r="J243" s="426"/>
      <c r="K243" s="426"/>
      <c r="L243" s="426"/>
      <c r="M243" s="426"/>
      <c r="N243" s="426"/>
      <c r="O243" s="426"/>
      <c r="P243" s="426"/>
      <c r="Q243" s="427"/>
      <c r="R243" s="426"/>
      <c r="S243" s="426"/>
      <c r="T243" s="426"/>
      <c r="U243" s="426"/>
      <c r="V243" s="426"/>
      <c r="W243" s="426"/>
      <c r="X243" s="426"/>
      <c r="Y243" s="426"/>
      <c r="Z243" s="426"/>
      <c r="AA243" s="426"/>
      <c r="AB243" s="426"/>
      <c r="AC243" s="426"/>
      <c r="AD243" s="426"/>
      <c r="AE243" s="426"/>
      <c r="AF243" s="426"/>
      <c r="AG243" s="426"/>
      <c r="AH243" s="426"/>
      <c r="AI243" s="426"/>
      <c r="AJ243" s="426"/>
      <c r="AK243" s="426"/>
      <c r="AL243" s="428"/>
      <c r="AM243" s="428"/>
      <c r="AN243" s="428"/>
      <c r="AO243" s="428"/>
      <c r="AP243" s="428"/>
      <c r="AQ243" s="428"/>
      <c r="AR243" s="428"/>
      <c r="AS243" s="428"/>
      <c r="AT243" s="428"/>
      <c r="AU243" s="428"/>
      <c r="AV243" s="428"/>
      <c r="AW243" s="130"/>
    </row>
    <row r="244">
      <c r="A244" s="117" t="s">
        <v>337</v>
      </c>
      <c r="B244" s="7"/>
      <c r="C244" s="7"/>
      <c r="D244" s="7"/>
      <c r="E244" s="7"/>
      <c r="F244" s="7"/>
      <c r="G244" s="7"/>
      <c r="H244" s="118"/>
      <c r="I244" s="340"/>
      <c r="J244" s="340"/>
      <c r="K244" s="340"/>
      <c r="L244" s="340"/>
      <c r="M244" s="340"/>
      <c r="N244" s="340"/>
      <c r="O244" s="340"/>
      <c r="P244" s="340"/>
      <c r="Q244" s="341"/>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c r="AS244" s="340"/>
      <c r="AT244" s="340"/>
      <c r="AU244" s="340"/>
      <c r="AV244" s="340"/>
      <c r="AW244" s="121"/>
    </row>
    <row r="245">
      <c r="A245" s="122"/>
      <c r="B245" s="123"/>
      <c r="C245" s="123"/>
      <c r="D245" s="123"/>
      <c r="E245" s="124"/>
      <c r="F245" s="125"/>
      <c r="G245" s="126"/>
      <c r="H245" s="127"/>
      <c r="I245" s="128"/>
      <c r="J245" s="128"/>
      <c r="K245" s="128"/>
      <c r="L245" s="128"/>
      <c r="M245" s="128"/>
      <c r="N245" s="128"/>
      <c r="O245" s="128"/>
      <c r="P245" s="128"/>
      <c r="Q245" s="129"/>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30"/>
    </row>
    <row r="246">
      <c r="A246" s="122"/>
      <c r="B246" s="123"/>
      <c r="C246" s="342" t="s">
        <v>338</v>
      </c>
      <c r="F246" s="125"/>
      <c r="G246" s="126"/>
      <c r="H246" s="127"/>
      <c r="I246" s="128"/>
      <c r="J246" s="128"/>
      <c r="K246" s="128"/>
      <c r="L246" s="128"/>
      <c r="M246" s="128"/>
      <c r="N246" s="128"/>
      <c r="O246" s="128"/>
      <c r="P246" s="128"/>
      <c r="Q246" s="129"/>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30"/>
    </row>
    <row r="247">
      <c r="A247" s="122"/>
      <c r="B247" s="123"/>
      <c r="C247" s="123"/>
      <c r="D247" s="123"/>
      <c r="E247" s="192" t="s">
        <v>309</v>
      </c>
      <c r="F247" s="193" t="s">
        <v>72</v>
      </c>
      <c r="G247" s="235" t="s">
        <v>155</v>
      </c>
      <c r="H247" s="255">
        <f t="shared" ref="H247:AV247" si="66">H208</f>
        <v>-0.07</v>
      </c>
      <c r="I247" s="383" t="str">
        <f t="shared" si="66"/>
        <v>-</v>
      </c>
      <c r="J247" s="383" t="str">
        <f t="shared" si="66"/>
        <v>-</v>
      </c>
      <c r="K247" s="383" t="str">
        <f t="shared" si="66"/>
        <v>-</v>
      </c>
      <c r="L247" s="383" t="str">
        <f t="shared" si="66"/>
        <v>-</v>
      </c>
      <c r="M247" s="383" t="str">
        <f t="shared" si="66"/>
        <v>-</v>
      </c>
      <c r="N247" s="383" t="str">
        <f t="shared" si="66"/>
        <v>-</v>
      </c>
      <c r="O247" s="383" t="str">
        <f t="shared" si="66"/>
        <v>-</v>
      </c>
      <c r="P247" s="383" t="str">
        <f t="shared" si="66"/>
        <v>-</v>
      </c>
      <c r="Q247" s="384" t="str">
        <f t="shared" si="66"/>
        <v>-</v>
      </c>
      <c r="R247" s="383" t="str">
        <f t="shared" si="66"/>
        <v>-</v>
      </c>
      <c r="S247" s="383" t="str">
        <f t="shared" si="66"/>
        <v>-</v>
      </c>
      <c r="T247" s="383" t="str">
        <f t="shared" si="66"/>
        <v>-</v>
      </c>
      <c r="U247" s="383" t="str">
        <f t="shared" si="66"/>
        <v>-</v>
      </c>
      <c r="V247" s="383" t="str">
        <f t="shared" si="66"/>
        <v>-</v>
      </c>
      <c r="W247" s="383" t="str">
        <f t="shared" si="66"/>
        <v>-</v>
      </c>
      <c r="X247" s="383" t="str">
        <f t="shared" si="66"/>
        <v>-</v>
      </c>
      <c r="Y247" s="383" t="str">
        <f t="shared" si="66"/>
        <v>-</v>
      </c>
      <c r="Z247" s="383" t="str">
        <f t="shared" si="66"/>
        <v>-</v>
      </c>
      <c r="AA247" s="383" t="str">
        <f t="shared" si="66"/>
        <v>-</v>
      </c>
      <c r="AB247" s="383" t="str">
        <f t="shared" si="66"/>
        <v>-</v>
      </c>
      <c r="AC247" s="383" t="str">
        <f t="shared" si="66"/>
        <v>-</v>
      </c>
      <c r="AD247" s="383" t="str">
        <f t="shared" si="66"/>
        <v>-</v>
      </c>
      <c r="AE247" s="383" t="str">
        <f t="shared" si="66"/>
        <v>-</v>
      </c>
      <c r="AF247" s="383" t="str">
        <f t="shared" si="66"/>
        <v>-</v>
      </c>
      <c r="AG247" s="383" t="str">
        <f t="shared" si="66"/>
        <v>-</v>
      </c>
      <c r="AH247" s="383" t="str">
        <f t="shared" si="66"/>
        <v>-</v>
      </c>
      <c r="AI247" s="383" t="str">
        <f t="shared" si="66"/>
        <v>-</v>
      </c>
      <c r="AJ247" s="383" t="str">
        <f t="shared" si="66"/>
        <v>-</v>
      </c>
      <c r="AK247" s="383" t="str">
        <f t="shared" si="66"/>
        <v>-</v>
      </c>
      <c r="AL247" s="383" t="str">
        <f t="shared" si="66"/>
        <v>-</v>
      </c>
      <c r="AM247" s="383" t="str">
        <f t="shared" si="66"/>
        <v>-</v>
      </c>
      <c r="AN247" s="383" t="str">
        <f t="shared" si="66"/>
        <v>-</v>
      </c>
      <c r="AO247" s="383" t="str">
        <f t="shared" si="66"/>
        <v>-</v>
      </c>
      <c r="AP247" s="383" t="str">
        <f t="shared" si="66"/>
        <v>-</v>
      </c>
      <c r="AQ247" s="383" t="str">
        <f t="shared" si="66"/>
        <v>-</v>
      </c>
      <c r="AR247" s="383" t="str">
        <f t="shared" si="66"/>
        <v>-</v>
      </c>
      <c r="AS247" s="383" t="str">
        <f t="shared" si="66"/>
        <v>-</v>
      </c>
      <c r="AT247" s="383" t="str">
        <f t="shared" si="66"/>
        <v>-</v>
      </c>
      <c r="AU247" s="383" t="str">
        <f t="shared" si="66"/>
        <v>-</v>
      </c>
      <c r="AV247" s="383" t="str">
        <f t="shared" si="66"/>
        <v>-</v>
      </c>
      <c r="AW247" s="256"/>
    </row>
    <row r="248">
      <c r="A248" s="122"/>
      <c r="B248" s="123"/>
      <c r="C248" s="123"/>
      <c r="D248" s="123"/>
      <c r="E248" s="429" t="s">
        <v>339</v>
      </c>
      <c r="F248" s="213" t="s">
        <v>72</v>
      </c>
      <c r="G248" s="239" t="s">
        <v>173</v>
      </c>
      <c r="H248" s="240" t="str">
        <f>LeverageFunging!H100</f>
        <v>-</v>
      </c>
      <c r="I248" s="241">
        <f>LeverageFunging!I100</f>
        <v>-0.1376836229</v>
      </c>
      <c r="J248" s="241">
        <f>LeverageFunging!J100</f>
        <v>-0.1438804233</v>
      </c>
      <c r="K248" s="241">
        <f>LeverageFunging!K100</f>
        <v>-0.1304760918</v>
      </c>
      <c r="L248" s="241">
        <f>LeverageFunging!L100</f>
        <v>-0.1668962279</v>
      </c>
      <c r="M248" s="241">
        <f>LeverageFunging!M100</f>
        <v>-0.1523214662</v>
      </c>
      <c r="N248" s="241">
        <f>LeverageFunging!N100</f>
        <v>-0.1457168096</v>
      </c>
      <c r="O248" s="241">
        <f>LeverageFunging!O100</f>
        <v>-0.1415455114</v>
      </c>
      <c r="P248" s="241">
        <f>LeverageFunging!P100</f>
        <v>-0.135783821</v>
      </c>
      <c r="Q248" s="242">
        <f>LeverageFunging!Q100</f>
        <v>-0.1275377233</v>
      </c>
      <c r="R248" s="241">
        <f>LeverageFunging!R100</f>
        <v>-0.1245286082</v>
      </c>
      <c r="S248" s="241">
        <f>LeverageFunging!S100</f>
        <v>-0.1311186873</v>
      </c>
      <c r="T248" s="241">
        <f>LeverageFunging!T100</f>
        <v>-0.1540317944</v>
      </c>
      <c r="U248" s="241">
        <f>LeverageFunging!U100</f>
        <v>-0.174038373</v>
      </c>
      <c r="V248" s="241">
        <f>LeverageFunging!V100</f>
        <v>-0.1656505683</v>
      </c>
      <c r="W248" s="241">
        <f>LeverageFunging!W100</f>
        <v>-0.1592212689</v>
      </c>
      <c r="X248" s="241">
        <f>LeverageFunging!X100</f>
        <v>-0.2156844455</v>
      </c>
      <c r="Y248" s="241">
        <f>LeverageFunging!Y100</f>
        <v>-0.08941807409</v>
      </c>
      <c r="Z248" s="241">
        <f>LeverageFunging!Z100</f>
        <v>-0.1725965437</v>
      </c>
      <c r="AA248" s="241">
        <f>LeverageFunging!AA100</f>
        <v>-0.01744183793</v>
      </c>
      <c r="AB248" s="241">
        <f>LeverageFunging!AB100</f>
        <v>-0.1049337195</v>
      </c>
      <c r="AC248" s="241">
        <f>LeverageFunging!AC100</f>
        <v>-0.06945910631</v>
      </c>
      <c r="AD248" s="241">
        <f>LeverageFunging!AD100</f>
        <v>-0.0492266479</v>
      </c>
      <c r="AE248" s="241">
        <f>LeverageFunging!AE100</f>
        <v>-0.0997118441</v>
      </c>
      <c r="AF248" s="241">
        <f>LeverageFunging!AF100</f>
        <v>-0.08848526431</v>
      </c>
      <c r="AG248" s="241">
        <f>LeverageFunging!AG100</f>
        <v>-0.1627643596</v>
      </c>
      <c r="AH248" s="241">
        <f>LeverageFunging!AH100</f>
        <v>-0.1614447792</v>
      </c>
      <c r="AI248" s="241">
        <f>LeverageFunging!AI100</f>
        <v>-0.2572158996</v>
      </c>
      <c r="AJ248" s="241">
        <f>LeverageFunging!AJ100</f>
        <v>-0.1086785193</v>
      </c>
      <c r="AK248" s="241">
        <f>LeverageFunging!AK100</f>
        <v>-0.1889493923</v>
      </c>
      <c r="AL248" s="241">
        <f>LeverageFunging!AL100</f>
        <v>-0.1820350445</v>
      </c>
      <c r="AM248" s="241">
        <f>LeverageFunging!AM100</f>
        <v>-0.1836887217</v>
      </c>
      <c r="AN248" s="241">
        <f>LeverageFunging!AN100</f>
        <v>-0.1707532633</v>
      </c>
      <c r="AO248" s="241">
        <f>LeverageFunging!AO100</f>
        <v>-0.2521780705</v>
      </c>
      <c r="AP248" s="241">
        <f>LeverageFunging!AP100</f>
        <v>-0.2149874842</v>
      </c>
      <c r="AQ248" s="241">
        <f>LeverageFunging!AQ100</f>
        <v>-0.1347357852</v>
      </c>
      <c r="AR248" s="241">
        <f>LeverageFunging!AR100</f>
        <v>-0.2448215997</v>
      </c>
      <c r="AS248" s="241">
        <f>LeverageFunging!AS100</f>
        <v>-0.1742166669</v>
      </c>
      <c r="AT248" s="241">
        <f>LeverageFunging!AT100</f>
        <v>-0.1144093663</v>
      </c>
      <c r="AU248" s="241">
        <f>LeverageFunging!AU100</f>
        <v>-0.152593049</v>
      </c>
      <c r="AV248" s="241">
        <f>LeverageFunging!AV100</f>
        <v>-0.1511878848</v>
      </c>
      <c r="AW248" s="259"/>
    </row>
    <row r="249">
      <c r="A249" s="122"/>
      <c r="B249" s="123"/>
      <c r="C249" s="123"/>
      <c r="D249" s="398" t="s">
        <v>340</v>
      </c>
      <c r="E249" s="45"/>
      <c r="F249" s="134" t="s">
        <v>72</v>
      </c>
      <c r="G249" s="145" t="s">
        <v>161</v>
      </c>
      <c r="H249" s="146" t="s">
        <v>162</v>
      </c>
      <c r="I249" s="407">
        <f t="shared" ref="I249:AV249" si="67">((1+$H247)*(1+I248))-1</f>
        <v>-0.1980457693</v>
      </c>
      <c r="J249" s="407">
        <f t="shared" si="67"/>
        <v>-0.2038087937</v>
      </c>
      <c r="K249" s="407">
        <f t="shared" si="67"/>
        <v>-0.1913427654</v>
      </c>
      <c r="L249" s="407">
        <f t="shared" si="67"/>
        <v>-0.2252134919</v>
      </c>
      <c r="M249" s="407">
        <f t="shared" si="67"/>
        <v>-0.2116589635</v>
      </c>
      <c r="N249" s="407">
        <f t="shared" si="67"/>
        <v>-0.205516633</v>
      </c>
      <c r="O249" s="407">
        <f t="shared" si="67"/>
        <v>-0.2016373256</v>
      </c>
      <c r="P249" s="407">
        <f t="shared" si="67"/>
        <v>-0.1962789535</v>
      </c>
      <c r="Q249" s="408">
        <f t="shared" si="67"/>
        <v>-0.1886100826</v>
      </c>
      <c r="R249" s="407">
        <f t="shared" si="67"/>
        <v>-0.1858116056</v>
      </c>
      <c r="S249" s="407">
        <f t="shared" si="67"/>
        <v>-0.1919403792</v>
      </c>
      <c r="T249" s="407">
        <f t="shared" si="67"/>
        <v>-0.2132495688</v>
      </c>
      <c r="U249" s="407">
        <f t="shared" si="67"/>
        <v>-0.2318556869</v>
      </c>
      <c r="V249" s="407">
        <f t="shared" si="67"/>
        <v>-0.2240550286</v>
      </c>
      <c r="W249" s="407">
        <f t="shared" si="67"/>
        <v>-0.2180757801</v>
      </c>
      <c r="X249" s="407">
        <f t="shared" si="67"/>
        <v>-0.2705865343</v>
      </c>
      <c r="Y249" s="407">
        <f t="shared" si="67"/>
        <v>-0.1531588089</v>
      </c>
      <c r="Z249" s="407">
        <f t="shared" si="67"/>
        <v>-0.2305147856</v>
      </c>
      <c r="AA249" s="407">
        <f t="shared" si="67"/>
        <v>-0.08622090927</v>
      </c>
      <c r="AB249" s="407">
        <f t="shared" si="67"/>
        <v>-0.1675883592</v>
      </c>
      <c r="AC249" s="407">
        <f t="shared" si="67"/>
        <v>-0.1345969689</v>
      </c>
      <c r="AD249" s="407">
        <f t="shared" si="67"/>
        <v>-0.1157807825</v>
      </c>
      <c r="AE249" s="407">
        <f t="shared" si="67"/>
        <v>-0.162732015</v>
      </c>
      <c r="AF249" s="407">
        <f t="shared" si="67"/>
        <v>-0.1522912958</v>
      </c>
      <c r="AG249" s="407">
        <f t="shared" si="67"/>
        <v>-0.2213708544</v>
      </c>
      <c r="AH249" s="407">
        <f t="shared" si="67"/>
        <v>-0.2201436446</v>
      </c>
      <c r="AI249" s="407">
        <f t="shared" si="67"/>
        <v>-0.3092107866</v>
      </c>
      <c r="AJ249" s="407">
        <f t="shared" si="67"/>
        <v>-0.1710710229</v>
      </c>
      <c r="AK249" s="407">
        <f t="shared" si="67"/>
        <v>-0.2457229348</v>
      </c>
      <c r="AL249" s="407">
        <f t="shared" si="67"/>
        <v>-0.2392925914</v>
      </c>
      <c r="AM249" s="407">
        <f t="shared" si="67"/>
        <v>-0.2408305112</v>
      </c>
      <c r="AN249" s="407">
        <f t="shared" si="67"/>
        <v>-0.2288005349</v>
      </c>
      <c r="AO249" s="407">
        <f t="shared" si="67"/>
        <v>-0.3045256055</v>
      </c>
      <c r="AP249" s="407">
        <f t="shared" si="67"/>
        <v>-0.2699383603</v>
      </c>
      <c r="AQ249" s="407">
        <f t="shared" si="67"/>
        <v>-0.1953042802</v>
      </c>
      <c r="AR249" s="407">
        <f t="shared" si="67"/>
        <v>-0.2976840878</v>
      </c>
      <c r="AS249" s="407">
        <f t="shared" si="67"/>
        <v>-0.2320215003</v>
      </c>
      <c r="AT249" s="407">
        <f t="shared" si="67"/>
        <v>-0.1764007106</v>
      </c>
      <c r="AU249" s="407">
        <f t="shared" si="67"/>
        <v>-0.2119115356</v>
      </c>
      <c r="AV249" s="407">
        <f t="shared" si="67"/>
        <v>-0.2106047329</v>
      </c>
      <c r="AW249" s="409"/>
    </row>
    <row r="250">
      <c r="A250" s="122"/>
      <c r="B250" s="123"/>
      <c r="C250" s="123"/>
      <c r="D250" s="123"/>
      <c r="E250" s="124"/>
      <c r="F250" s="125"/>
      <c r="G250" s="126"/>
      <c r="H250" s="127"/>
      <c r="I250" s="128"/>
      <c r="J250" s="128"/>
      <c r="K250" s="128"/>
      <c r="L250" s="128"/>
      <c r="M250" s="128"/>
      <c r="N250" s="128"/>
      <c r="O250" s="128"/>
      <c r="P250" s="128"/>
      <c r="Q250" s="129"/>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30"/>
    </row>
    <row r="251">
      <c r="A251" s="122"/>
      <c r="B251" s="123"/>
      <c r="C251" s="342" t="s">
        <v>341</v>
      </c>
      <c r="F251" s="125"/>
      <c r="G251" s="126"/>
      <c r="H251" s="127"/>
      <c r="I251" s="128"/>
      <c r="J251" s="128"/>
      <c r="K251" s="128"/>
      <c r="L251" s="128"/>
      <c r="M251" s="128"/>
      <c r="N251" s="128"/>
      <c r="O251" s="128"/>
      <c r="P251" s="128"/>
      <c r="Q251" s="129"/>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30"/>
    </row>
    <row r="252">
      <c r="A252" s="122"/>
      <c r="B252" s="123"/>
      <c r="C252" s="123"/>
      <c r="D252" s="123"/>
      <c r="E252" s="192" t="s">
        <v>309</v>
      </c>
      <c r="F252" s="193" t="s">
        <v>72</v>
      </c>
      <c r="G252" s="235" t="s">
        <v>155</v>
      </c>
      <c r="H252" s="255">
        <f t="shared" ref="H252:AV252" si="68">H208</f>
        <v>-0.07</v>
      </c>
      <c r="I252" s="383" t="str">
        <f t="shared" si="68"/>
        <v>-</v>
      </c>
      <c r="J252" s="383" t="str">
        <f t="shared" si="68"/>
        <v>-</v>
      </c>
      <c r="K252" s="383" t="str">
        <f t="shared" si="68"/>
        <v>-</v>
      </c>
      <c r="L252" s="383" t="str">
        <f t="shared" si="68"/>
        <v>-</v>
      </c>
      <c r="M252" s="383" t="str">
        <f t="shared" si="68"/>
        <v>-</v>
      </c>
      <c r="N252" s="383" t="str">
        <f t="shared" si="68"/>
        <v>-</v>
      </c>
      <c r="O252" s="383" t="str">
        <f t="shared" si="68"/>
        <v>-</v>
      </c>
      <c r="P252" s="383" t="str">
        <f t="shared" si="68"/>
        <v>-</v>
      </c>
      <c r="Q252" s="384" t="str">
        <f t="shared" si="68"/>
        <v>-</v>
      </c>
      <c r="R252" s="383" t="str">
        <f t="shared" si="68"/>
        <v>-</v>
      </c>
      <c r="S252" s="383" t="str">
        <f t="shared" si="68"/>
        <v>-</v>
      </c>
      <c r="T252" s="383" t="str">
        <f t="shared" si="68"/>
        <v>-</v>
      </c>
      <c r="U252" s="383" t="str">
        <f t="shared" si="68"/>
        <v>-</v>
      </c>
      <c r="V252" s="383" t="str">
        <f t="shared" si="68"/>
        <v>-</v>
      </c>
      <c r="W252" s="383" t="str">
        <f t="shared" si="68"/>
        <v>-</v>
      </c>
      <c r="X252" s="383" t="str">
        <f t="shared" si="68"/>
        <v>-</v>
      </c>
      <c r="Y252" s="383" t="str">
        <f t="shared" si="68"/>
        <v>-</v>
      </c>
      <c r="Z252" s="383" t="str">
        <f t="shared" si="68"/>
        <v>-</v>
      </c>
      <c r="AA252" s="383" t="str">
        <f t="shared" si="68"/>
        <v>-</v>
      </c>
      <c r="AB252" s="383" t="str">
        <f t="shared" si="68"/>
        <v>-</v>
      </c>
      <c r="AC252" s="383" t="str">
        <f t="shared" si="68"/>
        <v>-</v>
      </c>
      <c r="AD252" s="383" t="str">
        <f t="shared" si="68"/>
        <v>-</v>
      </c>
      <c r="AE252" s="383" t="str">
        <f t="shared" si="68"/>
        <v>-</v>
      </c>
      <c r="AF252" s="383" t="str">
        <f t="shared" si="68"/>
        <v>-</v>
      </c>
      <c r="AG252" s="383" t="str">
        <f t="shared" si="68"/>
        <v>-</v>
      </c>
      <c r="AH252" s="383" t="str">
        <f t="shared" si="68"/>
        <v>-</v>
      </c>
      <c r="AI252" s="383" t="str">
        <f t="shared" si="68"/>
        <v>-</v>
      </c>
      <c r="AJ252" s="383" t="str">
        <f t="shared" si="68"/>
        <v>-</v>
      </c>
      <c r="AK252" s="383" t="str">
        <f t="shared" si="68"/>
        <v>-</v>
      </c>
      <c r="AL252" s="383" t="str">
        <f t="shared" si="68"/>
        <v>-</v>
      </c>
      <c r="AM252" s="383" t="str">
        <f t="shared" si="68"/>
        <v>-</v>
      </c>
      <c r="AN252" s="383" t="str">
        <f t="shared" si="68"/>
        <v>-</v>
      </c>
      <c r="AO252" s="383" t="str">
        <f t="shared" si="68"/>
        <v>-</v>
      </c>
      <c r="AP252" s="383" t="str">
        <f t="shared" si="68"/>
        <v>-</v>
      </c>
      <c r="AQ252" s="383" t="str">
        <f t="shared" si="68"/>
        <v>-</v>
      </c>
      <c r="AR252" s="383" t="str">
        <f t="shared" si="68"/>
        <v>-</v>
      </c>
      <c r="AS252" s="383" t="str">
        <f t="shared" si="68"/>
        <v>-</v>
      </c>
      <c r="AT252" s="383" t="str">
        <f t="shared" si="68"/>
        <v>-</v>
      </c>
      <c r="AU252" s="383" t="str">
        <f t="shared" si="68"/>
        <v>-</v>
      </c>
      <c r="AV252" s="383" t="str">
        <f t="shared" si="68"/>
        <v>-</v>
      </c>
      <c r="AW252" s="256"/>
    </row>
    <row r="253">
      <c r="A253" s="122"/>
      <c r="B253" s="123"/>
      <c r="C253" s="123"/>
      <c r="D253" s="123"/>
      <c r="E253" s="212" t="s">
        <v>342</v>
      </c>
      <c r="F253" s="213" t="s">
        <v>72</v>
      </c>
      <c r="G253" s="239" t="s">
        <v>161</v>
      </c>
      <c r="H253" s="240" t="s">
        <v>162</v>
      </c>
      <c r="I253" s="241">
        <f t="shared" ref="I253:AV253" si="69">SUM($H219:$H227,I219:I227)</f>
        <v>0.236</v>
      </c>
      <c r="J253" s="241">
        <f t="shared" si="69"/>
        <v>0.236</v>
      </c>
      <c r="K253" s="241">
        <f t="shared" si="69"/>
        <v>0.236</v>
      </c>
      <c r="L253" s="241">
        <f t="shared" si="69"/>
        <v>0.236</v>
      </c>
      <c r="M253" s="241">
        <f t="shared" si="69"/>
        <v>0.236</v>
      </c>
      <c r="N253" s="241">
        <f t="shared" si="69"/>
        <v>0.236</v>
      </c>
      <c r="O253" s="241">
        <f t="shared" si="69"/>
        <v>0.236</v>
      </c>
      <c r="P253" s="241">
        <f t="shared" si="69"/>
        <v>0.236</v>
      </c>
      <c r="Q253" s="242">
        <f t="shared" si="69"/>
        <v>0.236</v>
      </c>
      <c r="R253" s="241">
        <f t="shared" si="69"/>
        <v>0.04933333333</v>
      </c>
      <c r="S253" s="241">
        <f t="shared" si="69"/>
        <v>0.04933333333</v>
      </c>
      <c r="T253" s="241">
        <f t="shared" si="69"/>
        <v>0.04933333333</v>
      </c>
      <c r="U253" s="241">
        <f t="shared" si="69"/>
        <v>0.04933333333</v>
      </c>
      <c r="V253" s="241">
        <f t="shared" si="69"/>
        <v>0.04933333333</v>
      </c>
      <c r="W253" s="241">
        <f t="shared" si="69"/>
        <v>0.04933333333</v>
      </c>
      <c r="X253" s="241">
        <f t="shared" si="69"/>
        <v>0.04933333333</v>
      </c>
      <c r="Y253" s="241">
        <f t="shared" si="69"/>
        <v>0.04933333333</v>
      </c>
      <c r="Z253" s="241">
        <f t="shared" si="69"/>
        <v>0.04933333333</v>
      </c>
      <c r="AA253" s="241">
        <f t="shared" si="69"/>
        <v>0.04933333333</v>
      </c>
      <c r="AB253" s="241">
        <f t="shared" si="69"/>
        <v>0.04933333333</v>
      </c>
      <c r="AC253" s="241">
        <f t="shared" si="69"/>
        <v>0.04933333333</v>
      </c>
      <c r="AD253" s="241">
        <f t="shared" si="69"/>
        <v>0.04933333333</v>
      </c>
      <c r="AE253" s="241">
        <f t="shared" si="69"/>
        <v>0.04933333333</v>
      </c>
      <c r="AF253" s="241">
        <f t="shared" si="69"/>
        <v>0.04933333333</v>
      </c>
      <c r="AG253" s="241">
        <f t="shared" si="69"/>
        <v>0.04933333333</v>
      </c>
      <c r="AH253" s="241">
        <f t="shared" si="69"/>
        <v>0.04933333333</v>
      </c>
      <c r="AI253" s="241">
        <f t="shared" si="69"/>
        <v>0.04933333333</v>
      </c>
      <c r="AJ253" s="241">
        <f t="shared" si="69"/>
        <v>0.04933333333</v>
      </c>
      <c r="AK253" s="241">
        <f t="shared" si="69"/>
        <v>0.04933333333</v>
      </c>
      <c r="AL253" s="241">
        <f t="shared" si="69"/>
        <v>0.086</v>
      </c>
      <c r="AM253" s="241">
        <f t="shared" si="69"/>
        <v>0.126</v>
      </c>
      <c r="AN253" s="241">
        <f t="shared" si="69"/>
        <v>0.086</v>
      </c>
      <c r="AO253" s="241">
        <f t="shared" si="69"/>
        <v>0.04933333333</v>
      </c>
      <c r="AP253" s="241">
        <f t="shared" si="69"/>
        <v>0.04933333333</v>
      </c>
      <c r="AQ253" s="241">
        <f t="shared" si="69"/>
        <v>0.04933333333</v>
      </c>
      <c r="AR253" s="241">
        <f t="shared" si="69"/>
        <v>0.04933333333</v>
      </c>
      <c r="AS253" s="241">
        <f t="shared" si="69"/>
        <v>0.04933333333</v>
      </c>
      <c r="AT253" s="241">
        <f t="shared" si="69"/>
        <v>0.04933333333</v>
      </c>
      <c r="AU253" s="241">
        <f t="shared" si="69"/>
        <v>-0.064</v>
      </c>
      <c r="AV253" s="241">
        <f t="shared" si="69"/>
        <v>0.126</v>
      </c>
      <c r="AW253" s="259"/>
    </row>
    <row r="254">
      <c r="A254" s="122"/>
      <c r="B254" s="123"/>
      <c r="C254" s="123"/>
      <c r="D254" s="123"/>
      <c r="E254" s="429" t="s">
        <v>339</v>
      </c>
      <c r="F254" s="213" t="str">
        <f>LeverageFunging!F100</f>
        <v>%</v>
      </c>
      <c r="G254" s="239" t="s">
        <v>173</v>
      </c>
      <c r="H254" s="240" t="str">
        <f>LeverageFunging!H100</f>
        <v>-</v>
      </c>
      <c r="I254" s="241">
        <f>LeverageFunging!I100</f>
        <v>-0.1376836229</v>
      </c>
      <c r="J254" s="241">
        <f>LeverageFunging!J100</f>
        <v>-0.1438804233</v>
      </c>
      <c r="K254" s="241">
        <f>LeverageFunging!K100</f>
        <v>-0.1304760918</v>
      </c>
      <c r="L254" s="241">
        <f>LeverageFunging!L100</f>
        <v>-0.1668962279</v>
      </c>
      <c r="M254" s="241">
        <f>LeverageFunging!M100</f>
        <v>-0.1523214662</v>
      </c>
      <c r="N254" s="241">
        <f>LeverageFunging!N100</f>
        <v>-0.1457168096</v>
      </c>
      <c r="O254" s="241">
        <f>LeverageFunging!O100</f>
        <v>-0.1415455114</v>
      </c>
      <c r="P254" s="241">
        <f>LeverageFunging!P100</f>
        <v>-0.135783821</v>
      </c>
      <c r="Q254" s="242">
        <f>LeverageFunging!Q100</f>
        <v>-0.1275377233</v>
      </c>
      <c r="R254" s="241">
        <f>LeverageFunging!R100</f>
        <v>-0.1245286082</v>
      </c>
      <c r="S254" s="241">
        <f>LeverageFunging!S100</f>
        <v>-0.1311186873</v>
      </c>
      <c r="T254" s="241">
        <f>LeverageFunging!T100</f>
        <v>-0.1540317944</v>
      </c>
      <c r="U254" s="241">
        <f>LeverageFunging!U100</f>
        <v>-0.174038373</v>
      </c>
      <c r="V254" s="241">
        <f>LeverageFunging!V100</f>
        <v>-0.1656505683</v>
      </c>
      <c r="W254" s="241">
        <f>LeverageFunging!W100</f>
        <v>-0.1592212689</v>
      </c>
      <c r="X254" s="241">
        <f>LeverageFunging!X100</f>
        <v>-0.2156844455</v>
      </c>
      <c r="Y254" s="241">
        <f>LeverageFunging!Y100</f>
        <v>-0.08941807409</v>
      </c>
      <c r="Z254" s="241">
        <f>LeverageFunging!Z100</f>
        <v>-0.1725965437</v>
      </c>
      <c r="AA254" s="241">
        <f>LeverageFunging!AA100</f>
        <v>-0.01744183793</v>
      </c>
      <c r="AB254" s="241">
        <f>LeverageFunging!AB100</f>
        <v>-0.1049337195</v>
      </c>
      <c r="AC254" s="241">
        <f>LeverageFunging!AC100</f>
        <v>-0.06945910631</v>
      </c>
      <c r="AD254" s="241">
        <f>LeverageFunging!AD100</f>
        <v>-0.0492266479</v>
      </c>
      <c r="AE254" s="241">
        <f>LeverageFunging!AE100</f>
        <v>-0.0997118441</v>
      </c>
      <c r="AF254" s="241">
        <f>LeverageFunging!AF100</f>
        <v>-0.08848526431</v>
      </c>
      <c r="AG254" s="241">
        <f>LeverageFunging!AG100</f>
        <v>-0.1627643596</v>
      </c>
      <c r="AH254" s="241">
        <f>LeverageFunging!AH100</f>
        <v>-0.1614447792</v>
      </c>
      <c r="AI254" s="241">
        <f>LeverageFunging!AI100</f>
        <v>-0.2572158996</v>
      </c>
      <c r="AJ254" s="241">
        <f>LeverageFunging!AJ100</f>
        <v>-0.1086785193</v>
      </c>
      <c r="AK254" s="241">
        <f>LeverageFunging!AK100</f>
        <v>-0.1889493923</v>
      </c>
      <c r="AL254" s="241">
        <f>LeverageFunging!AL100</f>
        <v>-0.1820350445</v>
      </c>
      <c r="AM254" s="241">
        <f>LeverageFunging!AM100</f>
        <v>-0.1836887217</v>
      </c>
      <c r="AN254" s="241">
        <f>LeverageFunging!AN100</f>
        <v>-0.1707532633</v>
      </c>
      <c r="AO254" s="241">
        <f>LeverageFunging!AO100</f>
        <v>-0.2521780705</v>
      </c>
      <c r="AP254" s="241">
        <f>LeverageFunging!AP100</f>
        <v>-0.2149874842</v>
      </c>
      <c r="AQ254" s="241">
        <f>LeverageFunging!AQ100</f>
        <v>-0.1347357852</v>
      </c>
      <c r="AR254" s="241">
        <f>LeverageFunging!AR100</f>
        <v>-0.2448215997</v>
      </c>
      <c r="AS254" s="241">
        <f>LeverageFunging!AS100</f>
        <v>-0.1742166669</v>
      </c>
      <c r="AT254" s="241">
        <f>LeverageFunging!AT100</f>
        <v>-0.1144093663</v>
      </c>
      <c r="AU254" s="241">
        <f>LeverageFunging!AU100</f>
        <v>-0.152593049</v>
      </c>
      <c r="AV254" s="241">
        <f>LeverageFunging!AV100</f>
        <v>-0.1511878848</v>
      </c>
      <c r="AW254" s="259"/>
    </row>
    <row r="255">
      <c r="A255" s="122"/>
      <c r="B255" s="123"/>
      <c r="C255" s="123"/>
      <c r="D255" s="397"/>
      <c r="E255" s="397"/>
      <c r="F255" s="141"/>
      <c r="G255" s="144"/>
      <c r="H255" s="188"/>
      <c r="I255" s="317"/>
      <c r="J255" s="317"/>
      <c r="K255" s="317"/>
      <c r="L255" s="317"/>
      <c r="M255" s="317"/>
      <c r="N255" s="317"/>
      <c r="O255" s="317"/>
      <c r="P255" s="317"/>
      <c r="Q255" s="392"/>
      <c r="R255" s="317"/>
      <c r="S255" s="317"/>
      <c r="T255" s="317"/>
      <c r="U255" s="317"/>
      <c r="V255" s="317"/>
      <c r="W255" s="317"/>
      <c r="X255" s="317"/>
      <c r="Y255" s="317"/>
      <c r="Z255" s="317"/>
      <c r="AA255" s="317"/>
      <c r="AB255" s="317"/>
      <c r="AC255" s="317"/>
      <c r="AD255" s="317"/>
      <c r="AE255" s="317"/>
      <c r="AF255" s="317"/>
      <c r="AG255" s="317"/>
      <c r="AH255" s="317"/>
      <c r="AI255" s="317"/>
      <c r="AJ255" s="317"/>
      <c r="AK255" s="317"/>
      <c r="AL255" s="317"/>
      <c r="AM255" s="317"/>
      <c r="AN255" s="317"/>
      <c r="AO255" s="317"/>
      <c r="AP255" s="317"/>
      <c r="AQ255" s="317"/>
      <c r="AR255" s="317"/>
      <c r="AS255" s="317"/>
      <c r="AT255" s="317"/>
      <c r="AU255" s="317"/>
      <c r="AV255" s="317"/>
      <c r="AW255" s="130"/>
    </row>
    <row r="256">
      <c r="A256" s="122"/>
      <c r="B256" s="123"/>
      <c r="C256" s="123"/>
      <c r="D256" s="398" t="s">
        <v>343</v>
      </c>
      <c r="E256" s="45"/>
      <c r="F256" s="134" t="s">
        <v>72</v>
      </c>
      <c r="G256" s="145" t="s">
        <v>161</v>
      </c>
      <c r="H256" s="146" t="s">
        <v>162</v>
      </c>
      <c r="I256" s="407">
        <f t="shared" ref="I256:AV256" si="70">((1+$H252)*(1+I253)*(1+I254))-1</f>
        <v>-0.008784570796</v>
      </c>
      <c r="J256" s="407">
        <f t="shared" si="70"/>
        <v>-0.01590766896</v>
      </c>
      <c r="K256" s="407">
        <f t="shared" si="70"/>
        <v>-0.0004996580029</v>
      </c>
      <c r="L256" s="407">
        <f t="shared" si="70"/>
        <v>-0.04236387602</v>
      </c>
      <c r="M256" s="407">
        <f t="shared" si="70"/>
        <v>-0.02561047892</v>
      </c>
      <c r="N256" s="407">
        <f t="shared" si="70"/>
        <v>-0.01801855833</v>
      </c>
      <c r="O256" s="407">
        <f t="shared" si="70"/>
        <v>-0.01322373439</v>
      </c>
      <c r="P256" s="407">
        <f t="shared" si="70"/>
        <v>-0.006600786555</v>
      </c>
      <c r="Q256" s="408">
        <f t="shared" si="70"/>
        <v>0.002877937878</v>
      </c>
      <c r="R256" s="407">
        <f t="shared" si="70"/>
        <v>-0.1456449781</v>
      </c>
      <c r="S256" s="407">
        <f t="shared" si="70"/>
        <v>-0.1520761046</v>
      </c>
      <c r="T256" s="407">
        <f t="shared" si="70"/>
        <v>-0.1744365475</v>
      </c>
      <c r="U256" s="407">
        <f t="shared" si="70"/>
        <v>-0.1939605674</v>
      </c>
      <c r="V256" s="407">
        <f t="shared" si="70"/>
        <v>-0.1857750766</v>
      </c>
      <c r="W256" s="407">
        <f t="shared" si="70"/>
        <v>-0.1795008519</v>
      </c>
      <c r="X256" s="407">
        <f t="shared" si="70"/>
        <v>-0.2346021367</v>
      </c>
      <c r="Y256" s="407">
        <f t="shared" si="70"/>
        <v>-0.1113813101</v>
      </c>
      <c r="Z256" s="407">
        <f t="shared" si="70"/>
        <v>-0.192553515</v>
      </c>
      <c r="AA256" s="407">
        <f t="shared" si="70"/>
        <v>-0.04114114079</v>
      </c>
      <c r="AB256" s="407">
        <f t="shared" si="70"/>
        <v>-0.1265227182</v>
      </c>
      <c r="AC256" s="407">
        <f t="shared" si="70"/>
        <v>-0.09190375266</v>
      </c>
      <c r="AD256" s="407">
        <f t="shared" si="70"/>
        <v>-0.07215930115</v>
      </c>
      <c r="AE256" s="407">
        <f t="shared" si="70"/>
        <v>-0.1214267944</v>
      </c>
      <c r="AF256" s="407">
        <f t="shared" si="70"/>
        <v>-0.1104709997</v>
      </c>
      <c r="AG256" s="407">
        <f t="shared" si="70"/>
        <v>-0.1829584833</v>
      </c>
      <c r="AH256" s="407">
        <f t="shared" si="70"/>
        <v>-0.1816707311</v>
      </c>
      <c r="AI256" s="407">
        <f t="shared" si="70"/>
        <v>-0.2751318521</v>
      </c>
      <c r="AJ256" s="407">
        <f t="shared" si="70"/>
        <v>-0.1301771934</v>
      </c>
      <c r="AK256" s="407">
        <f t="shared" si="70"/>
        <v>-0.2085119329</v>
      </c>
      <c r="AL256" s="407">
        <f t="shared" si="70"/>
        <v>-0.1738717543</v>
      </c>
      <c r="AM256" s="407">
        <f t="shared" si="70"/>
        <v>-0.1451751556</v>
      </c>
      <c r="AN256" s="407">
        <f t="shared" si="70"/>
        <v>-0.1624773809</v>
      </c>
      <c r="AO256" s="407">
        <f t="shared" si="70"/>
        <v>-0.2702155354</v>
      </c>
      <c r="AP256" s="407">
        <f t="shared" si="70"/>
        <v>-0.233921986</v>
      </c>
      <c r="AQ256" s="407">
        <f t="shared" si="70"/>
        <v>-0.155605958</v>
      </c>
      <c r="AR256" s="407">
        <f t="shared" si="70"/>
        <v>-0.2630365027</v>
      </c>
      <c r="AS256" s="407">
        <f t="shared" si="70"/>
        <v>-0.1941345609</v>
      </c>
      <c r="AT256" s="407">
        <f t="shared" si="70"/>
        <v>-0.1357698124</v>
      </c>
      <c r="AU256" s="407">
        <f t="shared" si="70"/>
        <v>-0.2623491973</v>
      </c>
      <c r="AV256" s="407">
        <f t="shared" si="70"/>
        <v>-0.1111409292</v>
      </c>
      <c r="AW256" s="409"/>
    </row>
    <row r="257">
      <c r="A257" s="122"/>
      <c r="B257" s="123"/>
      <c r="C257" s="123"/>
      <c r="D257" s="123"/>
      <c r="E257" s="124"/>
      <c r="F257" s="125"/>
      <c r="G257" s="126"/>
      <c r="H257" s="127"/>
      <c r="I257" s="128"/>
      <c r="J257" s="128"/>
      <c r="K257" s="128"/>
      <c r="L257" s="128"/>
      <c r="M257" s="128"/>
      <c r="N257" s="128"/>
      <c r="O257" s="128"/>
      <c r="P257" s="128"/>
      <c r="Q257" s="129"/>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30"/>
    </row>
    <row r="258">
      <c r="A258" s="122"/>
      <c r="B258" s="123"/>
      <c r="C258" s="342" t="s">
        <v>344</v>
      </c>
      <c r="F258" s="125"/>
      <c r="G258" s="126"/>
      <c r="H258" s="127"/>
      <c r="I258" s="128"/>
      <c r="J258" s="128"/>
      <c r="K258" s="128"/>
      <c r="L258" s="128"/>
      <c r="M258" s="128"/>
      <c r="N258" s="128"/>
      <c r="O258" s="128"/>
      <c r="P258" s="128"/>
      <c r="Q258" s="129"/>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30"/>
    </row>
    <row r="259">
      <c r="A259" s="122"/>
      <c r="B259" s="123"/>
      <c r="C259" s="123"/>
      <c r="D259" s="123"/>
      <c r="E259" s="192" t="s">
        <v>345</v>
      </c>
      <c r="F259" s="193" t="s">
        <v>62</v>
      </c>
      <c r="G259" s="235" t="s">
        <v>161</v>
      </c>
      <c r="H259" s="236" t="s">
        <v>162</v>
      </c>
      <c r="I259" s="358">
        <f t="shared" ref="I259:AV259" si="71">I36*(1+I$249)</f>
        <v>8156.028738</v>
      </c>
      <c r="J259" s="358">
        <f t="shared" si="71"/>
        <v>5243.928021</v>
      </c>
      <c r="K259" s="358">
        <f t="shared" si="71"/>
        <v>6314.345137</v>
      </c>
      <c r="L259" s="358">
        <f t="shared" si="71"/>
        <v>6707.743142</v>
      </c>
      <c r="M259" s="358">
        <f t="shared" si="71"/>
        <v>7258.926918</v>
      </c>
      <c r="N259" s="358">
        <f t="shared" si="71"/>
        <v>8267.422726</v>
      </c>
      <c r="O259" s="358">
        <f t="shared" si="71"/>
        <v>12303.50865</v>
      </c>
      <c r="P259" s="358">
        <f t="shared" si="71"/>
        <v>13914.7547</v>
      </c>
      <c r="Q259" s="359">
        <f t="shared" si="71"/>
        <v>9160.488007</v>
      </c>
      <c r="R259" s="358">
        <f t="shared" si="71"/>
        <v>1606.312213</v>
      </c>
      <c r="S259" s="358">
        <f t="shared" si="71"/>
        <v>2341.635881</v>
      </c>
      <c r="T259" s="358">
        <f t="shared" si="71"/>
        <v>1982.686055</v>
      </c>
      <c r="U259" s="358">
        <f t="shared" si="71"/>
        <v>2374.559186</v>
      </c>
      <c r="V259" s="358">
        <f t="shared" si="71"/>
        <v>2776.454935</v>
      </c>
      <c r="W259" s="358">
        <f t="shared" si="71"/>
        <v>2808.857071</v>
      </c>
      <c r="X259" s="358">
        <f t="shared" si="71"/>
        <v>6494.034513</v>
      </c>
      <c r="Y259" s="358">
        <f t="shared" si="71"/>
        <v>1128.969119</v>
      </c>
      <c r="Z259" s="358">
        <f t="shared" si="71"/>
        <v>2546.080785</v>
      </c>
      <c r="AA259" s="358">
        <f t="shared" si="71"/>
        <v>166.2077086</v>
      </c>
      <c r="AB259" s="358">
        <f t="shared" si="71"/>
        <v>1320.586372</v>
      </c>
      <c r="AC259" s="358">
        <f t="shared" si="71"/>
        <v>765.3564556</v>
      </c>
      <c r="AD259" s="358">
        <f t="shared" si="71"/>
        <v>471.9560259</v>
      </c>
      <c r="AE259" s="358">
        <f t="shared" si="71"/>
        <v>1254.603447</v>
      </c>
      <c r="AF259" s="358">
        <f t="shared" si="71"/>
        <v>929.9066999</v>
      </c>
      <c r="AG259" s="358">
        <f t="shared" si="71"/>
        <v>4169.059111</v>
      </c>
      <c r="AH259" s="358">
        <f t="shared" si="71"/>
        <v>2450.628881</v>
      </c>
      <c r="AI259" s="358">
        <f t="shared" si="71"/>
        <v>3921.273626</v>
      </c>
      <c r="AJ259" s="358">
        <f t="shared" si="71"/>
        <v>1091.652154</v>
      </c>
      <c r="AK259" s="358">
        <f t="shared" si="71"/>
        <v>3803.920221</v>
      </c>
      <c r="AL259" s="358">
        <f t="shared" si="71"/>
        <v>6658.857316</v>
      </c>
      <c r="AM259" s="358">
        <f t="shared" si="71"/>
        <v>7898.357525</v>
      </c>
      <c r="AN259" s="358">
        <f t="shared" si="71"/>
        <v>4616.78789</v>
      </c>
      <c r="AO259" s="358">
        <f t="shared" si="71"/>
        <v>4404.089184</v>
      </c>
      <c r="AP259" s="358">
        <f t="shared" si="71"/>
        <v>3372.506513</v>
      </c>
      <c r="AQ259" s="358">
        <f t="shared" si="71"/>
        <v>1412.870426</v>
      </c>
      <c r="AR259" s="358">
        <f t="shared" si="71"/>
        <v>3362.446074</v>
      </c>
      <c r="AS259" s="358">
        <f t="shared" si="71"/>
        <v>2652.731315</v>
      </c>
      <c r="AT259" s="358">
        <f t="shared" si="71"/>
        <v>1443.431303</v>
      </c>
      <c r="AU259" s="358">
        <f t="shared" si="71"/>
        <v>4280.174463</v>
      </c>
      <c r="AV259" s="358">
        <f t="shared" si="71"/>
        <v>6591.400249</v>
      </c>
      <c r="AW259" s="256"/>
    </row>
    <row r="260">
      <c r="A260" s="122"/>
      <c r="B260" s="123"/>
      <c r="C260" s="123"/>
      <c r="D260" s="123"/>
      <c r="E260" s="133" t="s">
        <v>346</v>
      </c>
      <c r="F260" s="134" t="s">
        <v>68</v>
      </c>
      <c r="G260" s="145" t="s">
        <v>161</v>
      </c>
      <c r="H260" s="146" t="s">
        <v>162</v>
      </c>
      <c r="I260" s="147">
        <f t="shared" ref="I260:AV260" si="72">I11/I259</f>
        <v>122.6086901</v>
      </c>
      <c r="J260" s="147">
        <f t="shared" si="72"/>
        <v>190.6967441</v>
      </c>
      <c r="K260" s="147">
        <f t="shared" si="72"/>
        <v>158.3695503</v>
      </c>
      <c r="L260" s="147">
        <f t="shared" si="72"/>
        <v>149.081439</v>
      </c>
      <c r="M260" s="147">
        <f t="shared" si="72"/>
        <v>137.761409</v>
      </c>
      <c r="N260" s="147">
        <f t="shared" si="72"/>
        <v>120.9566794</v>
      </c>
      <c r="O260" s="147">
        <f t="shared" si="72"/>
        <v>81.27762805</v>
      </c>
      <c r="P260" s="147">
        <f t="shared" si="72"/>
        <v>71.86616088</v>
      </c>
      <c r="Q260" s="148">
        <f t="shared" si="72"/>
        <v>109.1644898</v>
      </c>
      <c r="R260" s="147">
        <f t="shared" si="72"/>
        <v>622.5439811</v>
      </c>
      <c r="S260" s="147">
        <f t="shared" si="72"/>
        <v>427.0518777</v>
      </c>
      <c r="T260" s="147">
        <f t="shared" si="72"/>
        <v>504.3662852</v>
      </c>
      <c r="U260" s="147">
        <f t="shared" si="72"/>
        <v>421.1307959</v>
      </c>
      <c r="V260" s="147">
        <f t="shared" si="72"/>
        <v>360.1715221</v>
      </c>
      <c r="W260" s="147">
        <f t="shared" si="72"/>
        <v>356.016691</v>
      </c>
      <c r="X260" s="147">
        <f t="shared" si="72"/>
        <v>153.9874785</v>
      </c>
      <c r="Y260" s="147">
        <f t="shared" si="72"/>
        <v>885.7638206</v>
      </c>
      <c r="Z260" s="147">
        <f t="shared" si="72"/>
        <v>392.7605148</v>
      </c>
      <c r="AA260" s="147">
        <f t="shared" si="72"/>
        <v>6016.568115</v>
      </c>
      <c r="AB260" s="147">
        <f t="shared" si="72"/>
        <v>757.2393757</v>
      </c>
      <c r="AC260" s="147">
        <f t="shared" si="72"/>
        <v>1306.580735</v>
      </c>
      <c r="AD260" s="147">
        <f t="shared" si="72"/>
        <v>2118.841471</v>
      </c>
      <c r="AE260" s="147">
        <f t="shared" si="72"/>
        <v>797.0646044</v>
      </c>
      <c r="AF260" s="147">
        <f t="shared" si="72"/>
        <v>1075.376702</v>
      </c>
      <c r="AG260" s="147">
        <f t="shared" si="72"/>
        <v>239.8622743</v>
      </c>
      <c r="AH260" s="147">
        <f t="shared" si="72"/>
        <v>408.0585224</v>
      </c>
      <c r="AI260" s="147">
        <f t="shared" si="72"/>
        <v>255.0191839</v>
      </c>
      <c r="AJ260" s="147">
        <f t="shared" si="72"/>
        <v>916.042712</v>
      </c>
      <c r="AK260" s="147">
        <f t="shared" si="72"/>
        <v>262.8866911</v>
      </c>
      <c r="AL260" s="147">
        <f t="shared" si="72"/>
        <v>150.1759165</v>
      </c>
      <c r="AM260" s="147">
        <f t="shared" si="72"/>
        <v>126.6086015</v>
      </c>
      <c r="AN260" s="147">
        <f t="shared" si="72"/>
        <v>216.6008107</v>
      </c>
      <c r="AO260" s="147">
        <f t="shared" si="72"/>
        <v>227.0617052</v>
      </c>
      <c r="AP260" s="147">
        <f t="shared" si="72"/>
        <v>296.5153651</v>
      </c>
      <c r="AQ260" s="147">
        <f t="shared" si="72"/>
        <v>707.7789877</v>
      </c>
      <c r="AR260" s="147">
        <f t="shared" si="72"/>
        <v>297.4025391</v>
      </c>
      <c r="AS260" s="147">
        <f t="shared" si="72"/>
        <v>376.9699534</v>
      </c>
      <c r="AT260" s="147">
        <f t="shared" si="72"/>
        <v>692.7936217</v>
      </c>
      <c r="AU260" s="147">
        <f t="shared" si="72"/>
        <v>233.6353363</v>
      </c>
      <c r="AV260" s="147">
        <f t="shared" si="72"/>
        <v>151.7128322</v>
      </c>
      <c r="AW260" s="409"/>
    </row>
    <row r="261">
      <c r="A261" s="122"/>
      <c r="B261" s="123"/>
      <c r="C261" s="123"/>
      <c r="D261" s="123"/>
      <c r="E261" s="140"/>
      <c r="F261" s="125"/>
      <c r="G261" s="126"/>
      <c r="H261" s="127"/>
      <c r="I261" s="317"/>
      <c r="J261" s="317"/>
      <c r="K261" s="317"/>
      <c r="L261" s="317"/>
      <c r="M261" s="317"/>
      <c r="N261" s="317"/>
      <c r="O261" s="317"/>
      <c r="P261" s="317"/>
      <c r="Q261" s="392"/>
      <c r="R261" s="128"/>
      <c r="S261" s="128"/>
      <c r="T261" s="128"/>
      <c r="U261" s="128"/>
      <c r="V261" s="128"/>
      <c r="W261" s="128"/>
      <c r="X261" s="128"/>
      <c r="Y261" s="128"/>
      <c r="Z261" s="128"/>
      <c r="AA261" s="128"/>
      <c r="AB261" s="128"/>
      <c r="AC261" s="128"/>
      <c r="AD261" s="128"/>
      <c r="AE261" s="128"/>
      <c r="AF261" s="128"/>
      <c r="AG261" s="317"/>
      <c r="AH261" s="128"/>
      <c r="AI261" s="128"/>
      <c r="AJ261" s="128"/>
      <c r="AK261" s="128"/>
      <c r="AL261" s="128"/>
      <c r="AM261" s="128"/>
      <c r="AN261" s="128"/>
      <c r="AO261" s="128"/>
      <c r="AP261" s="128"/>
      <c r="AQ261" s="128"/>
      <c r="AR261" s="128"/>
      <c r="AS261" s="128"/>
      <c r="AT261" s="128"/>
      <c r="AU261" s="128"/>
      <c r="AV261" s="128"/>
      <c r="AW261" s="130"/>
    </row>
    <row r="262">
      <c r="A262" s="122"/>
      <c r="B262" s="123"/>
      <c r="C262" s="342" t="s">
        <v>347</v>
      </c>
      <c r="F262" s="125"/>
      <c r="G262" s="126"/>
      <c r="H262" s="127"/>
      <c r="I262" s="430"/>
      <c r="J262" s="430"/>
      <c r="K262" s="430"/>
      <c r="L262" s="430"/>
      <c r="M262" s="430"/>
      <c r="N262" s="430"/>
      <c r="O262" s="430"/>
      <c r="P262" s="430"/>
      <c r="Q262" s="431"/>
      <c r="R262" s="430"/>
      <c r="S262" s="430"/>
      <c r="T262" s="430"/>
      <c r="U262" s="430"/>
      <c r="V262" s="430"/>
      <c r="W262" s="430"/>
      <c r="X262" s="430"/>
      <c r="Y262" s="430"/>
      <c r="Z262" s="430"/>
      <c r="AA262" s="430"/>
      <c r="AB262" s="430"/>
      <c r="AC262" s="430"/>
      <c r="AD262" s="430"/>
      <c r="AE262" s="430"/>
      <c r="AF262" s="430"/>
      <c r="AG262" s="430"/>
      <c r="AH262" s="430"/>
      <c r="AI262" s="430"/>
      <c r="AJ262" s="430"/>
      <c r="AK262" s="430"/>
      <c r="AL262" s="430"/>
      <c r="AM262" s="430"/>
      <c r="AN262" s="430"/>
      <c r="AO262" s="430"/>
      <c r="AP262" s="430"/>
      <c r="AQ262" s="430"/>
      <c r="AR262" s="430"/>
      <c r="AS262" s="430"/>
      <c r="AT262" s="430"/>
      <c r="AU262" s="430"/>
      <c r="AV262" s="430"/>
      <c r="AW262" s="130"/>
    </row>
    <row r="263">
      <c r="A263" s="122"/>
      <c r="B263" s="123"/>
      <c r="C263" s="123"/>
      <c r="D263" s="123"/>
      <c r="E263" s="192" t="s">
        <v>348</v>
      </c>
      <c r="F263" s="193" t="s">
        <v>62</v>
      </c>
      <c r="G263" s="235" t="s">
        <v>161</v>
      </c>
      <c r="H263" s="236" t="s">
        <v>162</v>
      </c>
      <c r="I263" s="358">
        <f t="shared" ref="I263:AV263" si="73">I190*(1+I$256)</f>
        <v>372.5513378</v>
      </c>
      <c r="J263" s="358">
        <f t="shared" si="73"/>
        <v>177.2412724</v>
      </c>
      <c r="K263" s="358">
        <f t="shared" si="73"/>
        <v>331.997059</v>
      </c>
      <c r="L263" s="358">
        <f t="shared" si="73"/>
        <v>156.1386072</v>
      </c>
      <c r="M263" s="358">
        <f t="shared" si="73"/>
        <v>224.5486797</v>
      </c>
      <c r="N263" s="358">
        <f t="shared" si="73"/>
        <v>310.889331</v>
      </c>
      <c r="O263" s="358">
        <f t="shared" si="73"/>
        <v>550.5458709</v>
      </c>
      <c r="P263" s="358">
        <f t="shared" si="73"/>
        <v>731.1880123</v>
      </c>
      <c r="Q263" s="359">
        <f t="shared" si="73"/>
        <v>586.236366</v>
      </c>
      <c r="R263" s="358">
        <f t="shared" si="73"/>
        <v>17.21838266</v>
      </c>
      <c r="S263" s="358">
        <f t="shared" si="73"/>
        <v>58.94130221</v>
      </c>
      <c r="T263" s="358">
        <f t="shared" si="73"/>
        <v>16.75173333</v>
      </c>
      <c r="U263" s="358">
        <f t="shared" si="73"/>
        <v>20.39980033</v>
      </c>
      <c r="V263" s="358">
        <f t="shared" si="73"/>
        <v>36.95207404</v>
      </c>
      <c r="W263" s="358">
        <f t="shared" si="73"/>
        <v>43.66749233</v>
      </c>
      <c r="X263" s="358">
        <f t="shared" si="73"/>
        <v>86.52960019</v>
      </c>
      <c r="Y263" s="358">
        <f t="shared" si="73"/>
        <v>13.14541823</v>
      </c>
      <c r="Z263" s="358">
        <f t="shared" si="73"/>
        <v>25.62499374</v>
      </c>
      <c r="AA263" s="358">
        <f t="shared" si="73"/>
        <v>2.709923168</v>
      </c>
      <c r="AB263" s="358">
        <f t="shared" si="73"/>
        <v>13.68697973</v>
      </c>
      <c r="AC263" s="358">
        <f t="shared" si="73"/>
        <v>6.868374531</v>
      </c>
      <c r="AD263" s="358">
        <f t="shared" si="73"/>
        <v>3.603637695</v>
      </c>
      <c r="AE263" s="358">
        <f t="shared" si="73"/>
        <v>11.59081551</v>
      </c>
      <c r="AF263" s="358">
        <f t="shared" si="73"/>
        <v>6.281651624</v>
      </c>
      <c r="AG263" s="358">
        <f t="shared" si="73"/>
        <v>82.38856304</v>
      </c>
      <c r="AH263" s="358">
        <f t="shared" si="73"/>
        <v>29.09441249</v>
      </c>
      <c r="AI263" s="358">
        <f t="shared" si="73"/>
        <v>27.44495725</v>
      </c>
      <c r="AJ263" s="358">
        <f t="shared" si="73"/>
        <v>5.582373498</v>
      </c>
      <c r="AK263" s="358">
        <f t="shared" si="73"/>
        <v>48.64359604</v>
      </c>
      <c r="AL263" s="358">
        <f t="shared" si="73"/>
        <v>127.3366331</v>
      </c>
      <c r="AM263" s="358">
        <f t="shared" si="73"/>
        <v>156.6026141</v>
      </c>
      <c r="AN263" s="358">
        <f t="shared" si="73"/>
        <v>88.28635275</v>
      </c>
      <c r="AO263" s="358">
        <f t="shared" si="73"/>
        <v>35.18384279</v>
      </c>
      <c r="AP263" s="358">
        <f t="shared" si="73"/>
        <v>28.89026134</v>
      </c>
      <c r="AQ263" s="358">
        <f t="shared" si="73"/>
        <v>7.379807289</v>
      </c>
      <c r="AR263" s="358">
        <f t="shared" si="73"/>
        <v>21.09750356</v>
      </c>
      <c r="AS263" s="358">
        <f t="shared" si="73"/>
        <v>28.52465638</v>
      </c>
      <c r="AT263" s="358">
        <f t="shared" si="73"/>
        <v>14.35854938</v>
      </c>
      <c r="AU263" s="358">
        <f t="shared" si="73"/>
        <v>103.1364064</v>
      </c>
      <c r="AV263" s="358">
        <f t="shared" si="73"/>
        <v>207.2263998</v>
      </c>
      <c r="AW263" s="256"/>
    </row>
    <row r="264">
      <c r="A264" s="122"/>
      <c r="B264" s="123"/>
      <c r="C264" s="123"/>
      <c r="D264" s="123"/>
      <c r="E264" s="133" t="s">
        <v>349</v>
      </c>
      <c r="F264" s="134" t="s">
        <v>68</v>
      </c>
      <c r="G264" s="145" t="s">
        <v>161</v>
      </c>
      <c r="H264" s="146" t="s">
        <v>162</v>
      </c>
      <c r="I264" s="147">
        <f t="shared" ref="I264:AV264" si="74">I11/I263</f>
        <v>2684.193824</v>
      </c>
      <c r="J264" s="147">
        <f t="shared" si="74"/>
        <v>5642.026751</v>
      </c>
      <c r="K264" s="147">
        <f t="shared" si="74"/>
        <v>3012.074875</v>
      </c>
      <c r="L264" s="147">
        <f t="shared" si="74"/>
        <v>6404.565903</v>
      </c>
      <c r="M264" s="147">
        <f t="shared" si="74"/>
        <v>4453.377331</v>
      </c>
      <c r="N264" s="147">
        <f t="shared" si="74"/>
        <v>3216.578699</v>
      </c>
      <c r="O264" s="147">
        <f t="shared" si="74"/>
        <v>1816.379076</v>
      </c>
      <c r="P264" s="147">
        <f t="shared" si="74"/>
        <v>1367.637302</v>
      </c>
      <c r="Q264" s="148">
        <f t="shared" si="74"/>
        <v>1705.7966</v>
      </c>
      <c r="R264" s="147">
        <f t="shared" si="74"/>
        <v>58077.46405</v>
      </c>
      <c r="S264" s="147">
        <f t="shared" si="74"/>
        <v>16966.03167</v>
      </c>
      <c r="T264" s="147">
        <f t="shared" si="74"/>
        <v>59695.31512</v>
      </c>
      <c r="U264" s="147">
        <f t="shared" si="74"/>
        <v>49020.08763</v>
      </c>
      <c r="V264" s="147">
        <f t="shared" si="74"/>
        <v>27062.08043</v>
      </c>
      <c r="W264" s="147">
        <f t="shared" si="74"/>
        <v>22900.33035</v>
      </c>
      <c r="X264" s="147">
        <f t="shared" si="74"/>
        <v>11556.73894</v>
      </c>
      <c r="Y264" s="147">
        <f t="shared" si="74"/>
        <v>76072.13271</v>
      </c>
      <c r="Z264" s="147">
        <f t="shared" si="74"/>
        <v>39024.39978</v>
      </c>
      <c r="AA264" s="147">
        <f t="shared" si="74"/>
        <v>369014.152</v>
      </c>
      <c r="AB264" s="147">
        <f t="shared" si="74"/>
        <v>73062.13788</v>
      </c>
      <c r="AC264" s="147">
        <f t="shared" si="74"/>
        <v>145594.8559</v>
      </c>
      <c r="AD264" s="147">
        <f t="shared" si="74"/>
        <v>277497.3748</v>
      </c>
      <c r="AE264" s="147">
        <f t="shared" si="74"/>
        <v>86275.20635</v>
      </c>
      <c r="AF264" s="147">
        <f t="shared" si="74"/>
        <v>159193.8012</v>
      </c>
      <c r="AG264" s="147">
        <f t="shared" si="74"/>
        <v>12137.60701</v>
      </c>
      <c r="AH264" s="147">
        <f t="shared" si="74"/>
        <v>34370.86074</v>
      </c>
      <c r="AI264" s="147">
        <f t="shared" si="74"/>
        <v>36436.56614</v>
      </c>
      <c r="AJ264" s="147">
        <f t="shared" si="74"/>
        <v>179135.2729</v>
      </c>
      <c r="AK264" s="147">
        <f t="shared" si="74"/>
        <v>20557.69066</v>
      </c>
      <c r="AL264" s="147">
        <f t="shared" si="74"/>
        <v>7853.199628</v>
      </c>
      <c r="AM264" s="147">
        <f t="shared" si="74"/>
        <v>6385.589445</v>
      </c>
      <c r="AN264" s="147">
        <f t="shared" si="74"/>
        <v>11326.77893</v>
      </c>
      <c r="AO264" s="147">
        <f t="shared" si="74"/>
        <v>28422.137</v>
      </c>
      <c r="AP264" s="147">
        <f t="shared" si="74"/>
        <v>34613.74019</v>
      </c>
      <c r="AQ264" s="147">
        <f t="shared" si="74"/>
        <v>135504.8934</v>
      </c>
      <c r="AR264" s="147">
        <f t="shared" si="74"/>
        <v>47398.97293</v>
      </c>
      <c r="AS264" s="147">
        <f t="shared" si="74"/>
        <v>35057.38989</v>
      </c>
      <c r="AT264" s="147">
        <f t="shared" si="74"/>
        <v>69644.91839</v>
      </c>
      <c r="AU264" s="147">
        <f t="shared" si="74"/>
        <v>9695.897255</v>
      </c>
      <c r="AV264" s="147">
        <f t="shared" si="74"/>
        <v>4825.639982</v>
      </c>
      <c r="AW264" s="409"/>
    </row>
    <row r="265">
      <c r="A265" s="432"/>
      <c r="B265" s="433"/>
      <c r="C265" s="433"/>
      <c r="D265" s="433"/>
      <c r="E265" s="434"/>
      <c r="F265" s="435"/>
      <c r="G265" s="436"/>
      <c r="H265" s="406"/>
      <c r="I265" s="437"/>
      <c r="J265" s="437"/>
      <c r="K265" s="437"/>
      <c r="L265" s="437"/>
      <c r="M265" s="437"/>
      <c r="N265" s="437"/>
      <c r="O265" s="437"/>
      <c r="P265" s="437"/>
      <c r="Q265" s="437"/>
      <c r="R265" s="147"/>
      <c r="S265" s="147"/>
      <c r="T265" s="147"/>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147"/>
      <c r="AP265" s="147"/>
      <c r="AQ265" s="147"/>
      <c r="AR265" s="147"/>
      <c r="AS265" s="147"/>
      <c r="AT265" s="147"/>
      <c r="AU265" s="147"/>
      <c r="AV265" s="147"/>
      <c r="AW265" s="409"/>
    </row>
  </sheetData>
  <mergeCells count="55">
    <mergeCell ref="I1:Q1"/>
    <mergeCell ref="R1:AE1"/>
    <mergeCell ref="AF1:AV1"/>
    <mergeCell ref="A3:E3"/>
    <mergeCell ref="A5:G5"/>
    <mergeCell ref="C7:E7"/>
    <mergeCell ref="C10:E10"/>
    <mergeCell ref="C13:E13"/>
    <mergeCell ref="A18:G18"/>
    <mergeCell ref="C20:E20"/>
    <mergeCell ref="C23:E23"/>
    <mergeCell ref="C27:E27"/>
    <mergeCell ref="C34:E34"/>
    <mergeCell ref="A38:G38"/>
    <mergeCell ref="C40:E40"/>
    <mergeCell ref="C50:E50"/>
    <mergeCell ref="C63:E63"/>
    <mergeCell ref="C76:E76"/>
    <mergeCell ref="C89:E89"/>
    <mergeCell ref="C98:E98"/>
    <mergeCell ref="A121:G121"/>
    <mergeCell ref="C123:E123"/>
    <mergeCell ref="C127:E127"/>
    <mergeCell ref="C131:E131"/>
    <mergeCell ref="C135:E135"/>
    <mergeCell ref="C139:E139"/>
    <mergeCell ref="C143:E143"/>
    <mergeCell ref="A147:G147"/>
    <mergeCell ref="C149:E149"/>
    <mergeCell ref="C157:E157"/>
    <mergeCell ref="C165:E165"/>
    <mergeCell ref="C173:E173"/>
    <mergeCell ref="C180:E180"/>
    <mergeCell ref="C188:E188"/>
    <mergeCell ref="A193:G193"/>
    <mergeCell ref="C195:E195"/>
    <mergeCell ref="D196:E196"/>
    <mergeCell ref="D200:E200"/>
    <mergeCell ref="D203:E203"/>
    <mergeCell ref="D208:E208"/>
    <mergeCell ref="C210:E210"/>
    <mergeCell ref="D211:E211"/>
    <mergeCell ref="C246:E246"/>
    <mergeCell ref="D249:E249"/>
    <mergeCell ref="C251:E251"/>
    <mergeCell ref="D256:E256"/>
    <mergeCell ref="C258:E258"/>
    <mergeCell ref="C262:E262"/>
    <mergeCell ref="D218:E218"/>
    <mergeCell ref="D228:E228"/>
    <mergeCell ref="C230:E230"/>
    <mergeCell ref="D234:E234"/>
    <mergeCell ref="A236:G236"/>
    <mergeCell ref="C238:E238"/>
    <mergeCell ref="A244:G244"/>
  </mergeCells>
  <hyperlinks>
    <hyperlink display="Grant size" location="Inputs!E8" ref="E8"/>
    <hyperlink display="Proportion of children in the target population who would be vaccinated in the absence of the program, aggregated across vaccines" location="'Aggregation across vaccines'!E36" ref="E24"/>
    <hyperlink display="Reduction in the proportion of children who are unvaccinated as a result of New Incentives' program, based on GW's analysis of the New Incentives RCT, aggregated across vaccines" location="'Treatment effect'!E71" ref="E28"/>
    <hyperlink display="Internal validity adjustment" location="Inputs!E236" ref="E29"/>
    <hyperlink display="Probability that a person will die of a vaccine-preventable cause before reaching age 5, adjusted for deaths occurring before the age of vaccination" location="'Disease burden'!E184" ref="E41"/>
    <hyperlink display="Proportion of people under age 5 represented in GBD 2021 disease burden estimates who were vaccinated, aggregated across vaccines" location="'Aggregation across vaccines'!E74" ref="E42"/>
    <hyperlink display="Proportion of vaccine-preventable disease incidence averted by full vaccination among people under age 5, aggregated across vaccines" location="'Aggregation across vaccines'!E63" ref="E43"/>
    <hyperlink display="Mortalities indirectly attributable to vaccine-preventable disease per mortality directly caused by vaccine-preventable disease" location="Inputs!E241" ref="E45"/>
    <hyperlink display="Ratio of the reduction in vaccine-preventable disease mortality to the reduction in vaccine-preventable disease incidence" location="Inputs!E242" ref="E47"/>
    <hyperlink display="Probability that a 5-year-old will die of a vaccine-preventable cause before reaching age 15" location="'Disease burden'!E229" ref="E51"/>
    <hyperlink display="Proportion of 5-14-year-olds represented in GBD 2021 disease burden estimates who were vaccinated, aggregated across vaccines" location="'Aggregation across vaccines'!E107" ref="E52"/>
    <hyperlink display="Proportion of vaccine-preventable disease incidence averted by full vaccination among 5-14-year-olds, aggregated across vaccines" location="'Aggregation across vaccines'!E95" ref="E53"/>
    <hyperlink display="Mortalities indirectly attributable to vaccine-preventable disease per mortality directly caused by vaccine-preventable disease" location="Inputs!E241" ref="E55"/>
    <hyperlink display="Ratio of the reduction in vaccine-preventable disease mortality to the reduction in vaccine-preventable disease incidence" location="Inputs!E242" ref="E57"/>
    <hyperlink display="Discount rate for deaths averted in the future" location="Inputs!E245" ref="E59"/>
    <hyperlink display="Average years between vaccination and a mortality occuring among 5-15-year-olds" location="Inputs!E246" ref="E60"/>
    <hyperlink display="Probability that a 15-year-old will die of a vaccine-preventable cause before reaching age 50" location="'Disease burden'!E273" ref="E64"/>
    <hyperlink display="Proportion of 15-49-year-olds represented in GBD 2021 disease burden estimates who were vaccinated, aggregated across vaccines" location="'Aggregation across vaccines'!E138" ref="E65"/>
    <hyperlink display="Proportion of vaccine-preventable disease incidence averted by full vaccination among 15-49-year-olds, aggregated across vaccines" location="'Aggregation across vaccines'!E126" ref="E66"/>
    <hyperlink display="Mortalities indirectly attributable to vaccine-preventable disease per mortality directly caused by vaccine-preventable disease" location="Inputs!E241" ref="E68"/>
    <hyperlink display="Ratio of the reduction in vaccine-preventable disease mortality to the reduction in vaccine-preventable disease incidence" location="Inputs!E242" ref="E70"/>
    <hyperlink display="Discount rate for deaths averted in the future" location="Inputs!E245" ref="E72"/>
    <hyperlink display="Average years between vaccination and a mortality occuring among 15-49-year-olds" location="Inputs!E247" ref="E73"/>
    <hyperlink display="Probability that a 50-year-old will die of a vaccine-preventable cause before reaching age 75" location="'Disease burden'!E318" ref="E77"/>
    <hyperlink display="Proportion of 50-74-year-olds represented in GBD 2021 disease burden estimates who were vaccinated, aggregated across vaccines" location="'Aggregation across vaccines'!E169" ref="E78"/>
    <hyperlink display="Proportion of vaccine-preventable disease incidence averted by full vaccination among 50-74-year-olds, aggregated across vaccines" location="'Aggregation across vaccines'!E157" ref="E79"/>
    <hyperlink display="Mortalities indirectly attributable to vaccine-preventable disease per mortality directly caused by vaccine-preventable disease" location="Inputs!E241" ref="E81"/>
    <hyperlink display="Ratio of the reduction in vaccine-preventable disease mortality to the reduction in vaccine-preventable disease incidence" location="Inputs!E242" ref="E83"/>
    <hyperlink display="Discount rate for deaths averted in the future" location="Inputs!E245" ref="E85"/>
    <hyperlink display="Average years between vaccination and a mortality occuring among 50-74-year-olds" location="Inputs!E248" ref="E86"/>
    <hyperlink display="Ratio of value generated from income increases to value generated from mortalities averted among people under age 15 by seasonal malaria chemoprevention (SMC)" location="Inputs!E251" ref="E90"/>
    <hyperlink display="Adjustment for income increases generated by New Incentives' program compared to SMC" location="Inputs!E252" ref="E91"/>
    <hyperlink display="Value assigned to averting a death from vaccine-preventable disease of a person under age 5 " location="Inputs!E272" ref="E93"/>
    <hyperlink display="Value assigned to averting a death from vaccine-preventable disease of a person age 5-14" location="Inputs!E273" ref="E94"/>
    <hyperlink display="Travel cost of bringing a child to a health clinic for vaccination (when travel is not free)" location="Inputs!E255" ref="E99"/>
    <hyperlink display="Percentage of disbursements where a caregiver reported no transportation cost" location="Inputs!E256" ref="E100"/>
    <hyperlink display="Number of routine vaccination visits incentivized by New Incentives' program" location="Inputs!E257" ref="E101"/>
    <hyperlink display="Size of cash transfer disbursed for the routine vaccination visit at birth" location="Inputs!E258" ref="E103"/>
    <hyperlink display="Size of cash transfer disbursed for the routine vaccination visit at 6 weeks" location="Inputs!E259" ref="E104"/>
    <hyperlink display="Size of cash transfer disbursed for the routine vaccination visit at 10 weeks" location="Inputs!E260" ref="E105"/>
    <hyperlink display="Size of cash transfer disbursed for the routine vaccination visit at 14 weeks" location="Inputs!E261" ref="E106"/>
    <hyperlink display="Size of cash transfer disbursed for the routine vaccination visit at 9 months" location="Inputs!E262" ref="E107"/>
    <hyperlink display="Size of cash transfer disbursed for the routine vaccination visit at 15 months" location="Inputs!E263" ref="E108"/>
    <hyperlink display="Size of cash transfer for completion of the full routine immunization schedule " location="Inputs!E264" ref="E109"/>
    <hyperlink display="Nigerian naira per U.S. dollar" location="Inputs!E265" ref="E111"/>
    <hyperlink display="Average number of people per household" location="Inputs!E266" ref="E115"/>
    <hyperlink display="Baseline annual consumption per capita" location="Inputs!E267" ref="E117"/>
    <hyperlink display="Value assigned to averting a death from vaccine-preventable disease of a person under age 5 " location="Inputs!E272" ref="E124"/>
    <hyperlink display="Value assigned to averting a death from vaccine-preventable disease of a person age 5-14" location="Inputs!E273" ref="E128"/>
    <hyperlink display="Value assigned to averting a death from vaccine-preventable disease of a person age 15-49" location="Inputs!E274" ref="E132"/>
    <hyperlink display="Value assigned to averting a death from vaccine-preventable disease of a person age 50-74" location="Inputs!E275" ref="E136"/>
    <hyperlink display="Value assigned to increasing ln(consumption) by one unit for one person for one year" location="Inputs!E277" ref="E144"/>
    <hyperlink display="Total deaths averted among people under age 5" location="'Main CEA'!E48" ref="E150"/>
    <hyperlink display="Discounted deaths averted among people age 5 through age 14" location="'Main CEA'!E61" ref="E151"/>
    <hyperlink display="Discounted deaths averted among people age 15 through age 49" location="'Main CEA'!E74" ref="E152"/>
    <hyperlink display="Discounted deaths averted among people age 50 through age 74" location="'Main CEA'!E87" ref="E153"/>
    <hyperlink display="Children counterfactually vaccinated" location="'Main CEA'!E36" ref="E154"/>
    <hyperlink display="Value assigned to averting a death from vaccine-preventable disease of a person under age 5 " location="Inputs!E272" ref="E158"/>
    <hyperlink display="Value assigned to averting a death from vaccine-preventable disease of a person age 5-14" location="'Main CEA'!E128" ref="E159"/>
    <hyperlink display="Value assigned to averting a death from vaccine-preventable disease of a person age 15-49" location="'Main CEA'!E132" ref="E160"/>
    <hyperlink display="Value assigned to averting a death from vaccine-preventable disease of a person age 50-74" location="'Main CEA'!E136" ref="E161"/>
    <hyperlink display="Units of value generated from long-term income increases per infant counterfactually vaccinated" location="'Main CEA'!E140" ref="E162"/>
    <hyperlink display="Total spending contributed by grantee" location="'Main CEA'!E11" ref="E174"/>
    <hyperlink display="Units of value per dollar spent, benchmark" location="Inputs!E282" ref="E177"/>
    <hyperlink display="Total spending contributed by grantee" location="'Main CEA'!E11" ref="E189"/>
    <hyperlink display="Double treatment" location="Inputs!E288" ref="E197"/>
    <hyperlink display="Ineffective goods" location="Inputs!E289" ref="E198"/>
    <hyperlink display="Goods purchased and left in storage until they expire / recipients don't receive cash or it is taken back from them inappropriately" location="Inputs!E290" ref="E199"/>
    <hyperlink display="Incomplete or unrepresentative monitoring results" location="Inputs!E292" ref="E201"/>
    <hyperlink display="Biased monitoring results" location="Inputs!E293" ref="E202"/>
    <hyperlink display="Change of priorities" location="Inputs!E295" ref="E204"/>
    <hyperlink display="Non-funding bottlenecks" location="Inputs!E296" ref="E205"/>
    <hyperlink display="Within-org fungibility" location="Inputs!E297" ref="E206"/>
    <hyperlink display="Morbidity effects from directly incentivized vaccines and rotavirus" location="Inputs!E300" ref="E212"/>
    <hyperlink display="Morbidity effects of indirectly incentivized vaccines besides rotavirus (i.e., polio, yellow fever, rubella, mumps, varicella meningitis A)" location="Inputs!E301" ref="E213"/>
    <hyperlink display="Inflation" location="Inputs!E302" ref="E214"/>
    <hyperlink display="Treatment costs averted from prevention" location="Inputs!E303" ref="E215"/>
    <hyperlink display="Investment of income increases" location="Inputs!E304" ref="E216"/>
    <hyperlink display="Increased clinic utilization" location="Inputs!E305" ref="E217"/>
    <hyperlink display="Lower likelihood of infecting others" location="Inputs!E306" ref="E219"/>
    <hyperlink display="Herd immunity" location="Inputs!E307" ref="E220"/>
    <hyperlink display="Mortality effects of indirectly incentivized vaccines besides rotavirus (i.e., polio, yellow fever, rubella, mumps, varicella meningitis A)" location="Inputs!E308" ref="E221"/>
    <hyperlink display="Effects during outbreaks" location="Inputs!E309" ref="E222"/>
    <hyperlink display="Vaccine-derived polio outbreaks" location="Inputs!E310" ref="E223"/>
    <hyperlink display="Serotype replacement" location="Inputs!E311" ref="E224"/>
    <hyperlink display="Increased timeliness of vaccination" location="Inputs!E312" ref="E225"/>
    <hyperlink display="Post-program effects" location="Inputs!E313" ref="E226"/>
    <hyperlink display="Adjustment for the possibility of crowding funding into the program (leverage)" location="LeverageFunging!E95" ref="E231"/>
    <hyperlink display="Adjustment for the possibility of crowding funding out of the program (funging)" location="LeverageFunging!E96" ref="E232"/>
    <hyperlink display="Overall adjustment for leverage and funging" location="LeverageFunging!E97" ref="D234"/>
    <hyperlink display="Total value generated by grantee spending after adjusting for leverage and funging" location="LeverageFunging!E92" ref="E239"/>
    <hyperlink display="Total supplemental grantee-level adjustment" location="'Main CEA'!D208" ref="E247"/>
    <hyperlink display="Leverage and funging adjustment for counterfactual impact estimates" location="LeverageFunging!E100" ref="E248"/>
    <hyperlink display="Total supplemental grantee-level adjustment" location="'Main CEA'!D208" ref="E252"/>
    <hyperlink display="Leverage and funging adjustment for counterfactual impact estimates" location="LeverageFunging!E100" ref="E254"/>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80.63"/>
    <col customWidth="1" min="6" max="7" width="7.25"/>
    <col customWidth="1" min="8" max="38" width="12.13"/>
    <col customWidth="1" min="39" max="39" width="12.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438"/>
      <c r="D2" s="93"/>
      <c r="E2" s="94"/>
      <c r="F2" s="95"/>
      <c r="G2" s="96"/>
      <c r="H2" s="97"/>
      <c r="I2" s="98" t="s">
        <v>109</v>
      </c>
      <c r="J2" s="98" t="s">
        <v>109</v>
      </c>
      <c r="K2" s="98" t="s">
        <v>109</v>
      </c>
      <c r="L2" s="98" t="s">
        <v>109</v>
      </c>
      <c r="M2" s="98" t="s">
        <v>109</v>
      </c>
      <c r="N2" s="98" t="s">
        <v>109</v>
      </c>
      <c r="O2" s="98" t="s">
        <v>109</v>
      </c>
      <c r="P2" s="98" t="s">
        <v>109</v>
      </c>
      <c r="Q2" s="439" t="s">
        <v>109</v>
      </c>
      <c r="R2" s="440"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441" t="s">
        <v>122</v>
      </c>
      <c r="R3" s="89"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442"/>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443">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351</v>
      </c>
      <c r="B5" s="7"/>
      <c r="C5" s="7"/>
      <c r="D5" s="7"/>
      <c r="E5" s="7"/>
      <c r="F5" s="7"/>
      <c r="G5" s="7"/>
      <c r="H5" s="118"/>
      <c r="I5" s="340"/>
      <c r="J5" s="340"/>
      <c r="K5" s="340"/>
      <c r="L5" s="340"/>
      <c r="M5" s="340"/>
      <c r="N5" s="340"/>
      <c r="O5" s="340"/>
      <c r="P5" s="340"/>
      <c r="Q5" s="444"/>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121"/>
    </row>
    <row r="6">
      <c r="A6" s="122"/>
      <c r="B6" s="123"/>
      <c r="C6" s="445"/>
      <c r="D6" s="123"/>
      <c r="E6" s="124"/>
      <c r="F6" s="125"/>
      <c r="G6" s="126"/>
      <c r="H6" s="127"/>
      <c r="I6" s="128"/>
      <c r="J6" s="128"/>
      <c r="K6" s="128"/>
      <c r="L6" s="128"/>
      <c r="M6" s="128"/>
      <c r="N6" s="128"/>
      <c r="O6" s="128"/>
      <c r="P6" s="128"/>
      <c r="Q6" s="446"/>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447" t="s">
        <v>352</v>
      </c>
      <c r="F7" s="141"/>
      <c r="G7" s="448"/>
      <c r="H7" s="188"/>
      <c r="I7" s="317"/>
      <c r="J7" s="317"/>
      <c r="K7" s="317"/>
      <c r="L7" s="317"/>
      <c r="M7" s="317"/>
      <c r="N7" s="317"/>
      <c r="O7" s="317"/>
      <c r="P7" s="317"/>
      <c r="Q7" s="449"/>
      <c r="R7" s="317"/>
      <c r="S7" s="317"/>
      <c r="T7" s="317"/>
      <c r="U7" s="317"/>
      <c r="V7" s="317"/>
      <c r="W7" s="317"/>
      <c r="X7" s="317"/>
      <c r="Y7" s="317"/>
      <c r="Z7" s="317"/>
      <c r="AA7" s="317"/>
      <c r="AB7" s="317"/>
      <c r="AC7" s="317"/>
      <c r="AD7" s="317"/>
      <c r="AE7" s="317"/>
      <c r="AF7" s="317"/>
      <c r="AG7" s="317"/>
      <c r="AH7" s="317"/>
      <c r="AI7" s="317"/>
      <c r="AJ7" s="317"/>
      <c r="AK7" s="317"/>
      <c r="AL7" s="317"/>
      <c r="AM7" s="317"/>
      <c r="AN7" s="317"/>
      <c r="AO7" s="317"/>
      <c r="AP7" s="317"/>
      <c r="AQ7" s="317"/>
      <c r="AR7" s="317"/>
      <c r="AS7" s="317"/>
      <c r="AT7" s="317"/>
      <c r="AU7" s="317"/>
      <c r="AV7" s="317"/>
      <c r="AW7" s="130"/>
    </row>
    <row r="8">
      <c r="A8" s="122"/>
      <c r="B8" s="123"/>
      <c r="C8" s="450"/>
      <c r="D8" s="450"/>
      <c r="E8" s="254" t="s">
        <v>353</v>
      </c>
      <c r="F8" s="451" t="str">
        <f>'Vaccine coverage'!F96</f>
        <v>%</v>
      </c>
      <c r="G8" s="452" t="s">
        <v>173</v>
      </c>
      <c r="H8" s="364" t="str">
        <f>'Vaccine coverage'!H96</f>
        <v>-</v>
      </c>
      <c r="I8" s="383">
        <f>'Vaccine coverage'!I96</f>
        <v>0.552425739</v>
      </c>
      <c r="J8" s="383">
        <f>'Vaccine coverage'!J96</f>
        <v>0.728829756</v>
      </c>
      <c r="K8" s="383">
        <f>'Vaccine coverage'!K96</f>
        <v>0.607758366</v>
      </c>
      <c r="L8" s="383">
        <f>'Vaccine coverage'!L96</f>
        <v>0.638076243</v>
      </c>
      <c r="M8" s="383">
        <f>'Vaccine coverage'!M96</f>
        <v>0.615262791</v>
      </c>
      <c r="N8" s="383">
        <f>'Vaccine coverage'!N96</f>
        <v>0.4921901518</v>
      </c>
      <c r="O8" s="383">
        <f>'Vaccine coverage'!O96</f>
        <v>0.400636236</v>
      </c>
      <c r="P8" s="383">
        <f>'Vaccine coverage'!P96</f>
        <v>0.3486050725</v>
      </c>
      <c r="Q8" s="453">
        <f>'Vaccine coverage'!Q96</f>
        <v>0.4765716457</v>
      </c>
      <c r="R8" s="383">
        <f>'Vaccine coverage'!R96</f>
        <v>0.9051159611</v>
      </c>
      <c r="S8" s="383">
        <f>'Vaccine coverage'!S96</f>
        <v>0.890725218</v>
      </c>
      <c r="T8" s="383">
        <f>'Vaccine coverage'!T96</f>
        <v>0.8561096826</v>
      </c>
      <c r="U8" s="383">
        <f>'Vaccine coverage'!U96</f>
        <v>0.844108145</v>
      </c>
      <c r="V8" s="383">
        <f>'Vaccine coverage'!V96</f>
        <v>0.7891010976</v>
      </c>
      <c r="W8" s="383">
        <f>'Vaccine coverage'!W96</f>
        <v>0.8171046853</v>
      </c>
      <c r="X8" s="383">
        <f>'Vaccine coverage'!X96</f>
        <v>0.6480830307</v>
      </c>
      <c r="Y8" s="383">
        <f>'Vaccine coverage'!Y96</f>
        <v>0.9311192926</v>
      </c>
      <c r="Z8" s="383">
        <f>'Vaccine coverage'!Z96</f>
        <v>0.8351069918</v>
      </c>
      <c r="AA8" s="383">
        <f>'Vaccine coverage'!AA96</f>
        <v>0.9931272369</v>
      </c>
      <c r="AB8" s="383">
        <f>'Vaccine coverage'!AB96</f>
        <v>0.9231182675</v>
      </c>
      <c r="AC8" s="383">
        <f>'Vaccine coverage'!AC96</f>
        <v>0.9901268525</v>
      </c>
      <c r="AD8" s="383">
        <f>'Vaccine coverage'!AD96</f>
        <v>0.9911269806</v>
      </c>
      <c r="AE8" s="383">
        <f>'Vaccine coverage'!AE96</f>
        <v>0.9521219834</v>
      </c>
      <c r="AF8" s="383">
        <f>'Vaccine coverage'!AF96</f>
        <v>0.9471213427</v>
      </c>
      <c r="AG8" s="383">
        <f>'Vaccine coverage'!AG96</f>
        <v>0.7704543</v>
      </c>
      <c r="AH8" s="383">
        <f>'Vaccine coverage'!AH96</f>
        <v>0.9231182675</v>
      </c>
      <c r="AI8" s="383">
        <f>'Vaccine coverage'!AI96</f>
        <v>0.7230926408</v>
      </c>
      <c r="AJ8" s="383">
        <f>'Vaccine coverage'!AJ96</f>
        <v>0.9441209583</v>
      </c>
      <c r="AK8" s="383">
        <f>'Vaccine coverage'!AK96</f>
        <v>0.792101482</v>
      </c>
      <c r="AL8" s="383">
        <f>'Vaccine coverage'!AL96</f>
        <v>0.664892055</v>
      </c>
      <c r="AM8" s="383">
        <f>'Vaccine coverage'!AM96</f>
        <v>0.61636344</v>
      </c>
      <c r="AN8" s="383">
        <f>'Vaccine coverage'!AN96</f>
        <v>0.758647338</v>
      </c>
      <c r="AO8" s="383">
        <f>'Vaccine coverage'!AO96</f>
        <v>0.7230926408</v>
      </c>
      <c r="AP8" s="383">
        <f>'Vaccine coverage'!AP96</f>
        <v>0.7510962285</v>
      </c>
      <c r="AQ8" s="383">
        <f>'Vaccine coverage'!AQ96</f>
        <v>0.9301191645</v>
      </c>
      <c r="AR8" s="383">
        <f>'Vaccine coverage'!AR96</f>
        <v>0.8251057104</v>
      </c>
      <c r="AS8" s="383">
        <f>'Vaccine coverage'!AS96</f>
        <v>0.8771123734</v>
      </c>
      <c r="AT8" s="383">
        <f>'Vaccine coverage'!AT96</f>
        <v>0.9031157049</v>
      </c>
      <c r="AU8" s="383">
        <f>'Vaccine coverage'!AU96</f>
        <v>0.7557756145</v>
      </c>
      <c r="AV8" s="383">
        <f>'Vaccine coverage'!AV96</f>
        <v>0.6427499261</v>
      </c>
      <c r="AW8" s="256"/>
    </row>
    <row r="9">
      <c r="A9" s="122"/>
      <c r="B9" s="123"/>
      <c r="C9" s="450"/>
      <c r="D9" s="450"/>
      <c r="E9" s="257" t="s">
        <v>354</v>
      </c>
      <c r="F9" s="454" t="str">
        <f>'Vaccine coverage'!F97</f>
        <v>%</v>
      </c>
      <c r="G9" s="455" t="s">
        <v>173</v>
      </c>
      <c r="H9" s="366" t="str">
        <f>'Vaccine coverage'!H97</f>
        <v>-</v>
      </c>
      <c r="I9" s="241">
        <f>'Vaccine coverage'!I97</f>
        <v>0.493390929</v>
      </c>
      <c r="J9" s="241">
        <f>'Vaccine coverage'!J97</f>
        <v>0.676799076</v>
      </c>
      <c r="K9" s="241">
        <f>'Vaccine coverage'!K97</f>
        <v>0.57233748</v>
      </c>
      <c r="L9" s="241">
        <f>'Vaccine coverage'!L97</f>
        <v>0.597652407</v>
      </c>
      <c r="M9" s="241">
        <f>'Vaccine coverage'!M97</f>
        <v>0.562431639</v>
      </c>
      <c r="N9" s="241">
        <f>'Vaccine coverage'!N97</f>
        <v>0.4568836873</v>
      </c>
      <c r="O9" s="241">
        <f>'Vaccine coverage'!O97</f>
        <v>0.338099361</v>
      </c>
      <c r="P9" s="241">
        <f>'Vaccine coverage'!P97</f>
        <v>0.2728101727</v>
      </c>
      <c r="Q9" s="456">
        <f>'Vaccine coverage'!Q97</f>
        <v>0.4165887521</v>
      </c>
      <c r="R9" s="241">
        <f>'Vaccine coverage'!R97</f>
        <v>0.882113014</v>
      </c>
      <c r="S9" s="241">
        <f>'Vaccine coverage'!S97</f>
        <v>0.861608049</v>
      </c>
      <c r="T9" s="241">
        <f>'Vaccine coverage'!T97</f>
        <v>0.8621104514</v>
      </c>
      <c r="U9" s="241">
        <f>'Vaccine coverage'!U97</f>
        <v>0.829106223</v>
      </c>
      <c r="V9" s="241">
        <f>'Vaccine coverage'!V97</f>
        <v>0.7750993037</v>
      </c>
      <c r="W9" s="241">
        <f>'Vaccine coverage'!W97</f>
        <v>0.8081035321</v>
      </c>
      <c r="X9" s="241">
        <f>'Vaccine coverage'!X97</f>
        <v>0.5790741895</v>
      </c>
      <c r="Y9" s="241">
        <f>'Vaccine coverage'!Y97</f>
        <v>0.9311192926</v>
      </c>
      <c r="Z9" s="241">
        <f>'Vaccine coverage'!Z97</f>
        <v>0.8101037884</v>
      </c>
      <c r="AA9" s="241">
        <f>'Vaccine coverage'!AA97</f>
        <v>0.9911269806</v>
      </c>
      <c r="AB9" s="241">
        <f>'Vaccine coverage'!AB97</f>
        <v>0.9221181394</v>
      </c>
      <c r="AC9" s="241">
        <f>'Vaccine coverage'!AC97</f>
        <v>0.9461212146</v>
      </c>
      <c r="AD9" s="241">
        <f>'Vaccine coverage'!AD97</f>
        <v>0.9851262118</v>
      </c>
      <c r="AE9" s="241">
        <f>'Vaccine coverage'!AE97</f>
        <v>0.9051159611</v>
      </c>
      <c r="AF9" s="241">
        <f>'Vaccine coverage'!AF97</f>
        <v>0.9411205739</v>
      </c>
      <c r="AG9" s="241">
        <f>'Vaccine coverage'!AG97</f>
        <v>0.7404366</v>
      </c>
      <c r="AH9" s="241">
        <f>'Vaccine coverage'!AH97</f>
        <v>0.8621104514</v>
      </c>
      <c r="AI9" s="241">
        <f>'Vaccine coverage'!AI97</f>
        <v>0.6630849527</v>
      </c>
      <c r="AJ9" s="241">
        <f>'Vaccine coverage'!AJ97</f>
        <v>0.9241183957</v>
      </c>
      <c r="AK9" s="241">
        <f>'Vaccine coverage'!AK97</f>
        <v>0.7190921282</v>
      </c>
      <c r="AL9" s="241">
        <f>'Vaccine coverage'!AL97</f>
        <v>0.628870815</v>
      </c>
      <c r="AM9" s="383">
        <f>'Vaccine coverage'!AM97</f>
        <v>0.565533468</v>
      </c>
      <c r="AN9" s="383">
        <f>'Vaccine coverage'!AN97</f>
        <v>0.75144309</v>
      </c>
      <c r="AO9" s="241">
        <f>'Vaccine coverage'!AO97</f>
        <v>0.6670854653</v>
      </c>
      <c r="AP9" s="241">
        <f>'Vaccine coverage'!AP97</f>
        <v>0.7340940502</v>
      </c>
      <c r="AQ9" s="241">
        <f>'Vaccine coverage'!AQ97</f>
        <v>0.9141171143</v>
      </c>
      <c r="AR9" s="241">
        <f>'Vaccine coverage'!AR97</f>
        <v>0.7560968692</v>
      </c>
      <c r="AS9" s="241">
        <f>'Vaccine coverage'!AS97</f>
        <v>0.8001025071</v>
      </c>
      <c r="AT9" s="241">
        <f>'Vaccine coverage'!AT97</f>
        <v>0.8961148079</v>
      </c>
      <c r="AU9" s="241">
        <f>'Vaccine coverage'!AU97</f>
        <v>0.7262610477</v>
      </c>
      <c r="AV9" s="241">
        <f>'Vaccine coverage'!AV97</f>
        <v>0.6076417494</v>
      </c>
      <c r="AW9" s="259"/>
    </row>
    <row r="10">
      <c r="A10" s="122"/>
      <c r="B10" s="123"/>
      <c r="C10" s="450"/>
      <c r="D10" s="450"/>
      <c r="E10" s="257" t="s">
        <v>355</v>
      </c>
      <c r="F10" s="454" t="str">
        <f>'Vaccine coverage'!F98</f>
        <v>%</v>
      </c>
      <c r="G10" s="455" t="s">
        <v>173</v>
      </c>
      <c r="H10" s="366" t="str">
        <f>'Vaccine coverage'!H98</f>
        <v>-</v>
      </c>
      <c r="I10" s="241">
        <f>'Vaccine coverage'!I98</f>
        <v>0.447363789</v>
      </c>
      <c r="J10" s="241">
        <f>'Vaccine coverage'!J98</f>
        <v>0.633573588</v>
      </c>
      <c r="K10" s="241">
        <f>'Vaccine coverage'!K98</f>
        <v>0.515704086</v>
      </c>
      <c r="L10" s="241">
        <f>'Vaccine coverage'!L98</f>
        <v>0.50729913</v>
      </c>
      <c r="M10" s="241">
        <f>'Vaccine coverage'!M98</f>
        <v>0.482684616</v>
      </c>
      <c r="N10" s="241">
        <f>'Vaccine coverage'!N98</f>
        <v>0.4174390366</v>
      </c>
      <c r="O10" s="241">
        <f>'Vaccine coverage'!O98</f>
        <v>0.242943252</v>
      </c>
      <c r="P10" s="241">
        <f>'Vaccine coverage'!P98</f>
        <v>0.2533506989</v>
      </c>
      <c r="Q10" s="456">
        <f>'Vaccine coverage'!Q98</f>
        <v>0.328684039</v>
      </c>
      <c r="R10" s="241">
        <f>'Vaccine coverage'!R98</f>
        <v>0.8601101951</v>
      </c>
      <c r="S10" s="241">
        <f>'Vaccine coverage'!S98</f>
        <v>0.790866336</v>
      </c>
      <c r="T10" s="241">
        <f>'Vaccine coverage'!T98</f>
        <v>0.8231054542</v>
      </c>
      <c r="U10" s="241">
        <f>'Vaccine coverage'!U98</f>
        <v>0.7540966129</v>
      </c>
      <c r="V10" s="241">
        <f>'Vaccine coverage'!V98</f>
        <v>0.7600973817</v>
      </c>
      <c r="W10" s="241">
        <f>'Vaccine coverage'!W98</f>
        <v>0.7450954597</v>
      </c>
      <c r="X10" s="241">
        <f>'Vaccine coverage'!X98</f>
        <v>0.4530580446</v>
      </c>
      <c r="Y10" s="241">
        <f>'Vaccine coverage'!Y98</f>
        <v>0.9181176269</v>
      </c>
      <c r="Z10" s="241">
        <f>'Vaccine coverage'!Z98</f>
        <v>0.755096741</v>
      </c>
      <c r="AA10" s="241">
        <f>'Vaccine coverage'!AA98</f>
        <v>0.9901268525</v>
      </c>
      <c r="AB10" s="241">
        <f>'Vaccine coverage'!AB98</f>
        <v>0.9081163455</v>
      </c>
      <c r="AC10" s="241">
        <f>'Vaccine coverage'!AC98</f>
        <v>0.9431208302</v>
      </c>
      <c r="AD10" s="241">
        <f>'Vaccine coverage'!AD98</f>
        <v>0.9671239054</v>
      </c>
      <c r="AE10" s="241">
        <f>'Vaccine coverage'!AE98</f>
        <v>0.8721117327</v>
      </c>
      <c r="AF10" s="241">
        <f>'Vaccine coverage'!AF98</f>
        <v>0.9321194207</v>
      </c>
      <c r="AG10" s="241">
        <f>'Vaccine coverage'!AG98</f>
        <v>0.6703953</v>
      </c>
      <c r="AH10" s="241">
        <f>'Vaccine coverage'!AH98</f>
        <v>0.740094819</v>
      </c>
      <c r="AI10" s="241">
        <f>'Vaccine coverage'!AI98</f>
        <v>0.6410821338</v>
      </c>
      <c r="AJ10" s="241">
        <f>'Vaccine coverage'!AJ98</f>
        <v>0.9011154486</v>
      </c>
      <c r="AK10" s="241">
        <f>'Vaccine coverage'!AK98</f>
        <v>0.6470829026</v>
      </c>
      <c r="AL10" s="241">
        <f>'Vaccine coverage'!AL98</f>
        <v>0.527911284</v>
      </c>
      <c r="AM10" s="383">
        <f>'Vaccine coverage'!AM98</f>
        <v>0.462772875</v>
      </c>
      <c r="AN10" s="383">
        <f>'Vaccine coverage'!AN98</f>
        <v>0.653885565</v>
      </c>
      <c r="AO10" s="241">
        <f>'Vaccine coverage'!AO98</f>
        <v>0.5800743176</v>
      </c>
      <c r="AP10" s="241">
        <f>'Vaccine coverage'!AP98</f>
        <v>0.6820873873</v>
      </c>
      <c r="AQ10" s="241">
        <f>'Vaccine coverage'!AQ98</f>
        <v>0.882113014</v>
      </c>
      <c r="AR10" s="241">
        <f>'Vaccine coverage'!AR98</f>
        <v>0.6420822619</v>
      </c>
      <c r="AS10" s="241">
        <f>'Vaccine coverage'!AS98</f>
        <v>0.7790998163</v>
      </c>
      <c r="AT10" s="241">
        <f>'Vaccine coverage'!AT98</f>
        <v>0.8711116046</v>
      </c>
      <c r="AU10" s="241">
        <f>'Vaccine coverage'!AU98</f>
        <v>0.6589101808</v>
      </c>
      <c r="AV10" s="241">
        <f>'Vaccine coverage'!AV98</f>
        <v>0.505524124</v>
      </c>
      <c r="AW10" s="259"/>
    </row>
    <row r="11">
      <c r="A11" s="122"/>
      <c r="B11" s="123"/>
      <c r="C11" s="450"/>
      <c r="D11" s="450"/>
      <c r="E11" s="257" t="s">
        <v>356</v>
      </c>
      <c r="F11" s="454" t="str">
        <f>'Vaccine coverage'!F99</f>
        <v>%</v>
      </c>
      <c r="G11" s="455" t="s">
        <v>173</v>
      </c>
      <c r="H11" s="240" t="str">
        <f>'Vaccine coverage'!H99</f>
        <v>-</v>
      </c>
      <c r="I11" s="241">
        <f>'Vaccine coverage'!I99</f>
        <v>0.35420886</v>
      </c>
      <c r="J11" s="241">
        <f>'Vaccine coverage'!J99</f>
        <v>0.501795885</v>
      </c>
      <c r="K11" s="241">
        <f>'Vaccine coverage'!K99</f>
        <v>0.396833994</v>
      </c>
      <c r="L11" s="241">
        <f>'Vaccine coverage'!L99</f>
        <v>0.409641546</v>
      </c>
      <c r="M11" s="241">
        <f>'Vaccine coverage'!M99</f>
        <v>0.368917533</v>
      </c>
      <c r="N11" s="241">
        <f>'Vaccine coverage'!N99</f>
        <v>0.3508644519</v>
      </c>
      <c r="O11" s="241">
        <f>'Vaccine coverage'!O99</f>
        <v>0.154391037</v>
      </c>
      <c r="P11" s="241">
        <f>'Vaccine coverage'!P99</f>
        <v>0.1818460883</v>
      </c>
      <c r="Q11" s="456">
        <f>'Vaccine coverage'!Q99</f>
        <v>0.2308481958</v>
      </c>
      <c r="R11" s="241">
        <f>'Vaccine coverage'!R99</f>
        <v>0.7500961004</v>
      </c>
      <c r="S11" s="241">
        <f>'Vaccine coverage'!S99</f>
        <v>0.696610758</v>
      </c>
      <c r="T11" s="241">
        <f>'Vaccine coverage'!T99</f>
        <v>0.7310936658</v>
      </c>
      <c r="U11" s="241">
        <f>'Vaccine coverage'!U99</f>
        <v>0.7360943065</v>
      </c>
      <c r="V11" s="241">
        <f>'Vaccine coverage'!V99</f>
        <v>0.70208995</v>
      </c>
      <c r="W11" s="241">
        <f>'Vaccine coverage'!W99</f>
        <v>0.6280804681</v>
      </c>
      <c r="X11" s="241">
        <f>'Vaccine coverage'!X99</f>
        <v>0.3010385683</v>
      </c>
      <c r="Y11" s="241">
        <f>'Vaccine coverage'!Y99</f>
        <v>0.7500961004</v>
      </c>
      <c r="Z11" s="241">
        <f>'Vaccine coverage'!Z99</f>
        <v>0.6990895656</v>
      </c>
      <c r="AA11" s="241">
        <f>'Vaccine coverage'!AA99</f>
        <v>0.9871264681</v>
      </c>
      <c r="AB11" s="241">
        <f>'Vaccine coverage'!AB99</f>
        <v>0.8271059667</v>
      </c>
      <c r="AC11" s="241">
        <f>'Vaccine coverage'!AC99</f>
        <v>0.8491087856</v>
      </c>
      <c r="AD11" s="241">
        <f>'Vaccine coverage'!AD99</f>
        <v>0.9081163455</v>
      </c>
      <c r="AE11" s="241">
        <f>'Vaccine coverage'!AE99</f>
        <v>0.7961019945</v>
      </c>
      <c r="AF11" s="241">
        <f>'Vaccine coverage'!AF99</f>
        <v>0.8881137828</v>
      </c>
      <c r="AG11" s="241">
        <f>'Vaccine coverage'!AG99</f>
        <v>0.5803422</v>
      </c>
      <c r="AH11" s="241">
        <f>'Vaccine coverage'!AH99</f>
        <v>0.6320809806</v>
      </c>
      <c r="AI11" s="241">
        <f>'Vaccine coverage'!AI99</f>
        <v>0.5510706017</v>
      </c>
      <c r="AJ11" s="241">
        <f>'Vaccine coverage'!AJ99</f>
        <v>0.8471085294</v>
      </c>
      <c r="AK11" s="241">
        <f>'Vaccine coverage'!AK99</f>
        <v>0.5400691923</v>
      </c>
      <c r="AL11" s="241">
        <f>'Vaccine coverage'!AL99</f>
        <v>0.390830454</v>
      </c>
      <c r="AM11" s="383">
        <f>'Vaccine coverage'!AM99</f>
        <v>0.336498417</v>
      </c>
      <c r="AN11" s="383">
        <f>'Vaccine coverage'!AN99</f>
        <v>0.495792345</v>
      </c>
      <c r="AO11" s="241">
        <f>'Vaccine coverage'!AO99</f>
        <v>0.4130529193</v>
      </c>
      <c r="AP11" s="241">
        <f>'Vaccine coverage'!AP99</f>
        <v>0.6260802118</v>
      </c>
      <c r="AQ11" s="241">
        <f>'Vaccine coverage'!AQ99</f>
        <v>0.8151044291</v>
      </c>
      <c r="AR11" s="241">
        <f>'Vaccine coverage'!AR99</f>
        <v>0.5690729082</v>
      </c>
      <c r="AS11" s="241">
        <f>'Vaccine coverage'!AS99</f>
        <v>0.6540837995</v>
      </c>
      <c r="AT11" s="241">
        <f>'Vaccine coverage'!AT99</f>
        <v>0.7811000725</v>
      </c>
      <c r="AU11" s="241">
        <f>'Vaccine coverage'!AU99</f>
        <v>0.5530601951</v>
      </c>
      <c r="AV11" s="241">
        <f>'Vaccine coverage'!AV99</f>
        <v>0.4102364446</v>
      </c>
      <c r="AW11" s="259"/>
    </row>
    <row r="12">
      <c r="A12" s="122"/>
      <c r="B12" s="123"/>
      <c r="C12" s="450"/>
      <c r="D12" s="450"/>
      <c r="E12" s="257" t="s">
        <v>357</v>
      </c>
      <c r="F12" s="454" t="str">
        <f>'Vaccine coverage'!F108</f>
        <v>%</v>
      </c>
      <c r="G12" s="455" t="s">
        <v>173</v>
      </c>
      <c r="H12" s="240" t="str">
        <f>'Vaccine coverage'!H108</f>
        <v>-</v>
      </c>
      <c r="I12" s="241">
        <f>'Vaccine coverage'!I108</f>
        <v>0.4916161415</v>
      </c>
      <c r="J12" s="241">
        <f>'Vaccine coverage'!J108</f>
        <v>0.6409296689</v>
      </c>
      <c r="K12" s="241">
        <f>'Vaccine coverage'!K108</f>
        <v>0.5647796021</v>
      </c>
      <c r="L12" s="241">
        <f>'Vaccine coverage'!L108</f>
        <v>0.586562568</v>
      </c>
      <c r="M12" s="241">
        <f>'Vaccine coverage'!M108</f>
        <v>0.5491796115</v>
      </c>
      <c r="N12" s="241">
        <f>'Vaccine coverage'!N108</f>
        <v>0.4423961336</v>
      </c>
      <c r="O12" s="241">
        <f>'Vaccine coverage'!O108</f>
        <v>0.3330180989</v>
      </c>
      <c r="P12" s="241">
        <f>'Vaccine coverage'!P108</f>
        <v>0.2131177299</v>
      </c>
      <c r="Q12" s="456">
        <f>'Vaccine coverage'!Q108</f>
        <v>0.4250606037</v>
      </c>
      <c r="R12" s="241">
        <f>'Vaccine coverage'!R108</f>
        <v>0.8881137828</v>
      </c>
      <c r="S12" s="241">
        <f>'Vaccine coverage'!S108</f>
        <v>0.8611673288</v>
      </c>
      <c r="T12" s="241">
        <f>'Vaccine coverage'!T108</f>
        <v>0.8431080168</v>
      </c>
      <c r="U12" s="241">
        <f>'Vaccine coverage'!U108</f>
        <v>0.829106223</v>
      </c>
      <c r="V12" s="241">
        <f>'Vaccine coverage'!V108</f>
        <v>0.7710987912</v>
      </c>
      <c r="W12" s="241">
        <f>'Vaccine coverage'!W108</f>
        <v>0.7881009695</v>
      </c>
      <c r="X12" s="241">
        <f>'Vaccine coverage'!X108</f>
        <v>0.5390690641</v>
      </c>
      <c r="Y12" s="241">
        <f>'Vaccine coverage'!Y108</f>
        <v>0.9311192926</v>
      </c>
      <c r="Z12" s="241">
        <f>'Vaccine coverage'!Z108</f>
        <v>0.792101482</v>
      </c>
      <c r="AA12" s="241">
        <f>'Vaccine coverage'!AA108</f>
        <v>0.9921271088</v>
      </c>
      <c r="AB12" s="241">
        <f>'Vaccine coverage'!AB108</f>
        <v>0.8951146798</v>
      </c>
      <c r="AC12" s="241">
        <f>'Vaccine coverage'!AC108</f>
        <v>0.956122496</v>
      </c>
      <c r="AD12" s="241">
        <f>'Vaccine coverage'!AD108</f>
        <v>0.9851262118</v>
      </c>
      <c r="AE12" s="241">
        <f>'Vaccine coverage'!AE108</f>
        <v>0.9131169862</v>
      </c>
      <c r="AF12" s="241">
        <f>'Vaccine coverage'!AF108</f>
        <v>0.9351198051</v>
      </c>
      <c r="AG12" s="241">
        <f>'Vaccine coverage'!AG108</f>
        <v>0.726697305</v>
      </c>
      <c r="AH12" s="241">
        <f>'Vaccine coverage'!AH108</f>
        <v>0.8471085294</v>
      </c>
      <c r="AI12" s="241">
        <f>'Vaccine coverage'!AI108</f>
        <v>0.6360814931</v>
      </c>
      <c r="AJ12" s="241">
        <f>'Vaccine coverage'!AJ108</f>
        <v>0.9241183957</v>
      </c>
      <c r="AK12" s="241">
        <f>'Vaccine coverage'!AK108</f>
        <v>0.7090908469</v>
      </c>
      <c r="AL12" s="241">
        <f>'Vaccine coverage'!AL108</f>
        <v>0.6109862614</v>
      </c>
      <c r="AM12" s="241">
        <f>'Vaccine coverage'!AM108</f>
        <v>0.5494501749</v>
      </c>
      <c r="AN12" s="241">
        <f>'Vaccine coverage'!AN108</f>
        <v>0.7300726847</v>
      </c>
      <c r="AO12" s="241">
        <f>'Vaccine coverage'!AO108</f>
        <v>0.6470829026</v>
      </c>
      <c r="AP12" s="241">
        <f>'Vaccine coverage'!AP108</f>
        <v>0.7210923845</v>
      </c>
      <c r="AQ12" s="241">
        <f>'Vaccine coverage'!AQ108</f>
        <v>0.9061160893</v>
      </c>
      <c r="AR12" s="241">
        <f>'Vaccine coverage'!AR108</f>
        <v>0.7510962285</v>
      </c>
      <c r="AS12" s="241">
        <f>'Vaccine coverage'!AS108</f>
        <v>0.7861007132</v>
      </c>
      <c r="AT12" s="241">
        <f>'Vaccine coverage'!AT108</f>
        <v>0.8951146798</v>
      </c>
      <c r="AU12" s="241">
        <f>'Vaccine coverage'!AU108</f>
        <v>0.7053541517</v>
      </c>
      <c r="AV12" s="241">
        <f>'Vaccine coverage'!AV108</f>
        <v>0.5905867251</v>
      </c>
      <c r="AW12" s="259"/>
    </row>
    <row r="13">
      <c r="A13" s="122"/>
      <c r="B13" s="123"/>
      <c r="C13" s="450"/>
      <c r="D13" s="450"/>
      <c r="E13" s="257" t="s">
        <v>358</v>
      </c>
      <c r="F13" s="454" t="str">
        <f>'Vaccine coverage'!F109</f>
        <v>%</v>
      </c>
      <c r="G13" s="455" t="s">
        <v>173</v>
      </c>
      <c r="H13" s="240" t="str">
        <f>'Vaccine coverage'!H109</f>
        <v>-</v>
      </c>
      <c r="I13" s="241">
        <f>'Vaccine coverage'!I109</f>
        <v>0.4457545667</v>
      </c>
      <c r="J13" s="241">
        <f>'Vaccine coverage'!J109</f>
        <v>0.5999950715</v>
      </c>
      <c r="K13" s="241">
        <f>'Vaccine coverage'!K109</f>
        <v>0.5088940681</v>
      </c>
      <c r="L13" s="241">
        <f>'Vaccine coverage'!L109</f>
        <v>0.4978858563</v>
      </c>
      <c r="M13" s="241">
        <f>'Vaccine coverage'!M109</f>
        <v>0.4713115897</v>
      </c>
      <c r="N13" s="241">
        <f>'Vaccine coverage'!N109</f>
        <v>0.3962890481</v>
      </c>
      <c r="O13" s="241">
        <f>'Vaccine coverage'!O109</f>
        <v>0.2392920817</v>
      </c>
      <c r="P13" s="241">
        <f>'Vaccine coverage'!P109</f>
        <v>0.1983466458</v>
      </c>
      <c r="Q13" s="456">
        <f>'Vaccine coverage'!Q109</f>
        <v>0.3308671444</v>
      </c>
      <c r="R13" s="241">
        <f>'Vaccine coverage'!R109</f>
        <v>0.8511090419</v>
      </c>
      <c r="S13" s="241">
        <f>'Vaccine coverage'!S109</f>
        <v>0.7904618008</v>
      </c>
      <c r="T13" s="241">
        <f>'Vaccine coverage'!T109</f>
        <v>0.8161045572</v>
      </c>
      <c r="U13" s="241">
        <f>'Vaccine coverage'!U109</f>
        <v>0.7500961004</v>
      </c>
      <c r="V13" s="241">
        <f>'Vaccine coverage'!V109</f>
        <v>0.7510962285</v>
      </c>
      <c r="W13" s="241">
        <f>'Vaccine coverage'!W109</f>
        <v>0.7110911032</v>
      </c>
      <c r="X13" s="241">
        <f>'Vaccine coverage'!X109</f>
        <v>0.3780484346</v>
      </c>
      <c r="Y13" s="241">
        <f>'Vaccine coverage'!Y109</f>
        <v>0.9181176269</v>
      </c>
      <c r="Z13" s="241">
        <f>'Vaccine coverage'!Z109</f>
        <v>0.7340940502</v>
      </c>
      <c r="AA13" s="241">
        <f>'Vaccine coverage'!AA109</f>
        <v>0.9901268525</v>
      </c>
      <c r="AB13" s="241">
        <f>'Vaccine coverage'!AB109</f>
        <v>0.8551095544</v>
      </c>
      <c r="AC13" s="241">
        <f>'Vaccine coverage'!AC109</f>
        <v>0.8951146798</v>
      </c>
      <c r="AD13" s="241">
        <f>'Vaccine coverage'!AD109</f>
        <v>0.9591228804</v>
      </c>
      <c r="AE13" s="241">
        <f>'Vaccine coverage'!AE109</f>
        <v>0.8721117327</v>
      </c>
      <c r="AF13" s="241">
        <f>'Vaccine coverage'!AF109</f>
        <v>0.9121168581</v>
      </c>
      <c r="AG13" s="241">
        <f>'Vaccine coverage'!AG109</f>
        <v>0.6579556681</v>
      </c>
      <c r="AH13" s="241">
        <f>'Vaccine coverage'!AH109</f>
        <v>0.7190921282</v>
      </c>
      <c r="AI13" s="241">
        <f>'Vaccine coverage'!AI109</f>
        <v>0.6070777772</v>
      </c>
      <c r="AJ13" s="241">
        <f>'Vaccine coverage'!AJ109</f>
        <v>0.8861135266</v>
      </c>
      <c r="AK13" s="241">
        <f>'Vaccine coverage'!AK109</f>
        <v>0.6340812369</v>
      </c>
      <c r="AL13" s="241">
        <f>'Vaccine coverage'!AL109</f>
        <v>0.512897934</v>
      </c>
      <c r="AM13" s="241">
        <f>'Vaccine coverage'!AM109</f>
        <v>0.4496120062</v>
      </c>
      <c r="AN13" s="241">
        <f>'Vaccine coverage'!AN109</f>
        <v>0.6352896131</v>
      </c>
      <c r="AO13" s="241">
        <f>'Vaccine coverage'!AO109</f>
        <v>0.5660725238</v>
      </c>
      <c r="AP13" s="241">
        <f>'Vaccine coverage'!AP109</f>
        <v>0.6560840558</v>
      </c>
      <c r="AQ13" s="241">
        <f>'Vaccine coverage'!AQ109</f>
        <v>0.8281060948</v>
      </c>
      <c r="AR13" s="241">
        <f>'Vaccine coverage'!AR109</f>
        <v>0.6260802118</v>
      </c>
      <c r="AS13" s="241">
        <f>'Vaccine coverage'!AS109</f>
        <v>0.6870880279</v>
      </c>
      <c r="AT13" s="241">
        <f>'Vaccine coverage'!AT109</f>
        <v>0.8531092982</v>
      </c>
      <c r="AU13" s="241">
        <f>'Vaccine coverage'!AU109</f>
        <v>0.6356430797</v>
      </c>
      <c r="AV13" s="241">
        <f>'Vaccine coverage'!AV109</f>
        <v>0.4897805552</v>
      </c>
      <c r="AW13" s="259"/>
    </row>
    <row r="14">
      <c r="A14" s="122"/>
      <c r="B14" s="123"/>
      <c r="C14" s="450"/>
      <c r="D14" s="450"/>
      <c r="E14" s="257" t="s">
        <v>359</v>
      </c>
      <c r="F14" s="454" t="str">
        <f>'Vaccine coverage'!F110</f>
        <v>%</v>
      </c>
      <c r="G14" s="455" t="s">
        <v>173</v>
      </c>
      <c r="H14" s="240" t="str">
        <f>'Vaccine coverage'!H110</f>
        <v>-</v>
      </c>
      <c r="I14" s="241">
        <f>'Vaccine coverage'!I110</f>
        <v>0.3529347274</v>
      </c>
      <c r="J14" s="241">
        <f>'Vaccine coverage'!J110</f>
        <v>0.4752014029</v>
      </c>
      <c r="K14" s="241">
        <f>'Vaccine coverage'!K110</f>
        <v>0.3915936892</v>
      </c>
      <c r="L14" s="241">
        <f>'Vaccine coverage'!L110</f>
        <v>0.4020403739</v>
      </c>
      <c r="M14" s="241">
        <f>'Vaccine coverage'!M110</f>
        <v>0.3602250894</v>
      </c>
      <c r="N14" s="241">
        <f>'Vaccine coverage'!N110</f>
        <v>0.3342923133</v>
      </c>
      <c r="O14" s="241">
        <f>'Vaccine coverage'!O110</f>
        <v>0.1520707093</v>
      </c>
      <c r="P14" s="241">
        <f>'Vaccine coverage'!P110</f>
        <v>0.1433622028</v>
      </c>
      <c r="Q14" s="456">
        <f>'Vaccine coverage'!Q110</f>
        <v>0.2489846285</v>
      </c>
      <c r="R14" s="241">
        <f>'Vaccine coverage'!R110</f>
        <v>0.665085209</v>
      </c>
      <c r="S14" s="241">
        <f>'Vaccine coverage'!S110</f>
        <v>0.6962544354</v>
      </c>
      <c r="T14" s="241">
        <f>'Vaccine coverage'!T110</f>
        <v>0.7050903344</v>
      </c>
      <c r="U14" s="241">
        <f>'Vaccine coverage'!U110</f>
        <v>0.7360943065</v>
      </c>
      <c r="V14" s="241">
        <f>'Vaccine coverage'!V110</f>
        <v>0.665085209</v>
      </c>
      <c r="W14" s="241">
        <f>'Vaccine coverage'!W110</f>
        <v>0.5630721394</v>
      </c>
      <c r="X14" s="241">
        <f>'Vaccine coverage'!X110</f>
        <v>0.3050390808</v>
      </c>
      <c r="Y14" s="241">
        <f>'Vaccine coverage'!Y110</f>
        <v>0.732093794</v>
      </c>
      <c r="Z14" s="241">
        <f>'Vaccine coverage'!Z110</f>
        <v>0.6930887968</v>
      </c>
      <c r="AA14" s="241">
        <f>'Vaccine coverage'!AA110</f>
        <v>0.9871264681</v>
      </c>
      <c r="AB14" s="241">
        <f>'Vaccine coverage'!AB110</f>
        <v>0.7740991756</v>
      </c>
      <c r="AC14" s="241">
        <f>'Vaccine coverage'!AC110</f>
        <v>0.8301063511</v>
      </c>
      <c r="AD14" s="241">
        <f>'Vaccine coverage'!AD110</f>
        <v>0.9061160893</v>
      </c>
      <c r="AE14" s="241">
        <f>'Vaccine coverage'!AE110</f>
        <v>0.7961019945</v>
      </c>
      <c r="AF14" s="241">
        <f>'Vaccine coverage'!AF110</f>
        <v>0.8551095544</v>
      </c>
      <c r="AG14" s="241">
        <f>'Vaccine coverage'!AG110</f>
        <v>0.5695735634</v>
      </c>
      <c r="AH14" s="241">
        <f>'Vaccine coverage'!AH110</f>
        <v>0.6210795711</v>
      </c>
      <c r="AI14" s="241">
        <f>'Vaccine coverage'!AI110</f>
        <v>0.5320681672</v>
      </c>
      <c r="AJ14" s="241">
        <f>'Vaccine coverage'!AJ110</f>
        <v>0.7991023789</v>
      </c>
      <c r="AK14" s="241">
        <f>'Vaccine coverage'!AK110</f>
        <v>0.5070649639</v>
      </c>
      <c r="AL14" s="241">
        <f>'Vaccine coverage'!AL110</f>
        <v>0.3797155668</v>
      </c>
      <c r="AM14" s="241">
        <f>'Vaccine coverage'!AM110</f>
        <v>0.3269286869</v>
      </c>
      <c r="AN14" s="241">
        <f>'Vaccine coverage'!AN110</f>
        <v>0.4816924304</v>
      </c>
      <c r="AO14" s="241">
        <f>'Vaccine coverage'!AO110</f>
        <v>0.396050741</v>
      </c>
      <c r="AP14" s="241">
        <f>'Vaccine coverage'!AP110</f>
        <v>0.6100781616</v>
      </c>
      <c r="AQ14" s="241">
        <f>'Vaccine coverage'!AQ110</f>
        <v>0.6890882842</v>
      </c>
      <c r="AR14" s="241">
        <f>'Vaccine coverage'!AR110</f>
        <v>0.5700730363</v>
      </c>
      <c r="AS14" s="241">
        <f>'Vaccine coverage'!AS110</f>
        <v>0.6100781616</v>
      </c>
      <c r="AT14" s="241">
        <f>'Vaccine coverage'!AT110</f>
        <v>0.7891010976</v>
      </c>
      <c r="AU14" s="241">
        <f>'Vaccine coverage'!AU110</f>
        <v>0.5347436441</v>
      </c>
      <c r="AV14" s="241">
        <f>'Vaccine coverage'!AV110</f>
        <v>0.3993428106</v>
      </c>
      <c r="AW14" s="259"/>
    </row>
    <row r="15">
      <c r="A15" s="122"/>
      <c r="B15" s="123"/>
      <c r="C15" s="450"/>
      <c r="D15" s="450"/>
      <c r="E15" s="257" t="s">
        <v>360</v>
      </c>
      <c r="F15" s="454" t="str">
        <f>'Vaccine coverage'!F115</f>
        <v>%</v>
      </c>
      <c r="G15" s="455" t="s">
        <v>173</v>
      </c>
      <c r="H15" s="240" t="str">
        <f>'Vaccine coverage'!H115</f>
        <v>-</v>
      </c>
      <c r="I15" s="241">
        <f>'Vaccine coverage'!I115</f>
        <v>0.4925035352</v>
      </c>
      <c r="J15" s="241">
        <f>'Vaccine coverage'!J115</f>
        <v>0.6588643725</v>
      </c>
      <c r="K15" s="241">
        <f>'Vaccine coverage'!K115</f>
        <v>0.5685585411</v>
      </c>
      <c r="L15" s="241">
        <f>'Vaccine coverage'!L115</f>
        <v>0.5921074875</v>
      </c>
      <c r="M15" s="241">
        <f>'Vaccine coverage'!M115</f>
        <v>0.5558056252</v>
      </c>
      <c r="N15" s="241">
        <f>'Vaccine coverage'!N115</f>
        <v>0.4496399105</v>
      </c>
      <c r="O15" s="241">
        <f>'Vaccine coverage'!O115</f>
        <v>0.33555873</v>
      </c>
      <c r="P15" s="241">
        <f>'Vaccine coverage'!P115</f>
        <v>0.2429639513</v>
      </c>
      <c r="Q15" s="456">
        <f>'Vaccine coverage'!Q115</f>
        <v>0.4208246779</v>
      </c>
      <c r="R15" s="241">
        <f>'Vaccine coverage'!R115</f>
        <v>0.8851133984</v>
      </c>
      <c r="S15" s="241">
        <f>'Vaccine coverage'!S115</f>
        <v>0.8613876889</v>
      </c>
      <c r="T15" s="241">
        <f>'Vaccine coverage'!T115</f>
        <v>0.8526092341</v>
      </c>
      <c r="U15" s="241">
        <f>'Vaccine coverage'!U115</f>
        <v>0.829106223</v>
      </c>
      <c r="V15" s="241">
        <f>'Vaccine coverage'!V115</f>
        <v>0.7730990475</v>
      </c>
      <c r="W15" s="241">
        <f>'Vaccine coverage'!W115</f>
        <v>0.7981022508</v>
      </c>
      <c r="X15" s="241">
        <f>'Vaccine coverage'!X115</f>
        <v>0.5590716268</v>
      </c>
      <c r="Y15" s="241">
        <f>'Vaccine coverage'!Y115</f>
        <v>0.9311192926</v>
      </c>
      <c r="Z15" s="241">
        <f>'Vaccine coverage'!Z115</f>
        <v>0.8011026352</v>
      </c>
      <c r="AA15" s="241">
        <f>'Vaccine coverage'!AA115</f>
        <v>0.9916270447</v>
      </c>
      <c r="AB15" s="241">
        <f>'Vaccine coverage'!AB115</f>
        <v>0.9086164096</v>
      </c>
      <c r="AC15" s="241">
        <f>'Vaccine coverage'!AC115</f>
        <v>0.9511218553</v>
      </c>
      <c r="AD15" s="241">
        <f>'Vaccine coverage'!AD115</f>
        <v>0.9851262118</v>
      </c>
      <c r="AE15" s="241">
        <f>'Vaccine coverage'!AE115</f>
        <v>0.9091164737</v>
      </c>
      <c r="AF15" s="241">
        <f>'Vaccine coverage'!AF115</f>
        <v>0.9381201895</v>
      </c>
      <c r="AG15" s="241">
        <f>'Vaccine coverage'!AG115</f>
        <v>0.7335669525</v>
      </c>
      <c r="AH15" s="241">
        <f>'Vaccine coverage'!AH115</f>
        <v>0.8546094904</v>
      </c>
      <c r="AI15" s="241">
        <f>'Vaccine coverage'!AI115</f>
        <v>0.6495832229</v>
      </c>
      <c r="AJ15" s="241">
        <f>'Vaccine coverage'!AJ115</f>
        <v>0.9241183957</v>
      </c>
      <c r="AK15" s="241">
        <f>'Vaccine coverage'!AK115</f>
        <v>0.7140914876</v>
      </c>
      <c r="AL15" s="241">
        <f>'Vaccine coverage'!AL115</f>
        <v>0.6199285382</v>
      </c>
      <c r="AM15" s="241">
        <f>'Vaccine coverage'!AM115</f>
        <v>0.5574918215</v>
      </c>
      <c r="AN15" s="241">
        <f>'Vaccine coverage'!AN115</f>
        <v>0.7407578873</v>
      </c>
      <c r="AO15" s="241">
        <f>'Vaccine coverage'!AO115</f>
        <v>0.6570841839</v>
      </c>
      <c r="AP15" s="241">
        <f>'Vaccine coverage'!AP115</f>
        <v>0.7275932174</v>
      </c>
      <c r="AQ15" s="241">
        <f>'Vaccine coverage'!AQ115</f>
        <v>0.9101166018</v>
      </c>
      <c r="AR15" s="241">
        <f>'Vaccine coverage'!AR115</f>
        <v>0.7535965488</v>
      </c>
      <c r="AS15" s="241">
        <f>'Vaccine coverage'!AS115</f>
        <v>0.7931016101</v>
      </c>
      <c r="AT15" s="241">
        <f>'Vaccine coverage'!AT115</f>
        <v>0.8956147439</v>
      </c>
      <c r="AU15" s="241">
        <f>'Vaccine coverage'!AU115</f>
        <v>0.7158075997</v>
      </c>
      <c r="AV15" s="241">
        <f>'Vaccine coverage'!AV115</f>
        <v>0.5991142373</v>
      </c>
      <c r="AW15" s="259"/>
    </row>
    <row r="16">
      <c r="A16" s="122"/>
      <c r="B16" s="123"/>
      <c r="C16" s="450"/>
      <c r="D16" s="450"/>
      <c r="E16" s="278" t="s">
        <v>361</v>
      </c>
      <c r="F16" s="457" t="str">
        <f>'Vaccine coverage'!F116</f>
        <v>%</v>
      </c>
      <c r="G16" s="458" t="s">
        <v>173</v>
      </c>
      <c r="H16" s="373" t="str">
        <f>'Vaccine coverage'!H116</f>
        <v>-</v>
      </c>
      <c r="I16" s="282">
        <f>'Vaccine coverage'!I116</f>
        <v>0.4465591779</v>
      </c>
      <c r="J16" s="282">
        <f>'Vaccine coverage'!J116</f>
        <v>0.6167843297</v>
      </c>
      <c r="K16" s="282">
        <f>'Vaccine coverage'!K116</f>
        <v>0.512299077</v>
      </c>
      <c r="L16" s="282">
        <f>'Vaccine coverage'!L116</f>
        <v>0.5025924931</v>
      </c>
      <c r="M16" s="282">
        <f>'Vaccine coverage'!M116</f>
        <v>0.4769981029</v>
      </c>
      <c r="N16" s="282">
        <f>'Vaccine coverage'!N116</f>
        <v>0.4068640424</v>
      </c>
      <c r="O16" s="282">
        <f>'Vaccine coverage'!O116</f>
        <v>0.2411176669</v>
      </c>
      <c r="P16" s="282">
        <f>'Vaccine coverage'!P116</f>
        <v>0.2258486724</v>
      </c>
      <c r="Q16" s="459">
        <f>'Vaccine coverage'!Q116</f>
        <v>0.3297755917</v>
      </c>
      <c r="R16" s="282">
        <f>'Vaccine coverage'!R116</f>
        <v>0.8556096185</v>
      </c>
      <c r="S16" s="282">
        <f>'Vaccine coverage'!S116</f>
        <v>0.7906640684</v>
      </c>
      <c r="T16" s="282">
        <f>'Vaccine coverage'!T116</f>
        <v>0.8196050057</v>
      </c>
      <c r="U16" s="282">
        <f>'Vaccine coverage'!U116</f>
        <v>0.7520963566</v>
      </c>
      <c r="V16" s="282">
        <f>'Vaccine coverage'!V116</f>
        <v>0.7555968051</v>
      </c>
      <c r="W16" s="282">
        <f>'Vaccine coverage'!W116</f>
        <v>0.7280932814</v>
      </c>
      <c r="X16" s="282">
        <f>'Vaccine coverage'!X116</f>
        <v>0.4155532396</v>
      </c>
      <c r="Y16" s="282">
        <f>'Vaccine coverage'!Y116</f>
        <v>0.9181176269</v>
      </c>
      <c r="Z16" s="282">
        <f>'Vaccine coverage'!Z116</f>
        <v>0.7445953956</v>
      </c>
      <c r="AA16" s="282">
        <f>'Vaccine coverage'!AA116</f>
        <v>0.9901268525</v>
      </c>
      <c r="AB16" s="282">
        <f>'Vaccine coverage'!AB116</f>
        <v>0.88161295</v>
      </c>
      <c r="AC16" s="282">
        <f>'Vaccine coverage'!AC116</f>
        <v>0.919117755</v>
      </c>
      <c r="AD16" s="282">
        <f>'Vaccine coverage'!AD116</f>
        <v>0.9631233929</v>
      </c>
      <c r="AE16" s="282">
        <f>'Vaccine coverage'!AE116</f>
        <v>0.8721117327</v>
      </c>
      <c r="AF16" s="282">
        <f>'Vaccine coverage'!AF116</f>
        <v>0.9221181394</v>
      </c>
      <c r="AG16" s="282">
        <f>'Vaccine coverage'!AG116</f>
        <v>0.664175484</v>
      </c>
      <c r="AH16" s="282">
        <f>'Vaccine coverage'!AH116</f>
        <v>0.7295934736</v>
      </c>
      <c r="AI16" s="282">
        <f>'Vaccine coverage'!AI116</f>
        <v>0.6240799555</v>
      </c>
      <c r="AJ16" s="282">
        <f>'Vaccine coverage'!AJ116</f>
        <v>0.8936144876</v>
      </c>
      <c r="AK16" s="282">
        <f>'Vaccine coverage'!AK116</f>
        <v>0.6405820697</v>
      </c>
      <c r="AL16" s="282">
        <f>'Vaccine coverage'!AL116</f>
        <v>0.520404609</v>
      </c>
      <c r="AM16" s="282">
        <f>'Vaccine coverage'!AM116</f>
        <v>0.4561924406</v>
      </c>
      <c r="AN16" s="282">
        <f>'Vaccine coverage'!AN116</f>
        <v>0.644587589</v>
      </c>
      <c r="AO16" s="282">
        <f>'Vaccine coverage'!AO116</f>
        <v>0.5730734207</v>
      </c>
      <c r="AP16" s="282">
        <f>'Vaccine coverage'!AP116</f>
        <v>0.6690857215</v>
      </c>
      <c r="AQ16" s="282">
        <f>'Vaccine coverage'!AQ116</f>
        <v>0.8551095544</v>
      </c>
      <c r="AR16" s="282">
        <f>'Vaccine coverage'!AR116</f>
        <v>0.6340812369</v>
      </c>
      <c r="AS16" s="282">
        <f>'Vaccine coverage'!AS116</f>
        <v>0.7330939221</v>
      </c>
      <c r="AT16" s="282">
        <f>'Vaccine coverage'!AT116</f>
        <v>0.8621104514</v>
      </c>
      <c r="AU16" s="282">
        <f>'Vaccine coverage'!AU116</f>
        <v>0.6472766303</v>
      </c>
      <c r="AV16" s="282">
        <f>'Vaccine coverage'!AV116</f>
        <v>0.4976523396</v>
      </c>
      <c r="AW16" s="271"/>
    </row>
    <row r="17">
      <c r="A17" s="122"/>
      <c r="B17" s="123"/>
      <c r="C17" s="450"/>
      <c r="D17" s="450"/>
      <c r="E17" s="278" t="s">
        <v>362</v>
      </c>
      <c r="F17" s="457" t="str">
        <f>'Vaccine coverage'!F117</f>
        <v>%</v>
      </c>
      <c r="G17" s="458" t="s">
        <v>173</v>
      </c>
      <c r="H17" s="373" t="str">
        <f>'Vaccine coverage'!H117</f>
        <v>-</v>
      </c>
      <c r="I17" s="282">
        <f>'Vaccine coverage'!I117</f>
        <v>0.3535717937</v>
      </c>
      <c r="J17" s="282">
        <f>'Vaccine coverage'!J117</f>
        <v>0.488498644</v>
      </c>
      <c r="K17" s="282">
        <f>'Vaccine coverage'!K117</f>
        <v>0.3942138416</v>
      </c>
      <c r="L17" s="282">
        <f>'Vaccine coverage'!L117</f>
        <v>0.4058409599</v>
      </c>
      <c r="M17" s="282">
        <f>'Vaccine coverage'!M117</f>
        <v>0.3645713112</v>
      </c>
      <c r="N17" s="282">
        <f>'Vaccine coverage'!N117</f>
        <v>0.3425783826</v>
      </c>
      <c r="O17" s="282">
        <f>'Vaccine coverage'!O117</f>
        <v>0.1532308731</v>
      </c>
      <c r="P17" s="282">
        <f>'Vaccine coverage'!P117</f>
        <v>0.1626041455</v>
      </c>
      <c r="Q17" s="459">
        <f>'Vaccine coverage'!Q117</f>
        <v>0.2399164121</v>
      </c>
      <c r="R17" s="282">
        <f>'Vaccine coverage'!R117</f>
        <v>0.7075906547</v>
      </c>
      <c r="S17" s="282">
        <f>'Vaccine coverage'!S117</f>
        <v>0.6964325967</v>
      </c>
      <c r="T17" s="282">
        <f>'Vaccine coverage'!T117</f>
        <v>0.7180920001</v>
      </c>
      <c r="U17" s="282">
        <f>'Vaccine coverage'!U117</f>
        <v>0.7360943065</v>
      </c>
      <c r="V17" s="282">
        <f>'Vaccine coverage'!V117</f>
        <v>0.6835875795</v>
      </c>
      <c r="W17" s="282">
        <f>'Vaccine coverage'!W117</f>
        <v>0.5955763037</v>
      </c>
      <c r="X17" s="282">
        <f>'Vaccine coverage'!X117</f>
        <v>0.3030388246</v>
      </c>
      <c r="Y17" s="282">
        <f>'Vaccine coverage'!Y117</f>
        <v>0.7410949472</v>
      </c>
      <c r="Z17" s="282">
        <f>'Vaccine coverage'!Z117</f>
        <v>0.6960891812</v>
      </c>
      <c r="AA17" s="282">
        <f>'Vaccine coverage'!AA117</f>
        <v>0.9871264681</v>
      </c>
      <c r="AB17" s="282">
        <f>'Vaccine coverage'!AB117</f>
        <v>0.8006025711</v>
      </c>
      <c r="AC17" s="282">
        <f>'Vaccine coverage'!AC117</f>
        <v>0.8396075684</v>
      </c>
      <c r="AD17" s="282">
        <f>'Vaccine coverage'!AD117</f>
        <v>0.9071162174</v>
      </c>
      <c r="AE17" s="282">
        <f>'Vaccine coverage'!AE117</f>
        <v>0.7961019945</v>
      </c>
      <c r="AF17" s="282">
        <f>'Vaccine coverage'!AF117</f>
        <v>0.8716116686</v>
      </c>
      <c r="AG17" s="282">
        <f>'Vaccine coverage'!AG117</f>
        <v>0.5749578817</v>
      </c>
      <c r="AH17" s="282">
        <f>'Vaccine coverage'!AH117</f>
        <v>0.6265802759</v>
      </c>
      <c r="AI17" s="282">
        <f>'Vaccine coverage'!AI117</f>
        <v>0.5415693845</v>
      </c>
      <c r="AJ17" s="282">
        <f>'Vaccine coverage'!AJ117</f>
        <v>0.8231054542</v>
      </c>
      <c r="AK17" s="282">
        <f>'Vaccine coverage'!AK117</f>
        <v>0.5235670781</v>
      </c>
      <c r="AL17" s="282">
        <f>'Vaccine coverage'!AL117</f>
        <v>0.3852730104</v>
      </c>
      <c r="AM17" s="282">
        <f>'Vaccine coverage'!AM117</f>
        <v>0.3317135519</v>
      </c>
      <c r="AN17" s="282">
        <f>'Vaccine coverage'!AN117</f>
        <v>0.4887423877</v>
      </c>
      <c r="AO17" s="282">
        <f>'Vaccine coverage'!AO117</f>
        <v>0.4045518301</v>
      </c>
      <c r="AP17" s="282">
        <f>'Vaccine coverage'!AP117</f>
        <v>0.6180791867</v>
      </c>
      <c r="AQ17" s="282">
        <f>'Vaccine coverage'!AQ117</f>
        <v>0.7520963566</v>
      </c>
      <c r="AR17" s="282">
        <f>'Vaccine coverage'!AR117</f>
        <v>0.5695729722</v>
      </c>
      <c r="AS17" s="282">
        <f>'Vaccine coverage'!AS117</f>
        <v>0.6320809806</v>
      </c>
      <c r="AT17" s="282">
        <f>'Vaccine coverage'!AT117</f>
        <v>0.7851005851</v>
      </c>
      <c r="AU17" s="282">
        <f>'Vaccine coverage'!AU117</f>
        <v>0.5439019196</v>
      </c>
      <c r="AV17" s="282">
        <f>'Vaccine coverage'!AV117</f>
        <v>0.4047896276</v>
      </c>
      <c r="AW17" s="271"/>
    </row>
    <row r="18">
      <c r="A18" s="122"/>
      <c r="B18" s="123"/>
      <c r="C18" s="450"/>
      <c r="D18" s="450"/>
      <c r="E18" s="257" t="s">
        <v>363</v>
      </c>
      <c r="F18" s="454" t="str">
        <f>'Vaccine coverage'!F124</f>
        <v>%</v>
      </c>
      <c r="G18" s="455" t="s">
        <v>173</v>
      </c>
      <c r="H18" s="240" t="str">
        <f>'Vaccine coverage'!H124</f>
        <v>-</v>
      </c>
      <c r="I18" s="241">
        <f>'Vaccine coverage'!I124</f>
        <v>0.3080394652</v>
      </c>
      <c r="J18" s="241">
        <f>'Vaccine coverage'!J124</f>
        <v>0.3670470251</v>
      </c>
      <c r="K18" s="241">
        <f>'Vaccine coverage'!K124</f>
        <v>0.5590716268</v>
      </c>
      <c r="L18" s="241">
        <f>'Vaccine coverage'!L124</f>
        <v>0.5670726519</v>
      </c>
      <c r="M18" s="241">
        <f>'Vaccine coverage'!M124</f>
        <v>0.4050518942</v>
      </c>
      <c r="N18" s="241">
        <f>'Vaccine coverage'!N124</f>
        <v>0.4370559945</v>
      </c>
      <c r="O18" s="241">
        <f>'Vaccine coverage'!O124</f>
        <v>0.6320809806</v>
      </c>
      <c r="P18" s="241">
        <f>'Vaccine coverage'!P124</f>
        <v>0.1910244736</v>
      </c>
      <c r="Q18" s="456">
        <f>'Vaccine coverage'!Q124</f>
        <v>0.4600589416</v>
      </c>
      <c r="R18" s="241">
        <f>'Vaccine coverage'!R124</f>
        <v>0.7490959722</v>
      </c>
      <c r="S18" s="241">
        <f>'Vaccine coverage'!S124</f>
        <v>0.613078546</v>
      </c>
      <c r="T18" s="241">
        <f>'Vaccine coverage'!T124</f>
        <v>0.7200922564</v>
      </c>
      <c r="U18" s="241">
        <f>'Vaccine coverage'!U124</f>
        <v>0.6710859778</v>
      </c>
      <c r="V18" s="241">
        <f>'Vaccine coverage'!V124</f>
        <v>0.6640850809</v>
      </c>
      <c r="W18" s="241">
        <f>'Vaccine coverage'!W124</f>
        <v>0.680087131</v>
      </c>
      <c r="X18" s="241">
        <f>'Vaccine coverage'!X124</f>
        <v>0.3870495878</v>
      </c>
      <c r="Y18" s="241">
        <f>'Vaccine coverage'!Y124</f>
        <v>0.7961019945</v>
      </c>
      <c r="Z18" s="241">
        <f>'Vaccine coverage'!Z124</f>
        <v>0.732093794</v>
      </c>
      <c r="AA18" s="241">
        <f>'Vaccine coverage'!AA124</f>
        <v>0.9231182675</v>
      </c>
      <c r="AB18" s="241">
        <f>'Vaccine coverage'!AB124</f>
        <v>0.7981022508</v>
      </c>
      <c r="AC18" s="241">
        <f>'Vaccine coverage'!AC124</f>
        <v>0.9451210865</v>
      </c>
      <c r="AD18" s="241">
        <f>'Vaccine coverage'!AD124</f>
        <v>0.7961019945</v>
      </c>
      <c r="AE18" s="241">
        <f>'Vaccine coverage'!AE124</f>
        <v>0.8951146798</v>
      </c>
      <c r="AF18" s="241">
        <f>'Vaccine coverage'!AF124</f>
        <v>0.7530964848</v>
      </c>
      <c r="AG18" s="241">
        <f>'Vaccine coverage'!AG124</f>
        <v>0.5670726519</v>
      </c>
      <c r="AH18" s="241">
        <f>'Vaccine coverage'!AH124</f>
        <v>0.7230926408</v>
      </c>
      <c r="AI18" s="241">
        <f>'Vaccine coverage'!AI124</f>
        <v>0.6420822619</v>
      </c>
      <c r="AJ18" s="241">
        <f>'Vaccine coverage'!AJ124</f>
        <v>0.8631105795</v>
      </c>
      <c r="AK18" s="241">
        <f>'Vaccine coverage'!AK124</f>
        <v>0.5660725238</v>
      </c>
      <c r="AL18" s="241">
        <f>'Vaccine coverage'!AL124</f>
        <v>0.5460699611</v>
      </c>
      <c r="AM18" s="241">
        <f>'Vaccine coverage'!AM124</f>
        <v>0.5460699611</v>
      </c>
      <c r="AN18" s="241">
        <f>'Vaccine coverage'!AN124</f>
        <v>0.5460699611</v>
      </c>
      <c r="AO18" s="241">
        <f>'Vaccine coverage'!AO124</f>
        <v>0.560071755</v>
      </c>
      <c r="AP18" s="241">
        <f>'Vaccine coverage'!AP124</f>
        <v>0.6600845683</v>
      </c>
      <c r="AQ18" s="241">
        <f>'Vaccine coverage'!AQ124</f>
        <v>0.8041030196</v>
      </c>
      <c r="AR18" s="241">
        <f>'Vaccine coverage'!AR124</f>
        <v>0.6110782898</v>
      </c>
      <c r="AS18" s="241">
        <f>'Vaccine coverage'!AS124</f>
        <v>0.7030900781</v>
      </c>
      <c r="AT18" s="241">
        <f>'Vaccine coverage'!AT124</f>
        <v>0.8461084012</v>
      </c>
      <c r="AU18" s="241">
        <f>'Vaccine coverage'!AU124</f>
        <v>0.6540837995</v>
      </c>
      <c r="AV18" s="241">
        <f>'Vaccine coverage'!AV124</f>
        <v>0.7130913594</v>
      </c>
      <c r="AW18" s="259"/>
    </row>
    <row r="19">
      <c r="A19" s="122"/>
      <c r="B19" s="123"/>
      <c r="C19" s="450"/>
      <c r="D19" s="450"/>
      <c r="E19" s="272" t="s">
        <v>364</v>
      </c>
      <c r="F19" s="460" t="str">
        <f>'Vaccine coverage'!F125</f>
        <v>%</v>
      </c>
      <c r="G19" s="461" t="s">
        <v>173</v>
      </c>
      <c r="H19" s="228" t="str">
        <f>'Vaccine coverage'!H125</f>
        <v>-</v>
      </c>
      <c r="I19" s="385">
        <f>'Vaccine coverage'!I125</f>
        <v>0.1080138385</v>
      </c>
      <c r="J19" s="385">
        <f>'Vaccine coverage'!J125</f>
        <v>0.1780228078</v>
      </c>
      <c r="K19" s="385">
        <f>'Vaccine coverage'!K125</f>
        <v>0.3270418998</v>
      </c>
      <c r="L19" s="385">
        <f>'Vaccine coverage'!L125</f>
        <v>0.3090395934</v>
      </c>
      <c r="M19" s="385">
        <f>'Vaccine coverage'!M125</f>
        <v>0.142018195</v>
      </c>
      <c r="N19" s="385">
        <f>'Vaccine coverage'!N125</f>
        <v>0.2470316491</v>
      </c>
      <c r="O19" s="385">
        <f>'Vaccine coverage'!O125</f>
        <v>0.5490703455</v>
      </c>
      <c r="P19" s="385">
        <f>'Vaccine coverage'!P125</f>
        <v>0.1850237048</v>
      </c>
      <c r="Q19" s="462">
        <f>'Vaccine coverage'!Q125</f>
        <v>0.3250416435</v>
      </c>
      <c r="R19" s="385">
        <f>'Vaccine coverage'!R125</f>
        <v>0.6090780335</v>
      </c>
      <c r="S19" s="385">
        <f>'Vaccine coverage'!S125</f>
        <v>0.3050390808</v>
      </c>
      <c r="T19" s="385">
        <f>'Vaccine coverage'!T125</f>
        <v>0.4510577884</v>
      </c>
      <c r="U19" s="385">
        <f>'Vaccine coverage'!U125</f>
        <v>0.6480830307</v>
      </c>
      <c r="V19" s="385">
        <f>'Vaccine coverage'!V125</f>
        <v>0.5670726519</v>
      </c>
      <c r="W19" s="385">
        <f>'Vaccine coverage'!W125</f>
        <v>0.3240415154</v>
      </c>
      <c r="X19" s="385">
        <f>'Vaccine coverage'!X125</f>
        <v>0.1750224234</v>
      </c>
      <c r="Y19" s="385">
        <f>'Vaccine coverage'!Y125</f>
        <v>0.5340684235</v>
      </c>
      <c r="Z19" s="385">
        <f>'Vaccine coverage'!Z125</f>
        <v>0.5110654764</v>
      </c>
      <c r="AA19" s="385">
        <f>'Vaccine coverage'!AA125</f>
        <v>0.6640850809</v>
      </c>
      <c r="AB19" s="385">
        <f>'Vaccine coverage'!AB125</f>
        <v>0.4910629137</v>
      </c>
      <c r="AC19" s="385">
        <f>'Vaccine coverage'!AC125</f>
        <v>0.6550839277</v>
      </c>
      <c r="AD19" s="385">
        <f>'Vaccine coverage'!AD125</f>
        <v>0.6550839277</v>
      </c>
      <c r="AE19" s="385">
        <f>'Vaccine coverage'!AE125</f>
        <v>0.463059326</v>
      </c>
      <c r="AF19" s="385">
        <f>'Vaccine coverage'!AF125</f>
        <v>0.4050518942</v>
      </c>
      <c r="AG19" s="385">
        <f>'Vaccine coverage'!AG125</f>
        <v>0.3090395934</v>
      </c>
      <c r="AH19" s="385">
        <f>'Vaccine coverage'!AH125</f>
        <v>0.5710731644</v>
      </c>
      <c r="AI19" s="385">
        <f>'Vaccine coverage'!AI125</f>
        <v>0.3400435655</v>
      </c>
      <c r="AJ19" s="385">
        <f>'Vaccine coverage'!AJ125</f>
        <v>0.6750864903</v>
      </c>
      <c r="AK19" s="385">
        <f>'Vaccine coverage'!AK125</f>
        <v>0.2680343399</v>
      </c>
      <c r="AL19" s="385">
        <f>'Vaccine coverage'!AL125</f>
        <v>0.2000256268</v>
      </c>
      <c r="AM19" s="385">
        <f>'Vaccine coverage'!AM125</f>
        <v>0.2000256268</v>
      </c>
      <c r="AN19" s="385">
        <f>'Vaccine coverage'!AN125</f>
        <v>0.2000256268</v>
      </c>
      <c r="AO19" s="385">
        <f>'Vaccine coverage'!AO125</f>
        <v>0.4150531755</v>
      </c>
      <c r="AP19" s="385">
        <f>'Vaccine coverage'!AP125</f>
        <v>0.4970636825</v>
      </c>
      <c r="AQ19" s="385">
        <f>'Vaccine coverage'!AQ125</f>
        <v>0.5420694485</v>
      </c>
      <c r="AR19" s="385">
        <f>'Vaccine coverage'!AR125</f>
        <v>0.4430567633</v>
      </c>
      <c r="AS19" s="385">
        <f>'Vaccine coverage'!AS125</f>
        <v>0.2600333148</v>
      </c>
      <c r="AT19" s="385">
        <f>'Vaccine coverage'!AT125</f>
        <v>0.5360686797</v>
      </c>
      <c r="AU19" s="385">
        <f>'Vaccine coverage'!AU125</f>
        <v>0.3860494597</v>
      </c>
      <c r="AV19" s="385">
        <f>'Vaccine coverage'!AV125</f>
        <v>0.4840620168</v>
      </c>
      <c r="AW19" s="274"/>
    </row>
    <row r="20">
      <c r="A20" s="122"/>
      <c r="B20" s="123"/>
      <c r="C20" s="450"/>
      <c r="D20" s="450"/>
      <c r="E20" s="275"/>
      <c r="F20" s="141"/>
      <c r="G20" s="448"/>
      <c r="H20" s="188"/>
      <c r="I20" s="317"/>
      <c r="J20" s="317"/>
      <c r="K20" s="317"/>
      <c r="L20" s="317"/>
      <c r="M20" s="317"/>
      <c r="N20" s="317"/>
      <c r="O20" s="317"/>
      <c r="P20" s="317"/>
      <c r="Q20" s="449"/>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7"/>
      <c r="AW20" s="130"/>
    </row>
    <row r="21">
      <c r="A21" s="122"/>
      <c r="B21" s="123"/>
      <c r="C21" s="450" t="s">
        <v>365</v>
      </c>
      <c r="F21" s="141"/>
      <c r="G21" s="448"/>
      <c r="H21" s="188"/>
      <c r="I21" s="317"/>
      <c r="J21" s="317"/>
      <c r="K21" s="317"/>
      <c r="L21" s="317"/>
      <c r="M21" s="317"/>
      <c r="N21" s="317"/>
      <c r="O21" s="317"/>
      <c r="P21" s="317"/>
      <c r="Q21" s="449"/>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17"/>
      <c r="AP21" s="317"/>
      <c r="AQ21" s="317"/>
      <c r="AR21" s="317"/>
      <c r="AS21" s="317"/>
      <c r="AT21" s="317"/>
      <c r="AU21" s="317"/>
      <c r="AV21" s="317"/>
      <c r="AW21" s="130"/>
    </row>
    <row r="22">
      <c r="A22" s="122"/>
      <c r="B22" s="123"/>
      <c r="C22" s="445"/>
      <c r="D22" s="123"/>
      <c r="E22" s="254" t="s">
        <v>366</v>
      </c>
      <c r="F22" s="193" t="str">
        <f>'Disease burden'!F388</f>
        <v>%</v>
      </c>
      <c r="G22" s="463" t="str">
        <f>'Disease burden'!G388</f>
        <v>feed</v>
      </c>
      <c r="H22" s="464" t="str">
        <f>'Disease burden'!H388</f>
        <v>-</v>
      </c>
      <c r="I22" s="383">
        <f>'Disease burden'!I388</f>
        <v>0.1782349073</v>
      </c>
      <c r="J22" s="383">
        <f>'Disease burden'!J388</f>
        <v>0.1203335906</v>
      </c>
      <c r="K22" s="383">
        <f>'Disease burden'!K388</f>
        <v>0.2030213616</v>
      </c>
      <c r="L22" s="383">
        <f>'Disease burden'!L388</f>
        <v>0.1065706465</v>
      </c>
      <c r="M22" s="383">
        <f>'Disease burden'!M388</f>
        <v>0.1327762775</v>
      </c>
      <c r="N22" s="383">
        <f>'Disease burden'!N388</f>
        <v>0.1733297403</v>
      </c>
      <c r="O22" s="383">
        <f>'Disease burden'!O388</f>
        <v>0.1578965315</v>
      </c>
      <c r="P22" s="383">
        <f>'Disease burden'!P388</f>
        <v>0.18003357</v>
      </c>
      <c r="Q22" s="453">
        <f>'Disease burden'!Q388</f>
        <v>0.2055157123</v>
      </c>
      <c r="R22" s="383">
        <f>'Disease burden'!R388</f>
        <v>0.08644994566</v>
      </c>
      <c r="S22" s="383">
        <f>'Disease burden'!S388</f>
        <v>0.1262181503</v>
      </c>
      <c r="T22" s="383">
        <f>'Disease burden'!T388</f>
        <v>0.08233124757</v>
      </c>
      <c r="U22" s="383">
        <f>'Disease burden'!U388</f>
        <v>0.0796192129</v>
      </c>
      <c r="V22" s="383">
        <f>'Disease burden'!V388</f>
        <v>0.06718777858</v>
      </c>
      <c r="W22" s="383">
        <f>'Disease burden'!W388</f>
        <v>0.1006389542</v>
      </c>
      <c r="X22" s="383">
        <f>'Disease burden'!X388</f>
        <v>0.09950085865</v>
      </c>
      <c r="Y22" s="383">
        <f>'Disease burden'!Y388</f>
        <v>0.08927550034</v>
      </c>
      <c r="Z22" s="383">
        <f>'Disease burden'!Z388</f>
        <v>0.09606846602</v>
      </c>
      <c r="AA22" s="383">
        <f>'Disease burden'!AA388</f>
        <v>0.09533082911</v>
      </c>
      <c r="AB22" s="383">
        <f>'Disease burden'!AB388</f>
        <v>0.09250961696</v>
      </c>
      <c r="AC22" s="383">
        <f>'Disease burden'!AC388</f>
        <v>0.1094520505</v>
      </c>
      <c r="AD22" s="383">
        <f>'Disease burden'!AD388</f>
        <v>0.08314302052</v>
      </c>
      <c r="AE22" s="383">
        <f>'Disease burden'!AE388</f>
        <v>0.100122233</v>
      </c>
      <c r="AF22" s="383">
        <f>'Disease burden'!AF388</f>
        <v>0.09370492827</v>
      </c>
      <c r="AG22" s="383">
        <f>'Disease burden'!AG388</f>
        <v>0.1065706465</v>
      </c>
      <c r="AH22" s="383">
        <f>'Disease burden'!AH388</f>
        <v>0.06350413719</v>
      </c>
      <c r="AI22" s="383">
        <f>'Disease burden'!AI388</f>
        <v>0.08074745526</v>
      </c>
      <c r="AJ22" s="383">
        <f>'Disease burden'!AJ388</f>
        <v>0.08352429428</v>
      </c>
      <c r="AK22" s="383">
        <f>'Disease burden'!AK388</f>
        <v>0.108970206</v>
      </c>
      <c r="AL22" s="383">
        <f>'Disease burden'!AL388</f>
        <v>0.1148108911</v>
      </c>
      <c r="AM22" s="383">
        <f>'Disease burden'!AM388</f>
        <v>0.1148108911</v>
      </c>
      <c r="AN22" s="383">
        <f>'Disease burden'!AN388</f>
        <v>0.1148108911</v>
      </c>
      <c r="AO22" s="383">
        <f>'Disease burden'!AO388</f>
        <v>0.08765625677</v>
      </c>
      <c r="AP22" s="383">
        <f>'Disease burden'!AP388</f>
        <v>0.09622422835</v>
      </c>
      <c r="AQ22" s="383">
        <f>'Disease burden'!AQ388</f>
        <v>0.09116531324</v>
      </c>
      <c r="AR22" s="383">
        <f>'Disease burden'!AR388</f>
        <v>0.06671598947</v>
      </c>
      <c r="AS22" s="383">
        <f>'Disease burden'!AS388</f>
        <v>0.1122708694</v>
      </c>
      <c r="AT22" s="383">
        <f>'Disease burden'!AT388</f>
        <v>0.0947934804</v>
      </c>
      <c r="AU22" s="383">
        <f>'Disease burden'!AU388</f>
        <v>0.1144120014</v>
      </c>
      <c r="AV22" s="383">
        <f>'Disease burden'!AV388</f>
        <v>0.1598644238</v>
      </c>
      <c r="AW22" s="198"/>
    </row>
    <row r="23">
      <c r="A23" s="122"/>
      <c r="B23" s="123"/>
      <c r="C23" s="447"/>
      <c r="D23" s="123"/>
      <c r="E23" s="212" t="s">
        <v>367</v>
      </c>
      <c r="F23" s="213" t="str">
        <f>'Disease burden'!F389</f>
        <v>%</v>
      </c>
      <c r="G23" s="465" t="s">
        <v>173</v>
      </c>
      <c r="H23" s="243" t="str">
        <f>'Disease burden'!H389</f>
        <v>-</v>
      </c>
      <c r="I23" s="241">
        <f>'Disease burden'!I389</f>
        <v>0.07364431546</v>
      </c>
      <c r="J23" s="241">
        <f>'Disease burden'!J389</f>
        <v>0.09622371017</v>
      </c>
      <c r="K23" s="241">
        <f>'Disease burden'!K389</f>
        <v>0.09177259407</v>
      </c>
      <c r="L23" s="383">
        <f>'Disease burden'!L389</f>
        <v>0.1123244321</v>
      </c>
      <c r="M23" s="241">
        <f>'Disease burden'!M389</f>
        <v>0.08557590775</v>
      </c>
      <c r="N23" s="241">
        <f>'Disease burden'!N389</f>
        <v>0.08962916834</v>
      </c>
      <c r="O23" s="241">
        <f>'Disease burden'!O389</f>
        <v>0.1046620826</v>
      </c>
      <c r="P23" s="241">
        <f>'Disease burden'!P389</f>
        <v>0.08002381085</v>
      </c>
      <c r="Q23" s="456">
        <f>'Disease burden'!Q389</f>
        <v>0.08523582556</v>
      </c>
      <c r="R23" s="241">
        <f>'Disease burden'!R389</f>
        <v>0.09083060394</v>
      </c>
      <c r="S23" s="241">
        <f>'Disease burden'!S389</f>
        <v>0.08498153407</v>
      </c>
      <c r="T23" s="241">
        <f>'Disease burden'!T389</f>
        <v>0.1186443774</v>
      </c>
      <c r="U23" s="241">
        <f>'Disease burden'!U389</f>
        <v>0.1311076095</v>
      </c>
      <c r="V23" s="241">
        <f>'Disease burden'!V389</f>
        <v>0.1260971653</v>
      </c>
      <c r="W23" s="241">
        <f>'Disease burden'!W389</f>
        <v>0.09467928776</v>
      </c>
      <c r="X23" s="241">
        <f>'Disease burden'!X389</f>
        <v>0.105435393</v>
      </c>
      <c r="Y23" s="241">
        <f>'Disease burden'!Y389</f>
        <v>0.1301603744</v>
      </c>
      <c r="Z23" s="241">
        <f>'Disease burden'!Z389</f>
        <v>0.1091873021</v>
      </c>
      <c r="AA23" s="241">
        <f>'Disease burden'!AA389</f>
        <v>0.1244135483</v>
      </c>
      <c r="AB23" s="241">
        <f>'Disease burden'!AB389</f>
        <v>0.1119352415</v>
      </c>
      <c r="AC23" s="241">
        <f>'Disease burden'!AC389</f>
        <v>0.09932308177</v>
      </c>
      <c r="AD23" s="241">
        <f>'Disease burden'!AD389</f>
        <v>0.1464363431</v>
      </c>
      <c r="AE23" s="241">
        <f>'Disease burden'!AE389</f>
        <v>0.1112701194</v>
      </c>
      <c r="AF23" s="241">
        <f>'Disease burden'!AF389</f>
        <v>0.1154748351</v>
      </c>
      <c r="AG23" s="241">
        <f>'Disease burden'!AG389</f>
        <v>0.1123244321</v>
      </c>
      <c r="AH23" s="241">
        <f>'Disease burden'!AH389</f>
        <v>0.1835688899</v>
      </c>
      <c r="AI23" s="241">
        <f>'Disease burden'!AI389</f>
        <v>0.1175180704</v>
      </c>
      <c r="AJ23" s="241">
        <f>'Disease burden'!AJ389</f>
        <v>0.1140892107</v>
      </c>
      <c r="AK23" s="241">
        <f>'Disease burden'!AK389</f>
        <v>0.1114146225</v>
      </c>
      <c r="AL23" s="241">
        <f>'Disease burden'!AL389</f>
        <v>0.09725309835</v>
      </c>
      <c r="AM23" s="241">
        <f>'Disease burden'!AM389</f>
        <v>0.09725309835</v>
      </c>
      <c r="AN23" s="241">
        <f>'Disease burden'!AN389</f>
        <v>0.09725309835</v>
      </c>
      <c r="AO23" s="241">
        <f>'Disease burden'!AO389</f>
        <v>0.1108417252</v>
      </c>
      <c r="AP23" s="241">
        <f>'Disease burden'!AP389</f>
        <v>0.09193668948</v>
      </c>
      <c r="AQ23" s="241">
        <f>'Disease burden'!AQ389</f>
        <v>0.1253284141</v>
      </c>
      <c r="AR23" s="241">
        <f>'Disease burden'!AR389</f>
        <v>0.1365398718</v>
      </c>
      <c r="AS23" s="241">
        <f>'Disease burden'!AS389</f>
        <v>0.1006048056</v>
      </c>
      <c r="AT23" s="241">
        <f>'Disease burden'!AT389</f>
        <v>0.1111996677</v>
      </c>
      <c r="AU23" s="241">
        <f>'Disease burden'!AU389</f>
        <v>0.08807155383</v>
      </c>
      <c r="AV23" s="241">
        <f>'Disease burden'!AV389</f>
        <v>0.1145960577</v>
      </c>
      <c r="AW23" s="259"/>
    </row>
    <row r="24">
      <c r="A24" s="122"/>
      <c r="B24" s="123"/>
      <c r="C24" s="447"/>
      <c r="D24" s="123"/>
      <c r="E24" s="212" t="s">
        <v>368</v>
      </c>
      <c r="F24" s="213" t="str">
        <f>'Disease burden'!F390</f>
        <v>%</v>
      </c>
      <c r="G24" s="465" t="s">
        <v>173</v>
      </c>
      <c r="H24" s="243" t="str">
        <f>'Disease burden'!H390</f>
        <v>-</v>
      </c>
      <c r="I24" s="241">
        <f>'Disease burden'!I390</f>
        <v>0.1157267814</v>
      </c>
      <c r="J24" s="241">
        <f>'Disease burden'!J390</f>
        <v>0.1512086874</v>
      </c>
      <c r="K24" s="241">
        <f>'Disease burden'!K390</f>
        <v>0.1442140764</v>
      </c>
      <c r="L24" s="383">
        <f>'Disease burden'!L390</f>
        <v>0.1765098218</v>
      </c>
      <c r="M24" s="241">
        <f>'Disease burden'!M390</f>
        <v>0.1344764265</v>
      </c>
      <c r="N24" s="241">
        <f>'Disease burden'!N390</f>
        <v>0.140845836</v>
      </c>
      <c r="O24" s="241">
        <f>'Disease burden'!O390</f>
        <v>0.1644689869</v>
      </c>
      <c r="P24" s="241">
        <f>'Disease burden'!P390</f>
        <v>0.1257517028</v>
      </c>
      <c r="Q24" s="456">
        <f>'Disease burden'!Q390</f>
        <v>0.1339420116</v>
      </c>
      <c r="R24" s="241">
        <f>'Disease burden'!R390</f>
        <v>0.1427338062</v>
      </c>
      <c r="S24" s="241">
        <f>'Disease burden'!S390</f>
        <v>0.1335424107</v>
      </c>
      <c r="T24" s="241">
        <f>'Disease burden'!T390</f>
        <v>0.1864411644</v>
      </c>
      <c r="U24" s="241">
        <f>'Disease burden'!U390</f>
        <v>0.2060262436</v>
      </c>
      <c r="V24" s="241">
        <f>'Disease burden'!V390</f>
        <v>0.1981526884</v>
      </c>
      <c r="W24" s="241">
        <f>'Disease burden'!W390</f>
        <v>0.1487817379</v>
      </c>
      <c r="X24" s="241">
        <f>'Disease burden'!X390</f>
        <v>0.1656841891</v>
      </c>
      <c r="Y24" s="241">
        <f>'Disease burden'!Y390</f>
        <v>0.2045377312</v>
      </c>
      <c r="Z24" s="241">
        <f>'Disease burden'!Z390</f>
        <v>0.1715800462</v>
      </c>
      <c r="AA24" s="241">
        <f>'Disease burden'!AA390</f>
        <v>0.1955070044</v>
      </c>
      <c r="AB24" s="241">
        <f>'Disease burden'!AB390</f>
        <v>0.1758982367</v>
      </c>
      <c r="AC24" s="241">
        <f>'Disease burden'!AC390</f>
        <v>0.1560791285</v>
      </c>
      <c r="AD24" s="241">
        <f>'Disease burden'!AD390</f>
        <v>0.2301142535</v>
      </c>
      <c r="AE24" s="241">
        <f>'Disease burden'!AE390</f>
        <v>0.1748530448</v>
      </c>
      <c r="AF24" s="241">
        <f>'Disease burden'!AF390</f>
        <v>0.1814604552</v>
      </c>
      <c r="AG24" s="241">
        <f>'Disease burden'!AG390</f>
        <v>0.1765098218</v>
      </c>
      <c r="AH24" s="241">
        <f>'Disease burden'!AH390</f>
        <v>0.2884653984</v>
      </c>
      <c r="AI24" s="241">
        <f>'Disease burden'!AI390</f>
        <v>0.1846712534</v>
      </c>
      <c r="AJ24" s="241">
        <f>'Disease burden'!AJ390</f>
        <v>0.1792830453</v>
      </c>
      <c r="AK24" s="241">
        <f>'Disease burden'!AK390</f>
        <v>0.1750801211</v>
      </c>
      <c r="AL24" s="241">
        <f>'Disease burden'!AL390</f>
        <v>0.1528262974</v>
      </c>
      <c r="AM24" s="241">
        <f>'Disease burden'!AM390</f>
        <v>0.1528262974</v>
      </c>
      <c r="AN24" s="241">
        <f>'Disease burden'!AN390</f>
        <v>0.1528262974</v>
      </c>
      <c r="AO24" s="241">
        <f>'Disease burden'!AO390</f>
        <v>0.1741798538</v>
      </c>
      <c r="AP24" s="241">
        <f>'Disease burden'!AP390</f>
        <v>0.1444719406</v>
      </c>
      <c r="AQ24" s="241">
        <f>'Disease burden'!AQ390</f>
        <v>0.1969446507</v>
      </c>
      <c r="AR24" s="241">
        <f>'Disease burden'!AR390</f>
        <v>0.2145626557</v>
      </c>
      <c r="AS24" s="241">
        <f>'Disease burden'!AS390</f>
        <v>0.158093266</v>
      </c>
      <c r="AT24" s="241">
        <f>'Disease burden'!AT390</f>
        <v>0.174742335</v>
      </c>
      <c r="AU24" s="241">
        <f>'Disease burden'!AU390</f>
        <v>0.138398156</v>
      </c>
      <c r="AV24" s="241">
        <f>'Disease burden'!AV390</f>
        <v>0.1800795193</v>
      </c>
      <c r="AW24" s="259"/>
    </row>
    <row r="25">
      <c r="A25" s="122"/>
      <c r="B25" s="123"/>
      <c r="C25" s="447"/>
      <c r="D25" s="123"/>
      <c r="E25" s="212" t="s">
        <v>369</v>
      </c>
      <c r="F25" s="213" t="str">
        <f>'Disease burden'!F391</f>
        <v>%</v>
      </c>
      <c r="G25" s="465" t="s">
        <v>173</v>
      </c>
      <c r="H25" s="243" t="str">
        <f>'Disease burden'!H391</f>
        <v>-</v>
      </c>
      <c r="I25" s="241">
        <f>'Disease burden'!I391</f>
        <v>0.02104123299</v>
      </c>
      <c r="J25" s="241">
        <f>'Disease burden'!J391</f>
        <v>0.02749248862</v>
      </c>
      <c r="K25" s="241">
        <f>'Disease burden'!K391</f>
        <v>0.02622074116</v>
      </c>
      <c r="L25" s="383">
        <f>'Disease burden'!L391</f>
        <v>0.03209269488</v>
      </c>
      <c r="M25" s="241">
        <f>'Disease burden'!M391</f>
        <v>0.02445025936</v>
      </c>
      <c r="N25" s="241">
        <f>'Disease burden'!N391</f>
        <v>0.02560833381</v>
      </c>
      <c r="O25" s="241">
        <f>'Disease burden'!O391</f>
        <v>0.02990345216</v>
      </c>
      <c r="P25" s="241">
        <f>'Disease burden'!P391</f>
        <v>0.02286394596</v>
      </c>
      <c r="Q25" s="456">
        <f>'Disease burden'!Q391</f>
        <v>0.02435309302</v>
      </c>
      <c r="R25" s="241">
        <f>'Disease burden'!R391</f>
        <v>0.02595160112</v>
      </c>
      <c r="S25" s="241">
        <f>'Disease burden'!S391</f>
        <v>0.0242804383</v>
      </c>
      <c r="T25" s="241">
        <f>'Disease burden'!T391</f>
        <v>0.03389839353</v>
      </c>
      <c r="U25" s="241">
        <f>'Disease burden'!U391</f>
        <v>0.03745931701</v>
      </c>
      <c r="V25" s="241">
        <f>'Disease burden'!V391</f>
        <v>0.03602776152</v>
      </c>
      <c r="W25" s="241">
        <f>'Disease burden'!W391</f>
        <v>0.02705122507</v>
      </c>
      <c r="X25" s="241">
        <f>'Disease burden'!X391</f>
        <v>0.03012439801</v>
      </c>
      <c r="Y25" s="241">
        <f>'Disease burden'!Y391</f>
        <v>0.0371886784</v>
      </c>
      <c r="Z25" s="241">
        <f>'Disease burden'!Z391</f>
        <v>0.03119637203</v>
      </c>
      <c r="AA25" s="241">
        <f>'Disease burden'!AA391</f>
        <v>0.03554672807</v>
      </c>
      <c r="AB25" s="241">
        <f>'Disease burden'!AB391</f>
        <v>0.03198149759</v>
      </c>
      <c r="AC25" s="241">
        <f>'Disease burden'!AC391</f>
        <v>0.02837802336</v>
      </c>
      <c r="AD25" s="241">
        <f>'Disease burden'!AD391</f>
        <v>0.04183895518</v>
      </c>
      <c r="AE25" s="241">
        <f>'Disease burden'!AE391</f>
        <v>0.0317914627</v>
      </c>
      <c r="AF25" s="241">
        <f>'Disease burden'!AF391</f>
        <v>0.03299281003</v>
      </c>
      <c r="AG25" s="241">
        <f>'Disease burden'!AG391</f>
        <v>0.03209269488</v>
      </c>
      <c r="AH25" s="241">
        <f>'Disease burden'!AH391</f>
        <v>0.05244825425</v>
      </c>
      <c r="AI25" s="241">
        <f>'Disease burden'!AI391</f>
        <v>0.03357659153</v>
      </c>
      <c r="AJ25" s="241">
        <f>'Disease burden'!AJ391</f>
        <v>0.03259691733</v>
      </c>
      <c r="AK25" s="241">
        <f>'Disease burden'!AK391</f>
        <v>0.03183274929</v>
      </c>
      <c r="AL25" s="241">
        <f>'Disease burden'!AL391</f>
        <v>0.02778659953</v>
      </c>
      <c r="AM25" s="241">
        <f>'Disease burden'!AM391</f>
        <v>0.02778659953</v>
      </c>
      <c r="AN25" s="241">
        <f>'Disease burden'!AN391</f>
        <v>0.02778659953</v>
      </c>
      <c r="AO25" s="241">
        <f>'Disease burden'!AO391</f>
        <v>0.03166906433</v>
      </c>
      <c r="AP25" s="241">
        <f>'Disease burden'!AP391</f>
        <v>0.02626762557</v>
      </c>
      <c r="AQ25" s="241">
        <f>'Disease burden'!AQ391</f>
        <v>0.03580811831</v>
      </c>
      <c r="AR25" s="241">
        <f>'Disease burden'!AR391</f>
        <v>0.03901139194</v>
      </c>
      <c r="AS25" s="241">
        <f>'Disease burden'!AS391</f>
        <v>0.02874423018</v>
      </c>
      <c r="AT25" s="241">
        <f>'Disease burden'!AT391</f>
        <v>0.03177133364</v>
      </c>
      <c r="AU25" s="241">
        <f>'Disease burden'!AU391</f>
        <v>0.0251633011</v>
      </c>
      <c r="AV25" s="241">
        <f>'Disease burden'!AV391</f>
        <v>0.03274173077</v>
      </c>
      <c r="AW25" s="259"/>
    </row>
    <row r="26">
      <c r="A26" s="122"/>
      <c r="B26" s="123"/>
      <c r="C26" s="447"/>
      <c r="D26" s="123"/>
      <c r="E26" s="212" t="s">
        <v>370</v>
      </c>
      <c r="F26" s="213" t="str">
        <f>'Disease burden'!F392</f>
        <v>%</v>
      </c>
      <c r="G26" s="465" t="s">
        <v>173</v>
      </c>
      <c r="H26" s="243" t="str">
        <f>'Disease burden'!H392</f>
        <v>-</v>
      </c>
      <c r="I26" s="241">
        <f>'Disease burden'!I392</f>
        <v>0.08990052497</v>
      </c>
      <c r="J26" s="241">
        <f>'Disease burden'!J392</f>
        <v>0.101356031</v>
      </c>
      <c r="K26" s="241">
        <f>'Disease burden'!K392</f>
        <v>0.08564804463</v>
      </c>
      <c r="L26" s="383">
        <f>'Disease burden'!L392</f>
        <v>0.1079030006</v>
      </c>
      <c r="M26" s="241">
        <f>'Disease burden'!M392</f>
        <v>0.1109400863</v>
      </c>
      <c r="N26" s="241">
        <f>'Disease burden'!N392</f>
        <v>0.07977539802</v>
      </c>
      <c r="O26" s="241">
        <f>'Disease burden'!O392</f>
        <v>0.07646206579</v>
      </c>
      <c r="P26" s="241">
        <f>'Disease burden'!P392</f>
        <v>0.08359671028</v>
      </c>
      <c r="Q26" s="456">
        <f>'Disease burden'!Q392</f>
        <v>0.06730625974</v>
      </c>
      <c r="R26" s="241">
        <f>'Disease burden'!R392</f>
        <v>0.1247556426</v>
      </c>
      <c r="S26" s="241">
        <f>'Disease burden'!S392</f>
        <v>0.1150239465</v>
      </c>
      <c r="T26" s="241">
        <f>'Disease burden'!T392</f>
        <v>0.1167064137</v>
      </c>
      <c r="U26" s="241">
        <f>'Disease burden'!U392</f>
        <v>0.1278282457</v>
      </c>
      <c r="V26" s="241">
        <f>'Disease burden'!V392</f>
        <v>0.09080436546</v>
      </c>
      <c r="W26" s="241">
        <f>'Disease burden'!W392</f>
        <v>0.10172656</v>
      </c>
      <c r="X26" s="241">
        <f>'Disease burden'!X392</f>
        <v>0.0729101274</v>
      </c>
      <c r="Y26" s="241">
        <f>'Disease burden'!Y392</f>
        <v>0.1063139688</v>
      </c>
      <c r="Z26" s="241">
        <f>'Disease burden'!Z392</f>
        <v>0.122596032</v>
      </c>
      <c r="AA26" s="241">
        <f>'Disease burden'!AA392</f>
        <v>0.1097120303</v>
      </c>
      <c r="AB26" s="241">
        <f>'Disease burden'!AB392</f>
        <v>0.1335345357</v>
      </c>
      <c r="AC26" s="241">
        <f>'Disease burden'!AC392</f>
        <v>0.1233994014</v>
      </c>
      <c r="AD26" s="241">
        <f>'Disease burden'!AD392</f>
        <v>0.1051478179</v>
      </c>
      <c r="AE26" s="241">
        <f>'Disease burden'!AE392</f>
        <v>0.1265856886</v>
      </c>
      <c r="AF26" s="241">
        <f>'Disease burden'!AF392</f>
        <v>0.1313524431</v>
      </c>
      <c r="AG26" s="241">
        <f>'Disease burden'!AG392</f>
        <v>0.1079030006</v>
      </c>
      <c r="AH26" s="241">
        <f>'Disease burden'!AH392</f>
        <v>0.08136266314</v>
      </c>
      <c r="AI26" s="241">
        <f>'Disease burden'!AI392</f>
        <v>0.1036451154</v>
      </c>
      <c r="AJ26" s="241">
        <f>'Disease burden'!AJ392</f>
        <v>0.1217265593</v>
      </c>
      <c r="AK26" s="241">
        <f>'Disease burden'!AK392</f>
        <v>0.1090389157</v>
      </c>
      <c r="AL26" s="241">
        <f>'Disease burden'!AL392</f>
        <v>0.1007271679</v>
      </c>
      <c r="AM26" s="241">
        <f>'Disease burden'!AM392</f>
        <v>0.1007271679</v>
      </c>
      <c r="AN26" s="241">
        <f>'Disease burden'!AN392</f>
        <v>0.1007271679</v>
      </c>
      <c r="AO26" s="241">
        <f>'Disease burden'!AO392</f>
        <v>0.1159764219</v>
      </c>
      <c r="AP26" s="241">
        <f>'Disease burden'!AP392</f>
        <v>0.1366960695</v>
      </c>
      <c r="AQ26" s="241">
        <f>'Disease burden'!AQ392</f>
        <v>0.1060892404</v>
      </c>
      <c r="AR26" s="241">
        <f>'Disease burden'!AR392</f>
        <v>0.1072112159</v>
      </c>
      <c r="AS26" s="241">
        <f>'Disease burden'!AS392</f>
        <v>0.1100165681</v>
      </c>
      <c r="AT26" s="241">
        <f>'Disease burden'!AT392</f>
        <v>0.124846749</v>
      </c>
      <c r="AU26" s="241">
        <f>'Disease burden'!AU392</f>
        <v>0.111926</v>
      </c>
      <c r="AV26" s="241">
        <f>'Disease burden'!AV392</f>
        <v>0.07376110257</v>
      </c>
      <c r="AW26" s="259"/>
    </row>
    <row r="27">
      <c r="A27" s="122"/>
      <c r="B27" s="123"/>
      <c r="C27" s="447"/>
      <c r="D27" s="123"/>
      <c r="E27" s="212" t="s">
        <v>371</v>
      </c>
      <c r="F27" s="213" t="str">
        <f>'Disease burden'!F393</f>
        <v>%</v>
      </c>
      <c r="G27" s="465" t="s">
        <v>173</v>
      </c>
      <c r="H27" s="243" t="str">
        <f>'Disease burden'!H393</f>
        <v>-</v>
      </c>
      <c r="I27" s="241">
        <f>'Disease burden'!I393</f>
        <v>0.1412722535</v>
      </c>
      <c r="J27" s="241">
        <f>'Disease burden'!J393</f>
        <v>0.1592737631</v>
      </c>
      <c r="K27" s="241">
        <f>'Disease burden'!K393</f>
        <v>0.1345897844</v>
      </c>
      <c r="L27" s="383">
        <f>'Disease burden'!L393</f>
        <v>0.169561858</v>
      </c>
      <c r="M27" s="241">
        <f>'Disease burden'!M393</f>
        <v>0.1743344213</v>
      </c>
      <c r="N27" s="241">
        <f>'Disease burden'!N393</f>
        <v>0.1253613397</v>
      </c>
      <c r="O27" s="241">
        <f>'Disease burden'!O393</f>
        <v>0.1201546748</v>
      </c>
      <c r="P27" s="241">
        <f>'Disease burden'!P393</f>
        <v>0.131366259</v>
      </c>
      <c r="Q27" s="456">
        <f>'Disease burden'!Q393</f>
        <v>0.1057669796</v>
      </c>
      <c r="R27" s="241">
        <f>'Disease burden'!R393</f>
        <v>0.1960445812</v>
      </c>
      <c r="S27" s="241">
        <f>'Disease burden'!S393</f>
        <v>0.1807519159</v>
      </c>
      <c r="T27" s="241">
        <f>'Disease burden'!T393</f>
        <v>0.183395793</v>
      </c>
      <c r="U27" s="241">
        <f>'Disease burden'!U393</f>
        <v>0.2008729576</v>
      </c>
      <c r="V27" s="241">
        <f>'Disease burden'!V393</f>
        <v>0.1426925743</v>
      </c>
      <c r="W27" s="241">
        <f>'Disease burden'!W393</f>
        <v>0.1598560228</v>
      </c>
      <c r="X27" s="241">
        <f>'Disease burden'!X393</f>
        <v>0.1145730573</v>
      </c>
      <c r="Y27" s="241">
        <f>'Disease burden'!Y393</f>
        <v>0.1670648081</v>
      </c>
      <c r="Z27" s="241">
        <f>'Disease burden'!Z393</f>
        <v>0.1926509074</v>
      </c>
      <c r="AA27" s="241">
        <f>'Disease burden'!AA393</f>
        <v>0.1724046191</v>
      </c>
      <c r="AB27" s="241">
        <f>'Disease burden'!AB393</f>
        <v>0.2098399847</v>
      </c>
      <c r="AC27" s="241">
        <f>'Disease burden'!AC393</f>
        <v>0.193913345</v>
      </c>
      <c r="AD27" s="241">
        <f>'Disease burden'!AD393</f>
        <v>0.1652322853</v>
      </c>
      <c r="AE27" s="241">
        <f>'Disease burden'!AE393</f>
        <v>0.1989203677</v>
      </c>
      <c r="AF27" s="241">
        <f>'Disease burden'!AF393</f>
        <v>0.2064109821</v>
      </c>
      <c r="AG27" s="241">
        <f>'Disease burden'!AG393</f>
        <v>0.169561858</v>
      </c>
      <c r="AH27" s="241">
        <f>'Disease burden'!AH393</f>
        <v>0.1278556135</v>
      </c>
      <c r="AI27" s="241">
        <f>'Disease burden'!AI393</f>
        <v>0.1628708956</v>
      </c>
      <c r="AJ27" s="241">
        <f>'Disease burden'!AJ393</f>
        <v>0.1912845931</v>
      </c>
      <c r="AK27" s="241">
        <f>'Disease burden'!AK393</f>
        <v>0.1713468676</v>
      </c>
      <c r="AL27" s="241">
        <f>'Disease burden'!AL393</f>
        <v>0.1582855496</v>
      </c>
      <c r="AM27" s="241">
        <f>'Disease burden'!AM393</f>
        <v>0.1582855496</v>
      </c>
      <c r="AN27" s="241">
        <f>'Disease burden'!AN393</f>
        <v>0.1582855496</v>
      </c>
      <c r="AO27" s="241">
        <f>'Disease burden'!AO393</f>
        <v>0.1822486629</v>
      </c>
      <c r="AP27" s="241">
        <f>'Disease burden'!AP393</f>
        <v>0.2148081092</v>
      </c>
      <c r="AQ27" s="241">
        <f>'Disease burden'!AQ393</f>
        <v>0.1667116635</v>
      </c>
      <c r="AR27" s="241">
        <f>'Disease burden'!AR393</f>
        <v>0.1684747678</v>
      </c>
      <c r="AS27" s="241">
        <f>'Disease burden'!AS393</f>
        <v>0.1728831784</v>
      </c>
      <c r="AT27" s="241">
        <f>'Disease burden'!AT393</f>
        <v>0.1961877485</v>
      </c>
      <c r="AU27" s="241">
        <f>'Disease burden'!AU393</f>
        <v>0.1758837142</v>
      </c>
      <c r="AV27" s="241">
        <f>'Disease burden'!AV393</f>
        <v>0.115910304</v>
      </c>
      <c r="AW27" s="259"/>
    </row>
    <row r="28">
      <c r="A28" s="122"/>
      <c r="B28" s="123"/>
      <c r="C28" s="447"/>
      <c r="D28" s="123"/>
      <c r="E28" s="212" t="s">
        <v>372</v>
      </c>
      <c r="F28" s="213" t="str">
        <f>'Disease burden'!F394</f>
        <v>%</v>
      </c>
      <c r="G28" s="465" t="s">
        <v>173</v>
      </c>
      <c r="H28" s="243" t="str">
        <f>'Disease burden'!H394</f>
        <v>-</v>
      </c>
      <c r="I28" s="241">
        <f>'Disease burden'!I394</f>
        <v>0.02568586428</v>
      </c>
      <c r="J28" s="241">
        <f>'Disease burden'!J394</f>
        <v>0.02895886601</v>
      </c>
      <c r="K28" s="241">
        <f>'Disease burden'!K394</f>
        <v>0.02447086989</v>
      </c>
      <c r="L28" s="383">
        <f>'Disease burden'!L394</f>
        <v>0.03082942873</v>
      </c>
      <c r="M28" s="241">
        <f>'Disease burden'!M394</f>
        <v>0.0316971675</v>
      </c>
      <c r="N28" s="241">
        <f>'Disease burden'!N394</f>
        <v>0.02279297086</v>
      </c>
      <c r="O28" s="241">
        <f>'Disease burden'!O394</f>
        <v>0.02184630451</v>
      </c>
      <c r="P28" s="241">
        <f>'Disease burden'!P394</f>
        <v>0.02388477437</v>
      </c>
      <c r="Q28" s="456">
        <f>'Disease burden'!Q394</f>
        <v>0.01923035993</v>
      </c>
      <c r="R28" s="241">
        <f>'Disease burden'!R394</f>
        <v>0.03564446931</v>
      </c>
      <c r="S28" s="241">
        <f>'Disease burden'!S394</f>
        <v>0.03286398471</v>
      </c>
      <c r="T28" s="241">
        <f>'Disease burden'!T394</f>
        <v>0.03334468964</v>
      </c>
      <c r="U28" s="241">
        <f>'Disease burden'!U394</f>
        <v>0.03652235593</v>
      </c>
      <c r="V28" s="241">
        <f>'Disease burden'!V394</f>
        <v>0.02594410442</v>
      </c>
      <c r="W28" s="241">
        <f>'Disease burden'!W394</f>
        <v>0.02906473142</v>
      </c>
      <c r="X28" s="241">
        <f>'Disease burden'!X394</f>
        <v>0.02083146497</v>
      </c>
      <c r="Y28" s="241">
        <f>'Disease burden'!Y394</f>
        <v>0.03037541966</v>
      </c>
      <c r="Z28" s="241">
        <f>'Disease burden'!Z394</f>
        <v>0.03502743772</v>
      </c>
      <c r="AA28" s="241">
        <f>'Disease burden'!AA394</f>
        <v>0.03134629437</v>
      </c>
      <c r="AB28" s="241">
        <f>'Disease burden'!AB394</f>
        <v>0.0381527245</v>
      </c>
      <c r="AC28" s="241">
        <f>'Disease burden'!AC394</f>
        <v>0.03525697182</v>
      </c>
      <c r="AD28" s="241">
        <f>'Disease burden'!AD394</f>
        <v>0.0300422337</v>
      </c>
      <c r="AE28" s="241">
        <f>'Disease burden'!AE394</f>
        <v>0.03616733959</v>
      </c>
      <c r="AF28" s="241">
        <f>'Disease burden'!AF394</f>
        <v>0.03752926947</v>
      </c>
      <c r="AG28" s="241">
        <f>'Disease burden'!AG394</f>
        <v>0.03082942873</v>
      </c>
      <c r="AH28" s="241">
        <f>'Disease burden'!AH394</f>
        <v>0.02324647518</v>
      </c>
      <c r="AI28" s="241">
        <f>'Disease burden'!AI394</f>
        <v>0.0296128901</v>
      </c>
      <c r="AJ28" s="241">
        <f>'Disease burden'!AJ394</f>
        <v>0.03477901693</v>
      </c>
      <c r="AK28" s="241">
        <f>'Disease burden'!AK394</f>
        <v>0.03115397592</v>
      </c>
      <c r="AL28" s="241">
        <f>'Disease burden'!AL394</f>
        <v>0.02877919083</v>
      </c>
      <c r="AM28" s="241">
        <f>'Disease burden'!AM394</f>
        <v>0.02877919083</v>
      </c>
      <c r="AN28" s="241">
        <f>'Disease burden'!AN394</f>
        <v>0.02877919083</v>
      </c>
      <c r="AO28" s="241">
        <f>'Disease burden'!AO394</f>
        <v>0.03313612053</v>
      </c>
      <c r="AP28" s="241">
        <f>'Disease burden'!AP394</f>
        <v>0.03905601986</v>
      </c>
      <c r="AQ28" s="241">
        <f>'Disease burden'!AQ394</f>
        <v>0.03031121155</v>
      </c>
      <c r="AR28" s="241">
        <f>'Disease burden'!AR394</f>
        <v>0.03063177596</v>
      </c>
      <c r="AS28" s="241">
        <f>'Disease burden'!AS394</f>
        <v>0.03143330517</v>
      </c>
      <c r="AT28" s="241">
        <f>'Disease burden'!AT394</f>
        <v>0.03567049972</v>
      </c>
      <c r="AU28" s="241">
        <f>'Disease burden'!AU394</f>
        <v>0.03197885713</v>
      </c>
      <c r="AV28" s="241">
        <f>'Disease burden'!AV394</f>
        <v>0.02107460073</v>
      </c>
      <c r="AW28" s="259"/>
    </row>
    <row r="29">
      <c r="A29" s="122"/>
      <c r="B29" s="123"/>
      <c r="C29" s="447"/>
      <c r="D29" s="123"/>
      <c r="E29" s="212" t="s">
        <v>373</v>
      </c>
      <c r="F29" s="213" t="str">
        <f>'Disease burden'!F395</f>
        <v>%</v>
      </c>
      <c r="G29" s="465" t="s">
        <v>173</v>
      </c>
      <c r="H29" s="243" t="str">
        <f>'Disease burden'!H395</f>
        <v>-</v>
      </c>
      <c r="I29" s="241">
        <f>'Disease burden'!I395</f>
        <v>0.206624529</v>
      </c>
      <c r="J29" s="241">
        <f>'Disease burden'!J395</f>
        <v>0.1910069204</v>
      </c>
      <c r="K29" s="241">
        <f>'Disease burden'!K395</f>
        <v>0.1460189765</v>
      </c>
      <c r="L29" s="383">
        <f>'Disease burden'!L395</f>
        <v>0.1455802518</v>
      </c>
      <c r="M29" s="241">
        <f>'Disease burden'!M395</f>
        <v>0.1943292153</v>
      </c>
      <c r="N29" s="241">
        <f>'Disease burden'!N395</f>
        <v>0.1766873264</v>
      </c>
      <c r="O29" s="241">
        <f>'Disease burden'!O395</f>
        <v>0.1630560414</v>
      </c>
      <c r="P29" s="241">
        <f>'Disease burden'!P395</f>
        <v>0.2024803524</v>
      </c>
      <c r="Q29" s="456">
        <f>'Disease burden'!Q395</f>
        <v>0.1959135838</v>
      </c>
      <c r="R29" s="241">
        <f>'Disease burden'!R395</f>
        <v>0.1949813374</v>
      </c>
      <c r="S29" s="241">
        <f>'Disease burden'!S395</f>
        <v>0.1904127735</v>
      </c>
      <c r="T29" s="241">
        <f>'Disease burden'!T395</f>
        <v>0.1293507849</v>
      </c>
      <c r="U29" s="241">
        <f>'Disease burden'!U395</f>
        <v>0.09795978848</v>
      </c>
      <c r="V29" s="241">
        <f>'Disease burden'!V395</f>
        <v>0.1773467528</v>
      </c>
      <c r="W29" s="241">
        <f>'Disease burden'!W395</f>
        <v>0.2151359249</v>
      </c>
      <c r="X29" s="241">
        <f>'Disease burden'!X395</f>
        <v>0.2230785522</v>
      </c>
      <c r="Y29" s="241">
        <f>'Disease burden'!Y395</f>
        <v>0.1195728431</v>
      </c>
      <c r="Z29" s="241">
        <f>'Disease burden'!Z395</f>
        <v>0.1342316901</v>
      </c>
      <c r="AA29" s="241">
        <f>'Disease burden'!AA395</f>
        <v>0.1289810133</v>
      </c>
      <c r="AB29" s="241">
        <f>'Disease burden'!AB395</f>
        <v>0.1102862744</v>
      </c>
      <c r="AC29" s="241">
        <f>'Disease burden'!AC395</f>
        <v>0.1227840707</v>
      </c>
      <c r="AD29" s="241">
        <f>'Disease burden'!AD395</f>
        <v>0.1030021016</v>
      </c>
      <c r="AE29" s="241">
        <f>'Disease burden'!AE395</f>
        <v>0.1236703915</v>
      </c>
      <c r="AF29" s="241">
        <f>'Disease burden'!AF395</f>
        <v>0.1126934166</v>
      </c>
      <c r="AG29" s="241">
        <f>'Disease burden'!AG395</f>
        <v>0.1455802518</v>
      </c>
      <c r="AH29" s="241">
        <f>'Disease burden'!AH395</f>
        <v>0.08460682046</v>
      </c>
      <c r="AI29" s="241">
        <f>'Disease burden'!AI395</f>
        <v>0.1283228652</v>
      </c>
      <c r="AJ29" s="241">
        <f>'Disease burden'!AJ395</f>
        <v>0.1297521936</v>
      </c>
      <c r="AK29" s="241">
        <f>'Disease burden'!AK395</f>
        <v>0.1463139082</v>
      </c>
      <c r="AL29" s="241">
        <f>'Disease burden'!AL395</f>
        <v>0.1868781779</v>
      </c>
      <c r="AM29" s="241">
        <f>'Disease burden'!AM395</f>
        <v>0.1868781779</v>
      </c>
      <c r="AN29" s="241">
        <f>'Disease burden'!AN395</f>
        <v>0.1868781779</v>
      </c>
      <c r="AO29" s="241">
        <f>'Disease burden'!AO395</f>
        <v>0.1499475863</v>
      </c>
      <c r="AP29" s="241">
        <f>'Disease burden'!AP395</f>
        <v>0.1371718949</v>
      </c>
      <c r="AQ29" s="241">
        <f>'Disease burden'!AQ395</f>
        <v>0.1260070283</v>
      </c>
      <c r="AR29" s="241">
        <f>'Disease burden'!AR395</f>
        <v>0.1172811475</v>
      </c>
      <c r="AS29" s="241">
        <f>'Disease burden'!AS395</f>
        <v>0.1653414167</v>
      </c>
      <c r="AT29" s="241">
        <f>'Disease burden'!AT395</f>
        <v>0.1250663814</v>
      </c>
      <c r="AU29" s="241">
        <f>'Disease burden'!AU395</f>
        <v>0.1958974814</v>
      </c>
      <c r="AV29" s="241">
        <f>'Disease burden'!AV395</f>
        <v>0.1403531075</v>
      </c>
      <c r="AW29" s="259"/>
    </row>
    <row r="30">
      <c r="A30" s="122"/>
      <c r="B30" s="123"/>
      <c r="C30" s="447"/>
      <c r="D30" s="123"/>
      <c r="E30" s="212" t="s">
        <v>374</v>
      </c>
      <c r="F30" s="213" t="str">
        <f>'Disease burden'!F396</f>
        <v>%</v>
      </c>
      <c r="G30" s="465" t="s">
        <v>173</v>
      </c>
      <c r="H30" s="243" t="str">
        <f>'Disease burden'!H396</f>
        <v>-</v>
      </c>
      <c r="I30" s="241">
        <f>'Disease burden'!I396</f>
        <v>0.04132490581</v>
      </c>
      <c r="J30" s="241">
        <f>'Disease burden'!J396</f>
        <v>0.03820138408</v>
      </c>
      <c r="K30" s="241">
        <f>'Disease burden'!K396</f>
        <v>0.0292037953</v>
      </c>
      <c r="L30" s="241">
        <f>'Disease burden'!L396</f>
        <v>0.02911605037</v>
      </c>
      <c r="M30" s="241">
        <f>'Disease burden'!M396</f>
        <v>0.03886584306</v>
      </c>
      <c r="N30" s="241">
        <f>'Disease burden'!N396</f>
        <v>0.03533746528</v>
      </c>
      <c r="O30" s="241">
        <f>'Disease burden'!O396</f>
        <v>0.03261120828</v>
      </c>
      <c r="P30" s="241">
        <f>'Disease burden'!P396</f>
        <v>0.04049607048</v>
      </c>
      <c r="Q30" s="456">
        <f>'Disease burden'!Q396</f>
        <v>0.03918271677</v>
      </c>
      <c r="R30" s="241">
        <f>'Disease burden'!R396</f>
        <v>0.03899626749</v>
      </c>
      <c r="S30" s="241">
        <f>'Disease burden'!S396</f>
        <v>0.0380825547</v>
      </c>
      <c r="T30" s="241">
        <f>'Disease burden'!T396</f>
        <v>0.02587015699</v>
      </c>
      <c r="U30" s="241">
        <f>'Disease burden'!U396</f>
        <v>0.0195919577</v>
      </c>
      <c r="V30" s="241">
        <f>'Disease burden'!V396</f>
        <v>0.03546935057</v>
      </c>
      <c r="W30" s="241">
        <f>'Disease burden'!W396</f>
        <v>0.04302718498</v>
      </c>
      <c r="X30" s="241">
        <f>'Disease burden'!X396</f>
        <v>0.04461571044</v>
      </c>
      <c r="Y30" s="241">
        <f>'Disease burden'!Y396</f>
        <v>0.02391456862</v>
      </c>
      <c r="Z30" s="241">
        <f>'Disease burden'!Z396</f>
        <v>0.02684633801</v>
      </c>
      <c r="AA30" s="241">
        <f>'Disease burden'!AA396</f>
        <v>0.02579620265</v>
      </c>
      <c r="AB30" s="241">
        <f>'Disease burden'!AB396</f>
        <v>0.02205725487</v>
      </c>
      <c r="AC30" s="241">
        <f>'Disease burden'!AC396</f>
        <v>0.02455681414</v>
      </c>
      <c r="AD30" s="241">
        <f>'Disease burden'!AD396</f>
        <v>0.02060042033</v>
      </c>
      <c r="AE30" s="241">
        <f>'Disease burden'!AE396</f>
        <v>0.02473407831</v>
      </c>
      <c r="AF30" s="241">
        <f>'Disease burden'!AF396</f>
        <v>0.02253868331</v>
      </c>
      <c r="AG30" s="241">
        <f>'Disease burden'!AG396</f>
        <v>0.02911605037</v>
      </c>
      <c r="AH30" s="241">
        <f>'Disease burden'!AH396</f>
        <v>0.01692136409</v>
      </c>
      <c r="AI30" s="241">
        <f>'Disease burden'!AI396</f>
        <v>0.02566457303</v>
      </c>
      <c r="AJ30" s="241">
        <f>'Disease burden'!AJ396</f>
        <v>0.02595043872</v>
      </c>
      <c r="AK30" s="241">
        <f>'Disease burden'!AK396</f>
        <v>0.02926278165</v>
      </c>
      <c r="AL30" s="241">
        <f>'Disease burden'!AL396</f>
        <v>0.03737563557</v>
      </c>
      <c r="AM30" s="241">
        <f>'Disease burden'!AM396</f>
        <v>0.03737563557</v>
      </c>
      <c r="AN30" s="241">
        <f>'Disease burden'!AN396</f>
        <v>0.03737563557</v>
      </c>
      <c r="AO30" s="241">
        <f>'Disease burden'!AO396</f>
        <v>0.02998951726</v>
      </c>
      <c r="AP30" s="241">
        <f>'Disease burden'!AP396</f>
        <v>0.02743437898</v>
      </c>
      <c r="AQ30" s="241">
        <f>'Disease burden'!AQ396</f>
        <v>0.02520140567</v>
      </c>
      <c r="AR30" s="241">
        <f>'Disease burden'!AR396</f>
        <v>0.0234562295</v>
      </c>
      <c r="AS30" s="241">
        <f>'Disease burden'!AS396</f>
        <v>0.03306828333</v>
      </c>
      <c r="AT30" s="241">
        <f>'Disease burden'!AT396</f>
        <v>0.02501327627</v>
      </c>
      <c r="AU30" s="241">
        <f>'Disease burden'!AU396</f>
        <v>0.03917949627</v>
      </c>
      <c r="AV30" s="241">
        <f>'Disease burden'!AV396</f>
        <v>0.0280706215</v>
      </c>
      <c r="AW30" s="259"/>
    </row>
    <row r="31">
      <c r="A31" s="122"/>
      <c r="B31" s="123"/>
      <c r="C31" s="447"/>
      <c r="D31" s="123"/>
      <c r="E31" s="212" t="s">
        <v>375</v>
      </c>
      <c r="F31" s="213" t="str">
        <f>'Disease burden'!F398</f>
        <v>%</v>
      </c>
      <c r="G31" s="465" t="s">
        <v>173</v>
      </c>
      <c r="H31" s="243" t="str">
        <f>'Disease burden'!H398</f>
        <v>-</v>
      </c>
      <c r="I31" s="241">
        <f>'Disease burden'!I397</f>
        <v>0.02754993721</v>
      </c>
      <c r="J31" s="241">
        <f>'Disease burden'!J397</f>
        <v>0.02546758938</v>
      </c>
      <c r="K31" s="241">
        <f>'Disease burden'!K397</f>
        <v>0.01946919687</v>
      </c>
      <c r="L31" s="241">
        <f>'Disease burden'!L397</f>
        <v>0.01941070025</v>
      </c>
      <c r="M31" s="241">
        <f>'Disease burden'!M397</f>
        <v>0.02591056204</v>
      </c>
      <c r="N31" s="241">
        <f>'Disease burden'!N397</f>
        <v>0.02355831018</v>
      </c>
      <c r="O31" s="241">
        <f>'Disease burden'!O397</f>
        <v>0.02174080552</v>
      </c>
      <c r="P31" s="241">
        <f>'Disease burden'!P397</f>
        <v>0.02699738032</v>
      </c>
      <c r="Q31" s="456">
        <f>'Disease burden'!Q397</f>
        <v>0.02612181118</v>
      </c>
      <c r="R31" s="241">
        <f>'Disease burden'!R397</f>
        <v>0.02599751166</v>
      </c>
      <c r="S31" s="241">
        <f>'Disease burden'!S397</f>
        <v>0.0253883698</v>
      </c>
      <c r="T31" s="241">
        <f>'Disease burden'!T397</f>
        <v>0.01724677132</v>
      </c>
      <c r="U31" s="241">
        <f>'Disease burden'!U397</f>
        <v>0.01306130513</v>
      </c>
      <c r="V31" s="241">
        <f>'Disease burden'!V397</f>
        <v>0.02364623371</v>
      </c>
      <c r="W31" s="241">
        <f>'Disease burden'!W397</f>
        <v>0.02868478999</v>
      </c>
      <c r="X31" s="241">
        <f>'Disease burden'!X397</f>
        <v>0.02974380696</v>
      </c>
      <c r="Y31" s="241">
        <f>'Disease burden'!Y397</f>
        <v>0.01594304574</v>
      </c>
      <c r="Z31" s="241">
        <f>'Disease burden'!Z397</f>
        <v>0.01789755868</v>
      </c>
      <c r="AA31" s="241">
        <f>'Disease burden'!AA397</f>
        <v>0.01719746844</v>
      </c>
      <c r="AB31" s="241">
        <f>'Disease burden'!AB397</f>
        <v>0.01470483658</v>
      </c>
      <c r="AC31" s="241">
        <f>'Disease burden'!AC397</f>
        <v>0.01637120943</v>
      </c>
      <c r="AD31" s="241">
        <f>'Disease burden'!AD397</f>
        <v>0.01373361355</v>
      </c>
      <c r="AE31" s="241">
        <f>'Disease burden'!AE397</f>
        <v>0.01648938554</v>
      </c>
      <c r="AF31" s="241">
        <f>'Disease burden'!AF397</f>
        <v>0.01502578888</v>
      </c>
      <c r="AG31" s="241">
        <f>'Disease burden'!AG397</f>
        <v>0.01941070025</v>
      </c>
      <c r="AH31" s="241">
        <f>'Disease burden'!AH397</f>
        <v>0.01128090939</v>
      </c>
      <c r="AI31" s="241">
        <f>'Disease burden'!AI397</f>
        <v>0.01710971536</v>
      </c>
      <c r="AJ31" s="241">
        <f>'Disease burden'!AJ397</f>
        <v>0.01730029248</v>
      </c>
      <c r="AK31" s="241">
        <f>'Disease burden'!AK397</f>
        <v>0.0195085211</v>
      </c>
      <c r="AL31" s="241">
        <f>'Disease burden'!AL397</f>
        <v>0.02491709038</v>
      </c>
      <c r="AM31" s="241">
        <f>'Disease burden'!AM397</f>
        <v>0.02491709038</v>
      </c>
      <c r="AN31" s="241">
        <f>'Disease burden'!AN397</f>
        <v>0.02491709038</v>
      </c>
      <c r="AO31" s="241">
        <f>'Disease burden'!AO397</f>
        <v>0.01999301151</v>
      </c>
      <c r="AP31" s="241">
        <f>'Disease burden'!AP397</f>
        <v>0.01828958599</v>
      </c>
      <c r="AQ31" s="241">
        <f>'Disease burden'!AQ397</f>
        <v>0.01680093711</v>
      </c>
      <c r="AR31" s="241">
        <f>'Disease burden'!AR397</f>
        <v>0.01563748634</v>
      </c>
      <c r="AS31" s="241">
        <f>'Disease burden'!AS397</f>
        <v>0.02204552222</v>
      </c>
      <c r="AT31" s="241">
        <f>'Disease burden'!AT397</f>
        <v>0.01667551751</v>
      </c>
      <c r="AU31" s="241">
        <f>'Disease burden'!AU397</f>
        <v>0.02611966418</v>
      </c>
      <c r="AV31" s="241">
        <f>'Disease burden'!AV397</f>
        <v>0.01871374767</v>
      </c>
      <c r="AW31" s="259"/>
    </row>
    <row r="32">
      <c r="A32" s="122"/>
      <c r="B32" s="123"/>
      <c r="C32" s="447"/>
      <c r="D32" s="123"/>
      <c r="E32" s="212" t="s">
        <v>376</v>
      </c>
      <c r="F32" s="213" t="str">
        <f>'Disease burden'!F398</f>
        <v>%</v>
      </c>
      <c r="G32" s="465" t="s">
        <v>173</v>
      </c>
      <c r="H32" s="243" t="str">
        <f>'Disease burden'!H398</f>
        <v>-</v>
      </c>
      <c r="I32" s="241">
        <f>'Disease burden'!I398</f>
        <v>0.07460615085</v>
      </c>
      <c r="J32" s="241">
        <f>'Disease burden'!J398</f>
        <v>0.05711713764</v>
      </c>
      <c r="K32" s="241">
        <f>'Disease burden'!K398</f>
        <v>0.09007219474</v>
      </c>
      <c r="L32" s="241">
        <f>'Disease burden'!L398</f>
        <v>0.0662066086</v>
      </c>
      <c r="M32" s="241">
        <f>'Disease burden'!M398</f>
        <v>0.04405250946</v>
      </c>
      <c r="N32" s="241">
        <f>'Disease burden'!N398</f>
        <v>0.1011255494</v>
      </c>
      <c r="O32" s="241">
        <f>'Disease burden'!O398</f>
        <v>0.1012424106</v>
      </c>
      <c r="P32" s="241">
        <f>'Disease burden'!P398</f>
        <v>0.07792178888</v>
      </c>
      <c r="Q32" s="456">
        <f>'Disease burden'!Q398</f>
        <v>0.09201877719</v>
      </c>
      <c r="R32" s="241">
        <f>'Disease burden'!R398</f>
        <v>0.03552455377</v>
      </c>
      <c r="S32" s="241">
        <f>'Disease burden'!S398</f>
        <v>0.04576203708</v>
      </c>
      <c r="T32" s="241">
        <f>'Disease burden'!T398</f>
        <v>0.0687274182</v>
      </c>
      <c r="U32" s="241">
        <f>'Disease burden'!U398</f>
        <v>0.0471759505</v>
      </c>
      <c r="V32" s="241">
        <f>'Disease burden'!V398</f>
        <v>0.07237393468</v>
      </c>
      <c r="W32" s="241">
        <f>'Disease burden'!W398</f>
        <v>0.04850060422</v>
      </c>
      <c r="X32" s="241">
        <f>'Disease burden'!X398</f>
        <v>0.08830786182</v>
      </c>
      <c r="Y32" s="241">
        <f>'Disease burden'!Y398</f>
        <v>0.07145011373</v>
      </c>
      <c r="Z32" s="241">
        <f>'Disease burden'!Z398</f>
        <v>0.05923352476</v>
      </c>
      <c r="AA32" s="241">
        <f>'Disease burden'!AA398</f>
        <v>0.06022180305</v>
      </c>
      <c r="AB32" s="241">
        <f>'Disease burden'!AB398</f>
        <v>0.05581647437</v>
      </c>
      <c r="AC32" s="241">
        <f>'Disease burden'!AC398</f>
        <v>0.0854589088</v>
      </c>
      <c r="AD32" s="241">
        <f>'Disease burden'!AD398</f>
        <v>0.05733623549</v>
      </c>
      <c r="AE32" s="241">
        <f>'Disease burden'!AE398</f>
        <v>0.0523183394</v>
      </c>
      <c r="AF32" s="241">
        <f>'Disease burden'!AF398</f>
        <v>0.04799325528</v>
      </c>
      <c r="AG32" s="241">
        <f>'Disease burden'!AG398</f>
        <v>0.0662066086</v>
      </c>
      <c r="AH32" s="241">
        <f>'Disease burden'!AH398</f>
        <v>0.06303172599</v>
      </c>
      <c r="AI32" s="241">
        <f>'Disease burden'!AI398</f>
        <v>0.109801654</v>
      </c>
      <c r="AJ32" s="241">
        <f>'Disease burden'!AJ398</f>
        <v>0.06584046946</v>
      </c>
      <c r="AK32" s="241">
        <f>'Disease burden'!AK398</f>
        <v>0.06240636799</v>
      </c>
      <c r="AL32" s="241">
        <f>'Disease burden'!AL398</f>
        <v>0.06645139583</v>
      </c>
      <c r="AM32" s="241">
        <f>'Disease burden'!AM398</f>
        <v>0.06645139583</v>
      </c>
      <c r="AN32" s="241">
        <f>'Disease burden'!AN398</f>
        <v>0.06645139583</v>
      </c>
      <c r="AO32" s="241">
        <f>'Disease burden'!AO398</f>
        <v>0.06078612507</v>
      </c>
      <c r="AP32" s="241">
        <f>'Disease burden'!AP398</f>
        <v>0.06388548772</v>
      </c>
      <c r="AQ32" s="241">
        <f>'Disease burden'!AQ398</f>
        <v>0.0752080161</v>
      </c>
      <c r="AR32" s="241">
        <f>'Disease burden'!AR398</f>
        <v>0.07600649775</v>
      </c>
      <c r="AS32" s="241">
        <f>'Disease burden'!AS398</f>
        <v>0.06185974634</v>
      </c>
      <c r="AT32" s="241">
        <f>'Disease burden'!AT398</f>
        <v>0.0604756214</v>
      </c>
      <c r="AU32" s="241">
        <f>'Disease burden'!AU398</f>
        <v>0.05002700932</v>
      </c>
      <c r="AV32" s="241">
        <f>'Disease burden'!AV398</f>
        <v>0.1084550742</v>
      </c>
      <c r="AW32" s="259"/>
    </row>
    <row r="33">
      <c r="A33" s="122"/>
      <c r="B33" s="123"/>
      <c r="C33" s="447"/>
      <c r="D33" s="123"/>
      <c r="E33" s="199" t="s">
        <v>377</v>
      </c>
      <c r="F33" s="200" t="str">
        <f>'Disease burden'!F399</f>
        <v>%</v>
      </c>
      <c r="G33" s="466" t="s">
        <v>173</v>
      </c>
      <c r="H33" s="467" t="str">
        <f>'Disease burden'!H399</f>
        <v>-</v>
      </c>
      <c r="I33" s="385">
        <f>'Disease burden'!I399</f>
        <v>0.004388597109</v>
      </c>
      <c r="J33" s="385">
        <f>'Disease burden'!J399</f>
        <v>0.003359831626</v>
      </c>
      <c r="K33" s="385">
        <f>'Disease burden'!K399</f>
        <v>0.005298364397</v>
      </c>
      <c r="L33" s="385">
        <f>'Disease burden'!L399</f>
        <v>0.003894506389</v>
      </c>
      <c r="M33" s="385">
        <f>'Disease burden'!M399</f>
        <v>0.002591324086</v>
      </c>
      <c r="N33" s="385">
        <f>'Disease burden'!N399</f>
        <v>0.005948561727</v>
      </c>
      <c r="O33" s="385">
        <f>'Disease burden'!O399</f>
        <v>0.005955435919</v>
      </c>
      <c r="P33" s="385">
        <f>'Disease burden'!P399</f>
        <v>0.00458363464</v>
      </c>
      <c r="Q33" s="462">
        <f>'Disease burden'!Q399</f>
        <v>0.005412869246</v>
      </c>
      <c r="R33" s="385">
        <f>'Disease burden'!R399</f>
        <v>0.002089679633</v>
      </c>
      <c r="S33" s="385">
        <f>'Disease burden'!S399</f>
        <v>0.002691884534</v>
      </c>
      <c r="T33" s="385">
        <f>'Disease burden'!T399</f>
        <v>0.004042789306</v>
      </c>
      <c r="U33" s="385">
        <f>'Disease burden'!U399</f>
        <v>0.002775055912</v>
      </c>
      <c r="V33" s="385">
        <f>'Disease burden'!V399</f>
        <v>0.004257290275</v>
      </c>
      <c r="W33" s="385">
        <f>'Disease burden'!W399</f>
        <v>0.002852976719</v>
      </c>
      <c r="X33" s="385">
        <f>'Disease burden'!X399</f>
        <v>0.005194580107</v>
      </c>
      <c r="Y33" s="385">
        <f>'Disease burden'!Y399</f>
        <v>0.004202947867</v>
      </c>
      <c r="Z33" s="385">
        <f>'Disease burden'!Z399</f>
        <v>0.003484324986</v>
      </c>
      <c r="AA33" s="385">
        <f>'Disease burden'!AA399</f>
        <v>0.003542459003</v>
      </c>
      <c r="AB33" s="385">
        <f>'Disease burden'!AB399</f>
        <v>0.003283322022</v>
      </c>
      <c r="AC33" s="385">
        <f>'Disease burden'!AC399</f>
        <v>0.005026994635</v>
      </c>
      <c r="AD33" s="385">
        <f>'Disease burden'!AD399</f>
        <v>0.003372719735</v>
      </c>
      <c r="AE33" s="385">
        <f>'Disease burden'!AE399</f>
        <v>0.003077549376</v>
      </c>
      <c r="AF33" s="385">
        <f>'Disease burden'!AF399</f>
        <v>0.002823132664</v>
      </c>
      <c r="AG33" s="385">
        <f>'Disease burden'!AG399</f>
        <v>0.003894506389</v>
      </c>
      <c r="AH33" s="385">
        <f>'Disease burden'!AH399</f>
        <v>0.003707748588</v>
      </c>
      <c r="AI33" s="385">
        <f>'Disease burden'!AI399</f>
        <v>0.006458920824</v>
      </c>
      <c r="AJ33" s="385">
        <f>'Disease burden'!AJ399</f>
        <v>0.003872968792</v>
      </c>
      <c r="AK33" s="385">
        <f>'Disease burden'!AK399</f>
        <v>0.003670962823</v>
      </c>
      <c r="AL33" s="385">
        <f>'Disease burden'!AL399</f>
        <v>0.003908905637</v>
      </c>
      <c r="AM33" s="385">
        <f>'Disease burden'!AM399</f>
        <v>0.003908905637</v>
      </c>
      <c r="AN33" s="385">
        <f>'Disease burden'!AN399</f>
        <v>0.003908905637</v>
      </c>
      <c r="AO33" s="385">
        <f>'Disease burden'!AO399</f>
        <v>0.003575654416</v>
      </c>
      <c r="AP33" s="385">
        <f>'Disease burden'!AP399</f>
        <v>0.003757969866</v>
      </c>
      <c r="AQ33" s="385">
        <f>'Disease burden'!AQ399</f>
        <v>0.004424000947</v>
      </c>
      <c r="AR33" s="385">
        <f>'Disease burden'!AR399</f>
        <v>0.004470970456</v>
      </c>
      <c r="AS33" s="385">
        <f>'Disease burden'!AS399</f>
        <v>0.003638808608</v>
      </c>
      <c r="AT33" s="385">
        <f>'Disease burden'!AT399</f>
        <v>0.003557389494</v>
      </c>
      <c r="AU33" s="385">
        <f>'Disease burden'!AU399</f>
        <v>0.002942765254</v>
      </c>
      <c r="AV33" s="385">
        <f>'Disease burden'!AV399</f>
        <v>0.006379710245</v>
      </c>
      <c r="AW33" s="274"/>
    </row>
    <row r="34">
      <c r="A34" s="122"/>
      <c r="B34" s="123"/>
      <c r="C34" s="445"/>
      <c r="D34" s="123"/>
      <c r="E34" s="124"/>
      <c r="F34" s="125"/>
      <c r="G34" s="126"/>
      <c r="H34" s="127"/>
      <c r="I34" s="128"/>
      <c r="J34" s="128"/>
      <c r="K34" s="128"/>
      <c r="L34" s="128"/>
      <c r="M34" s="128"/>
      <c r="N34" s="128"/>
      <c r="O34" s="128"/>
      <c r="P34" s="128"/>
      <c r="Q34" s="446"/>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3"/>
      <c r="B35" s="123"/>
      <c r="C35" s="450" t="s">
        <v>378</v>
      </c>
      <c r="F35" s="125"/>
      <c r="G35" s="125"/>
      <c r="H35" s="127"/>
      <c r="I35" s="128"/>
      <c r="J35" s="128"/>
      <c r="K35" s="128"/>
      <c r="L35" s="128"/>
      <c r="M35" s="128"/>
      <c r="N35" s="128"/>
      <c r="O35" s="128"/>
      <c r="P35" s="128"/>
      <c r="Q35" s="446"/>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445"/>
      <c r="D36" s="123"/>
      <c r="E36" s="140" t="s">
        <v>172</v>
      </c>
      <c r="F36" s="141" t="s">
        <v>72</v>
      </c>
      <c r="G36" s="468" t="s">
        <v>161</v>
      </c>
      <c r="H36" s="188" t="s">
        <v>162</v>
      </c>
      <c r="I36" s="317">
        <f t="shared" ref="I36:AV36" si="1">SUMPRODUCT(I8:I19,I22:I33)</f>
        <v>0.4636705608</v>
      </c>
      <c r="J36" s="317">
        <f t="shared" si="1"/>
        <v>0.6201244767</v>
      </c>
      <c r="K36" s="317">
        <f t="shared" si="1"/>
        <v>0.5448827819</v>
      </c>
      <c r="L36" s="317">
        <f t="shared" si="1"/>
        <v>0.5453877686</v>
      </c>
      <c r="M36" s="317">
        <f t="shared" si="1"/>
        <v>0.512468734</v>
      </c>
      <c r="N36" s="317">
        <f t="shared" si="1"/>
        <v>0.4341928647</v>
      </c>
      <c r="O36" s="317">
        <f t="shared" si="1"/>
        <v>0.3339289426</v>
      </c>
      <c r="P36" s="317">
        <f t="shared" si="1"/>
        <v>0.2463694441</v>
      </c>
      <c r="Q36" s="317">
        <f t="shared" si="1"/>
        <v>0.3972171331</v>
      </c>
      <c r="R36" s="317">
        <f t="shared" si="1"/>
        <v>0.854188061</v>
      </c>
      <c r="S36" s="317">
        <f t="shared" si="1"/>
        <v>0.8136765875</v>
      </c>
      <c r="T36" s="317">
        <f t="shared" si="1"/>
        <v>0.8177774155</v>
      </c>
      <c r="U36" s="317">
        <f t="shared" si="1"/>
        <v>0.781413806</v>
      </c>
      <c r="V36" s="317">
        <f t="shared" si="1"/>
        <v>0.7516639231</v>
      </c>
      <c r="W36" s="317">
        <f t="shared" si="1"/>
        <v>0.7508200791</v>
      </c>
      <c r="X36" s="317">
        <f t="shared" si="1"/>
        <v>0.4860043731</v>
      </c>
      <c r="Y36" s="317">
        <f t="shared" si="1"/>
        <v>0.8988540628</v>
      </c>
      <c r="Z36" s="317">
        <f t="shared" si="1"/>
        <v>0.7679851262</v>
      </c>
      <c r="AA36" s="317">
        <f t="shared" si="1"/>
        <v>0.9855075884</v>
      </c>
      <c r="AB36" s="317">
        <f t="shared" si="1"/>
        <v>0.8808880587</v>
      </c>
      <c r="AC36" s="317">
        <f t="shared" si="1"/>
        <v>0.9316279853</v>
      </c>
      <c r="AD36" s="317">
        <f t="shared" si="1"/>
        <v>0.9581146002</v>
      </c>
      <c r="AE36" s="317">
        <f t="shared" si="1"/>
        <v>0.8870877035</v>
      </c>
      <c r="AF36" s="317">
        <f t="shared" si="1"/>
        <v>0.9159497267</v>
      </c>
      <c r="AG36" s="317">
        <f t="shared" si="1"/>
        <v>0.6858085438</v>
      </c>
      <c r="AH36" s="317">
        <f t="shared" si="1"/>
        <v>0.7782377371</v>
      </c>
      <c r="AI36" s="317">
        <f t="shared" si="1"/>
        <v>0.6351002184</v>
      </c>
      <c r="AJ36" s="317">
        <f t="shared" si="1"/>
        <v>0.9000166736</v>
      </c>
      <c r="AK36" s="317">
        <f t="shared" si="1"/>
        <v>0.6684307237</v>
      </c>
      <c r="AL36" s="317">
        <f t="shared" si="1"/>
        <v>0.5646606581</v>
      </c>
      <c r="AM36" s="317">
        <f t="shared" si="1"/>
        <v>0.5083273833</v>
      </c>
      <c r="AN36" s="317">
        <f t="shared" si="1"/>
        <v>0.6736168624</v>
      </c>
      <c r="AO36" s="317">
        <f t="shared" si="1"/>
        <v>0.6021099332</v>
      </c>
      <c r="AP36" s="317">
        <f t="shared" si="1"/>
        <v>0.6915853348</v>
      </c>
      <c r="AQ36" s="317">
        <f t="shared" si="1"/>
        <v>0.8690855449</v>
      </c>
      <c r="AR36" s="317">
        <f t="shared" si="1"/>
        <v>0.6823086496</v>
      </c>
      <c r="AS36" s="317">
        <f t="shared" si="1"/>
        <v>0.7591351754</v>
      </c>
      <c r="AT36" s="317">
        <f t="shared" si="1"/>
        <v>0.8693065942</v>
      </c>
      <c r="AU36" s="317">
        <f t="shared" si="1"/>
        <v>0.6770380619</v>
      </c>
      <c r="AV36" s="317">
        <f t="shared" si="1"/>
        <v>0.5716601574</v>
      </c>
      <c r="AW36" s="130"/>
    </row>
    <row r="37">
      <c r="A37" s="122"/>
      <c r="B37" s="123"/>
      <c r="C37" s="445"/>
      <c r="D37" s="469"/>
      <c r="E37" s="470" t="s">
        <v>379</v>
      </c>
      <c r="F37" s="213" t="s">
        <v>72</v>
      </c>
      <c r="G37" s="465" t="s">
        <v>161</v>
      </c>
      <c r="H37" s="240"/>
      <c r="I37" s="241">
        <f t="shared" ref="I37:AV37" si="2">1-I36</f>
        <v>0.5363294392</v>
      </c>
      <c r="J37" s="241">
        <f t="shared" si="2"/>
        <v>0.3798755233</v>
      </c>
      <c r="K37" s="241">
        <f t="shared" si="2"/>
        <v>0.4551172181</v>
      </c>
      <c r="L37" s="241">
        <f t="shared" si="2"/>
        <v>0.4546122314</v>
      </c>
      <c r="M37" s="241">
        <f t="shared" si="2"/>
        <v>0.487531266</v>
      </c>
      <c r="N37" s="241">
        <f t="shared" si="2"/>
        <v>0.5658071353</v>
      </c>
      <c r="O37" s="241">
        <f t="shared" si="2"/>
        <v>0.6660710574</v>
      </c>
      <c r="P37" s="241">
        <f t="shared" si="2"/>
        <v>0.7536305559</v>
      </c>
      <c r="Q37" s="456">
        <f t="shared" si="2"/>
        <v>0.6027828669</v>
      </c>
      <c r="R37" s="241">
        <f t="shared" si="2"/>
        <v>0.145811939</v>
      </c>
      <c r="S37" s="241">
        <f t="shared" si="2"/>
        <v>0.1863234125</v>
      </c>
      <c r="T37" s="241">
        <f t="shared" si="2"/>
        <v>0.1822225845</v>
      </c>
      <c r="U37" s="241">
        <f t="shared" si="2"/>
        <v>0.218586194</v>
      </c>
      <c r="V37" s="241">
        <f t="shared" si="2"/>
        <v>0.2483360769</v>
      </c>
      <c r="W37" s="241">
        <f t="shared" si="2"/>
        <v>0.2491799209</v>
      </c>
      <c r="X37" s="241">
        <f t="shared" si="2"/>
        <v>0.5139956269</v>
      </c>
      <c r="Y37" s="241">
        <f t="shared" si="2"/>
        <v>0.1011459372</v>
      </c>
      <c r="Z37" s="241">
        <f t="shared" si="2"/>
        <v>0.2320148738</v>
      </c>
      <c r="AA37" s="241">
        <f t="shared" si="2"/>
        <v>0.0144924116</v>
      </c>
      <c r="AB37" s="241">
        <f t="shared" si="2"/>
        <v>0.1191119413</v>
      </c>
      <c r="AC37" s="241">
        <f t="shared" si="2"/>
        <v>0.06837201474</v>
      </c>
      <c r="AD37" s="241">
        <f t="shared" si="2"/>
        <v>0.04188539982</v>
      </c>
      <c r="AE37" s="241">
        <f t="shared" si="2"/>
        <v>0.1129122965</v>
      </c>
      <c r="AF37" s="241">
        <f t="shared" si="2"/>
        <v>0.08405027331</v>
      </c>
      <c r="AG37" s="241">
        <f t="shared" si="2"/>
        <v>0.3141914562</v>
      </c>
      <c r="AH37" s="241">
        <f t="shared" si="2"/>
        <v>0.2217622629</v>
      </c>
      <c r="AI37" s="241">
        <f t="shared" si="2"/>
        <v>0.3648997816</v>
      </c>
      <c r="AJ37" s="241">
        <f t="shared" si="2"/>
        <v>0.09998332642</v>
      </c>
      <c r="AK37" s="241">
        <f t="shared" si="2"/>
        <v>0.3315692763</v>
      </c>
      <c r="AL37" s="241">
        <f t="shared" si="2"/>
        <v>0.4353393419</v>
      </c>
      <c r="AM37" s="241">
        <f t="shared" si="2"/>
        <v>0.4916726167</v>
      </c>
      <c r="AN37" s="241">
        <f t="shared" si="2"/>
        <v>0.3263831376</v>
      </c>
      <c r="AO37" s="241">
        <f t="shared" si="2"/>
        <v>0.3978900668</v>
      </c>
      <c r="AP37" s="241">
        <f t="shared" si="2"/>
        <v>0.3084146652</v>
      </c>
      <c r="AQ37" s="241">
        <f t="shared" si="2"/>
        <v>0.1309144551</v>
      </c>
      <c r="AR37" s="241">
        <f t="shared" si="2"/>
        <v>0.3176913504</v>
      </c>
      <c r="AS37" s="241">
        <f t="shared" si="2"/>
        <v>0.2408648246</v>
      </c>
      <c r="AT37" s="241">
        <f t="shared" si="2"/>
        <v>0.1306934058</v>
      </c>
      <c r="AU37" s="241">
        <f t="shared" si="2"/>
        <v>0.3229619381</v>
      </c>
      <c r="AV37" s="241">
        <f t="shared" si="2"/>
        <v>0.4283398426</v>
      </c>
      <c r="AW37" s="259"/>
    </row>
    <row r="38">
      <c r="A38" s="122"/>
      <c r="B38" s="123"/>
      <c r="C38" s="445"/>
      <c r="D38" s="123"/>
      <c r="E38" s="471" t="s">
        <v>380</v>
      </c>
      <c r="F38" s="141" t="s">
        <v>62</v>
      </c>
      <c r="G38" s="468" t="s">
        <v>173</v>
      </c>
      <c r="H38" s="188"/>
      <c r="I38" s="472">
        <f>'Vaccine coverage'!I15</f>
        <v>2022</v>
      </c>
      <c r="J38" s="472">
        <f>'Vaccine coverage'!J15</f>
        <v>2022.5</v>
      </c>
      <c r="K38" s="472">
        <f>'Vaccine coverage'!K15</f>
        <v>2021.5</v>
      </c>
      <c r="L38" s="472">
        <f>'Vaccine coverage'!L15</f>
        <v>2023</v>
      </c>
      <c r="M38" s="472">
        <f>'Vaccine coverage'!M15</f>
        <v>2022.5</v>
      </c>
      <c r="N38" s="473">
        <f>'Vaccine coverage'!N15</f>
        <v>2021.264706</v>
      </c>
      <c r="O38" s="472">
        <f>'Vaccine coverage'!O15</f>
        <v>2023</v>
      </c>
      <c r="P38" s="473">
        <f>'Vaccine coverage'!P15</f>
        <v>2021.913043</v>
      </c>
      <c r="Q38" s="474">
        <f>'Vaccine coverage'!Q15</f>
        <v>2021.107143</v>
      </c>
      <c r="R38" s="472">
        <f>'Vaccine coverage'!R15</f>
        <v>2021</v>
      </c>
      <c r="S38" s="472">
        <f>'Vaccine coverage'!S15</f>
        <v>2023</v>
      </c>
      <c r="T38" s="472">
        <f>'Vaccine coverage'!T15</f>
        <v>2021</v>
      </c>
      <c r="U38" s="472">
        <f>'Vaccine coverage'!U15</f>
        <v>2021</v>
      </c>
      <c r="V38" s="472">
        <f>'Vaccine coverage'!V15</f>
        <v>2021</v>
      </c>
      <c r="W38" s="472">
        <f>'Vaccine coverage'!W15</f>
        <v>2021</v>
      </c>
      <c r="X38" s="472">
        <f>'Vaccine coverage'!X15</f>
        <v>2021</v>
      </c>
      <c r="Y38" s="472">
        <f>'Vaccine coverage'!Y15</f>
        <v>2021</v>
      </c>
      <c r="Z38" s="472">
        <f>'Vaccine coverage'!Z15</f>
        <v>2021</v>
      </c>
      <c r="AA38" s="472">
        <f>'Vaccine coverage'!AA15</f>
        <v>2021</v>
      </c>
      <c r="AB38" s="472">
        <f>'Vaccine coverage'!AB15</f>
        <v>2021</v>
      </c>
      <c r="AC38" s="472">
        <f>'Vaccine coverage'!AC15</f>
        <v>2021</v>
      </c>
      <c r="AD38" s="472">
        <f>'Vaccine coverage'!AD15</f>
        <v>2021</v>
      </c>
      <c r="AE38" s="472">
        <f>'Vaccine coverage'!AE15</f>
        <v>2021</v>
      </c>
      <c r="AF38" s="472">
        <f>'Vaccine coverage'!AF15</f>
        <v>2021</v>
      </c>
      <c r="AG38" s="472">
        <f>'Vaccine coverage'!AG15</f>
        <v>2023</v>
      </c>
      <c r="AH38" s="472">
        <f>'Vaccine coverage'!AH15</f>
        <v>2021</v>
      </c>
      <c r="AI38" s="472">
        <f>'Vaccine coverage'!AI15</f>
        <v>2021</v>
      </c>
      <c r="AJ38" s="472">
        <f>'Vaccine coverage'!AJ15</f>
        <v>2021</v>
      </c>
      <c r="AK38" s="472">
        <f>'Vaccine coverage'!AK15</f>
        <v>2021</v>
      </c>
      <c r="AL38" s="472">
        <f>'Vaccine coverage'!AL15</f>
        <v>2024</v>
      </c>
      <c r="AM38" s="472">
        <f>'Vaccine coverage'!AM15</f>
        <v>2024</v>
      </c>
      <c r="AN38" s="472">
        <f>'Vaccine coverage'!AN15</f>
        <v>2024</v>
      </c>
      <c r="AO38" s="472">
        <f>'Vaccine coverage'!AO15</f>
        <v>2021</v>
      </c>
      <c r="AP38" s="472">
        <f>'Vaccine coverage'!AP15</f>
        <v>2021</v>
      </c>
      <c r="AQ38" s="472">
        <f>'Vaccine coverage'!AQ15</f>
        <v>2021</v>
      </c>
      <c r="AR38" s="472">
        <f>'Vaccine coverage'!AR15</f>
        <v>2021</v>
      </c>
      <c r="AS38" s="472">
        <f>'Vaccine coverage'!AS15</f>
        <v>2021</v>
      </c>
      <c r="AT38" s="472">
        <f>'Vaccine coverage'!AT15</f>
        <v>2021</v>
      </c>
      <c r="AU38" s="473">
        <f>'Vaccine coverage'!AU15</f>
        <v>2022.6875</v>
      </c>
      <c r="AV38" s="473">
        <f>'Vaccine coverage'!AV15</f>
        <v>2023.647059</v>
      </c>
      <c r="AW38" s="130"/>
    </row>
    <row r="39">
      <c r="A39" s="122"/>
      <c r="B39" s="123"/>
      <c r="C39" s="445"/>
      <c r="D39" s="123"/>
      <c r="E39" s="475" t="s">
        <v>381</v>
      </c>
      <c r="F39" s="213" t="s">
        <v>72</v>
      </c>
      <c r="G39" s="465" t="s">
        <v>165</v>
      </c>
      <c r="H39" s="215">
        <f>Inputs!H80</f>
        <v>-0.05</v>
      </c>
      <c r="I39" s="476" t="s">
        <v>162</v>
      </c>
      <c r="J39" s="476" t="s">
        <v>162</v>
      </c>
      <c r="K39" s="476" t="s">
        <v>162</v>
      </c>
      <c r="L39" s="476" t="s">
        <v>162</v>
      </c>
      <c r="M39" s="476" t="s">
        <v>162</v>
      </c>
      <c r="N39" s="476" t="s">
        <v>162</v>
      </c>
      <c r="O39" s="476" t="s">
        <v>162</v>
      </c>
      <c r="P39" s="476" t="s">
        <v>162</v>
      </c>
      <c r="Q39" s="477" t="s">
        <v>162</v>
      </c>
      <c r="R39" s="476" t="s">
        <v>162</v>
      </c>
      <c r="S39" s="476" t="s">
        <v>162</v>
      </c>
      <c r="T39" s="476" t="s">
        <v>162</v>
      </c>
      <c r="U39" s="476" t="s">
        <v>162</v>
      </c>
      <c r="V39" s="476" t="s">
        <v>162</v>
      </c>
      <c r="W39" s="476" t="s">
        <v>162</v>
      </c>
      <c r="X39" s="476" t="s">
        <v>162</v>
      </c>
      <c r="Y39" s="476" t="s">
        <v>162</v>
      </c>
      <c r="Z39" s="476" t="s">
        <v>162</v>
      </c>
      <c r="AA39" s="476" t="s">
        <v>162</v>
      </c>
      <c r="AB39" s="476" t="s">
        <v>162</v>
      </c>
      <c r="AC39" s="476" t="s">
        <v>162</v>
      </c>
      <c r="AD39" s="476" t="s">
        <v>162</v>
      </c>
      <c r="AE39" s="476" t="s">
        <v>162</v>
      </c>
      <c r="AF39" s="476" t="s">
        <v>162</v>
      </c>
      <c r="AG39" s="476" t="s">
        <v>162</v>
      </c>
      <c r="AH39" s="476" t="s">
        <v>162</v>
      </c>
      <c r="AI39" s="476" t="s">
        <v>162</v>
      </c>
      <c r="AJ39" s="476" t="s">
        <v>162</v>
      </c>
      <c r="AK39" s="476" t="s">
        <v>162</v>
      </c>
      <c r="AL39" s="476" t="s">
        <v>162</v>
      </c>
      <c r="AM39" s="476" t="s">
        <v>162</v>
      </c>
      <c r="AN39" s="476" t="s">
        <v>162</v>
      </c>
      <c r="AO39" s="476" t="s">
        <v>162</v>
      </c>
      <c r="AP39" s="476" t="s">
        <v>162</v>
      </c>
      <c r="AQ39" s="476" t="s">
        <v>162</v>
      </c>
      <c r="AR39" s="476" t="s">
        <v>162</v>
      </c>
      <c r="AS39" s="476" t="s">
        <v>162</v>
      </c>
      <c r="AT39" s="476" t="s">
        <v>162</v>
      </c>
      <c r="AU39" s="476" t="s">
        <v>162</v>
      </c>
      <c r="AV39" s="476" t="s">
        <v>162</v>
      </c>
      <c r="AW39" s="259"/>
    </row>
    <row r="40">
      <c r="A40" s="122"/>
      <c r="B40" s="123"/>
      <c r="C40" s="445"/>
      <c r="D40" s="123"/>
      <c r="E40" s="471" t="s">
        <v>382</v>
      </c>
      <c r="F40" s="141" t="s">
        <v>62</v>
      </c>
      <c r="G40" s="468" t="s">
        <v>165</v>
      </c>
      <c r="H40" s="188">
        <v>2026.0</v>
      </c>
      <c r="I40" s="317"/>
      <c r="J40" s="317"/>
      <c r="K40" s="317"/>
      <c r="L40" s="317"/>
      <c r="M40" s="317"/>
      <c r="N40" s="317"/>
      <c r="O40" s="317"/>
      <c r="P40" s="317"/>
      <c r="Q40" s="449"/>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130"/>
    </row>
    <row r="41">
      <c r="A41" s="122"/>
      <c r="B41" s="123"/>
      <c r="C41" s="445"/>
      <c r="D41" s="123"/>
      <c r="E41" s="478" t="s">
        <v>383</v>
      </c>
      <c r="F41" s="213" t="s">
        <v>72</v>
      </c>
      <c r="G41" s="465" t="s">
        <v>161</v>
      </c>
      <c r="H41" s="240"/>
      <c r="I41" s="241">
        <f t="shared" ref="I41:AV41" si="3">I37*(1+$H$39)^($H$40-I38)</f>
        <v>0.4368436803</v>
      </c>
      <c r="J41" s="241">
        <f t="shared" si="3"/>
        <v>0.3174489755</v>
      </c>
      <c r="K41" s="241">
        <f t="shared" si="3"/>
        <v>0.3613095908</v>
      </c>
      <c r="L41" s="241">
        <f t="shared" si="3"/>
        <v>0.3897731619</v>
      </c>
      <c r="M41" s="241">
        <f t="shared" si="3"/>
        <v>0.4074131958</v>
      </c>
      <c r="N41" s="241">
        <f t="shared" si="3"/>
        <v>0.4437957502</v>
      </c>
      <c r="O41" s="241">
        <f t="shared" si="3"/>
        <v>0.5710726729</v>
      </c>
      <c r="P41" s="241">
        <f t="shared" si="3"/>
        <v>0.6111050068</v>
      </c>
      <c r="Q41" s="456">
        <f t="shared" si="3"/>
        <v>0.4689922679</v>
      </c>
      <c r="R41" s="241">
        <f t="shared" si="3"/>
        <v>0.1128264989</v>
      </c>
      <c r="S41" s="241">
        <f t="shared" si="3"/>
        <v>0.1597490358</v>
      </c>
      <c r="T41" s="241">
        <f t="shared" si="3"/>
        <v>0.1410003623</v>
      </c>
      <c r="U41" s="241">
        <f t="shared" si="3"/>
        <v>0.1691378301</v>
      </c>
      <c r="V41" s="241">
        <f t="shared" si="3"/>
        <v>0.1921577224</v>
      </c>
      <c r="W41" s="241">
        <f t="shared" si="3"/>
        <v>0.1928106728</v>
      </c>
      <c r="X41" s="241">
        <f t="shared" si="3"/>
        <v>0.397720018</v>
      </c>
      <c r="Y41" s="241">
        <f t="shared" si="3"/>
        <v>0.0782647981</v>
      </c>
      <c r="Z41" s="241">
        <f t="shared" si="3"/>
        <v>0.1795286866</v>
      </c>
      <c r="AA41" s="241">
        <f t="shared" si="3"/>
        <v>0.01121395184</v>
      </c>
      <c r="AB41" s="241">
        <f t="shared" si="3"/>
        <v>0.09216654962</v>
      </c>
      <c r="AC41" s="241">
        <f t="shared" si="3"/>
        <v>0.05290496167</v>
      </c>
      <c r="AD41" s="241">
        <f t="shared" si="3"/>
        <v>0.03241012394</v>
      </c>
      <c r="AE41" s="241">
        <f t="shared" si="3"/>
        <v>0.08736938262</v>
      </c>
      <c r="AF41" s="241">
        <f t="shared" si="3"/>
        <v>0.06503649928</v>
      </c>
      <c r="AG41" s="241">
        <f t="shared" si="3"/>
        <v>0.2693798998</v>
      </c>
      <c r="AH41" s="241">
        <f t="shared" si="3"/>
        <v>0.1715954117</v>
      </c>
      <c r="AI41" s="241">
        <f t="shared" si="3"/>
        <v>0.2823524951</v>
      </c>
      <c r="AJ41" s="241">
        <f t="shared" si="3"/>
        <v>0.07736519205</v>
      </c>
      <c r="AK41" s="241">
        <f t="shared" si="3"/>
        <v>0.2565619855</v>
      </c>
      <c r="AL41" s="241">
        <f t="shared" si="3"/>
        <v>0.3928937561</v>
      </c>
      <c r="AM41" s="241">
        <f t="shared" si="3"/>
        <v>0.4437345365</v>
      </c>
      <c r="AN41" s="241">
        <f t="shared" si="3"/>
        <v>0.2945607817</v>
      </c>
      <c r="AO41" s="241">
        <f t="shared" si="3"/>
        <v>0.3078797489</v>
      </c>
      <c r="AP41" s="241">
        <f t="shared" si="3"/>
        <v>0.2386453888</v>
      </c>
      <c r="AQ41" s="241">
        <f t="shared" si="3"/>
        <v>0.1012991098</v>
      </c>
      <c r="AR41" s="241">
        <f t="shared" si="3"/>
        <v>0.2458235109</v>
      </c>
      <c r="AS41" s="241">
        <f t="shared" si="3"/>
        <v>0.1863766098</v>
      </c>
      <c r="AT41" s="241">
        <f t="shared" si="3"/>
        <v>0.101128066</v>
      </c>
      <c r="AU41" s="241">
        <f t="shared" si="3"/>
        <v>0.27249641</v>
      </c>
      <c r="AV41" s="241">
        <f t="shared" si="3"/>
        <v>0.3796412777</v>
      </c>
      <c r="AW41" s="259"/>
    </row>
    <row r="42">
      <c r="A42" s="122"/>
      <c r="B42" s="123"/>
      <c r="C42" s="445"/>
      <c r="D42" s="123"/>
      <c r="E42" s="479" t="s">
        <v>384</v>
      </c>
      <c r="F42" s="134" t="s">
        <v>72</v>
      </c>
      <c r="G42" s="480" t="s">
        <v>161</v>
      </c>
      <c r="H42" s="146"/>
      <c r="I42" s="407">
        <f t="shared" ref="I42:AV42" si="4">1-I41</f>
        <v>0.5631563197</v>
      </c>
      <c r="J42" s="407">
        <f t="shared" si="4"/>
        <v>0.6825510245</v>
      </c>
      <c r="K42" s="407">
        <f t="shared" si="4"/>
        <v>0.6386904092</v>
      </c>
      <c r="L42" s="407">
        <f t="shared" si="4"/>
        <v>0.6102268381</v>
      </c>
      <c r="M42" s="407">
        <f t="shared" si="4"/>
        <v>0.5925868042</v>
      </c>
      <c r="N42" s="407">
        <f t="shared" si="4"/>
        <v>0.5562042498</v>
      </c>
      <c r="O42" s="407">
        <f t="shared" si="4"/>
        <v>0.4289273271</v>
      </c>
      <c r="P42" s="407">
        <f t="shared" si="4"/>
        <v>0.3888949932</v>
      </c>
      <c r="Q42" s="481">
        <f t="shared" si="4"/>
        <v>0.5310077321</v>
      </c>
      <c r="R42" s="407">
        <f t="shared" si="4"/>
        <v>0.8871735011</v>
      </c>
      <c r="S42" s="407">
        <f t="shared" si="4"/>
        <v>0.8402509642</v>
      </c>
      <c r="T42" s="407">
        <f t="shared" si="4"/>
        <v>0.8589996377</v>
      </c>
      <c r="U42" s="407">
        <f t="shared" si="4"/>
        <v>0.8308621699</v>
      </c>
      <c r="V42" s="407">
        <f t="shared" si="4"/>
        <v>0.8078422776</v>
      </c>
      <c r="W42" s="407">
        <f t="shared" si="4"/>
        <v>0.8071893272</v>
      </c>
      <c r="X42" s="407">
        <f t="shared" si="4"/>
        <v>0.602279982</v>
      </c>
      <c r="Y42" s="407">
        <f t="shared" si="4"/>
        <v>0.9217352019</v>
      </c>
      <c r="Z42" s="407">
        <f t="shared" si="4"/>
        <v>0.8204713134</v>
      </c>
      <c r="AA42" s="407">
        <f t="shared" si="4"/>
        <v>0.9887860482</v>
      </c>
      <c r="AB42" s="407">
        <f t="shared" si="4"/>
        <v>0.9078334504</v>
      </c>
      <c r="AC42" s="407">
        <f t="shared" si="4"/>
        <v>0.9470950383</v>
      </c>
      <c r="AD42" s="407">
        <f t="shared" si="4"/>
        <v>0.9675898761</v>
      </c>
      <c r="AE42" s="407">
        <f t="shared" si="4"/>
        <v>0.9126306174</v>
      </c>
      <c r="AF42" s="407">
        <f t="shared" si="4"/>
        <v>0.9349635007</v>
      </c>
      <c r="AG42" s="407">
        <f t="shared" si="4"/>
        <v>0.7306201002</v>
      </c>
      <c r="AH42" s="407">
        <f t="shared" si="4"/>
        <v>0.8284045883</v>
      </c>
      <c r="AI42" s="407">
        <f t="shared" si="4"/>
        <v>0.7176475049</v>
      </c>
      <c r="AJ42" s="407">
        <f t="shared" si="4"/>
        <v>0.9226348079</v>
      </c>
      <c r="AK42" s="407">
        <f t="shared" si="4"/>
        <v>0.7434380145</v>
      </c>
      <c r="AL42" s="407">
        <f t="shared" si="4"/>
        <v>0.6071062439</v>
      </c>
      <c r="AM42" s="407">
        <f t="shared" si="4"/>
        <v>0.5562654635</v>
      </c>
      <c r="AN42" s="407">
        <f t="shared" si="4"/>
        <v>0.7054392183</v>
      </c>
      <c r="AO42" s="407">
        <f t="shared" si="4"/>
        <v>0.6921202511</v>
      </c>
      <c r="AP42" s="407">
        <f t="shared" si="4"/>
        <v>0.7613546112</v>
      </c>
      <c r="AQ42" s="407">
        <f t="shared" si="4"/>
        <v>0.8987008902</v>
      </c>
      <c r="AR42" s="407">
        <f t="shared" si="4"/>
        <v>0.7541764891</v>
      </c>
      <c r="AS42" s="407">
        <f t="shared" si="4"/>
        <v>0.8136233902</v>
      </c>
      <c r="AT42" s="407">
        <f t="shared" si="4"/>
        <v>0.898871934</v>
      </c>
      <c r="AU42" s="407">
        <f t="shared" si="4"/>
        <v>0.72750359</v>
      </c>
      <c r="AV42" s="407">
        <f t="shared" si="4"/>
        <v>0.6203587223</v>
      </c>
      <c r="AW42" s="409"/>
    </row>
    <row r="43">
      <c r="A43" s="122"/>
      <c r="B43" s="123"/>
      <c r="C43" s="445"/>
      <c r="D43" s="123"/>
      <c r="E43" s="124"/>
      <c r="F43" s="125"/>
      <c r="G43" s="125"/>
      <c r="H43" s="127"/>
      <c r="I43" s="128"/>
      <c r="J43" s="128"/>
      <c r="K43" s="128"/>
      <c r="L43" s="128"/>
      <c r="M43" s="128"/>
      <c r="N43" s="128"/>
      <c r="O43" s="128"/>
      <c r="P43" s="128"/>
      <c r="Q43" s="446"/>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385</v>
      </c>
      <c r="B44" s="7"/>
      <c r="C44" s="7"/>
      <c r="D44" s="7"/>
      <c r="E44" s="7"/>
      <c r="F44" s="7"/>
      <c r="G44" s="7"/>
      <c r="H44" s="118"/>
      <c r="I44" s="340"/>
      <c r="J44" s="340"/>
      <c r="K44" s="340"/>
      <c r="L44" s="340"/>
      <c r="M44" s="340"/>
      <c r="N44" s="340"/>
      <c r="O44" s="340"/>
      <c r="P44" s="340"/>
      <c r="Q44" s="444"/>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445"/>
      <c r="D45" s="123"/>
      <c r="E45" s="124"/>
      <c r="F45" s="125"/>
      <c r="G45" s="126"/>
      <c r="H45" s="127"/>
      <c r="I45" s="128"/>
      <c r="J45" s="128"/>
      <c r="K45" s="128"/>
      <c r="L45" s="128"/>
      <c r="M45" s="128"/>
      <c r="N45" s="128"/>
      <c r="O45" s="128"/>
      <c r="P45" s="128"/>
      <c r="Q45" s="446"/>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3"/>
      <c r="B46" s="123"/>
      <c r="C46" s="450" t="s">
        <v>386</v>
      </c>
      <c r="F46" s="125"/>
      <c r="G46" s="482"/>
      <c r="H46" s="127"/>
      <c r="I46" s="128"/>
      <c r="J46" s="128"/>
      <c r="K46" s="128"/>
      <c r="L46" s="128"/>
      <c r="M46" s="128"/>
      <c r="N46" s="128"/>
      <c r="O46" s="128"/>
      <c r="P46" s="128"/>
      <c r="Q46" s="446"/>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3"/>
      <c r="B47" s="123"/>
      <c r="C47" s="450"/>
      <c r="D47" s="131"/>
      <c r="E47" s="254" t="s">
        <v>387</v>
      </c>
      <c r="F47" s="193" t="str">
        <f>'Vaccine efficacy'!F50</f>
        <v>%</v>
      </c>
      <c r="G47" s="483" t="s">
        <v>173</v>
      </c>
      <c r="H47" s="255">
        <f>'Vaccine efficacy'!H50</f>
        <v>0.5974696425</v>
      </c>
      <c r="I47" s="321" t="str">
        <f>'Vaccine efficacy'!I50</f>
        <v>-</v>
      </c>
      <c r="J47" s="321" t="str">
        <f>'Vaccine efficacy'!J50</f>
        <v>-</v>
      </c>
      <c r="K47" s="321" t="str">
        <f>'Vaccine efficacy'!K50</f>
        <v>-</v>
      </c>
      <c r="L47" s="321" t="str">
        <f>'Vaccine efficacy'!L50</f>
        <v>-</v>
      </c>
      <c r="M47" s="321" t="str">
        <f>'Vaccine efficacy'!M50</f>
        <v>-</v>
      </c>
      <c r="N47" s="321" t="str">
        <f>'Vaccine efficacy'!N50</f>
        <v>-</v>
      </c>
      <c r="O47" s="321" t="str">
        <f>'Vaccine efficacy'!O50</f>
        <v>-</v>
      </c>
      <c r="P47" s="321" t="str">
        <f>'Vaccine efficacy'!P50</f>
        <v>-</v>
      </c>
      <c r="Q47" s="484" t="str">
        <f>'Vaccine efficacy'!Q50</f>
        <v>-</v>
      </c>
      <c r="R47" s="321" t="str">
        <f>'Vaccine efficacy'!R50</f>
        <v>-</v>
      </c>
      <c r="S47" s="321" t="str">
        <f>'Vaccine efficacy'!S50</f>
        <v>-</v>
      </c>
      <c r="T47" s="321" t="str">
        <f>'Vaccine efficacy'!T50</f>
        <v>-</v>
      </c>
      <c r="U47" s="321" t="str">
        <f>'Vaccine efficacy'!U50</f>
        <v>-</v>
      </c>
      <c r="V47" s="321" t="str">
        <f>'Vaccine efficacy'!V50</f>
        <v>-</v>
      </c>
      <c r="W47" s="321" t="str">
        <f>'Vaccine efficacy'!W50</f>
        <v>-</v>
      </c>
      <c r="X47" s="321" t="str">
        <f>'Vaccine efficacy'!X50</f>
        <v>-</v>
      </c>
      <c r="Y47" s="321" t="str">
        <f>'Vaccine efficacy'!Y50</f>
        <v>-</v>
      </c>
      <c r="Z47" s="321" t="str">
        <f>'Vaccine efficacy'!Z50</f>
        <v>-</v>
      </c>
      <c r="AA47" s="321" t="str">
        <f>'Vaccine efficacy'!AA50</f>
        <v>-</v>
      </c>
      <c r="AB47" s="321" t="str">
        <f>'Vaccine efficacy'!AB50</f>
        <v>-</v>
      </c>
      <c r="AC47" s="321" t="str">
        <f>'Vaccine efficacy'!AC50</f>
        <v>-</v>
      </c>
      <c r="AD47" s="321" t="str">
        <f>'Vaccine efficacy'!AD50</f>
        <v>-</v>
      </c>
      <c r="AE47" s="321" t="str">
        <f>'Vaccine efficacy'!AE50</f>
        <v>-</v>
      </c>
      <c r="AF47" s="321" t="str">
        <f>'Vaccine efficacy'!AF50</f>
        <v>-</v>
      </c>
      <c r="AG47" s="321" t="str">
        <f>'Vaccine efficacy'!AG50</f>
        <v>-</v>
      </c>
      <c r="AH47" s="321" t="str">
        <f>'Vaccine efficacy'!AH50</f>
        <v>-</v>
      </c>
      <c r="AI47" s="321" t="str">
        <f>'Vaccine efficacy'!AI50</f>
        <v>-</v>
      </c>
      <c r="AJ47" s="321" t="str">
        <f>'Vaccine efficacy'!AJ50</f>
        <v>-</v>
      </c>
      <c r="AK47" s="321" t="str">
        <f>'Vaccine efficacy'!AK50</f>
        <v>-</v>
      </c>
      <c r="AL47" s="321" t="str">
        <f>'Vaccine efficacy'!AL50</f>
        <v>-</v>
      </c>
      <c r="AM47" s="321" t="str">
        <f>'Vaccine efficacy'!AM50</f>
        <v>-</v>
      </c>
      <c r="AN47" s="321" t="str">
        <f>'Vaccine efficacy'!AN50</f>
        <v>-</v>
      </c>
      <c r="AO47" s="321" t="str">
        <f>'Vaccine efficacy'!AO50</f>
        <v>-</v>
      </c>
      <c r="AP47" s="321" t="str">
        <f>'Vaccine efficacy'!AP50</f>
        <v>-</v>
      </c>
      <c r="AQ47" s="321" t="str">
        <f>'Vaccine efficacy'!AQ50</f>
        <v>-</v>
      </c>
      <c r="AR47" s="321" t="str">
        <f>'Vaccine efficacy'!AR50</f>
        <v>-</v>
      </c>
      <c r="AS47" s="321" t="str">
        <f>'Vaccine efficacy'!AS50</f>
        <v>-</v>
      </c>
      <c r="AT47" s="321" t="str">
        <f>'Vaccine efficacy'!AT50</f>
        <v>-</v>
      </c>
      <c r="AU47" s="321" t="str">
        <f>'Vaccine efficacy'!AU50</f>
        <v>-</v>
      </c>
      <c r="AV47" s="321" t="str">
        <f>'Vaccine efficacy'!AV50</f>
        <v>-</v>
      </c>
      <c r="AW47" s="256" t="str">
        <f>'Vaccine efficacy'!AW50</f>
        <v/>
      </c>
    </row>
    <row r="48">
      <c r="A48" s="123"/>
      <c r="B48" s="123"/>
      <c r="C48" s="450"/>
      <c r="D48" s="131"/>
      <c r="E48" s="257" t="s">
        <v>388</v>
      </c>
      <c r="F48" s="213" t="str">
        <f>'Vaccine efficacy'!F51</f>
        <v>%</v>
      </c>
      <c r="G48" s="485" t="s">
        <v>173</v>
      </c>
      <c r="H48" s="258">
        <f>'Vaccine efficacy'!H51</f>
        <v>0.850941612</v>
      </c>
      <c r="I48" s="326" t="str">
        <f>'Vaccine efficacy'!I51</f>
        <v>-</v>
      </c>
      <c r="J48" s="326" t="str">
        <f>'Vaccine efficacy'!J51</f>
        <v>-</v>
      </c>
      <c r="K48" s="326" t="str">
        <f>'Vaccine efficacy'!K51</f>
        <v>-</v>
      </c>
      <c r="L48" s="321" t="str">
        <f>'Vaccine efficacy'!L51</f>
        <v>-</v>
      </c>
      <c r="M48" s="326" t="str">
        <f>'Vaccine efficacy'!M51</f>
        <v>-</v>
      </c>
      <c r="N48" s="326" t="str">
        <f>'Vaccine efficacy'!N51</f>
        <v>-</v>
      </c>
      <c r="O48" s="326" t="str">
        <f>'Vaccine efficacy'!O51</f>
        <v>-</v>
      </c>
      <c r="P48" s="326" t="str">
        <f>'Vaccine efficacy'!P51</f>
        <v>-</v>
      </c>
      <c r="Q48" s="486" t="str">
        <f>'Vaccine efficacy'!Q51</f>
        <v>-</v>
      </c>
      <c r="R48" s="326" t="str">
        <f>'Vaccine efficacy'!R51</f>
        <v>-</v>
      </c>
      <c r="S48" s="326" t="str">
        <f>'Vaccine efficacy'!S51</f>
        <v>-</v>
      </c>
      <c r="T48" s="326" t="str">
        <f>'Vaccine efficacy'!T51</f>
        <v>-</v>
      </c>
      <c r="U48" s="326" t="str">
        <f>'Vaccine efficacy'!U51</f>
        <v>-</v>
      </c>
      <c r="V48" s="326" t="str">
        <f>'Vaccine efficacy'!V51</f>
        <v>-</v>
      </c>
      <c r="W48" s="326" t="str">
        <f>'Vaccine efficacy'!W51</f>
        <v>-</v>
      </c>
      <c r="X48" s="326" t="str">
        <f>'Vaccine efficacy'!X51</f>
        <v>-</v>
      </c>
      <c r="Y48" s="326" t="str">
        <f>'Vaccine efficacy'!Y51</f>
        <v>-</v>
      </c>
      <c r="Z48" s="326" t="str">
        <f>'Vaccine efficacy'!Z51</f>
        <v>-</v>
      </c>
      <c r="AA48" s="326" t="str">
        <f>'Vaccine efficacy'!AA51</f>
        <v>-</v>
      </c>
      <c r="AB48" s="326" t="str">
        <f>'Vaccine efficacy'!AB51</f>
        <v>-</v>
      </c>
      <c r="AC48" s="326" t="str">
        <f>'Vaccine efficacy'!AC51</f>
        <v>-</v>
      </c>
      <c r="AD48" s="326" t="str">
        <f>'Vaccine efficacy'!AD51</f>
        <v>-</v>
      </c>
      <c r="AE48" s="326" t="str">
        <f>'Vaccine efficacy'!AE51</f>
        <v>-</v>
      </c>
      <c r="AF48" s="326" t="str">
        <f>'Vaccine efficacy'!AF51</f>
        <v>-</v>
      </c>
      <c r="AG48" s="326" t="str">
        <f>'Vaccine efficacy'!AG51</f>
        <v>-</v>
      </c>
      <c r="AH48" s="326" t="str">
        <f>'Vaccine efficacy'!AH51</f>
        <v>-</v>
      </c>
      <c r="AI48" s="326" t="str">
        <f>'Vaccine efficacy'!AI51</f>
        <v>-</v>
      </c>
      <c r="AJ48" s="326" t="str">
        <f>'Vaccine efficacy'!AJ51</f>
        <v>-</v>
      </c>
      <c r="AK48" s="326" t="str">
        <f>'Vaccine efficacy'!AK51</f>
        <v>-</v>
      </c>
      <c r="AL48" s="326" t="str">
        <f>'Vaccine efficacy'!AL51</f>
        <v>-</v>
      </c>
      <c r="AM48" s="326" t="str">
        <f>'Vaccine efficacy'!AM51</f>
        <v>-</v>
      </c>
      <c r="AN48" s="326" t="str">
        <f>'Vaccine efficacy'!AN51</f>
        <v>-</v>
      </c>
      <c r="AO48" s="326" t="str">
        <f>'Vaccine efficacy'!AO51</f>
        <v>-</v>
      </c>
      <c r="AP48" s="326" t="str">
        <f>'Vaccine efficacy'!AP51</f>
        <v>-</v>
      </c>
      <c r="AQ48" s="326" t="str">
        <f>'Vaccine efficacy'!AQ51</f>
        <v>-</v>
      </c>
      <c r="AR48" s="326" t="str">
        <f>'Vaccine efficacy'!AR51</f>
        <v>-</v>
      </c>
      <c r="AS48" s="326" t="str">
        <f>'Vaccine efficacy'!AS51</f>
        <v>-</v>
      </c>
      <c r="AT48" s="326" t="str">
        <f>'Vaccine efficacy'!AT51</f>
        <v>-</v>
      </c>
      <c r="AU48" s="326" t="str">
        <f>'Vaccine efficacy'!AU51</f>
        <v>-</v>
      </c>
      <c r="AV48" s="326" t="str">
        <f>'Vaccine efficacy'!AV51</f>
        <v>-</v>
      </c>
      <c r="AW48" s="259" t="str">
        <f>'Vaccine efficacy'!AW51</f>
        <v/>
      </c>
    </row>
    <row r="49">
      <c r="A49" s="123"/>
      <c r="B49" s="123"/>
      <c r="C49" s="450"/>
      <c r="D49" s="131"/>
      <c r="E49" s="257" t="s">
        <v>389</v>
      </c>
      <c r="F49" s="213" t="str">
        <f>'Vaccine efficacy'!F52</f>
        <v>%</v>
      </c>
      <c r="G49" s="485" t="s">
        <v>173</v>
      </c>
      <c r="H49" s="215">
        <f>'Vaccine efficacy'!H52</f>
        <v>0.7423107679</v>
      </c>
      <c r="I49" s="241" t="str">
        <f>'Vaccine efficacy'!I52</f>
        <v>-</v>
      </c>
      <c r="J49" s="241" t="str">
        <f>'Vaccine efficacy'!J52</f>
        <v>-</v>
      </c>
      <c r="K49" s="241" t="str">
        <f>'Vaccine efficacy'!K52</f>
        <v>-</v>
      </c>
      <c r="L49" s="321" t="str">
        <f>'Vaccine efficacy'!L52</f>
        <v>-</v>
      </c>
      <c r="M49" s="241" t="str">
        <f>'Vaccine efficacy'!M52</f>
        <v>-</v>
      </c>
      <c r="N49" s="241" t="str">
        <f>'Vaccine efficacy'!N52</f>
        <v>-</v>
      </c>
      <c r="O49" s="241" t="str">
        <f>'Vaccine efficacy'!O52</f>
        <v>-</v>
      </c>
      <c r="P49" s="241" t="str">
        <f>'Vaccine efficacy'!P52</f>
        <v>-</v>
      </c>
      <c r="Q49" s="456" t="str">
        <f>'Vaccine efficacy'!Q52</f>
        <v>-</v>
      </c>
      <c r="R49" s="241" t="str">
        <f>'Vaccine efficacy'!R52</f>
        <v>-</v>
      </c>
      <c r="S49" s="241" t="str">
        <f>'Vaccine efficacy'!S52</f>
        <v>-</v>
      </c>
      <c r="T49" s="241" t="str">
        <f>'Vaccine efficacy'!T52</f>
        <v>-</v>
      </c>
      <c r="U49" s="241" t="str">
        <f>'Vaccine efficacy'!U52</f>
        <v>-</v>
      </c>
      <c r="V49" s="241" t="str">
        <f>'Vaccine efficacy'!V52</f>
        <v>-</v>
      </c>
      <c r="W49" s="241" t="str">
        <f>'Vaccine efficacy'!W52</f>
        <v>-</v>
      </c>
      <c r="X49" s="241" t="str">
        <f>'Vaccine efficacy'!X52</f>
        <v>-</v>
      </c>
      <c r="Y49" s="241" t="str">
        <f>'Vaccine efficacy'!Y52</f>
        <v>-</v>
      </c>
      <c r="Z49" s="241" t="str">
        <f>'Vaccine efficacy'!Z52</f>
        <v>-</v>
      </c>
      <c r="AA49" s="241" t="str">
        <f>'Vaccine efficacy'!AA52</f>
        <v>-</v>
      </c>
      <c r="AB49" s="241" t="str">
        <f>'Vaccine efficacy'!AB52</f>
        <v>-</v>
      </c>
      <c r="AC49" s="241" t="str">
        <f>'Vaccine efficacy'!AC52</f>
        <v>-</v>
      </c>
      <c r="AD49" s="241" t="str">
        <f>'Vaccine efficacy'!AD52</f>
        <v>-</v>
      </c>
      <c r="AE49" s="241" t="str">
        <f>'Vaccine efficacy'!AE52</f>
        <v>-</v>
      </c>
      <c r="AF49" s="241" t="str">
        <f>'Vaccine efficacy'!AF52</f>
        <v>-</v>
      </c>
      <c r="AG49" s="241" t="str">
        <f>'Vaccine efficacy'!AG52</f>
        <v>-</v>
      </c>
      <c r="AH49" s="241" t="str">
        <f>'Vaccine efficacy'!AH52</f>
        <v>-</v>
      </c>
      <c r="AI49" s="241" t="str">
        <f>'Vaccine efficacy'!AI52</f>
        <v>-</v>
      </c>
      <c r="AJ49" s="241" t="str">
        <f>'Vaccine efficacy'!AJ52</f>
        <v>-</v>
      </c>
      <c r="AK49" s="241" t="str">
        <f>'Vaccine efficacy'!AK52</f>
        <v>-</v>
      </c>
      <c r="AL49" s="326" t="str">
        <f>'Vaccine efficacy'!AL52</f>
        <v>-</v>
      </c>
      <c r="AM49" s="326" t="str">
        <f>'Vaccine efficacy'!AM52</f>
        <v>-</v>
      </c>
      <c r="AN49" s="326" t="str">
        <f>'Vaccine efficacy'!AN52</f>
        <v>-</v>
      </c>
      <c r="AO49" s="241" t="str">
        <f>'Vaccine efficacy'!AO52</f>
        <v>-</v>
      </c>
      <c r="AP49" s="241" t="str">
        <f>'Vaccine efficacy'!AP52</f>
        <v>-</v>
      </c>
      <c r="AQ49" s="241" t="str">
        <f>'Vaccine efficacy'!AQ52</f>
        <v>-</v>
      </c>
      <c r="AR49" s="241" t="str">
        <f>'Vaccine efficacy'!AR52</f>
        <v>-</v>
      </c>
      <c r="AS49" s="241" t="str">
        <f>'Vaccine efficacy'!AS52</f>
        <v>-</v>
      </c>
      <c r="AT49" s="241" t="str">
        <f>'Vaccine efficacy'!AT52</f>
        <v>-</v>
      </c>
      <c r="AU49" s="241" t="str">
        <f>'Vaccine efficacy'!AU52</f>
        <v>-</v>
      </c>
      <c r="AV49" s="241" t="str">
        <f>'Vaccine efficacy'!AV52</f>
        <v>-</v>
      </c>
      <c r="AW49" s="259" t="str">
        <f>'Vaccine efficacy'!AW52</f>
        <v/>
      </c>
    </row>
    <row r="50">
      <c r="A50" s="123"/>
      <c r="B50" s="123"/>
      <c r="C50" s="450"/>
      <c r="D50" s="131"/>
      <c r="E50" s="257" t="s">
        <v>390</v>
      </c>
      <c r="F50" s="213" t="str">
        <f>'Vaccine efficacy'!F53</f>
        <v>%</v>
      </c>
      <c r="G50" s="485" t="s">
        <v>173</v>
      </c>
      <c r="H50" s="215">
        <f>'Vaccine efficacy'!H53</f>
        <v>0.4299970912</v>
      </c>
      <c r="I50" s="241" t="str">
        <f>'Vaccine efficacy'!I53</f>
        <v>-</v>
      </c>
      <c r="J50" s="241" t="str">
        <f>'Vaccine efficacy'!J53</f>
        <v>-</v>
      </c>
      <c r="K50" s="241" t="str">
        <f>'Vaccine efficacy'!K53</f>
        <v>-</v>
      </c>
      <c r="L50" s="321" t="str">
        <f>'Vaccine efficacy'!L53</f>
        <v>-</v>
      </c>
      <c r="M50" s="241" t="str">
        <f>'Vaccine efficacy'!M53</f>
        <v>-</v>
      </c>
      <c r="N50" s="241" t="str">
        <f>'Vaccine efficacy'!N53</f>
        <v>-</v>
      </c>
      <c r="O50" s="241" t="str">
        <f>'Vaccine efficacy'!O53</f>
        <v>-</v>
      </c>
      <c r="P50" s="241" t="str">
        <f>'Vaccine efficacy'!P53</f>
        <v>-</v>
      </c>
      <c r="Q50" s="456" t="str">
        <f>'Vaccine efficacy'!Q53</f>
        <v>-</v>
      </c>
      <c r="R50" s="241" t="str">
        <f>'Vaccine efficacy'!R53</f>
        <v>-</v>
      </c>
      <c r="S50" s="241" t="str">
        <f>'Vaccine efficacy'!S53</f>
        <v>-</v>
      </c>
      <c r="T50" s="241" t="str">
        <f>'Vaccine efficacy'!T53</f>
        <v>-</v>
      </c>
      <c r="U50" s="241" t="str">
        <f>'Vaccine efficacy'!U53</f>
        <v>-</v>
      </c>
      <c r="V50" s="241" t="str">
        <f>'Vaccine efficacy'!V53</f>
        <v>-</v>
      </c>
      <c r="W50" s="241" t="str">
        <f>'Vaccine efficacy'!W53</f>
        <v>-</v>
      </c>
      <c r="X50" s="241" t="str">
        <f>'Vaccine efficacy'!X53</f>
        <v>-</v>
      </c>
      <c r="Y50" s="241" t="str">
        <f>'Vaccine efficacy'!Y53</f>
        <v>-</v>
      </c>
      <c r="Z50" s="241" t="str">
        <f>'Vaccine efficacy'!Z53</f>
        <v>-</v>
      </c>
      <c r="AA50" s="241" t="str">
        <f>'Vaccine efficacy'!AA53</f>
        <v>-</v>
      </c>
      <c r="AB50" s="241" t="str">
        <f>'Vaccine efficacy'!AB53</f>
        <v>-</v>
      </c>
      <c r="AC50" s="241" t="str">
        <f>'Vaccine efficacy'!AC53</f>
        <v>-</v>
      </c>
      <c r="AD50" s="241" t="str">
        <f>'Vaccine efficacy'!AD53</f>
        <v>-</v>
      </c>
      <c r="AE50" s="241" t="str">
        <f>'Vaccine efficacy'!AE53</f>
        <v>-</v>
      </c>
      <c r="AF50" s="241" t="str">
        <f>'Vaccine efficacy'!AF53</f>
        <v>-</v>
      </c>
      <c r="AG50" s="241" t="str">
        <f>'Vaccine efficacy'!AG53</f>
        <v>-</v>
      </c>
      <c r="AH50" s="241" t="str">
        <f>'Vaccine efficacy'!AH53</f>
        <v>-</v>
      </c>
      <c r="AI50" s="241" t="str">
        <f>'Vaccine efficacy'!AI53</f>
        <v>-</v>
      </c>
      <c r="AJ50" s="241" t="str">
        <f>'Vaccine efficacy'!AJ53</f>
        <v>-</v>
      </c>
      <c r="AK50" s="241" t="str">
        <f>'Vaccine efficacy'!AK53</f>
        <v>-</v>
      </c>
      <c r="AL50" s="326" t="str">
        <f>'Vaccine efficacy'!AL53</f>
        <v>-</v>
      </c>
      <c r="AM50" s="326" t="str">
        <f>'Vaccine efficacy'!AM53</f>
        <v>-</v>
      </c>
      <c r="AN50" s="326" t="str">
        <f>'Vaccine efficacy'!AN53</f>
        <v>-</v>
      </c>
      <c r="AO50" s="241" t="str">
        <f>'Vaccine efficacy'!AO53</f>
        <v>-</v>
      </c>
      <c r="AP50" s="241" t="str">
        <f>'Vaccine efficacy'!AP53</f>
        <v>-</v>
      </c>
      <c r="AQ50" s="241" t="str">
        <f>'Vaccine efficacy'!AQ53</f>
        <v>-</v>
      </c>
      <c r="AR50" s="241" t="str">
        <f>'Vaccine efficacy'!AR53</f>
        <v>-</v>
      </c>
      <c r="AS50" s="241" t="str">
        <f>'Vaccine efficacy'!AS53</f>
        <v>-</v>
      </c>
      <c r="AT50" s="241" t="str">
        <f>'Vaccine efficacy'!AT53</f>
        <v>-</v>
      </c>
      <c r="AU50" s="241" t="str">
        <f>'Vaccine efficacy'!AU53</f>
        <v>-</v>
      </c>
      <c r="AV50" s="241" t="str">
        <f>'Vaccine efficacy'!AV53</f>
        <v>-</v>
      </c>
      <c r="AW50" s="259" t="str">
        <f>'Vaccine efficacy'!AW53</f>
        <v/>
      </c>
    </row>
    <row r="51">
      <c r="A51" s="123"/>
      <c r="B51" s="123"/>
      <c r="C51" s="450"/>
      <c r="D51" s="131"/>
      <c r="E51" s="257" t="s">
        <v>391</v>
      </c>
      <c r="F51" s="213" t="str">
        <f>'Vaccine efficacy'!F54</f>
        <v>%</v>
      </c>
      <c r="G51" s="485" t="s">
        <v>173</v>
      </c>
      <c r="H51" s="215">
        <f>'Vaccine efficacy'!H54</f>
        <v>0.4164182357</v>
      </c>
      <c r="I51" s="241" t="str">
        <f>'Vaccine efficacy'!I54</f>
        <v>-</v>
      </c>
      <c r="J51" s="241" t="str">
        <f>'Vaccine efficacy'!J54</f>
        <v>-</v>
      </c>
      <c r="K51" s="241" t="str">
        <f>'Vaccine efficacy'!K54</f>
        <v>-</v>
      </c>
      <c r="L51" s="321" t="str">
        <f>'Vaccine efficacy'!L54</f>
        <v>-</v>
      </c>
      <c r="M51" s="241" t="str">
        <f>'Vaccine efficacy'!M54</f>
        <v>-</v>
      </c>
      <c r="N51" s="241" t="str">
        <f>'Vaccine efficacy'!N54</f>
        <v>-</v>
      </c>
      <c r="O51" s="241" t="str">
        <f>'Vaccine efficacy'!O54</f>
        <v>-</v>
      </c>
      <c r="P51" s="241" t="str">
        <f>'Vaccine efficacy'!P54</f>
        <v>-</v>
      </c>
      <c r="Q51" s="456" t="str">
        <f>'Vaccine efficacy'!Q54</f>
        <v>-</v>
      </c>
      <c r="R51" s="241" t="str">
        <f>'Vaccine efficacy'!R54</f>
        <v>-</v>
      </c>
      <c r="S51" s="241" t="str">
        <f>'Vaccine efficacy'!S54</f>
        <v>-</v>
      </c>
      <c r="T51" s="241" t="str">
        <f>'Vaccine efficacy'!T54</f>
        <v>-</v>
      </c>
      <c r="U51" s="241" t="str">
        <f>'Vaccine efficacy'!U54</f>
        <v>-</v>
      </c>
      <c r="V51" s="241" t="str">
        <f>'Vaccine efficacy'!V54</f>
        <v>-</v>
      </c>
      <c r="W51" s="241" t="str">
        <f>'Vaccine efficacy'!W54</f>
        <v>-</v>
      </c>
      <c r="X51" s="241" t="str">
        <f>'Vaccine efficacy'!X54</f>
        <v>-</v>
      </c>
      <c r="Y51" s="241" t="str">
        <f>'Vaccine efficacy'!Y54</f>
        <v>-</v>
      </c>
      <c r="Z51" s="241" t="str">
        <f>'Vaccine efficacy'!Z54</f>
        <v>-</v>
      </c>
      <c r="AA51" s="241" t="str">
        <f>'Vaccine efficacy'!AA54</f>
        <v>-</v>
      </c>
      <c r="AB51" s="241" t="str">
        <f>'Vaccine efficacy'!AB54</f>
        <v>-</v>
      </c>
      <c r="AC51" s="241" t="str">
        <f>'Vaccine efficacy'!AC54</f>
        <v>-</v>
      </c>
      <c r="AD51" s="241" t="str">
        <f>'Vaccine efficacy'!AD54</f>
        <v>-</v>
      </c>
      <c r="AE51" s="241" t="str">
        <f>'Vaccine efficacy'!AE54</f>
        <v>-</v>
      </c>
      <c r="AF51" s="241" t="str">
        <f>'Vaccine efficacy'!AF54</f>
        <v>-</v>
      </c>
      <c r="AG51" s="241" t="str">
        <f>'Vaccine efficacy'!AG54</f>
        <v>-</v>
      </c>
      <c r="AH51" s="241" t="str">
        <f>'Vaccine efficacy'!AH54</f>
        <v>-</v>
      </c>
      <c r="AI51" s="241" t="str">
        <f>'Vaccine efficacy'!AI54</f>
        <v>-</v>
      </c>
      <c r="AJ51" s="241" t="str">
        <f>'Vaccine efficacy'!AJ54</f>
        <v>-</v>
      </c>
      <c r="AK51" s="241" t="str">
        <f>'Vaccine efficacy'!AK54</f>
        <v>-</v>
      </c>
      <c r="AL51" s="326" t="str">
        <f>'Vaccine efficacy'!AL54</f>
        <v>-</v>
      </c>
      <c r="AM51" s="326" t="str">
        <f>'Vaccine efficacy'!AM54</f>
        <v>-</v>
      </c>
      <c r="AN51" s="326" t="str">
        <f>'Vaccine efficacy'!AN54</f>
        <v>-</v>
      </c>
      <c r="AO51" s="241" t="str">
        <f>'Vaccine efficacy'!AO54</f>
        <v>-</v>
      </c>
      <c r="AP51" s="241" t="str">
        <f>'Vaccine efficacy'!AP54</f>
        <v>-</v>
      </c>
      <c r="AQ51" s="241" t="str">
        <f>'Vaccine efficacy'!AQ54</f>
        <v>-</v>
      </c>
      <c r="AR51" s="241" t="str">
        <f>'Vaccine efficacy'!AR54</f>
        <v>-</v>
      </c>
      <c r="AS51" s="241" t="str">
        <f>'Vaccine efficacy'!AS54</f>
        <v>-</v>
      </c>
      <c r="AT51" s="241" t="str">
        <f>'Vaccine efficacy'!AT54</f>
        <v>-</v>
      </c>
      <c r="AU51" s="241" t="str">
        <f>'Vaccine efficacy'!AU54</f>
        <v>-</v>
      </c>
      <c r="AV51" s="241" t="str">
        <f>'Vaccine efficacy'!AV54</f>
        <v>-</v>
      </c>
      <c r="AW51" s="259" t="str">
        <f>'Vaccine efficacy'!AW54</f>
        <v/>
      </c>
    </row>
    <row r="52">
      <c r="A52" s="123"/>
      <c r="B52" s="123"/>
      <c r="C52" s="450"/>
      <c r="D52" s="131"/>
      <c r="E52" s="272" t="s">
        <v>392</v>
      </c>
      <c r="F52" s="200" t="str">
        <f>'Vaccine efficacy'!F55</f>
        <v>%</v>
      </c>
      <c r="G52" s="487" t="s">
        <v>173</v>
      </c>
      <c r="H52" s="488">
        <f>'Vaccine efficacy'!H55</f>
        <v>0.7705189672</v>
      </c>
      <c r="I52" s="385" t="str">
        <f>'Vaccine efficacy'!I55</f>
        <v>-</v>
      </c>
      <c r="J52" s="385" t="str">
        <f>'Vaccine efficacy'!J55</f>
        <v>-</v>
      </c>
      <c r="K52" s="385" t="str">
        <f>'Vaccine efficacy'!K55</f>
        <v>-</v>
      </c>
      <c r="L52" s="385" t="str">
        <f>'Vaccine efficacy'!L55</f>
        <v>-</v>
      </c>
      <c r="M52" s="385" t="str">
        <f>'Vaccine efficacy'!M55</f>
        <v>-</v>
      </c>
      <c r="N52" s="385" t="str">
        <f>'Vaccine efficacy'!N55</f>
        <v>-</v>
      </c>
      <c r="O52" s="385" t="str">
        <f>'Vaccine efficacy'!O55</f>
        <v>-</v>
      </c>
      <c r="P52" s="385" t="str">
        <f>'Vaccine efficacy'!P55</f>
        <v>-</v>
      </c>
      <c r="Q52" s="462" t="str">
        <f>'Vaccine efficacy'!Q55</f>
        <v>-</v>
      </c>
      <c r="R52" s="385" t="str">
        <f>'Vaccine efficacy'!R55</f>
        <v>-</v>
      </c>
      <c r="S52" s="385" t="str">
        <f>'Vaccine efficacy'!S55</f>
        <v>-</v>
      </c>
      <c r="T52" s="385" t="str">
        <f>'Vaccine efficacy'!T55</f>
        <v>-</v>
      </c>
      <c r="U52" s="385" t="str">
        <f>'Vaccine efficacy'!U55</f>
        <v>-</v>
      </c>
      <c r="V52" s="385" t="str">
        <f>'Vaccine efficacy'!V55</f>
        <v>-</v>
      </c>
      <c r="W52" s="385" t="str">
        <f>'Vaccine efficacy'!W55</f>
        <v>-</v>
      </c>
      <c r="X52" s="385" t="str">
        <f>'Vaccine efficacy'!X55</f>
        <v>-</v>
      </c>
      <c r="Y52" s="385" t="str">
        <f>'Vaccine efficacy'!Y55</f>
        <v>-</v>
      </c>
      <c r="Z52" s="385" t="str">
        <f>'Vaccine efficacy'!Z55</f>
        <v>-</v>
      </c>
      <c r="AA52" s="385" t="str">
        <f>'Vaccine efficacy'!AA55</f>
        <v>-</v>
      </c>
      <c r="AB52" s="385" t="str">
        <f>'Vaccine efficacy'!AB55</f>
        <v>-</v>
      </c>
      <c r="AC52" s="385" t="str">
        <f>'Vaccine efficacy'!AC55</f>
        <v>-</v>
      </c>
      <c r="AD52" s="385" t="str">
        <f>'Vaccine efficacy'!AD55</f>
        <v>-</v>
      </c>
      <c r="AE52" s="385" t="str">
        <f>'Vaccine efficacy'!AE55</f>
        <v>-</v>
      </c>
      <c r="AF52" s="385" t="str">
        <f>'Vaccine efficacy'!AF55</f>
        <v>-</v>
      </c>
      <c r="AG52" s="385" t="str">
        <f>'Vaccine efficacy'!AG55</f>
        <v>-</v>
      </c>
      <c r="AH52" s="385" t="str">
        <f>'Vaccine efficacy'!AH55</f>
        <v>-</v>
      </c>
      <c r="AI52" s="385" t="str">
        <f>'Vaccine efficacy'!AI55</f>
        <v>-</v>
      </c>
      <c r="AJ52" s="385" t="str">
        <f>'Vaccine efficacy'!AJ55</f>
        <v>-</v>
      </c>
      <c r="AK52" s="385" t="str">
        <f>'Vaccine efficacy'!AK55</f>
        <v>-</v>
      </c>
      <c r="AL52" s="385" t="str">
        <f>'Vaccine efficacy'!AL55</f>
        <v>-</v>
      </c>
      <c r="AM52" s="385" t="str">
        <f>'Vaccine efficacy'!AM55</f>
        <v>-</v>
      </c>
      <c r="AN52" s="385" t="str">
        <f>'Vaccine efficacy'!AN55</f>
        <v>-</v>
      </c>
      <c r="AO52" s="385" t="str">
        <f>'Vaccine efficacy'!AO55</f>
        <v>-</v>
      </c>
      <c r="AP52" s="385" t="str">
        <f>'Vaccine efficacy'!AP55</f>
        <v>-</v>
      </c>
      <c r="AQ52" s="385" t="str">
        <f>'Vaccine efficacy'!AQ55</f>
        <v>-</v>
      </c>
      <c r="AR52" s="385" t="str">
        <f>'Vaccine efficacy'!AR55</f>
        <v>-</v>
      </c>
      <c r="AS52" s="385" t="str">
        <f>'Vaccine efficacy'!AS55</f>
        <v>-</v>
      </c>
      <c r="AT52" s="385" t="str">
        <f>'Vaccine efficacy'!AT55</f>
        <v>-</v>
      </c>
      <c r="AU52" s="385" t="str">
        <f>'Vaccine efficacy'!AU55</f>
        <v>-</v>
      </c>
      <c r="AV52" s="385" t="str">
        <f>'Vaccine efficacy'!AV55</f>
        <v>-</v>
      </c>
      <c r="AW52" s="274" t="str">
        <f>'Vaccine efficacy'!AW55</f>
        <v/>
      </c>
    </row>
    <row r="53">
      <c r="A53" s="123"/>
      <c r="B53" s="123"/>
      <c r="C53" s="450"/>
      <c r="D53" s="131"/>
      <c r="E53" s="275"/>
      <c r="F53" s="125"/>
      <c r="G53" s="482"/>
      <c r="H53" s="127"/>
      <c r="I53" s="128"/>
      <c r="J53" s="128"/>
      <c r="K53" s="128"/>
      <c r="L53" s="128"/>
      <c r="M53" s="128"/>
      <c r="N53" s="128"/>
      <c r="O53" s="128"/>
      <c r="P53" s="128"/>
      <c r="Q53" s="446"/>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8"/>
      <c r="AR53" s="128"/>
      <c r="AS53" s="128"/>
      <c r="AT53" s="128"/>
      <c r="AU53" s="128"/>
      <c r="AV53" s="128"/>
      <c r="AW53" s="130"/>
    </row>
    <row r="54">
      <c r="A54" s="123"/>
      <c r="B54" s="123"/>
      <c r="C54" s="450" t="s">
        <v>393</v>
      </c>
      <c r="F54" s="125"/>
      <c r="G54" s="482"/>
      <c r="H54" s="127"/>
      <c r="I54" s="128"/>
      <c r="J54" s="128"/>
      <c r="K54" s="128"/>
      <c r="L54" s="128"/>
      <c r="M54" s="128"/>
      <c r="N54" s="128"/>
      <c r="O54" s="128"/>
      <c r="P54" s="128"/>
      <c r="Q54" s="446"/>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22"/>
      <c r="B55" s="123"/>
      <c r="C55" s="450"/>
      <c r="D55" s="131"/>
      <c r="E55" s="254" t="s">
        <v>394</v>
      </c>
      <c r="F55" s="193" t="str">
        <f>'Disease burden'!F212</f>
        <v>%</v>
      </c>
      <c r="G55" s="483" t="s">
        <v>173</v>
      </c>
      <c r="H55" s="389" t="str">
        <f>'Disease burden'!H212</f>
        <v>-</v>
      </c>
      <c r="I55" s="383">
        <f>'Disease burden'!I212</f>
        <v>0.1558869647</v>
      </c>
      <c r="J55" s="383">
        <f>'Disease burden'!J212</f>
        <v>0.1062179537</v>
      </c>
      <c r="K55" s="383">
        <f>'Disease burden'!K212</f>
        <v>0.1871773671</v>
      </c>
      <c r="L55" s="383">
        <f>'Disease burden'!L212</f>
        <v>0.09698190635</v>
      </c>
      <c r="M55" s="383">
        <f>'Disease burden'!M212</f>
        <v>0.1146607732</v>
      </c>
      <c r="N55" s="383">
        <f>'Disease burden'!N212</f>
        <v>0.1583464553</v>
      </c>
      <c r="O55" s="383">
        <f>'Disease burden'!O212</f>
        <v>0.1475301464</v>
      </c>
      <c r="P55" s="383">
        <f>'Disease burden'!P212</f>
        <v>0.1597067864</v>
      </c>
      <c r="Q55" s="453">
        <f>'Disease burden'!Q212</f>
        <v>0.1873356802</v>
      </c>
      <c r="R55" s="383">
        <f>'Disease burden'!R212</f>
        <v>0.07364430087</v>
      </c>
      <c r="S55" s="383">
        <f>'Disease burden'!S212</f>
        <v>0.1086932328</v>
      </c>
      <c r="T55" s="383">
        <f>'Disease burden'!T212</f>
        <v>0.07521518652</v>
      </c>
      <c r="U55" s="383">
        <f>'Disease burden'!U212</f>
        <v>0.07348469349</v>
      </c>
      <c r="V55" s="383">
        <f>'Disease burden'!V212</f>
        <v>0.06195461813</v>
      </c>
      <c r="W55" s="383">
        <f>'Disease burden'!W212</f>
        <v>0.08739036971</v>
      </c>
      <c r="X55" s="383">
        <f>'Disease burden'!X212</f>
        <v>0.09019385094</v>
      </c>
      <c r="Y55" s="383">
        <f>'Disease burden'!Y212</f>
        <v>0.08368088309</v>
      </c>
      <c r="Z55" s="383">
        <f>'Disease burden'!Z212</f>
        <v>0.08621848592</v>
      </c>
      <c r="AA55" s="383">
        <f>'Disease burden'!AA212</f>
        <v>0.08787686328</v>
      </c>
      <c r="AB55" s="383">
        <f>'Disease burden'!AB212</f>
        <v>0.08311657043</v>
      </c>
      <c r="AC55" s="383">
        <f>'Disease burden'!AC212</f>
        <v>0.0984089698</v>
      </c>
      <c r="AD55" s="383">
        <f>'Disease burden'!AD212</f>
        <v>0.07948373641</v>
      </c>
      <c r="AE55" s="383">
        <f>'Disease burden'!AE212</f>
        <v>0.08992036093</v>
      </c>
      <c r="AF55" s="383">
        <f>'Disease burden'!AF212</f>
        <v>0.08435514798</v>
      </c>
      <c r="AG55" s="383">
        <f>'Disease burden'!AG212</f>
        <v>0.09698190635</v>
      </c>
      <c r="AH55" s="383">
        <f>'Disease burden'!AH212</f>
        <v>0.06526455329</v>
      </c>
      <c r="AI55" s="383">
        <f>'Disease burden'!AI212</f>
        <v>0.07553827978</v>
      </c>
      <c r="AJ55" s="383">
        <f>'Disease burden'!AJ212</f>
        <v>0.07551996536</v>
      </c>
      <c r="AK55" s="383">
        <f>'Disease burden'!AK212</f>
        <v>0.09886639936</v>
      </c>
      <c r="AL55" s="383">
        <f>'Disease burden'!AL212</f>
        <v>0.1019021948</v>
      </c>
      <c r="AM55" s="383">
        <f>'Disease burden'!AM212</f>
        <v>0.1019021948</v>
      </c>
      <c r="AN55" s="383">
        <f>'Disease burden'!AN212</f>
        <v>0.1019021948</v>
      </c>
      <c r="AO55" s="383">
        <f>'Disease burden'!AO212</f>
        <v>0.07875908405</v>
      </c>
      <c r="AP55" s="383">
        <f>'Disease burden'!AP212</f>
        <v>0.08400224514</v>
      </c>
      <c r="AQ55" s="383">
        <f>'Disease burden'!AQ212</f>
        <v>0.08491827336</v>
      </c>
      <c r="AR55" s="383">
        <f>'Disease burden'!AR212</f>
        <v>0.06301977814</v>
      </c>
      <c r="AS55" s="383">
        <f>'Disease burden'!AS212</f>
        <v>0.09984596557</v>
      </c>
      <c r="AT55" s="383">
        <f>'Disease burden'!AT212</f>
        <v>0.08537350254</v>
      </c>
      <c r="AU55" s="383">
        <f>'Disease burden'!AU212</f>
        <v>0.09887474183</v>
      </c>
      <c r="AV55" s="383">
        <f>'Disease burden'!AV212</f>
        <v>0.1530990998</v>
      </c>
      <c r="AW55" s="256"/>
    </row>
    <row r="56">
      <c r="A56" s="122"/>
      <c r="B56" s="123"/>
      <c r="C56" s="450"/>
      <c r="D56" s="131"/>
      <c r="E56" s="257" t="s">
        <v>395</v>
      </c>
      <c r="F56" s="213" t="str">
        <f>'Disease burden'!F213</f>
        <v>%</v>
      </c>
      <c r="G56" s="485" t="s">
        <v>173</v>
      </c>
      <c r="H56" s="243" t="str">
        <f>'Disease burden'!H213</f>
        <v>-</v>
      </c>
      <c r="I56" s="241">
        <f>'Disease burden'!I213</f>
        <v>0.1055741014</v>
      </c>
      <c r="J56" s="241">
        <f>'Disease burden'!J213</f>
        <v>0.1411213042</v>
      </c>
      <c r="K56" s="241">
        <f>'Disease burden'!K213</f>
        <v>0.1431864564</v>
      </c>
      <c r="L56" s="241">
        <f>'Disease burden'!L213</f>
        <v>0.1693401384</v>
      </c>
      <c r="M56" s="241">
        <f>'Disease burden'!M213</f>
        <v>0.1176138225</v>
      </c>
      <c r="N56" s="241">
        <f>'Disease burden'!N213</f>
        <v>0.1408437125</v>
      </c>
      <c r="O56" s="241">
        <f>'Disease burden'!O213</f>
        <v>0.1718831469</v>
      </c>
      <c r="P56" s="241">
        <f>'Disease burden'!P213</f>
        <v>0.1211566968</v>
      </c>
      <c r="Q56" s="456">
        <f>'Disease burden'!Q213</f>
        <v>0.1371895745</v>
      </c>
      <c r="R56" s="241">
        <f>'Disease burden'!R213</f>
        <v>0.1099519704</v>
      </c>
      <c r="S56" s="241">
        <f>'Disease burden'!S213</f>
        <v>0.111155182</v>
      </c>
      <c r="T56" s="241">
        <f>'Disease burden'!T213</f>
        <v>0.1732906585</v>
      </c>
      <c r="U56" s="241">
        <f>'Disease burden'!U213</f>
        <v>0.1970461935</v>
      </c>
      <c r="V56" s="241">
        <f>'Disease burden'!V213</f>
        <v>0.2008726239</v>
      </c>
      <c r="W56" s="241">
        <f>'Disease burden'!W213</f>
        <v>0.1305269733</v>
      </c>
      <c r="X56" s="241">
        <f>'Disease burden'!X213</f>
        <v>0.1702540009</v>
      </c>
      <c r="Y56" s="241">
        <f>'Disease burden'!Y213</f>
        <v>0.199911384</v>
      </c>
      <c r="Z56" s="241">
        <f>'Disease burden'!Z213</f>
        <v>0.1535449705</v>
      </c>
      <c r="AA56" s="241">
        <f>'Disease burden'!AA213</f>
        <v>0.1786037663</v>
      </c>
      <c r="AB56" s="241">
        <f>'Disease burden'!AB213</f>
        <v>0.1463802181</v>
      </c>
      <c r="AC56" s="241">
        <f>'Disease burden'!AC213</f>
        <v>0.1264768519</v>
      </c>
      <c r="AD56" s="241">
        <f>'Disease burden'!AD213</f>
        <v>0.2313078619</v>
      </c>
      <c r="AE56" s="241">
        <f>'Disease burden'!AE213</f>
        <v>0.1511394248</v>
      </c>
      <c r="AF56" s="241">
        <f>'Disease burden'!AF213</f>
        <v>0.1529812347</v>
      </c>
      <c r="AG56" s="241">
        <f>'Disease burden'!AG213</f>
        <v>0.1693401384</v>
      </c>
      <c r="AH56" s="241">
        <f>'Disease burden'!AH213</f>
        <v>0.3457511776</v>
      </c>
      <c r="AI56" s="241">
        <f>'Disease burden'!AI213</f>
        <v>0.1862628681</v>
      </c>
      <c r="AJ56" s="241">
        <f>'Disease burden'!AJ213</f>
        <v>0.1570795752</v>
      </c>
      <c r="AK56" s="241">
        <f>'Disease burden'!AK213</f>
        <v>0.1674349753</v>
      </c>
      <c r="AL56" s="241">
        <f>'Disease burden'!AL213</f>
        <v>0.1438953048</v>
      </c>
      <c r="AM56" s="383">
        <f>'Disease burden'!AM213</f>
        <v>0.1438953048</v>
      </c>
      <c r="AN56" s="383">
        <f>'Disease burden'!AN213</f>
        <v>0.1438953048</v>
      </c>
      <c r="AO56" s="241">
        <f>'Disease burden'!AO213</f>
        <v>0.1643455417</v>
      </c>
      <c r="AP56" s="241">
        <f>'Disease burden'!AP213</f>
        <v>0.117465353</v>
      </c>
      <c r="AQ56" s="241">
        <f>'Disease burden'!AQ213</f>
        <v>0.1895683035</v>
      </c>
      <c r="AR56" s="241">
        <f>'Disease burden'!AR213</f>
        <v>0.2223410599</v>
      </c>
      <c r="AS56" s="241">
        <f>'Disease burden'!AS213</f>
        <v>0.1400000833</v>
      </c>
      <c r="AT56" s="241">
        <f>'Disease burden'!AT213</f>
        <v>0.1521162011</v>
      </c>
      <c r="AU56" s="241">
        <f>'Disease burden'!AU213</f>
        <v>0.1179693378</v>
      </c>
      <c r="AV56" s="241">
        <f>'Disease burden'!AV213</f>
        <v>0.1935638733</v>
      </c>
      <c r="AW56" s="259"/>
    </row>
    <row r="57">
      <c r="A57" s="122"/>
      <c r="B57" s="123"/>
      <c r="C57" s="450"/>
      <c r="D57" s="131"/>
      <c r="E57" s="257" t="s">
        <v>396</v>
      </c>
      <c r="F57" s="213" t="str">
        <f>'Disease burden'!F214</f>
        <v>%</v>
      </c>
      <c r="G57" s="485" t="s">
        <v>173</v>
      </c>
      <c r="H57" s="243" t="str">
        <f>'Disease burden'!H214</f>
        <v>-</v>
      </c>
      <c r="I57" s="241">
        <f>'Disease burden'!I214</f>
        <v>0.02709759941</v>
      </c>
      <c r="J57" s="241">
        <f>'Disease burden'!J214</f>
        <v>0.03355060978</v>
      </c>
      <c r="K57" s="241">
        <f>'Disease burden'!K214</f>
        <v>0.03043425128</v>
      </c>
      <c r="L57" s="241">
        <f>'Disease burden'!L214</f>
        <v>0.04094414482</v>
      </c>
      <c r="M57" s="241">
        <f>'Disease burden'!M214</f>
        <v>0.03511921834</v>
      </c>
      <c r="N57" s="241">
        <f>'Disease burden'!N214</f>
        <v>0.02684342781</v>
      </c>
      <c r="O57" s="241">
        <f>'Disease burden'!O214</f>
        <v>0.02784775868</v>
      </c>
      <c r="P57" s="241">
        <f>'Disease burden'!P214</f>
        <v>0.02436228631</v>
      </c>
      <c r="Q57" s="456">
        <f>'Disease burden'!Q214</f>
        <v>0.02140721183</v>
      </c>
      <c r="R57" s="241">
        <f>'Disease burden'!I214</f>
        <v>0.02709759941</v>
      </c>
      <c r="S57" s="241">
        <f>'Disease burden'!S214</f>
        <v>0.04087168949</v>
      </c>
      <c r="T57" s="241">
        <f>'Disease burden'!T214</f>
        <v>0.05060826939</v>
      </c>
      <c r="U57" s="241">
        <f>'Disease burden'!U214</f>
        <v>0.0523894165</v>
      </c>
      <c r="V57" s="241">
        <f>'Disease burden'!V214</f>
        <v>0.03712483231</v>
      </c>
      <c r="W57" s="241">
        <f>'Disease burden'!W214</f>
        <v>0.03943797393</v>
      </c>
      <c r="X57" s="241">
        <f>'Disease burden'!X214</f>
        <v>0.02461603881</v>
      </c>
      <c r="Y57" s="241">
        <f>'Disease burden'!Y214</f>
        <v>0.05139912956</v>
      </c>
      <c r="Z57" s="241">
        <f>'Disease burden'!Z214</f>
        <v>0.04933303475</v>
      </c>
      <c r="AA57" s="241">
        <f>'Disease burden'!AA214</f>
        <v>0.05899599381</v>
      </c>
      <c r="AB57" s="241">
        <f>'Disease burden'!AB214</f>
        <v>0.06347377769</v>
      </c>
      <c r="AC57" s="241">
        <f>'Disease burden'!AC214</f>
        <v>0.06037772278</v>
      </c>
      <c r="AD57" s="241">
        <f>'Disease burden'!AD214</f>
        <v>0.05677364553</v>
      </c>
      <c r="AE57" s="241">
        <f>'Disease burden'!AE214</f>
        <v>0.05655217915</v>
      </c>
      <c r="AF57" s="241">
        <f>'Disease burden'!AF214</f>
        <v>0.06368666223</v>
      </c>
      <c r="AG57" s="241">
        <f>'Disease burden'!AG214</f>
        <v>0.04094414482</v>
      </c>
      <c r="AH57" s="241">
        <f>'Disease burden'!AH214</f>
        <v>0.03749796082</v>
      </c>
      <c r="AI57" s="241">
        <f>'Disease burden'!AI214</f>
        <v>0.03929537291</v>
      </c>
      <c r="AJ57" s="241">
        <f>'Disease burden'!AJ214</f>
        <v>0.05715550767</v>
      </c>
      <c r="AK57" s="241">
        <f>'Disease burden'!AK214</f>
        <v>0.04052070978</v>
      </c>
      <c r="AL57" s="241">
        <f>'Disease burden'!AL214</f>
        <v>0.03354932505</v>
      </c>
      <c r="AM57" s="383">
        <f>'Disease burden'!AM214</f>
        <v>0.03354932505</v>
      </c>
      <c r="AN57" s="383">
        <f>'Disease burden'!AN214</f>
        <v>0.03354932505</v>
      </c>
      <c r="AO57" s="241">
        <f>'Disease burden'!AO214</f>
        <v>0.04062897538</v>
      </c>
      <c r="AP57" s="241">
        <f>'Disease burden'!AP214</f>
        <v>0.04991299934</v>
      </c>
      <c r="AQ57" s="241">
        <f>'Disease burden'!AQ214</f>
        <v>0.05115217176</v>
      </c>
      <c r="AR57" s="241">
        <f>'Disease burden'!AR214</f>
        <v>0.04171939461</v>
      </c>
      <c r="AS57" s="241">
        <f>'Disease burden'!AS214</f>
        <v>0.04526416378</v>
      </c>
      <c r="AT57" s="241">
        <f>'Disease burden'!AT214</f>
        <v>0.05593149316</v>
      </c>
      <c r="AU57" s="241">
        <f>'Disease burden'!AU214</f>
        <v>0.03979644744</v>
      </c>
      <c r="AV57" s="241">
        <f>'Disease burden'!AV214</f>
        <v>0.03048830604</v>
      </c>
      <c r="AW57" s="259"/>
    </row>
    <row r="58">
      <c r="A58" s="122"/>
      <c r="B58" s="123"/>
      <c r="C58" s="450"/>
      <c r="D58" s="131"/>
      <c r="E58" s="257" t="s">
        <v>397</v>
      </c>
      <c r="F58" s="213" t="str">
        <f>'Disease burden'!F215</f>
        <v>%</v>
      </c>
      <c r="G58" s="485" t="s">
        <v>173</v>
      </c>
      <c r="H58" s="243" t="str">
        <f>'Disease burden'!H215</f>
        <v>-</v>
      </c>
      <c r="I58" s="241">
        <f>'Disease burden'!I215</f>
        <v>0.3121487107</v>
      </c>
      <c r="J58" s="241">
        <f>'Disease burden'!J215</f>
        <v>0.3551754441</v>
      </c>
      <c r="K58" s="241">
        <f>'Disease burden'!K215</f>
        <v>0.3134810782</v>
      </c>
      <c r="L58" s="241">
        <f>'Disease burden'!L215</f>
        <v>0.3898243107</v>
      </c>
      <c r="M58" s="241">
        <f>'Disease burden'!M215</f>
        <v>0.3803340063</v>
      </c>
      <c r="N58" s="241">
        <f>'Disease burden'!N215</f>
        <v>0.2893253724</v>
      </c>
      <c r="O58" s="241">
        <f>'Disease burden'!O215</f>
        <v>0.2836197646</v>
      </c>
      <c r="P58" s="241">
        <f>'Disease burden'!P215</f>
        <v>0.2944024</v>
      </c>
      <c r="Q58" s="456">
        <f>'Disease burden'!Q215</f>
        <v>0.2435640626</v>
      </c>
      <c r="R58" s="241">
        <f>'Disease burden'!R215</f>
        <v>0.4219071623</v>
      </c>
      <c r="S58" s="241">
        <f>'Disease burden'!S215</f>
        <v>0.3932341624</v>
      </c>
      <c r="T58" s="241">
        <f>'Disease burden'!T215</f>
        <v>0.4232703486</v>
      </c>
      <c r="U58" s="241">
        <f>'Disease burden'!U215</f>
        <v>0.468368973</v>
      </c>
      <c r="V58" s="241">
        <f>'Disease burden'!V215</f>
        <v>0.3324087227</v>
      </c>
      <c r="W58" s="241">
        <f>'Disease burden'!W215</f>
        <v>0.350682506</v>
      </c>
      <c r="X58" s="241">
        <f>'Disease burden'!X215</f>
        <v>0.262373664</v>
      </c>
      <c r="Y58" s="241">
        <f>'Disease burden'!Y215</f>
        <v>0.3956093747</v>
      </c>
      <c r="Z58" s="241">
        <f>'Disease burden'!Z215</f>
        <v>0.4367955762</v>
      </c>
      <c r="AA58" s="241">
        <f>'Disease burden'!AA215</f>
        <v>0.4014927525</v>
      </c>
      <c r="AB58" s="241">
        <f>'Disease burden'!AB215</f>
        <v>0.4762956495</v>
      </c>
      <c r="AC58" s="241">
        <f>'Disease burden'!AC215</f>
        <v>0.4404596382</v>
      </c>
      <c r="AD58" s="241">
        <f>'Disease burden'!AD215</f>
        <v>0.399057082</v>
      </c>
      <c r="AE58" s="241">
        <f>'Disease burden'!AE215</f>
        <v>0.45133021</v>
      </c>
      <c r="AF58" s="241">
        <f>'Disease burden'!AF215</f>
        <v>0.4694286542</v>
      </c>
      <c r="AG58" s="241">
        <f>'Disease burden'!AG215</f>
        <v>0.3898243107</v>
      </c>
      <c r="AH58" s="241">
        <f>'Disease burden'!AH215</f>
        <v>0.3319577306</v>
      </c>
      <c r="AI58" s="241">
        <f>'Disease burden'!AI215</f>
        <v>0.3849190159</v>
      </c>
      <c r="AJ58" s="241">
        <f>'Disease burden'!AJ215</f>
        <v>0.4369347592</v>
      </c>
      <c r="AK58" s="241">
        <f>'Disease burden'!AK215</f>
        <v>0.3927396525</v>
      </c>
      <c r="AL58" s="241">
        <f>'Disease burden'!AL215</f>
        <v>0.3549190867</v>
      </c>
      <c r="AM58" s="383">
        <f>'Disease burden'!AM215</f>
        <v>0.3549190867</v>
      </c>
      <c r="AN58" s="383">
        <f>'Disease burden'!AN215</f>
        <v>0.3549190867</v>
      </c>
      <c r="AO58" s="241">
        <f>'Disease burden'!AO215</f>
        <v>0.4136849517</v>
      </c>
      <c r="AP58" s="241">
        <f>'Disease burden'!AP215</f>
        <v>0.4737451375</v>
      </c>
      <c r="AQ58" s="241">
        <f>'Disease burden'!AQ215</f>
        <v>0.3923061786</v>
      </c>
      <c r="AR58" s="241">
        <f>'Disease burden'!AR215</f>
        <v>0.4020401639</v>
      </c>
      <c r="AS58" s="241">
        <f>'Disease burden'!AS215</f>
        <v>0.3884219914</v>
      </c>
      <c r="AT58" s="241">
        <f>'Disease burden'!AT215</f>
        <v>0.4463794057</v>
      </c>
      <c r="AU58" s="241">
        <f>'Disease burden'!AU215</f>
        <v>0.3839963043</v>
      </c>
      <c r="AV58" s="241">
        <f>'Disease burden'!AV215</f>
        <v>0.2804338871</v>
      </c>
      <c r="AW58" s="259"/>
    </row>
    <row r="59">
      <c r="A59" s="122"/>
      <c r="B59" s="123"/>
      <c r="C59" s="450"/>
      <c r="D59" s="131"/>
      <c r="E59" s="257" t="s">
        <v>398</v>
      </c>
      <c r="F59" s="213" t="str">
        <f>'Disease burden'!F216</f>
        <v>%</v>
      </c>
      <c r="G59" s="485" t="s">
        <v>173</v>
      </c>
      <c r="H59" s="243" t="str">
        <f>'Disease burden'!H216</f>
        <v>-</v>
      </c>
      <c r="I59" s="241">
        <f>'Disease burden'!I216</f>
        <v>0.3457194022</v>
      </c>
      <c r="J59" s="241">
        <f>'Disease burden'!J216</f>
        <v>0.3225410516</v>
      </c>
      <c r="K59" s="241">
        <f>'Disease burden'!K216</f>
        <v>0.2575406209</v>
      </c>
      <c r="L59" s="241">
        <f>'Disease burden'!L216</f>
        <v>0.2534430715</v>
      </c>
      <c r="M59" s="241">
        <f>'Disease burden'!M216</f>
        <v>0.3210386458</v>
      </c>
      <c r="N59" s="241">
        <f>'Disease burden'!N216</f>
        <v>0.3087916151</v>
      </c>
      <c r="O59" s="241">
        <f>'Disease burden'!O216</f>
        <v>0.2914539317</v>
      </c>
      <c r="P59" s="241">
        <f>'Disease burden'!P216</f>
        <v>0.3436193451</v>
      </c>
      <c r="Q59" s="456">
        <f>'Disease burden'!Q216</f>
        <v>0.3416369692</v>
      </c>
      <c r="R59" s="241">
        <f>'Disease burden'!R216</f>
        <v>0.3177549352</v>
      </c>
      <c r="S59" s="241">
        <f>'Disease burden'!S216</f>
        <v>0.3136906787</v>
      </c>
      <c r="T59" s="241">
        <f>'Disease burden'!T216</f>
        <v>0.2260657394</v>
      </c>
      <c r="U59" s="241">
        <f>'Disease burden'!U216</f>
        <v>0.1729623934</v>
      </c>
      <c r="V59" s="241">
        <f>'Disease burden'!V216</f>
        <v>0.3128466319</v>
      </c>
      <c r="W59" s="241">
        <f>'Disease burden'!W216</f>
        <v>0.3573841107</v>
      </c>
      <c r="X59" s="241">
        <f>'Disease burden'!X216</f>
        <v>0.3868412333</v>
      </c>
      <c r="Y59" s="241">
        <f>'Disease burden'!Y216</f>
        <v>0.2144131207</v>
      </c>
      <c r="Z59" s="241">
        <f>'Disease burden'!Z216</f>
        <v>0.2304620574</v>
      </c>
      <c r="AA59" s="241">
        <f>'Disease burden'!AA216</f>
        <v>0.2274530691</v>
      </c>
      <c r="AB59" s="241">
        <f>'Disease burden'!AB216</f>
        <v>0.1895601478</v>
      </c>
      <c r="AC59" s="241">
        <f>'Disease burden'!AC216</f>
        <v>0.2111920916</v>
      </c>
      <c r="AD59" s="241">
        <f>'Disease burden'!AD216</f>
        <v>0.1883750597</v>
      </c>
      <c r="AE59" s="241">
        <f>'Disease burden'!AE216</f>
        <v>0.2124800161</v>
      </c>
      <c r="AF59" s="241">
        <f>'Disease burden'!AF216</f>
        <v>0.1940763185</v>
      </c>
      <c r="AG59" s="241">
        <f>'Disease burden'!AG216</f>
        <v>0.2534430715</v>
      </c>
      <c r="AH59" s="241">
        <f>'Disease burden'!AH216</f>
        <v>0.1663433965</v>
      </c>
      <c r="AI59" s="241">
        <f>'Disease burden'!AI216</f>
        <v>0.229650362</v>
      </c>
      <c r="AJ59" s="241">
        <f>'Disease burden'!AJ216</f>
        <v>0.2244339311</v>
      </c>
      <c r="AK59" s="241">
        <f>'Disease burden'!AK216</f>
        <v>0.2539518595</v>
      </c>
      <c r="AL59" s="241">
        <f>'Disease burden'!AL216</f>
        <v>0.3173100896</v>
      </c>
      <c r="AM59" s="383">
        <f>'Disease burden'!AM216</f>
        <v>0.3173100896</v>
      </c>
      <c r="AN59" s="383">
        <f>'Disease burden'!AN216</f>
        <v>0.3173100896</v>
      </c>
      <c r="AO59" s="241">
        <f>'Disease burden'!AO216</f>
        <v>0.2577401375</v>
      </c>
      <c r="AP59" s="241">
        <f>'Disease burden'!AP216</f>
        <v>0.2290848849</v>
      </c>
      <c r="AQ59" s="241">
        <f>'Disease burden'!AQ216</f>
        <v>0.2245386652</v>
      </c>
      <c r="AR59" s="241">
        <f>'Disease burden'!AR216</f>
        <v>0.2119336831</v>
      </c>
      <c r="AS59" s="241">
        <f>'Disease burden'!AS216</f>
        <v>0.2813001285</v>
      </c>
      <c r="AT59" s="241">
        <f>'Disease burden'!AT216</f>
        <v>0.2154815322</v>
      </c>
      <c r="AU59" s="241">
        <f>'Disease burden'!AU216</f>
        <v>0.3238675774</v>
      </c>
      <c r="AV59" s="241">
        <f>'Disease burden'!AV216</f>
        <v>0.2571388418</v>
      </c>
      <c r="AW59" s="259"/>
    </row>
    <row r="60">
      <c r="A60" s="122"/>
      <c r="B60" s="123"/>
      <c r="C60" s="450"/>
      <c r="D60" s="131"/>
      <c r="E60" s="272" t="s">
        <v>399</v>
      </c>
      <c r="F60" s="489" t="str">
        <f>'Disease burden'!F217</f>
        <v>%</v>
      </c>
      <c r="G60" s="487" t="s">
        <v>173</v>
      </c>
      <c r="H60" s="467" t="str">
        <f>'Disease burden'!H217</f>
        <v>-</v>
      </c>
      <c r="I60" s="385">
        <f>'Disease burden'!I217</f>
        <v>0.05357322166</v>
      </c>
      <c r="J60" s="385">
        <f>'Disease burden'!J217</f>
        <v>0.04139363667</v>
      </c>
      <c r="K60" s="385">
        <f>'Disease burden'!K217</f>
        <v>0.06818022602</v>
      </c>
      <c r="L60" s="385">
        <f>'Disease burden'!L217</f>
        <v>0.04946642812</v>
      </c>
      <c r="M60" s="385">
        <f>'Disease burden'!M217</f>
        <v>0.03123353383</v>
      </c>
      <c r="N60" s="385">
        <f>'Disease burden'!N217</f>
        <v>0.07584941698</v>
      </c>
      <c r="O60" s="385">
        <f>'Disease burden'!O217</f>
        <v>0.07766525172</v>
      </c>
      <c r="P60" s="385">
        <f>'Disease burden'!P217</f>
        <v>0.05675248533</v>
      </c>
      <c r="Q60" s="462">
        <f>'Disease burden'!Q217</f>
        <v>0.06886650168</v>
      </c>
      <c r="R60" s="385">
        <f>'Disease burden'!R217</f>
        <v>0.02484615235</v>
      </c>
      <c r="S60" s="385">
        <f>'Disease burden'!S217</f>
        <v>0.03235505458</v>
      </c>
      <c r="T60" s="385">
        <f>'Disease burden'!T217</f>
        <v>0.0515497975</v>
      </c>
      <c r="U60" s="385">
        <f>'Disease burden'!U217</f>
        <v>0.03574833011</v>
      </c>
      <c r="V60" s="385">
        <f>'Disease burden'!V217</f>
        <v>0.05479257108</v>
      </c>
      <c r="W60" s="385">
        <f>'Disease burden'!W217</f>
        <v>0.0345780664</v>
      </c>
      <c r="X60" s="385">
        <f>'Disease burden'!X217</f>
        <v>0.06572121208</v>
      </c>
      <c r="Y60" s="385">
        <f>'Disease burden'!Y217</f>
        <v>0.05498610788</v>
      </c>
      <c r="Z60" s="385">
        <f>'Disease burden'!Z217</f>
        <v>0.04364587515</v>
      </c>
      <c r="AA60" s="385">
        <f>'Disease burden'!AA217</f>
        <v>0.04557755503</v>
      </c>
      <c r="AB60" s="385">
        <f>'Disease burden'!AB217</f>
        <v>0.04117363656</v>
      </c>
      <c r="AC60" s="385">
        <f>'Disease burden'!AC217</f>
        <v>0.06308472583</v>
      </c>
      <c r="AD60" s="385">
        <f>'Disease burden'!AD217</f>
        <v>0.04500261445</v>
      </c>
      <c r="AE60" s="385">
        <f>'Disease burden'!AE217</f>
        <v>0.03857780902</v>
      </c>
      <c r="AF60" s="385">
        <f>'Disease burden'!AF217</f>
        <v>0.03547198244</v>
      </c>
      <c r="AG60" s="385">
        <f>'Disease burden'!AG217</f>
        <v>0.04946642812</v>
      </c>
      <c r="AH60" s="385">
        <f>'Disease burden'!AH217</f>
        <v>0.05318518118</v>
      </c>
      <c r="AI60" s="385">
        <f>'Disease burden'!AI217</f>
        <v>0.08433410137</v>
      </c>
      <c r="AJ60" s="385">
        <f>'Disease burden'!AJ217</f>
        <v>0.04887626149</v>
      </c>
      <c r="AK60" s="385">
        <f>'Disease burden'!AK217</f>
        <v>0.04648640343</v>
      </c>
      <c r="AL60" s="385">
        <f>'Disease burden'!AL217</f>
        <v>0.04842399898</v>
      </c>
      <c r="AM60" s="385">
        <f>'Disease burden'!AM217</f>
        <v>0.04842399898</v>
      </c>
      <c r="AN60" s="385">
        <f>'Disease burden'!AN217</f>
        <v>0.04842399898</v>
      </c>
      <c r="AO60" s="385">
        <f>'Disease burden'!AO217</f>
        <v>0.04484130971</v>
      </c>
      <c r="AP60" s="385">
        <f>'Disease burden'!AP217</f>
        <v>0.04578938018</v>
      </c>
      <c r="AQ60" s="385">
        <f>'Disease burden'!AQ217</f>
        <v>0.05751640759</v>
      </c>
      <c r="AR60" s="385">
        <f>'Disease burden'!AR217</f>
        <v>0.05894592042</v>
      </c>
      <c r="AS60" s="385">
        <f>'Disease burden'!AS217</f>
        <v>0.04516766752</v>
      </c>
      <c r="AT60" s="385">
        <f>'Disease burden'!AT217</f>
        <v>0.04471786529</v>
      </c>
      <c r="AU60" s="385">
        <f>'Disease burden'!AU217</f>
        <v>0.03549559123</v>
      </c>
      <c r="AV60" s="385">
        <f>'Disease burden'!AV217</f>
        <v>0.08527599188</v>
      </c>
      <c r="AW60" s="274"/>
    </row>
    <row r="61">
      <c r="A61" s="122"/>
      <c r="B61" s="123"/>
      <c r="C61" s="450"/>
      <c r="D61" s="131"/>
      <c r="E61" s="269"/>
      <c r="F61" s="141"/>
      <c r="G61" s="448"/>
      <c r="H61" s="188"/>
      <c r="I61" s="317"/>
      <c r="J61" s="317"/>
      <c r="K61" s="317"/>
      <c r="L61" s="317"/>
      <c r="M61" s="317"/>
      <c r="N61" s="317"/>
      <c r="O61" s="317"/>
      <c r="P61" s="317"/>
      <c r="Q61" s="449"/>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2"/>
      <c r="B62" s="123"/>
      <c r="C62" s="450" t="s">
        <v>400</v>
      </c>
      <c r="F62" s="141"/>
      <c r="G62" s="448"/>
      <c r="H62" s="188"/>
      <c r="I62" s="317"/>
      <c r="J62" s="317"/>
      <c r="K62" s="317"/>
      <c r="L62" s="317"/>
      <c r="M62" s="317"/>
      <c r="N62" s="317"/>
      <c r="O62" s="317"/>
      <c r="P62" s="317"/>
      <c r="Q62" s="449"/>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2"/>
      <c r="B63" s="123"/>
      <c r="C63" s="450"/>
      <c r="D63" s="131"/>
      <c r="E63" s="490" t="s">
        <v>188</v>
      </c>
      <c r="F63" s="134" t="s">
        <v>72</v>
      </c>
      <c r="G63" s="491" t="s">
        <v>161</v>
      </c>
      <c r="H63" s="146" t="s">
        <v>162</v>
      </c>
      <c r="I63" s="407">
        <f t="shared" ref="I63:AV63" si="5">SUMPRODUCT($H$47:$H$52,I55:I60)</f>
        <v>0.5225560494</v>
      </c>
      <c r="J63" s="407">
        <f t="shared" si="5"/>
        <v>0.5273839374</v>
      </c>
      <c r="K63" s="407">
        <f t="shared" si="5"/>
        <v>0.5508425012</v>
      </c>
      <c r="L63" s="407">
        <f t="shared" si="5"/>
        <v>0.5437120524</v>
      </c>
      <c r="M63" s="407">
        <f t="shared" si="5"/>
        <v>0.5159530939</v>
      </c>
      <c r="N63" s="407">
        <f t="shared" si="5"/>
        <v>0.5458220838</v>
      </c>
      <c r="O63" s="407">
        <f t="shared" si="5"/>
        <v>0.5582439524</v>
      </c>
      <c r="P63" s="407">
        <f t="shared" si="5"/>
        <v>0.5300120224</v>
      </c>
      <c r="Q63" s="481">
        <f t="shared" si="5"/>
        <v>0.5446171515</v>
      </c>
      <c r="R63" s="407">
        <f t="shared" si="5"/>
        <v>0.4905600146</v>
      </c>
      <c r="S63" s="407">
        <f t="shared" si="5"/>
        <v>0.5145132201</v>
      </c>
      <c r="T63" s="407">
        <f t="shared" si="5"/>
        <v>0.545829098</v>
      </c>
      <c r="U63" s="407">
        <f t="shared" si="5"/>
        <v>0.5514356642</v>
      </c>
      <c r="V63" s="407">
        <f t="shared" si="5"/>
        <v>0.5509335823</v>
      </c>
      <c r="W63" s="407">
        <f t="shared" si="5"/>
        <v>0.5188159331</v>
      </c>
      <c r="X63" s="407">
        <f t="shared" si="5"/>
        <v>0.5415841491</v>
      </c>
      <c r="Y63" s="407">
        <f t="shared" si="5"/>
        <v>0.5600280829</v>
      </c>
      <c r="Z63" s="407">
        <f t="shared" si="5"/>
        <v>0.5362105808</v>
      </c>
      <c r="AA63" s="407">
        <f t="shared" si="5"/>
        <v>0.5507531884</v>
      </c>
      <c r="AB63" s="407">
        <f t="shared" si="5"/>
        <v>0.536805029</v>
      </c>
      <c r="AC63" s="407">
        <f t="shared" si="5"/>
        <v>0.5371884011</v>
      </c>
      <c r="AD63" s="407">
        <f t="shared" si="5"/>
        <v>0.5711738554</v>
      </c>
      <c r="AE63" s="407">
        <f t="shared" si="5"/>
        <v>0.5365909677</v>
      </c>
      <c r="AF63" s="407">
        <f t="shared" si="5"/>
        <v>0.5378547429</v>
      </c>
      <c r="AG63" s="407">
        <f t="shared" si="5"/>
        <v>0.5437120524</v>
      </c>
      <c r="AH63" s="407">
        <f t="shared" si="5"/>
        <v>0.614032267</v>
      </c>
      <c r="AI63" s="407">
        <f t="shared" si="5"/>
        <v>0.5589257131</v>
      </c>
      <c r="AJ63" s="407">
        <f t="shared" si="5"/>
        <v>0.540212726</v>
      </c>
      <c r="AK63" s="407">
        <f t="shared" si="5"/>
        <v>0.5420717683</v>
      </c>
      <c r="AL63" s="407">
        <f t="shared" si="5"/>
        <v>0.530293488</v>
      </c>
      <c r="AM63" s="407">
        <f t="shared" si="5"/>
        <v>0.530293488</v>
      </c>
      <c r="AN63" s="407">
        <f t="shared" si="5"/>
        <v>0.530293488</v>
      </c>
      <c r="AO63" s="407">
        <f t="shared" si="5"/>
        <v>0.5368260467</v>
      </c>
      <c r="AP63" s="407">
        <f t="shared" si="5"/>
        <v>0.5215816456</v>
      </c>
      <c r="AQ63" s="407">
        <f t="shared" si="5"/>
        <v>0.5565284495</v>
      </c>
      <c r="AR63" s="407">
        <f t="shared" si="5"/>
        <v>0.5643685212</v>
      </c>
      <c r="AS63" s="407">
        <f t="shared" si="5"/>
        <v>0.5313482802</v>
      </c>
      <c r="AT63" s="407">
        <f t="shared" si="5"/>
        <v>0.5380968799</v>
      </c>
      <c r="AU63" s="407">
        <f t="shared" si="5"/>
        <v>0.5163326919</v>
      </c>
      <c r="AV63" s="407">
        <f t="shared" si="5"/>
        <v>0.5721852444</v>
      </c>
      <c r="AW63" s="409"/>
    </row>
    <row r="64">
      <c r="A64" s="122"/>
      <c r="B64" s="123"/>
      <c r="C64" s="450"/>
      <c r="D64" s="131"/>
      <c r="E64" s="269"/>
      <c r="F64" s="141"/>
      <c r="G64" s="448"/>
      <c r="H64" s="188"/>
      <c r="I64" s="317"/>
      <c r="J64" s="317"/>
      <c r="K64" s="317"/>
      <c r="L64" s="317"/>
      <c r="M64" s="317"/>
      <c r="N64" s="317"/>
      <c r="O64" s="317"/>
      <c r="P64" s="317"/>
      <c r="Q64" s="449"/>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130"/>
    </row>
    <row r="65">
      <c r="A65" s="122"/>
      <c r="B65" s="123"/>
      <c r="C65" s="447" t="s">
        <v>401</v>
      </c>
      <c r="F65" s="141"/>
      <c r="G65" s="448"/>
      <c r="H65" s="188"/>
      <c r="I65" s="317"/>
      <c r="J65" s="317"/>
      <c r="K65" s="317"/>
      <c r="L65" s="317"/>
      <c r="M65" s="317"/>
      <c r="N65" s="317"/>
      <c r="O65" s="317"/>
      <c r="P65" s="317"/>
      <c r="Q65" s="449"/>
      <c r="R65" s="317"/>
      <c r="S65" s="317"/>
      <c r="T65" s="317"/>
      <c r="U65" s="317"/>
      <c r="V65" s="317"/>
      <c r="W65" s="317"/>
      <c r="X65" s="317"/>
      <c r="Y65" s="317"/>
      <c r="Z65" s="317"/>
      <c r="AA65" s="317"/>
      <c r="AB65" s="317"/>
      <c r="AC65" s="317"/>
      <c r="AD65" s="317"/>
      <c r="AE65" s="317"/>
      <c r="AF65" s="317"/>
      <c r="AG65" s="317"/>
      <c r="AH65" s="317"/>
      <c r="AI65" s="317"/>
      <c r="AJ65" s="317"/>
      <c r="AK65" s="317"/>
      <c r="AL65" s="317"/>
      <c r="AM65" s="317"/>
      <c r="AN65" s="317"/>
      <c r="AO65" s="317"/>
      <c r="AP65" s="317"/>
      <c r="AQ65" s="317"/>
      <c r="AR65" s="317"/>
      <c r="AS65" s="317"/>
      <c r="AT65" s="317"/>
      <c r="AU65" s="317"/>
      <c r="AV65" s="317"/>
      <c r="AW65" s="130"/>
    </row>
    <row r="66">
      <c r="A66" s="122"/>
      <c r="B66" s="123"/>
      <c r="C66" s="450"/>
      <c r="D66" s="131"/>
      <c r="E66" s="254" t="s">
        <v>402</v>
      </c>
      <c r="F66" s="193" t="str">
        <f>'Vaccine coverage'!F163</f>
        <v>%</v>
      </c>
      <c r="G66" s="483" t="s">
        <v>173</v>
      </c>
      <c r="H66" s="236" t="str">
        <f>'Vaccine coverage'!H163</f>
        <v>-</v>
      </c>
      <c r="I66" s="383">
        <f>'Vaccine coverage'!I163</f>
        <v>0.4673758858</v>
      </c>
      <c r="J66" s="383">
        <f>'Vaccine coverage'!J163</f>
        <v>0.5616125715</v>
      </c>
      <c r="K66" s="383">
        <f>'Vaccine coverage'!K163</f>
        <v>0.6044474287</v>
      </c>
      <c r="L66" s="383">
        <f>'Vaccine coverage'!L163</f>
        <v>0.743422743</v>
      </c>
      <c r="M66" s="383">
        <f>'Vaccine coverage'!M163</f>
        <v>0.5739870858</v>
      </c>
      <c r="N66" s="383">
        <f>'Vaccine coverage'!N163</f>
        <v>0.5416229715</v>
      </c>
      <c r="O66" s="383">
        <f>'Vaccine coverage'!O163</f>
        <v>0.6053993144</v>
      </c>
      <c r="P66" s="383">
        <f>'Vaccine coverage'!P163</f>
        <v>0.3207854858</v>
      </c>
      <c r="Q66" s="453">
        <f>'Vaccine coverage'!Q163</f>
        <v>0.483557943</v>
      </c>
      <c r="R66" s="383">
        <f>'Vaccine coverage'!R163</f>
        <v>0.8614565716</v>
      </c>
      <c r="S66" s="383">
        <f>'Vaccine coverage'!S163</f>
        <v>0.7957764573</v>
      </c>
      <c r="T66" s="383">
        <f>'Vaccine coverage'!T163</f>
        <v>0.8148141716</v>
      </c>
      <c r="U66" s="383">
        <f>'Vaccine coverage'!U163</f>
        <v>0.803391543</v>
      </c>
      <c r="V66" s="383">
        <f>'Vaccine coverage'!V163</f>
        <v>0.7510378287</v>
      </c>
      <c r="W66" s="383">
        <f>'Vaccine coverage'!W163</f>
        <v>0.7776906287</v>
      </c>
      <c r="X66" s="383">
        <f>'Vaccine coverage'!X163</f>
        <v>0.616821943</v>
      </c>
      <c r="Y66" s="383">
        <f>'Vaccine coverage'!Y163</f>
        <v>0.8862056002</v>
      </c>
      <c r="Z66" s="383">
        <f>'Vaccine coverage'!Z163</f>
        <v>0.7948245716</v>
      </c>
      <c r="AA66" s="383">
        <f>'Vaccine coverage'!AA163</f>
        <v>0.9452225145</v>
      </c>
      <c r="AB66" s="383">
        <f>'Vaccine coverage'!AB163</f>
        <v>0.8785905145</v>
      </c>
      <c r="AC66" s="383">
        <f>'Vaccine coverage'!AC163</f>
        <v>0.9423668573</v>
      </c>
      <c r="AD66" s="383">
        <f>'Vaccine coverage'!AD163</f>
        <v>0.9433187431</v>
      </c>
      <c r="AE66" s="383">
        <f>'Vaccine coverage'!AE163</f>
        <v>0.9061952002</v>
      </c>
      <c r="AF66" s="383">
        <f>'Vaccine coverage'!AF163</f>
        <v>0.9014357716</v>
      </c>
      <c r="AG66" s="383">
        <f>'Vaccine coverage'!AG163</f>
        <v>0.743422743</v>
      </c>
      <c r="AH66" s="383">
        <f>'Vaccine coverage'!AH163</f>
        <v>0.8785905145</v>
      </c>
      <c r="AI66" s="383">
        <f>'Vaccine coverage'!AI163</f>
        <v>0.6882133716</v>
      </c>
      <c r="AJ66" s="383">
        <f>'Vaccine coverage'!AJ163</f>
        <v>0.8985801145</v>
      </c>
      <c r="AK66" s="383">
        <f>'Vaccine coverage'!AK163</f>
        <v>0.7538934859</v>
      </c>
      <c r="AL66" s="383">
        <f>'Vaccine coverage'!AL163</f>
        <v>0.6349077716</v>
      </c>
      <c r="AM66" s="383">
        <f>'Vaccine coverage'!AM163</f>
        <v>0.6349077716</v>
      </c>
      <c r="AN66" s="383">
        <f>'Vaccine coverage'!AN163</f>
        <v>0.6349077716</v>
      </c>
      <c r="AO66" s="383">
        <f>'Vaccine coverage'!AO163</f>
        <v>0.6882133716</v>
      </c>
      <c r="AP66" s="383">
        <f>'Vaccine coverage'!AP163</f>
        <v>0.7148661716</v>
      </c>
      <c r="AQ66" s="383">
        <f>'Vaccine coverage'!AQ163</f>
        <v>0.8852537145</v>
      </c>
      <c r="AR66" s="383">
        <f>'Vaccine coverage'!AR163</f>
        <v>0.7853057145</v>
      </c>
      <c r="AS66" s="383">
        <f>'Vaccine coverage'!AS163</f>
        <v>0.8348037716</v>
      </c>
      <c r="AT66" s="383">
        <f>'Vaccine coverage'!AT163</f>
        <v>0.8595528002</v>
      </c>
      <c r="AU66" s="383">
        <f>'Vaccine coverage'!AU163</f>
        <v>0.676790743</v>
      </c>
      <c r="AV66" s="383">
        <f>'Vaccine coverage'!AV163</f>
        <v>0.7158180573</v>
      </c>
      <c r="AW66" s="256"/>
    </row>
    <row r="67">
      <c r="A67" s="122"/>
      <c r="B67" s="123"/>
      <c r="C67" s="450"/>
      <c r="D67" s="131"/>
      <c r="E67" s="257" t="s">
        <v>403</v>
      </c>
      <c r="F67" s="213" t="str">
        <f>'Vaccine coverage'!F164</f>
        <v>%</v>
      </c>
      <c r="G67" s="485" t="s">
        <v>173</v>
      </c>
      <c r="H67" s="240" t="str">
        <f>'Vaccine coverage'!H164</f>
        <v>-</v>
      </c>
      <c r="I67" s="241">
        <f>'Vaccine coverage'!I164</f>
        <v>0.3675706686</v>
      </c>
      <c r="J67" s="241">
        <f>'Vaccine coverage'!J164</f>
        <v>0.4847953944</v>
      </c>
      <c r="K67" s="241">
        <f>'Vaccine coverage'!K164</f>
        <v>0.5462872115</v>
      </c>
      <c r="L67" s="383">
        <f>'Vaccine coverage'!L164</f>
        <v>0.6474250687</v>
      </c>
      <c r="M67" s="241">
        <f>'Vaccine coverage'!M164</f>
        <v>0.4693272515</v>
      </c>
      <c r="N67" s="241">
        <f>'Vaccine coverage'!N164</f>
        <v>0.4597608001</v>
      </c>
      <c r="O67" s="241">
        <f>'Vaccine coverage'!O164</f>
        <v>0.5564247944</v>
      </c>
      <c r="P67" s="241">
        <f>'Vaccine coverage'!P164</f>
        <v>0.2032276</v>
      </c>
      <c r="Q67" s="456">
        <f>'Vaccine coverage'!Q164</f>
        <v>0.3583373772</v>
      </c>
      <c r="R67" s="241">
        <f>'Vaccine coverage'!R164</f>
        <v>0.8154804916</v>
      </c>
      <c r="S67" s="241">
        <f>'Vaccine coverage'!S164</f>
        <v>0.6498523773</v>
      </c>
      <c r="T67" s="241">
        <f>'Vaccine coverage'!T164</f>
        <v>0.7876378345</v>
      </c>
      <c r="U67" s="241">
        <f>'Vaccine coverage'!U164</f>
        <v>0.7409954344</v>
      </c>
      <c r="V67" s="241">
        <f>'Vaccine coverage'!V164</f>
        <v>0.7229096059</v>
      </c>
      <c r="W67" s="241">
        <f>'Vaccine coverage'!W164</f>
        <v>0.7190068744</v>
      </c>
      <c r="X67" s="241">
        <f>'Vaccine coverage'!X164</f>
        <v>0.4587137258</v>
      </c>
      <c r="Y67" s="241">
        <f>'Vaccine coverage'!Y164</f>
        <v>0.8621704859</v>
      </c>
      <c r="Z67" s="241">
        <f>'Vaccine coverage'!Z164</f>
        <v>0.7316669544</v>
      </c>
      <c r="AA67" s="241">
        <f>'Vaccine coverage'!AA164</f>
        <v>0.9424144516</v>
      </c>
      <c r="AB67" s="241">
        <f>'Vaccine coverage'!AB164</f>
        <v>0.8612661945</v>
      </c>
      <c r="AC67" s="241">
        <f>'Vaccine coverage'!AC164</f>
        <v>0.889679983</v>
      </c>
      <c r="AD67" s="241">
        <f>'Vaccine coverage'!AD164</f>
        <v>0.9208542402</v>
      </c>
      <c r="AE67" s="241">
        <f>'Vaccine coverage'!AE164</f>
        <v>0.8338042916</v>
      </c>
      <c r="AF67" s="241">
        <f>'Vaccine coverage'!AF164</f>
        <v>0.8859676288</v>
      </c>
      <c r="AG67" s="241">
        <f>'Vaccine coverage'!AG164</f>
        <v>0.6474250687</v>
      </c>
      <c r="AH67" s="241">
        <f>'Vaccine coverage'!AH164</f>
        <v>0.734760583</v>
      </c>
      <c r="AI67" s="241">
        <f>'Vaccine coverage'!AI164</f>
        <v>0.6089212916</v>
      </c>
      <c r="AJ67" s="241">
        <f>'Vaccine coverage'!AJ164</f>
        <v>0.8601715259</v>
      </c>
      <c r="AK67" s="241">
        <f>'Vaccine coverage'!AK164</f>
        <v>0.6296724001</v>
      </c>
      <c r="AL67" s="383">
        <f>'Vaccine coverage'!AL164</f>
        <v>0.5045946173</v>
      </c>
      <c r="AM67" s="383">
        <f>'Vaccine coverage'!AM164</f>
        <v>0.5045946173</v>
      </c>
      <c r="AN67" s="383">
        <f>'Vaccine coverage'!AN164</f>
        <v>0.5045946173</v>
      </c>
      <c r="AO67" s="241">
        <f>'Vaccine coverage'!AO164</f>
        <v>0.565182143</v>
      </c>
      <c r="AP67" s="241">
        <f>'Vaccine coverage'!AP164</f>
        <v>0.6611798173</v>
      </c>
      <c r="AQ67" s="241">
        <f>'Vaccine coverage'!AQ164</f>
        <v>0.8438466859</v>
      </c>
      <c r="AR67" s="241">
        <f>'Vaccine coverage'!AR164</f>
        <v>0.642142103</v>
      </c>
      <c r="AS67" s="241">
        <f>'Vaccine coverage'!AS164</f>
        <v>0.7366167602</v>
      </c>
      <c r="AT67" s="241">
        <f>'Vaccine coverage'!AT164</f>
        <v>0.8288544859</v>
      </c>
      <c r="AU67" s="241">
        <f>'Vaccine coverage'!AU164</f>
        <v>0.6299579658</v>
      </c>
      <c r="AV67" s="241">
        <f>'Vaccine coverage'!AV164</f>
        <v>0.6797415887</v>
      </c>
      <c r="AW67" s="259"/>
    </row>
    <row r="68">
      <c r="A68" s="122"/>
      <c r="B68" s="123"/>
      <c r="C68" s="450"/>
      <c r="D68" s="131"/>
      <c r="E68" s="257" t="s">
        <v>404</v>
      </c>
      <c r="F68" s="213" t="str">
        <f>'Vaccine coverage'!F165</f>
        <v>%</v>
      </c>
      <c r="G68" s="485" t="s">
        <v>173</v>
      </c>
      <c r="H68" s="240" t="str">
        <f>'Vaccine coverage'!H165</f>
        <v>-</v>
      </c>
      <c r="I68" s="241">
        <f>'Vaccine coverage'!I165</f>
        <v>0.3675706686</v>
      </c>
      <c r="J68" s="241">
        <f>'Vaccine coverage'!J165</f>
        <v>0.4847953944</v>
      </c>
      <c r="K68" s="241">
        <f>'Vaccine coverage'!K165</f>
        <v>0.5462872115</v>
      </c>
      <c r="L68" s="383">
        <f>'Vaccine coverage'!L165</f>
        <v>0.6474250687</v>
      </c>
      <c r="M68" s="241">
        <f>'Vaccine coverage'!M165</f>
        <v>0.4693272515</v>
      </c>
      <c r="N68" s="241">
        <f>'Vaccine coverage'!N165</f>
        <v>0.4597608001</v>
      </c>
      <c r="O68" s="241">
        <f>'Vaccine coverage'!O165</f>
        <v>0.5564247944</v>
      </c>
      <c r="P68" s="241">
        <f>'Vaccine coverage'!P165</f>
        <v>0.2032276</v>
      </c>
      <c r="Q68" s="456">
        <f>'Vaccine coverage'!Q165</f>
        <v>0.3583373772</v>
      </c>
      <c r="R68" s="241">
        <f>'Vaccine coverage'!R165</f>
        <v>0.8154804916</v>
      </c>
      <c r="S68" s="241">
        <f>'Vaccine coverage'!S165</f>
        <v>0.6498523773</v>
      </c>
      <c r="T68" s="241">
        <f>'Vaccine coverage'!T165</f>
        <v>0.7876378345</v>
      </c>
      <c r="U68" s="241">
        <f>'Vaccine coverage'!U165</f>
        <v>0.7409954344</v>
      </c>
      <c r="V68" s="241">
        <f>'Vaccine coverage'!V165</f>
        <v>0.7229096059</v>
      </c>
      <c r="W68" s="241">
        <f>'Vaccine coverage'!W165</f>
        <v>0.7190068744</v>
      </c>
      <c r="X68" s="241">
        <f>'Vaccine coverage'!X165</f>
        <v>0.4587137258</v>
      </c>
      <c r="Y68" s="241">
        <f>'Vaccine coverage'!Y165</f>
        <v>0.8621704859</v>
      </c>
      <c r="Z68" s="241">
        <f>'Vaccine coverage'!Z165</f>
        <v>0.7316669544</v>
      </c>
      <c r="AA68" s="241">
        <f>'Vaccine coverage'!AA165</f>
        <v>0.9424144516</v>
      </c>
      <c r="AB68" s="241">
        <f>'Vaccine coverage'!AB165</f>
        <v>0.8612661945</v>
      </c>
      <c r="AC68" s="241">
        <f>'Vaccine coverage'!AC165</f>
        <v>0.889679983</v>
      </c>
      <c r="AD68" s="241">
        <f>'Vaccine coverage'!AD165</f>
        <v>0.9208542402</v>
      </c>
      <c r="AE68" s="241">
        <f>'Vaccine coverage'!AE165</f>
        <v>0.8338042916</v>
      </c>
      <c r="AF68" s="241">
        <f>'Vaccine coverage'!AF165</f>
        <v>0.8859676288</v>
      </c>
      <c r="AG68" s="241">
        <f>'Vaccine coverage'!AG165</f>
        <v>0.6474250687</v>
      </c>
      <c r="AH68" s="241">
        <f>'Vaccine coverage'!AH165</f>
        <v>0.734760583</v>
      </c>
      <c r="AI68" s="241">
        <f>'Vaccine coverage'!AI165</f>
        <v>0.6089212916</v>
      </c>
      <c r="AJ68" s="241">
        <f>'Vaccine coverage'!AJ165</f>
        <v>0.8601715259</v>
      </c>
      <c r="AK68" s="241">
        <f>'Vaccine coverage'!AK165</f>
        <v>0.6296724001</v>
      </c>
      <c r="AL68" s="241">
        <f>'Vaccine coverage'!AL165</f>
        <v>0.5045946173</v>
      </c>
      <c r="AM68" s="383">
        <f>'Vaccine coverage'!AM165</f>
        <v>0.5045946173</v>
      </c>
      <c r="AN68" s="383">
        <f>'Vaccine coverage'!AN165</f>
        <v>0.5045946173</v>
      </c>
      <c r="AO68" s="241">
        <f>'Vaccine coverage'!AO165</f>
        <v>0.565182143</v>
      </c>
      <c r="AP68" s="241">
        <f>'Vaccine coverage'!AP165</f>
        <v>0.6611798173</v>
      </c>
      <c r="AQ68" s="241">
        <f>'Vaccine coverage'!AQ165</f>
        <v>0.8438466859</v>
      </c>
      <c r="AR68" s="241">
        <f>'Vaccine coverage'!AR165</f>
        <v>0.642142103</v>
      </c>
      <c r="AS68" s="241">
        <f>'Vaccine coverage'!AS165</f>
        <v>0.7366167602</v>
      </c>
      <c r="AT68" s="241">
        <f>'Vaccine coverage'!AT165</f>
        <v>0.8288544859</v>
      </c>
      <c r="AU68" s="241">
        <f>'Vaccine coverage'!AU165</f>
        <v>0.6299579658</v>
      </c>
      <c r="AV68" s="241">
        <f>'Vaccine coverage'!AV165</f>
        <v>0.6797415887</v>
      </c>
      <c r="AW68" s="259"/>
    </row>
    <row r="69">
      <c r="A69" s="122"/>
      <c r="B69" s="123"/>
      <c r="C69" s="450"/>
      <c r="D69" s="131"/>
      <c r="E69" s="257" t="s">
        <v>405</v>
      </c>
      <c r="F69" s="213" t="str">
        <f>'Vaccine coverage'!F166</f>
        <v>%</v>
      </c>
      <c r="G69" s="485" t="s">
        <v>173</v>
      </c>
      <c r="H69" s="240" t="str">
        <f>'Vaccine coverage'!H166</f>
        <v>-</v>
      </c>
      <c r="I69" s="241">
        <f>'Vaccine coverage'!I166</f>
        <v>0.3669995372</v>
      </c>
      <c r="J69" s="241">
        <f>'Vaccine coverage'!J166</f>
        <v>0.4535259487</v>
      </c>
      <c r="K69" s="241">
        <f>'Vaccine coverage'!K166</f>
        <v>0.5384341544</v>
      </c>
      <c r="L69" s="383">
        <f>'Vaccine coverage'!L166</f>
        <v>0.6347649887</v>
      </c>
      <c r="M69" s="241">
        <f>'Vaccine coverage'!M166</f>
        <v>0.4631875887</v>
      </c>
      <c r="N69" s="241">
        <f>'Vaccine coverage'!N166</f>
        <v>0.4396284172</v>
      </c>
      <c r="O69" s="241">
        <f>'Vaccine coverage'!O166</f>
        <v>0.5477626344</v>
      </c>
      <c r="P69" s="241">
        <f>'Vaccine coverage'!P166</f>
        <v>0.1564900115</v>
      </c>
      <c r="Q69" s="456">
        <f>'Vaccine coverage'!Q166</f>
        <v>0.3642866629</v>
      </c>
      <c r="R69" s="241">
        <f>'Vaccine coverage'!R166</f>
        <v>0.8046765887</v>
      </c>
      <c r="S69" s="241">
        <f>'Vaccine coverage'!S166</f>
        <v>0.6503283201</v>
      </c>
      <c r="T69" s="241">
        <f>'Vaccine coverage'!T166</f>
        <v>0.7751681316</v>
      </c>
      <c r="U69" s="241">
        <f>'Vaccine coverage'!U166</f>
        <v>0.7389012859</v>
      </c>
      <c r="V69" s="241">
        <f>'Vaccine coverage'!V166</f>
        <v>0.7133431544</v>
      </c>
      <c r="W69" s="241">
        <f>'Vaccine coverage'!W166</f>
        <v>0.6883561544</v>
      </c>
      <c r="X69" s="241">
        <f>'Vaccine coverage'!X166</f>
        <v>0.4065027944</v>
      </c>
      <c r="Y69" s="241">
        <f>'Vaccine coverage'!Y166</f>
        <v>0.8604570916</v>
      </c>
      <c r="Z69" s="241">
        <f>'Vaccine coverage'!Z166</f>
        <v>0.714104663</v>
      </c>
      <c r="AA69" s="241">
        <f>'Vaccine coverage'!AA166</f>
        <v>0.9427476116</v>
      </c>
      <c r="AB69" s="241">
        <f>'Vaccine coverage'!AB166</f>
        <v>0.8194784116</v>
      </c>
      <c r="AC69" s="241">
        <f>'Vaccine coverage'!AC166</f>
        <v>0.8660732173</v>
      </c>
      <c r="AD69" s="241">
        <f>'Vaccine coverage'!AD166</f>
        <v>0.9164755659</v>
      </c>
      <c r="AE69" s="241">
        <f>'Vaccine coverage'!AE166</f>
        <v>0.8364695716</v>
      </c>
      <c r="AF69" s="241">
        <f>'Vaccine coverage'!AF166</f>
        <v>0.870356703</v>
      </c>
      <c r="AG69" s="241">
        <f>'Vaccine coverage'!AG166</f>
        <v>0.6347649887</v>
      </c>
      <c r="AH69" s="241">
        <f>'Vaccine coverage'!AH166</f>
        <v>0.7177218287</v>
      </c>
      <c r="AI69" s="241">
        <f>'Vaccine coverage'!AI166</f>
        <v>0.5803171258</v>
      </c>
      <c r="AJ69" s="241">
        <f>'Vaccine coverage'!AJ166</f>
        <v>0.8477494173</v>
      </c>
      <c r="AK69" s="241">
        <f>'Vaccine coverage'!AK166</f>
        <v>0.6163935944</v>
      </c>
      <c r="AL69" s="241">
        <f>'Vaccine coverage'!AL166</f>
        <v>0.4899831715</v>
      </c>
      <c r="AM69" s="383">
        <f>'Vaccine coverage'!AM166</f>
        <v>0.4899831715</v>
      </c>
      <c r="AN69" s="383">
        <f>'Vaccine coverage'!AN166</f>
        <v>0.4899831715</v>
      </c>
      <c r="AO69" s="241">
        <f>'Vaccine coverage'!AO166</f>
        <v>0.5495712173</v>
      </c>
      <c r="AP69" s="241">
        <f>'Vaccine coverage'!AP166</f>
        <v>0.6417137544</v>
      </c>
      <c r="AQ69" s="241">
        <f>'Vaccine coverage'!AQ166</f>
        <v>0.8009166402</v>
      </c>
      <c r="AR69" s="241">
        <f>'Vaccine coverage'!AR166</f>
        <v>0.6321948973</v>
      </c>
      <c r="AS69" s="241">
        <f>'Vaccine coverage'!AS166</f>
        <v>0.6795988059</v>
      </c>
      <c r="AT69" s="241">
        <f>'Vaccine coverage'!AT166</f>
        <v>0.8198591659</v>
      </c>
      <c r="AU69" s="241">
        <f>'Vaccine coverage'!AU166</f>
        <v>0.6079218116</v>
      </c>
      <c r="AV69" s="241">
        <f>'Vaccine coverage'!AV166</f>
        <v>0.656467983</v>
      </c>
      <c r="AW69" s="259"/>
    </row>
    <row r="70">
      <c r="A70" s="122"/>
      <c r="B70" s="123"/>
      <c r="C70" s="450"/>
      <c r="D70" s="131"/>
      <c r="E70" s="257" t="s">
        <v>406</v>
      </c>
      <c r="F70" s="213" t="str">
        <f>'Vaccine coverage'!F167</f>
        <v>%</v>
      </c>
      <c r="G70" s="485" t="s">
        <v>173</v>
      </c>
      <c r="H70" s="240" t="str">
        <f>'Vaccine coverage'!H167</f>
        <v>-</v>
      </c>
      <c r="I70" s="241">
        <f>'Vaccine coverage'!I167</f>
        <v>0</v>
      </c>
      <c r="J70" s="241">
        <f>'Vaccine coverage'!J167</f>
        <v>0</v>
      </c>
      <c r="K70" s="241">
        <f>'Vaccine coverage'!K167</f>
        <v>0</v>
      </c>
      <c r="L70" s="383">
        <f>'Vaccine coverage'!L167</f>
        <v>0</v>
      </c>
      <c r="M70" s="241">
        <f>'Vaccine coverage'!M167</f>
        <v>0</v>
      </c>
      <c r="N70" s="241">
        <f>'Vaccine coverage'!N167</f>
        <v>0</v>
      </c>
      <c r="O70" s="241">
        <f>'Vaccine coverage'!O167</f>
        <v>0</v>
      </c>
      <c r="P70" s="241">
        <f>'Vaccine coverage'!P167</f>
        <v>0</v>
      </c>
      <c r="Q70" s="456">
        <f>'Vaccine coverage'!Q167</f>
        <v>0</v>
      </c>
      <c r="R70" s="241">
        <f>'Vaccine coverage'!R167</f>
        <v>0</v>
      </c>
      <c r="S70" s="241">
        <f>'Vaccine coverage'!S167</f>
        <v>0</v>
      </c>
      <c r="T70" s="241">
        <f>'Vaccine coverage'!T167</f>
        <v>0</v>
      </c>
      <c r="U70" s="241">
        <f>'Vaccine coverage'!U167</f>
        <v>0</v>
      </c>
      <c r="V70" s="241">
        <f>'Vaccine coverage'!V167</f>
        <v>0</v>
      </c>
      <c r="W70" s="241">
        <f>'Vaccine coverage'!W167</f>
        <v>0</v>
      </c>
      <c r="X70" s="241">
        <f>'Vaccine coverage'!X167</f>
        <v>0</v>
      </c>
      <c r="Y70" s="241">
        <f>'Vaccine coverage'!Y167</f>
        <v>0</v>
      </c>
      <c r="Z70" s="241">
        <f>'Vaccine coverage'!Z167</f>
        <v>0</v>
      </c>
      <c r="AA70" s="241">
        <f>'Vaccine coverage'!AA167</f>
        <v>0</v>
      </c>
      <c r="AB70" s="241">
        <f>'Vaccine coverage'!AB167</f>
        <v>0</v>
      </c>
      <c r="AC70" s="241">
        <f>'Vaccine coverage'!AC167</f>
        <v>0</v>
      </c>
      <c r="AD70" s="241">
        <f>'Vaccine coverage'!AD167</f>
        <v>0</v>
      </c>
      <c r="AE70" s="241">
        <f>'Vaccine coverage'!AE167</f>
        <v>0</v>
      </c>
      <c r="AF70" s="241">
        <f>'Vaccine coverage'!AF167</f>
        <v>0</v>
      </c>
      <c r="AG70" s="241">
        <f>'Vaccine coverage'!AG167</f>
        <v>0</v>
      </c>
      <c r="AH70" s="241">
        <f>'Vaccine coverage'!AH167</f>
        <v>0</v>
      </c>
      <c r="AI70" s="241">
        <f>'Vaccine coverage'!AI167</f>
        <v>0</v>
      </c>
      <c r="AJ70" s="241">
        <f>'Vaccine coverage'!AJ167</f>
        <v>0</v>
      </c>
      <c r="AK70" s="241">
        <f>'Vaccine coverage'!AK167</f>
        <v>0</v>
      </c>
      <c r="AL70" s="241">
        <f>'Vaccine coverage'!AL167</f>
        <v>0</v>
      </c>
      <c r="AM70" s="383">
        <f>'Vaccine coverage'!AM167</f>
        <v>0</v>
      </c>
      <c r="AN70" s="383">
        <f>'Vaccine coverage'!AN167</f>
        <v>0</v>
      </c>
      <c r="AO70" s="241">
        <f>'Vaccine coverage'!AO167</f>
        <v>0</v>
      </c>
      <c r="AP70" s="241">
        <f>'Vaccine coverage'!AP167</f>
        <v>0</v>
      </c>
      <c r="AQ70" s="241">
        <f>'Vaccine coverage'!AQ167</f>
        <v>0</v>
      </c>
      <c r="AR70" s="241">
        <f>'Vaccine coverage'!AR167</f>
        <v>0</v>
      </c>
      <c r="AS70" s="241">
        <f>'Vaccine coverage'!AS167</f>
        <v>0</v>
      </c>
      <c r="AT70" s="241">
        <f>'Vaccine coverage'!AT167</f>
        <v>0</v>
      </c>
      <c r="AU70" s="241">
        <f>'Vaccine coverage'!AU167</f>
        <v>0</v>
      </c>
      <c r="AV70" s="241">
        <f>'Vaccine coverage'!AV167</f>
        <v>0</v>
      </c>
      <c r="AW70" s="259"/>
    </row>
    <row r="71">
      <c r="A71" s="122"/>
      <c r="B71" s="123"/>
      <c r="C71" s="450"/>
      <c r="D71" s="131"/>
      <c r="E71" s="272" t="s">
        <v>407</v>
      </c>
      <c r="F71" s="200" t="str">
        <f>'Vaccine coverage'!F168</f>
        <v>%</v>
      </c>
      <c r="G71" s="487" t="s">
        <v>173</v>
      </c>
      <c r="H71" s="228" t="str">
        <f>'Vaccine coverage'!H168</f>
        <v>-</v>
      </c>
      <c r="I71" s="385">
        <f>'Vaccine coverage'!I168</f>
        <v>0.2826042921</v>
      </c>
      <c r="J71" s="385">
        <f>'Vaccine coverage'!J168</f>
        <v>0.3393472572</v>
      </c>
      <c r="K71" s="385">
        <f>'Vaccine coverage'!K168</f>
        <v>0.5198353652</v>
      </c>
      <c r="L71" s="385">
        <f>'Vaccine coverage'!L168</f>
        <v>0.5260755049</v>
      </c>
      <c r="M71" s="385">
        <f>'Vaccine coverage'!M168</f>
        <v>0.3716056064</v>
      </c>
      <c r="N71" s="385">
        <f>'Vaccine coverage'!N168</f>
        <v>0.4059263747</v>
      </c>
      <c r="O71" s="385">
        <f>'Vaccine coverage'!O168</f>
        <v>0.5972025208</v>
      </c>
      <c r="P71" s="385">
        <f>'Vaccine coverage'!P168</f>
        <v>0.1814928762</v>
      </c>
      <c r="Q71" s="462">
        <f>'Vaccine coverage'!Q168</f>
        <v>0.4307282858</v>
      </c>
      <c r="R71" s="385">
        <f>'Vaccine coverage'!R168</f>
        <v>0.7055588446</v>
      </c>
      <c r="S71" s="385">
        <f>'Vaccine coverage'!S168</f>
        <v>0.5672181208</v>
      </c>
      <c r="T71" s="385">
        <f>'Vaccine coverage'!T168</f>
        <v>0.6711323113</v>
      </c>
      <c r="U71" s="385">
        <f>'Vaccine coverage'!U168</f>
        <v>0.637499016</v>
      </c>
      <c r="V71" s="385">
        <f>'Vaccine coverage'!V168</f>
        <v>0.6269225081</v>
      </c>
      <c r="W71" s="385">
        <f>'Vaccine coverage'!W168</f>
        <v>0.6284561017</v>
      </c>
      <c r="X71" s="385">
        <f>'Vaccine coverage'!X168</f>
        <v>0.3571686731</v>
      </c>
      <c r="Y71" s="385">
        <f>'Vaccine coverage'!Y168</f>
        <v>0.7438458033</v>
      </c>
      <c r="Z71" s="385">
        <f>'Vaccine coverage'!Z168</f>
        <v>0.6850933017</v>
      </c>
      <c r="AA71" s="385">
        <f>'Vaccine coverage'!AA168</f>
        <v>0.8648939367</v>
      </c>
      <c r="AB71" s="385">
        <f>'Vaccine coverage'!AB168</f>
        <v>0.7433698605</v>
      </c>
      <c r="AC71" s="385">
        <f>'Vaccine coverage'!AC168</f>
        <v>0.8841960637</v>
      </c>
      <c r="AD71" s="385">
        <f>'Vaccine coverage'!AD168</f>
        <v>0.7502445906</v>
      </c>
      <c r="AE71" s="385">
        <f>'Vaccine coverage'!AE168</f>
        <v>0.8290924573</v>
      </c>
      <c r="AF71" s="385">
        <f>'Vaccine coverage'!AF168</f>
        <v>0.6983668192</v>
      </c>
      <c r="AG71" s="385">
        <f>'Vaccine coverage'!AG168</f>
        <v>0.5260755049</v>
      </c>
      <c r="AH71" s="385">
        <f>'Vaccine coverage'!AH168</f>
        <v>0.6801752255</v>
      </c>
      <c r="AI71" s="385">
        <f>'Vaccine coverage'!AI168</f>
        <v>0.5951401017</v>
      </c>
      <c r="AJ71" s="385">
        <f>'Vaccine coverage'!AJ168</f>
        <v>0.8115354541</v>
      </c>
      <c r="AK71" s="385">
        <f>'Vaccine coverage'!AK168</f>
        <v>0.5230083176</v>
      </c>
      <c r="AL71" s="385">
        <f>'Vaccine coverage'!AL168</f>
        <v>0.5014322414</v>
      </c>
      <c r="AM71" s="385">
        <f>'Vaccine coverage'!AM168</f>
        <v>0.5014322414</v>
      </c>
      <c r="AN71" s="385">
        <f>'Vaccine coverage'!AN168</f>
        <v>0.5014322414</v>
      </c>
      <c r="AO71" s="385">
        <f>'Vaccine coverage'!AO168</f>
        <v>0.5253880319</v>
      </c>
      <c r="AP71" s="385">
        <f>'Vaccine coverage'!AP168</f>
        <v>0.6196247176</v>
      </c>
      <c r="AQ71" s="385">
        <f>'Vaccine coverage'!AQ168</f>
        <v>0.751460889</v>
      </c>
      <c r="AR71" s="385">
        <f>'Vaccine coverage'!AR168</f>
        <v>0.5727179049</v>
      </c>
      <c r="AS71" s="385">
        <f>'Vaccine coverage'!AS168</f>
        <v>0.6457486922</v>
      </c>
      <c r="AT71" s="385">
        <f>'Vaccine coverage'!AT168</f>
        <v>0.7889017272</v>
      </c>
      <c r="AU71" s="385">
        <f>'Vaccine coverage'!AU168</f>
        <v>0.6083607366</v>
      </c>
      <c r="AV71" s="385">
        <f>'Vaccine coverage'!AV168</f>
        <v>0.6665844128</v>
      </c>
      <c r="AW71" s="274"/>
    </row>
    <row r="72">
      <c r="A72" s="122"/>
      <c r="B72" s="123"/>
      <c r="C72" s="450"/>
      <c r="D72" s="131"/>
      <c r="E72" s="269"/>
      <c r="F72" s="141"/>
      <c r="G72" s="448"/>
      <c r="H72" s="188"/>
      <c r="I72" s="317"/>
      <c r="J72" s="317"/>
      <c r="K72" s="317"/>
      <c r="L72" s="317"/>
      <c r="M72" s="317"/>
      <c r="N72" s="317"/>
      <c r="O72" s="317"/>
      <c r="P72" s="317"/>
      <c r="Q72" s="449"/>
      <c r="R72" s="317"/>
      <c r="S72" s="317"/>
      <c r="T72" s="317"/>
      <c r="U72" s="317"/>
      <c r="V72" s="317"/>
      <c r="W72" s="317"/>
      <c r="X72" s="317"/>
      <c r="Y72" s="317"/>
      <c r="Z72" s="317"/>
      <c r="AA72" s="317"/>
      <c r="AB72" s="317"/>
      <c r="AC72" s="317"/>
      <c r="AD72" s="317"/>
      <c r="AE72" s="317"/>
      <c r="AF72" s="317"/>
      <c r="AG72" s="317"/>
      <c r="AH72" s="317"/>
      <c r="AI72" s="317"/>
      <c r="AJ72" s="317"/>
      <c r="AK72" s="317"/>
      <c r="AL72" s="317"/>
      <c r="AM72" s="317"/>
      <c r="AN72" s="317"/>
      <c r="AO72" s="317"/>
      <c r="AP72" s="317"/>
      <c r="AQ72" s="317"/>
      <c r="AR72" s="317"/>
      <c r="AS72" s="317"/>
      <c r="AT72" s="317"/>
      <c r="AU72" s="317"/>
      <c r="AV72" s="317"/>
      <c r="AW72" s="130"/>
    </row>
    <row r="73">
      <c r="A73" s="122"/>
      <c r="B73" s="123"/>
      <c r="C73" s="450" t="s">
        <v>408</v>
      </c>
      <c r="F73" s="141"/>
      <c r="G73" s="448"/>
      <c r="H73" s="188"/>
      <c r="I73" s="317"/>
      <c r="J73" s="317"/>
      <c r="K73" s="317"/>
      <c r="L73" s="317"/>
      <c r="M73" s="317"/>
      <c r="N73" s="317"/>
      <c r="O73" s="317"/>
      <c r="P73" s="317"/>
      <c r="Q73" s="449"/>
      <c r="R73" s="317"/>
      <c r="S73" s="317"/>
      <c r="T73" s="317"/>
      <c r="U73" s="317"/>
      <c r="V73" s="317"/>
      <c r="W73" s="317"/>
      <c r="X73" s="317"/>
      <c r="Y73" s="317"/>
      <c r="Z73" s="317"/>
      <c r="AA73" s="317"/>
      <c r="AB73" s="317"/>
      <c r="AC73" s="317"/>
      <c r="AD73" s="317"/>
      <c r="AE73" s="317"/>
      <c r="AF73" s="317"/>
      <c r="AG73" s="317"/>
      <c r="AH73" s="317"/>
      <c r="AI73" s="317"/>
      <c r="AJ73" s="317"/>
      <c r="AK73" s="317"/>
      <c r="AL73" s="317"/>
      <c r="AM73" s="317"/>
      <c r="AN73" s="317"/>
      <c r="AO73" s="317"/>
      <c r="AP73" s="317"/>
      <c r="AQ73" s="317"/>
      <c r="AR73" s="317"/>
      <c r="AS73" s="317"/>
      <c r="AT73" s="317"/>
      <c r="AU73" s="317"/>
      <c r="AV73" s="317"/>
      <c r="AW73" s="130"/>
    </row>
    <row r="74">
      <c r="A74" s="122"/>
      <c r="B74" s="123"/>
      <c r="C74" s="450"/>
      <c r="D74" s="131"/>
      <c r="E74" s="490" t="s">
        <v>187</v>
      </c>
      <c r="F74" s="134" t="s">
        <v>72</v>
      </c>
      <c r="G74" s="491" t="s">
        <v>161</v>
      </c>
      <c r="H74" s="146" t="s">
        <v>162</v>
      </c>
      <c r="I74" s="407">
        <f t="shared" ref="I74:AV74" si="6">SUMPRODUCT($H47:$H52,I55:I60,I66:I71)/I63</f>
        <v>0.2772353563</v>
      </c>
      <c r="J74" s="407">
        <f t="shared" si="6"/>
        <v>0.3527218413</v>
      </c>
      <c r="K74" s="407">
        <f t="shared" si="6"/>
        <v>0.4472928066</v>
      </c>
      <c r="L74" s="407">
        <f t="shared" si="6"/>
        <v>0.5195760934</v>
      </c>
      <c r="M74" s="407">
        <f t="shared" si="6"/>
        <v>0.3551140547</v>
      </c>
      <c r="N74" s="407">
        <f t="shared" si="6"/>
        <v>0.3552850322</v>
      </c>
      <c r="O74" s="407">
        <f t="shared" si="6"/>
        <v>0.4456653914</v>
      </c>
      <c r="P74" s="407">
        <f t="shared" si="6"/>
        <v>0.1565694376</v>
      </c>
      <c r="Q74" s="481">
        <f t="shared" si="6"/>
        <v>0.2986651924</v>
      </c>
      <c r="R74" s="407">
        <f t="shared" si="6"/>
        <v>0.591359121</v>
      </c>
      <c r="S74" s="407">
        <f t="shared" si="6"/>
        <v>0.49943618</v>
      </c>
      <c r="T74" s="407">
        <f t="shared" si="6"/>
        <v>0.6413970852</v>
      </c>
      <c r="U74" s="407">
        <f t="shared" si="6"/>
        <v>0.6432451061</v>
      </c>
      <c r="V74" s="407">
        <f t="shared" si="6"/>
        <v>0.5440210447</v>
      </c>
      <c r="W74" s="407">
        <f t="shared" si="6"/>
        <v>0.5051084783</v>
      </c>
      <c r="X74" s="407">
        <f t="shared" si="6"/>
        <v>0.3176356918</v>
      </c>
      <c r="Y74" s="407">
        <f t="shared" si="6"/>
        <v>0.7173879226</v>
      </c>
      <c r="Z74" s="407">
        <f t="shared" si="6"/>
        <v>0.5977112673</v>
      </c>
      <c r="AA74" s="407">
        <f t="shared" si="6"/>
        <v>0.7757721136</v>
      </c>
      <c r="AB74" s="407">
        <f t="shared" si="6"/>
        <v>0.7133102472</v>
      </c>
      <c r="AC74" s="407">
        <f t="shared" si="6"/>
        <v>0.7409760481</v>
      </c>
      <c r="AD74" s="407">
        <f t="shared" si="6"/>
        <v>0.784582459</v>
      </c>
      <c r="AE74" s="407">
        <f t="shared" si="6"/>
        <v>0.7042659714</v>
      </c>
      <c r="AF74" s="407">
        <f t="shared" si="6"/>
        <v>0.7389015827</v>
      </c>
      <c r="AG74" s="407">
        <f t="shared" si="6"/>
        <v>0.5195760934</v>
      </c>
      <c r="AH74" s="407">
        <f t="shared" si="6"/>
        <v>0.6534027952</v>
      </c>
      <c r="AI74" s="407">
        <f t="shared" si="6"/>
        <v>0.5010664963</v>
      </c>
      <c r="AJ74" s="407">
        <f t="shared" si="6"/>
        <v>0.7068565113</v>
      </c>
      <c r="AK74" s="407">
        <f t="shared" si="6"/>
        <v>0.5091840706</v>
      </c>
      <c r="AL74" s="407">
        <f t="shared" si="6"/>
        <v>0.3893981282</v>
      </c>
      <c r="AM74" s="407">
        <f t="shared" si="6"/>
        <v>0.3893981282</v>
      </c>
      <c r="AN74" s="407">
        <f t="shared" si="6"/>
        <v>0.3893981282</v>
      </c>
      <c r="AO74" s="407">
        <f t="shared" si="6"/>
        <v>0.4552355941</v>
      </c>
      <c r="AP74" s="407">
        <f t="shared" si="6"/>
        <v>0.5350050941</v>
      </c>
      <c r="AQ74" s="407">
        <f t="shared" si="6"/>
        <v>0.6854779353</v>
      </c>
      <c r="AR74" s="407">
        <f t="shared" si="6"/>
        <v>0.5426444319</v>
      </c>
      <c r="AS74" s="407">
        <f t="shared" si="6"/>
        <v>0.561374935</v>
      </c>
      <c r="AT74" s="407">
        <f t="shared" si="6"/>
        <v>0.6877817399</v>
      </c>
      <c r="AU74" s="407">
        <f t="shared" si="6"/>
        <v>0.4625823818</v>
      </c>
      <c r="AV74" s="407">
        <f t="shared" si="6"/>
        <v>0.551888086</v>
      </c>
      <c r="AW74" s="409"/>
    </row>
    <row r="75">
      <c r="A75" s="122"/>
      <c r="B75" s="123"/>
      <c r="C75" s="450"/>
      <c r="D75" s="131"/>
      <c r="E75" s="269"/>
      <c r="F75" s="141"/>
      <c r="G75" s="448"/>
      <c r="H75" s="188"/>
      <c r="I75" s="317"/>
      <c r="J75" s="317"/>
      <c r="K75" s="317"/>
      <c r="L75" s="317"/>
      <c r="M75" s="317"/>
      <c r="N75" s="317"/>
      <c r="O75" s="317"/>
      <c r="P75" s="317"/>
      <c r="Q75" s="449"/>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30"/>
    </row>
    <row r="76">
      <c r="A76" s="117" t="s">
        <v>409</v>
      </c>
      <c r="B76" s="7"/>
      <c r="C76" s="7"/>
      <c r="D76" s="7"/>
      <c r="E76" s="7"/>
      <c r="F76" s="7"/>
      <c r="G76" s="7"/>
      <c r="H76" s="118"/>
      <c r="I76" s="340"/>
      <c r="J76" s="340"/>
      <c r="K76" s="340"/>
      <c r="L76" s="340"/>
      <c r="M76" s="340"/>
      <c r="N76" s="340"/>
      <c r="O76" s="340"/>
      <c r="P76" s="340"/>
      <c r="Q76" s="444"/>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121"/>
    </row>
    <row r="77">
      <c r="A77" s="122"/>
      <c r="B77" s="123"/>
      <c r="C77" s="445"/>
      <c r="D77" s="123"/>
      <c r="E77" s="124"/>
      <c r="F77" s="125"/>
      <c r="G77" s="126"/>
      <c r="H77" s="127"/>
      <c r="I77" s="128"/>
      <c r="J77" s="128"/>
      <c r="K77" s="128"/>
      <c r="L77" s="128"/>
      <c r="M77" s="128"/>
      <c r="N77" s="128"/>
      <c r="O77" s="128"/>
      <c r="P77" s="128"/>
      <c r="Q77" s="446"/>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30"/>
    </row>
    <row r="78">
      <c r="A78" s="123"/>
      <c r="B78" s="123"/>
      <c r="C78" s="131" t="s">
        <v>410</v>
      </c>
      <c r="F78" s="125"/>
      <c r="G78" s="482"/>
      <c r="H78" s="127"/>
      <c r="I78" s="128"/>
      <c r="J78" s="128"/>
      <c r="K78" s="128"/>
      <c r="L78" s="128"/>
      <c r="M78" s="128"/>
      <c r="N78" s="128"/>
      <c r="O78" s="128"/>
      <c r="P78" s="128"/>
      <c r="Q78" s="446"/>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3"/>
      <c r="B79" s="123"/>
      <c r="C79" s="450"/>
      <c r="D79" s="131"/>
      <c r="E79" s="254" t="s">
        <v>411</v>
      </c>
      <c r="F79" s="193" t="str">
        <f>'Disease burden'!F241</f>
        <v>%</v>
      </c>
      <c r="G79" s="483" t="s">
        <v>173</v>
      </c>
      <c r="H79" s="255">
        <f>'Disease burden'!H241</f>
        <v>0.5377226782</v>
      </c>
      <c r="I79" s="321" t="str">
        <f>'Disease burden'!I241</f>
        <v>-</v>
      </c>
      <c r="J79" s="321" t="str">
        <f>'Disease burden'!J241</f>
        <v>-</v>
      </c>
      <c r="K79" s="321" t="str">
        <f>'Disease burden'!K241</f>
        <v>-</v>
      </c>
      <c r="L79" s="321" t="str">
        <f>'Disease burden'!L241</f>
        <v>-</v>
      </c>
      <c r="M79" s="321" t="str">
        <f>'Disease burden'!M241</f>
        <v>-</v>
      </c>
      <c r="N79" s="321" t="str">
        <f>'Disease burden'!N241</f>
        <v>-</v>
      </c>
      <c r="O79" s="321" t="str">
        <f>'Disease burden'!O241</f>
        <v>-</v>
      </c>
      <c r="P79" s="321" t="str">
        <f>'Disease burden'!P241</f>
        <v>-</v>
      </c>
      <c r="Q79" s="484" t="str">
        <f>'Disease burden'!Q241</f>
        <v>-</v>
      </c>
      <c r="R79" s="321" t="str">
        <f>'Disease burden'!R241</f>
        <v>-</v>
      </c>
      <c r="S79" s="321" t="str">
        <f>'Disease burden'!S241</f>
        <v>-</v>
      </c>
      <c r="T79" s="321" t="str">
        <f>'Disease burden'!T241</f>
        <v>-</v>
      </c>
      <c r="U79" s="321" t="str">
        <f>'Disease burden'!U241</f>
        <v>-</v>
      </c>
      <c r="V79" s="321" t="str">
        <f>'Disease burden'!V241</f>
        <v>-</v>
      </c>
      <c r="W79" s="321" t="str">
        <f>'Disease burden'!W241</f>
        <v>-</v>
      </c>
      <c r="X79" s="321" t="str">
        <f>'Disease burden'!X241</f>
        <v>-</v>
      </c>
      <c r="Y79" s="321" t="str">
        <f>'Disease burden'!Y241</f>
        <v>-</v>
      </c>
      <c r="Z79" s="321" t="str">
        <f>'Disease burden'!Z241</f>
        <v>-</v>
      </c>
      <c r="AA79" s="321" t="str">
        <f>'Disease burden'!AA241</f>
        <v>-</v>
      </c>
      <c r="AB79" s="321" t="str">
        <f>'Disease burden'!AB241</f>
        <v>-</v>
      </c>
      <c r="AC79" s="321" t="str">
        <f>'Disease burden'!AC241</f>
        <v>-</v>
      </c>
      <c r="AD79" s="321" t="str">
        <f>'Disease burden'!AD241</f>
        <v>-</v>
      </c>
      <c r="AE79" s="321" t="str">
        <f>'Disease burden'!AE241</f>
        <v>-</v>
      </c>
      <c r="AF79" s="321" t="str">
        <f>'Disease burden'!AF241</f>
        <v>-</v>
      </c>
      <c r="AG79" s="321" t="str">
        <f>'Disease burden'!AG241</f>
        <v>-</v>
      </c>
      <c r="AH79" s="321" t="str">
        <f>'Disease burden'!AH241</f>
        <v>-</v>
      </c>
      <c r="AI79" s="321" t="str">
        <f>'Disease burden'!AI241</f>
        <v>-</v>
      </c>
      <c r="AJ79" s="321" t="str">
        <f>'Disease burden'!AJ241</f>
        <v>-</v>
      </c>
      <c r="AK79" s="321" t="str">
        <f>'Disease burden'!AK241</f>
        <v>-</v>
      </c>
      <c r="AL79" s="321" t="str">
        <f>'Disease burden'!AL241</f>
        <v>-</v>
      </c>
      <c r="AM79" s="321" t="str">
        <f>'Disease burden'!AM241</f>
        <v>-</v>
      </c>
      <c r="AN79" s="321" t="str">
        <f>'Disease burden'!AN241</f>
        <v>-</v>
      </c>
      <c r="AO79" s="321" t="str">
        <f>'Disease burden'!AO241</f>
        <v>-</v>
      </c>
      <c r="AP79" s="321" t="str">
        <f>'Disease burden'!AP241</f>
        <v>-</v>
      </c>
      <c r="AQ79" s="321" t="str">
        <f>'Disease burden'!AQ241</f>
        <v>-</v>
      </c>
      <c r="AR79" s="321" t="str">
        <f>'Disease burden'!AR241</f>
        <v>-</v>
      </c>
      <c r="AS79" s="321" t="str">
        <f>'Disease burden'!AS241</f>
        <v>-</v>
      </c>
      <c r="AT79" s="321" t="str">
        <f>'Disease burden'!AT241</f>
        <v>-</v>
      </c>
      <c r="AU79" s="321" t="str">
        <f>'Disease burden'!AU241</f>
        <v>-</v>
      </c>
      <c r="AV79" s="321" t="str">
        <f>'Disease burden'!AV241</f>
        <v>-</v>
      </c>
      <c r="AW79" s="256"/>
    </row>
    <row r="80">
      <c r="A80" s="123"/>
      <c r="B80" s="123"/>
      <c r="C80" s="450"/>
      <c r="D80" s="131"/>
      <c r="E80" s="257" t="s">
        <v>412</v>
      </c>
      <c r="F80" s="213" t="str">
        <f>'Disease burden'!F242</f>
        <v>%</v>
      </c>
      <c r="G80" s="485" t="s">
        <v>173</v>
      </c>
      <c r="H80" s="215">
        <f>'Disease burden'!H242</f>
        <v>0.7658474508</v>
      </c>
      <c r="I80" s="220" t="str">
        <f>'Disease burden'!I242</f>
        <v>-</v>
      </c>
      <c r="J80" s="220" t="str">
        <f>'Disease burden'!J242</f>
        <v>-</v>
      </c>
      <c r="K80" s="220" t="str">
        <f>'Disease burden'!K242</f>
        <v>-</v>
      </c>
      <c r="L80" s="321" t="str">
        <f>'Disease burden'!L242</f>
        <v>-</v>
      </c>
      <c r="M80" s="220" t="str">
        <f>'Disease burden'!M242</f>
        <v>-</v>
      </c>
      <c r="N80" s="220" t="str">
        <f>'Disease burden'!N242</f>
        <v>-</v>
      </c>
      <c r="O80" s="220" t="str">
        <f>'Disease burden'!O242</f>
        <v>-</v>
      </c>
      <c r="P80" s="220" t="str">
        <f>'Disease burden'!P242</f>
        <v>-</v>
      </c>
      <c r="Q80" s="492" t="str">
        <f>'Disease burden'!Q242</f>
        <v>-</v>
      </c>
      <c r="R80" s="220" t="str">
        <f>'Disease burden'!R242</f>
        <v>-</v>
      </c>
      <c r="S80" s="220" t="str">
        <f>'Disease burden'!S242</f>
        <v>-</v>
      </c>
      <c r="T80" s="220" t="str">
        <f>'Disease burden'!T242</f>
        <v>-</v>
      </c>
      <c r="U80" s="220" t="str">
        <f>'Disease burden'!U242</f>
        <v>-</v>
      </c>
      <c r="V80" s="220" t="str">
        <f>'Disease burden'!V242</f>
        <v>-</v>
      </c>
      <c r="W80" s="220" t="str">
        <f>'Disease burden'!W242</f>
        <v>-</v>
      </c>
      <c r="X80" s="220" t="str">
        <f>'Disease burden'!X242</f>
        <v>-</v>
      </c>
      <c r="Y80" s="220" t="str">
        <f>'Disease burden'!Y242</f>
        <v>-</v>
      </c>
      <c r="Z80" s="220" t="str">
        <f>'Disease burden'!Z242</f>
        <v>-</v>
      </c>
      <c r="AA80" s="220" t="str">
        <f>'Disease burden'!AA242</f>
        <v>-</v>
      </c>
      <c r="AB80" s="220" t="str">
        <f>'Disease burden'!AB242</f>
        <v>-</v>
      </c>
      <c r="AC80" s="220" t="str">
        <f>'Disease burden'!AC242</f>
        <v>-</v>
      </c>
      <c r="AD80" s="220" t="str">
        <f>'Disease burden'!AD242</f>
        <v>-</v>
      </c>
      <c r="AE80" s="220" t="str">
        <f>'Disease burden'!AE242</f>
        <v>-</v>
      </c>
      <c r="AF80" s="220" t="str">
        <f>'Disease burden'!AF242</f>
        <v>-</v>
      </c>
      <c r="AG80" s="220" t="str">
        <f>'Disease burden'!AG242</f>
        <v>-</v>
      </c>
      <c r="AH80" s="220" t="str">
        <f>'Disease burden'!AH242</f>
        <v>-</v>
      </c>
      <c r="AI80" s="220" t="str">
        <f>'Disease burden'!AI242</f>
        <v>-</v>
      </c>
      <c r="AJ80" s="220" t="str">
        <f>'Disease burden'!AJ242</f>
        <v>-</v>
      </c>
      <c r="AK80" s="220" t="str">
        <f>'Disease burden'!AK242</f>
        <v>-</v>
      </c>
      <c r="AL80" s="220" t="str">
        <f>'Disease burden'!AL242</f>
        <v>-</v>
      </c>
      <c r="AM80" s="321" t="str">
        <f>'Disease burden'!AM242</f>
        <v>-</v>
      </c>
      <c r="AN80" s="321" t="str">
        <f>'Disease burden'!AN242</f>
        <v>-</v>
      </c>
      <c r="AO80" s="220" t="str">
        <f>'Disease burden'!AO242</f>
        <v>-</v>
      </c>
      <c r="AP80" s="220" t="str">
        <f>'Disease burden'!AP242</f>
        <v>-</v>
      </c>
      <c r="AQ80" s="220" t="str">
        <f>'Disease burden'!AQ242</f>
        <v>-</v>
      </c>
      <c r="AR80" s="220" t="str">
        <f>'Disease burden'!AR242</f>
        <v>-</v>
      </c>
      <c r="AS80" s="220" t="str">
        <f>'Disease burden'!AS242</f>
        <v>-</v>
      </c>
      <c r="AT80" s="220" t="str">
        <f>'Disease burden'!AT242</f>
        <v>-</v>
      </c>
      <c r="AU80" s="220" t="str">
        <f>'Disease burden'!AU242</f>
        <v>-</v>
      </c>
      <c r="AV80" s="220" t="str">
        <f>'Disease burden'!AV242</f>
        <v>-</v>
      </c>
      <c r="AW80" s="259" t="str">
        <f>'Vaccine efficacy'!AW91</f>
        <v/>
      </c>
    </row>
    <row r="81">
      <c r="A81" s="123"/>
      <c r="B81" s="123"/>
      <c r="C81" s="450"/>
      <c r="D81" s="131"/>
      <c r="E81" s="257" t="s">
        <v>413</v>
      </c>
      <c r="F81" s="213" t="str">
        <f>'Disease burden'!F243</f>
        <v>%</v>
      </c>
      <c r="G81" s="485" t="s">
        <v>173</v>
      </c>
      <c r="H81" s="215">
        <f>'Disease burden'!H243</f>
        <v>0.6680796911</v>
      </c>
      <c r="I81" s="220" t="str">
        <f>'Disease burden'!I243</f>
        <v>-</v>
      </c>
      <c r="J81" s="220" t="str">
        <f>'Disease burden'!J243</f>
        <v>-</v>
      </c>
      <c r="K81" s="220" t="str">
        <f>'Disease burden'!K243</f>
        <v>-</v>
      </c>
      <c r="L81" s="321" t="str">
        <f>'Disease burden'!L243</f>
        <v>-</v>
      </c>
      <c r="M81" s="220" t="str">
        <f>'Disease burden'!M243</f>
        <v>-</v>
      </c>
      <c r="N81" s="220" t="str">
        <f>'Disease burden'!N243</f>
        <v>-</v>
      </c>
      <c r="O81" s="220" t="str">
        <f>'Disease burden'!O243</f>
        <v>-</v>
      </c>
      <c r="P81" s="220" t="str">
        <f>'Disease burden'!P243</f>
        <v>-</v>
      </c>
      <c r="Q81" s="492" t="str">
        <f>'Disease burden'!Q243</f>
        <v>-</v>
      </c>
      <c r="R81" s="220" t="str">
        <f>'Disease burden'!R243</f>
        <v>-</v>
      </c>
      <c r="S81" s="220" t="str">
        <f>'Disease burden'!S243</f>
        <v>-</v>
      </c>
      <c r="T81" s="220" t="str">
        <f>'Disease burden'!T243</f>
        <v>-</v>
      </c>
      <c r="U81" s="220" t="str">
        <f>'Disease burden'!U243</f>
        <v>-</v>
      </c>
      <c r="V81" s="220" t="str">
        <f>'Disease burden'!V243</f>
        <v>-</v>
      </c>
      <c r="W81" s="220" t="str">
        <f>'Disease burden'!W243</f>
        <v>-</v>
      </c>
      <c r="X81" s="220" t="str">
        <f>'Disease burden'!X243</f>
        <v>-</v>
      </c>
      <c r="Y81" s="220" t="str">
        <f>'Disease burden'!Y243</f>
        <v>-</v>
      </c>
      <c r="Z81" s="220" t="str">
        <f>'Disease burden'!Z243</f>
        <v>-</v>
      </c>
      <c r="AA81" s="220" t="str">
        <f>'Disease burden'!AA243</f>
        <v>-</v>
      </c>
      <c r="AB81" s="220" t="str">
        <f>'Disease burden'!AB243</f>
        <v>-</v>
      </c>
      <c r="AC81" s="220" t="str">
        <f>'Disease burden'!AC243</f>
        <v>-</v>
      </c>
      <c r="AD81" s="220" t="str">
        <f>'Disease burden'!AD243</f>
        <v>-</v>
      </c>
      <c r="AE81" s="220" t="str">
        <f>'Disease burden'!AE243</f>
        <v>-</v>
      </c>
      <c r="AF81" s="220" t="str">
        <f>'Disease burden'!AF243</f>
        <v>-</v>
      </c>
      <c r="AG81" s="220" t="str">
        <f>'Disease burden'!AG243</f>
        <v>-</v>
      </c>
      <c r="AH81" s="220" t="str">
        <f>'Disease burden'!AH243</f>
        <v>-</v>
      </c>
      <c r="AI81" s="220" t="str">
        <f>'Disease burden'!AI243</f>
        <v>-</v>
      </c>
      <c r="AJ81" s="220" t="str">
        <f>'Disease burden'!AJ243</f>
        <v>-</v>
      </c>
      <c r="AK81" s="220" t="str">
        <f>'Disease burden'!AK243</f>
        <v>-</v>
      </c>
      <c r="AL81" s="220" t="str">
        <f>'Disease burden'!AL243</f>
        <v>-</v>
      </c>
      <c r="AM81" s="321" t="str">
        <f>'Disease burden'!AM243</f>
        <v>-</v>
      </c>
      <c r="AN81" s="321" t="str">
        <f>'Disease burden'!AN243</f>
        <v>-</v>
      </c>
      <c r="AO81" s="220" t="str">
        <f>'Disease burden'!AO243</f>
        <v>-</v>
      </c>
      <c r="AP81" s="220" t="str">
        <f>'Disease burden'!AP243</f>
        <v>-</v>
      </c>
      <c r="AQ81" s="220" t="str">
        <f>'Disease burden'!AQ243</f>
        <v>-</v>
      </c>
      <c r="AR81" s="220" t="str">
        <f>'Disease burden'!AR243</f>
        <v>-</v>
      </c>
      <c r="AS81" s="220" t="str">
        <f>'Disease burden'!AS243</f>
        <v>-</v>
      </c>
      <c r="AT81" s="220" t="str">
        <f>'Disease burden'!AT243</f>
        <v>-</v>
      </c>
      <c r="AU81" s="220" t="str">
        <f>'Disease burden'!AU243</f>
        <v>-</v>
      </c>
      <c r="AV81" s="220" t="str">
        <f>'Disease burden'!AV243</f>
        <v>-</v>
      </c>
      <c r="AW81" s="259" t="str">
        <f>'Vaccine efficacy'!AW92</f>
        <v/>
      </c>
    </row>
    <row r="82">
      <c r="A82" s="123"/>
      <c r="B82" s="123"/>
      <c r="C82" s="450"/>
      <c r="D82" s="131"/>
      <c r="E82" s="257" t="s">
        <v>414</v>
      </c>
      <c r="F82" s="213" t="str">
        <f>'Disease burden'!F244</f>
        <v>%</v>
      </c>
      <c r="G82" s="485" t="s">
        <v>173</v>
      </c>
      <c r="H82" s="215">
        <f>'Disease burden'!H244</f>
        <v>0.3869973821</v>
      </c>
      <c r="I82" s="220" t="str">
        <f>'Disease burden'!I244</f>
        <v>-</v>
      </c>
      <c r="J82" s="220" t="str">
        <f>'Disease burden'!J244</f>
        <v>-</v>
      </c>
      <c r="K82" s="220" t="str">
        <f>'Disease burden'!K244</f>
        <v>-</v>
      </c>
      <c r="L82" s="321" t="str">
        <f>'Disease burden'!L244</f>
        <v>-</v>
      </c>
      <c r="M82" s="220" t="str">
        <f>'Disease burden'!M244</f>
        <v>-</v>
      </c>
      <c r="N82" s="220" t="str">
        <f>'Disease burden'!N244</f>
        <v>-</v>
      </c>
      <c r="O82" s="220" t="str">
        <f>'Disease burden'!O244</f>
        <v>-</v>
      </c>
      <c r="P82" s="220" t="str">
        <f>'Disease burden'!P244</f>
        <v>-</v>
      </c>
      <c r="Q82" s="492" t="str">
        <f>'Disease burden'!Q244</f>
        <v>-</v>
      </c>
      <c r="R82" s="220" t="str">
        <f>'Disease burden'!R244</f>
        <v>-</v>
      </c>
      <c r="S82" s="220" t="str">
        <f>'Disease burden'!S244</f>
        <v>-</v>
      </c>
      <c r="T82" s="220" t="str">
        <f>'Disease burden'!T244</f>
        <v>-</v>
      </c>
      <c r="U82" s="220" t="str">
        <f>'Disease burden'!U244</f>
        <v>-</v>
      </c>
      <c r="V82" s="220" t="str">
        <f>'Disease burden'!V244</f>
        <v>-</v>
      </c>
      <c r="W82" s="220" t="str">
        <f>'Disease burden'!W244</f>
        <v>-</v>
      </c>
      <c r="X82" s="220" t="str">
        <f>'Disease burden'!X244</f>
        <v>-</v>
      </c>
      <c r="Y82" s="220" t="str">
        <f>'Disease burden'!Y244</f>
        <v>-</v>
      </c>
      <c r="Z82" s="220" t="str">
        <f>'Disease burden'!Z244</f>
        <v>-</v>
      </c>
      <c r="AA82" s="220" t="str">
        <f>'Disease burden'!AA244</f>
        <v>-</v>
      </c>
      <c r="AB82" s="220" t="str">
        <f>'Disease burden'!AB244</f>
        <v>-</v>
      </c>
      <c r="AC82" s="220" t="str">
        <f>'Disease burden'!AC244</f>
        <v>-</v>
      </c>
      <c r="AD82" s="220" t="str">
        <f>'Disease burden'!AD244</f>
        <v>-</v>
      </c>
      <c r="AE82" s="220" t="str">
        <f>'Disease burden'!AE244</f>
        <v>-</v>
      </c>
      <c r="AF82" s="220" t="str">
        <f>'Disease burden'!AF244</f>
        <v>-</v>
      </c>
      <c r="AG82" s="220" t="str">
        <f>'Disease burden'!AG244</f>
        <v>-</v>
      </c>
      <c r="AH82" s="220" t="str">
        <f>'Disease burden'!AH244</f>
        <v>-</v>
      </c>
      <c r="AI82" s="220" t="str">
        <f>'Disease burden'!AI244</f>
        <v>-</v>
      </c>
      <c r="AJ82" s="220" t="str">
        <f>'Disease burden'!AJ244</f>
        <v>-</v>
      </c>
      <c r="AK82" s="220" t="str">
        <f>'Disease burden'!AK244</f>
        <v>-</v>
      </c>
      <c r="AL82" s="220" t="str">
        <f>'Disease burden'!AL244</f>
        <v>-</v>
      </c>
      <c r="AM82" s="321" t="str">
        <f>'Disease burden'!AM244</f>
        <v>-</v>
      </c>
      <c r="AN82" s="321" t="str">
        <f>'Disease burden'!AN244</f>
        <v>-</v>
      </c>
      <c r="AO82" s="220" t="str">
        <f>'Disease burden'!AO244</f>
        <v>-</v>
      </c>
      <c r="AP82" s="220" t="str">
        <f>'Disease burden'!AP244</f>
        <v>-</v>
      </c>
      <c r="AQ82" s="220" t="str">
        <f>'Disease burden'!AQ244</f>
        <v>-</v>
      </c>
      <c r="AR82" s="220" t="str">
        <f>'Disease burden'!AR244</f>
        <v>-</v>
      </c>
      <c r="AS82" s="220" t="str">
        <f>'Disease burden'!AS244</f>
        <v>-</v>
      </c>
      <c r="AT82" s="220" t="str">
        <f>'Disease burden'!AT244</f>
        <v>-</v>
      </c>
      <c r="AU82" s="220" t="str">
        <f>'Disease burden'!AU244</f>
        <v>-</v>
      </c>
      <c r="AV82" s="220" t="str">
        <f>'Disease burden'!AV244</f>
        <v>-</v>
      </c>
      <c r="AW82" s="259" t="str">
        <f>'Vaccine efficacy'!AW93</f>
        <v/>
      </c>
    </row>
    <row r="83">
      <c r="A83" s="123"/>
      <c r="B83" s="123"/>
      <c r="C83" s="450"/>
      <c r="D83" s="131"/>
      <c r="E83" s="257" t="s">
        <v>415</v>
      </c>
      <c r="F83" s="213" t="str">
        <f>'Disease burden'!F245</f>
        <v>%</v>
      </c>
      <c r="G83" s="485" t="s">
        <v>173</v>
      </c>
      <c r="H83" s="215">
        <f>'Disease burden'!H245</f>
        <v>0.3747764121</v>
      </c>
      <c r="I83" s="220" t="str">
        <f>'Disease burden'!I245</f>
        <v>-</v>
      </c>
      <c r="J83" s="220" t="str">
        <f>'Disease burden'!J245</f>
        <v>-</v>
      </c>
      <c r="K83" s="220" t="str">
        <f>'Disease burden'!K245</f>
        <v>-</v>
      </c>
      <c r="L83" s="321" t="str">
        <f>'Disease burden'!L245</f>
        <v>-</v>
      </c>
      <c r="M83" s="220" t="str">
        <f>'Disease burden'!M245</f>
        <v>-</v>
      </c>
      <c r="N83" s="220" t="str">
        <f>'Disease burden'!N245</f>
        <v>-</v>
      </c>
      <c r="O83" s="220" t="str">
        <f>'Disease burden'!O245</f>
        <v>-</v>
      </c>
      <c r="P83" s="220" t="str">
        <f>'Disease burden'!P245</f>
        <v>-</v>
      </c>
      <c r="Q83" s="492" t="str">
        <f>'Disease burden'!Q245</f>
        <v>-</v>
      </c>
      <c r="R83" s="220" t="str">
        <f>'Disease burden'!R245</f>
        <v>-</v>
      </c>
      <c r="S83" s="220" t="str">
        <f>'Disease burden'!S245</f>
        <v>-</v>
      </c>
      <c r="T83" s="220" t="str">
        <f>'Disease burden'!T245</f>
        <v>-</v>
      </c>
      <c r="U83" s="220" t="str">
        <f>'Disease burden'!U245</f>
        <v>-</v>
      </c>
      <c r="V83" s="220" t="str">
        <f>'Disease burden'!V245</f>
        <v>-</v>
      </c>
      <c r="W83" s="220" t="str">
        <f>'Disease burden'!W245</f>
        <v>-</v>
      </c>
      <c r="X83" s="220" t="str">
        <f>'Disease burden'!X245</f>
        <v>-</v>
      </c>
      <c r="Y83" s="220" t="str">
        <f>'Disease burden'!Y245</f>
        <v>-</v>
      </c>
      <c r="Z83" s="220" t="str">
        <f>'Disease burden'!Z245</f>
        <v>-</v>
      </c>
      <c r="AA83" s="220" t="str">
        <f>'Disease burden'!AA245</f>
        <v>-</v>
      </c>
      <c r="AB83" s="220" t="str">
        <f>'Disease burden'!AB245</f>
        <v>-</v>
      </c>
      <c r="AC83" s="220" t="str">
        <f>'Disease burden'!AC245</f>
        <v>-</v>
      </c>
      <c r="AD83" s="220" t="str">
        <f>'Disease burden'!AD245</f>
        <v>-</v>
      </c>
      <c r="AE83" s="220" t="str">
        <f>'Disease burden'!AE245</f>
        <v>-</v>
      </c>
      <c r="AF83" s="220" t="str">
        <f>'Disease burden'!AF245</f>
        <v>-</v>
      </c>
      <c r="AG83" s="220" t="str">
        <f>'Disease burden'!AG245</f>
        <v>-</v>
      </c>
      <c r="AH83" s="220" t="str">
        <f>'Disease burden'!AH245</f>
        <v>-</v>
      </c>
      <c r="AI83" s="220" t="str">
        <f>'Disease burden'!AI245</f>
        <v>-</v>
      </c>
      <c r="AJ83" s="220" t="str">
        <f>'Disease burden'!AJ245</f>
        <v>-</v>
      </c>
      <c r="AK83" s="220" t="str">
        <f>'Disease burden'!AK245</f>
        <v>-</v>
      </c>
      <c r="AL83" s="220" t="str">
        <f>'Disease burden'!AL245</f>
        <v>-</v>
      </c>
      <c r="AM83" s="321" t="str">
        <f>'Disease burden'!AM245</f>
        <v>-</v>
      </c>
      <c r="AN83" s="321" t="str">
        <f>'Disease burden'!AN245</f>
        <v>-</v>
      </c>
      <c r="AO83" s="220" t="str">
        <f>'Disease burden'!AO245</f>
        <v>-</v>
      </c>
      <c r="AP83" s="220" t="str">
        <f>'Disease burden'!AP245</f>
        <v>-</v>
      </c>
      <c r="AQ83" s="220" t="str">
        <f>'Disease burden'!AQ245</f>
        <v>-</v>
      </c>
      <c r="AR83" s="220" t="str">
        <f>'Disease burden'!AR245</f>
        <v>-</v>
      </c>
      <c r="AS83" s="220" t="str">
        <f>'Disease burden'!AS245</f>
        <v>-</v>
      </c>
      <c r="AT83" s="220" t="str">
        <f>'Disease burden'!AT245</f>
        <v>-</v>
      </c>
      <c r="AU83" s="220" t="str">
        <f>'Disease burden'!AU245</f>
        <v>-</v>
      </c>
      <c r="AV83" s="220" t="str">
        <f>'Disease burden'!AV245</f>
        <v>-</v>
      </c>
      <c r="AW83" s="259" t="str">
        <f>'Vaccine efficacy'!AW94</f>
        <v/>
      </c>
    </row>
    <row r="84">
      <c r="A84" s="123"/>
      <c r="B84" s="123"/>
      <c r="C84" s="450"/>
      <c r="D84" s="131"/>
      <c r="E84" s="272" t="s">
        <v>416</v>
      </c>
      <c r="F84" s="200" t="str">
        <f>'Disease burden'!F246</f>
        <v>%</v>
      </c>
      <c r="G84" s="487" t="s">
        <v>173</v>
      </c>
      <c r="H84" s="488">
        <f>'Disease burden'!H246</f>
        <v>0.6934670705</v>
      </c>
      <c r="I84" s="493" t="str">
        <f>'Disease burden'!I246</f>
        <v>-</v>
      </c>
      <c r="J84" s="493" t="str">
        <f>'Disease burden'!J246</f>
        <v>-</v>
      </c>
      <c r="K84" s="493" t="str">
        <f>'Disease burden'!K246</f>
        <v>-</v>
      </c>
      <c r="L84" s="493" t="str">
        <f>'Disease burden'!L246</f>
        <v>-</v>
      </c>
      <c r="M84" s="493" t="str">
        <f>'Disease burden'!M246</f>
        <v>-</v>
      </c>
      <c r="N84" s="493" t="str">
        <f>'Disease burden'!N246</f>
        <v>-</v>
      </c>
      <c r="O84" s="493" t="str">
        <f>'Disease burden'!O246</f>
        <v>-</v>
      </c>
      <c r="P84" s="493" t="str">
        <f>'Disease burden'!P246</f>
        <v>-</v>
      </c>
      <c r="Q84" s="494" t="str">
        <f>'Disease burden'!Q246</f>
        <v>-</v>
      </c>
      <c r="R84" s="493" t="str">
        <f>'Disease burden'!R246</f>
        <v>-</v>
      </c>
      <c r="S84" s="493" t="str">
        <f>'Disease burden'!S246</f>
        <v>-</v>
      </c>
      <c r="T84" s="493" t="str">
        <f>'Disease burden'!T246</f>
        <v>-</v>
      </c>
      <c r="U84" s="493" t="str">
        <f>'Disease burden'!U246</f>
        <v>-</v>
      </c>
      <c r="V84" s="493" t="str">
        <f>'Disease burden'!V246</f>
        <v>-</v>
      </c>
      <c r="W84" s="493" t="str">
        <f>'Disease burden'!W246</f>
        <v>-</v>
      </c>
      <c r="X84" s="493" t="str">
        <f>'Disease burden'!X246</f>
        <v>-</v>
      </c>
      <c r="Y84" s="493" t="str">
        <f>'Disease burden'!Y246</f>
        <v>-</v>
      </c>
      <c r="Z84" s="493" t="str">
        <f>'Disease burden'!Z246</f>
        <v>-</v>
      </c>
      <c r="AA84" s="493" t="str">
        <f>'Disease burden'!AA246</f>
        <v>-</v>
      </c>
      <c r="AB84" s="493" t="str">
        <f>'Disease burden'!AB246</f>
        <v>-</v>
      </c>
      <c r="AC84" s="493" t="str">
        <f>'Disease burden'!AC246</f>
        <v>-</v>
      </c>
      <c r="AD84" s="493" t="str">
        <f>'Disease burden'!AD246</f>
        <v>-</v>
      </c>
      <c r="AE84" s="493" t="str">
        <f>'Disease burden'!AE246</f>
        <v>-</v>
      </c>
      <c r="AF84" s="493" t="str">
        <f>'Disease burden'!AF246</f>
        <v>-</v>
      </c>
      <c r="AG84" s="493" t="str">
        <f>'Disease burden'!AG246</f>
        <v>-</v>
      </c>
      <c r="AH84" s="493" t="str">
        <f>'Disease burden'!AH246</f>
        <v>-</v>
      </c>
      <c r="AI84" s="493" t="str">
        <f>'Disease burden'!AI246</f>
        <v>-</v>
      </c>
      <c r="AJ84" s="493" t="str">
        <f>'Disease burden'!AJ246</f>
        <v>-</v>
      </c>
      <c r="AK84" s="493" t="str">
        <f>'Disease burden'!AK246</f>
        <v>-</v>
      </c>
      <c r="AL84" s="493" t="str">
        <f>'Disease burden'!AL246</f>
        <v>-</v>
      </c>
      <c r="AM84" s="493" t="str">
        <f>'Disease burden'!AM246</f>
        <v>-</v>
      </c>
      <c r="AN84" s="493" t="str">
        <f>'Disease burden'!AN246</f>
        <v>-</v>
      </c>
      <c r="AO84" s="493" t="str">
        <f>'Disease burden'!AO246</f>
        <v>-</v>
      </c>
      <c r="AP84" s="493" t="str">
        <f>'Disease burden'!AP246</f>
        <v>-</v>
      </c>
      <c r="AQ84" s="493" t="str">
        <f>'Disease burden'!AQ246</f>
        <v>-</v>
      </c>
      <c r="AR84" s="493" t="str">
        <f>'Disease burden'!AR246</f>
        <v>-</v>
      </c>
      <c r="AS84" s="493" t="str">
        <f>'Disease burden'!AS246</f>
        <v>-</v>
      </c>
      <c r="AT84" s="493" t="str">
        <f>'Disease burden'!AT246</f>
        <v>-</v>
      </c>
      <c r="AU84" s="493" t="str">
        <f>'Disease burden'!AU246</f>
        <v>-</v>
      </c>
      <c r="AV84" s="493" t="str">
        <f>'Disease burden'!AV246</f>
        <v>-</v>
      </c>
      <c r="AW84" s="274" t="str">
        <f>'Vaccine efficacy'!AW95</f>
        <v/>
      </c>
    </row>
    <row r="85">
      <c r="A85" s="123"/>
      <c r="B85" s="123"/>
      <c r="C85" s="450"/>
      <c r="D85" s="450"/>
      <c r="E85" s="275"/>
      <c r="F85" s="125"/>
      <c r="G85" s="482"/>
      <c r="H85" s="127"/>
      <c r="I85" s="128"/>
      <c r="J85" s="128"/>
      <c r="K85" s="128"/>
      <c r="L85" s="128"/>
      <c r="M85" s="128"/>
      <c r="N85" s="128"/>
      <c r="O85" s="128"/>
      <c r="P85" s="128"/>
      <c r="Q85" s="446"/>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30"/>
    </row>
    <row r="86">
      <c r="A86" s="123"/>
      <c r="B86" s="123"/>
      <c r="C86" s="450" t="s">
        <v>417</v>
      </c>
      <c r="F86" s="125"/>
      <c r="G86" s="482"/>
      <c r="H86" s="127"/>
      <c r="I86" s="128"/>
      <c r="J86" s="128"/>
      <c r="K86" s="128"/>
      <c r="L86" s="128"/>
      <c r="M86" s="128"/>
      <c r="N86" s="128"/>
      <c r="O86" s="128"/>
      <c r="P86" s="128"/>
      <c r="Q86" s="446"/>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30"/>
    </row>
    <row r="87">
      <c r="A87" s="122"/>
      <c r="B87" s="123"/>
      <c r="C87" s="450"/>
      <c r="D87" s="131"/>
      <c r="E87" s="254" t="s">
        <v>418</v>
      </c>
      <c r="F87" s="193" t="str">
        <f>'Disease burden'!F258</f>
        <v>%</v>
      </c>
      <c r="G87" s="483" t="s">
        <v>173</v>
      </c>
      <c r="H87" s="389" t="str">
        <f>'Disease burden'!H258</f>
        <v>-</v>
      </c>
      <c r="I87" s="383">
        <f>'Disease burden'!I258</f>
        <v>0.2217840751</v>
      </c>
      <c r="J87" s="383">
        <f>'Disease burden'!J258</f>
        <v>0.156988631</v>
      </c>
      <c r="K87" s="383">
        <f>'Disease burden'!K258</f>
        <v>0.2459503453</v>
      </c>
      <c r="L87" s="383">
        <f>'Disease burden'!L258</f>
        <v>0.1310927529</v>
      </c>
      <c r="M87" s="383">
        <f>'Disease burden'!M258</f>
        <v>0.175693661</v>
      </c>
      <c r="N87" s="383">
        <f>'Disease burden'!N258</f>
        <v>0.2107787999</v>
      </c>
      <c r="O87" s="383">
        <f>'Disease burden'!O258</f>
        <v>0.2025637729</v>
      </c>
      <c r="P87" s="383">
        <f>'Disease burden'!P258</f>
        <v>0.2231159204</v>
      </c>
      <c r="Q87" s="453">
        <f>'Disease burden'!Q258</f>
        <v>0.2373623671</v>
      </c>
      <c r="R87" s="383">
        <f>'Disease burden'!R258</f>
        <v>0.113829554</v>
      </c>
      <c r="S87" s="383">
        <f>'Disease burden'!S258</f>
        <v>0.158740301</v>
      </c>
      <c r="T87" s="383">
        <f>'Disease burden'!T258</f>
        <v>0.1236722424</v>
      </c>
      <c r="U87" s="383">
        <f>'Disease burden'!U258</f>
        <v>0.1237405955</v>
      </c>
      <c r="V87" s="383">
        <f>'Disease burden'!V258</f>
        <v>0.09270978271</v>
      </c>
      <c r="W87" s="383">
        <f>'Disease burden'!W258</f>
        <v>0.1517388675</v>
      </c>
      <c r="X87" s="383">
        <f>'Disease burden'!X258</f>
        <v>0.1487983298</v>
      </c>
      <c r="Y87" s="383">
        <f>'Disease burden'!Y258</f>
        <v>0.1032179987</v>
      </c>
      <c r="Z87" s="383">
        <f>'Disease burden'!Z258</f>
        <v>0.1281793992</v>
      </c>
      <c r="AA87" s="383">
        <f>'Disease burden'!AA258</f>
        <v>0.1400462472</v>
      </c>
      <c r="AB87" s="383">
        <f>'Disease burden'!AB258</f>
        <v>0.1332815794</v>
      </c>
      <c r="AC87" s="383">
        <f>'Disease burden'!AC258</f>
        <v>0.1323952252</v>
      </c>
      <c r="AD87" s="383">
        <f>'Disease burden'!AD258</f>
        <v>0.1455220558</v>
      </c>
      <c r="AE87" s="383">
        <f>'Disease burden'!AE258</f>
        <v>0.1428595848</v>
      </c>
      <c r="AF87" s="383">
        <f>'Disease burden'!AF258</f>
        <v>0.1398013654</v>
      </c>
      <c r="AG87" s="383">
        <f>'Disease burden'!AG258</f>
        <v>0.1310927529</v>
      </c>
      <c r="AH87" s="383">
        <f>'Disease burden'!AH258</f>
        <v>0.09102717577</v>
      </c>
      <c r="AI87" s="383">
        <f>'Disease burden'!AI258</f>
        <v>0.1150369287</v>
      </c>
      <c r="AJ87" s="383">
        <f>'Disease burden'!AJ258</f>
        <v>0.1337297962</v>
      </c>
      <c r="AK87" s="383">
        <f>'Disease burden'!AK258</f>
        <v>0.139018828</v>
      </c>
      <c r="AL87" s="383">
        <f>'Disease burden'!AL258</f>
        <v>0.1563861331</v>
      </c>
      <c r="AM87" s="383">
        <f>'Disease burden'!AM258</f>
        <v>0.1563861331</v>
      </c>
      <c r="AN87" s="383">
        <f>'Disease burden'!AN258</f>
        <v>0.1563861331</v>
      </c>
      <c r="AO87" s="383">
        <f>'Disease burden'!AO258</f>
        <v>0.1410768987</v>
      </c>
      <c r="AP87" s="383">
        <f>'Disease burden'!AP258</f>
        <v>0.1241165148</v>
      </c>
      <c r="AQ87" s="383">
        <f>'Disease burden'!AQ258</f>
        <v>0.1331292844</v>
      </c>
      <c r="AR87" s="383">
        <f>'Disease burden'!AR258</f>
        <v>0.09146270211</v>
      </c>
      <c r="AS87" s="383">
        <f>'Disease burden'!AS258</f>
        <v>0.151056259</v>
      </c>
      <c r="AT87" s="383">
        <f>'Disease burden'!AT258</f>
        <v>0.1314896267</v>
      </c>
      <c r="AU87" s="383">
        <f>'Disease burden'!AU258</f>
        <v>0.1554198871</v>
      </c>
      <c r="AV87" s="383">
        <f>'Disease burden'!AV258</f>
        <v>0.2257499036</v>
      </c>
      <c r="AW87" s="256"/>
    </row>
    <row r="88">
      <c r="A88" s="122"/>
      <c r="B88" s="123"/>
      <c r="C88" s="450"/>
      <c r="D88" s="131"/>
      <c r="E88" s="257" t="s">
        <v>419</v>
      </c>
      <c r="F88" s="213" t="str">
        <f>'Disease burden'!F259</f>
        <v>%</v>
      </c>
      <c r="G88" s="485" t="s">
        <v>173</v>
      </c>
      <c r="H88" s="243" t="str">
        <f>'Disease burden'!H259</f>
        <v>-</v>
      </c>
      <c r="I88" s="241">
        <f>'Disease burden'!I259</f>
        <v>0.1403179735</v>
      </c>
      <c r="J88" s="241">
        <f>'Disease burden'!J259</f>
        <v>0.183569795</v>
      </c>
      <c r="K88" s="241">
        <f>'Disease burden'!K259</f>
        <v>0.173334235</v>
      </c>
      <c r="L88" s="383">
        <f>'Disease burden'!L259</f>
        <v>0.2173416814</v>
      </c>
      <c r="M88" s="241">
        <f>'Disease burden'!M259</f>
        <v>0.1553083818</v>
      </c>
      <c r="N88" s="241">
        <f>'Disease burden'!N259</f>
        <v>0.171357935</v>
      </c>
      <c r="O88" s="241">
        <f>'Disease burden'!O259</f>
        <v>0.2098094973</v>
      </c>
      <c r="P88" s="241">
        <f>'Disease burden'!P259</f>
        <v>0.1862594037</v>
      </c>
      <c r="Q88" s="456">
        <f>'Disease burden'!Q259</f>
        <v>0.1833565221</v>
      </c>
      <c r="R88" s="241">
        <f>'Disease burden'!R259</f>
        <v>0.1266055745</v>
      </c>
      <c r="S88" s="241">
        <f>'Disease burden'!S259</f>
        <v>0.1292357345</v>
      </c>
      <c r="T88" s="241">
        <f>'Disease burden'!T259</f>
        <v>0.1624937574</v>
      </c>
      <c r="U88" s="241">
        <f>'Disease burden'!U259</f>
        <v>0.2237606828</v>
      </c>
      <c r="V88" s="241">
        <f>'Disease burden'!V259</f>
        <v>0.2122929206</v>
      </c>
      <c r="W88" s="241">
        <f>'Disease burden'!W259</f>
        <v>0.1095650803</v>
      </c>
      <c r="X88" s="241">
        <f>'Disease burden'!X259</f>
        <v>0.1601984236</v>
      </c>
      <c r="Y88" s="241">
        <f>'Disease burden'!Y259</f>
        <v>0.1246822578</v>
      </c>
      <c r="Z88" s="241">
        <f>'Disease burden'!Z259</f>
        <v>0.1655696119</v>
      </c>
      <c r="AA88" s="241">
        <f>'Disease burden'!AA259</f>
        <v>0.1248474686</v>
      </c>
      <c r="AB88" s="241">
        <f>'Disease burden'!AB259</f>
        <v>0.1395427885</v>
      </c>
      <c r="AC88" s="241">
        <f>'Disease burden'!AC259</f>
        <v>0.1151895751</v>
      </c>
      <c r="AD88" s="241">
        <f>'Disease burden'!AD259</f>
        <v>0.1378571906</v>
      </c>
      <c r="AE88" s="241">
        <f>'Disease burden'!AE259</f>
        <v>0.1289510548</v>
      </c>
      <c r="AF88" s="241">
        <f>'Disease burden'!AF259</f>
        <v>0.1156170473</v>
      </c>
      <c r="AG88" s="241">
        <f>'Disease burden'!AG259</f>
        <v>0.2173416814</v>
      </c>
      <c r="AH88" s="241">
        <f>'Disease burden'!AH259</f>
        <v>0.3680623513</v>
      </c>
      <c r="AI88" s="241">
        <f>'Disease burden'!AI259</f>
        <v>0.1946036149</v>
      </c>
      <c r="AJ88" s="241">
        <f>'Disease burden'!AJ259</f>
        <v>0.1121093259</v>
      </c>
      <c r="AK88" s="241">
        <f>'Disease burden'!AK259</f>
        <v>0.1630420199</v>
      </c>
      <c r="AL88" s="241">
        <f>'Disease burden'!AL259</f>
        <v>0.1689554801</v>
      </c>
      <c r="AM88" s="241">
        <f>'Disease burden'!AM259</f>
        <v>0.1689554801</v>
      </c>
      <c r="AN88" s="241">
        <f>'Disease burden'!AN259</f>
        <v>0.1689554801</v>
      </c>
      <c r="AO88" s="241">
        <f>'Disease burden'!AO259</f>
        <v>0.1595839744</v>
      </c>
      <c r="AP88" s="241">
        <f>'Disease burden'!AP259</f>
        <v>0.127596568</v>
      </c>
      <c r="AQ88" s="241">
        <f>'Disease burden'!AQ259</f>
        <v>0.1375130397</v>
      </c>
      <c r="AR88" s="241">
        <f>'Disease burden'!AR259</f>
        <v>0.2337852663</v>
      </c>
      <c r="AS88" s="241">
        <f>'Disease burden'!AS259</f>
        <v>0.1216227049</v>
      </c>
      <c r="AT88" s="241">
        <f>'Disease burden'!AT259</f>
        <v>0.1484977239</v>
      </c>
      <c r="AU88" s="241">
        <f>'Disease burden'!AU259</f>
        <v>0.1422919785</v>
      </c>
      <c r="AV88" s="241">
        <f>'Disease burden'!AV259</f>
        <v>0.1656500281</v>
      </c>
      <c r="AW88" s="259"/>
    </row>
    <row r="89">
      <c r="A89" s="122"/>
      <c r="B89" s="123"/>
      <c r="C89" s="450"/>
      <c r="D89" s="131"/>
      <c r="E89" s="257" t="s">
        <v>420</v>
      </c>
      <c r="F89" s="213" t="str">
        <f>'Disease burden'!F260</f>
        <v>%</v>
      </c>
      <c r="G89" s="485" t="s">
        <v>173</v>
      </c>
      <c r="H89" s="243" t="str">
        <f>'Disease burden'!H260</f>
        <v>-</v>
      </c>
      <c r="I89" s="241">
        <f>'Disease burden'!I260</f>
        <v>0.02466485078</v>
      </c>
      <c r="J89" s="241">
        <f>'Disease burden'!J260</f>
        <v>0.03129198975</v>
      </c>
      <c r="K89" s="241">
        <f>'Disease burden'!K260</f>
        <v>0.02621831473</v>
      </c>
      <c r="L89" s="383">
        <f>'Disease burden'!L260</f>
        <v>0.035770965</v>
      </c>
      <c r="M89" s="241">
        <f>'Disease burden'!M260</f>
        <v>0.03634474704</v>
      </c>
      <c r="N89" s="241">
        <f>'Disease burden'!N260</f>
        <v>0.02481749598</v>
      </c>
      <c r="O89" s="241">
        <f>'Disease burden'!O260</f>
        <v>0.02400614329</v>
      </c>
      <c r="P89" s="241">
        <f>'Disease burden'!P260</f>
        <v>0.0234699758</v>
      </c>
      <c r="Q89" s="456">
        <f>'Disease burden'!Q260</f>
        <v>0.02351031976</v>
      </c>
      <c r="R89" s="241">
        <f>'Disease burden'!R260</f>
        <v>0.04311488012</v>
      </c>
      <c r="S89" s="241">
        <f>'Disease burden'!S260</f>
        <v>0.03782741998</v>
      </c>
      <c r="T89" s="241">
        <f>'Disease burden'!T260</f>
        <v>0.04298109555</v>
      </c>
      <c r="U89" s="241">
        <f>'Disease burden'!U260</f>
        <v>0.04117044942</v>
      </c>
      <c r="V89" s="241">
        <f>'Disease burden'!V260</f>
        <v>0.03038449442</v>
      </c>
      <c r="W89" s="241">
        <f>'Disease burden'!W260</f>
        <v>0.0368981125</v>
      </c>
      <c r="X89" s="241">
        <f>'Disease burden'!X260</f>
        <v>0.0282756381</v>
      </c>
      <c r="Y89" s="241">
        <f>'Disease burden'!Y260</f>
        <v>0.04504372891</v>
      </c>
      <c r="Z89" s="241">
        <f>'Disease burden'!Z260</f>
        <v>0.04380131688</v>
      </c>
      <c r="AA89" s="241">
        <f>'Disease burden'!AA260</f>
        <v>0.04453952157</v>
      </c>
      <c r="AB89" s="241">
        <f>'Disease burden'!AB260</f>
        <v>0.04708197651</v>
      </c>
      <c r="AC89" s="241">
        <f>'Disease burden'!AC260</f>
        <v>0.04732005827</v>
      </c>
      <c r="AD89" s="241">
        <f>'Disease burden'!AD260</f>
        <v>0.04390776399</v>
      </c>
      <c r="AE89" s="241">
        <f>'Disease burden'!AE260</f>
        <v>0.04888094184</v>
      </c>
      <c r="AF89" s="241">
        <f>'Disease burden'!AF260</f>
        <v>0.04948951558</v>
      </c>
      <c r="AG89" s="241">
        <f>'Disease burden'!AG260</f>
        <v>0.035770965</v>
      </c>
      <c r="AH89" s="241">
        <f>'Disease burden'!AH260</f>
        <v>0.02926432392</v>
      </c>
      <c r="AI89" s="241">
        <f>'Disease burden'!AI260</f>
        <v>0.03574317922</v>
      </c>
      <c r="AJ89" s="241">
        <f>'Disease burden'!AJ260</f>
        <v>0.05235526758</v>
      </c>
      <c r="AK89" s="241">
        <f>'Disease burden'!AK260</f>
        <v>0.03843670794</v>
      </c>
      <c r="AL89" s="241">
        <f>'Disease burden'!AL260</f>
        <v>0.03315582744</v>
      </c>
      <c r="AM89" s="241">
        <f>'Disease burden'!AM260</f>
        <v>0.03315582744</v>
      </c>
      <c r="AN89" s="241">
        <f>'Disease burden'!AN260</f>
        <v>0.03315582744</v>
      </c>
      <c r="AO89" s="241">
        <f>'Disease burden'!AO260</f>
        <v>0.04156160943</v>
      </c>
      <c r="AP89" s="241">
        <f>'Disease burden'!AP260</f>
        <v>0.04418118061</v>
      </c>
      <c r="AQ89" s="241">
        <f>'Disease burden'!AQ260</f>
        <v>0.04559853821</v>
      </c>
      <c r="AR89" s="241">
        <f>'Disease burden'!AR260</f>
        <v>0.03541940523</v>
      </c>
      <c r="AS89" s="241">
        <f>'Disease burden'!AS260</f>
        <v>0.03979471049</v>
      </c>
      <c r="AT89" s="241">
        <f>'Disease burden'!AT260</f>
        <v>0.04645010342</v>
      </c>
      <c r="AU89" s="241">
        <f>'Disease burden'!AU260</f>
        <v>0.035979048</v>
      </c>
      <c r="AV89" s="241">
        <f>'Disease burden'!AV260</f>
        <v>0.02590770457</v>
      </c>
      <c r="AW89" s="259"/>
    </row>
    <row r="90">
      <c r="A90" s="122"/>
      <c r="B90" s="123"/>
      <c r="C90" s="450"/>
      <c r="D90" s="131"/>
      <c r="E90" s="257" t="s">
        <v>421</v>
      </c>
      <c r="F90" s="213" t="str">
        <f>'Disease burden'!F261</f>
        <v>%</v>
      </c>
      <c r="G90" s="485" t="s">
        <v>173</v>
      </c>
      <c r="H90" s="243" t="str">
        <f>'Disease burden'!H261</f>
        <v>-</v>
      </c>
      <c r="I90" s="241">
        <f>'Disease burden'!I261</f>
        <v>0.2983425646</v>
      </c>
      <c r="J90" s="241">
        <f>'Disease burden'!J261</f>
        <v>0.3688676141</v>
      </c>
      <c r="K90" s="241">
        <f>'Disease burden'!K261</f>
        <v>0.3062582182</v>
      </c>
      <c r="L90" s="383">
        <f>'Disease burden'!L261</f>
        <v>0.4118093499</v>
      </c>
      <c r="M90" s="241">
        <f>'Disease burden'!M261</f>
        <v>0.4336421293</v>
      </c>
      <c r="N90" s="241">
        <f>'Disease burden'!N261</f>
        <v>0.294137775</v>
      </c>
      <c r="O90" s="241">
        <f>'Disease burden'!O261</f>
        <v>0.2783912339</v>
      </c>
      <c r="P90" s="241">
        <f>'Disease burden'!P261</f>
        <v>0.2870166209</v>
      </c>
      <c r="Q90" s="456">
        <f>'Disease burden'!Q261</f>
        <v>0.2838144797</v>
      </c>
      <c r="R90" s="241">
        <f>'Disease burden'!R261</f>
        <v>0.4841330114</v>
      </c>
      <c r="S90" s="241">
        <f>'Disease burden'!S261</f>
        <v>0.4381846016</v>
      </c>
      <c r="T90" s="241">
        <f>'Disease burden'!T261</f>
        <v>0.4842668828</v>
      </c>
      <c r="U90" s="241">
        <f>'Disease burden'!U261</f>
        <v>0.4715222092</v>
      </c>
      <c r="V90" s="241">
        <f>'Disease burden'!V261</f>
        <v>0.3462070808</v>
      </c>
      <c r="W90" s="241">
        <f>'Disease burden'!W261</f>
        <v>0.4197111939</v>
      </c>
      <c r="X90" s="241">
        <f>'Disease burden'!X261</f>
        <v>0.3341150119</v>
      </c>
      <c r="Y90" s="241">
        <f>'Disease burden'!Y261</f>
        <v>0.511324474</v>
      </c>
      <c r="Z90" s="241">
        <f>'Disease burden'!Z261</f>
        <v>0.499417258</v>
      </c>
      <c r="AA90" s="241">
        <f>'Disease burden'!AA261</f>
        <v>0.4852952198</v>
      </c>
      <c r="AB90" s="241">
        <f>'Disease burden'!AB261</f>
        <v>0.5191091607</v>
      </c>
      <c r="AC90" s="241">
        <f>'Disease burden'!AC261</f>
        <v>0.5211233675</v>
      </c>
      <c r="AD90" s="241">
        <f>'Disease burden'!AD261</f>
        <v>0.4792504256</v>
      </c>
      <c r="AE90" s="241">
        <f>'Disease burden'!AE261</f>
        <v>0.5477699839</v>
      </c>
      <c r="AF90" s="241">
        <f>'Disease burden'!AF261</f>
        <v>0.5454949735</v>
      </c>
      <c r="AG90" s="241">
        <f>'Disease burden'!AG261</f>
        <v>0.4118093499</v>
      </c>
      <c r="AH90" s="241">
        <f>'Disease burden'!AH261</f>
        <v>0.3336012983</v>
      </c>
      <c r="AI90" s="241">
        <f>'Disease burden'!AI261</f>
        <v>0.415412356</v>
      </c>
      <c r="AJ90" s="241">
        <f>'Disease burden'!AJ261</f>
        <v>0.580651973</v>
      </c>
      <c r="AK90" s="241">
        <f>'Disease burden'!AK261</f>
        <v>0.446987473</v>
      </c>
      <c r="AL90" s="241">
        <f>'Disease burden'!AL261</f>
        <v>0.391607453</v>
      </c>
      <c r="AM90" s="241">
        <f>'Disease burden'!AM261</f>
        <v>0.391607453</v>
      </c>
      <c r="AN90" s="241">
        <f>'Disease burden'!AN261</f>
        <v>0.391607453</v>
      </c>
      <c r="AO90" s="241">
        <f>'Disease burden'!AO261</f>
        <v>0.4871544234</v>
      </c>
      <c r="AP90" s="241">
        <f>'Disease burden'!AP261</f>
        <v>0.5118850897</v>
      </c>
      <c r="AQ90" s="241">
        <f>'Disease burden'!AQ261</f>
        <v>0.5037794653</v>
      </c>
      <c r="AR90" s="241">
        <f>'Disease burden'!AR261</f>
        <v>0.40970586</v>
      </c>
      <c r="AS90" s="241">
        <f>'Disease burden'!AS261</f>
        <v>0.4475866906</v>
      </c>
      <c r="AT90" s="241">
        <f>'Disease burden'!AT261</f>
        <v>0.5195467502</v>
      </c>
      <c r="AU90" s="241">
        <f>'Disease burden'!AU261</f>
        <v>0.4158209311</v>
      </c>
      <c r="AV90" s="241">
        <f>'Disease burden'!AV261</f>
        <v>0.2931964402</v>
      </c>
      <c r="AW90" s="259"/>
    </row>
    <row r="91">
      <c r="A91" s="122"/>
      <c r="B91" s="123"/>
      <c r="C91" s="450"/>
      <c r="D91" s="131"/>
      <c r="E91" s="257" t="s">
        <v>422</v>
      </c>
      <c r="F91" s="213" t="str">
        <f>'Disease burden'!F262</f>
        <v>%</v>
      </c>
      <c r="G91" s="485" t="s">
        <v>173</v>
      </c>
      <c r="H91" s="243" t="str">
        <f>'Disease burden'!H262</f>
        <v>-</v>
      </c>
      <c r="I91" s="241">
        <f>'Disease burden'!I262</f>
        <v>0.2102363938</v>
      </c>
      <c r="J91" s="241">
        <f>'Disease burden'!J262</f>
        <v>0.1788800844</v>
      </c>
      <c r="K91" s="241">
        <f>'Disease burden'!K262</f>
        <v>0.1264490185</v>
      </c>
      <c r="L91" s="383">
        <f>'Disease burden'!L262</f>
        <v>0.1037228716</v>
      </c>
      <c r="M91" s="241">
        <f>'Disease burden'!M262</f>
        <v>0.1375320531</v>
      </c>
      <c r="N91" s="241">
        <f>'Disease burden'!N262</f>
        <v>0.1669193366</v>
      </c>
      <c r="O91" s="241">
        <f>'Disease burden'!O262</f>
        <v>0.1672227352</v>
      </c>
      <c r="P91" s="241">
        <f>'Disease burden'!P262</f>
        <v>0.1670404534</v>
      </c>
      <c r="Q91" s="456">
        <f>'Disease burden'!Q262</f>
        <v>0.154228177</v>
      </c>
      <c r="R91" s="241">
        <f>'Disease burden'!R262</f>
        <v>0.1868202517</v>
      </c>
      <c r="S91" s="241">
        <f>'Disease burden'!S262</f>
        <v>0.1767629371</v>
      </c>
      <c r="T91" s="241">
        <f>'Disease burden'!T262</f>
        <v>0.1097536844</v>
      </c>
      <c r="U91" s="241">
        <f>'Disease burden'!U262</f>
        <v>0.08561315568</v>
      </c>
      <c r="V91" s="241">
        <f>'Disease burden'!V262</f>
        <v>0.2351026532</v>
      </c>
      <c r="W91" s="241">
        <f>'Disease burden'!W262</f>
        <v>0.2316357177</v>
      </c>
      <c r="X91" s="241">
        <f>'Disease burden'!X262</f>
        <v>0.2349325705</v>
      </c>
      <c r="Y91" s="241">
        <f>'Disease burden'!Y262</f>
        <v>0.1517363994</v>
      </c>
      <c r="Z91" s="241">
        <f>'Disease burden'!Z262</f>
        <v>0.09572066303</v>
      </c>
      <c r="AA91" s="241">
        <f>'Disease burden'!AA262</f>
        <v>0.1403530429</v>
      </c>
      <c r="AB91" s="241">
        <f>'Disease burden'!AB262</f>
        <v>0.1003271653</v>
      </c>
      <c r="AC91" s="241">
        <f>'Disease burden'!AC262</f>
        <v>0.1063750739</v>
      </c>
      <c r="AD91" s="241">
        <f>'Disease burden'!AD262</f>
        <v>0.135481514</v>
      </c>
      <c r="AE91" s="241">
        <f>'Disease burden'!AE262</f>
        <v>0.08296366902</v>
      </c>
      <c r="AF91" s="241">
        <f>'Disease burden'!AF262</f>
        <v>0.09758045767</v>
      </c>
      <c r="AG91" s="241">
        <f>'Disease burden'!AG262</f>
        <v>0.1037228716</v>
      </c>
      <c r="AH91" s="241">
        <f>'Disease burden'!AH262</f>
        <v>0.1085905631</v>
      </c>
      <c r="AI91" s="241">
        <f>'Disease burden'!AI262</f>
        <v>0.1332144135</v>
      </c>
      <c r="AJ91" s="241">
        <f>'Disease burden'!AJ262</f>
        <v>0.06654958574</v>
      </c>
      <c r="AK91" s="241">
        <f>'Disease burden'!AK262</f>
        <v>0.1431026972</v>
      </c>
      <c r="AL91" s="241">
        <f>'Disease burden'!AL262</f>
        <v>0.174056317</v>
      </c>
      <c r="AM91" s="241">
        <f>'Disease burden'!AM262</f>
        <v>0.174056317</v>
      </c>
      <c r="AN91" s="241">
        <f>'Disease burden'!AN262</f>
        <v>0.174056317</v>
      </c>
      <c r="AO91" s="241">
        <f>'Disease burden'!AO262</f>
        <v>0.1096975739</v>
      </c>
      <c r="AP91" s="241">
        <f>'Disease burden'!AP262</f>
        <v>0.1309411585</v>
      </c>
      <c r="AQ91" s="241">
        <f>'Disease burden'!AQ262</f>
        <v>0.1122625877</v>
      </c>
      <c r="AR91" s="241">
        <f>'Disease burden'!AR262</f>
        <v>0.1519113082</v>
      </c>
      <c r="AS91" s="241">
        <f>'Disease burden'!AS262</f>
        <v>0.1761637271</v>
      </c>
      <c r="AT91" s="241">
        <f>'Disease burden'!AT262</f>
        <v>0.09052306149</v>
      </c>
      <c r="AU91" s="241">
        <f>'Disease burden'!AU262</f>
        <v>0.1873872343</v>
      </c>
      <c r="AV91" s="241">
        <f>'Disease burden'!AV262</f>
        <v>0.1844467273</v>
      </c>
      <c r="AW91" s="259"/>
    </row>
    <row r="92">
      <c r="A92" s="122"/>
      <c r="B92" s="123"/>
      <c r="C92" s="450"/>
      <c r="D92" s="131"/>
      <c r="E92" s="272" t="s">
        <v>423</v>
      </c>
      <c r="F92" s="489" t="str">
        <f>'Disease burden'!F263</f>
        <v>%</v>
      </c>
      <c r="G92" s="487" t="s">
        <v>173</v>
      </c>
      <c r="H92" s="467" t="str">
        <f>'Disease burden'!H263</f>
        <v>-</v>
      </c>
      <c r="I92" s="385">
        <f>'Disease burden'!I263</f>
        <v>0.1046541423</v>
      </c>
      <c r="J92" s="385">
        <f>'Disease burden'!J263</f>
        <v>0.08040188582</v>
      </c>
      <c r="K92" s="385">
        <f>'Disease burden'!K263</f>
        <v>0.1217898683</v>
      </c>
      <c r="L92" s="385">
        <f>'Disease burden'!L263</f>
        <v>0.1002623792</v>
      </c>
      <c r="M92" s="385">
        <f>'Disease burden'!M263</f>
        <v>0.06147902788</v>
      </c>
      <c r="N92" s="385">
        <f>'Disease burden'!N263</f>
        <v>0.1319886574</v>
      </c>
      <c r="O92" s="385">
        <f>'Disease burden'!O263</f>
        <v>0.1180066175</v>
      </c>
      <c r="P92" s="385">
        <f>'Disease burden'!P263</f>
        <v>0.1130976258</v>
      </c>
      <c r="Q92" s="462">
        <f>'Disease burden'!Q263</f>
        <v>0.1177281343</v>
      </c>
      <c r="R92" s="385">
        <f>'Disease burden'!R263</f>
        <v>0.04549672836</v>
      </c>
      <c r="S92" s="385">
        <f>'Disease burden'!S263</f>
        <v>0.05924900589</v>
      </c>
      <c r="T92" s="385">
        <f>'Disease burden'!T263</f>
        <v>0.07683233751</v>
      </c>
      <c r="U92" s="385">
        <f>'Disease burden'!U263</f>
        <v>0.05419290738</v>
      </c>
      <c r="V92" s="385">
        <f>'Disease burden'!V263</f>
        <v>0.08330306818</v>
      </c>
      <c r="W92" s="385">
        <f>'Disease burden'!W263</f>
        <v>0.05045102807</v>
      </c>
      <c r="X92" s="385">
        <f>'Disease burden'!X263</f>
        <v>0.09368002618</v>
      </c>
      <c r="Y92" s="385">
        <f>'Disease burden'!Y263</f>
        <v>0.06399514125</v>
      </c>
      <c r="Z92" s="385">
        <f>'Disease burden'!Z263</f>
        <v>0.06731175103</v>
      </c>
      <c r="AA92" s="385">
        <f>'Disease burden'!AA263</f>
        <v>0.06491849998</v>
      </c>
      <c r="AB92" s="385">
        <f>'Disease burden'!AB263</f>
        <v>0.06065732967</v>
      </c>
      <c r="AC92" s="385">
        <f>'Disease burden'!AC263</f>
        <v>0.07759669998</v>
      </c>
      <c r="AD92" s="385">
        <f>'Disease burden'!AD263</f>
        <v>0.05798104993</v>
      </c>
      <c r="AE92" s="385">
        <f>'Disease burden'!AE263</f>
        <v>0.04857476557</v>
      </c>
      <c r="AF92" s="385">
        <f>'Disease burden'!AF263</f>
        <v>0.05201664056</v>
      </c>
      <c r="AG92" s="385">
        <f>'Disease burden'!AG263</f>
        <v>0.1002623792</v>
      </c>
      <c r="AH92" s="385">
        <f>'Disease burden'!AH263</f>
        <v>0.06945428766</v>
      </c>
      <c r="AI92" s="385">
        <f>'Disease burden'!AI263</f>
        <v>0.1059895077</v>
      </c>
      <c r="AJ92" s="385">
        <f>'Disease burden'!AJ263</f>
        <v>0.05460405156</v>
      </c>
      <c r="AK92" s="385">
        <f>'Disease burden'!AK263</f>
        <v>0.06941227393</v>
      </c>
      <c r="AL92" s="385">
        <f>'Disease burden'!AL263</f>
        <v>0.07583878921</v>
      </c>
      <c r="AM92" s="385">
        <f>'Disease burden'!AM263</f>
        <v>0.07583878921</v>
      </c>
      <c r="AN92" s="385">
        <f>'Disease burden'!AN263</f>
        <v>0.07583878921</v>
      </c>
      <c r="AO92" s="385">
        <f>'Disease burden'!AO263</f>
        <v>0.06092552013</v>
      </c>
      <c r="AP92" s="385">
        <f>'Disease burden'!AP263</f>
        <v>0.06127948839</v>
      </c>
      <c r="AQ92" s="385">
        <f>'Disease burden'!AQ263</f>
        <v>0.0677170847</v>
      </c>
      <c r="AR92" s="385">
        <f>'Disease burden'!AR263</f>
        <v>0.07771545828</v>
      </c>
      <c r="AS92" s="385">
        <f>'Disease burden'!AS263</f>
        <v>0.06377590796</v>
      </c>
      <c r="AT92" s="385">
        <f>'Disease burden'!AT263</f>
        <v>0.06349273421</v>
      </c>
      <c r="AU92" s="385">
        <f>'Disease burden'!AU263</f>
        <v>0.06310092102</v>
      </c>
      <c r="AV92" s="385">
        <f>'Disease burden'!AV263</f>
        <v>0.1050491963</v>
      </c>
      <c r="AW92" s="274"/>
    </row>
    <row r="93">
      <c r="A93" s="122"/>
      <c r="B93" s="123"/>
      <c r="C93" s="450"/>
      <c r="D93" s="131"/>
      <c r="E93" s="269"/>
      <c r="F93" s="141"/>
      <c r="G93" s="448"/>
      <c r="H93" s="188"/>
      <c r="I93" s="317"/>
      <c r="J93" s="317"/>
      <c r="K93" s="317"/>
      <c r="L93" s="317"/>
      <c r="M93" s="317"/>
      <c r="N93" s="317"/>
      <c r="O93" s="317"/>
      <c r="P93" s="317"/>
      <c r="Q93" s="449"/>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130"/>
    </row>
    <row r="94">
      <c r="A94" s="123"/>
      <c r="B94" s="123"/>
      <c r="C94" s="450" t="s">
        <v>424</v>
      </c>
      <c r="F94" s="141"/>
      <c r="G94" s="448"/>
      <c r="H94" s="188"/>
      <c r="I94" s="317"/>
      <c r="J94" s="317"/>
      <c r="K94" s="317"/>
      <c r="L94" s="317"/>
      <c r="M94" s="317"/>
      <c r="N94" s="317"/>
      <c r="O94" s="317"/>
      <c r="P94" s="317"/>
      <c r="Q94" s="449"/>
      <c r="R94" s="317"/>
      <c r="S94" s="317"/>
      <c r="T94" s="317"/>
      <c r="U94" s="317"/>
      <c r="V94" s="317"/>
      <c r="W94" s="317"/>
      <c r="X94" s="317"/>
      <c r="Y94" s="317"/>
      <c r="Z94" s="317"/>
      <c r="AA94" s="317"/>
      <c r="AB94" s="317"/>
      <c r="AC94" s="317"/>
      <c r="AD94" s="317"/>
      <c r="AE94" s="317"/>
      <c r="AF94" s="317"/>
      <c r="AG94" s="317"/>
      <c r="AH94" s="317"/>
      <c r="AI94" s="317"/>
      <c r="AJ94" s="317"/>
      <c r="AK94" s="317"/>
      <c r="AL94" s="317"/>
      <c r="AM94" s="317"/>
      <c r="AN94" s="317"/>
      <c r="AO94" s="317"/>
      <c r="AP94" s="317"/>
      <c r="AQ94" s="317"/>
      <c r="AR94" s="317"/>
      <c r="AS94" s="317"/>
      <c r="AT94" s="317"/>
      <c r="AU94" s="317"/>
      <c r="AV94" s="317"/>
      <c r="AW94" s="130"/>
    </row>
    <row r="95">
      <c r="A95" s="122"/>
      <c r="B95" s="123"/>
      <c r="C95" s="450"/>
      <c r="D95" s="131"/>
      <c r="E95" s="490" t="s">
        <v>197</v>
      </c>
      <c r="F95" s="134" t="s">
        <v>72</v>
      </c>
      <c r="G95" s="491" t="s">
        <v>161</v>
      </c>
      <c r="H95" s="146" t="s">
        <v>162</v>
      </c>
      <c r="I95" s="407">
        <f t="shared" ref="I95:AV95" si="7">SUMPRODUCT($H79:$H84,I87:I92)</f>
        <v>0.5100222093</v>
      </c>
      <c r="J95" s="407">
        <f t="shared" si="7"/>
        <v>0.5114552469</v>
      </c>
      <c r="K95" s="407">
        <f t="shared" si="7"/>
        <v>0.5328850853</v>
      </c>
      <c r="L95" s="407">
        <f t="shared" si="7"/>
        <v>0.5286106585</v>
      </c>
      <c r="M95" s="407">
        <f t="shared" si="7"/>
        <v>0.4996940011</v>
      </c>
      <c r="N95" s="407">
        <f t="shared" si="7"/>
        <v>0.5290724102</v>
      </c>
      <c r="O95" s="407">
        <f t="shared" si="7"/>
        <v>0.5378847386</v>
      </c>
      <c r="P95" s="407">
        <f t="shared" si="7"/>
        <v>0.5304075759</v>
      </c>
      <c r="Q95" s="481">
        <f t="shared" si="7"/>
        <v>0.5330421478</v>
      </c>
      <c r="R95" s="407">
        <f t="shared" si="7"/>
        <v>0.4758979794</v>
      </c>
      <c r="S95" s="407">
        <f t="shared" si="7"/>
        <v>0.4865149562</v>
      </c>
      <c r="T95" s="407">
        <f t="shared" si="7"/>
        <v>0.5014854002</v>
      </c>
      <c r="U95" s="407">
        <f t="shared" si="7"/>
        <v>0.5175544627</v>
      </c>
      <c r="V95" s="407">
        <f t="shared" si="7"/>
        <v>0.5125955058</v>
      </c>
      <c r="W95" s="407">
        <f t="shared" si="7"/>
        <v>0.4743793104</v>
      </c>
      <c r="X95" s="407">
        <f t="shared" si="7"/>
        <v>0.5039030044</v>
      </c>
      <c r="Y95" s="407">
        <f t="shared" si="7"/>
        <v>0.4802100278</v>
      </c>
      <c r="Z95" s="407">
        <f t="shared" si="7"/>
        <v>0.5008143061</v>
      </c>
      <c r="AA95" s="407">
        <f t="shared" si="7"/>
        <v>0.4861039399</v>
      </c>
      <c r="AB95" s="407">
        <f t="shared" si="7"/>
        <v>0.4905495309</v>
      </c>
      <c r="AC95" s="407">
        <f t="shared" si="7"/>
        <v>0.4863741312</v>
      </c>
      <c r="AD95" s="407">
        <f t="shared" si="7"/>
        <v>0.4896138576</v>
      </c>
      <c r="AE95" s="407">
        <f t="shared" si="7"/>
        <v>0.484995416</v>
      </c>
      <c r="AF95" s="407">
        <f t="shared" si="7"/>
        <v>0.4805301337</v>
      </c>
      <c r="AG95" s="407">
        <f t="shared" si="7"/>
        <v>0.5286106585</v>
      </c>
      <c r="AH95" s="407">
        <f t="shared" si="7"/>
        <v>0.5683421628</v>
      </c>
      <c r="AI95" s="407">
        <f t="shared" si="7"/>
        <v>0.5189632875</v>
      </c>
      <c r="AJ95" s="407">
        <f t="shared" si="7"/>
        <v>0.4802637967</v>
      </c>
      <c r="AK95" s="407">
        <f t="shared" si="7"/>
        <v>0.5000472994</v>
      </c>
      <c r="AL95" s="407">
        <f t="shared" si="7"/>
        <v>0.5050121932</v>
      </c>
      <c r="AM95" s="407">
        <f t="shared" si="7"/>
        <v>0.5050121932</v>
      </c>
      <c r="AN95" s="407">
        <f t="shared" si="7"/>
        <v>0.5050121932</v>
      </c>
      <c r="AO95" s="407">
        <f t="shared" si="7"/>
        <v>0.4977330866</v>
      </c>
      <c r="AP95" s="407">
        <f t="shared" si="7"/>
        <v>0.4836434751</v>
      </c>
      <c r="AQ95" s="407">
        <f t="shared" si="7"/>
        <v>0.491358376</v>
      </c>
      <c r="AR95" s="407">
        <f t="shared" si="7"/>
        <v>0.5212693861</v>
      </c>
      <c r="AS95" s="407">
        <f t="shared" si="7"/>
        <v>0.4844202317</v>
      </c>
      <c r="AT95" s="407">
        <f t="shared" si="7"/>
        <v>0.4944831891</v>
      </c>
      <c r="AU95" s="407">
        <f t="shared" si="7"/>
        <v>0.4914919561</v>
      </c>
      <c r="AV95" s="407">
        <f t="shared" si="7"/>
        <v>0.5210026016</v>
      </c>
      <c r="AW95" s="409"/>
    </row>
    <row r="96">
      <c r="A96" s="122"/>
      <c r="B96" s="123"/>
      <c r="C96" s="450"/>
      <c r="D96" s="131"/>
      <c r="E96" s="269"/>
      <c r="F96" s="141"/>
      <c r="G96" s="448"/>
      <c r="H96" s="188"/>
      <c r="I96" s="317"/>
      <c r="J96" s="317"/>
      <c r="K96" s="317"/>
      <c r="L96" s="317"/>
      <c r="M96" s="317"/>
      <c r="N96" s="317"/>
      <c r="O96" s="317"/>
      <c r="P96" s="317"/>
      <c r="Q96" s="449"/>
      <c r="R96" s="317"/>
      <c r="S96" s="317"/>
      <c r="T96" s="317"/>
      <c r="U96" s="317"/>
      <c r="V96" s="317"/>
      <c r="W96" s="317"/>
      <c r="X96" s="317"/>
      <c r="Y96" s="317"/>
      <c r="Z96" s="317"/>
      <c r="AA96" s="317"/>
      <c r="AB96" s="317"/>
      <c r="AC96" s="317"/>
      <c r="AD96" s="317"/>
      <c r="AE96" s="317"/>
      <c r="AF96" s="317"/>
      <c r="AG96" s="317"/>
      <c r="AH96" s="317"/>
      <c r="AI96" s="317"/>
      <c r="AJ96" s="317"/>
      <c r="AK96" s="317"/>
      <c r="AL96" s="317"/>
      <c r="AM96" s="317"/>
      <c r="AN96" s="317"/>
      <c r="AO96" s="317"/>
      <c r="AP96" s="317"/>
      <c r="AQ96" s="317"/>
      <c r="AR96" s="317"/>
      <c r="AS96" s="317"/>
      <c r="AT96" s="317"/>
      <c r="AU96" s="317"/>
      <c r="AV96" s="317"/>
      <c r="AW96" s="130"/>
    </row>
    <row r="97">
      <c r="A97" s="122"/>
      <c r="B97" s="123"/>
      <c r="C97" s="447" t="s">
        <v>425</v>
      </c>
      <c r="F97" s="141"/>
      <c r="G97" s="448"/>
      <c r="H97" s="188"/>
      <c r="I97" s="317"/>
      <c r="J97" s="317"/>
      <c r="K97" s="317"/>
      <c r="L97" s="317"/>
      <c r="M97" s="317"/>
      <c r="N97" s="317"/>
      <c r="O97" s="317"/>
      <c r="P97" s="317"/>
      <c r="Q97" s="449"/>
      <c r="R97" s="317"/>
      <c r="S97" s="317"/>
      <c r="T97" s="317"/>
      <c r="U97" s="317"/>
      <c r="V97" s="317"/>
      <c r="W97" s="317"/>
      <c r="X97" s="317"/>
      <c r="Y97" s="317"/>
      <c r="Z97" s="317"/>
      <c r="AA97" s="317"/>
      <c r="AB97" s="317"/>
      <c r="AC97" s="317"/>
      <c r="AD97" s="317"/>
      <c r="AE97" s="317"/>
      <c r="AF97" s="317"/>
      <c r="AG97" s="317"/>
      <c r="AH97" s="317"/>
      <c r="AI97" s="317"/>
      <c r="AJ97" s="317"/>
      <c r="AK97" s="317"/>
      <c r="AL97" s="317"/>
      <c r="AM97" s="317"/>
      <c r="AN97" s="317"/>
      <c r="AO97" s="317"/>
      <c r="AP97" s="317"/>
      <c r="AQ97" s="317"/>
      <c r="AR97" s="317"/>
      <c r="AS97" s="317"/>
      <c r="AT97" s="317"/>
      <c r="AU97" s="317"/>
      <c r="AV97" s="317"/>
      <c r="AW97" s="130"/>
    </row>
    <row r="98">
      <c r="A98" s="122"/>
      <c r="B98" s="123"/>
      <c r="C98" s="450"/>
      <c r="D98" s="131"/>
      <c r="E98" s="254" t="s">
        <v>426</v>
      </c>
      <c r="F98" s="193" t="str">
        <f>Inputs!F193</f>
        <v>%</v>
      </c>
      <c r="G98" s="483" t="str">
        <f>Inputs!G193</f>
        <v>input</v>
      </c>
      <c r="H98" s="208">
        <f>Inputs!H193</f>
        <v>-0.5</v>
      </c>
      <c r="I98" s="383" t="str">
        <f>Inputs!I193</f>
        <v>-</v>
      </c>
      <c r="J98" s="383" t="str">
        <f>Inputs!J193</f>
        <v>-</v>
      </c>
      <c r="K98" s="383" t="str">
        <f>Inputs!K193</f>
        <v>-</v>
      </c>
      <c r="L98" s="383" t="str">
        <f>Inputs!L193</f>
        <v>-</v>
      </c>
      <c r="M98" s="383" t="str">
        <f>Inputs!M193</f>
        <v>-</v>
      </c>
      <c r="N98" s="383" t="str">
        <f>Inputs!N193</f>
        <v>-</v>
      </c>
      <c r="O98" s="383" t="str">
        <f>Inputs!O193</f>
        <v>-</v>
      </c>
      <c r="P98" s="383" t="str">
        <f>Inputs!P193</f>
        <v>-</v>
      </c>
      <c r="Q98" s="453" t="str">
        <f>Inputs!Q193</f>
        <v>-</v>
      </c>
      <c r="R98" s="383" t="str">
        <f>Inputs!R193</f>
        <v>-</v>
      </c>
      <c r="S98" s="383" t="str">
        <f>Inputs!S193</f>
        <v>-</v>
      </c>
      <c r="T98" s="383" t="str">
        <f>Inputs!T193</f>
        <v>-</v>
      </c>
      <c r="U98" s="383" t="str">
        <f>Inputs!U193</f>
        <v>-</v>
      </c>
      <c r="V98" s="383" t="str">
        <f>Inputs!V193</f>
        <v>-</v>
      </c>
      <c r="W98" s="383" t="str">
        <f>Inputs!W193</f>
        <v>-</v>
      </c>
      <c r="X98" s="383" t="str">
        <f>Inputs!X193</f>
        <v>-</v>
      </c>
      <c r="Y98" s="383" t="str">
        <f>Inputs!Y193</f>
        <v>-</v>
      </c>
      <c r="Z98" s="383" t="str">
        <f>Inputs!Z193</f>
        <v>-</v>
      </c>
      <c r="AA98" s="383" t="str">
        <f>Inputs!AA193</f>
        <v>-</v>
      </c>
      <c r="AB98" s="383" t="str">
        <f>Inputs!AB193</f>
        <v>-</v>
      </c>
      <c r="AC98" s="383" t="str">
        <f>Inputs!AC193</f>
        <v>-</v>
      </c>
      <c r="AD98" s="383" t="str">
        <f>Inputs!AD193</f>
        <v>-</v>
      </c>
      <c r="AE98" s="383" t="str">
        <f>Inputs!AE193</f>
        <v>-</v>
      </c>
      <c r="AF98" s="383" t="str">
        <f>Inputs!AF193</f>
        <v>-</v>
      </c>
      <c r="AG98" s="383" t="str">
        <f>Inputs!AG193</f>
        <v>-</v>
      </c>
      <c r="AH98" s="383" t="str">
        <f>Inputs!AH193</f>
        <v>-</v>
      </c>
      <c r="AI98" s="383" t="str">
        <f>Inputs!AI193</f>
        <v>-</v>
      </c>
      <c r="AJ98" s="383" t="str">
        <f>Inputs!AJ193</f>
        <v>-</v>
      </c>
      <c r="AK98" s="383" t="str">
        <f>Inputs!AK193</f>
        <v>-</v>
      </c>
      <c r="AL98" s="383" t="str">
        <f>Inputs!AL193</f>
        <v>-</v>
      </c>
      <c r="AM98" s="383" t="str">
        <f>Inputs!AM193</f>
        <v>-</v>
      </c>
      <c r="AN98" s="383" t="str">
        <f>Inputs!AN193</f>
        <v>-</v>
      </c>
      <c r="AO98" s="383" t="str">
        <f>Inputs!AO193</f>
        <v>-</v>
      </c>
      <c r="AP98" s="383" t="str">
        <f>Inputs!AP193</f>
        <v>-</v>
      </c>
      <c r="AQ98" s="383" t="str">
        <f>Inputs!AQ193</f>
        <v>-</v>
      </c>
      <c r="AR98" s="383" t="str">
        <f>Inputs!AR193</f>
        <v>-</v>
      </c>
      <c r="AS98" s="383" t="str">
        <f>Inputs!AS193</f>
        <v>-</v>
      </c>
      <c r="AT98" s="383" t="str">
        <f>Inputs!AT193</f>
        <v>-</v>
      </c>
      <c r="AU98" s="383" t="str">
        <f>Inputs!AU193</f>
        <v>-</v>
      </c>
      <c r="AV98" s="383" t="str">
        <f>Inputs!AV193</f>
        <v>-</v>
      </c>
      <c r="AW98" s="256"/>
    </row>
    <row r="99">
      <c r="A99" s="122"/>
      <c r="B99" s="123"/>
      <c r="C99" s="450"/>
      <c r="D99" s="131"/>
      <c r="E99" s="257" t="s">
        <v>427</v>
      </c>
      <c r="F99" s="213" t="s">
        <v>72</v>
      </c>
      <c r="G99" s="485" t="s">
        <v>161</v>
      </c>
      <c r="H99" s="240" t="s">
        <v>162</v>
      </c>
      <c r="I99" s="241">
        <f t="shared" ref="I99:AV99" si="8">I66*(1+$H$98)</f>
        <v>0.2336879429</v>
      </c>
      <c r="J99" s="241">
        <f t="shared" si="8"/>
        <v>0.2808062858</v>
      </c>
      <c r="K99" s="241">
        <f t="shared" si="8"/>
        <v>0.3022237143</v>
      </c>
      <c r="L99" s="241">
        <f t="shared" si="8"/>
        <v>0.3717113715</v>
      </c>
      <c r="M99" s="241">
        <f t="shared" si="8"/>
        <v>0.2869935429</v>
      </c>
      <c r="N99" s="241">
        <f t="shared" si="8"/>
        <v>0.2708114858</v>
      </c>
      <c r="O99" s="241">
        <f t="shared" si="8"/>
        <v>0.3026996572</v>
      </c>
      <c r="P99" s="241">
        <f t="shared" si="8"/>
        <v>0.1603927429</v>
      </c>
      <c r="Q99" s="456">
        <f t="shared" si="8"/>
        <v>0.2417789715</v>
      </c>
      <c r="R99" s="241">
        <f t="shared" si="8"/>
        <v>0.4307282858</v>
      </c>
      <c r="S99" s="241">
        <f t="shared" si="8"/>
        <v>0.3978882287</v>
      </c>
      <c r="T99" s="241">
        <f t="shared" si="8"/>
        <v>0.4074070858</v>
      </c>
      <c r="U99" s="241">
        <f t="shared" si="8"/>
        <v>0.4016957715</v>
      </c>
      <c r="V99" s="241">
        <f t="shared" si="8"/>
        <v>0.3755189144</v>
      </c>
      <c r="W99" s="241">
        <f t="shared" si="8"/>
        <v>0.3888453144</v>
      </c>
      <c r="X99" s="241">
        <f t="shared" si="8"/>
        <v>0.3084109715</v>
      </c>
      <c r="Y99" s="241">
        <f t="shared" si="8"/>
        <v>0.4431028001</v>
      </c>
      <c r="Z99" s="241">
        <f t="shared" si="8"/>
        <v>0.3974122858</v>
      </c>
      <c r="AA99" s="241">
        <f t="shared" si="8"/>
        <v>0.4726112572</v>
      </c>
      <c r="AB99" s="241">
        <f t="shared" si="8"/>
        <v>0.4392952572</v>
      </c>
      <c r="AC99" s="241">
        <f t="shared" si="8"/>
        <v>0.4711834287</v>
      </c>
      <c r="AD99" s="241">
        <f t="shared" si="8"/>
        <v>0.4716593715</v>
      </c>
      <c r="AE99" s="241">
        <f t="shared" si="8"/>
        <v>0.4530976001</v>
      </c>
      <c r="AF99" s="241">
        <f t="shared" si="8"/>
        <v>0.4507178858</v>
      </c>
      <c r="AG99" s="241">
        <f t="shared" si="8"/>
        <v>0.3717113715</v>
      </c>
      <c r="AH99" s="241">
        <f t="shared" si="8"/>
        <v>0.4392952572</v>
      </c>
      <c r="AI99" s="241">
        <f t="shared" si="8"/>
        <v>0.3441066858</v>
      </c>
      <c r="AJ99" s="241">
        <f t="shared" si="8"/>
        <v>0.4492900572</v>
      </c>
      <c r="AK99" s="241">
        <f t="shared" si="8"/>
        <v>0.3769467429</v>
      </c>
      <c r="AL99" s="241">
        <f t="shared" si="8"/>
        <v>0.3174538858</v>
      </c>
      <c r="AM99" s="241">
        <f t="shared" si="8"/>
        <v>0.3174538858</v>
      </c>
      <c r="AN99" s="241">
        <f t="shared" si="8"/>
        <v>0.3174538858</v>
      </c>
      <c r="AO99" s="241">
        <f t="shared" si="8"/>
        <v>0.3441066858</v>
      </c>
      <c r="AP99" s="241">
        <f t="shared" si="8"/>
        <v>0.3574330858</v>
      </c>
      <c r="AQ99" s="241">
        <f t="shared" si="8"/>
        <v>0.4426268572</v>
      </c>
      <c r="AR99" s="241">
        <f t="shared" si="8"/>
        <v>0.3926528572</v>
      </c>
      <c r="AS99" s="241">
        <f t="shared" si="8"/>
        <v>0.4174018858</v>
      </c>
      <c r="AT99" s="241">
        <f t="shared" si="8"/>
        <v>0.4297764001</v>
      </c>
      <c r="AU99" s="241">
        <f t="shared" si="8"/>
        <v>0.3383953715</v>
      </c>
      <c r="AV99" s="241">
        <f t="shared" si="8"/>
        <v>0.3579090286</v>
      </c>
      <c r="AW99" s="259"/>
    </row>
    <row r="100">
      <c r="A100" s="122"/>
      <c r="B100" s="123"/>
      <c r="C100" s="450"/>
      <c r="D100" s="131"/>
      <c r="E100" s="257" t="s">
        <v>428</v>
      </c>
      <c r="F100" s="213" t="s">
        <v>72</v>
      </c>
      <c r="G100" s="485" t="s">
        <v>161</v>
      </c>
      <c r="H100" s="240" t="s">
        <v>162</v>
      </c>
      <c r="I100" s="241">
        <f t="shared" ref="I100:AV100" si="9">I67*(1+$H$98)</f>
        <v>0.1837853343</v>
      </c>
      <c r="J100" s="241">
        <f t="shared" si="9"/>
        <v>0.2423976972</v>
      </c>
      <c r="K100" s="241">
        <f t="shared" si="9"/>
        <v>0.2731436058</v>
      </c>
      <c r="L100" s="241">
        <f t="shared" si="9"/>
        <v>0.3237125344</v>
      </c>
      <c r="M100" s="241">
        <f t="shared" si="9"/>
        <v>0.2346636258</v>
      </c>
      <c r="N100" s="241">
        <f t="shared" si="9"/>
        <v>0.2298804</v>
      </c>
      <c r="O100" s="241">
        <f t="shared" si="9"/>
        <v>0.2782123972</v>
      </c>
      <c r="P100" s="241">
        <f t="shared" si="9"/>
        <v>0.1016138</v>
      </c>
      <c r="Q100" s="456">
        <f t="shared" si="9"/>
        <v>0.1791686886</v>
      </c>
      <c r="R100" s="241">
        <f t="shared" si="9"/>
        <v>0.4077402458</v>
      </c>
      <c r="S100" s="241">
        <f t="shared" si="9"/>
        <v>0.3249261886</v>
      </c>
      <c r="T100" s="241">
        <f t="shared" si="9"/>
        <v>0.3938189172</v>
      </c>
      <c r="U100" s="241">
        <f t="shared" si="9"/>
        <v>0.3704977172</v>
      </c>
      <c r="V100" s="241">
        <f t="shared" si="9"/>
        <v>0.3614548029</v>
      </c>
      <c r="W100" s="241">
        <f t="shared" si="9"/>
        <v>0.3595034372</v>
      </c>
      <c r="X100" s="241">
        <f t="shared" si="9"/>
        <v>0.2293568629</v>
      </c>
      <c r="Y100" s="241">
        <f t="shared" si="9"/>
        <v>0.4310852429</v>
      </c>
      <c r="Z100" s="241">
        <f t="shared" si="9"/>
        <v>0.3658334772</v>
      </c>
      <c r="AA100" s="241">
        <f t="shared" si="9"/>
        <v>0.4712072258</v>
      </c>
      <c r="AB100" s="241">
        <f t="shared" si="9"/>
        <v>0.4306330972</v>
      </c>
      <c r="AC100" s="241">
        <f t="shared" si="9"/>
        <v>0.4448399915</v>
      </c>
      <c r="AD100" s="241">
        <f t="shared" si="9"/>
        <v>0.4604271201</v>
      </c>
      <c r="AE100" s="241">
        <f t="shared" si="9"/>
        <v>0.4169021458</v>
      </c>
      <c r="AF100" s="241">
        <f t="shared" si="9"/>
        <v>0.4429838144</v>
      </c>
      <c r="AG100" s="241">
        <f t="shared" si="9"/>
        <v>0.3237125344</v>
      </c>
      <c r="AH100" s="241">
        <f t="shared" si="9"/>
        <v>0.3673802915</v>
      </c>
      <c r="AI100" s="241">
        <f t="shared" si="9"/>
        <v>0.3044606458</v>
      </c>
      <c r="AJ100" s="241">
        <f t="shared" si="9"/>
        <v>0.4300857629</v>
      </c>
      <c r="AK100" s="241">
        <f t="shared" si="9"/>
        <v>0.3148362001</v>
      </c>
      <c r="AL100" s="241">
        <f t="shared" si="9"/>
        <v>0.2522973086</v>
      </c>
      <c r="AM100" s="241">
        <f t="shared" si="9"/>
        <v>0.2522973086</v>
      </c>
      <c r="AN100" s="241">
        <f t="shared" si="9"/>
        <v>0.2522973086</v>
      </c>
      <c r="AO100" s="241">
        <f t="shared" si="9"/>
        <v>0.2825910715</v>
      </c>
      <c r="AP100" s="241">
        <f t="shared" si="9"/>
        <v>0.3305899086</v>
      </c>
      <c r="AQ100" s="241">
        <f t="shared" si="9"/>
        <v>0.4219233429</v>
      </c>
      <c r="AR100" s="241">
        <f t="shared" si="9"/>
        <v>0.3210710515</v>
      </c>
      <c r="AS100" s="241">
        <f t="shared" si="9"/>
        <v>0.3683083801</v>
      </c>
      <c r="AT100" s="241">
        <f t="shared" si="9"/>
        <v>0.4144272429</v>
      </c>
      <c r="AU100" s="241">
        <f t="shared" si="9"/>
        <v>0.3149789829</v>
      </c>
      <c r="AV100" s="241">
        <f t="shared" si="9"/>
        <v>0.3398707944</v>
      </c>
      <c r="AW100" s="259"/>
    </row>
    <row r="101">
      <c r="A101" s="122"/>
      <c r="B101" s="123"/>
      <c r="C101" s="450"/>
      <c r="D101" s="131"/>
      <c r="E101" s="257" t="s">
        <v>429</v>
      </c>
      <c r="F101" s="213" t="s">
        <v>72</v>
      </c>
      <c r="G101" s="485" t="s">
        <v>161</v>
      </c>
      <c r="H101" s="240" t="s">
        <v>162</v>
      </c>
      <c r="I101" s="241">
        <f t="shared" ref="I101:AV101" si="10">I68*(1+$H$98)</f>
        <v>0.1837853343</v>
      </c>
      <c r="J101" s="241">
        <f t="shared" si="10"/>
        <v>0.2423976972</v>
      </c>
      <c r="K101" s="241">
        <f t="shared" si="10"/>
        <v>0.2731436058</v>
      </c>
      <c r="L101" s="241">
        <f t="shared" si="10"/>
        <v>0.3237125344</v>
      </c>
      <c r="M101" s="241">
        <f t="shared" si="10"/>
        <v>0.2346636258</v>
      </c>
      <c r="N101" s="241">
        <f t="shared" si="10"/>
        <v>0.2298804</v>
      </c>
      <c r="O101" s="241">
        <f t="shared" si="10"/>
        <v>0.2782123972</v>
      </c>
      <c r="P101" s="241">
        <f t="shared" si="10"/>
        <v>0.1016138</v>
      </c>
      <c r="Q101" s="456">
        <f t="shared" si="10"/>
        <v>0.1791686886</v>
      </c>
      <c r="R101" s="241">
        <f t="shared" si="10"/>
        <v>0.4077402458</v>
      </c>
      <c r="S101" s="241">
        <f t="shared" si="10"/>
        <v>0.3249261886</v>
      </c>
      <c r="T101" s="241">
        <f t="shared" si="10"/>
        <v>0.3938189172</v>
      </c>
      <c r="U101" s="241">
        <f t="shared" si="10"/>
        <v>0.3704977172</v>
      </c>
      <c r="V101" s="241">
        <f t="shared" si="10"/>
        <v>0.3614548029</v>
      </c>
      <c r="W101" s="241">
        <f t="shared" si="10"/>
        <v>0.3595034372</v>
      </c>
      <c r="X101" s="241">
        <f t="shared" si="10"/>
        <v>0.2293568629</v>
      </c>
      <c r="Y101" s="241">
        <f t="shared" si="10"/>
        <v>0.4310852429</v>
      </c>
      <c r="Z101" s="241">
        <f t="shared" si="10"/>
        <v>0.3658334772</v>
      </c>
      <c r="AA101" s="241">
        <f t="shared" si="10"/>
        <v>0.4712072258</v>
      </c>
      <c r="AB101" s="241">
        <f t="shared" si="10"/>
        <v>0.4306330972</v>
      </c>
      <c r="AC101" s="241">
        <f t="shared" si="10"/>
        <v>0.4448399915</v>
      </c>
      <c r="AD101" s="241">
        <f t="shared" si="10"/>
        <v>0.4604271201</v>
      </c>
      <c r="AE101" s="241">
        <f t="shared" si="10"/>
        <v>0.4169021458</v>
      </c>
      <c r="AF101" s="241">
        <f t="shared" si="10"/>
        <v>0.4429838144</v>
      </c>
      <c r="AG101" s="241">
        <f t="shared" si="10"/>
        <v>0.3237125344</v>
      </c>
      <c r="AH101" s="241">
        <f t="shared" si="10"/>
        <v>0.3673802915</v>
      </c>
      <c r="AI101" s="241">
        <f t="shared" si="10"/>
        <v>0.3044606458</v>
      </c>
      <c r="AJ101" s="241">
        <f t="shared" si="10"/>
        <v>0.4300857629</v>
      </c>
      <c r="AK101" s="241">
        <f t="shared" si="10"/>
        <v>0.3148362001</v>
      </c>
      <c r="AL101" s="241">
        <f t="shared" si="10"/>
        <v>0.2522973086</v>
      </c>
      <c r="AM101" s="241">
        <f t="shared" si="10"/>
        <v>0.2522973086</v>
      </c>
      <c r="AN101" s="241">
        <f t="shared" si="10"/>
        <v>0.2522973086</v>
      </c>
      <c r="AO101" s="241">
        <f t="shared" si="10"/>
        <v>0.2825910715</v>
      </c>
      <c r="AP101" s="241">
        <f t="shared" si="10"/>
        <v>0.3305899086</v>
      </c>
      <c r="AQ101" s="241">
        <f t="shared" si="10"/>
        <v>0.4219233429</v>
      </c>
      <c r="AR101" s="241">
        <f t="shared" si="10"/>
        <v>0.3210710515</v>
      </c>
      <c r="AS101" s="241">
        <f t="shared" si="10"/>
        <v>0.3683083801</v>
      </c>
      <c r="AT101" s="241">
        <f t="shared" si="10"/>
        <v>0.4144272429</v>
      </c>
      <c r="AU101" s="241">
        <f t="shared" si="10"/>
        <v>0.3149789829</v>
      </c>
      <c r="AV101" s="241">
        <f t="shared" si="10"/>
        <v>0.3398707944</v>
      </c>
      <c r="AW101" s="259"/>
    </row>
    <row r="102">
      <c r="A102" s="122"/>
      <c r="B102" s="123"/>
      <c r="C102" s="450"/>
      <c r="D102" s="131"/>
      <c r="E102" s="257" t="s">
        <v>430</v>
      </c>
      <c r="F102" s="213" t="s">
        <v>72</v>
      </c>
      <c r="G102" s="485" t="s">
        <v>161</v>
      </c>
      <c r="H102" s="240" t="s">
        <v>162</v>
      </c>
      <c r="I102" s="241">
        <f t="shared" ref="I102:AV102" si="11">I69*(1+$H$98)</f>
        <v>0.1834997686</v>
      </c>
      <c r="J102" s="241">
        <f t="shared" si="11"/>
        <v>0.2267629743</v>
      </c>
      <c r="K102" s="241">
        <f t="shared" si="11"/>
        <v>0.2692170772</v>
      </c>
      <c r="L102" s="241">
        <f t="shared" si="11"/>
        <v>0.3173824944</v>
      </c>
      <c r="M102" s="241">
        <f t="shared" si="11"/>
        <v>0.2315937943</v>
      </c>
      <c r="N102" s="241">
        <f t="shared" si="11"/>
        <v>0.2198142086</v>
      </c>
      <c r="O102" s="241">
        <f t="shared" si="11"/>
        <v>0.2738813172</v>
      </c>
      <c r="P102" s="241">
        <f t="shared" si="11"/>
        <v>0.07824500573</v>
      </c>
      <c r="Q102" s="456">
        <f t="shared" si="11"/>
        <v>0.1821433315</v>
      </c>
      <c r="R102" s="241">
        <f t="shared" si="11"/>
        <v>0.4023382944</v>
      </c>
      <c r="S102" s="241">
        <f t="shared" si="11"/>
        <v>0.3251641601</v>
      </c>
      <c r="T102" s="241">
        <f t="shared" si="11"/>
        <v>0.3875840658</v>
      </c>
      <c r="U102" s="241">
        <f t="shared" si="11"/>
        <v>0.3694506429</v>
      </c>
      <c r="V102" s="241">
        <f t="shared" si="11"/>
        <v>0.3566715772</v>
      </c>
      <c r="W102" s="241">
        <f t="shared" si="11"/>
        <v>0.3441780772</v>
      </c>
      <c r="X102" s="241">
        <f t="shared" si="11"/>
        <v>0.2032513972</v>
      </c>
      <c r="Y102" s="241">
        <f t="shared" si="11"/>
        <v>0.4302285458</v>
      </c>
      <c r="Z102" s="241">
        <f t="shared" si="11"/>
        <v>0.3570523315</v>
      </c>
      <c r="AA102" s="241">
        <f t="shared" si="11"/>
        <v>0.4713738058</v>
      </c>
      <c r="AB102" s="241">
        <f t="shared" si="11"/>
        <v>0.4097392058</v>
      </c>
      <c r="AC102" s="241">
        <f t="shared" si="11"/>
        <v>0.4330366087</v>
      </c>
      <c r="AD102" s="241">
        <f t="shared" si="11"/>
        <v>0.458237783</v>
      </c>
      <c r="AE102" s="241">
        <f t="shared" si="11"/>
        <v>0.4182347858</v>
      </c>
      <c r="AF102" s="241">
        <f t="shared" si="11"/>
        <v>0.4351783515</v>
      </c>
      <c r="AG102" s="241">
        <f t="shared" si="11"/>
        <v>0.3173824944</v>
      </c>
      <c r="AH102" s="241">
        <f t="shared" si="11"/>
        <v>0.3588609144</v>
      </c>
      <c r="AI102" s="241">
        <f t="shared" si="11"/>
        <v>0.2901585629</v>
      </c>
      <c r="AJ102" s="241">
        <f t="shared" si="11"/>
        <v>0.4238747087</v>
      </c>
      <c r="AK102" s="241">
        <f t="shared" si="11"/>
        <v>0.3081967972</v>
      </c>
      <c r="AL102" s="241">
        <f t="shared" si="11"/>
        <v>0.2449915858</v>
      </c>
      <c r="AM102" s="241">
        <f t="shared" si="11"/>
        <v>0.2449915858</v>
      </c>
      <c r="AN102" s="241">
        <f t="shared" si="11"/>
        <v>0.2449915858</v>
      </c>
      <c r="AO102" s="241">
        <f t="shared" si="11"/>
        <v>0.2747856086</v>
      </c>
      <c r="AP102" s="241">
        <f t="shared" si="11"/>
        <v>0.3208568772</v>
      </c>
      <c r="AQ102" s="241">
        <f t="shared" si="11"/>
        <v>0.4004583201</v>
      </c>
      <c r="AR102" s="241">
        <f t="shared" si="11"/>
        <v>0.3160974486</v>
      </c>
      <c r="AS102" s="241">
        <f t="shared" si="11"/>
        <v>0.3397994029</v>
      </c>
      <c r="AT102" s="241">
        <f t="shared" si="11"/>
        <v>0.4099295829</v>
      </c>
      <c r="AU102" s="241">
        <f t="shared" si="11"/>
        <v>0.3039609058</v>
      </c>
      <c r="AV102" s="241">
        <f t="shared" si="11"/>
        <v>0.3282339915</v>
      </c>
      <c r="AW102" s="259"/>
    </row>
    <row r="103">
      <c r="A103" s="122"/>
      <c r="B103" s="123"/>
      <c r="C103" s="450"/>
      <c r="D103" s="131"/>
      <c r="E103" s="257" t="s">
        <v>431</v>
      </c>
      <c r="F103" s="213" t="s">
        <v>72</v>
      </c>
      <c r="G103" s="485" t="s">
        <v>161</v>
      </c>
      <c r="H103" s="240" t="s">
        <v>162</v>
      </c>
      <c r="I103" s="241">
        <f t="shared" ref="I103:AV103" si="12">I70*(1+$H$98)</f>
        <v>0</v>
      </c>
      <c r="J103" s="241">
        <f t="shared" si="12"/>
        <v>0</v>
      </c>
      <c r="K103" s="241">
        <f t="shared" si="12"/>
        <v>0</v>
      </c>
      <c r="L103" s="241">
        <f t="shared" si="12"/>
        <v>0</v>
      </c>
      <c r="M103" s="241">
        <f t="shared" si="12"/>
        <v>0</v>
      </c>
      <c r="N103" s="241">
        <f t="shared" si="12"/>
        <v>0</v>
      </c>
      <c r="O103" s="241">
        <f t="shared" si="12"/>
        <v>0</v>
      </c>
      <c r="P103" s="241">
        <f t="shared" si="12"/>
        <v>0</v>
      </c>
      <c r="Q103" s="456">
        <f t="shared" si="12"/>
        <v>0</v>
      </c>
      <c r="R103" s="241">
        <f t="shared" si="12"/>
        <v>0</v>
      </c>
      <c r="S103" s="241">
        <f t="shared" si="12"/>
        <v>0</v>
      </c>
      <c r="T103" s="241">
        <f t="shared" si="12"/>
        <v>0</v>
      </c>
      <c r="U103" s="241">
        <f t="shared" si="12"/>
        <v>0</v>
      </c>
      <c r="V103" s="241">
        <f t="shared" si="12"/>
        <v>0</v>
      </c>
      <c r="W103" s="241">
        <f t="shared" si="12"/>
        <v>0</v>
      </c>
      <c r="X103" s="241">
        <f t="shared" si="12"/>
        <v>0</v>
      </c>
      <c r="Y103" s="241">
        <f t="shared" si="12"/>
        <v>0</v>
      </c>
      <c r="Z103" s="241">
        <f t="shared" si="12"/>
        <v>0</v>
      </c>
      <c r="AA103" s="241">
        <f t="shared" si="12"/>
        <v>0</v>
      </c>
      <c r="AB103" s="241">
        <f t="shared" si="12"/>
        <v>0</v>
      </c>
      <c r="AC103" s="241">
        <f t="shared" si="12"/>
        <v>0</v>
      </c>
      <c r="AD103" s="241">
        <f t="shared" si="12"/>
        <v>0</v>
      </c>
      <c r="AE103" s="241">
        <f t="shared" si="12"/>
        <v>0</v>
      </c>
      <c r="AF103" s="241">
        <f t="shared" si="12"/>
        <v>0</v>
      </c>
      <c r="AG103" s="241">
        <f t="shared" si="12"/>
        <v>0</v>
      </c>
      <c r="AH103" s="241">
        <f t="shared" si="12"/>
        <v>0</v>
      </c>
      <c r="AI103" s="241">
        <f t="shared" si="12"/>
        <v>0</v>
      </c>
      <c r="AJ103" s="241">
        <f t="shared" si="12"/>
        <v>0</v>
      </c>
      <c r="AK103" s="241">
        <f t="shared" si="12"/>
        <v>0</v>
      </c>
      <c r="AL103" s="241">
        <f t="shared" si="12"/>
        <v>0</v>
      </c>
      <c r="AM103" s="241">
        <f t="shared" si="12"/>
        <v>0</v>
      </c>
      <c r="AN103" s="241">
        <f t="shared" si="12"/>
        <v>0</v>
      </c>
      <c r="AO103" s="241">
        <f t="shared" si="12"/>
        <v>0</v>
      </c>
      <c r="AP103" s="241">
        <f t="shared" si="12"/>
        <v>0</v>
      </c>
      <c r="AQ103" s="241">
        <f t="shared" si="12"/>
        <v>0</v>
      </c>
      <c r="AR103" s="241">
        <f t="shared" si="12"/>
        <v>0</v>
      </c>
      <c r="AS103" s="241">
        <f t="shared" si="12"/>
        <v>0</v>
      </c>
      <c r="AT103" s="241">
        <f t="shared" si="12"/>
        <v>0</v>
      </c>
      <c r="AU103" s="241">
        <f t="shared" si="12"/>
        <v>0</v>
      </c>
      <c r="AV103" s="241">
        <f t="shared" si="12"/>
        <v>0</v>
      </c>
      <c r="AW103" s="259"/>
    </row>
    <row r="104">
      <c r="A104" s="122"/>
      <c r="B104" s="123"/>
      <c r="C104" s="450"/>
      <c r="D104" s="131"/>
      <c r="E104" s="272" t="s">
        <v>432</v>
      </c>
      <c r="F104" s="200" t="s">
        <v>72</v>
      </c>
      <c r="G104" s="487" t="s">
        <v>161</v>
      </c>
      <c r="H104" s="228" t="s">
        <v>162</v>
      </c>
      <c r="I104" s="385">
        <f t="shared" ref="I104:AV104" si="13">I71*(1+$H$98)</f>
        <v>0.1413021461</v>
      </c>
      <c r="J104" s="385">
        <f t="shared" si="13"/>
        <v>0.1696736286</v>
      </c>
      <c r="K104" s="385">
        <f t="shared" si="13"/>
        <v>0.2599176826</v>
      </c>
      <c r="L104" s="385">
        <f t="shared" si="13"/>
        <v>0.2630377524</v>
      </c>
      <c r="M104" s="385">
        <f t="shared" si="13"/>
        <v>0.1858028032</v>
      </c>
      <c r="N104" s="385">
        <f t="shared" si="13"/>
        <v>0.2029631873</v>
      </c>
      <c r="O104" s="385">
        <f t="shared" si="13"/>
        <v>0.2986012604</v>
      </c>
      <c r="P104" s="385">
        <f t="shared" si="13"/>
        <v>0.09074643811</v>
      </c>
      <c r="Q104" s="462">
        <f t="shared" si="13"/>
        <v>0.2153641429</v>
      </c>
      <c r="R104" s="385">
        <f t="shared" si="13"/>
        <v>0.3527794223</v>
      </c>
      <c r="S104" s="385">
        <f t="shared" si="13"/>
        <v>0.2836090604</v>
      </c>
      <c r="T104" s="385">
        <f t="shared" si="13"/>
        <v>0.3355661556</v>
      </c>
      <c r="U104" s="385">
        <f t="shared" si="13"/>
        <v>0.318749508</v>
      </c>
      <c r="V104" s="385">
        <f t="shared" si="13"/>
        <v>0.313461254</v>
      </c>
      <c r="W104" s="385">
        <f t="shared" si="13"/>
        <v>0.3142280509</v>
      </c>
      <c r="X104" s="385">
        <f t="shared" si="13"/>
        <v>0.1785843365</v>
      </c>
      <c r="Y104" s="385">
        <f t="shared" si="13"/>
        <v>0.3719229017</v>
      </c>
      <c r="Z104" s="385">
        <f t="shared" si="13"/>
        <v>0.3425466509</v>
      </c>
      <c r="AA104" s="385">
        <f t="shared" si="13"/>
        <v>0.4324469683</v>
      </c>
      <c r="AB104" s="385">
        <f t="shared" si="13"/>
        <v>0.3716849302</v>
      </c>
      <c r="AC104" s="385">
        <f t="shared" si="13"/>
        <v>0.4420980318</v>
      </c>
      <c r="AD104" s="385">
        <f t="shared" si="13"/>
        <v>0.3751222953</v>
      </c>
      <c r="AE104" s="385">
        <f t="shared" si="13"/>
        <v>0.4145462287</v>
      </c>
      <c r="AF104" s="385">
        <f t="shared" si="13"/>
        <v>0.3491834096</v>
      </c>
      <c r="AG104" s="385">
        <f t="shared" si="13"/>
        <v>0.2630377524</v>
      </c>
      <c r="AH104" s="385">
        <f t="shared" si="13"/>
        <v>0.3400876128</v>
      </c>
      <c r="AI104" s="385">
        <f t="shared" si="13"/>
        <v>0.2975700509</v>
      </c>
      <c r="AJ104" s="385">
        <f t="shared" si="13"/>
        <v>0.4057677271</v>
      </c>
      <c r="AK104" s="385">
        <f t="shared" si="13"/>
        <v>0.2615041588</v>
      </c>
      <c r="AL104" s="385">
        <f t="shared" si="13"/>
        <v>0.2507161207</v>
      </c>
      <c r="AM104" s="385">
        <f t="shared" si="13"/>
        <v>0.2507161207</v>
      </c>
      <c r="AN104" s="385">
        <f t="shared" si="13"/>
        <v>0.2507161207</v>
      </c>
      <c r="AO104" s="385">
        <f t="shared" si="13"/>
        <v>0.2626940159</v>
      </c>
      <c r="AP104" s="385">
        <f t="shared" si="13"/>
        <v>0.3098123588</v>
      </c>
      <c r="AQ104" s="385">
        <f t="shared" si="13"/>
        <v>0.3757304445</v>
      </c>
      <c r="AR104" s="385">
        <f t="shared" si="13"/>
        <v>0.2863589524</v>
      </c>
      <c r="AS104" s="385">
        <f t="shared" si="13"/>
        <v>0.3228743461</v>
      </c>
      <c r="AT104" s="385">
        <f t="shared" si="13"/>
        <v>0.3944508636</v>
      </c>
      <c r="AU104" s="385">
        <f t="shared" si="13"/>
        <v>0.3041803683</v>
      </c>
      <c r="AV104" s="385">
        <f t="shared" si="13"/>
        <v>0.3332922064</v>
      </c>
      <c r="AW104" s="274"/>
    </row>
    <row r="105">
      <c r="A105" s="122"/>
      <c r="B105" s="123"/>
      <c r="C105" s="450"/>
      <c r="D105" s="131"/>
      <c r="E105" s="269"/>
      <c r="F105" s="141"/>
      <c r="G105" s="448"/>
      <c r="H105" s="188"/>
      <c r="I105" s="317"/>
      <c r="J105" s="317"/>
      <c r="K105" s="317"/>
      <c r="L105" s="317"/>
      <c r="M105" s="317"/>
      <c r="N105" s="317"/>
      <c r="O105" s="317"/>
      <c r="P105" s="317"/>
      <c r="Q105" s="449"/>
      <c r="R105" s="317"/>
      <c r="S105" s="317"/>
      <c r="T105" s="317"/>
      <c r="U105" s="317"/>
      <c r="V105" s="317"/>
      <c r="W105" s="317"/>
      <c r="X105" s="317"/>
      <c r="Y105" s="317"/>
      <c r="Z105" s="317"/>
      <c r="AA105" s="317"/>
      <c r="AB105" s="317"/>
      <c r="AC105" s="317"/>
      <c r="AD105" s="317"/>
      <c r="AE105" s="317"/>
      <c r="AF105" s="317"/>
      <c r="AG105" s="317"/>
      <c r="AH105" s="317"/>
      <c r="AI105" s="317"/>
      <c r="AJ105" s="317"/>
      <c r="AK105" s="317"/>
      <c r="AL105" s="317"/>
      <c r="AM105" s="317"/>
      <c r="AN105" s="317"/>
      <c r="AO105" s="317"/>
      <c r="AP105" s="317"/>
      <c r="AQ105" s="317"/>
      <c r="AR105" s="317"/>
      <c r="AS105" s="317"/>
      <c r="AT105" s="317"/>
      <c r="AU105" s="317"/>
      <c r="AV105" s="317"/>
      <c r="AW105" s="130"/>
    </row>
    <row r="106">
      <c r="A106" s="122"/>
      <c r="B106" s="123"/>
      <c r="C106" s="450" t="s">
        <v>433</v>
      </c>
      <c r="F106" s="141"/>
      <c r="G106" s="448"/>
      <c r="H106" s="188"/>
      <c r="I106" s="317"/>
      <c r="J106" s="317"/>
      <c r="K106" s="317"/>
      <c r="L106" s="317"/>
      <c r="M106" s="317"/>
      <c r="N106" s="317"/>
      <c r="O106" s="317"/>
      <c r="P106" s="317"/>
      <c r="Q106" s="449"/>
      <c r="R106" s="317"/>
      <c r="S106" s="317"/>
      <c r="T106" s="317"/>
      <c r="U106" s="317"/>
      <c r="V106" s="317"/>
      <c r="W106" s="317"/>
      <c r="X106" s="317"/>
      <c r="Y106" s="317"/>
      <c r="Z106" s="317"/>
      <c r="AA106" s="317"/>
      <c r="AB106" s="317"/>
      <c r="AC106" s="317"/>
      <c r="AD106" s="317"/>
      <c r="AE106" s="317"/>
      <c r="AF106" s="317"/>
      <c r="AG106" s="317"/>
      <c r="AH106" s="317"/>
      <c r="AI106" s="317"/>
      <c r="AJ106" s="317"/>
      <c r="AK106" s="317"/>
      <c r="AL106" s="317"/>
      <c r="AM106" s="317"/>
      <c r="AN106" s="317"/>
      <c r="AO106" s="317"/>
      <c r="AP106" s="317"/>
      <c r="AQ106" s="317"/>
      <c r="AR106" s="317"/>
      <c r="AS106" s="317"/>
      <c r="AT106" s="317"/>
      <c r="AU106" s="317"/>
      <c r="AV106" s="317"/>
      <c r="AW106" s="130"/>
    </row>
    <row r="107">
      <c r="A107" s="122"/>
      <c r="B107" s="123"/>
      <c r="C107" s="450"/>
      <c r="D107" s="131"/>
      <c r="E107" s="490" t="s">
        <v>196</v>
      </c>
      <c r="F107" s="134" t="s">
        <v>72</v>
      </c>
      <c r="G107" s="491" t="s">
        <v>161</v>
      </c>
      <c r="H107" s="146" t="s">
        <v>162</v>
      </c>
      <c r="I107" s="407">
        <f t="shared" ref="I107:AV107" si="14">SUMPRODUCT($H79:$H84,I87:I92,I99:I104)/I95</f>
        <v>0.1609518173</v>
      </c>
      <c r="J107" s="407">
        <f t="shared" si="14"/>
        <v>0.2046725697</v>
      </c>
      <c r="K107" s="407">
        <f t="shared" si="14"/>
        <v>0.25310031</v>
      </c>
      <c r="L107" s="407">
        <f t="shared" si="14"/>
        <v>0.2964191435</v>
      </c>
      <c r="M107" s="407">
        <f t="shared" si="14"/>
        <v>0.2151518893</v>
      </c>
      <c r="N107" s="407">
        <f t="shared" si="14"/>
        <v>0.2046453996</v>
      </c>
      <c r="O107" s="407">
        <f t="shared" si="14"/>
        <v>0.2529899339</v>
      </c>
      <c r="P107" s="407">
        <f t="shared" si="14"/>
        <v>0.0964152698</v>
      </c>
      <c r="Q107" s="481">
        <f t="shared" si="14"/>
        <v>0.1808887525</v>
      </c>
      <c r="R107" s="407">
        <f t="shared" si="14"/>
        <v>0.3449382544</v>
      </c>
      <c r="S107" s="407">
        <f t="shared" si="14"/>
        <v>0.2900771305</v>
      </c>
      <c r="T107" s="407">
        <f t="shared" si="14"/>
        <v>0.3547996771</v>
      </c>
      <c r="U107" s="407">
        <f t="shared" si="14"/>
        <v>0.3474128625</v>
      </c>
      <c r="V107" s="407">
        <f t="shared" si="14"/>
        <v>0.2940325519</v>
      </c>
      <c r="W107" s="407">
        <f t="shared" si="14"/>
        <v>0.290174465</v>
      </c>
      <c r="X107" s="407">
        <f t="shared" si="14"/>
        <v>0.1885894997</v>
      </c>
      <c r="Y107" s="407">
        <f t="shared" si="14"/>
        <v>0.3756039442</v>
      </c>
      <c r="Z107" s="407">
        <f t="shared" si="14"/>
        <v>0.3384152524</v>
      </c>
      <c r="AA107" s="407">
        <f t="shared" si="14"/>
        <v>0.4169104005</v>
      </c>
      <c r="AB107" s="407">
        <f t="shared" si="14"/>
        <v>0.3852795678</v>
      </c>
      <c r="AC107" s="407">
        <f t="shared" si="14"/>
        <v>0.4070359399</v>
      </c>
      <c r="AD107" s="407">
        <f t="shared" si="14"/>
        <v>0.4066390795</v>
      </c>
      <c r="AE107" s="407">
        <f t="shared" si="14"/>
        <v>0.3963266279</v>
      </c>
      <c r="AF107" s="407">
        <f t="shared" si="14"/>
        <v>0.4000099899</v>
      </c>
      <c r="AG107" s="407">
        <f t="shared" si="14"/>
        <v>0.2964191435</v>
      </c>
      <c r="AH107" s="407">
        <f t="shared" si="14"/>
        <v>0.3430187329</v>
      </c>
      <c r="AI107" s="407">
        <f t="shared" si="14"/>
        <v>0.274489978</v>
      </c>
      <c r="AJ107" s="407">
        <f t="shared" si="14"/>
        <v>0.4058024214</v>
      </c>
      <c r="AK107" s="407">
        <f t="shared" si="14"/>
        <v>0.2829236079</v>
      </c>
      <c r="AL107" s="407">
        <f t="shared" si="14"/>
        <v>0.2282006916</v>
      </c>
      <c r="AM107" s="407">
        <f t="shared" si="14"/>
        <v>0.2282006916</v>
      </c>
      <c r="AN107" s="407">
        <f t="shared" si="14"/>
        <v>0.2282006916</v>
      </c>
      <c r="AO107" s="407">
        <f t="shared" si="14"/>
        <v>0.2639796827</v>
      </c>
      <c r="AP107" s="407">
        <f t="shared" si="14"/>
        <v>0.2949380692</v>
      </c>
      <c r="AQ107" s="407">
        <f t="shared" si="14"/>
        <v>0.3758801877</v>
      </c>
      <c r="AR107" s="407">
        <f t="shared" si="14"/>
        <v>0.2876559038</v>
      </c>
      <c r="AS107" s="407">
        <f t="shared" si="14"/>
        <v>0.3120011968</v>
      </c>
      <c r="AT107" s="407">
        <f t="shared" si="14"/>
        <v>0.3845810603</v>
      </c>
      <c r="AU107" s="407">
        <f t="shared" si="14"/>
        <v>0.2693850584</v>
      </c>
      <c r="AV107" s="407">
        <f t="shared" si="14"/>
        <v>0.2955256212</v>
      </c>
      <c r="AW107" s="409"/>
    </row>
    <row r="108">
      <c r="A108" s="122"/>
      <c r="B108" s="123"/>
      <c r="C108" s="445"/>
      <c r="D108" s="123"/>
      <c r="E108" s="124"/>
      <c r="F108" s="125"/>
      <c r="G108" s="132"/>
      <c r="H108" s="127"/>
      <c r="I108" s="128"/>
      <c r="J108" s="128"/>
      <c r="K108" s="128"/>
      <c r="L108" s="128"/>
      <c r="M108" s="128"/>
      <c r="N108" s="128"/>
      <c r="O108" s="128"/>
      <c r="P108" s="128"/>
      <c r="Q108" s="446"/>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30"/>
    </row>
    <row r="109">
      <c r="A109" s="123"/>
      <c r="B109" s="123"/>
      <c r="C109" s="131" t="s">
        <v>434</v>
      </c>
      <c r="F109" s="125"/>
      <c r="G109" s="482"/>
      <c r="H109" s="127"/>
      <c r="I109" s="128"/>
      <c r="J109" s="128"/>
      <c r="K109" s="128"/>
      <c r="L109" s="128"/>
      <c r="M109" s="128"/>
      <c r="N109" s="128"/>
      <c r="O109" s="128"/>
      <c r="P109" s="128"/>
      <c r="Q109" s="446"/>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30"/>
    </row>
    <row r="110">
      <c r="A110" s="123"/>
      <c r="B110" s="123"/>
      <c r="C110" s="450"/>
      <c r="D110" s="450"/>
      <c r="E110" s="254" t="s">
        <v>435</v>
      </c>
      <c r="F110" s="495" t="str">
        <f>'Disease burden'!F286</f>
        <v>%</v>
      </c>
      <c r="G110" s="452" t="s">
        <v>173</v>
      </c>
      <c r="H110" s="255">
        <f>'Disease burden'!H286</f>
        <v>0.1194939285</v>
      </c>
      <c r="I110" s="321" t="str">
        <f>'Disease burden'!I286</f>
        <v>-</v>
      </c>
      <c r="J110" s="321" t="str">
        <f>'Disease burden'!J286</f>
        <v>-</v>
      </c>
      <c r="K110" s="321" t="str">
        <f>'Disease burden'!K286</f>
        <v>-</v>
      </c>
      <c r="L110" s="321" t="str">
        <f>'Disease burden'!L286</f>
        <v>-</v>
      </c>
      <c r="M110" s="321" t="str">
        <f>'Disease burden'!M286</f>
        <v>-</v>
      </c>
      <c r="N110" s="321" t="str">
        <f>'Disease burden'!N286</f>
        <v>-</v>
      </c>
      <c r="O110" s="321" t="str">
        <f>'Disease burden'!O286</f>
        <v>-</v>
      </c>
      <c r="P110" s="321" t="str">
        <f>'Disease burden'!P286</f>
        <v>-</v>
      </c>
      <c r="Q110" s="484" t="str">
        <f>'Disease burden'!Q286</f>
        <v>-</v>
      </c>
      <c r="R110" s="321" t="str">
        <f>'Disease burden'!R286</f>
        <v>-</v>
      </c>
      <c r="S110" s="321" t="str">
        <f>'Disease burden'!S286</f>
        <v>-</v>
      </c>
      <c r="T110" s="321" t="str">
        <f>'Disease burden'!T286</f>
        <v>-</v>
      </c>
      <c r="U110" s="321" t="str">
        <f>'Disease burden'!U286</f>
        <v>-</v>
      </c>
      <c r="V110" s="321" t="str">
        <f>'Disease burden'!V286</f>
        <v>-</v>
      </c>
      <c r="W110" s="321" t="str">
        <f>'Disease burden'!W286</f>
        <v>-</v>
      </c>
      <c r="X110" s="321" t="str">
        <f>'Disease burden'!X286</f>
        <v>-</v>
      </c>
      <c r="Y110" s="321" t="str">
        <f>'Disease burden'!Y286</f>
        <v>-</v>
      </c>
      <c r="Z110" s="321" t="str">
        <f>'Disease burden'!Z286</f>
        <v>-</v>
      </c>
      <c r="AA110" s="321" t="str">
        <f>'Disease burden'!AA286</f>
        <v>-</v>
      </c>
      <c r="AB110" s="321" t="str">
        <f>'Disease burden'!AB286</f>
        <v>-</v>
      </c>
      <c r="AC110" s="321" t="str">
        <f>'Disease burden'!AC286</f>
        <v>-</v>
      </c>
      <c r="AD110" s="321" t="str">
        <f>'Disease burden'!AD286</f>
        <v>-</v>
      </c>
      <c r="AE110" s="321" t="str">
        <f>'Disease burden'!AE286</f>
        <v>-</v>
      </c>
      <c r="AF110" s="321" t="str">
        <f>'Disease burden'!AF286</f>
        <v>-</v>
      </c>
      <c r="AG110" s="321" t="str">
        <f>'Disease burden'!AG286</f>
        <v>-</v>
      </c>
      <c r="AH110" s="321" t="str">
        <f>'Disease burden'!AH286</f>
        <v>-</v>
      </c>
      <c r="AI110" s="321" t="str">
        <f>'Disease burden'!AI286</f>
        <v>-</v>
      </c>
      <c r="AJ110" s="321" t="str">
        <f>'Disease burden'!AJ286</f>
        <v>-</v>
      </c>
      <c r="AK110" s="321" t="str">
        <f>'Disease burden'!AK286</f>
        <v>-</v>
      </c>
      <c r="AL110" s="321" t="str">
        <f>'Disease burden'!AL286</f>
        <v>-</v>
      </c>
      <c r="AM110" s="321" t="str">
        <f>'Disease burden'!AM286</f>
        <v>-</v>
      </c>
      <c r="AN110" s="321" t="str">
        <f>'Disease burden'!AN286</f>
        <v>-</v>
      </c>
      <c r="AO110" s="321" t="str">
        <f>'Disease burden'!AO286</f>
        <v>-</v>
      </c>
      <c r="AP110" s="321" t="str">
        <f>'Disease burden'!AP286</f>
        <v>-</v>
      </c>
      <c r="AQ110" s="321" t="str">
        <f>'Disease burden'!AQ286</f>
        <v>-</v>
      </c>
      <c r="AR110" s="321" t="str">
        <f>'Disease burden'!AR286</f>
        <v>-</v>
      </c>
      <c r="AS110" s="321" t="str">
        <f>'Disease burden'!AS286</f>
        <v>-</v>
      </c>
      <c r="AT110" s="321" t="str">
        <f>'Disease burden'!AT286</f>
        <v>-</v>
      </c>
      <c r="AU110" s="321" t="str">
        <f>'Disease burden'!AU286</f>
        <v>-</v>
      </c>
      <c r="AV110" s="321" t="str">
        <f>'Disease burden'!AV286</f>
        <v>-</v>
      </c>
      <c r="AW110" s="256"/>
    </row>
    <row r="111">
      <c r="A111" s="123"/>
      <c r="B111" s="123"/>
      <c r="C111" s="450"/>
      <c r="D111" s="450"/>
      <c r="E111" s="257" t="s">
        <v>436</v>
      </c>
      <c r="F111" s="496" t="str">
        <f>'Disease burden'!F287</f>
        <v>%</v>
      </c>
      <c r="G111" s="455" t="s">
        <v>173</v>
      </c>
      <c r="H111" s="258">
        <f>'Disease burden'!H287</f>
        <v>0.5105649672</v>
      </c>
      <c r="I111" s="326" t="str">
        <f>'Disease burden'!I287</f>
        <v>-</v>
      </c>
      <c r="J111" s="326" t="str">
        <f>'Disease burden'!J287</f>
        <v>-</v>
      </c>
      <c r="K111" s="326" t="str">
        <f>'Disease burden'!K287</f>
        <v>-</v>
      </c>
      <c r="L111" s="321" t="str">
        <f>'Disease burden'!L287</f>
        <v>-</v>
      </c>
      <c r="M111" s="326" t="str">
        <f>'Disease burden'!M287</f>
        <v>-</v>
      </c>
      <c r="N111" s="326" t="str">
        <f>'Disease burden'!N287</f>
        <v>-</v>
      </c>
      <c r="O111" s="326" t="str">
        <f>'Disease burden'!O287</f>
        <v>-</v>
      </c>
      <c r="P111" s="326" t="str">
        <f>'Disease burden'!P287</f>
        <v>-</v>
      </c>
      <c r="Q111" s="486" t="str">
        <f>'Disease burden'!Q287</f>
        <v>-</v>
      </c>
      <c r="R111" s="326" t="str">
        <f>'Disease burden'!R287</f>
        <v>-</v>
      </c>
      <c r="S111" s="326" t="str">
        <f>'Disease burden'!S287</f>
        <v>-</v>
      </c>
      <c r="T111" s="326" t="str">
        <f>'Disease burden'!T287</f>
        <v>-</v>
      </c>
      <c r="U111" s="326" t="str">
        <f>'Disease burden'!U287</f>
        <v>-</v>
      </c>
      <c r="V111" s="326" t="str">
        <f>'Disease burden'!V287</f>
        <v>-</v>
      </c>
      <c r="W111" s="326" t="str">
        <f>'Disease burden'!W287</f>
        <v>-</v>
      </c>
      <c r="X111" s="326" t="str">
        <f>'Disease burden'!X287</f>
        <v>-</v>
      </c>
      <c r="Y111" s="326" t="str">
        <f>'Disease burden'!Y287</f>
        <v>-</v>
      </c>
      <c r="Z111" s="326" t="str">
        <f>'Disease burden'!Z287</f>
        <v>-</v>
      </c>
      <c r="AA111" s="326" t="str">
        <f>'Disease burden'!AA287</f>
        <v>-</v>
      </c>
      <c r="AB111" s="326" t="str">
        <f>'Disease burden'!AB287</f>
        <v>-</v>
      </c>
      <c r="AC111" s="326" t="str">
        <f>'Disease burden'!AC287</f>
        <v>-</v>
      </c>
      <c r="AD111" s="326" t="str">
        <f>'Disease burden'!AD287</f>
        <v>-</v>
      </c>
      <c r="AE111" s="326" t="str">
        <f>'Disease burden'!AE287</f>
        <v>-</v>
      </c>
      <c r="AF111" s="326" t="str">
        <f>'Disease burden'!AF287</f>
        <v>-</v>
      </c>
      <c r="AG111" s="326" t="str">
        <f>'Disease burden'!AG287</f>
        <v>-</v>
      </c>
      <c r="AH111" s="326" t="str">
        <f>'Disease burden'!AH287</f>
        <v>-</v>
      </c>
      <c r="AI111" s="326" t="str">
        <f>'Disease burden'!AI287</f>
        <v>-</v>
      </c>
      <c r="AJ111" s="326" t="str">
        <f>'Disease burden'!AJ287</f>
        <v>-</v>
      </c>
      <c r="AK111" s="326" t="str">
        <f>'Disease burden'!AK287</f>
        <v>-</v>
      </c>
      <c r="AL111" s="326" t="str">
        <f>'Disease burden'!AL287</f>
        <v>-</v>
      </c>
      <c r="AM111" s="321" t="str">
        <f>'Disease burden'!AM287</f>
        <v>-</v>
      </c>
      <c r="AN111" s="321" t="str">
        <f>'Disease burden'!AN287</f>
        <v>-</v>
      </c>
      <c r="AO111" s="326" t="str">
        <f>'Disease burden'!AO287</f>
        <v>-</v>
      </c>
      <c r="AP111" s="326" t="str">
        <f>'Disease burden'!AP287</f>
        <v>-</v>
      </c>
      <c r="AQ111" s="326" t="str">
        <f>'Disease burden'!AQ287</f>
        <v>-</v>
      </c>
      <c r="AR111" s="326" t="str">
        <f>'Disease burden'!AR287</f>
        <v>-</v>
      </c>
      <c r="AS111" s="326" t="str">
        <f>'Disease burden'!AS287</f>
        <v>-</v>
      </c>
      <c r="AT111" s="326" t="str">
        <f>'Disease burden'!AT287</f>
        <v>-</v>
      </c>
      <c r="AU111" s="326" t="str">
        <f>'Disease burden'!AU287</f>
        <v>-</v>
      </c>
      <c r="AV111" s="326" t="str">
        <f>'Disease burden'!AV287</f>
        <v>-</v>
      </c>
      <c r="AW111" s="259"/>
    </row>
    <row r="112">
      <c r="A112" s="123"/>
      <c r="B112" s="123"/>
      <c r="C112" s="450"/>
      <c r="D112" s="450"/>
      <c r="E112" s="257" t="s">
        <v>437</v>
      </c>
      <c r="F112" s="496" t="str">
        <f>'Disease burden'!F288</f>
        <v>%</v>
      </c>
      <c r="G112" s="455" t="s">
        <v>173</v>
      </c>
      <c r="H112" s="258">
        <f>'Disease burden'!H288</f>
        <v>0.4453864608</v>
      </c>
      <c r="I112" s="326" t="str">
        <f>'Disease burden'!I288</f>
        <v>-</v>
      </c>
      <c r="J112" s="326" t="str">
        <f>'Disease burden'!J288</f>
        <v>-</v>
      </c>
      <c r="K112" s="326" t="str">
        <f>'Disease burden'!K288</f>
        <v>-</v>
      </c>
      <c r="L112" s="321" t="str">
        <f>'Disease burden'!L288</f>
        <v>-</v>
      </c>
      <c r="M112" s="326" t="str">
        <f>'Disease burden'!M288</f>
        <v>-</v>
      </c>
      <c r="N112" s="326" t="str">
        <f>'Disease burden'!N288</f>
        <v>-</v>
      </c>
      <c r="O112" s="326" t="str">
        <f>'Disease burden'!O288</f>
        <v>-</v>
      </c>
      <c r="P112" s="326" t="str">
        <f>'Disease burden'!P288</f>
        <v>-</v>
      </c>
      <c r="Q112" s="486" t="str">
        <f>'Disease burden'!Q288</f>
        <v>-</v>
      </c>
      <c r="R112" s="326" t="str">
        <f>'Disease burden'!R288</f>
        <v>-</v>
      </c>
      <c r="S112" s="326" t="str">
        <f>'Disease burden'!S288</f>
        <v>-</v>
      </c>
      <c r="T112" s="326" t="str">
        <f>'Disease burden'!T288</f>
        <v>-</v>
      </c>
      <c r="U112" s="326" t="str">
        <f>'Disease burden'!U288</f>
        <v>-</v>
      </c>
      <c r="V112" s="326" t="str">
        <f>'Disease burden'!V288</f>
        <v>-</v>
      </c>
      <c r="W112" s="326" t="str">
        <f>'Disease burden'!W288</f>
        <v>-</v>
      </c>
      <c r="X112" s="326" t="str">
        <f>'Disease burden'!X288</f>
        <v>-</v>
      </c>
      <c r="Y112" s="326" t="str">
        <f>'Disease burden'!Y288</f>
        <v>-</v>
      </c>
      <c r="Z112" s="326" t="str">
        <f>'Disease burden'!Z288</f>
        <v>-</v>
      </c>
      <c r="AA112" s="326" t="str">
        <f>'Disease burden'!AA288</f>
        <v>-</v>
      </c>
      <c r="AB112" s="326" t="str">
        <f>'Disease burden'!AB288</f>
        <v>-</v>
      </c>
      <c r="AC112" s="326" t="str">
        <f>'Disease burden'!AC288</f>
        <v>-</v>
      </c>
      <c r="AD112" s="326" t="str">
        <f>'Disease burden'!AD288</f>
        <v>-</v>
      </c>
      <c r="AE112" s="326" t="str">
        <f>'Disease burden'!AE288</f>
        <v>-</v>
      </c>
      <c r="AF112" s="326" t="str">
        <f>'Disease burden'!AF288</f>
        <v>-</v>
      </c>
      <c r="AG112" s="326" t="str">
        <f>'Disease burden'!AG288</f>
        <v>-</v>
      </c>
      <c r="AH112" s="326" t="str">
        <f>'Disease burden'!AH288</f>
        <v>-</v>
      </c>
      <c r="AI112" s="326" t="str">
        <f>'Disease burden'!AI288</f>
        <v>-</v>
      </c>
      <c r="AJ112" s="326" t="str">
        <f>'Disease burden'!AJ288</f>
        <v>-</v>
      </c>
      <c r="AK112" s="326" t="str">
        <f>'Disease burden'!AK288</f>
        <v>-</v>
      </c>
      <c r="AL112" s="326" t="str">
        <f>'Disease burden'!AL288</f>
        <v>-</v>
      </c>
      <c r="AM112" s="321" t="str">
        <f>'Disease burden'!AM288</f>
        <v>-</v>
      </c>
      <c r="AN112" s="321" t="str">
        <f>'Disease burden'!AN288</f>
        <v>-</v>
      </c>
      <c r="AO112" s="326" t="str">
        <f>'Disease burden'!AO288</f>
        <v>-</v>
      </c>
      <c r="AP112" s="326" t="str">
        <f>'Disease burden'!AP288</f>
        <v>-</v>
      </c>
      <c r="AQ112" s="326" t="str">
        <f>'Disease burden'!AQ288</f>
        <v>-</v>
      </c>
      <c r="AR112" s="326" t="str">
        <f>'Disease burden'!AR288</f>
        <v>-</v>
      </c>
      <c r="AS112" s="326" t="str">
        <f>'Disease burden'!AS288</f>
        <v>-</v>
      </c>
      <c r="AT112" s="326" t="str">
        <f>'Disease burden'!AT288</f>
        <v>-</v>
      </c>
      <c r="AU112" s="326" t="str">
        <f>'Disease burden'!AU288</f>
        <v>-</v>
      </c>
      <c r="AV112" s="326" t="str">
        <f>'Disease burden'!AV288</f>
        <v>-</v>
      </c>
      <c r="AW112" s="259"/>
    </row>
    <row r="113">
      <c r="A113" s="123"/>
      <c r="B113" s="123"/>
      <c r="C113" s="450"/>
      <c r="D113" s="450"/>
      <c r="E113" s="257" t="s">
        <v>438</v>
      </c>
      <c r="F113" s="496" t="str">
        <f>'Disease burden'!F289</f>
        <v>%</v>
      </c>
      <c r="G113" s="455" t="s">
        <v>173</v>
      </c>
      <c r="H113" s="258">
        <f>'Disease burden'!H289</f>
        <v>0.2579982547</v>
      </c>
      <c r="I113" s="326" t="str">
        <f>'Disease burden'!I289</f>
        <v>-</v>
      </c>
      <c r="J113" s="326" t="str">
        <f>'Disease burden'!J289</f>
        <v>-</v>
      </c>
      <c r="K113" s="326" t="str">
        <f>'Disease burden'!K289</f>
        <v>-</v>
      </c>
      <c r="L113" s="321" t="str">
        <f>'Disease burden'!L289</f>
        <v>-</v>
      </c>
      <c r="M113" s="326" t="str">
        <f>'Disease burden'!M289</f>
        <v>-</v>
      </c>
      <c r="N113" s="326" t="str">
        <f>'Disease burden'!N289</f>
        <v>-</v>
      </c>
      <c r="O113" s="326" t="str">
        <f>'Disease burden'!O289</f>
        <v>-</v>
      </c>
      <c r="P113" s="326" t="str">
        <f>'Disease burden'!P289</f>
        <v>-</v>
      </c>
      <c r="Q113" s="486" t="str">
        <f>'Disease burden'!Q289</f>
        <v>-</v>
      </c>
      <c r="R113" s="326" t="str">
        <f>'Disease burden'!R289</f>
        <v>-</v>
      </c>
      <c r="S113" s="326" t="str">
        <f>'Disease burden'!S289</f>
        <v>-</v>
      </c>
      <c r="T113" s="326" t="str">
        <f>'Disease burden'!T289</f>
        <v>-</v>
      </c>
      <c r="U113" s="326" t="str">
        <f>'Disease burden'!U289</f>
        <v>-</v>
      </c>
      <c r="V113" s="326" t="str">
        <f>'Disease burden'!V289</f>
        <v>-</v>
      </c>
      <c r="W113" s="326" t="str">
        <f>'Disease burden'!W289</f>
        <v>-</v>
      </c>
      <c r="X113" s="326" t="str">
        <f>'Disease burden'!X289</f>
        <v>-</v>
      </c>
      <c r="Y113" s="326" t="str">
        <f>'Disease burden'!Y289</f>
        <v>-</v>
      </c>
      <c r="Z113" s="326" t="str">
        <f>'Disease burden'!Z289</f>
        <v>-</v>
      </c>
      <c r="AA113" s="326" t="str">
        <f>'Disease burden'!AA289</f>
        <v>-</v>
      </c>
      <c r="AB113" s="326" t="str">
        <f>'Disease burden'!AB289</f>
        <v>-</v>
      </c>
      <c r="AC113" s="326" t="str">
        <f>'Disease burden'!AC289</f>
        <v>-</v>
      </c>
      <c r="AD113" s="326" t="str">
        <f>'Disease burden'!AD289</f>
        <v>-</v>
      </c>
      <c r="AE113" s="326" t="str">
        <f>'Disease burden'!AE289</f>
        <v>-</v>
      </c>
      <c r="AF113" s="326" t="str">
        <f>'Disease burden'!AF289</f>
        <v>-</v>
      </c>
      <c r="AG113" s="326" t="str">
        <f>'Disease burden'!AG289</f>
        <v>-</v>
      </c>
      <c r="AH113" s="326" t="str">
        <f>'Disease burden'!AH289</f>
        <v>-</v>
      </c>
      <c r="AI113" s="326" t="str">
        <f>'Disease burden'!AI289</f>
        <v>-</v>
      </c>
      <c r="AJ113" s="326" t="str">
        <f>'Disease burden'!AJ289</f>
        <v>-</v>
      </c>
      <c r="AK113" s="326" t="str">
        <f>'Disease burden'!AK289</f>
        <v>-</v>
      </c>
      <c r="AL113" s="326" t="str">
        <f>'Disease burden'!AL289</f>
        <v>-</v>
      </c>
      <c r="AM113" s="321" t="str">
        <f>'Disease burden'!AM289</f>
        <v>-</v>
      </c>
      <c r="AN113" s="321" t="str">
        <f>'Disease burden'!AN289</f>
        <v>-</v>
      </c>
      <c r="AO113" s="326" t="str">
        <f>'Disease burden'!AO289</f>
        <v>-</v>
      </c>
      <c r="AP113" s="326" t="str">
        <f>'Disease burden'!AP289</f>
        <v>-</v>
      </c>
      <c r="AQ113" s="326" t="str">
        <f>'Disease burden'!AQ289</f>
        <v>-</v>
      </c>
      <c r="AR113" s="326" t="str">
        <f>'Disease burden'!AR289</f>
        <v>-</v>
      </c>
      <c r="AS113" s="326" t="str">
        <f>'Disease burden'!AS289</f>
        <v>-</v>
      </c>
      <c r="AT113" s="326" t="str">
        <f>'Disease burden'!AT289</f>
        <v>-</v>
      </c>
      <c r="AU113" s="326" t="str">
        <f>'Disease burden'!AU289</f>
        <v>-</v>
      </c>
      <c r="AV113" s="326" t="str">
        <f>'Disease burden'!AV289</f>
        <v>-</v>
      </c>
      <c r="AW113" s="259"/>
    </row>
    <row r="114">
      <c r="A114" s="123"/>
      <c r="B114" s="123"/>
      <c r="C114" s="450"/>
      <c r="D114" s="450"/>
      <c r="E114" s="257" t="s">
        <v>439</v>
      </c>
      <c r="F114" s="496" t="str">
        <f>'Disease burden'!F290</f>
        <v>%</v>
      </c>
      <c r="G114" s="455" t="s">
        <v>173</v>
      </c>
      <c r="H114" s="258">
        <f>'Disease burden'!H290</f>
        <v>0.2498509414</v>
      </c>
      <c r="I114" s="326" t="str">
        <f>'Disease burden'!I290</f>
        <v>-</v>
      </c>
      <c r="J114" s="326" t="str">
        <f>'Disease burden'!J290</f>
        <v>-</v>
      </c>
      <c r="K114" s="326" t="str">
        <f>'Disease burden'!K290</f>
        <v>-</v>
      </c>
      <c r="L114" s="321" t="str">
        <f>'Disease burden'!L290</f>
        <v>-</v>
      </c>
      <c r="M114" s="326" t="str">
        <f>'Disease burden'!M290</f>
        <v>-</v>
      </c>
      <c r="N114" s="326" t="str">
        <f>'Disease burden'!N290</f>
        <v>-</v>
      </c>
      <c r="O114" s="326" t="str">
        <f>'Disease burden'!O290</f>
        <v>-</v>
      </c>
      <c r="P114" s="326" t="str">
        <f>'Disease burden'!P290</f>
        <v>-</v>
      </c>
      <c r="Q114" s="486" t="str">
        <f>'Disease burden'!Q290</f>
        <v>-</v>
      </c>
      <c r="R114" s="326" t="str">
        <f>'Disease burden'!R290</f>
        <v>-</v>
      </c>
      <c r="S114" s="326" t="str">
        <f>'Disease burden'!S290</f>
        <v>-</v>
      </c>
      <c r="T114" s="326" t="str">
        <f>'Disease burden'!T290</f>
        <v>-</v>
      </c>
      <c r="U114" s="326" t="str">
        <f>'Disease burden'!U290</f>
        <v>-</v>
      </c>
      <c r="V114" s="326" t="str">
        <f>'Disease burden'!V290</f>
        <v>-</v>
      </c>
      <c r="W114" s="326" t="str">
        <f>'Disease burden'!W290</f>
        <v>-</v>
      </c>
      <c r="X114" s="326" t="str">
        <f>'Disease burden'!X290</f>
        <v>-</v>
      </c>
      <c r="Y114" s="326" t="str">
        <f>'Disease burden'!Y290</f>
        <v>-</v>
      </c>
      <c r="Z114" s="326" t="str">
        <f>'Disease burden'!Z290</f>
        <v>-</v>
      </c>
      <c r="AA114" s="326" t="str">
        <f>'Disease burden'!AA290</f>
        <v>-</v>
      </c>
      <c r="AB114" s="326" t="str">
        <f>'Disease burden'!AB290</f>
        <v>-</v>
      </c>
      <c r="AC114" s="326" t="str">
        <f>'Disease burden'!AC290</f>
        <v>-</v>
      </c>
      <c r="AD114" s="326" t="str">
        <f>'Disease burden'!AD290</f>
        <v>-</v>
      </c>
      <c r="AE114" s="326" t="str">
        <f>'Disease burden'!AE290</f>
        <v>-</v>
      </c>
      <c r="AF114" s="326" t="str">
        <f>'Disease burden'!AF290</f>
        <v>-</v>
      </c>
      <c r="AG114" s="326" t="str">
        <f>'Disease burden'!AG290</f>
        <v>-</v>
      </c>
      <c r="AH114" s="326" t="str">
        <f>'Disease burden'!AH290</f>
        <v>-</v>
      </c>
      <c r="AI114" s="326" t="str">
        <f>'Disease burden'!AI290</f>
        <v>-</v>
      </c>
      <c r="AJ114" s="326" t="str">
        <f>'Disease burden'!AJ290</f>
        <v>-</v>
      </c>
      <c r="AK114" s="326" t="str">
        <f>'Disease burden'!AK290</f>
        <v>-</v>
      </c>
      <c r="AL114" s="326" t="str">
        <f>'Disease burden'!AL290</f>
        <v>-</v>
      </c>
      <c r="AM114" s="321" t="str">
        <f>'Disease burden'!AM290</f>
        <v>-</v>
      </c>
      <c r="AN114" s="321" t="str">
        <f>'Disease burden'!AN290</f>
        <v>-</v>
      </c>
      <c r="AO114" s="326" t="str">
        <f>'Disease burden'!AO290</f>
        <v>-</v>
      </c>
      <c r="AP114" s="326" t="str">
        <f>'Disease burden'!AP290</f>
        <v>-</v>
      </c>
      <c r="AQ114" s="326" t="str">
        <f>'Disease burden'!AQ290</f>
        <v>-</v>
      </c>
      <c r="AR114" s="326" t="str">
        <f>'Disease burden'!AR290</f>
        <v>-</v>
      </c>
      <c r="AS114" s="326" t="str">
        <f>'Disease burden'!AS290</f>
        <v>-</v>
      </c>
      <c r="AT114" s="326" t="str">
        <f>'Disease burden'!AT290</f>
        <v>-</v>
      </c>
      <c r="AU114" s="326" t="str">
        <f>'Disease burden'!AU290</f>
        <v>-</v>
      </c>
      <c r="AV114" s="326" t="str">
        <f>'Disease burden'!AV290</f>
        <v>-</v>
      </c>
      <c r="AW114" s="259"/>
    </row>
    <row r="115">
      <c r="A115" s="123"/>
      <c r="B115" s="123"/>
      <c r="C115" s="450"/>
      <c r="D115" s="450"/>
      <c r="E115" s="272" t="s">
        <v>440</v>
      </c>
      <c r="F115" s="497" t="str">
        <f>'Disease burden'!F291</f>
        <v>%</v>
      </c>
      <c r="G115" s="461" t="s">
        <v>173</v>
      </c>
      <c r="H115" s="498">
        <f>'Disease burden'!H291</f>
        <v>0.4623113803</v>
      </c>
      <c r="I115" s="499" t="str">
        <f>'Disease burden'!I291</f>
        <v>-</v>
      </c>
      <c r="J115" s="499" t="str">
        <f>'Disease burden'!J291</f>
        <v>-</v>
      </c>
      <c r="K115" s="499" t="str">
        <f>'Disease burden'!K291</f>
        <v>-</v>
      </c>
      <c r="L115" s="499" t="str">
        <f>'Disease burden'!L291</f>
        <v>-</v>
      </c>
      <c r="M115" s="499" t="str">
        <f>'Disease burden'!M291</f>
        <v>-</v>
      </c>
      <c r="N115" s="499" t="str">
        <f>'Disease burden'!N291</f>
        <v>-</v>
      </c>
      <c r="O115" s="499" t="str">
        <f>'Disease burden'!O291</f>
        <v>-</v>
      </c>
      <c r="P115" s="499" t="str">
        <f>'Disease burden'!P291</f>
        <v>-</v>
      </c>
      <c r="Q115" s="500" t="str">
        <f>'Disease burden'!Q291</f>
        <v>-</v>
      </c>
      <c r="R115" s="499" t="str">
        <f>'Disease burden'!R291</f>
        <v>-</v>
      </c>
      <c r="S115" s="499" t="str">
        <f>'Disease burden'!S291</f>
        <v>-</v>
      </c>
      <c r="T115" s="499" t="str">
        <f>'Disease burden'!T291</f>
        <v>-</v>
      </c>
      <c r="U115" s="499" t="str">
        <f>'Disease burden'!U291</f>
        <v>-</v>
      </c>
      <c r="V115" s="499" t="str">
        <f>'Disease burden'!V291</f>
        <v>-</v>
      </c>
      <c r="W115" s="499" t="str">
        <f>'Disease burden'!W291</f>
        <v>-</v>
      </c>
      <c r="X115" s="499" t="str">
        <f>'Disease burden'!X291</f>
        <v>-</v>
      </c>
      <c r="Y115" s="499" t="str">
        <f>'Disease burden'!Y291</f>
        <v>-</v>
      </c>
      <c r="Z115" s="499" t="str">
        <f>'Disease burden'!Z291</f>
        <v>-</v>
      </c>
      <c r="AA115" s="499" t="str">
        <f>'Disease burden'!AA291</f>
        <v>-</v>
      </c>
      <c r="AB115" s="499" t="str">
        <f>'Disease burden'!AB291</f>
        <v>-</v>
      </c>
      <c r="AC115" s="499" t="str">
        <f>'Disease burden'!AC291</f>
        <v>-</v>
      </c>
      <c r="AD115" s="499" t="str">
        <f>'Disease burden'!AD291</f>
        <v>-</v>
      </c>
      <c r="AE115" s="499" t="str">
        <f>'Disease burden'!AE291</f>
        <v>-</v>
      </c>
      <c r="AF115" s="499" t="str">
        <f>'Disease burden'!AF291</f>
        <v>-</v>
      </c>
      <c r="AG115" s="499" t="str">
        <f>'Disease burden'!AG291</f>
        <v>-</v>
      </c>
      <c r="AH115" s="499" t="str">
        <f>'Disease burden'!AH291</f>
        <v>-</v>
      </c>
      <c r="AI115" s="499" t="str">
        <f>'Disease burden'!AI291</f>
        <v>-</v>
      </c>
      <c r="AJ115" s="499" t="str">
        <f>'Disease burden'!AJ291</f>
        <v>-</v>
      </c>
      <c r="AK115" s="499" t="str">
        <f>'Disease burden'!AK291</f>
        <v>-</v>
      </c>
      <c r="AL115" s="499" t="str">
        <f>'Disease burden'!AL291</f>
        <v>-</v>
      </c>
      <c r="AM115" s="499" t="str">
        <f>'Disease burden'!AM291</f>
        <v>-</v>
      </c>
      <c r="AN115" s="499" t="str">
        <f>'Disease burden'!AN291</f>
        <v>-</v>
      </c>
      <c r="AO115" s="499" t="str">
        <f>'Disease burden'!AO291</f>
        <v>-</v>
      </c>
      <c r="AP115" s="499" t="str">
        <f>'Disease burden'!AP291</f>
        <v>-</v>
      </c>
      <c r="AQ115" s="499" t="str">
        <f>'Disease burden'!AQ291</f>
        <v>-</v>
      </c>
      <c r="AR115" s="499" t="str">
        <f>'Disease burden'!AR291</f>
        <v>-</v>
      </c>
      <c r="AS115" s="499" t="str">
        <f>'Disease burden'!AS291</f>
        <v>-</v>
      </c>
      <c r="AT115" s="499" t="str">
        <f>'Disease burden'!AT291</f>
        <v>-</v>
      </c>
      <c r="AU115" s="499" t="str">
        <f>'Disease burden'!AU291</f>
        <v>-</v>
      </c>
      <c r="AV115" s="499" t="str">
        <f>'Disease burden'!AV291</f>
        <v>-</v>
      </c>
      <c r="AW115" s="274"/>
    </row>
    <row r="116">
      <c r="A116" s="123"/>
      <c r="B116" s="123"/>
      <c r="C116" s="450"/>
      <c r="D116" s="450"/>
      <c r="E116" s="275"/>
      <c r="F116" s="125"/>
      <c r="G116" s="482"/>
      <c r="H116" s="127"/>
      <c r="I116" s="128"/>
      <c r="J116" s="128"/>
      <c r="K116" s="128"/>
      <c r="L116" s="128"/>
      <c r="M116" s="128"/>
      <c r="N116" s="128"/>
      <c r="O116" s="128"/>
      <c r="P116" s="128"/>
      <c r="Q116" s="446"/>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30"/>
    </row>
    <row r="117">
      <c r="A117" s="123"/>
      <c r="B117" s="123"/>
      <c r="C117" s="450" t="s">
        <v>441</v>
      </c>
      <c r="F117" s="125"/>
      <c r="G117" s="482"/>
      <c r="H117" s="127"/>
      <c r="I117" s="128"/>
      <c r="J117" s="128"/>
      <c r="K117" s="128"/>
      <c r="L117" s="128"/>
      <c r="M117" s="128"/>
      <c r="N117" s="128"/>
      <c r="O117" s="128"/>
      <c r="P117" s="128"/>
      <c r="Q117" s="446"/>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30"/>
    </row>
    <row r="118">
      <c r="A118" s="122"/>
      <c r="B118" s="123"/>
      <c r="C118" s="450"/>
      <c r="D118" s="131"/>
      <c r="E118" s="254" t="s">
        <v>442</v>
      </c>
      <c r="F118" s="193" t="str">
        <f>'Disease burden'!F303</f>
        <v>%</v>
      </c>
      <c r="G118" s="483" t="s">
        <v>173</v>
      </c>
      <c r="H118" s="389" t="str">
        <f>'Disease burden'!H303</f>
        <v>-</v>
      </c>
      <c r="I118" s="383">
        <f>'Disease burden'!I303</f>
        <v>0.6521026253</v>
      </c>
      <c r="J118" s="383">
        <f>'Disease burden'!J303</f>
        <v>0.6151637103</v>
      </c>
      <c r="K118" s="383">
        <f>'Disease burden'!K303</f>
        <v>0.6952002687</v>
      </c>
      <c r="L118" s="383">
        <f>'Disease burden'!L303</f>
        <v>0.5963808729</v>
      </c>
      <c r="M118" s="383">
        <f>'Disease burden'!M303</f>
        <v>0.6242997759</v>
      </c>
      <c r="N118" s="383">
        <f>'Disease burden'!N303</f>
        <v>0.6696847369</v>
      </c>
      <c r="O118" s="383">
        <f>'Disease burden'!O303</f>
        <v>0.6681126296</v>
      </c>
      <c r="P118" s="383">
        <f>'Disease burden'!P303</f>
        <v>0.6768161485</v>
      </c>
      <c r="Q118" s="453">
        <f>'Disease burden'!Q303</f>
        <v>0.6742866461</v>
      </c>
      <c r="R118" s="383">
        <f>'Disease burden'!R303</f>
        <v>0.5441680258</v>
      </c>
      <c r="S118" s="383">
        <f>'Disease burden'!S303</f>
        <v>0.5564773363</v>
      </c>
      <c r="T118" s="383">
        <f>'Disease burden'!T303</f>
        <v>0.5630418842</v>
      </c>
      <c r="U118" s="383">
        <f>'Disease burden'!U303</f>
        <v>0.5638928249</v>
      </c>
      <c r="V118" s="383">
        <f>'Disease burden'!V303</f>
        <v>0.5052868695</v>
      </c>
      <c r="W118" s="383">
        <f>'Disease burden'!W303</f>
        <v>0.5490457314</v>
      </c>
      <c r="X118" s="383">
        <f>'Disease burden'!X303</f>
        <v>0.572758116</v>
      </c>
      <c r="Y118" s="383">
        <f>'Disease burden'!Y303</f>
        <v>0.451621783</v>
      </c>
      <c r="Z118" s="383">
        <f>'Disease burden'!Z303</f>
        <v>0.5673855555</v>
      </c>
      <c r="AA118" s="383">
        <f>'Disease burden'!AA303</f>
        <v>0.5641952986</v>
      </c>
      <c r="AB118" s="383">
        <f>'Disease burden'!AB303</f>
        <v>0.566573156</v>
      </c>
      <c r="AC118" s="383">
        <f>'Disease burden'!AC303</f>
        <v>0.5599769735</v>
      </c>
      <c r="AD118" s="383">
        <f>'Disease burden'!AD303</f>
        <v>0.5540343682</v>
      </c>
      <c r="AE118" s="383">
        <f>'Disease burden'!AE303</f>
        <v>0.5636731385</v>
      </c>
      <c r="AF118" s="383">
        <f>'Disease burden'!AF303</f>
        <v>0.5628338935</v>
      </c>
      <c r="AG118" s="383">
        <f>'Disease burden'!AG303</f>
        <v>0.5963808729</v>
      </c>
      <c r="AH118" s="383">
        <f>'Disease burden'!AH303</f>
        <v>0.5332042305</v>
      </c>
      <c r="AI118" s="383">
        <f>'Disease burden'!AI303</f>
        <v>0.5671410965</v>
      </c>
      <c r="AJ118" s="383">
        <f>'Disease burden'!AJ303</f>
        <v>0.5330828678</v>
      </c>
      <c r="AK118" s="383">
        <f>'Disease burden'!AK303</f>
        <v>0.5756874415</v>
      </c>
      <c r="AL118" s="383">
        <f>'Disease burden'!AL303</f>
        <v>0.5814184489</v>
      </c>
      <c r="AM118" s="383">
        <f>'Disease burden'!AM303</f>
        <v>0.5814184489</v>
      </c>
      <c r="AN118" s="383">
        <f>'Disease burden'!AN303</f>
        <v>0.5814184489</v>
      </c>
      <c r="AO118" s="383">
        <f>'Disease burden'!AO303</f>
        <v>0.5774468396</v>
      </c>
      <c r="AP118" s="383">
        <f>'Disease burden'!AP303</f>
        <v>0.5579615434</v>
      </c>
      <c r="AQ118" s="383">
        <f>'Disease burden'!AQ303</f>
        <v>0.5438325961</v>
      </c>
      <c r="AR118" s="383">
        <f>'Disease burden'!AR303</f>
        <v>0.5055189455</v>
      </c>
      <c r="AS118" s="383">
        <f>'Disease burden'!AS303</f>
        <v>0.5594739</v>
      </c>
      <c r="AT118" s="383">
        <f>'Disease burden'!AT303</f>
        <v>0.5549139</v>
      </c>
      <c r="AU118" s="383">
        <f>'Disease burden'!AU303</f>
        <v>0.5719143937</v>
      </c>
      <c r="AV118" s="383">
        <f>'Disease burden'!AV303</f>
        <v>0.6507725772</v>
      </c>
      <c r="AW118" s="256"/>
    </row>
    <row r="119">
      <c r="A119" s="122"/>
      <c r="B119" s="123"/>
      <c r="C119" s="450"/>
      <c r="D119" s="131"/>
      <c r="E119" s="257" t="s">
        <v>443</v>
      </c>
      <c r="F119" s="213" t="str">
        <f>'Disease burden'!F304</f>
        <v>%</v>
      </c>
      <c r="G119" s="485" t="s">
        <v>173</v>
      </c>
      <c r="H119" s="243" t="str">
        <f>'Disease burden'!H304</f>
        <v>-</v>
      </c>
      <c r="I119" s="241">
        <f>'Disease burden'!I304</f>
        <v>0.01449509609</v>
      </c>
      <c r="J119" s="241">
        <f>'Disease burden'!J304</f>
        <v>0.02088680866</v>
      </c>
      <c r="K119" s="241">
        <f>'Disease burden'!K304</f>
        <v>0.01680852083</v>
      </c>
      <c r="L119" s="383">
        <f>'Disease burden'!L304</f>
        <v>0.02223588198</v>
      </c>
      <c r="M119" s="241">
        <f>'Disease burden'!M304</f>
        <v>0.0162740109</v>
      </c>
      <c r="N119" s="241">
        <f>'Disease burden'!N304</f>
        <v>0.01538187063</v>
      </c>
      <c r="O119" s="241">
        <f>'Disease burden'!O304</f>
        <v>0.02161482837</v>
      </c>
      <c r="P119" s="241">
        <f>'Disease burden'!P304</f>
        <v>0.02340444244</v>
      </c>
      <c r="Q119" s="456">
        <f>'Disease burden'!Q304</f>
        <v>0.02282555379</v>
      </c>
      <c r="R119" s="241">
        <f>'Disease burden'!R304</f>
        <v>0.01403158316</v>
      </c>
      <c r="S119" s="241">
        <f>'Disease burden'!S304</f>
        <v>0.01535492474</v>
      </c>
      <c r="T119" s="241">
        <f>'Disease burden'!T304</f>
        <v>0.01344337139</v>
      </c>
      <c r="U119" s="241">
        <f>'Disease burden'!U304</f>
        <v>0.0141966836</v>
      </c>
      <c r="V119" s="241">
        <f>'Disease burden'!V304</f>
        <v>0.01789517365</v>
      </c>
      <c r="W119" s="241">
        <f>'Disease burden'!W304</f>
        <v>0.01077365413</v>
      </c>
      <c r="X119" s="241">
        <f>'Disease burden'!X304</f>
        <v>0.01452441384</v>
      </c>
      <c r="Y119" s="241">
        <f>'Disease burden'!Y304</f>
        <v>0.01002767136</v>
      </c>
      <c r="Z119" s="241">
        <f>'Disease burden'!Z304</f>
        <v>0.01334441541</v>
      </c>
      <c r="AA119" s="241">
        <f>'Disease burden'!AA304</f>
        <v>0.01253208257</v>
      </c>
      <c r="AB119" s="241">
        <f>'Disease burden'!AB304</f>
        <v>0.01264325815</v>
      </c>
      <c r="AC119" s="241">
        <f>'Disease burden'!AC304</f>
        <v>0.01146564026</v>
      </c>
      <c r="AD119" s="241">
        <f>'Disease burden'!AD304</f>
        <v>0.01241147814</v>
      </c>
      <c r="AE119" s="241">
        <f>'Disease burden'!AE304</f>
        <v>0.01416185728</v>
      </c>
      <c r="AF119" s="241">
        <f>'Disease burden'!AF304</f>
        <v>0.01266022297</v>
      </c>
      <c r="AG119" s="241">
        <f>'Disease burden'!AG304</f>
        <v>0.02223588198</v>
      </c>
      <c r="AH119" s="241">
        <f>'Disease burden'!AH304</f>
        <v>0.0243764494</v>
      </c>
      <c r="AI119" s="241">
        <f>'Disease burden'!AI304</f>
        <v>0.0145434776</v>
      </c>
      <c r="AJ119" s="241">
        <f>'Disease burden'!AJ304</f>
        <v>0.011569688</v>
      </c>
      <c r="AK119" s="241">
        <f>'Disease burden'!AK304</f>
        <v>0.01409692775</v>
      </c>
      <c r="AL119" s="241">
        <f>'Disease burden'!AL304</f>
        <v>0.01885807495</v>
      </c>
      <c r="AM119" s="383">
        <f>'Disease burden'!AM304</f>
        <v>0.01885807495</v>
      </c>
      <c r="AN119" s="383">
        <f>'Disease burden'!AN304</f>
        <v>0.01885807495</v>
      </c>
      <c r="AO119" s="241">
        <f>'Disease burden'!AO304</f>
        <v>0.01588412774</v>
      </c>
      <c r="AP119" s="241">
        <f>'Disease burden'!AP304</f>
        <v>0.01226173496</v>
      </c>
      <c r="AQ119" s="241">
        <f>'Disease burden'!AQ304</f>
        <v>0.01270976834</v>
      </c>
      <c r="AR119" s="241">
        <f>'Disease burden'!AR304</f>
        <v>0.01905011094</v>
      </c>
      <c r="AS119" s="241">
        <f>'Disease burden'!AS304</f>
        <v>0.01103974156</v>
      </c>
      <c r="AT119" s="241">
        <f>'Disease burden'!AT304</f>
        <v>0.01341295616</v>
      </c>
      <c r="AU119" s="241">
        <f>'Disease burden'!AU304</f>
        <v>0.01533805875</v>
      </c>
      <c r="AV119" s="241">
        <f>'Disease burden'!AV304</f>
        <v>0.01661987101</v>
      </c>
      <c r="AW119" s="259"/>
    </row>
    <row r="120">
      <c r="A120" s="122"/>
      <c r="B120" s="123"/>
      <c r="C120" s="450"/>
      <c r="D120" s="131"/>
      <c r="E120" s="257" t="s">
        <v>444</v>
      </c>
      <c r="F120" s="213" t="str">
        <f>'Disease burden'!F305</f>
        <v>%</v>
      </c>
      <c r="G120" s="485" t="s">
        <v>173</v>
      </c>
      <c r="H120" s="243" t="str">
        <f>'Disease burden'!H305</f>
        <v>-</v>
      </c>
      <c r="I120" s="241">
        <f>'Disease burden'!I305</f>
        <v>0.01109144155</v>
      </c>
      <c r="J120" s="241">
        <f>'Disease burden'!J305</f>
        <v>0.01450833256</v>
      </c>
      <c r="K120" s="241">
        <f>'Disease burden'!K305</f>
        <v>0.01203190377</v>
      </c>
      <c r="L120" s="383">
        <f>'Disease burden'!L305</f>
        <v>0.01911367925</v>
      </c>
      <c r="M120" s="241">
        <f>'Disease burden'!M305</f>
        <v>0.01615312138</v>
      </c>
      <c r="N120" s="241">
        <f>'Disease burden'!N305</f>
        <v>0.01161191504</v>
      </c>
      <c r="O120" s="241">
        <f>'Disease burden'!O305</f>
        <v>0.01125704706</v>
      </c>
      <c r="P120" s="241">
        <f>'Disease burden'!P305</f>
        <v>0.0108018208</v>
      </c>
      <c r="Q120" s="456">
        <f>'Disease burden'!Q305</f>
        <v>0.01114014003</v>
      </c>
      <c r="R120" s="241">
        <f>'Disease burden'!R305</f>
        <v>0.02341737646</v>
      </c>
      <c r="S120" s="241">
        <f>'Disease burden'!S305</f>
        <v>0.01878421603</v>
      </c>
      <c r="T120" s="241">
        <f>'Disease burden'!T305</f>
        <v>0.02260043902</v>
      </c>
      <c r="U120" s="241">
        <f>'Disease burden'!U305</f>
        <v>0.0238420829</v>
      </c>
      <c r="V120" s="241">
        <f>'Disease burden'!V305</f>
        <v>0.02027939407</v>
      </c>
      <c r="W120" s="241">
        <f>'Disease burden'!W305</f>
        <v>0.01825443686</v>
      </c>
      <c r="X120" s="241">
        <f>'Disease burden'!X305</f>
        <v>0.01616636555</v>
      </c>
      <c r="Y120" s="241">
        <f>'Disease burden'!Y305</f>
        <v>0.02796928393</v>
      </c>
      <c r="Z120" s="241">
        <f>'Disease burden'!Z305</f>
        <v>0.02290160564</v>
      </c>
      <c r="AA120" s="241">
        <f>'Disease burden'!AA305</f>
        <v>0.02029892016</v>
      </c>
      <c r="AB120" s="241">
        <f>'Disease burden'!AB305</f>
        <v>0.02328308026</v>
      </c>
      <c r="AC120" s="241">
        <f>'Disease burden'!AC305</f>
        <v>0.0229849667</v>
      </c>
      <c r="AD120" s="241">
        <f>'Disease burden'!AD305</f>
        <v>0.02244617058</v>
      </c>
      <c r="AE120" s="241">
        <f>'Disease burden'!AE305</f>
        <v>0.02410101661</v>
      </c>
      <c r="AF120" s="241">
        <f>'Disease burden'!AF305</f>
        <v>0.02418353771</v>
      </c>
      <c r="AG120" s="241">
        <f>'Disease burden'!AG305</f>
        <v>0.01911367925</v>
      </c>
      <c r="AH120" s="241">
        <f>'Disease burden'!AH305</f>
        <v>0.02159730841</v>
      </c>
      <c r="AI120" s="241">
        <f>'Disease burden'!AI305</f>
        <v>0.02071687288</v>
      </c>
      <c r="AJ120" s="241">
        <f>'Disease burden'!AJ305</f>
        <v>0.02755915844</v>
      </c>
      <c r="AK120" s="241">
        <f>'Disease burden'!AK305</f>
        <v>0.01935878624</v>
      </c>
      <c r="AL120" s="241">
        <f>'Disease burden'!AL305</f>
        <v>0.01683382473</v>
      </c>
      <c r="AM120" s="383">
        <f>'Disease burden'!AM305</f>
        <v>0.01683382473</v>
      </c>
      <c r="AN120" s="383">
        <f>'Disease burden'!AN305</f>
        <v>0.01683382473</v>
      </c>
      <c r="AO120" s="241">
        <f>'Disease burden'!AO305</f>
        <v>0.02186225624</v>
      </c>
      <c r="AP120" s="241">
        <f>'Disease burden'!AP305</f>
        <v>0.02173367646</v>
      </c>
      <c r="AQ120" s="241">
        <f>'Disease burden'!AQ305</f>
        <v>0.02397789327</v>
      </c>
      <c r="AR120" s="241">
        <f>'Disease burden'!AR305</f>
        <v>0.02320492173</v>
      </c>
      <c r="AS120" s="241">
        <f>'Disease burden'!AS305</f>
        <v>0.01937172452</v>
      </c>
      <c r="AT120" s="241">
        <f>'Disease burden'!AT305</f>
        <v>0.0241409973</v>
      </c>
      <c r="AU120" s="241">
        <f>'Disease burden'!AU305</f>
        <v>0.01647098212</v>
      </c>
      <c r="AV120" s="241">
        <f>'Disease burden'!AV305</f>
        <v>0.01225849263</v>
      </c>
      <c r="AW120" s="259"/>
    </row>
    <row r="121">
      <c r="A121" s="122"/>
      <c r="B121" s="123"/>
      <c r="C121" s="450"/>
      <c r="D121" s="131"/>
      <c r="E121" s="257" t="s">
        <v>445</v>
      </c>
      <c r="F121" s="213" t="str">
        <f>'Disease burden'!F306</f>
        <v>%</v>
      </c>
      <c r="G121" s="485" t="s">
        <v>173</v>
      </c>
      <c r="H121" s="243" t="str">
        <f>'Disease burden'!H306</f>
        <v>-</v>
      </c>
      <c r="I121" s="241">
        <f>'Disease burden'!I306</f>
        <v>0.1399105974</v>
      </c>
      <c r="J121" s="241">
        <f>'Disease burden'!J306</f>
        <v>0.1824076447</v>
      </c>
      <c r="K121" s="241">
        <f>'Disease burden'!K306</f>
        <v>0.1501078319</v>
      </c>
      <c r="L121" s="383">
        <f>'Disease burden'!L306</f>
        <v>0.240226765</v>
      </c>
      <c r="M121" s="241">
        <f>'Disease burden'!M306</f>
        <v>0.203821614</v>
      </c>
      <c r="N121" s="241">
        <f>'Disease burden'!N306</f>
        <v>0.1458362033</v>
      </c>
      <c r="O121" s="241">
        <f>'Disease burden'!O306</f>
        <v>0.1403213957</v>
      </c>
      <c r="P121" s="241">
        <f>'Disease burden'!P306</f>
        <v>0.1358336337</v>
      </c>
      <c r="Q121" s="456">
        <f>'Disease burden'!Q306</f>
        <v>0.1396444808</v>
      </c>
      <c r="R121" s="241">
        <f>'Disease burden'!R306</f>
        <v>0.2970705227</v>
      </c>
      <c r="S121" s="241">
        <f>'Disease burden'!S306</f>
        <v>0.2366265188</v>
      </c>
      <c r="T121" s="241">
        <f>'Disease burden'!T306</f>
        <v>0.2871688605</v>
      </c>
      <c r="U121" s="241">
        <f>'Disease burden'!U306</f>
        <v>0.3044285472</v>
      </c>
      <c r="V121" s="241">
        <f>'Disease burden'!V306</f>
        <v>0.2573572266</v>
      </c>
      <c r="W121" s="241">
        <f>'Disease burden'!W306</f>
        <v>0.2307697532</v>
      </c>
      <c r="X121" s="241">
        <f>'Disease burden'!X306</f>
        <v>0.2038611204</v>
      </c>
      <c r="Y121" s="241">
        <f>'Disease burden'!Y306</f>
        <v>0.3639093549</v>
      </c>
      <c r="Z121" s="241">
        <f>'Disease burden'!Z306</f>
        <v>0.2910293751</v>
      </c>
      <c r="AA121" s="241">
        <f>'Disease burden'!AA306</f>
        <v>0.2551961075</v>
      </c>
      <c r="AB121" s="241">
        <f>'Disease burden'!AB306</f>
        <v>0.2950784904</v>
      </c>
      <c r="AC121" s="241">
        <f>'Disease burden'!AC306</f>
        <v>0.2917149027</v>
      </c>
      <c r="AD121" s="241">
        <f>'Disease burden'!AD306</f>
        <v>0.2831929047</v>
      </c>
      <c r="AE121" s="241">
        <f>'Disease burden'!AE306</f>
        <v>0.3042295223</v>
      </c>
      <c r="AF121" s="241">
        <f>'Disease burden'!AF306</f>
        <v>0.3065178707</v>
      </c>
      <c r="AG121" s="241">
        <f>'Disease burden'!AG306</f>
        <v>0.240226765</v>
      </c>
      <c r="AH121" s="241">
        <f>'Disease burden'!AH306</f>
        <v>0.2748869811</v>
      </c>
      <c r="AI121" s="241">
        <f>'Disease burden'!AI306</f>
        <v>0.264592963</v>
      </c>
      <c r="AJ121" s="241">
        <f>'Disease burden'!AJ306</f>
        <v>0.3489280174</v>
      </c>
      <c r="AK121" s="241">
        <f>'Disease burden'!AK306</f>
        <v>0.2456984814</v>
      </c>
      <c r="AL121" s="241">
        <f>'Disease burden'!AL306</f>
        <v>0.2124922439</v>
      </c>
      <c r="AM121" s="383">
        <f>'Disease burden'!AM306</f>
        <v>0.2124922439</v>
      </c>
      <c r="AN121" s="383">
        <f>'Disease burden'!AN306</f>
        <v>0.2124922439</v>
      </c>
      <c r="AO121" s="241">
        <f>'Disease burden'!AO306</f>
        <v>0.2779436681</v>
      </c>
      <c r="AP121" s="241">
        <f>'Disease burden'!AP306</f>
        <v>0.2772439926</v>
      </c>
      <c r="AQ121" s="241">
        <f>'Disease burden'!AQ306</f>
        <v>0.3039865684</v>
      </c>
      <c r="AR121" s="241">
        <f>'Disease burden'!AR306</f>
        <v>0.2956485016</v>
      </c>
      <c r="AS121" s="241">
        <f>'Disease burden'!AS306</f>
        <v>0.2442733076</v>
      </c>
      <c r="AT121" s="241">
        <f>'Disease burden'!AT306</f>
        <v>0.3064380911</v>
      </c>
      <c r="AU121" s="241">
        <f>'Disease burden'!AU306</f>
        <v>0.2075333156</v>
      </c>
      <c r="AV121" s="241">
        <f>'Disease burden'!AV306</f>
        <v>0.1522449924</v>
      </c>
      <c r="AW121" s="259"/>
    </row>
    <row r="122">
      <c r="A122" s="122"/>
      <c r="B122" s="123"/>
      <c r="C122" s="450"/>
      <c r="D122" s="131"/>
      <c r="E122" s="257" t="s">
        <v>446</v>
      </c>
      <c r="F122" s="213" t="str">
        <f>'Disease burden'!F307</f>
        <v>%</v>
      </c>
      <c r="G122" s="485" t="s">
        <v>173</v>
      </c>
      <c r="H122" s="243" t="str">
        <f>'Disease burden'!H307</f>
        <v>-</v>
      </c>
      <c r="I122" s="241">
        <f>'Disease burden'!I307</f>
        <v>0.1774831296</v>
      </c>
      <c r="J122" s="241">
        <f>'Disease burden'!J307</f>
        <v>0.1632813889</v>
      </c>
      <c r="K122" s="241">
        <f>'Disease burden'!K307</f>
        <v>0.1194460845</v>
      </c>
      <c r="L122" s="383">
        <f>'Disease burden'!L307</f>
        <v>0.117213878</v>
      </c>
      <c r="M122" s="241">
        <f>'Disease burden'!M307</f>
        <v>0.1362758256</v>
      </c>
      <c r="N122" s="241">
        <f>'Disease burden'!N307</f>
        <v>0.1515647269</v>
      </c>
      <c r="O122" s="241">
        <f>'Disease burden'!O307</f>
        <v>0.1538552279</v>
      </c>
      <c r="P122" s="241">
        <f>'Disease burden'!P307</f>
        <v>0.147661113</v>
      </c>
      <c r="Q122" s="456">
        <f>'Disease burden'!Q307</f>
        <v>0.145982303</v>
      </c>
      <c r="R122" s="241">
        <f>'Disease burden'!R307</f>
        <v>0.1194113391</v>
      </c>
      <c r="S122" s="241">
        <f>'Disease burden'!S307</f>
        <v>0.169464523</v>
      </c>
      <c r="T122" s="241">
        <f>'Disease burden'!T307</f>
        <v>0.1111493333</v>
      </c>
      <c r="U122" s="241">
        <f>'Disease burden'!U307</f>
        <v>0.09140594276</v>
      </c>
      <c r="V122" s="241">
        <f>'Disease burden'!V307</f>
        <v>0.1958522146</v>
      </c>
      <c r="W122" s="241">
        <f>'Disease burden'!W307</f>
        <v>0.188957562</v>
      </c>
      <c r="X122" s="241">
        <f>'Disease burden'!X307</f>
        <v>0.1879216774</v>
      </c>
      <c r="Y122" s="241">
        <f>'Disease burden'!Y307</f>
        <v>0.1443623691</v>
      </c>
      <c r="Z122" s="241">
        <f>'Disease burden'!Z307</f>
        <v>0.1027772514</v>
      </c>
      <c r="AA122" s="241">
        <f>'Disease burden'!AA307</f>
        <v>0.1452524584</v>
      </c>
      <c r="AB122" s="241">
        <f>'Disease burden'!AB307</f>
        <v>0.1004975013</v>
      </c>
      <c r="AC122" s="241">
        <f>'Disease burden'!AC307</f>
        <v>0.1115757042</v>
      </c>
      <c r="AD122" s="241">
        <f>'Disease burden'!AD307</f>
        <v>0.1259160006</v>
      </c>
      <c r="AE122" s="241">
        <f>'Disease burden'!AE307</f>
        <v>0.09159687708</v>
      </c>
      <c r="AF122" s="241">
        <f>'Disease burden'!AF307</f>
        <v>0.09193819373</v>
      </c>
      <c r="AG122" s="241">
        <f>'Disease burden'!AG307</f>
        <v>0.117213878</v>
      </c>
      <c r="AH122" s="241">
        <f>'Disease burden'!AH307</f>
        <v>0.1426813284</v>
      </c>
      <c r="AI122" s="241">
        <f>'Disease burden'!AI307</f>
        <v>0.1299597346</v>
      </c>
      <c r="AJ122" s="241">
        <f>'Disease burden'!AJ307</f>
        <v>0.07668988753</v>
      </c>
      <c r="AK122" s="241">
        <f>'Disease burden'!AK307</f>
        <v>0.1422702946</v>
      </c>
      <c r="AL122" s="241">
        <f>'Disease burden'!AL307</f>
        <v>0.1670231524</v>
      </c>
      <c r="AM122" s="383">
        <f>'Disease burden'!AM307</f>
        <v>0.1670231524</v>
      </c>
      <c r="AN122" s="383">
        <f>'Disease burden'!AN307</f>
        <v>0.1670231524</v>
      </c>
      <c r="AO122" s="241">
        <f>'Disease burden'!AO307</f>
        <v>0.1044785288</v>
      </c>
      <c r="AP122" s="241">
        <f>'Disease burden'!AP307</f>
        <v>0.1285581404</v>
      </c>
      <c r="AQ122" s="241">
        <f>'Disease burden'!AQ307</f>
        <v>0.1132912442</v>
      </c>
      <c r="AR122" s="241">
        <f>'Disease burden'!AR307</f>
        <v>0.153865954</v>
      </c>
      <c r="AS122" s="241">
        <f>'Disease burden'!AS307</f>
        <v>0.1633263342</v>
      </c>
      <c r="AT122" s="241">
        <f>'Disease burden'!AT307</f>
        <v>0.09897467237</v>
      </c>
      <c r="AU122" s="241">
        <f>'Disease burden'!AU307</f>
        <v>0.1859530116</v>
      </c>
      <c r="AV122" s="241">
        <f>'Disease burden'!AV307</f>
        <v>0.1632366539</v>
      </c>
      <c r="AW122" s="259"/>
    </row>
    <row r="123">
      <c r="A123" s="122"/>
      <c r="B123" s="123"/>
      <c r="C123" s="450"/>
      <c r="D123" s="131"/>
      <c r="E123" s="272" t="s">
        <v>447</v>
      </c>
      <c r="F123" s="489" t="str">
        <f>'Disease burden'!F308</f>
        <v>%</v>
      </c>
      <c r="G123" s="487" t="s">
        <v>173</v>
      </c>
      <c r="H123" s="467" t="str">
        <f>'Disease burden'!H308</f>
        <v>-</v>
      </c>
      <c r="I123" s="385">
        <f>'Disease burden'!I308</f>
        <v>0.004917110149</v>
      </c>
      <c r="J123" s="385">
        <f>'Disease burden'!J308</f>
        <v>0.003752114782</v>
      </c>
      <c r="K123" s="385">
        <f>'Disease burden'!K308</f>
        <v>0.006405390299</v>
      </c>
      <c r="L123" s="385">
        <f>'Disease burden'!L308</f>
        <v>0.00482892285</v>
      </c>
      <c r="M123" s="385">
        <f>'Disease burden'!M308</f>
        <v>0.003175652175</v>
      </c>
      <c r="N123" s="385">
        <f>'Disease burden'!N308</f>
        <v>0.005920547308</v>
      </c>
      <c r="O123" s="385">
        <f>'Disease burden'!O308</f>
        <v>0.004838871278</v>
      </c>
      <c r="P123" s="385">
        <f>'Disease burden'!P308</f>
        <v>0.005482841513</v>
      </c>
      <c r="Q123" s="462">
        <f>'Disease burden'!Q308</f>
        <v>0.006120876287</v>
      </c>
      <c r="R123" s="385">
        <f>'Disease burden'!R308</f>
        <v>0.001901152823</v>
      </c>
      <c r="S123" s="385">
        <f>'Disease burden'!S308</f>
        <v>0.003292481158</v>
      </c>
      <c r="T123" s="385">
        <f>'Disease burden'!T308</f>
        <v>0.002596111525</v>
      </c>
      <c r="U123" s="385">
        <f>'Disease burden'!U308</f>
        <v>0.002233918667</v>
      </c>
      <c r="V123" s="385">
        <f>'Disease burden'!V308</f>
        <v>0.003329121526</v>
      </c>
      <c r="W123" s="385">
        <f>'Disease burden'!W308</f>
        <v>0.002198862397</v>
      </c>
      <c r="X123" s="385">
        <f>'Disease burden'!X308</f>
        <v>0.004768306828</v>
      </c>
      <c r="Y123" s="385">
        <f>'Disease burden'!Y308</f>
        <v>0.002109537744</v>
      </c>
      <c r="Z123" s="385">
        <f>'Disease burden'!Z308</f>
        <v>0.002561796993</v>
      </c>
      <c r="AA123" s="385">
        <f>'Disease burden'!AA308</f>
        <v>0.002525132825</v>
      </c>
      <c r="AB123" s="385">
        <f>'Disease burden'!AB308</f>
        <v>0.00192451395</v>
      </c>
      <c r="AC123" s="385">
        <f>'Disease burden'!AC308</f>
        <v>0.002281812589</v>
      </c>
      <c r="AD123" s="385">
        <f>'Disease burden'!AD308</f>
        <v>0.001999077791</v>
      </c>
      <c r="AE123" s="385">
        <f>'Disease burden'!AE308</f>
        <v>0.002237588297</v>
      </c>
      <c r="AF123" s="385">
        <f>'Disease burden'!AF308</f>
        <v>0.001866281381</v>
      </c>
      <c r="AG123" s="385">
        <f>'Disease burden'!AG308</f>
        <v>0.00482892285</v>
      </c>
      <c r="AH123" s="385">
        <f>'Disease burden'!AH308</f>
        <v>0.003253702078</v>
      </c>
      <c r="AI123" s="385">
        <f>'Disease burden'!AI308</f>
        <v>0.003045855425</v>
      </c>
      <c r="AJ123" s="385">
        <f>'Disease burden'!AJ308</f>
        <v>0.002170380849</v>
      </c>
      <c r="AK123" s="385">
        <f>'Disease burden'!AK308</f>
        <v>0.002888068478</v>
      </c>
      <c r="AL123" s="385">
        <f>'Disease burden'!AL308</f>
        <v>0.003374255156</v>
      </c>
      <c r="AM123" s="385">
        <f>'Disease burden'!AM308</f>
        <v>0.003374255156</v>
      </c>
      <c r="AN123" s="385">
        <f>'Disease burden'!AN308</f>
        <v>0.003374255156</v>
      </c>
      <c r="AO123" s="385">
        <f>'Disease burden'!AO308</f>
        <v>0.002384579553</v>
      </c>
      <c r="AP123" s="385">
        <f>'Disease burden'!AP308</f>
        <v>0.002240912209</v>
      </c>
      <c r="AQ123" s="385">
        <f>'Disease burden'!AQ308</f>
        <v>0.002201929663</v>
      </c>
      <c r="AR123" s="385">
        <f>'Disease burden'!AR308</f>
        <v>0.002711566254</v>
      </c>
      <c r="AS123" s="385">
        <f>'Disease burden'!AS308</f>
        <v>0.002514992081</v>
      </c>
      <c r="AT123" s="385">
        <f>'Disease burden'!AT308</f>
        <v>0.002119383125</v>
      </c>
      <c r="AU123" s="385">
        <f>'Disease burden'!AU308</f>
        <v>0.002790238131</v>
      </c>
      <c r="AV123" s="385">
        <f>'Disease burden'!AV308</f>
        <v>0.004867412804</v>
      </c>
      <c r="AW123" s="274"/>
    </row>
    <row r="124">
      <c r="A124" s="122"/>
      <c r="B124" s="123"/>
      <c r="C124" s="450"/>
      <c r="D124" s="131"/>
      <c r="E124" s="269"/>
      <c r="F124" s="141"/>
      <c r="G124" s="448"/>
      <c r="H124" s="188"/>
      <c r="I124" s="317"/>
      <c r="J124" s="317"/>
      <c r="K124" s="317"/>
      <c r="L124" s="317"/>
      <c r="M124" s="317"/>
      <c r="N124" s="317"/>
      <c r="O124" s="317"/>
      <c r="P124" s="317"/>
      <c r="Q124" s="449"/>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c r="AM124" s="317"/>
      <c r="AN124" s="317"/>
      <c r="AO124" s="317"/>
      <c r="AP124" s="317"/>
      <c r="AQ124" s="317"/>
      <c r="AR124" s="317"/>
      <c r="AS124" s="317"/>
      <c r="AT124" s="317"/>
      <c r="AU124" s="317"/>
      <c r="AV124" s="317"/>
      <c r="AW124" s="130"/>
    </row>
    <row r="125">
      <c r="A125" s="122"/>
      <c r="B125" s="123"/>
      <c r="C125" s="450" t="s">
        <v>424</v>
      </c>
      <c r="F125" s="141"/>
      <c r="G125" s="448"/>
      <c r="H125" s="188"/>
      <c r="I125" s="317"/>
      <c r="J125" s="317"/>
      <c r="K125" s="317"/>
      <c r="L125" s="317"/>
      <c r="M125" s="317"/>
      <c r="N125" s="317"/>
      <c r="O125" s="317"/>
      <c r="P125" s="317"/>
      <c r="Q125" s="449"/>
      <c r="R125" s="317"/>
      <c r="S125" s="317"/>
      <c r="T125" s="317"/>
      <c r="U125" s="317"/>
      <c r="V125" s="317"/>
      <c r="W125" s="317"/>
      <c r="X125" s="317"/>
      <c r="Y125" s="317"/>
      <c r="Z125" s="317"/>
      <c r="AA125" s="317"/>
      <c r="AB125" s="317"/>
      <c r="AC125" s="317"/>
      <c r="AD125" s="317"/>
      <c r="AE125" s="317"/>
      <c r="AF125" s="317"/>
      <c r="AG125" s="317"/>
      <c r="AH125" s="317"/>
      <c r="AI125" s="317"/>
      <c r="AJ125" s="317"/>
      <c r="AK125" s="317"/>
      <c r="AL125" s="317"/>
      <c r="AM125" s="317"/>
      <c r="AN125" s="317"/>
      <c r="AO125" s="317"/>
      <c r="AP125" s="317"/>
      <c r="AQ125" s="317"/>
      <c r="AR125" s="317"/>
      <c r="AS125" s="317"/>
      <c r="AT125" s="317"/>
      <c r="AU125" s="317"/>
      <c r="AV125" s="317"/>
      <c r="AW125" s="130"/>
    </row>
    <row r="126">
      <c r="A126" s="122"/>
      <c r="B126" s="123"/>
      <c r="C126" s="450"/>
      <c r="D126" s="131"/>
      <c r="E126" s="490" t="s">
        <v>207</v>
      </c>
      <c r="F126" s="134" t="s">
        <v>72</v>
      </c>
      <c r="G126" s="491" t="s">
        <v>161</v>
      </c>
      <c r="H126" s="146" t="s">
        <v>162</v>
      </c>
      <c r="I126" s="407">
        <f t="shared" ref="I126:AV126" si="15">SUMPRODUCT($H110:$H115,I118:I123)</f>
        <v>0.1729772236</v>
      </c>
      <c r="J126" s="407">
        <f t="shared" si="15"/>
        <v>0.1802257242</v>
      </c>
      <c r="K126" s="407">
        <f t="shared" si="15"/>
        <v>0.1685454603</v>
      </c>
      <c r="L126" s="407">
        <f t="shared" si="15"/>
        <v>0.1846262795</v>
      </c>
      <c r="M126" s="407">
        <f t="shared" si="15"/>
        <v>0.1782057583</v>
      </c>
      <c r="N126" s="407">
        <f t="shared" si="15"/>
        <v>0.1712797061</v>
      </c>
      <c r="O126" s="407">
        <f t="shared" si="15"/>
        <v>0.1727655273</v>
      </c>
      <c r="P126" s="407">
        <f t="shared" si="15"/>
        <v>0.1721087821</v>
      </c>
      <c r="Q126" s="481">
        <f t="shared" si="15"/>
        <v>0.1725203549</v>
      </c>
      <c r="R126" s="407">
        <f t="shared" si="15"/>
        <v>0.1899762288</v>
      </c>
      <c r="S126" s="407">
        <f t="shared" si="15"/>
        <v>0.1876138362</v>
      </c>
      <c r="T126" s="407">
        <f t="shared" si="15"/>
        <v>0.187269773</v>
      </c>
      <c r="U126" s="407">
        <f t="shared" si="15"/>
        <v>0.1876616998</v>
      </c>
      <c r="V126" s="407">
        <f t="shared" si="15"/>
        <v>0.1954181956</v>
      </c>
      <c r="W126" s="407">
        <f t="shared" si="15"/>
        <v>0.1870045382</v>
      </c>
      <c r="X126" s="407">
        <f t="shared" si="15"/>
        <v>0.1848097184</v>
      </c>
      <c r="Y126" s="407">
        <f t="shared" si="15"/>
        <v>0.2024752947</v>
      </c>
      <c r="Z126" s="407">
        <f t="shared" si="15"/>
        <v>0.1867607968</v>
      </c>
      <c r="AA126" s="407">
        <f t="shared" si="15"/>
        <v>0.1861562307</v>
      </c>
      <c r="AB126" s="407">
        <f t="shared" si="15"/>
        <v>0.1866560811</v>
      </c>
      <c r="AC126" s="407">
        <f t="shared" si="15"/>
        <v>0.1871991341</v>
      </c>
      <c r="AD126" s="407">
        <f t="shared" si="15"/>
        <v>0.1879855324</v>
      </c>
      <c r="AE126" s="407">
        <f t="shared" si="15"/>
        <v>0.1877310467</v>
      </c>
      <c r="AF126" s="407">
        <f t="shared" si="15"/>
        <v>0.1874048427</v>
      </c>
      <c r="AG126" s="407">
        <f t="shared" si="15"/>
        <v>0.1846262795</v>
      </c>
      <c r="AH126" s="407">
        <f t="shared" si="15"/>
        <v>0.1938532271</v>
      </c>
      <c r="AI126" s="407">
        <f t="shared" si="15"/>
        <v>0.1865655408</v>
      </c>
      <c r="AJ126" s="407">
        <f t="shared" si="15"/>
        <v>0.1920689714</v>
      </c>
      <c r="AK126" s="407">
        <f t="shared" si="15"/>
        <v>0.1848820261</v>
      </c>
      <c r="AL126" s="407">
        <f t="shared" si="15"/>
        <v>0.1847152811</v>
      </c>
      <c r="AM126" s="407">
        <f t="shared" si="15"/>
        <v>0.1847152811</v>
      </c>
      <c r="AN126" s="407">
        <f t="shared" si="15"/>
        <v>0.1847152811</v>
      </c>
      <c r="AO126" s="407">
        <f t="shared" si="15"/>
        <v>0.1857638818</v>
      </c>
      <c r="AP126" s="407">
        <f t="shared" si="15"/>
        <v>0.1872981521</v>
      </c>
      <c r="AQ126" s="407">
        <f t="shared" si="15"/>
        <v>0.1899051901</v>
      </c>
      <c r="AR126" s="407">
        <f t="shared" si="15"/>
        <v>0.1964418608</v>
      </c>
      <c r="AS126" s="407">
        <f t="shared" si="15"/>
        <v>0.1861101782</v>
      </c>
      <c r="AT126" s="407">
        <f t="shared" si="15"/>
        <v>0.1886783234</v>
      </c>
      <c r="AU126" s="407">
        <f t="shared" si="15"/>
        <v>0.1848010526</v>
      </c>
      <c r="AV126" s="407">
        <f t="shared" si="15"/>
        <v>0.1740226967</v>
      </c>
      <c r="AW126" s="409"/>
    </row>
    <row r="127">
      <c r="A127" s="122"/>
      <c r="B127" s="123"/>
      <c r="C127" s="450"/>
      <c r="D127" s="131"/>
      <c r="E127" s="269"/>
      <c r="F127" s="141"/>
      <c r="G127" s="448"/>
      <c r="H127" s="188"/>
      <c r="I127" s="317"/>
      <c r="J127" s="317"/>
      <c r="K127" s="317"/>
      <c r="L127" s="317"/>
      <c r="M127" s="317"/>
      <c r="N127" s="317"/>
      <c r="O127" s="317"/>
      <c r="P127" s="317"/>
      <c r="Q127" s="449"/>
      <c r="R127" s="317"/>
      <c r="S127" s="317"/>
      <c r="T127" s="317"/>
      <c r="U127" s="317"/>
      <c r="V127" s="317"/>
      <c r="W127" s="317"/>
      <c r="X127" s="317"/>
      <c r="Y127" s="317"/>
      <c r="Z127" s="317"/>
      <c r="AA127" s="317"/>
      <c r="AB127" s="317"/>
      <c r="AC127" s="317"/>
      <c r="AD127" s="317"/>
      <c r="AE127" s="317"/>
      <c r="AF127" s="317"/>
      <c r="AG127" s="317"/>
      <c r="AH127" s="317"/>
      <c r="AI127" s="317"/>
      <c r="AJ127" s="317"/>
      <c r="AK127" s="317"/>
      <c r="AL127" s="317"/>
      <c r="AM127" s="317"/>
      <c r="AN127" s="317"/>
      <c r="AO127" s="317"/>
      <c r="AP127" s="317"/>
      <c r="AQ127" s="317"/>
      <c r="AR127" s="317"/>
      <c r="AS127" s="317"/>
      <c r="AT127" s="317"/>
      <c r="AU127" s="317"/>
      <c r="AV127" s="317"/>
      <c r="AW127" s="130"/>
    </row>
    <row r="128">
      <c r="A128" s="122"/>
      <c r="B128" s="123"/>
      <c r="C128" s="447" t="s">
        <v>448</v>
      </c>
      <c r="F128" s="141"/>
      <c r="G128" s="448"/>
      <c r="H128" s="188"/>
      <c r="I128" s="317"/>
      <c r="J128" s="317"/>
      <c r="K128" s="317"/>
      <c r="L128" s="317"/>
      <c r="M128" s="317"/>
      <c r="N128" s="317"/>
      <c r="O128" s="317"/>
      <c r="P128" s="317"/>
      <c r="Q128" s="449"/>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317"/>
      <c r="AO128" s="317"/>
      <c r="AP128" s="317"/>
      <c r="AQ128" s="317"/>
      <c r="AR128" s="317"/>
      <c r="AS128" s="317"/>
      <c r="AT128" s="317"/>
      <c r="AU128" s="317"/>
      <c r="AV128" s="317"/>
      <c r="AW128" s="130"/>
    </row>
    <row r="129">
      <c r="A129" s="122"/>
      <c r="B129" s="123"/>
      <c r="C129" s="450"/>
      <c r="D129" s="131"/>
      <c r="E129" s="254" t="s">
        <v>449</v>
      </c>
      <c r="F129" s="193" t="str">
        <f>Inputs!F196</f>
        <v>%</v>
      </c>
      <c r="G129" s="483" t="str">
        <f>Inputs!G196</f>
        <v>input</v>
      </c>
      <c r="H129" s="208">
        <f>Inputs!H196</f>
        <v>-0.8</v>
      </c>
      <c r="I129" s="383" t="str">
        <f>Inputs!I196</f>
        <v>-</v>
      </c>
      <c r="J129" s="383" t="str">
        <f>Inputs!J196</f>
        <v>-</v>
      </c>
      <c r="K129" s="383" t="str">
        <f>Inputs!K196</f>
        <v>-</v>
      </c>
      <c r="L129" s="383" t="str">
        <f>Inputs!L196</f>
        <v>-</v>
      </c>
      <c r="M129" s="383" t="str">
        <f>Inputs!M196</f>
        <v>-</v>
      </c>
      <c r="N129" s="383" t="str">
        <f>Inputs!N196</f>
        <v>-</v>
      </c>
      <c r="O129" s="383" t="str">
        <f>Inputs!O196</f>
        <v>-</v>
      </c>
      <c r="P129" s="383" t="str">
        <f>Inputs!P196</f>
        <v>-</v>
      </c>
      <c r="Q129" s="453" t="str">
        <f>Inputs!Q196</f>
        <v>-</v>
      </c>
      <c r="R129" s="383" t="str">
        <f>Inputs!R196</f>
        <v>-</v>
      </c>
      <c r="S129" s="383" t="str">
        <f>Inputs!S196</f>
        <v>-</v>
      </c>
      <c r="T129" s="383" t="str">
        <f>Inputs!T196</f>
        <v>-</v>
      </c>
      <c r="U129" s="383" t="str">
        <f>Inputs!U196</f>
        <v>-</v>
      </c>
      <c r="V129" s="383" t="str">
        <f>Inputs!V196</f>
        <v>-</v>
      </c>
      <c r="W129" s="383" t="str">
        <f>Inputs!W196</f>
        <v>-</v>
      </c>
      <c r="X129" s="383" t="str">
        <f>Inputs!X196</f>
        <v>-</v>
      </c>
      <c r="Y129" s="383" t="str">
        <f>Inputs!Y196</f>
        <v>-</v>
      </c>
      <c r="Z129" s="383" t="str">
        <f>Inputs!Z196</f>
        <v>-</v>
      </c>
      <c r="AA129" s="383" t="str">
        <f>Inputs!AA196</f>
        <v>-</v>
      </c>
      <c r="AB129" s="383" t="str">
        <f>Inputs!AB196</f>
        <v>-</v>
      </c>
      <c r="AC129" s="383" t="str">
        <f>Inputs!AC196</f>
        <v>-</v>
      </c>
      <c r="AD129" s="383" t="str">
        <f>Inputs!AD196</f>
        <v>-</v>
      </c>
      <c r="AE129" s="383" t="str">
        <f>Inputs!AE196</f>
        <v>-</v>
      </c>
      <c r="AF129" s="383" t="str">
        <f>Inputs!AF196</f>
        <v>-</v>
      </c>
      <c r="AG129" s="383" t="str">
        <f>Inputs!AG196</f>
        <v>-</v>
      </c>
      <c r="AH129" s="383" t="str">
        <f>Inputs!AH196</f>
        <v>-</v>
      </c>
      <c r="AI129" s="383" t="str">
        <f>Inputs!AI196</f>
        <v>-</v>
      </c>
      <c r="AJ129" s="383" t="str">
        <f>Inputs!AJ196</f>
        <v>-</v>
      </c>
      <c r="AK129" s="383" t="str">
        <f>Inputs!AK196</f>
        <v>-</v>
      </c>
      <c r="AL129" s="383" t="str">
        <f>Inputs!AL196</f>
        <v>-</v>
      </c>
      <c r="AM129" s="383" t="str">
        <f>Inputs!AM196</f>
        <v>-</v>
      </c>
      <c r="AN129" s="383" t="str">
        <f>Inputs!AN196</f>
        <v>-</v>
      </c>
      <c r="AO129" s="383" t="str">
        <f>Inputs!AO196</f>
        <v>-</v>
      </c>
      <c r="AP129" s="383" t="str">
        <f>Inputs!AP196</f>
        <v>-</v>
      </c>
      <c r="AQ129" s="383" t="str">
        <f>Inputs!AQ196</f>
        <v>-</v>
      </c>
      <c r="AR129" s="383" t="str">
        <f>Inputs!AR196</f>
        <v>-</v>
      </c>
      <c r="AS129" s="383" t="str">
        <f>Inputs!AS196</f>
        <v>-</v>
      </c>
      <c r="AT129" s="383" t="str">
        <f>Inputs!AT196</f>
        <v>-</v>
      </c>
      <c r="AU129" s="383" t="str">
        <f>Inputs!AU196</f>
        <v>-</v>
      </c>
      <c r="AV129" s="383" t="str">
        <f>Inputs!AV196</f>
        <v>-</v>
      </c>
      <c r="AW129" s="256"/>
    </row>
    <row r="130">
      <c r="A130" s="122"/>
      <c r="B130" s="123"/>
      <c r="C130" s="450"/>
      <c r="D130" s="131"/>
      <c r="E130" s="257" t="s">
        <v>450</v>
      </c>
      <c r="F130" s="213" t="s">
        <v>72</v>
      </c>
      <c r="G130" s="485" t="s">
        <v>161</v>
      </c>
      <c r="H130" s="240" t="s">
        <v>162</v>
      </c>
      <c r="I130" s="241">
        <f t="shared" ref="I130:AV130" si="16">I66*(1+$H$129)</f>
        <v>0.09347517716</v>
      </c>
      <c r="J130" s="241">
        <f t="shared" si="16"/>
        <v>0.1123225143</v>
      </c>
      <c r="K130" s="241">
        <f t="shared" si="16"/>
        <v>0.1208894857</v>
      </c>
      <c r="L130" s="241">
        <f t="shared" si="16"/>
        <v>0.1486845486</v>
      </c>
      <c r="M130" s="241">
        <f t="shared" si="16"/>
        <v>0.1147974172</v>
      </c>
      <c r="N130" s="241">
        <f t="shared" si="16"/>
        <v>0.1083245943</v>
      </c>
      <c r="O130" s="241">
        <f t="shared" si="16"/>
        <v>0.1210798629</v>
      </c>
      <c r="P130" s="241">
        <f t="shared" si="16"/>
        <v>0.06415709716</v>
      </c>
      <c r="Q130" s="456">
        <f t="shared" si="16"/>
        <v>0.09671158859</v>
      </c>
      <c r="R130" s="241">
        <f t="shared" si="16"/>
        <v>0.1722913143</v>
      </c>
      <c r="S130" s="241">
        <f t="shared" si="16"/>
        <v>0.1591552915</v>
      </c>
      <c r="T130" s="241">
        <f t="shared" si="16"/>
        <v>0.1629628343</v>
      </c>
      <c r="U130" s="241">
        <f t="shared" si="16"/>
        <v>0.1606783086</v>
      </c>
      <c r="V130" s="241">
        <f t="shared" si="16"/>
        <v>0.1502075657</v>
      </c>
      <c r="W130" s="241">
        <f t="shared" si="16"/>
        <v>0.1555381257</v>
      </c>
      <c r="X130" s="241">
        <f t="shared" si="16"/>
        <v>0.1233643886</v>
      </c>
      <c r="Y130" s="241">
        <f t="shared" si="16"/>
        <v>0.17724112</v>
      </c>
      <c r="Z130" s="241">
        <f t="shared" si="16"/>
        <v>0.1589649143</v>
      </c>
      <c r="AA130" s="241">
        <f t="shared" si="16"/>
        <v>0.1890445029</v>
      </c>
      <c r="AB130" s="241">
        <f t="shared" si="16"/>
        <v>0.1757181029</v>
      </c>
      <c r="AC130" s="241">
        <f t="shared" si="16"/>
        <v>0.1884733715</v>
      </c>
      <c r="AD130" s="241">
        <f t="shared" si="16"/>
        <v>0.1886637486</v>
      </c>
      <c r="AE130" s="241">
        <f t="shared" si="16"/>
        <v>0.18123904</v>
      </c>
      <c r="AF130" s="241">
        <f t="shared" si="16"/>
        <v>0.1802871543</v>
      </c>
      <c r="AG130" s="241">
        <f t="shared" si="16"/>
        <v>0.1486845486</v>
      </c>
      <c r="AH130" s="241">
        <f t="shared" si="16"/>
        <v>0.1757181029</v>
      </c>
      <c r="AI130" s="241">
        <f t="shared" si="16"/>
        <v>0.1376426743</v>
      </c>
      <c r="AJ130" s="241">
        <f t="shared" si="16"/>
        <v>0.1797160229</v>
      </c>
      <c r="AK130" s="241">
        <f t="shared" si="16"/>
        <v>0.1507786972</v>
      </c>
      <c r="AL130" s="241">
        <f t="shared" si="16"/>
        <v>0.1269815543</v>
      </c>
      <c r="AM130" s="241">
        <f t="shared" si="16"/>
        <v>0.1269815543</v>
      </c>
      <c r="AN130" s="241">
        <f t="shared" si="16"/>
        <v>0.1269815543</v>
      </c>
      <c r="AO130" s="241">
        <f t="shared" si="16"/>
        <v>0.1376426743</v>
      </c>
      <c r="AP130" s="241">
        <f t="shared" si="16"/>
        <v>0.1429732343</v>
      </c>
      <c r="AQ130" s="241">
        <f t="shared" si="16"/>
        <v>0.1770507429</v>
      </c>
      <c r="AR130" s="241">
        <f t="shared" si="16"/>
        <v>0.1570611429</v>
      </c>
      <c r="AS130" s="241">
        <f t="shared" si="16"/>
        <v>0.1669607543</v>
      </c>
      <c r="AT130" s="241">
        <f t="shared" si="16"/>
        <v>0.17191056</v>
      </c>
      <c r="AU130" s="241">
        <f t="shared" si="16"/>
        <v>0.1353581486</v>
      </c>
      <c r="AV130" s="241">
        <f t="shared" si="16"/>
        <v>0.1431636115</v>
      </c>
      <c r="AW130" s="259"/>
    </row>
    <row r="131">
      <c r="A131" s="122"/>
      <c r="B131" s="123"/>
      <c r="C131" s="450"/>
      <c r="D131" s="131"/>
      <c r="E131" s="257" t="s">
        <v>451</v>
      </c>
      <c r="F131" s="213" t="s">
        <v>72</v>
      </c>
      <c r="G131" s="485" t="s">
        <v>161</v>
      </c>
      <c r="H131" s="240" t="s">
        <v>162</v>
      </c>
      <c r="I131" s="241">
        <f t="shared" ref="I131:AV131" si="17">I67*(1+$H$129)</f>
        <v>0.07351413373</v>
      </c>
      <c r="J131" s="241">
        <f t="shared" si="17"/>
        <v>0.09695907888</v>
      </c>
      <c r="K131" s="241">
        <f t="shared" si="17"/>
        <v>0.1092574423</v>
      </c>
      <c r="L131" s="241">
        <f t="shared" si="17"/>
        <v>0.1294850137</v>
      </c>
      <c r="M131" s="241">
        <f t="shared" si="17"/>
        <v>0.09386545031</v>
      </c>
      <c r="N131" s="241">
        <f t="shared" si="17"/>
        <v>0.09195216002</v>
      </c>
      <c r="O131" s="241">
        <f t="shared" si="17"/>
        <v>0.1112849589</v>
      </c>
      <c r="P131" s="241">
        <f t="shared" si="17"/>
        <v>0.04064552001</v>
      </c>
      <c r="Q131" s="456">
        <f t="shared" si="17"/>
        <v>0.07166747544</v>
      </c>
      <c r="R131" s="241">
        <f t="shared" si="17"/>
        <v>0.1630960983</v>
      </c>
      <c r="S131" s="241">
        <f t="shared" si="17"/>
        <v>0.1299704755</v>
      </c>
      <c r="T131" s="241">
        <f t="shared" si="17"/>
        <v>0.1575275669</v>
      </c>
      <c r="U131" s="241">
        <f t="shared" si="17"/>
        <v>0.1481990869</v>
      </c>
      <c r="V131" s="241">
        <f t="shared" si="17"/>
        <v>0.1445819212</v>
      </c>
      <c r="W131" s="241">
        <f t="shared" si="17"/>
        <v>0.1438013749</v>
      </c>
      <c r="X131" s="241">
        <f t="shared" si="17"/>
        <v>0.09174274516</v>
      </c>
      <c r="Y131" s="241">
        <f t="shared" si="17"/>
        <v>0.1724340972</v>
      </c>
      <c r="Z131" s="241">
        <f t="shared" si="17"/>
        <v>0.1463333909</v>
      </c>
      <c r="AA131" s="241">
        <f t="shared" si="17"/>
        <v>0.1884828903</v>
      </c>
      <c r="AB131" s="241">
        <f t="shared" si="17"/>
        <v>0.1722532389</v>
      </c>
      <c r="AC131" s="241">
        <f t="shared" si="17"/>
        <v>0.1779359966</v>
      </c>
      <c r="AD131" s="241">
        <f t="shared" si="17"/>
        <v>0.184170848</v>
      </c>
      <c r="AE131" s="241">
        <f t="shared" si="17"/>
        <v>0.1667608583</v>
      </c>
      <c r="AF131" s="241">
        <f t="shared" si="17"/>
        <v>0.1771935258</v>
      </c>
      <c r="AG131" s="241">
        <f t="shared" si="17"/>
        <v>0.1294850137</v>
      </c>
      <c r="AH131" s="241">
        <f t="shared" si="17"/>
        <v>0.1469521166</v>
      </c>
      <c r="AI131" s="241">
        <f t="shared" si="17"/>
        <v>0.1217842583</v>
      </c>
      <c r="AJ131" s="241">
        <f t="shared" si="17"/>
        <v>0.1720343052</v>
      </c>
      <c r="AK131" s="241">
        <f t="shared" si="17"/>
        <v>0.12593448</v>
      </c>
      <c r="AL131" s="241">
        <f t="shared" si="17"/>
        <v>0.1009189235</v>
      </c>
      <c r="AM131" s="241">
        <f t="shared" si="17"/>
        <v>0.1009189235</v>
      </c>
      <c r="AN131" s="241">
        <f t="shared" si="17"/>
        <v>0.1009189235</v>
      </c>
      <c r="AO131" s="241">
        <f t="shared" si="17"/>
        <v>0.1130364286</v>
      </c>
      <c r="AP131" s="241">
        <f t="shared" si="17"/>
        <v>0.1322359635</v>
      </c>
      <c r="AQ131" s="241">
        <f t="shared" si="17"/>
        <v>0.1687693372</v>
      </c>
      <c r="AR131" s="241">
        <f t="shared" si="17"/>
        <v>0.1284284206</v>
      </c>
      <c r="AS131" s="241">
        <f t="shared" si="17"/>
        <v>0.147323352</v>
      </c>
      <c r="AT131" s="241">
        <f t="shared" si="17"/>
        <v>0.1657708972</v>
      </c>
      <c r="AU131" s="241">
        <f t="shared" si="17"/>
        <v>0.1259915932</v>
      </c>
      <c r="AV131" s="241">
        <f t="shared" si="17"/>
        <v>0.1359483177</v>
      </c>
      <c r="AW131" s="259"/>
    </row>
    <row r="132">
      <c r="A132" s="122"/>
      <c r="B132" s="123"/>
      <c r="C132" s="450"/>
      <c r="D132" s="131"/>
      <c r="E132" s="257" t="s">
        <v>452</v>
      </c>
      <c r="F132" s="213" t="s">
        <v>72</v>
      </c>
      <c r="G132" s="485" t="s">
        <v>161</v>
      </c>
      <c r="H132" s="240" t="s">
        <v>162</v>
      </c>
      <c r="I132" s="241">
        <f t="shared" ref="I132:AV132" si="18">I68*(1+$H$129)</f>
        <v>0.07351413373</v>
      </c>
      <c r="J132" s="241">
        <f t="shared" si="18"/>
        <v>0.09695907888</v>
      </c>
      <c r="K132" s="241">
        <f t="shared" si="18"/>
        <v>0.1092574423</v>
      </c>
      <c r="L132" s="241">
        <f t="shared" si="18"/>
        <v>0.1294850137</v>
      </c>
      <c r="M132" s="241">
        <f t="shared" si="18"/>
        <v>0.09386545031</v>
      </c>
      <c r="N132" s="241">
        <f t="shared" si="18"/>
        <v>0.09195216002</v>
      </c>
      <c r="O132" s="241">
        <f t="shared" si="18"/>
        <v>0.1112849589</v>
      </c>
      <c r="P132" s="241">
        <f t="shared" si="18"/>
        <v>0.04064552001</v>
      </c>
      <c r="Q132" s="456">
        <f t="shared" si="18"/>
        <v>0.07166747544</v>
      </c>
      <c r="R132" s="241">
        <f t="shared" si="18"/>
        <v>0.1630960983</v>
      </c>
      <c r="S132" s="241">
        <f t="shared" si="18"/>
        <v>0.1299704755</v>
      </c>
      <c r="T132" s="241">
        <f t="shared" si="18"/>
        <v>0.1575275669</v>
      </c>
      <c r="U132" s="241">
        <f t="shared" si="18"/>
        <v>0.1481990869</v>
      </c>
      <c r="V132" s="241">
        <f t="shared" si="18"/>
        <v>0.1445819212</v>
      </c>
      <c r="W132" s="241">
        <f t="shared" si="18"/>
        <v>0.1438013749</v>
      </c>
      <c r="X132" s="241">
        <f t="shared" si="18"/>
        <v>0.09174274516</v>
      </c>
      <c r="Y132" s="241">
        <f t="shared" si="18"/>
        <v>0.1724340972</v>
      </c>
      <c r="Z132" s="241">
        <f t="shared" si="18"/>
        <v>0.1463333909</v>
      </c>
      <c r="AA132" s="241">
        <f t="shared" si="18"/>
        <v>0.1884828903</v>
      </c>
      <c r="AB132" s="241">
        <f t="shared" si="18"/>
        <v>0.1722532389</v>
      </c>
      <c r="AC132" s="241">
        <f t="shared" si="18"/>
        <v>0.1779359966</v>
      </c>
      <c r="AD132" s="241">
        <f t="shared" si="18"/>
        <v>0.184170848</v>
      </c>
      <c r="AE132" s="241">
        <f t="shared" si="18"/>
        <v>0.1667608583</v>
      </c>
      <c r="AF132" s="241">
        <f t="shared" si="18"/>
        <v>0.1771935258</v>
      </c>
      <c r="AG132" s="241">
        <f t="shared" si="18"/>
        <v>0.1294850137</v>
      </c>
      <c r="AH132" s="241">
        <f t="shared" si="18"/>
        <v>0.1469521166</v>
      </c>
      <c r="AI132" s="241">
        <f t="shared" si="18"/>
        <v>0.1217842583</v>
      </c>
      <c r="AJ132" s="241">
        <f t="shared" si="18"/>
        <v>0.1720343052</v>
      </c>
      <c r="AK132" s="241">
        <f t="shared" si="18"/>
        <v>0.12593448</v>
      </c>
      <c r="AL132" s="241">
        <f t="shared" si="18"/>
        <v>0.1009189235</v>
      </c>
      <c r="AM132" s="241">
        <f t="shared" si="18"/>
        <v>0.1009189235</v>
      </c>
      <c r="AN132" s="241">
        <f t="shared" si="18"/>
        <v>0.1009189235</v>
      </c>
      <c r="AO132" s="241">
        <f t="shared" si="18"/>
        <v>0.1130364286</v>
      </c>
      <c r="AP132" s="241">
        <f t="shared" si="18"/>
        <v>0.1322359635</v>
      </c>
      <c r="AQ132" s="241">
        <f t="shared" si="18"/>
        <v>0.1687693372</v>
      </c>
      <c r="AR132" s="241">
        <f t="shared" si="18"/>
        <v>0.1284284206</v>
      </c>
      <c r="AS132" s="241">
        <f t="shared" si="18"/>
        <v>0.147323352</v>
      </c>
      <c r="AT132" s="241">
        <f t="shared" si="18"/>
        <v>0.1657708972</v>
      </c>
      <c r="AU132" s="241">
        <f t="shared" si="18"/>
        <v>0.1259915932</v>
      </c>
      <c r="AV132" s="241">
        <f t="shared" si="18"/>
        <v>0.1359483177</v>
      </c>
      <c r="AW132" s="259"/>
    </row>
    <row r="133">
      <c r="A133" s="122"/>
      <c r="B133" s="123"/>
      <c r="C133" s="450"/>
      <c r="D133" s="131"/>
      <c r="E133" s="257" t="s">
        <v>453</v>
      </c>
      <c r="F133" s="213" t="s">
        <v>72</v>
      </c>
      <c r="G133" s="485" t="s">
        <v>161</v>
      </c>
      <c r="H133" s="240" t="s">
        <v>162</v>
      </c>
      <c r="I133" s="241">
        <f t="shared" ref="I133:AV133" si="19">I69*(1+$H$129)</f>
        <v>0.07339990744</v>
      </c>
      <c r="J133" s="241">
        <f t="shared" si="19"/>
        <v>0.09070518973</v>
      </c>
      <c r="K133" s="241">
        <f t="shared" si="19"/>
        <v>0.1076868309</v>
      </c>
      <c r="L133" s="241">
        <f t="shared" si="19"/>
        <v>0.1269529977</v>
      </c>
      <c r="M133" s="241">
        <f t="shared" si="19"/>
        <v>0.09263751773</v>
      </c>
      <c r="N133" s="241">
        <f t="shared" si="19"/>
        <v>0.08792568345</v>
      </c>
      <c r="O133" s="241">
        <f t="shared" si="19"/>
        <v>0.1095525269</v>
      </c>
      <c r="P133" s="241">
        <f t="shared" si="19"/>
        <v>0.03129800229</v>
      </c>
      <c r="Q133" s="456">
        <f t="shared" si="19"/>
        <v>0.07285733259</v>
      </c>
      <c r="R133" s="241">
        <f t="shared" si="19"/>
        <v>0.1609353177</v>
      </c>
      <c r="S133" s="241">
        <f t="shared" si="19"/>
        <v>0.130065664</v>
      </c>
      <c r="T133" s="241">
        <f t="shared" si="19"/>
        <v>0.1550336263</v>
      </c>
      <c r="U133" s="241">
        <f t="shared" si="19"/>
        <v>0.1477802572</v>
      </c>
      <c r="V133" s="241">
        <f t="shared" si="19"/>
        <v>0.1426686309</v>
      </c>
      <c r="W133" s="241">
        <f t="shared" si="19"/>
        <v>0.1376712309</v>
      </c>
      <c r="X133" s="241">
        <f t="shared" si="19"/>
        <v>0.08130055887</v>
      </c>
      <c r="Y133" s="241">
        <f t="shared" si="19"/>
        <v>0.1720914183</v>
      </c>
      <c r="Z133" s="241">
        <f t="shared" si="19"/>
        <v>0.1428209326</v>
      </c>
      <c r="AA133" s="241">
        <f t="shared" si="19"/>
        <v>0.1885495223</v>
      </c>
      <c r="AB133" s="241">
        <f t="shared" si="19"/>
        <v>0.1638956823</v>
      </c>
      <c r="AC133" s="241">
        <f t="shared" si="19"/>
        <v>0.1732146435</v>
      </c>
      <c r="AD133" s="241">
        <f t="shared" si="19"/>
        <v>0.1832951132</v>
      </c>
      <c r="AE133" s="241">
        <f t="shared" si="19"/>
        <v>0.1672939143</v>
      </c>
      <c r="AF133" s="241">
        <f t="shared" si="19"/>
        <v>0.1740713406</v>
      </c>
      <c r="AG133" s="241">
        <f t="shared" si="19"/>
        <v>0.1269529977</v>
      </c>
      <c r="AH133" s="241">
        <f t="shared" si="19"/>
        <v>0.1435443657</v>
      </c>
      <c r="AI133" s="241">
        <f t="shared" si="19"/>
        <v>0.1160634252</v>
      </c>
      <c r="AJ133" s="241">
        <f t="shared" si="19"/>
        <v>0.1695498835</v>
      </c>
      <c r="AK133" s="241">
        <f t="shared" si="19"/>
        <v>0.1232787189</v>
      </c>
      <c r="AL133" s="241">
        <f t="shared" si="19"/>
        <v>0.09799663431</v>
      </c>
      <c r="AM133" s="241">
        <f t="shared" si="19"/>
        <v>0.09799663431</v>
      </c>
      <c r="AN133" s="241">
        <f t="shared" si="19"/>
        <v>0.09799663431</v>
      </c>
      <c r="AO133" s="241">
        <f t="shared" si="19"/>
        <v>0.1099142435</v>
      </c>
      <c r="AP133" s="241">
        <f t="shared" si="19"/>
        <v>0.1283427509</v>
      </c>
      <c r="AQ133" s="241">
        <f t="shared" si="19"/>
        <v>0.160183328</v>
      </c>
      <c r="AR133" s="241">
        <f t="shared" si="19"/>
        <v>0.1264389795</v>
      </c>
      <c r="AS133" s="241">
        <f t="shared" si="19"/>
        <v>0.1359197612</v>
      </c>
      <c r="AT133" s="241">
        <f t="shared" si="19"/>
        <v>0.1639718332</v>
      </c>
      <c r="AU133" s="241">
        <f t="shared" si="19"/>
        <v>0.1215843623</v>
      </c>
      <c r="AV133" s="241">
        <f t="shared" si="19"/>
        <v>0.1312935966</v>
      </c>
      <c r="AW133" s="259"/>
    </row>
    <row r="134">
      <c r="A134" s="122"/>
      <c r="B134" s="123"/>
      <c r="C134" s="450"/>
      <c r="D134" s="131"/>
      <c r="E134" s="257" t="s">
        <v>454</v>
      </c>
      <c r="F134" s="213" t="s">
        <v>72</v>
      </c>
      <c r="G134" s="485" t="s">
        <v>161</v>
      </c>
      <c r="H134" s="240" t="s">
        <v>162</v>
      </c>
      <c r="I134" s="241">
        <f t="shared" ref="I134:AV134" si="20">I70*(1+$H$129)</f>
        <v>0</v>
      </c>
      <c r="J134" s="241">
        <f t="shared" si="20"/>
        <v>0</v>
      </c>
      <c r="K134" s="241">
        <f t="shared" si="20"/>
        <v>0</v>
      </c>
      <c r="L134" s="241">
        <f t="shared" si="20"/>
        <v>0</v>
      </c>
      <c r="M134" s="241">
        <f t="shared" si="20"/>
        <v>0</v>
      </c>
      <c r="N134" s="241">
        <f t="shared" si="20"/>
        <v>0</v>
      </c>
      <c r="O134" s="241">
        <f t="shared" si="20"/>
        <v>0</v>
      </c>
      <c r="P134" s="241">
        <f t="shared" si="20"/>
        <v>0</v>
      </c>
      <c r="Q134" s="456">
        <f t="shared" si="20"/>
        <v>0</v>
      </c>
      <c r="R134" s="241">
        <f t="shared" si="20"/>
        <v>0</v>
      </c>
      <c r="S134" s="241">
        <f t="shared" si="20"/>
        <v>0</v>
      </c>
      <c r="T134" s="241">
        <f t="shared" si="20"/>
        <v>0</v>
      </c>
      <c r="U134" s="241">
        <f t="shared" si="20"/>
        <v>0</v>
      </c>
      <c r="V134" s="241">
        <f t="shared" si="20"/>
        <v>0</v>
      </c>
      <c r="W134" s="241">
        <f t="shared" si="20"/>
        <v>0</v>
      </c>
      <c r="X134" s="241">
        <f t="shared" si="20"/>
        <v>0</v>
      </c>
      <c r="Y134" s="241">
        <f t="shared" si="20"/>
        <v>0</v>
      </c>
      <c r="Z134" s="241">
        <f t="shared" si="20"/>
        <v>0</v>
      </c>
      <c r="AA134" s="241">
        <f t="shared" si="20"/>
        <v>0</v>
      </c>
      <c r="AB134" s="241">
        <f t="shared" si="20"/>
        <v>0</v>
      </c>
      <c r="AC134" s="241">
        <f t="shared" si="20"/>
        <v>0</v>
      </c>
      <c r="AD134" s="241">
        <f t="shared" si="20"/>
        <v>0</v>
      </c>
      <c r="AE134" s="241">
        <f t="shared" si="20"/>
        <v>0</v>
      </c>
      <c r="AF134" s="241">
        <f t="shared" si="20"/>
        <v>0</v>
      </c>
      <c r="AG134" s="241">
        <f t="shared" si="20"/>
        <v>0</v>
      </c>
      <c r="AH134" s="241">
        <f t="shared" si="20"/>
        <v>0</v>
      </c>
      <c r="AI134" s="241">
        <f t="shared" si="20"/>
        <v>0</v>
      </c>
      <c r="AJ134" s="241">
        <f t="shared" si="20"/>
        <v>0</v>
      </c>
      <c r="AK134" s="241">
        <f t="shared" si="20"/>
        <v>0</v>
      </c>
      <c r="AL134" s="241">
        <f t="shared" si="20"/>
        <v>0</v>
      </c>
      <c r="AM134" s="241">
        <f t="shared" si="20"/>
        <v>0</v>
      </c>
      <c r="AN134" s="241">
        <f t="shared" si="20"/>
        <v>0</v>
      </c>
      <c r="AO134" s="241">
        <f t="shared" si="20"/>
        <v>0</v>
      </c>
      <c r="AP134" s="241">
        <f t="shared" si="20"/>
        <v>0</v>
      </c>
      <c r="AQ134" s="241">
        <f t="shared" si="20"/>
        <v>0</v>
      </c>
      <c r="AR134" s="241">
        <f t="shared" si="20"/>
        <v>0</v>
      </c>
      <c r="AS134" s="241">
        <f t="shared" si="20"/>
        <v>0</v>
      </c>
      <c r="AT134" s="241">
        <f t="shared" si="20"/>
        <v>0</v>
      </c>
      <c r="AU134" s="241">
        <f t="shared" si="20"/>
        <v>0</v>
      </c>
      <c r="AV134" s="241">
        <f t="shared" si="20"/>
        <v>0</v>
      </c>
      <c r="AW134" s="259"/>
    </row>
    <row r="135">
      <c r="A135" s="122"/>
      <c r="B135" s="123"/>
      <c r="C135" s="450"/>
      <c r="D135" s="131"/>
      <c r="E135" s="272" t="s">
        <v>455</v>
      </c>
      <c r="F135" s="200" t="s">
        <v>72</v>
      </c>
      <c r="G135" s="487" t="s">
        <v>161</v>
      </c>
      <c r="H135" s="228" t="s">
        <v>162</v>
      </c>
      <c r="I135" s="385">
        <f t="shared" ref="I135:AV135" si="21">I71*(1+$H$129)</f>
        <v>0.05652085842</v>
      </c>
      <c r="J135" s="385">
        <f t="shared" si="21"/>
        <v>0.06786945144</v>
      </c>
      <c r="K135" s="385">
        <f t="shared" si="21"/>
        <v>0.103967073</v>
      </c>
      <c r="L135" s="385">
        <f t="shared" si="21"/>
        <v>0.105215101</v>
      </c>
      <c r="M135" s="385">
        <f t="shared" si="21"/>
        <v>0.07432112129</v>
      </c>
      <c r="N135" s="385">
        <f t="shared" si="21"/>
        <v>0.08118527494</v>
      </c>
      <c r="O135" s="385">
        <f t="shared" si="21"/>
        <v>0.1194405042</v>
      </c>
      <c r="P135" s="385">
        <f t="shared" si="21"/>
        <v>0.03629857525</v>
      </c>
      <c r="Q135" s="462">
        <f t="shared" si="21"/>
        <v>0.08614565716</v>
      </c>
      <c r="R135" s="385">
        <f t="shared" si="21"/>
        <v>0.1411117689</v>
      </c>
      <c r="S135" s="385">
        <f t="shared" si="21"/>
        <v>0.1134436242</v>
      </c>
      <c r="T135" s="385">
        <f t="shared" si="21"/>
        <v>0.1342264623</v>
      </c>
      <c r="U135" s="385">
        <f t="shared" si="21"/>
        <v>0.1274998032</v>
      </c>
      <c r="V135" s="385">
        <f t="shared" si="21"/>
        <v>0.1253845016</v>
      </c>
      <c r="W135" s="385">
        <f t="shared" si="21"/>
        <v>0.1256912203</v>
      </c>
      <c r="X135" s="385">
        <f t="shared" si="21"/>
        <v>0.07143373462</v>
      </c>
      <c r="Y135" s="385">
        <f t="shared" si="21"/>
        <v>0.1487691607</v>
      </c>
      <c r="Z135" s="385">
        <f t="shared" si="21"/>
        <v>0.1370186603</v>
      </c>
      <c r="AA135" s="385">
        <f t="shared" si="21"/>
        <v>0.1729787873</v>
      </c>
      <c r="AB135" s="385">
        <f t="shared" si="21"/>
        <v>0.1486739721</v>
      </c>
      <c r="AC135" s="385">
        <f t="shared" si="21"/>
        <v>0.1768392127</v>
      </c>
      <c r="AD135" s="385">
        <f t="shared" si="21"/>
        <v>0.1500489181</v>
      </c>
      <c r="AE135" s="385">
        <f t="shared" si="21"/>
        <v>0.1658184915</v>
      </c>
      <c r="AF135" s="385">
        <f t="shared" si="21"/>
        <v>0.1396733638</v>
      </c>
      <c r="AG135" s="385">
        <f t="shared" si="21"/>
        <v>0.105215101</v>
      </c>
      <c r="AH135" s="385">
        <f t="shared" si="21"/>
        <v>0.1360350451</v>
      </c>
      <c r="AI135" s="385">
        <f t="shared" si="21"/>
        <v>0.1190280203</v>
      </c>
      <c r="AJ135" s="385">
        <f t="shared" si="21"/>
        <v>0.1623070908</v>
      </c>
      <c r="AK135" s="385">
        <f t="shared" si="21"/>
        <v>0.1046016635</v>
      </c>
      <c r="AL135" s="385">
        <f t="shared" si="21"/>
        <v>0.1002864483</v>
      </c>
      <c r="AM135" s="385">
        <f t="shared" si="21"/>
        <v>0.1002864483</v>
      </c>
      <c r="AN135" s="385">
        <f t="shared" si="21"/>
        <v>0.1002864483</v>
      </c>
      <c r="AO135" s="385">
        <f t="shared" si="21"/>
        <v>0.1050776064</v>
      </c>
      <c r="AP135" s="385">
        <f t="shared" si="21"/>
        <v>0.1239249435</v>
      </c>
      <c r="AQ135" s="385">
        <f t="shared" si="21"/>
        <v>0.1502921778</v>
      </c>
      <c r="AR135" s="385">
        <f t="shared" si="21"/>
        <v>0.114543581</v>
      </c>
      <c r="AS135" s="385">
        <f t="shared" si="21"/>
        <v>0.1291497384</v>
      </c>
      <c r="AT135" s="385">
        <f t="shared" si="21"/>
        <v>0.1577803454</v>
      </c>
      <c r="AU135" s="385">
        <f t="shared" si="21"/>
        <v>0.1216721473</v>
      </c>
      <c r="AV135" s="385">
        <f t="shared" si="21"/>
        <v>0.1333168826</v>
      </c>
      <c r="AW135" s="274"/>
    </row>
    <row r="136">
      <c r="A136" s="122"/>
      <c r="B136" s="123"/>
      <c r="C136" s="450"/>
      <c r="D136" s="131"/>
      <c r="E136" s="269"/>
      <c r="F136" s="141"/>
      <c r="G136" s="448"/>
      <c r="H136" s="188"/>
      <c r="I136" s="317"/>
      <c r="J136" s="317"/>
      <c r="K136" s="317"/>
      <c r="L136" s="317"/>
      <c r="M136" s="317"/>
      <c r="N136" s="317"/>
      <c r="O136" s="317"/>
      <c r="P136" s="317"/>
      <c r="Q136" s="449"/>
      <c r="R136" s="317"/>
      <c r="S136" s="317"/>
      <c r="T136" s="317"/>
      <c r="U136" s="317"/>
      <c r="V136" s="317"/>
      <c r="W136" s="317"/>
      <c r="X136" s="317"/>
      <c r="Y136" s="317"/>
      <c r="Z136" s="317"/>
      <c r="AA136" s="317"/>
      <c r="AB136" s="317"/>
      <c r="AC136" s="317"/>
      <c r="AD136" s="317"/>
      <c r="AE136" s="317"/>
      <c r="AF136" s="317"/>
      <c r="AG136" s="317"/>
      <c r="AH136" s="317"/>
      <c r="AI136" s="317"/>
      <c r="AJ136" s="317"/>
      <c r="AK136" s="317"/>
      <c r="AL136" s="317"/>
      <c r="AM136" s="317"/>
      <c r="AN136" s="317"/>
      <c r="AO136" s="317"/>
      <c r="AP136" s="317"/>
      <c r="AQ136" s="317"/>
      <c r="AR136" s="317"/>
      <c r="AS136" s="317"/>
      <c r="AT136" s="317"/>
      <c r="AU136" s="317"/>
      <c r="AV136" s="317"/>
      <c r="AW136" s="130"/>
    </row>
    <row r="137">
      <c r="A137" s="122"/>
      <c r="B137" s="123"/>
      <c r="C137" s="450" t="s">
        <v>456</v>
      </c>
      <c r="F137" s="141"/>
      <c r="G137" s="448"/>
      <c r="H137" s="188"/>
      <c r="I137" s="317"/>
      <c r="J137" s="317"/>
      <c r="K137" s="317"/>
      <c r="L137" s="317"/>
      <c r="M137" s="317"/>
      <c r="N137" s="317"/>
      <c r="O137" s="317"/>
      <c r="P137" s="317"/>
      <c r="Q137" s="449"/>
      <c r="R137" s="317"/>
      <c r="S137" s="317"/>
      <c r="T137" s="317"/>
      <c r="U137" s="317"/>
      <c r="V137" s="317"/>
      <c r="W137" s="317"/>
      <c r="X137" s="317"/>
      <c r="Y137" s="317"/>
      <c r="Z137" s="317"/>
      <c r="AA137" s="317"/>
      <c r="AB137" s="317"/>
      <c r="AC137" s="317"/>
      <c r="AD137" s="317"/>
      <c r="AE137" s="317"/>
      <c r="AF137" s="317"/>
      <c r="AG137" s="317"/>
      <c r="AH137" s="317"/>
      <c r="AI137" s="317"/>
      <c r="AJ137" s="317"/>
      <c r="AK137" s="317"/>
      <c r="AL137" s="317"/>
      <c r="AM137" s="317"/>
      <c r="AN137" s="317"/>
      <c r="AO137" s="317"/>
      <c r="AP137" s="317"/>
      <c r="AQ137" s="317"/>
      <c r="AR137" s="317"/>
      <c r="AS137" s="317"/>
      <c r="AT137" s="317"/>
      <c r="AU137" s="317"/>
      <c r="AV137" s="317"/>
      <c r="AW137" s="130"/>
    </row>
    <row r="138">
      <c r="A138" s="122"/>
      <c r="B138" s="123"/>
      <c r="C138" s="450"/>
      <c r="D138" s="131"/>
      <c r="E138" s="490" t="s">
        <v>206</v>
      </c>
      <c r="F138" s="134" t="s">
        <v>72</v>
      </c>
      <c r="G138" s="491" t="s">
        <v>161</v>
      </c>
      <c r="H138" s="146" t="s">
        <v>162</v>
      </c>
      <c r="I138" s="407">
        <f t="shared" ref="I138:AV138" si="22">SUMPRODUCT($H110:$H115,I118:I123,I130:I135)/I126</f>
        <v>0.06341293566</v>
      </c>
      <c r="J138" s="407">
        <f t="shared" si="22"/>
        <v>0.07936460651</v>
      </c>
      <c r="K138" s="407">
        <f t="shared" si="22"/>
        <v>0.09519096544</v>
      </c>
      <c r="L138" s="407">
        <f t="shared" si="22"/>
        <v>0.1152130721</v>
      </c>
      <c r="M138" s="407">
        <f t="shared" si="22"/>
        <v>0.08417030212</v>
      </c>
      <c r="N138" s="407">
        <f t="shared" si="22"/>
        <v>0.07821502982</v>
      </c>
      <c r="O138" s="407">
        <f t="shared" si="22"/>
        <v>0.09079253098</v>
      </c>
      <c r="P138" s="407">
        <f t="shared" si="22"/>
        <v>0.04101366976</v>
      </c>
      <c r="Q138" s="481">
        <f t="shared" si="22"/>
        <v>0.06869817306</v>
      </c>
      <c r="R138" s="407">
        <f t="shared" si="22"/>
        <v>0.1396563565</v>
      </c>
      <c r="S138" s="407">
        <f t="shared" si="22"/>
        <v>0.1108794284</v>
      </c>
      <c r="T138" s="407">
        <f t="shared" si="22"/>
        <v>0.1349840683</v>
      </c>
      <c r="U138" s="407">
        <f t="shared" si="22"/>
        <v>0.1343552853</v>
      </c>
      <c r="V138" s="407">
        <f t="shared" si="22"/>
        <v>0.1093146474</v>
      </c>
      <c r="W138" s="407">
        <f t="shared" si="22"/>
        <v>0.1095647386</v>
      </c>
      <c r="X138" s="407">
        <f t="shared" si="22"/>
        <v>0.07693125395</v>
      </c>
      <c r="Y138" s="407">
        <f t="shared" si="22"/>
        <v>0.1427249168</v>
      </c>
      <c r="Z138" s="407">
        <f t="shared" si="22"/>
        <v>0.1293273974</v>
      </c>
      <c r="AA138" s="407">
        <f t="shared" si="22"/>
        <v>0.1518675724</v>
      </c>
      <c r="AB138" s="407">
        <f t="shared" si="22"/>
        <v>0.146816972</v>
      </c>
      <c r="AC138" s="407">
        <f t="shared" si="22"/>
        <v>0.1533003426</v>
      </c>
      <c r="AD138" s="407">
        <f t="shared" si="22"/>
        <v>0.1544231861</v>
      </c>
      <c r="AE138" s="407">
        <f t="shared" si="22"/>
        <v>0.1518439537</v>
      </c>
      <c r="AF138" s="407">
        <f t="shared" si="22"/>
        <v>0.1550943079</v>
      </c>
      <c r="AG138" s="407">
        <f t="shared" si="22"/>
        <v>0.1152130721</v>
      </c>
      <c r="AH138" s="407">
        <f t="shared" si="22"/>
        <v>0.1280512664</v>
      </c>
      <c r="AI138" s="407">
        <f t="shared" si="22"/>
        <v>0.1042349786</v>
      </c>
      <c r="AJ138" s="407">
        <f t="shared" si="22"/>
        <v>0.1562043435</v>
      </c>
      <c r="AK138" s="407">
        <f t="shared" si="22"/>
        <v>0.1099011081</v>
      </c>
      <c r="AL138" s="407">
        <f t="shared" si="22"/>
        <v>0.08704944717</v>
      </c>
      <c r="AM138" s="407">
        <f t="shared" si="22"/>
        <v>0.08704944717</v>
      </c>
      <c r="AN138" s="407">
        <f t="shared" si="22"/>
        <v>0.08704944717</v>
      </c>
      <c r="AO138" s="407">
        <f t="shared" si="22"/>
        <v>0.1050396801</v>
      </c>
      <c r="AP138" s="407">
        <f t="shared" si="22"/>
        <v>0.1118477864</v>
      </c>
      <c r="AQ138" s="407">
        <f t="shared" si="22"/>
        <v>0.142802694</v>
      </c>
      <c r="AR138" s="407">
        <f t="shared" si="22"/>
        <v>0.1112386121</v>
      </c>
      <c r="AS138" s="407">
        <f t="shared" si="22"/>
        <v>0.1180996188</v>
      </c>
      <c r="AT138" s="407">
        <f t="shared" si="22"/>
        <v>0.145406689</v>
      </c>
      <c r="AU138" s="407">
        <f t="shared" si="22"/>
        <v>0.09647296837</v>
      </c>
      <c r="AV138" s="407">
        <f t="shared" si="22"/>
        <v>0.1062263463</v>
      </c>
      <c r="AW138" s="409"/>
    </row>
    <row r="139">
      <c r="A139" s="122"/>
      <c r="B139" s="123"/>
      <c r="C139" s="445"/>
      <c r="D139" s="123"/>
      <c r="E139" s="124"/>
      <c r="F139" s="125"/>
      <c r="G139" s="482"/>
      <c r="H139" s="127"/>
      <c r="I139" s="128"/>
      <c r="J139" s="128"/>
      <c r="K139" s="128"/>
      <c r="L139" s="128"/>
      <c r="M139" s="128"/>
      <c r="N139" s="128"/>
      <c r="O139" s="128"/>
      <c r="P139" s="128"/>
      <c r="Q139" s="446"/>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30"/>
    </row>
    <row r="140">
      <c r="A140" s="123"/>
      <c r="B140" s="123"/>
      <c r="C140" s="131" t="s">
        <v>457</v>
      </c>
      <c r="F140" s="125"/>
      <c r="G140" s="482"/>
      <c r="H140" s="127"/>
      <c r="I140" s="128"/>
      <c r="J140" s="128"/>
      <c r="K140" s="128"/>
      <c r="L140" s="128"/>
      <c r="M140" s="128"/>
      <c r="N140" s="128"/>
      <c r="O140" s="128"/>
      <c r="P140" s="128"/>
      <c r="Q140" s="446"/>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30"/>
    </row>
    <row r="141">
      <c r="A141" s="123"/>
      <c r="B141" s="123"/>
      <c r="C141" s="450"/>
      <c r="D141" s="450"/>
      <c r="E141" s="254" t="s">
        <v>458</v>
      </c>
      <c r="F141" s="495" t="str">
        <f>'Disease burden'!F331</f>
        <v>%</v>
      </c>
      <c r="G141" s="452" t="s">
        <v>173</v>
      </c>
      <c r="H141" s="255">
        <f>'Disease burden'!H331</f>
        <v>0.05974696425</v>
      </c>
      <c r="I141" s="321" t="str">
        <f>'Disease burden'!I331</f>
        <v>-</v>
      </c>
      <c r="J141" s="321" t="str">
        <f>'Disease burden'!J331</f>
        <v>-</v>
      </c>
      <c r="K141" s="321" t="str">
        <f>'Disease burden'!K331</f>
        <v>-</v>
      </c>
      <c r="L141" s="321" t="str">
        <f>'Disease burden'!L331</f>
        <v>-</v>
      </c>
      <c r="M141" s="321" t="str">
        <f>'Disease burden'!M331</f>
        <v>-</v>
      </c>
      <c r="N141" s="321" t="str">
        <f>'Disease burden'!N331</f>
        <v>-</v>
      </c>
      <c r="O141" s="321" t="str">
        <f>'Disease burden'!O331</f>
        <v>-</v>
      </c>
      <c r="P141" s="321" t="str">
        <f>'Disease burden'!P331</f>
        <v>-</v>
      </c>
      <c r="Q141" s="484" t="str">
        <f>'Disease burden'!Q331</f>
        <v>-</v>
      </c>
      <c r="R141" s="321" t="str">
        <f>'Disease burden'!R331</f>
        <v>-</v>
      </c>
      <c r="S141" s="321" t="str">
        <f>'Disease burden'!S331</f>
        <v>-</v>
      </c>
      <c r="T141" s="321" t="str">
        <f>'Disease burden'!T331</f>
        <v>-</v>
      </c>
      <c r="U141" s="321" t="str">
        <f>'Disease burden'!U331</f>
        <v>-</v>
      </c>
      <c r="V141" s="321" t="str">
        <f>'Disease burden'!V331</f>
        <v>-</v>
      </c>
      <c r="W141" s="321" t="str">
        <f>'Disease burden'!W331</f>
        <v>-</v>
      </c>
      <c r="X141" s="321" t="str">
        <f>'Disease burden'!X331</f>
        <v>-</v>
      </c>
      <c r="Y141" s="321" t="str">
        <f>'Disease burden'!Y331</f>
        <v>-</v>
      </c>
      <c r="Z141" s="321" t="str">
        <f>'Disease burden'!Z331</f>
        <v>-</v>
      </c>
      <c r="AA141" s="321" t="str">
        <f>'Disease burden'!AA331</f>
        <v>-</v>
      </c>
      <c r="AB141" s="321" t="str">
        <f>'Disease burden'!AB331</f>
        <v>-</v>
      </c>
      <c r="AC141" s="321" t="str">
        <f>'Disease burden'!AC331</f>
        <v>-</v>
      </c>
      <c r="AD141" s="321" t="str">
        <f>'Disease burden'!AD331</f>
        <v>-</v>
      </c>
      <c r="AE141" s="321" t="str">
        <f>'Disease burden'!AE331</f>
        <v>-</v>
      </c>
      <c r="AF141" s="321" t="str">
        <f>'Disease burden'!AF331</f>
        <v>-</v>
      </c>
      <c r="AG141" s="321" t="str">
        <f>'Disease burden'!AG331</f>
        <v>-</v>
      </c>
      <c r="AH141" s="321" t="str">
        <f>'Disease burden'!AH331</f>
        <v>-</v>
      </c>
      <c r="AI141" s="321" t="str">
        <f>'Disease burden'!AI331</f>
        <v>-</v>
      </c>
      <c r="AJ141" s="321" t="str">
        <f>'Disease burden'!AJ331</f>
        <v>-</v>
      </c>
      <c r="AK141" s="321" t="str">
        <f>'Disease burden'!AK331</f>
        <v>-</v>
      </c>
      <c r="AL141" s="321" t="str">
        <f>'Disease burden'!AL331</f>
        <v>-</v>
      </c>
      <c r="AM141" s="321" t="str">
        <f>'Disease burden'!AM331</f>
        <v>-</v>
      </c>
      <c r="AN141" s="321" t="str">
        <f>'Disease burden'!AN331</f>
        <v>-</v>
      </c>
      <c r="AO141" s="321" t="str">
        <f>'Disease burden'!AO331</f>
        <v>-</v>
      </c>
      <c r="AP141" s="321" t="str">
        <f>'Disease burden'!AP331</f>
        <v>-</v>
      </c>
      <c r="AQ141" s="321" t="str">
        <f>'Disease burden'!AQ331</f>
        <v>-</v>
      </c>
      <c r="AR141" s="321" t="str">
        <f>'Disease burden'!AR331</f>
        <v>-</v>
      </c>
      <c r="AS141" s="321" t="str">
        <f>'Disease burden'!AS331</f>
        <v>-</v>
      </c>
      <c r="AT141" s="321" t="str">
        <f>'Disease burden'!AT331</f>
        <v>-</v>
      </c>
      <c r="AU141" s="321" t="str">
        <f>'Disease burden'!AU331</f>
        <v>-</v>
      </c>
      <c r="AV141" s="321" t="str">
        <f>'Disease burden'!AV331</f>
        <v>-</v>
      </c>
      <c r="AW141" s="256"/>
    </row>
    <row r="142">
      <c r="A142" s="123"/>
      <c r="B142" s="123"/>
      <c r="C142" s="450"/>
      <c r="D142" s="450"/>
      <c r="E142" s="257" t="s">
        <v>459</v>
      </c>
      <c r="F142" s="496" t="str">
        <f>'Disease burden'!F332</f>
        <v>%</v>
      </c>
      <c r="G142" s="455" t="s">
        <v>173</v>
      </c>
      <c r="H142" s="258">
        <f>'Disease burden'!H332</f>
        <v>0.2552824836</v>
      </c>
      <c r="I142" s="326" t="str">
        <f>'Disease burden'!I332</f>
        <v>-</v>
      </c>
      <c r="J142" s="326" t="str">
        <f>'Disease burden'!J332</f>
        <v>-</v>
      </c>
      <c r="K142" s="326" t="str">
        <f>'Disease burden'!K332</f>
        <v>-</v>
      </c>
      <c r="L142" s="321" t="str">
        <f>'Disease burden'!L332</f>
        <v>-</v>
      </c>
      <c r="M142" s="326" t="str">
        <f>'Disease burden'!M332</f>
        <v>-</v>
      </c>
      <c r="N142" s="326" t="str">
        <f>'Disease burden'!N332</f>
        <v>-</v>
      </c>
      <c r="O142" s="326" t="str">
        <f>'Disease burden'!O332</f>
        <v>-</v>
      </c>
      <c r="P142" s="326" t="str">
        <f>'Disease burden'!P332</f>
        <v>-</v>
      </c>
      <c r="Q142" s="486" t="str">
        <f>'Disease burden'!Q332</f>
        <v>-</v>
      </c>
      <c r="R142" s="326" t="str">
        <f>'Disease burden'!R332</f>
        <v>-</v>
      </c>
      <c r="S142" s="326" t="str">
        <f>'Disease burden'!S332</f>
        <v>-</v>
      </c>
      <c r="T142" s="326" t="str">
        <f>'Disease burden'!T332</f>
        <v>-</v>
      </c>
      <c r="U142" s="326" t="str">
        <f>'Disease burden'!U332</f>
        <v>-</v>
      </c>
      <c r="V142" s="326" t="str">
        <f>'Disease burden'!V332</f>
        <v>-</v>
      </c>
      <c r="W142" s="326" t="str">
        <f>'Disease burden'!W332</f>
        <v>-</v>
      </c>
      <c r="X142" s="326" t="str">
        <f>'Disease burden'!X332</f>
        <v>-</v>
      </c>
      <c r="Y142" s="326" t="str">
        <f>'Disease burden'!Y332</f>
        <v>-</v>
      </c>
      <c r="Z142" s="326" t="str">
        <f>'Disease burden'!Z332</f>
        <v>-</v>
      </c>
      <c r="AA142" s="326" t="str">
        <f>'Disease burden'!AA332</f>
        <v>-</v>
      </c>
      <c r="AB142" s="326" t="str">
        <f>'Disease burden'!AB332</f>
        <v>-</v>
      </c>
      <c r="AC142" s="326" t="str">
        <f>'Disease burden'!AC332</f>
        <v>-</v>
      </c>
      <c r="AD142" s="326" t="str">
        <f>'Disease burden'!AD332</f>
        <v>-</v>
      </c>
      <c r="AE142" s="326" t="str">
        <f>'Disease burden'!AE332</f>
        <v>-</v>
      </c>
      <c r="AF142" s="326" t="str">
        <f>'Disease burden'!AF332</f>
        <v>-</v>
      </c>
      <c r="AG142" s="326" t="str">
        <f>'Disease burden'!AG332</f>
        <v>-</v>
      </c>
      <c r="AH142" s="326" t="str">
        <f>'Disease burden'!AH332</f>
        <v>-</v>
      </c>
      <c r="AI142" s="326" t="str">
        <f>'Disease burden'!AI332</f>
        <v>-</v>
      </c>
      <c r="AJ142" s="326" t="str">
        <f>'Disease burden'!AJ332</f>
        <v>-</v>
      </c>
      <c r="AK142" s="326" t="str">
        <f>'Disease burden'!AK332</f>
        <v>-</v>
      </c>
      <c r="AL142" s="326" t="str">
        <f>'Disease burden'!AL332</f>
        <v>-</v>
      </c>
      <c r="AM142" s="321" t="str">
        <f>'Disease burden'!AM332</f>
        <v>-</v>
      </c>
      <c r="AN142" s="321" t="str">
        <f>'Disease burden'!AN332</f>
        <v>-</v>
      </c>
      <c r="AO142" s="326" t="str">
        <f>'Disease burden'!AO332</f>
        <v>-</v>
      </c>
      <c r="AP142" s="326" t="str">
        <f>'Disease burden'!AP332</f>
        <v>-</v>
      </c>
      <c r="AQ142" s="326" t="str">
        <f>'Disease burden'!AQ332</f>
        <v>-</v>
      </c>
      <c r="AR142" s="326" t="str">
        <f>'Disease burden'!AR332</f>
        <v>-</v>
      </c>
      <c r="AS142" s="326" t="str">
        <f>'Disease burden'!AS332</f>
        <v>-</v>
      </c>
      <c r="AT142" s="326" t="str">
        <f>'Disease burden'!AT332</f>
        <v>-</v>
      </c>
      <c r="AU142" s="326" t="str">
        <f>'Disease burden'!AU332</f>
        <v>-</v>
      </c>
      <c r="AV142" s="326" t="str">
        <f>'Disease burden'!AV332</f>
        <v>-</v>
      </c>
      <c r="AW142" s="259"/>
    </row>
    <row r="143">
      <c r="A143" s="123"/>
      <c r="B143" s="123"/>
      <c r="C143" s="450"/>
      <c r="D143" s="450"/>
      <c r="E143" s="257" t="s">
        <v>460</v>
      </c>
      <c r="F143" s="496" t="str">
        <f>'Disease burden'!F333</f>
        <v>%</v>
      </c>
      <c r="G143" s="455" t="s">
        <v>173</v>
      </c>
      <c r="H143" s="258">
        <f>'Disease burden'!H333</f>
        <v>0.2226932304</v>
      </c>
      <c r="I143" s="326" t="str">
        <f>'Disease burden'!I333</f>
        <v>-</v>
      </c>
      <c r="J143" s="326" t="str">
        <f>'Disease burden'!J333</f>
        <v>-</v>
      </c>
      <c r="K143" s="326" t="str">
        <f>'Disease burden'!K333</f>
        <v>-</v>
      </c>
      <c r="L143" s="321" t="str">
        <f>'Disease burden'!L333</f>
        <v>-</v>
      </c>
      <c r="M143" s="326" t="str">
        <f>'Disease burden'!M333</f>
        <v>-</v>
      </c>
      <c r="N143" s="326" t="str">
        <f>'Disease burden'!N333</f>
        <v>-</v>
      </c>
      <c r="O143" s="326" t="str">
        <f>'Disease burden'!O333</f>
        <v>-</v>
      </c>
      <c r="P143" s="326" t="str">
        <f>'Disease burden'!P333</f>
        <v>-</v>
      </c>
      <c r="Q143" s="486" t="str">
        <f>'Disease burden'!Q333</f>
        <v>-</v>
      </c>
      <c r="R143" s="326" t="str">
        <f>'Disease burden'!R333</f>
        <v>-</v>
      </c>
      <c r="S143" s="326" t="str">
        <f>'Disease burden'!S333</f>
        <v>-</v>
      </c>
      <c r="T143" s="326" t="str">
        <f>'Disease burden'!T333</f>
        <v>-</v>
      </c>
      <c r="U143" s="326" t="str">
        <f>'Disease burden'!U333</f>
        <v>-</v>
      </c>
      <c r="V143" s="326" t="str">
        <f>'Disease burden'!V333</f>
        <v>-</v>
      </c>
      <c r="W143" s="326" t="str">
        <f>'Disease burden'!W333</f>
        <v>-</v>
      </c>
      <c r="X143" s="326" t="str">
        <f>'Disease burden'!X333</f>
        <v>-</v>
      </c>
      <c r="Y143" s="326" t="str">
        <f>'Disease burden'!Y333</f>
        <v>-</v>
      </c>
      <c r="Z143" s="326" t="str">
        <f>'Disease burden'!Z333</f>
        <v>-</v>
      </c>
      <c r="AA143" s="326" t="str">
        <f>'Disease burden'!AA333</f>
        <v>-</v>
      </c>
      <c r="AB143" s="326" t="str">
        <f>'Disease burden'!AB333</f>
        <v>-</v>
      </c>
      <c r="AC143" s="326" t="str">
        <f>'Disease burden'!AC333</f>
        <v>-</v>
      </c>
      <c r="AD143" s="326" t="str">
        <f>'Disease burden'!AD333</f>
        <v>-</v>
      </c>
      <c r="AE143" s="326" t="str">
        <f>'Disease burden'!AE333</f>
        <v>-</v>
      </c>
      <c r="AF143" s="326" t="str">
        <f>'Disease burden'!AF333</f>
        <v>-</v>
      </c>
      <c r="AG143" s="326" t="str">
        <f>'Disease burden'!AG333</f>
        <v>-</v>
      </c>
      <c r="AH143" s="326" t="str">
        <f>'Disease burden'!AH333</f>
        <v>-</v>
      </c>
      <c r="AI143" s="326" t="str">
        <f>'Disease burden'!AI333</f>
        <v>-</v>
      </c>
      <c r="AJ143" s="326" t="str">
        <f>'Disease burden'!AJ333</f>
        <v>-</v>
      </c>
      <c r="AK143" s="326" t="str">
        <f>'Disease burden'!AK333</f>
        <v>-</v>
      </c>
      <c r="AL143" s="326" t="str">
        <f>'Disease burden'!AL333</f>
        <v>-</v>
      </c>
      <c r="AM143" s="321" t="str">
        <f>'Disease burden'!AM333</f>
        <v>-</v>
      </c>
      <c r="AN143" s="321" t="str">
        <f>'Disease burden'!AN333</f>
        <v>-</v>
      </c>
      <c r="AO143" s="326" t="str">
        <f>'Disease burden'!AO333</f>
        <v>-</v>
      </c>
      <c r="AP143" s="326" t="str">
        <f>'Disease burden'!AP333</f>
        <v>-</v>
      </c>
      <c r="AQ143" s="326" t="str">
        <f>'Disease burden'!AQ333</f>
        <v>-</v>
      </c>
      <c r="AR143" s="326" t="str">
        <f>'Disease burden'!AR333</f>
        <v>-</v>
      </c>
      <c r="AS143" s="326" t="str">
        <f>'Disease burden'!AS333</f>
        <v>-</v>
      </c>
      <c r="AT143" s="326" t="str">
        <f>'Disease burden'!AT333</f>
        <v>-</v>
      </c>
      <c r="AU143" s="326" t="str">
        <f>'Disease burden'!AU333</f>
        <v>-</v>
      </c>
      <c r="AV143" s="326" t="str">
        <f>'Disease burden'!AV333</f>
        <v>-</v>
      </c>
      <c r="AW143" s="259"/>
    </row>
    <row r="144">
      <c r="A144" s="123"/>
      <c r="B144" s="123"/>
      <c r="C144" s="450"/>
      <c r="D144" s="450"/>
      <c r="E144" s="257" t="s">
        <v>461</v>
      </c>
      <c r="F144" s="496" t="str">
        <f>'Disease burden'!F334</f>
        <v>%</v>
      </c>
      <c r="G144" s="455" t="s">
        <v>173</v>
      </c>
      <c r="H144" s="258">
        <f>'Disease burden'!H334</f>
        <v>0.1289991274</v>
      </c>
      <c r="I144" s="326" t="str">
        <f>'Disease burden'!I334</f>
        <v>-</v>
      </c>
      <c r="J144" s="326" t="str">
        <f>'Disease burden'!J334</f>
        <v>-</v>
      </c>
      <c r="K144" s="326" t="str">
        <f>'Disease burden'!K334</f>
        <v>-</v>
      </c>
      <c r="L144" s="321" t="str">
        <f>'Disease burden'!L334</f>
        <v>-</v>
      </c>
      <c r="M144" s="326" t="str">
        <f>'Disease burden'!M334</f>
        <v>-</v>
      </c>
      <c r="N144" s="326" t="str">
        <f>'Disease burden'!N334</f>
        <v>-</v>
      </c>
      <c r="O144" s="326" t="str">
        <f>'Disease burden'!O334</f>
        <v>-</v>
      </c>
      <c r="P144" s="326" t="str">
        <f>'Disease burden'!P334</f>
        <v>-</v>
      </c>
      <c r="Q144" s="486" t="str">
        <f>'Disease burden'!Q334</f>
        <v>-</v>
      </c>
      <c r="R144" s="326" t="str">
        <f>'Disease burden'!R334</f>
        <v>-</v>
      </c>
      <c r="S144" s="326" t="str">
        <f>'Disease burden'!S334</f>
        <v>-</v>
      </c>
      <c r="T144" s="326" t="str">
        <f>'Disease burden'!T334</f>
        <v>-</v>
      </c>
      <c r="U144" s="326" t="str">
        <f>'Disease burden'!U334</f>
        <v>-</v>
      </c>
      <c r="V144" s="326" t="str">
        <f>'Disease burden'!V334</f>
        <v>-</v>
      </c>
      <c r="W144" s="326" t="str">
        <f>'Disease burden'!W334</f>
        <v>-</v>
      </c>
      <c r="X144" s="326" t="str">
        <f>'Disease burden'!X334</f>
        <v>-</v>
      </c>
      <c r="Y144" s="326" t="str">
        <f>'Disease burden'!Y334</f>
        <v>-</v>
      </c>
      <c r="Z144" s="326" t="str">
        <f>'Disease burden'!Z334</f>
        <v>-</v>
      </c>
      <c r="AA144" s="326" t="str">
        <f>'Disease burden'!AA334</f>
        <v>-</v>
      </c>
      <c r="AB144" s="326" t="str">
        <f>'Disease burden'!AB334</f>
        <v>-</v>
      </c>
      <c r="AC144" s="326" t="str">
        <f>'Disease burden'!AC334</f>
        <v>-</v>
      </c>
      <c r="AD144" s="326" t="str">
        <f>'Disease burden'!AD334</f>
        <v>-</v>
      </c>
      <c r="AE144" s="326" t="str">
        <f>'Disease burden'!AE334</f>
        <v>-</v>
      </c>
      <c r="AF144" s="326" t="str">
        <f>'Disease burden'!AF334</f>
        <v>-</v>
      </c>
      <c r="AG144" s="326" t="str">
        <f>'Disease burden'!AG334</f>
        <v>-</v>
      </c>
      <c r="AH144" s="326" t="str">
        <f>'Disease burden'!AH334</f>
        <v>-</v>
      </c>
      <c r="AI144" s="326" t="str">
        <f>'Disease burden'!AI334</f>
        <v>-</v>
      </c>
      <c r="AJ144" s="326" t="str">
        <f>'Disease burden'!AJ334</f>
        <v>-</v>
      </c>
      <c r="AK144" s="326" t="str">
        <f>'Disease burden'!AK334</f>
        <v>-</v>
      </c>
      <c r="AL144" s="326" t="str">
        <f>'Disease burden'!AL334</f>
        <v>-</v>
      </c>
      <c r="AM144" s="321" t="str">
        <f>'Disease burden'!AM334</f>
        <v>-</v>
      </c>
      <c r="AN144" s="321" t="str">
        <f>'Disease burden'!AN334</f>
        <v>-</v>
      </c>
      <c r="AO144" s="326" t="str">
        <f>'Disease burden'!AO334</f>
        <v>-</v>
      </c>
      <c r="AP144" s="326" t="str">
        <f>'Disease burden'!AP334</f>
        <v>-</v>
      </c>
      <c r="AQ144" s="326" t="str">
        <f>'Disease burden'!AQ334</f>
        <v>-</v>
      </c>
      <c r="AR144" s="326" t="str">
        <f>'Disease burden'!AR334</f>
        <v>-</v>
      </c>
      <c r="AS144" s="326" t="str">
        <f>'Disease burden'!AS334</f>
        <v>-</v>
      </c>
      <c r="AT144" s="326" t="str">
        <f>'Disease burden'!AT334</f>
        <v>-</v>
      </c>
      <c r="AU144" s="326" t="str">
        <f>'Disease burden'!AU334</f>
        <v>-</v>
      </c>
      <c r="AV144" s="326" t="str">
        <f>'Disease burden'!AV334</f>
        <v>-</v>
      </c>
      <c r="AW144" s="259"/>
    </row>
    <row r="145">
      <c r="A145" s="123"/>
      <c r="B145" s="123"/>
      <c r="C145" s="450"/>
      <c r="D145" s="450"/>
      <c r="E145" s="257" t="s">
        <v>462</v>
      </c>
      <c r="F145" s="496" t="str">
        <f>'Disease burden'!F335</f>
        <v>%</v>
      </c>
      <c r="G145" s="455" t="s">
        <v>173</v>
      </c>
      <c r="H145" s="258">
        <f>'Disease burden'!H335</f>
        <v>0.1249254707</v>
      </c>
      <c r="I145" s="326" t="str">
        <f>'Disease burden'!I335</f>
        <v>-</v>
      </c>
      <c r="J145" s="326" t="str">
        <f>'Disease burden'!J335</f>
        <v>-</v>
      </c>
      <c r="K145" s="326" t="str">
        <f>'Disease burden'!K335</f>
        <v>-</v>
      </c>
      <c r="L145" s="321" t="str">
        <f>'Disease burden'!L335</f>
        <v>-</v>
      </c>
      <c r="M145" s="326" t="str">
        <f>'Disease burden'!M335</f>
        <v>-</v>
      </c>
      <c r="N145" s="326" t="str">
        <f>'Disease burden'!N335</f>
        <v>-</v>
      </c>
      <c r="O145" s="326" t="str">
        <f>'Disease burden'!O335</f>
        <v>-</v>
      </c>
      <c r="P145" s="326" t="str">
        <f>'Disease burden'!P335</f>
        <v>-</v>
      </c>
      <c r="Q145" s="486" t="str">
        <f>'Disease burden'!Q335</f>
        <v>-</v>
      </c>
      <c r="R145" s="326" t="str">
        <f>'Disease burden'!R335</f>
        <v>-</v>
      </c>
      <c r="S145" s="326" t="str">
        <f>'Disease burden'!S335</f>
        <v>-</v>
      </c>
      <c r="T145" s="326" t="str">
        <f>'Disease burden'!T335</f>
        <v>-</v>
      </c>
      <c r="U145" s="326" t="str">
        <f>'Disease burden'!U335</f>
        <v>-</v>
      </c>
      <c r="V145" s="326" t="str">
        <f>'Disease burden'!V335</f>
        <v>-</v>
      </c>
      <c r="W145" s="326" t="str">
        <f>'Disease burden'!W335</f>
        <v>-</v>
      </c>
      <c r="X145" s="326" t="str">
        <f>'Disease burden'!X335</f>
        <v>-</v>
      </c>
      <c r="Y145" s="326" t="str">
        <f>'Disease burden'!Y335</f>
        <v>-</v>
      </c>
      <c r="Z145" s="326" t="str">
        <f>'Disease burden'!Z335</f>
        <v>-</v>
      </c>
      <c r="AA145" s="326" t="str">
        <f>'Disease burden'!AA335</f>
        <v>-</v>
      </c>
      <c r="AB145" s="326" t="str">
        <f>'Disease burden'!AB335</f>
        <v>-</v>
      </c>
      <c r="AC145" s="326" t="str">
        <f>'Disease burden'!AC335</f>
        <v>-</v>
      </c>
      <c r="AD145" s="326" t="str">
        <f>'Disease burden'!AD335</f>
        <v>-</v>
      </c>
      <c r="AE145" s="326" t="str">
        <f>'Disease burden'!AE335</f>
        <v>-</v>
      </c>
      <c r="AF145" s="326" t="str">
        <f>'Disease burden'!AF335</f>
        <v>-</v>
      </c>
      <c r="AG145" s="326" t="str">
        <f>'Disease burden'!AG335</f>
        <v>-</v>
      </c>
      <c r="AH145" s="326" t="str">
        <f>'Disease burden'!AH335</f>
        <v>-</v>
      </c>
      <c r="AI145" s="326" t="str">
        <f>'Disease burden'!AI335</f>
        <v>-</v>
      </c>
      <c r="AJ145" s="326" t="str">
        <f>'Disease burden'!AJ335</f>
        <v>-</v>
      </c>
      <c r="AK145" s="326" t="str">
        <f>'Disease burden'!AK335</f>
        <v>-</v>
      </c>
      <c r="AL145" s="326" t="str">
        <f>'Disease burden'!AL335</f>
        <v>-</v>
      </c>
      <c r="AM145" s="321" t="str">
        <f>'Disease burden'!AM335</f>
        <v>-</v>
      </c>
      <c r="AN145" s="321" t="str">
        <f>'Disease burden'!AN335</f>
        <v>-</v>
      </c>
      <c r="AO145" s="326" t="str">
        <f>'Disease burden'!AO335</f>
        <v>-</v>
      </c>
      <c r="AP145" s="326" t="str">
        <f>'Disease burden'!AP335</f>
        <v>-</v>
      </c>
      <c r="AQ145" s="326" t="str">
        <f>'Disease burden'!AQ335</f>
        <v>-</v>
      </c>
      <c r="AR145" s="326" t="str">
        <f>'Disease burden'!AR335</f>
        <v>-</v>
      </c>
      <c r="AS145" s="326" t="str">
        <f>'Disease burden'!AS335</f>
        <v>-</v>
      </c>
      <c r="AT145" s="326" t="str">
        <f>'Disease burden'!AT335</f>
        <v>-</v>
      </c>
      <c r="AU145" s="326" t="str">
        <f>'Disease burden'!AU335</f>
        <v>-</v>
      </c>
      <c r="AV145" s="326" t="str">
        <f>'Disease burden'!AV335</f>
        <v>-</v>
      </c>
      <c r="AW145" s="259"/>
    </row>
    <row r="146">
      <c r="A146" s="123"/>
      <c r="B146" s="123"/>
      <c r="C146" s="450"/>
      <c r="D146" s="450"/>
      <c r="E146" s="272" t="s">
        <v>463</v>
      </c>
      <c r="F146" s="497" t="str">
        <f>'Disease burden'!F336</f>
        <v>%</v>
      </c>
      <c r="G146" s="461" t="s">
        <v>173</v>
      </c>
      <c r="H146" s="498">
        <f>'Disease burden'!H336</f>
        <v>0.2311556902</v>
      </c>
      <c r="I146" s="499" t="str">
        <f>'Disease burden'!I336</f>
        <v>-</v>
      </c>
      <c r="J146" s="499" t="str">
        <f>'Disease burden'!J336</f>
        <v>-</v>
      </c>
      <c r="K146" s="499" t="str">
        <f>'Disease burden'!K336</f>
        <v>-</v>
      </c>
      <c r="L146" s="499" t="str">
        <f>'Disease burden'!L336</f>
        <v>-</v>
      </c>
      <c r="M146" s="499" t="str">
        <f>'Disease burden'!M336</f>
        <v>-</v>
      </c>
      <c r="N146" s="499" t="str">
        <f>'Disease burden'!N336</f>
        <v>-</v>
      </c>
      <c r="O146" s="499" t="str">
        <f>'Disease burden'!O336</f>
        <v>-</v>
      </c>
      <c r="P146" s="499" t="str">
        <f>'Disease burden'!P336</f>
        <v>-</v>
      </c>
      <c r="Q146" s="500" t="str">
        <f>'Disease burden'!Q336</f>
        <v>-</v>
      </c>
      <c r="R146" s="499" t="str">
        <f>'Disease burden'!R336</f>
        <v>-</v>
      </c>
      <c r="S146" s="499" t="str">
        <f>'Disease burden'!S336</f>
        <v>-</v>
      </c>
      <c r="T146" s="499" t="str">
        <f>'Disease burden'!T336</f>
        <v>-</v>
      </c>
      <c r="U146" s="499" t="str">
        <f>'Disease burden'!U336</f>
        <v>-</v>
      </c>
      <c r="V146" s="499" t="str">
        <f>'Disease burden'!V336</f>
        <v>-</v>
      </c>
      <c r="W146" s="499" t="str">
        <f>'Disease burden'!W336</f>
        <v>-</v>
      </c>
      <c r="X146" s="499" t="str">
        <f>'Disease burden'!X336</f>
        <v>-</v>
      </c>
      <c r="Y146" s="499" t="str">
        <f>'Disease burden'!Y336</f>
        <v>-</v>
      </c>
      <c r="Z146" s="499" t="str">
        <f>'Disease burden'!Z336</f>
        <v>-</v>
      </c>
      <c r="AA146" s="499" t="str">
        <f>'Disease burden'!AA336</f>
        <v>-</v>
      </c>
      <c r="AB146" s="499" t="str">
        <f>'Disease burden'!AB336</f>
        <v>-</v>
      </c>
      <c r="AC146" s="499" t="str">
        <f>'Disease burden'!AC336</f>
        <v>-</v>
      </c>
      <c r="AD146" s="499" t="str">
        <f>'Disease burden'!AD336</f>
        <v>-</v>
      </c>
      <c r="AE146" s="499" t="str">
        <f>'Disease burden'!AE336</f>
        <v>-</v>
      </c>
      <c r="AF146" s="499" t="str">
        <f>'Disease burden'!AF336</f>
        <v>-</v>
      </c>
      <c r="AG146" s="499" t="str">
        <f>'Disease burden'!AG336</f>
        <v>-</v>
      </c>
      <c r="AH146" s="499" t="str">
        <f>'Disease burden'!AH336</f>
        <v>-</v>
      </c>
      <c r="AI146" s="499" t="str">
        <f>'Disease burden'!AI336</f>
        <v>-</v>
      </c>
      <c r="AJ146" s="499" t="str">
        <f>'Disease burden'!AJ336</f>
        <v>-</v>
      </c>
      <c r="AK146" s="499" t="str">
        <f>'Disease burden'!AK336</f>
        <v>-</v>
      </c>
      <c r="AL146" s="499" t="str">
        <f>'Disease burden'!AL336</f>
        <v>-</v>
      </c>
      <c r="AM146" s="499" t="str">
        <f>'Disease burden'!AM336</f>
        <v>-</v>
      </c>
      <c r="AN146" s="499" t="str">
        <f>'Disease burden'!AN336</f>
        <v>-</v>
      </c>
      <c r="AO146" s="499" t="str">
        <f>'Disease burden'!AO336</f>
        <v>-</v>
      </c>
      <c r="AP146" s="499" t="str">
        <f>'Disease burden'!AP336</f>
        <v>-</v>
      </c>
      <c r="AQ146" s="499" t="str">
        <f>'Disease burden'!AQ336</f>
        <v>-</v>
      </c>
      <c r="AR146" s="499" t="str">
        <f>'Disease burden'!AR336</f>
        <v>-</v>
      </c>
      <c r="AS146" s="499" t="str">
        <f>'Disease burden'!AS336</f>
        <v>-</v>
      </c>
      <c r="AT146" s="499" t="str">
        <f>'Disease burden'!AT336</f>
        <v>-</v>
      </c>
      <c r="AU146" s="499" t="str">
        <f>'Disease burden'!AU336</f>
        <v>-</v>
      </c>
      <c r="AV146" s="499" t="str">
        <f>'Disease burden'!AV336</f>
        <v>-</v>
      </c>
      <c r="AW146" s="274"/>
    </row>
    <row r="147">
      <c r="A147" s="123"/>
      <c r="B147" s="123"/>
      <c r="C147" s="450"/>
      <c r="D147" s="450"/>
      <c r="E147" s="275"/>
      <c r="F147" s="125"/>
      <c r="G147" s="482"/>
      <c r="H147" s="127"/>
      <c r="I147" s="128"/>
      <c r="J147" s="128"/>
      <c r="K147" s="128"/>
      <c r="L147" s="128"/>
      <c r="M147" s="128"/>
      <c r="N147" s="128"/>
      <c r="O147" s="128"/>
      <c r="P147" s="128"/>
      <c r="Q147" s="446"/>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30"/>
    </row>
    <row r="148">
      <c r="A148" s="123"/>
      <c r="B148" s="123"/>
      <c r="C148" s="450" t="s">
        <v>464</v>
      </c>
      <c r="F148" s="125"/>
      <c r="G148" s="482"/>
      <c r="H148" s="127"/>
      <c r="I148" s="128"/>
      <c r="J148" s="128"/>
      <c r="K148" s="128"/>
      <c r="L148" s="128"/>
      <c r="M148" s="128"/>
      <c r="N148" s="128"/>
      <c r="O148" s="128"/>
      <c r="P148" s="128"/>
      <c r="Q148" s="446"/>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450"/>
      <c r="D149" s="131"/>
      <c r="E149" s="254" t="s">
        <v>465</v>
      </c>
      <c r="F149" s="193" t="str">
        <f>'Disease burden'!F348</f>
        <v>%</v>
      </c>
      <c r="G149" s="483" t="s">
        <v>173</v>
      </c>
      <c r="H149" s="389" t="str">
        <f>'Disease burden'!H348</f>
        <v>-</v>
      </c>
      <c r="I149" s="383">
        <f>'Disease burden'!I348</f>
        <v>0.6484807934</v>
      </c>
      <c r="J149" s="383">
        <f>'Disease burden'!J348</f>
        <v>0.5741202861</v>
      </c>
      <c r="K149" s="383">
        <f>'Disease burden'!K348</f>
        <v>0.6983962849</v>
      </c>
      <c r="L149" s="383">
        <f>'Disease burden'!L348</f>
        <v>0.5888749418</v>
      </c>
      <c r="M149" s="383">
        <f>'Disease burden'!M348</f>
        <v>0.616336589</v>
      </c>
      <c r="N149" s="383">
        <f>'Disease burden'!N348</f>
        <v>0.6658877059</v>
      </c>
      <c r="O149" s="383">
        <f>'Disease burden'!O348</f>
        <v>0.6592610227</v>
      </c>
      <c r="P149" s="383">
        <f>'Disease burden'!P348</f>
        <v>0.6788869936</v>
      </c>
      <c r="Q149" s="453">
        <f>'Disease burden'!Q348</f>
        <v>0.6729680023</v>
      </c>
      <c r="R149" s="383">
        <f>'Disease burden'!R348</f>
        <v>0.5619877403</v>
      </c>
      <c r="S149" s="383">
        <f>'Disease burden'!S348</f>
        <v>0.5521934349</v>
      </c>
      <c r="T149" s="383">
        <f>'Disease burden'!T348</f>
        <v>0.5397369389</v>
      </c>
      <c r="U149" s="383">
        <f>'Disease burden'!U348</f>
        <v>0.5602926842</v>
      </c>
      <c r="V149" s="383">
        <f>'Disease burden'!V348</f>
        <v>0.4959549679</v>
      </c>
      <c r="W149" s="383">
        <f>'Disease burden'!W348</f>
        <v>0.5416099089</v>
      </c>
      <c r="X149" s="383">
        <f>'Disease burden'!X348</f>
        <v>0.5621207033</v>
      </c>
      <c r="Y149" s="383">
        <f>'Disease burden'!Y348</f>
        <v>0.425677266</v>
      </c>
      <c r="Z149" s="383">
        <f>'Disease burden'!Z348</f>
        <v>0.5487824041</v>
      </c>
      <c r="AA149" s="383">
        <f>'Disease burden'!AA348</f>
        <v>0.5527638258</v>
      </c>
      <c r="AB149" s="383">
        <f>'Disease burden'!AB348</f>
        <v>0.5535168814</v>
      </c>
      <c r="AC149" s="383">
        <f>'Disease burden'!AC348</f>
        <v>0.5464383983</v>
      </c>
      <c r="AD149" s="383">
        <f>'Disease burden'!AD348</f>
        <v>0.549801914</v>
      </c>
      <c r="AE149" s="383">
        <f>'Disease burden'!AE348</f>
        <v>0.5854772679</v>
      </c>
      <c r="AF149" s="383">
        <f>'Disease burden'!AF348</f>
        <v>0.5706411699</v>
      </c>
      <c r="AG149" s="383">
        <f>'Disease burden'!AG348</f>
        <v>0.5888749418</v>
      </c>
      <c r="AH149" s="383">
        <f>'Disease burden'!AH348</f>
        <v>0.5335195203</v>
      </c>
      <c r="AI149" s="383">
        <f>'Disease burden'!AI348</f>
        <v>0.5498201871</v>
      </c>
      <c r="AJ149" s="383">
        <f>'Disease burden'!AJ348</f>
        <v>0.533351767</v>
      </c>
      <c r="AK149" s="383">
        <f>'Disease burden'!AK348</f>
        <v>0.570472039</v>
      </c>
      <c r="AL149" s="383">
        <f>'Disease burden'!AL348</f>
        <v>0.5818495935</v>
      </c>
      <c r="AM149" s="383">
        <f>'Disease burden'!AM348</f>
        <v>0.5818495935</v>
      </c>
      <c r="AN149" s="383">
        <f>'Disease burden'!AN348</f>
        <v>0.5818495935</v>
      </c>
      <c r="AO149" s="383">
        <f>'Disease burden'!AO348</f>
        <v>0.5764118511</v>
      </c>
      <c r="AP149" s="383">
        <f>'Disease burden'!AP348</f>
        <v>0.540463052</v>
      </c>
      <c r="AQ149" s="383">
        <f>'Disease burden'!AQ348</f>
        <v>0.5607125482</v>
      </c>
      <c r="AR149" s="383">
        <f>'Disease burden'!AR348</f>
        <v>0.46853024</v>
      </c>
      <c r="AS149" s="383">
        <f>'Disease burden'!AS348</f>
        <v>0.5532387855</v>
      </c>
      <c r="AT149" s="383">
        <f>'Disease burden'!AT348</f>
        <v>0.5532950158</v>
      </c>
      <c r="AU149" s="383">
        <f>'Disease burden'!AU348</f>
        <v>0.5645858718</v>
      </c>
      <c r="AV149" s="383">
        <f>'Disease burden'!AV348</f>
        <v>0.6498002029</v>
      </c>
      <c r="AW149" s="256"/>
    </row>
    <row r="150">
      <c r="A150" s="122"/>
      <c r="B150" s="123"/>
      <c r="C150" s="450"/>
      <c r="D150" s="131"/>
      <c r="E150" s="257" t="s">
        <v>466</v>
      </c>
      <c r="F150" s="213" t="str">
        <f>'Disease burden'!F349</f>
        <v>%</v>
      </c>
      <c r="G150" s="485" t="s">
        <v>173</v>
      </c>
      <c r="H150" s="243" t="str">
        <f>'Disease burden'!H349</f>
        <v>-</v>
      </c>
      <c r="I150" s="241">
        <f>'Disease burden'!I349</f>
        <v>0.004936332876</v>
      </c>
      <c r="J150" s="241">
        <f>'Disease burden'!J349</f>
        <v>0.007858899977</v>
      </c>
      <c r="K150" s="241">
        <f>'Disease burden'!K349</f>
        <v>0.004979607105</v>
      </c>
      <c r="L150" s="383">
        <f>'Disease burden'!L349</f>
        <v>0.008344844257</v>
      </c>
      <c r="M150" s="241">
        <f>'Disease burden'!M349</f>
        <v>0.005918172892</v>
      </c>
      <c r="N150" s="241">
        <f>'Disease burden'!N349</f>
        <v>0.004997675266</v>
      </c>
      <c r="O150" s="241">
        <f>'Disease burden'!O349</f>
        <v>0.006899146421</v>
      </c>
      <c r="P150" s="241">
        <f>'Disease burden'!P349</f>
        <v>0.008137976777</v>
      </c>
      <c r="Q150" s="456">
        <f>'Disease burden'!Q349</f>
        <v>0.007007167545</v>
      </c>
      <c r="R150" s="241">
        <f>'Disease burden'!R349</f>
        <v>0.004997271646</v>
      </c>
      <c r="S150" s="241">
        <f>'Disease burden'!S349</f>
        <v>0.00493243292</v>
      </c>
      <c r="T150" s="241">
        <f>'Disease burden'!T349</f>
        <v>0.004580118068</v>
      </c>
      <c r="U150" s="241">
        <f>'Disease burden'!U349</f>
        <v>0.00404185405</v>
      </c>
      <c r="V150" s="241">
        <f>'Disease burden'!V349</f>
        <v>0.005546515087</v>
      </c>
      <c r="W150" s="241">
        <f>'Disease burden'!W349</f>
        <v>0.003432782744</v>
      </c>
      <c r="X150" s="241">
        <f>'Disease burden'!X349</f>
        <v>0.004158971778</v>
      </c>
      <c r="Y150" s="241">
        <f>'Disease burden'!Y349</f>
        <v>0.003380004992</v>
      </c>
      <c r="Z150" s="241">
        <f>'Disease burden'!Z349</f>
        <v>0.004585524303</v>
      </c>
      <c r="AA150" s="241">
        <f>'Disease burden'!AA349</f>
        <v>0.004759621768</v>
      </c>
      <c r="AB150" s="241">
        <f>'Disease burden'!AB349</f>
        <v>0.004980756819</v>
      </c>
      <c r="AC150" s="241">
        <f>'Disease burden'!AC349</f>
        <v>0.004542024941</v>
      </c>
      <c r="AD150" s="241">
        <f>'Disease burden'!AD349</f>
        <v>0.004505110458</v>
      </c>
      <c r="AE150" s="241">
        <f>'Disease burden'!AE349</f>
        <v>0.004861055286</v>
      </c>
      <c r="AF150" s="241">
        <f>'Disease burden'!AF349</f>
        <v>0.004644480472</v>
      </c>
      <c r="AG150" s="241">
        <f>'Disease burden'!AG349</f>
        <v>0.008344844257</v>
      </c>
      <c r="AH150" s="241">
        <f>'Disease burden'!AH349</f>
        <v>0.006369018036</v>
      </c>
      <c r="AI150" s="241">
        <f>'Disease burden'!AI349</f>
        <v>0.005339461582</v>
      </c>
      <c r="AJ150" s="241">
        <f>'Disease burden'!AJ349</f>
        <v>0.003881757445</v>
      </c>
      <c r="AK150" s="241">
        <f>'Disease burden'!AK349</f>
        <v>0.0051471387</v>
      </c>
      <c r="AL150" s="241">
        <f>'Disease burden'!AL349</f>
        <v>0.006241792692</v>
      </c>
      <c r="AM150" s="241">
        <f>'Disease burden'!AM349</f>
        <v>0.006241792692</v>
      </c>
      <c r="AN150" s="241">
        <f>'Disease burden'!AN349</f>
        <v>0.006241792692</v>
      </c>
      <c r="AO150" s="241">
        <f>'Disease burden'!AO349</f>
        <v>0.005422503838</v>
      </c>
      <c r="AP150" s="241">
        <f>'Disease burden'!AP349</f>
        <v>0.004371906354</v>
      </c>
      <c r="AQ150" s="241">
        <f>'Disease burden'!AQ349</f>
        <v>0.004222110818</v>
      </c>
      <c r="AR150" s="241">
        <f>'Disease burden'!AR349</f>
        <v>0.006626775656</v>
      </c>
      <c r="AS150" s="241">
        <f>'Disease burden'!AS349</f>
        <v>0.004057732424</v>
      </c>
      <c r="AT150" s="241">
        <f>'Disease burden'!AT349</f>
        <v>0.004973399825</v>
      </c>
      <c r="AU150" s="241">
        <f>'Disease burden'!AU349</f>
        <v>0.006268197448</v>
      </c>
      <c r="AV150" s="241">
        <f>'Disease burden'!AV349</f>
        <v>0.004971159466</v>
      </c>
      <c r="AW150" s="259"/>
    </row>
    <row r="151">
      <c r="A151" s="122"/>
      <c r="B151" s="123"/>
      <c r="C151" s="450"/>
      <c r="D151" s="131"/>
      <c r="E151" s="257" t="s">
        <v>467</v>
      </c>
      <c r="F151" s="213" t="str">
        <f>'Disease burden'!F350</f>
        <v>%</v>
      </c>
      <c r="G151" s="485" t="s">
        <v>173</v>
      </c>
      <c r="H151" s="243" t="str">
        <f>'Disease burden'!H350</f>
        <v>-</v>
      </c>
      <c r="I151" s="241">
        <f>'Disease burden'!I350</f>
        <v>0.01048291152</v>
      </c>
      <c r="J151" s="241">
        <f>'Disease burden'!J350</f>
        <v>0.0148906908</v>
      </c>
      <c r="K151" s="241">
        <f>'Disease burden'!K350</f>
        <v>0.01100469059</v>
      </c>
      <c r="L151" s="383">
        <f>'Disease burden'!L350</f>
        <v>0.01878634864</v>
      </c>
      <c r="M151" s="241">
        <f>'Disease burden'!M350</f>
        <v>0.0154630956</v>
      </c>
      <c r="N151" s="241">
        <f>'Disease burden'!N350</f>
        <v>0.01095104458</v>
      </c>
      <c r="O151" s="241">
        <f>'Disease burden'!O350</f>
        <v>0.01065232308</v>
      </c>
      <c r="P151" s="241">
        <f>'Disease burden'!P350</f>
        <v>0.01003542744</v>
      </c>
      <c r="Q151" s="456">
        <f>'Disease burden'!Q350</f>
        <v>0.010381163</v>
      </c>
      <c r="R151" s="241">
        <f>'Disease burden'!R350</f>
        <v>0.02266573254</v>
      </c>
      <c r="S151" s="241">
        <f>'Disease burden'!S350</f>
        <v>0.01825772284</v>
      </c>
      <c r="T151" s="241">
        <f>'Disease burden'!T350</f>
        <v>0.02332393463</v>
      </c>
      <c r="U151" s="241">
        <f>'Disease burden'!U350</f>
        <v>0.02374787424</v>
      </c>
      <c r="V151" s="241">
        <f>'Disease burden'!V350</f>
        <v>0.02128749315</v>
      </c>
      <c r="W151" s="241">
        <f>'Disease burden'!W350</f>
        <v>0.01813964054</v>
      </c>
      <c r="X151" s="241">
        <f>'Disease burden'!X350</f>
        <v>0.01618382115</v>
      </c>
      <c r="Y151" s="241">
        <f>'Disease burden'!Y350</f>
        <v>0.02971842894</v>
      </c>
      <c r="Z151" s="241">
        <f>'Disease burden'!Z350</f>
        <v>0.02338947753</v>
      </c>
      <c r="AA151" s="241">
        <f>'Disease burden'!AA350</f>
        <v>0.01990504515</v>
      </c>
      <c r="AB151" s="241">
        <f>'Disease burden'!AB350</f>
        <v>0.02340980218</v>
      </c>
      <c r="AC151" s="241">
        <f>'Disease burden'!AC350</f>
        <v>0.02321899444</v>
      </c>
      <c r="AD151" s="241">
        <f>'Disease burden'!AD350</f>
        <v>0.02224806284</v>
      </c>
      <c r="AE151" s="241">
        <f>'Disease burden'!AE350</f>
        <v>0.02204693044</v>
      </c>
      <c r="AF151" s="241">
        <f>'Disease burden'!AF350</f>
        <v>0.02311863934</v>
      </c>
      <c r="AG151" s="241">
        <f>'Disease burden'!AG350</f>
        <v>0.01878634864</v>
      </c>
      <c r="AH151" s="241">
        <f>'Disease burden'!AH350</f>
        <v>0.02189488541</v>
      </c>
      <c r="AI151" s="241">
        <f>'Disease burden'!AI350</f>
        <v>0.02157465391</v>
      </c>
      <c r="AJ151" s="241">
        <f>'Disease burden'!AJ350</f>
        <v>0.02686694986</v>
      </c>
      <c r="AK151" s="241">
        <f>'Disease burden'!AK350</f>
        <v>0.01886906712</v>
      </c>
      <c r="AL151" s="241">
        <f>'Disease burden'!AL350</f>
        <v>0.01583654248</v>
      </c>
      <c r="AM151" s="241">
        <f>'Disease burden'!AM350</f>
        <v>0.01583654248</v>
      </c>
      <c r="AN151" s="241">
        <f>'Disease burden'!AN350</f>
        <v>0.01583654248</v>
      </c>
      <c r="AO151" s="241">
        <f>'Disease burden'!AO350</f>
        <v>0.02141941979</v>
      </c>
      <c r="AP151" s="241">
        <f>'Disease burden'!AP350</f>
        <v>0.02218733805</v>
      </c>
      <c r="AQ151" s="241">
        <f>'Disease burden'!AQ350</f>
        <v>0.02287650507</v>
      </c>
      <c r="AR151" s="241">
        <f>'Disease burden'!AR350</f>
        <v>0.02516540486</v>
      </c>
      <c r="AS151" s="241">
        <f>'Disease burden'!AS350</f>
        <v>0.01867003643</v>
      </c>
      <c r="AT151" s="241">
        <f>'Disease burden'!AT350</f>
        <v>0.02362817978</v>
      </c>
      <c r="AU151" s="241">
        <f>'Disease burden'!AU350</f>
        <v>0.01553557838</v>
      </c>
      <c r="AV151" s="241">
        <f>'Disease burden'!AV350</f>
        <v>0.01122042498</v>
      </c>
      <c r="AW151" s="259"/>
    </row>
    <row r="152">
      <c r="A152" s="122"/>
      <c r="B152" s="123"/>
      <c r="C152" s="450"/>
      <c r="D152" s="131"/>
      <c r="E152" s="257" t="s">
        <v>468</v>
      </c>
      <c r="F152" s="213" t="str">
        <f>'Disease burden'!F351</f>
        <v>%</v>
      </c>
      <c r="G152" s="485" t="s">
        <v>173</v>
      </c>
      <c r="H152" s="243" t="str">
        <f>'Disease burden'!H351</f>
        <v>-</v>
      </c>
      <c r="I152" s="241">
        <f>'Disease burden'!I351</f>
        <v>0.1414290602</v>
      </c>
      <c r="J152" s="241">
        <f>'Disease burden'!J351</f>
        <v>0.2008196749</v>
      </c>
      <c r="K152" s="241">
        <f>'Disease burden'!K351</f>
        <v>0.1481117247</v>
      </c>
      <c r="L152" s="383">
        <f>'Disease burden'!L351</f>
        <v>0.2534176121</v>
      </c>
      <c r="M152" s="241">
        <f>'Disease burden'!M351</f>
        <v>0.2086833794</v>
      </c>
      <c r="N152" s="241">
        <f>'Disease burden'!N351</f>
        <v>0.1475000698</v>
      </c>
      <c r="O152" s="241">
        <f>'Disease burden'!O351</f>
        <v>0.1430605512</v>
      </c>
      <c r="P152" s="241">
        <f>'Disease burden'!P351</f>
        <v>0.1348374827</v>
      </c>
      <c r="Q152" s="456">
        <f>'Disease burden'!Q351</f>
        <v>0.1397160529</v>
      </c>
      <c r="R152" s="241">
        <f>'Disease burden'!R351</f>
        <v>0.3072983295</v>
      </c>
      <c r="S152" s="241">
        <f>'Disease burden'!S351</f>
        <v>0.2472081609</v>
      </c>
      <c r="T152" s="241">
        <f>'Disease burden'!T351</f>
        <v>0.3161301243</v>
      </c>
      <c r="U152" s="241">
        <f>'Disease burden'!U351</f>
        <v>0.3228339286</v>
      </c>
      <c r="V152" s="241">
        <f>'Disease burden'!V351</f>
        <v>0.2882202288</v>
      </c>
      <c r="W152" s="241">
        <f>'Disease burden'!W351</f>
        <v>0.2457444718</v>
      </c>
      <c r="X152" s="241">
        <f>'Disease burden'!X351</f>
        <v>0.2189562858</v>
      </c>
      <c r="Y152" s="241">
        <f>'Disease burden'!Y351</f>
        <v>0.4072162363</v>
      </c>
      <c r="Z152" s="241">
        <f>'Disease burden'!Z351</f>
        <v>0.3171559421</v>
      </c>
      <c r="AA152" s="241">
        <f>'Disease burden'!AA351</f>
        <v>0.2693843819</v>
      </c>
      <c r="AB152" s="241">
        <f>'Disease burden'!AB351</f>
        <v>0.3171307017</v>
      </c>
      <c r="AC152" s="241">
        <f>'Disease burden'!AC351</f>
        <v>0.3148739657</v>
      </c>
      <c r="AD152" s="241">
        <f>'Disease burden'!AD351</f>
        <v>0.3014330858</v>
      </c>
      <c r="AE152" s="241">
        <f>'Disease burden'!AE351</f>
        <v>0.2984790841</v>
      </c>
      <c r="AF152" s="241">
        <f>'Disease burden'!AF351</f>
        <v>0.3134995687</v>
      </c>
      <c r="AG152" s="241">
        <f>'Disease burden'!AG351</f>
        <v>0.2534176121</v>
      </c>
      <c r="AH152" s="241">
        <f>'Disease burden'!AH351</f>
        <v>0.297361124</v>
      </c>
      <c r="AI152" s="241">
        <f>'Disease burden'!AI351</f>
        <v>0.2926204109</v>
      </c>
      <c r="AJ152" s="241">
        <f>'Disease burden'!AJ351</f>
        <v>0.3640441867</v>
      </c>
      <c r="AK152" s="241">
        <f>'Disease burden'!AK351</f>
        <v>0.2554961897</v>
      </c>
      <c r="AL152" s="241">
        <f>'Disease burden'!AL351</f>
        <v>0.2139063121</v>
      </c>
      <c r="AM152" s="241">
        <f>'Disease burden'!AM351</f>
        <v>0.2139063121</v>
      </c>
      <c r="AN152" s="241">
        <f>'Disease burden'!AN351</f>
        <v>0.2139063121</v>
      </c>
      <c r="AO152" s="241">
        <f>'Disease burden'!AO351</f>
        <v>0.2902095639</v>
      </c>
      <c r="AP152" s="241">
        <f>'Disease burden'!AP351</f>
        <v>0.301359996</v>
      </c>
      <c r="AQ152" s="241">
        <f>'Disease burden'!AQ351</f>
        <v>0.3102016005</v>
      </c>
      <c r="AR152" s="241">
        <f>'Disease burden'!AR351</f>
        <v>0.3411241561</v>
      </c>
      <c r="AS152" s="241">
        <f>'Disease burden'!AS351</f>
        <v>0.2524813387</v>
      </c>
      <c r="AT152" s="241">
        <f>'Disease burden'!AT351</f>
        <v>0.3201402503</v>
      </c>
      <c r="AU152" s="241">
        <f>'Disease burden'!AU351</f>
        <v>0.2094353931</v>
      </c>
      <c r="AV152" s="241">
        <f>'Disease burden'!AV351</f>
        <v>0.1508490272</v>
      </c>
      <c r="AW152" s="259"/>
    </row>
    <row r="153">
      <c r="A153" s="122"/>
      <c r="B153" s="123"/>
      <c r="C153" s="450"/>
      <c r="D153" s="131"/>
      <c r="E153" s="257" t="s">
        <v>469</v>
      </c>
      <c r="F153" s="213" t="str">
        <f>'Disease burden'!F352</f>
        <v>%</v>
      </c>
      <c r="G153" s="485" t="s">
        <v>173</v>
      </c>
      <c r="H153" s="243" t="str">
        <f>'Disease burden'!H352</f>
        <v>-</v>
      </c>
      <c r="I153" s="241">
        <f>'Disease burden'!I352</f>
        <v>0.1944994742</v>
      </c>
      <c r="J153" s="241">
        <f>'Disease burden'!J352</f>
        <v>0.2021775311</v>
      </c>
      <c r="K153" s="241">
        <f>'Disease burden'!K352</f>
        <v>0.1373246687</v>
      </c>
      <c r="L153" s="383">
        <f>'Disease burden'!L352</f>
        <v>0.1303982304</v>
      </c>
      <c r="M153" s="241">
        <f>'Disease burden'!M352</f>
        <v>0.1534700463</v>
      </c>
      <c r="N153" s="241">
        <f>'Disease burden'!N352</f>
        <v>0.1704536009</v>
      </c>
      <c r="O153" s="241">
        <f>'Disease burden'!O352</f>
        <v>0.1799657251</v>
      </c>
      <c r="P153" s="241">
        <f>'Disease burden'!P352</f>
        <v>0.1678928643</v>
      </c>
      <c r="Q153" s="456">
        <f>'Disease burden'!Q352</f>
        <v>0.1697427973</v>
      </c>
      <c r="R153" s="241">
        <f>'Disease burden'!R352</f>
        <v>0.1029931868</v>
      </c>
      <c r="S153" s="241">
        <f>'Disease burden'!S352</f>
        <v>0.177319894</v>
      </c>
      <c r="T153" s="241">
        <f>'Disease burden'!T352</f>
        <v>0.1161422063</v>
      </c>
      <c r="U153" s="241">
        <f>'Disease burden'!U352</f>
        <v>0.08901529575</v>
      </c>
      <c r="V153" s="241">
        <f>'Disease burden'!V352</f>
        <v>0.1888926887</v>
      </c>
      <c r="W153" s="241">
        <f>'Disease burden'!W352</f>
        <v>0.1910073197</v>
      </c>
      <c r="X153" s="241">
        <f>'Disease burden'!X352</f>
        <v>0.1984434211</v>
      </c>
      <c r="Y153" s="241">
        <f>'Disease burden'!Y352</f>
        <v>0.1339439243</v>
      </c>
      <c r="Z153" s="241">
        <f>'Disease burden'!Z352</f>
        <v>0.1059997689</v>
      </c>
      <c r="AA153" s="241">
        <f>'Disease burden'!AA352</f>
        <v>0.153111825</v>
      </c>
      <c r="AB153" s="241">
        <f>'Disease burden'!AB352</f>
        <v>0.1008853842</v>
      </c>
      <c r="AC153" s="241">
        <f>'Disease burden'!AC352</f>
        <v>0.110849733</v>
      </c>
      <c r="AD153" s="241">
        <f>'Disease burden'!AD352</f>
        <v>0.1219589375</v>
      </c>
      <c r="AE153" s="241">
        <f>'Disease burden'!AE352</f>
        <v>0.089052607</v>
      </c>
      <c r="AF153" s="241">
        <f>'Disease burden'!AF352</f>
        <v>0.08803751117</v>
      </c>
      <c r="AG153" s="241">
        <f>'Disease burden'!AG352</f>
        <v>0.1303982304</v>
      </c>
      <c r="AH153" s="241">
        <f>'Disease burden'!AH352</f>
        <v>0.1407685973</v>
      </c>
      <c r="AI153" s="241">
        <f>'Disease burden'!AI352</f>
        <v>0.1305220582</v>
      </c>
      <c r="AJ153" s="241">
        <f>'Disease burden'!AJ352</f>
        <v>0.0717763583</v>
      </c>
      <c r="AK153" s="241">
        <f>'Disease burden'!AK352</f>
        <v>0.1499025347</v>
      </c>
      <c r="AL153" s="241">
        <f>'Disease burden'!AL352</f>
        <v>0.1820450388</v>
      </c>
      <c r="AM153" s="241">
        <f>'Disease burden'!AM352</f>
        <v>0.1820450388</v>
      </c>
      <c r="AN153" s="241">
        <f>'Disease burden'!AN352</f>
        <v>0.1820450388</v>
      </c>
      <c r="AO153" s="241">
        <f>'Disease burden'!AO352</f>
        <v>0.1064637798</v>
      </c>
      <c r="AP153" s="241">
        <f>'Disease burden'!AP352</f>
        <v>0.1315533054</v>
      </c>
      <c r="AQ153" s="241">
        <f>'Disease burden'!AQ352</f>
        <v>0.1019284465</v>
      </c>
      <c r="AR153" s="241">
        <f>'Disease burden'!AR352</f>
        <v>0.1584572439</v>
      </c>
      <c r="AS153" s="241">
        <f>'Disease burden'!AS352</f>
        <v>0.1714587088</v>
      </c>
      <c r="AT153" s="241">
        <f>'Disease burden'!AT352</f>
        <v>0.09788710087</v>
      </c>
      <c r="AU153" s="241">
        <f>'Disease burden'!AU352</f>
        <v>0.2040417541</v>
      </c>
      <c r="AV153" s="241">
        <f>'Disease burden'!AV352</f>
        <v>0.1830108539</v>
      </c>
      <c r="AW153" s="259"/>
    </row>
    <row r="154">
      <c r="A154" s="122"/>
      <c r="B154" s="123"/>
      <c r="C154" s="450"/>
      <c r="D154" s="131"/>
      <c r="E154" s="272" t="s">
        <v>470</v>
      </c>
      <c r="F154" s="489" t="str">
        <f>'Disease burden'!F353</f>
        <v>%</v>
      </c>
      <c r="G154" s="487" t="s">
        <v>173</v>
      </c>
      <c r="H154" s="467" t="str">
        <f>'Disease burden'!H353</f>
        <v>-</v>
      </c>
      <c r="I154" s="385">
        <f>'Disease burden'!I353</f>
        <v>0.000171427821</v>
      </c>
      <c r="J154" s="385">
        <f>'Disease burden'!J353</f>
        <v>0.0001329171472</v>
      </c>
      <c r="K154" s="385">
        <f>'Disease burden'!K353</f>
        <v>0.0001830240046</v>
      </c>
      <c r="L154" s="385">
        <f>'Disease burden'!L353</f>
        <v>0.0001780227093</v>
      </c>
      <c r="M154" s="385">
        <f>'Disease burden'!M353</f>
        <v>0.0001287167817</v>
      </c>
      <c r="N154" s="385">
        <f>'Disease burden'!N353</f>
        <v>0.0002099035846</v>
      </c>
      <c r="O154" s="385">
        <f>'Disease burden'!O353</f>
        <v>0.000161231479</v>
      </c>
      <c r="P154" s="385">
        <f>'Disease burden'!P353</f>
        <v>0.0002092550772</v>
      </c>
      <c r="Q154" s="462">
        <f>'Disease burden'!Q353</f>
        <v>0.0001848170136</v>
      </c>
      <c r="R154" s="385">
        <f>'Disease burden'!R353</f>
        <v>0.00005773921197</v>
      </c>
      <c r="S154" s="385">
        <f>'Disease burden'!S353</f>
        <v>0.00008835446368</v>
      </c>
      <c r="T154" s="385">
        <f>'Disease burden'!T353</f>
        <v>0.00008667776935</v>
      </c>
      <c r="U154" s="385">
        <f>'Disease burden'!U353</f>
        <v>0.00006836310482</v>
      </c>
      <c r="V154" s="385">
        <f>'Disease burden'!V353</f>
        <v>0.00009810641083</v>
      </c>
      <c r="W154" s="385">
        <f>'Disease burden'!W353</f>
        <v>0.00006587630297</v>
      </c>
      <c r="X154" s="385">
        <f>'Disease burden'!X353</f>
        <v>0.0001367968856</v>
      </c>
      <c r="Y154" s="385">
        <f>'Disease burden'!Y353</f>
        <v>0.00006413948122</v>
      </c>
      <c r="Z154" s="385">
        <f>'Disease burden'!Z353</f>
        <v>0.00008688313814</v>
      </c>
      <c r="AA154" s="385">
        <f>'Disease burden'!AA353</f>
        <v>0.00007530037016</v>
      </c>
      <c r="AB154" s="385">
        <f>'Disease burden'!AB353</f>
        <v>0.00007647362854</v>
      </c>
      <c r="AC154" s="385">
        <f>'Disease burden'!AC353</f>
        <v>0.00007688362834</v>
      </c>
      <c r="AD154" s="385">
        <f>'Disease burden'!AD353</f>
        <v>0.00005288940647</v>
      </c>
      <c r="AE154" s="385">
        <f>'Disease burden'!AE353</f>
        <v>0.00008305520839</v>
      </c>
      <c r="AF154" s="385">
        <f>'Disease burden'!AF353</f>
        <v>0.00005863045239</v>
      </c>
      <c r="AG154" s="385">
        <f>'Disease burden'!AG353</f>
        <v>0.0001780227093</v>
      </c>
      <c r="AH154" s="385">
        <f>'Disease burden'!AH353</f>
        <v>0.00008685494529</v>
      </c>
      <c r="AI154" s="385">
        <f>'Disease burden'!AI353</f>
        <v>0.0001232283033</v>
      </c>
      <c r="AJ154" s="385">
        <f>'Disease burden'!AJ353</f>
        <v>0.0000789806275</v>
      </c>
      <c r="AK154" s="385">
        <f>'Disease burden'!AK353</f>
        <v>0.0001130308357</v>
      </c>
      <c r="AL154" s="385">
        <f>'Disease burden'!AL353</f>
        <v>0.0001207205046</v>
      </c>
      <c r="AM154" s="385">
        <f>'Disease burden'!AM353</f>
        <v>0.0001207205046</v>
      </c>
      <c r="AN154" s="385">
        <f>'Disease burden'!AN353</f>
        <v>0.0001207205046</v>
      </c>
      <c r="AO154" s="385">
        <f>'Disease burden'!AO353</f>
        <v>0.00007288151882</v>
      </c>
      <c r="AP154" s="385">
        <f>'Disease burden'!AP353</f>
        <v>0.00006440222214</v>
      </c>
      <c r="AQ154" s="385">
        <f>'Disease burden'!AQ353</f>
        <v>0.00005878885543</v>
      </c>
      <c r="AR154" s="385">
        <f>'Disease burden'!AR353</f>
        <v>0.00009617945583</v>
      </c>
      <c r="AS154" s="385">
        <f>'Disease burden'!AS353</f>
        <v>0.00009339815514</v>
      </c>
      <c r="AT154" s="385">
        <f>'Disease burden'!AT353</f>
        <v>0.00007605345946</v>
      </c>
      <c r="AU154" s="385">
        <f>'Disease burden'!AU353</f>
        <v>0.0001332050992</v>
      </c>
      <c r="AV154" s="385">
        <f>'Disease burden'!AV353</f>
        <v>0.0001483315074</v>
      </c>
      <c r="AW154" s="274"/>
    </row>
    <row r="155">
      <c r="A155" s="122"/>
      <c r="B155" s="123"/>
      <c r="C155" s="450"/>
      <c r="D155" s="131"/>
      <c r="E155" s="269"/>
      <c r="F155" s="141"/>
      <c r="G155" s="448"/>
      <c r="H155" s="188"/>
      <c r="I155" s="317"/>
      <c r="J155" s="317"/>
      <c r="K155" s="317"/>
      <c r="L155" s="317"/>
      <c r="M155" s="317"/>
      <c r="N155" s="317"/>
      <c r="O155" s="317"/>
      <c r="P155" s="317"/>
      <c r="Q155" s="449"/>
      <c r="R155" s="317"/>
      <c r="S155" s="317"/>
      <c r="T155" s="317"/>
      <c r="U155" s="317"/>
      <c r="V155" s="317"/>
      <c r="W155" s="317"/>
      <c r="X155" s="317"/>
      <c r="Y155" s="317"/>
      <c r="Z155" s="317"/>
      <c r="AA155" s="317"/>
      <c r="AB155" s="317"/>
      <c r="AC155" s="317"/>
      <c r="AD155" s="317"/>
      <c r="AE155" s="317"/>
      <c r="AF155" s="317"/>
      <c r="AG155" s="317"/>
      <c r="AH155" s="317"/>
      <c r="AI155" s="317"/>
      <c r="AJ155" s="317"/>
      <c r="AK155" s="317"/>
      <c r="AL155" s="317"/>
      <c r="AM155" s="317"/>
      <c r="AN155" s="317"/>
      <c r="AO155" s="317"/>
      <c r="AP155" s="317"/>
      <c r="AQ155" s="317"/>
      <c r="AR155" s="317"/>
      <c r="AS155" s="317"/>
      <c r="AT155" s="317"/>
      <c r="AU155" s="317"/>
      <c r="AV155" s="317"/>
      <c r="AW155" s="130"/>
    </row>
    <row r="156">
      <c r="A156" s="122"/>
      <c r="B156" s="123"/>
      <c r="C156" s="450" t="s">
        <v>424</v>
      </c>
      <c r="F156" s="141"/>
      <c r="G156" s="448"/>
      <c r="H156" s="188"/>
      <c r="I156" s="317"/>
      <c r="J156" s="317"/>
      <c r="K156" s="317"/>
      <c r="L156" s="317"/>
      <c r="M156" s="317"/>
      <c r="N156" s="317"/>
      <c r="O156" s="317"/>
      <c r="P156" s="317"/>
      <c r="Q156" s="449"/>
      <c r="R156" s="317"/>
      <c r="S156" s="317"/>
      <c r="T156" s="317"/>
      <c r="U156" s="317"/>
      <c r="V156" s="317"/>
      <c r="W156" s="317"/>
      <c r="X156" s="317"/>
      <c r="Y156" s="317"/>
      <c r="Z156" s="317"/>
      <c r="AA156" s="317"/>
      <c r="AB156" s="317"/>
      <c r="AC156" s="317"/>
      <c r="AD156" s="317"/>
      <c r="AE156" s="317"/>
      <c r="AF156" s="317"/>
      <c r="AG156" s="317"/>
      <c r="AH156" s="317"/>
      <c r="AI156" s="317"/>
      <c r="AJ156" s="317"/>
      <c r="AK156" s="317"/>
      <c r="AL156" s="317"/>
      <c r="AM156" s="317"/>
      <c r="AN156" s="317"/>
      <c r="AO156" s="317"/>
      <c r="AP156" s="317"/>
      <c r="AQ156" s="317"/>
      <c r="AR156" s="317"/>
      <c r="AS156" s="317"/>
      <c r="AT156" s="317"/>
      <c r="AU156" s="317"/>
      <c r="AV156" s="317"/>
      <c r="AW156" s="130"/>
    </row>
    <row r="157">
      <c r="A157" s="122"/>
      <c r="B157" s="123"/>
      <c r="C157" s="450"/>
      <c r="D157" s="131"/>
      <c r="E157" s="490" t="s">
        <v>216</v>
      </c>
      <c r="F157" s="134" t="s">
        <v>72</v>
      </c>
      <c r="G157" s="491" t="s">
        <v>161</v>
      </c>
      <c r="H157" s="146" t="s">
        <v>162</v>
      </c>
      <c r="I157" s="407">
        <f t="shared" ref="I157:AV157" si="23">SUMPRODUCT($H141:$H146,I149:I154)</f>
        <v>0.08492118175</v>
      </c>
      <c r="J157" s="407">
        <f t="shared" si="23"/>
        <v>0.09081765035</v>
      </c>
      <c r="K157" s="407">
        <f t="shared" si="23"/>
        <v>0.08175287359</v>
      </c>
      <c r="L157" s="407">
        <f t="shared" si="23"/>
        <v>0.09051923743</v>
      </c>
      <c r="M157" s="407">
        <f t="shared" si="23"/>
        <v>0.08790061796</v>
      </c>
      <c r="N157" s="407">
        <f t="shared" si="23"/>
        <v>0.08386920842</v>
      </c>
      <c r="O157" s="407">
        <f t="shared" si="23"/>
        <v>0.08449653498</v>
      </c>
      <c r="P157" s="407">
        <f t="shared" si="23"/>
        <v>0.08329012483</v>
      </c>
      <c r="Q157" s="481">
        <f t="shared" si="23"/>
        <v>0.08357958628</v>
      </c>
      <c r="R157" s="407">
        <f t="shared" si="23"/>
        <v>0.09242131797</v>
      </c>
      <c r="S157" s="407">
        <f t="shared" si="23"/>
        <v>0.09237874831</v>
      </c>
      <c r="T157" s="407">
        <f t="shared" si="23"/>
        <v>0.09392061587</v>
      </c>
      <c r="U157" s="407">
        <f t="shared" si="23"/>
        <v>0.09257746766</v>
      </c>
      <c r="V157" s="407">
        <f t="shared" si="23"/>
        <v>0.0965886564</v>
      </c>
      <c r="W157" s="407">
        <f t="shared" si="23"/>
        <v>0.09285318174</v>
      </c>
      <c r="X157" s="407">
        <f t="shared" si="23"/>
        <v>0.09131817458</v>
      </c>
      <c r="Y157" s="407">
        <f t="shared" si="23"/>
        <v>0.1021922465</v>
      </c>
      <c r="Z157" s="407">
        <f t="shared" si="23"/>
        <v>0.09334235933</v>
      </c>
      <c r="AA157" s="407">
        <f t="shared" si="23"/>
        <v>0.09256905051</v>
      </c>
      <c r="AB157" s="407">
        <f t="shared" si="23"/>
        <v>0.09308607297</v>
      </c>
      <c r="AC157" s="407">
        <f t="shared" si="23"/>
        <v>0.0934624417</v>
      </c>
      <c r="AD157" s="407">
        <f t="shared" si="23"/>
        <v>0.09308617245</v>
      </c>
      <c r="AE157" s="407">
        <f t="shared" si="23"/>
        <v>0.09077881274</v>
      </c>
      <c r="AF157" s="407">
        <f t="shared" si="23"/>
        <v>0.09188094763</v>
      </c>
      <c r="AG157" s="407">
        <f t="shared" si="23"/>
        <v>0.09051923743</v>
      </c>
      <c r="AH157" s="407">
        <f t="shared" si="23"/>
        <v>0.094342899</v>
      </c>
      <c r="AI157" s="407">
        <f t="shared" si="23"/>
        <v>0.09309947958</v>
      </c>
      <c r="AJ157" s="407">
        <f t="shared" si="23"/>
        <v>0.09478651607</v>
      </c>
      <c r="AK157" s="407">
        <f t="shared" si="23"/>
        <v>0.09131151831</v>
      </c>
      <c r="AL157" s="407">
        <f t="shared" si="23"/>
        <v>0.09024755298</v>
      </c>
      <c r="AM157" s="407">
        <f t="shared" si="23"/>
        <v>0.09024755298</v>
      </c>
      <c r="AN157" s="407">
        <f t="shared" si="23"/>
        <v>0.09024755298</v>
      </c>
      <c r="AO157" s="407">
        <f t="shared" si="23"/>
        <v>0.09134675357</v>
      </c>
      <c r="AP157" s="407">
        <f t="shared" si="23"/>
        <v>0.09367248978</v>
      </c>
      <c r="AQ157" s="407">
        <f t="shared" si="23"/>
        <v>0.09243593063</v>
      </c>
      <c r="AR157" s="407">
        <f t="shared" si="23"/>
        <v>0.09911142121</v>
      </c>
      <c r="AS157" s="407">
        <f t="shared" si="23"/>
        <v>0.09225891845</v>
      </c>
      <c r="AT157" s="407">
        <f t="shared" si="23"/>
        <v>0.09313314033</v>
      </c>
      <c r="AU157" s="407">
        <f t="shared" si="23"/>
        <v>0.09132990729</v>
      </c>
      <c r="AV157" s="407">
        <f t="shared" si="23"/>
        <v>0.08494774973</v>
      </c>
      <c r="AW157" s="409"/>
    </row>
    <row r="158">
      <c r="A158" s="122"/>
      <c r="B158" s="123"/>
      <c r="C158" s="445"/>
      <c r="D158" s="123"/>
      <c r="E158" s="124"/>
      <c r="F158" s="125"/>
      <c r="G158" s="482"/>
      <c r="H158" s="127"/>
      <c r="I158" s="128"/>
      <c r="J158" s="128"/>
      <c r="K158" s="128"/>
      <c r="L158" s="128"/>
      <c r="M158" s="128"/>
      <c r="N158" s="128"/>
      <c r="O158" s="128"/>
      <c r="P158" s="128"/>
      <c r="Q158" s="446"/>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30"/>
    </row>
    <row r="159">
      <c r="A159" s="122"/>
      <c r="B159" s="123"/>
      <c r="C159" s="447" t="s">
        <v>471</v>
      </c>
      <c r="F159" s="141"/>
      <c r="G159" s="448"/>
      <c r="H159" s="188"/>
      <c r="I159" s="317"/>
      <c r="J159" s="317"/>
      <c r="K159" s="317"/>
      <c r="L159" s="317"/>
      <c r="M159" s="317"/>
      <c r="N159" s="317"/>
      <c r="O159" s="317"/>
      <c r="P159" s="317"/>
      <c r="Q159" s="449"/>
      <c r="R159" s="317"/>
      <c r="S159" s="317"/>
      <c r="T159" s="317"/>
      <c r="U159" s="317"/>
      <c r="V159" s="317"/>
      <c r="W159" s="317"/>
      <c r="X159" s="317"/>
      <c r="Y159" s="317"/>
      <c r="Z159" s="317"/>
      <c r="AA159" s="317"/>
      <c r="AB159" s="317"/>
      <c r="AC159" s="317"/>
      <c r="AD159" s="317"/>
      <c r="AE159" s="317"/>
      <c r="AF159" s="317"/>
      <c r="AG159" s="317"/>
      <c r="AH159" s="317"/>
      <c r="AI159" s="317"/>
      <c r="AJ159" s="317"/>
      <c r="AK159" s="317"/>
      <c r="AL159" s="317"/>
      <c r="AM159" s="317"/>
      <c r="AN159" s="317"/>
      <c r="AO159" s="317"/>
      <c r="AP159" s="317"/>
      <c r="AQ159" s="317"/>
      <c r="AR159" s="317"/>
      <c r="AS159" s="317"/>
      <c r="AT159" s="317"/>
      <c r="AU159" s="317"/>
      <c r="AV159" s="317"/>
      <c r="AW159" s="130"/>
    </row>
    <row r="160">
      <c r="A160" s="122"/>
      <c r="B160" s="123"/>
      <c r="C160" s="450"/>
      <c r="D160" s="131"/>
      <c r="E160" s="254" t="s">
        <v>472</v>
      </c>
      <c r="F160" s="193" t="str">
        <f>Inputs!F200</f>
        <v>%</v>
      </c>
      <c r="G160" s="483" t="str">
        <f>Inputs!G200</f>
        <v>input</v>
      </c>
      <c r="H160" s="208">
        <f>Inputs!H200</f>
        <v>-0.9</v>
      </c>
      <c r="I160" s="383" t="str">
        <f>Inputs!I200</f>
        <v>-</v>
      </c>
      <c r="J160" s="383" t="str">
        <f>Inputs!J200</f>
        <v>-</v>
      </c>
      <c r="K160" s="383" t="str">
        <f>Inputs!K200</f>
        <v>-</v>
      </c>
      <c r="L160" s="383" t="str">
        <f>Inputs!L200</f>
        <v>-</v>
      </c>
      <c r="M160" s="383" t="str">
        <f>Inputs!M200</f>
        <v>-</v>
      </c>
      <c r="N160" s="383" t="str">
        <f>Inputs!N200</f>
        <v>-</v>
      </c>
      <c r="O160" s="383" t="str">
        <f>Inputs!O200</f>
        <v>-</v>
      </c>
      <c r="P160" s="383" t="str">
        <f>Inputs!P200</f>
        <v>-</v>
      </c>
      <c r="Q160" s="453" t="str">
        <f>Inputs!Q200</f>
        <v>-</v>
      </c>
      <c r="R160" s="383" t="str">
        <f>Inputs!R200</f>
        <v>-</v>
      </c>
      <c r="S160" s="383" t="str">
        <f>Inputs!S200</f>
        <v>-</v>
      </c>
      <c r="T160" s="383" t="str">
        <f>Inputs!T200</f>
        <v>-</v>
      </c>
      <c r="U160" s="383" t="str">
        <f>Inputs!U200</f>
        <v>-</v>
      </c>
      <c r="V160" s="383" t="str">
        <f>Inputs!V200</f>
        <v>-</v>
      </c>
      <c r="W160" s="383" t="str">
        <f>Inputs!W200</f>
        <v>-</v>
      </c>
      <c r="X160" s="383" t="str">
        <f>Inputs!X200</f>
        <v>-</v>
      </c>
      <c r="Y160" s="383" t="str">
        <f>Inputs!Y200</f>
        <v>-</v>
      </c>
      <c r="Z160" s="383" t="str">
        <f>Inputs!Z200</f>
        <v>-</v>
      </c>
      <c r="AA160" s="383" t="str">
        <f>Inputs!AA200</f>
        <v>-</v>
      </c>
      <c r="AB160" s="383" t="str">
        <f>Inputs!AB200</f>
        <v>-</v>
      </c>
      <c r="AC160" s="383" t="str">
        <f>Inputs!AC200</f>
        <v>-</v>
      </c>
      <c r="AD160" s="383" t="str">
        <f>Inputs!AD200</f>
        <v>-</v>
      </c>
      <c r="AE160" s="383" t="str">
        <f>Inputs!AE200</f>
        <v>-</v>
      </c>
      <c r="AF160" s="383" t="str">
        <f>Inputs!AF200</f>
        <v>-</v>
      </c>
      <c r="AG160" s="383" t="str">
        <f>Inputs!AG200</f>
        <v>-</v>
      </c>
      <c r="AH160" s="383" t="str">
        <f>Inputs!AH200</f>
        <v>-</v>
      </c>
      <c r="AI160" s="383" t="str">
        <f>Inputs!AI200</f>
        <v>-</v>
      </c>
      <c r="AJ160" s="383" t="str">
        <f>Inputs!AJ200</f>
        <v>-</v>
      </c>
      <c r="AK160" s="383" t="str">
        <f>Inputs!AK200</f>
        <v>-</v>
      </c>
      <c r="AL160" s="383" t="str">
        <f>Inputs!AL200</f>
        <v>-</v>
      </c>
      <c r="AM160" s="383" t="str">
        <f>Inputs!AM200</f>
        <v>-</v>
      </c>
      <c r="AN160" s="383" t="str">
        <f>Inputs!AN200</f>
        <v>-</v>
      </c>
      <c r="AO160" s="383" t="str">
        <f>Inputs!AO200</f>
        <v>-</v>
      </c>
      <c r="AP160" s="383" t="str">
        <f>Inputs!AP200</f>
        <v>-</v>
      </c>
      <c r="AQ160" s="383" t="str">
        <f>Inputs!AQ200</f>
        <v>-</v>
      </c>
      <c r="AR160" s="383" t="str">
        <f>Inputs!AR200</f>
        <v>-</v>
      </c>
      <c r="AS160" s="383" t="str">
        <f>Inputs!AS200</f>
        <v>-</v>
      </c>
      <c r="AT160" s="383" t="str">
        <f>Inputs!AT200</f>
        <v>-</v>
      </c>
      <c r="AU160" s="383" t="str">
        <f>Inputs!AU200</f>
        <v>-</v>
      </c>
      <c r="AV160" s="383" t="str">
        <f>Inputs!AV200</f>
        <v>-</v>
      </c>
      <c r="AW160" s="256"/>
    </row>
    <row r="161">
      <c r="A161" s="122"/>
      <c r="B161" s="123"/>
      <c r="C161" s="450"/>
      <c r="D161" s="131"/>
      <c r="E161" s="257" t="s">
        <v>473</v>
      </c>
      <c r="F161" s="213" t="s">
        <v>72</v>
      </c>
      <c r="G161" s="485" t="s">
        <v>161</v>
      </c>
      <c r="H161" s="240" t="s">
        <v>162</v>
      </c>
      <c r="I161" s="241">
        <f t="shared" ref="I161:AV161" si="24">I66*(1+$H$160)</f>
        <v>0.04673758858</v>
      </c>
      <c r="J161" s="241">
        <f t="shared" si="24"/>
        <v>0.05616125715</v>
      </c>
      <c r="K161" s="241">
        <f t="shared" si="24"/>
        <v>0.06044474287</v>
      </c>
      <c r="L161" s="241">
        <f t="shared" si="24"/>
        <v>0.0743422743</v>
      </c>
      <c r="M161" s="241">
        <f t="shared" si="24"/>
        <v>0.05739870858</v>
      </c>
      <c r="N161" s="241">
        <f t="shared" si="24"/>
        <v>0.05416229715</v>
      </c>
      <c r="O161" s="241">
        <f t="shared" si="24"/>
        <v>0.06053993144</v>
      </c>
      <c r="P161" s="241">
        <f t="shared" si="24"/>
        <v>0.03207854858</v>
      </c>
      <c r="Q161" s="456">
        <f t="shared" si="24"/>
        <v>0.0483557943</v>
      </c>
      <c r="R161" s="241">
        <f t="shared" si="24"/>
        <v>0.08614565716</v>
      </c>
      <c r="S161" s="241">
        <f t="shared" si="24"/>
        <v>0.07957764573</v>
      </c>
      <c r="T161" s="241">
        <f t="shared" si="24"/>
        <v>0.08148141716</v>
      </c>
      <c r="U161" s="241">
        <f t="shared" si="24"/>
        <v>0.0803391543</v>
      </c>
      <c r="V161" s="241">
        <f t="shared" si="24"/>
        <v>0.07510378287</v>
      </c>
      <c r="W161" s="241">
        <f t="shared" si="24"/>
        <v>0.07776906287</v>
      </c>
      <c r="X161" s="241">
        <f t="shared" si="24"/>
        <v>0.0616821943</v>
      </c>
      <c r="Y161" s="241">
        <f t="shared" si="24"/>
        <v>0.08862056002</v>
      </c>
      <c r="Z161" s="241">
        <f t="shared" si="24"/>
        <v>0.07948245716</v>
      </c>
      <c r="AA161" s="241">
        <f t="shared" si="24"/>
        <v>0.09452225145</v>
      </c>
      <c r="AB161" s="241">
        <f t="shared" si="24"/>
        <v>0.08785905145</v>
      </c>
      <c r="AC161" s="241">
        <f t="shared" si="24"/>
        <v>0.09423668573</v>
      </c>
      <c r="AD161" s="241">
        <f t="shared" si="24"/>
        <v>0.09433187431</v>
      </c>
      <c r="AE161" s="241">
        <f t="shared" si="24"/>
        <v>0.09061952002</v>
      </c>
      <c r="AF161" s="241">
        <f t="shared" si="24"/>
        <v>0.09014357716</v>
      </c>
      <c r="AG161" s="241">
        <f t="shared" si="24"/>
        <v>0.0743422743</v>
      </c>
      <c r="AH161" s="241">
        <f t="shared" si="24"/>
        <v>0.08785905145</v>
      </c>
      <c r="AI161" s="241">
        <f t="shared" si="24"/>
        <v>0.06882133716</v>
      </c>
      <c r="AJ161" s="241">
        <f t="shared" si="24"/>
        <v>0.08985801145</v>
      </c>
      <c r="AK161" s="241">
        <f t="shared" si="24"/>
        <v>0.07538934859</v>
      </c>
      <c r="AL161" s="241">
        <f t="shared" si="24"/>
        <v>0.06349077716</v>
      </c>
      <c r="AM161" s="241">
        <f t="shared" si="24"/>
        <v>0.06349077716</v>
      </c>
      <c r="AN161" s="241">
        <f t="shared" si="24"/>
        <v>0.06349077716</v>
      </c>
      <c r="AO161" s="241">
        <f t="shared" si="24"/>
        <v>0.06882133716</v>
      </c>
      <c r="AP161" s="241">
        <f t="shared" si="24"/>
        <v>0.07148661716</v>
      </c>
      <c r="AQ161" s="241">
        <f t="shared" si="24"/>
        <v>0.08852537145</v>
      </c>
      <c r="AR161" s="241">
        <f t="shared" si="24"/>
        <v>0.07853057145</v>
      </c>
      <c r="AS161" s="241">
        <f t="shared" si="24"/>
        <v>0.08348037716</v>
      </c>
      <c r="AT161" s="241">
        <f t="shared" si="24"/>
        <v>0.08595528002</v>
      </c>
      <c r="AU161" s="241">
        <f t="shared" si="24"/>
        <v>0.0676790743</v>
      </c>
      <c r="AV161" s="241">
        <f t="shared" si="24"/>
        <v>0.07158180573</v>
      </c>
      <c r="AW161" s="259"/>
    </row>
    <row r="162">
      <c r="A162" s="122"/>
      <c r="B162" s="123"/>
      <c r="C162" s="450"/>
      <c r="D162" s="131"/>
      <c r="E162" s="257" t="s">
        <v>474</v>
      </c>
      <c r="F162" s="213" t="s">
        <v>72</v>
      </c>
      <c r="G162" s="485" t="s">
        <v>161</v>
      </c>
      <c r="H162" s="240" t="s">
        <v>162</v>
      </c>
      <c r="I162" s="241">
        <f t="shared" ref="I162:AV162" si="25">I67*(1+$H$160)</f>
        <v>0.03675706686</v>
      </c>
      <c r="J162" s="241">
        <f t="shared" si="25"/>
        <v>0.04847953944</v>
      </c>
      <c r="K162" s="241">
        <f t="shared" si="25"/>
        <v>0.05462872115</v>
      </c>
      <c r="L162" s="241">
        <f t="shared" si="25"/>
        <v>0.06474250687</v>
      </c>
      <c r="M162" s="241">
        <f t="shared" si="25"/>
        <v>0.04693272515</v>
      </c>
      <c r="N162" s="241">
        <f t="shared" si="25"/>
        <v>0.04597608001</v>
      </c>
      <c r="O162" s="241">
        <f t="shared" si="25"/>
        <v>0.05564247944</v>
      </c>
      <c r="P162" s="241">
        <f t="shared" si="25"/>
        <v>0.02032276</v>
      </c>
      <c r="Q162" s="456">
        <f t="shared" si="25"/>
        <v>0.03583373772</v>
      </c>
      <c r="R162" s="241">
        <f t="shared" si="25"/>
        <v>0.08154804916</v>
      </c>
      <c r="S162" s="241">
        <f t="shared" si="25"/>
        <v>0.06498523773</v>
      </c>
      <c r="T162" s="241">
        <f t="shared" si="25"/>
        <v>0.07876378345</v>
      </c>
      <c r="U162" s="241">
        <f t="shared" si="25"/>
        <v>0.07409954344</v>
      </c>
      <c r="V162" s="241">
        <f t="shared" si="25"/>
        <v>0.07229096059</v>
      </c>
      <c r="W162" s="241">
        <f t="shared" si="25"/>
        <v>0.07190068744</v>
      </c>
      <c r="X162" s="241">
        <f t="shared" si="25"/>
        <v>0.04587137258</v>
      </c>
      <c r="Y162" s="241">
        <f t="shared" si="25"/>
        <v>0.08621704859</v>
      </c>
      <c r="Z162" s="241">
        <f t="shared" si="25"/>
        <v>0.07316669544</v>
      </c>
      <c r="AA162" s="241">
        <f t="shared" si="25"/>
        <v>0.09424144516</v>
      </c>
      <c r="AB162" s="241">
        <f t="shared" si="25"/>
        <v>0.08612661945</v>
      </c>
      <c r="AC162" s="241">
        <f t="shared" si="25"/>
        <v>0.0889679983</v>
      </c>
      <c r="AD162" s="241">
        <f t="shared" si="25"/>
        <v>0.09208542402</v>
      </c>
      <c r="AE162" s="241">
        <f t="shared" si="25"/>
        <v>0.08338042916</v>
      </c>
      <c r="AF162" s="241">
        <f t="shared" si="25"/>
        <v>0.08859676288</v>
      </c>
      <c r="AG162" s="241">
        <f t="shared" si="25"/>
        <v>0.06474250687</v>
      </c>
      <c r="AH162" s="241">
        <f t="shared" si="25"/>
        <v>0.0734760583</v>
      </c>
      <c r="AI162" s="241">
        <f t="shared" si="25"/>
        <v>0.06089212916</v>
      </c>
      <c r="AJ162" s="241">
        <f t="shared" si="25"/>
        <v>0.08601715259</v>
      </c>
      <c r="AK162" s="241">
        <f t="shared" si="25"/>
        <v>0.06296724001</v>
      </c>
      <c r="AL162" s="241">
        <f t="shared" si="25"/>
        <v>0.05045946173</v>
      </c>
      <c r="AM162" s="241">
        <f t="shared" si="25"/>
        <v>0.05045946173</v>
      </c>
      <c r="AN162" s="241">
        <f t="shared" si="25"/>
        <v>0.05045946173</v>
      </c>
      <c r="AO162" s="241">
        <f t="shared" si="25"/>
        <v>0.0565182143</v>
      </c>
      <c r="AP162" s="241">
        <f t="shared" si="25"/>
        <v>0.06611798173</v>
      </c>
      <c r="AQ162" s="241">
        <f t="shared" si="25"/>
        <v>0.08438466859</v>
      </c>
      <c r="AR162" s="241">
        <f t="shared" si="25"/>
        <v>0.0642142103</v>
      </c>
      <c r="AS162" s="241">
        <f t="shared" si="25"/>
        <v>0.07366167602</v>
      </c>
      <c r="AT162" s="241">
        <f t="shared" si="25"/>
        <v>0.08288544859</v>
      </c>
      <c r="AU162" s="241">
        <f t="shared" si="25"/>
        <v>0.06299579658</v>
      </c>
      <c r="AV162" s="241">
        <f t="shared" si="25"/>
        <v>0.06797415887</v>
      </c>
      <c r="AW162" s="259"/>
    </row>
    <row r="163">
      <c r="A163" s="122"/>
      <c r="B163" s="123"/>
      <c r="C163" s="450"/>
      <c r="D163" s="131"/>
      <c r="E163" s="257" t="s">
        <v>475</v>
      </c>
      <c r="F163" s="213" t="s">
        <v>72</v>
      </c>
      <c r="G163" s="485" t="s">
        <v>161</v>
      </c>
      <c r="H163" s="240" t="s">
        <v>162</v>
      </c>
      <c r="I163" s="241">
        <f t="shared" ref="I163:AV163" si="26">I68*(1+$H$160)</f>
        <v>0.03675706686</v>
      </c>
      <c r="J163" s="241">
        <f t="shared" si="26"/>
        <v>0.04847953944</v>
      </c>
      <c r="K163" s="241">
        <f t="shared" si="26"/>
        <v>0.05462872115</v>
      </c>
      <c r="L163" s="241">
        <f t="shared" si="26"/>
        <v>0.06474250687</v>
      </c>
      <c r="M163" s="241">
        <f t="shared" si="26"/>
        <v>0.04693272515</v>
      </c>
      <c r="N163" s="241">
        <f t="shared" si="26"/>
        <v>0.04597608001</v>
      </c>
      <c r="O163" s="241">
        <f t="shared" si="26"/>
        <v>0.05564247944</v>
      </c>
      <c r="P163" s="241">
        <f t="shared" si="26"/>
        <v>0.02032276</v>
      </c>
      <c r="Q163" s="456">
        <f t="shared" si="26"/>
        <v>0.03583373772</v>
      </c>
      <c r="R163" s="241">
        <f t="shared" si="26"/>
        <v>0.08154804916</v>
      </c>
      <c r="S163" s="241">
        <f t="shared" si="26"/>
        <v>0.06498523773</v>
      </c>
      <c r="T163" s="241">
        <f t="shared" si="26"/>
        <v>0.07876378345</v>
      </c>
      <c r="U163" s="241">
        <f t="shared" si="26"/>
        <v>0.07409954344</v>
      </c>
      <c r="V163" s="241">
        <f t="shared" si="26"/>
        <v>0.07229096059</v>
      </c>
      <c r="W163" s="241">
        <f t="shared" si="26"/>
        <v>0.07190068744</v>
      </c>
      <c r="X163" s="241">
        <f t="shared" si="26"/>
        <v>0.04587137258</v>
      </c>
      <c r="Y163" s="241">
        <f t="shared" si="26"/>
        <v>0.08621704859</v>
      </c>
      <c r="Z163" s="241">
        <f t="shared" si="26"/>
        <v>0.07316669544</v>
      </c>
      <c r="AA163" s="241">
        <f t="shared" si="26"/>
        <v>0.09424144516</v>
      </c>
      <c r="AB163" s="241">
        <f t="shared" si="26"/>
        <v>0.08612661945</v>
      </c>
      <c r="AC163" s="241">
        <f t="shared" si="26"/>
        <v>0.0889679983</v>
      </c>
      <c r="AD163" s="241">
        <f t="shared" si="26"/>
        <v>0.09208542402</v>
      </c>
      <c r="AE163" s="241">
        <f t="shared" si="26"/>
        <v>0.08338042916</v>
      </c>
      <c r="AF163" s="241">
        <f t="shared" si="26"/>
        <v>0.08859676288</v>
      </c>
      <c r="AG163" s="241">
        <f t="shared" si="26"/>
        <v>0.06474250687</v>
      </c>
      <c r="AH163" s="241">
        <f t="shared" si="26"/>
        <v>0.0734760583</v>
      </c>
      <c r="AI163" s="241">
        <f t="shared" si="26"/>
        <v>0.06089212916</v>
      </c>
      <c r="AJ163" s="241">
        <f t="shared" si="26"/>
        <v>0.08601715259</v>
      </c>
      <c r="AK163" s="241">
        <f t="shared" si="26"/>
        <v>0.06296724001</v>
      </c>
      <c r="AL163" s="241">
        <f t="shared" si="26"/>
        <v>0.05045946173</v>
      </c>
      <c r="AM163" s="241">
        <f t="shared" si="26"/>
        <v>0.05045946173</v>
      </c>
      <c r="AN163" s="241">
        <f t="shared" si="26"/>
        <v>0.05045946173</v>
      </c>
      <c r="AO163" s="241">
        <f t="shared" si="26"/>
        <v>0.0565182143</v>
      </c>
      <c r="AP163" s="241">
        <f t="shared" si="26"/>
        <v>0.06611798173</v>
      </c>
      <c r="AQ163" s="241">
        <f t="shared" si="26"/>
        <v>0.08438466859</v>
      </c>
      <c r="AR163" s="241">
        <f t="shared" si="26"/>
        <v>0.0642142103</v>
      </c>
      <c r="AS163" s="241">
        <f t="shared" si="26"/>
        <v>0.07366167602</v>
      </c>
      <c r="AT163" s="241">
        <f t="shared" si="26"/>
        <v>0.08288544859</v>
      </c>
      <c r="AU163" s="241">
        <f t="shared" si="26"/>
        <v>0.06299579658</v>
      </c>
      <c r="AV163" s="241">
        <f t="shared" si="26"/>
        <v>0.06797415887</v>
      </c>
      <c r="AW163" s="259"/>
    </row>
    <row r="164">
      <c r="A164" s="122"/>
      <c r="B164" s="123"/>
      <c r="C164" s="450"/>
      <c r="D164" s="131"/>
      <c r="E164" s="257" t="s">
        <v>476</v>
      </c>
      <c r="F164" s="213" t="s">
        <v>72</v>
      </c>
      <c r="G164" s="485" t="s">
        <v>161</v>
      </c>
      <c r="H164" s="240" t="s">
        <v>162</v>
      </c>
      <c r="I164" s="241">
        <f t="shared" ref="I164:AV164" si="27">I69*(1+$H$160)</f>
        <v>0.03669995372</v>
      </c>
      <c r="J164" s="241">
        <f t="shared" si="27"/>
        <v>0.04535259487</v>
      </c>
      <c r="K164" s="241">
        <f t="shared" si="27"/>
        <v>0.05384341544</v>
      </c>
      <c r="L164" s="241">
        <f t="shared" si="27"/>
        <v>0.06347649887</v>
      </c>
      <c r="M164" s="241">
        <f t="shared" si="27"/>
        <v>0.04631875887</v>
      </c>
      <c r="N164" s="241">
        <f t="shared" si="27"/>
        <v>0.04396284172</v>
      </c>
      <c r="O164" s="241">
        <f t="shared" si="27"/>
        <v>0.05477626344</v>
      </c>
      <c r="P164" s="241">
        <f t="shared" si="27"/>
        <v>0.01564900115</v>
      </c>
      <c r="Q164" s="456">
        <f t="shared" si="27"/>
        <v>0.03642866629</v>
      </c>
      <c r="R164" s="241">
        <f t="shared" si="27"/>
        <v>0.08046765887</v>
      </c>
      <c r="S164" s="241">
        <f t="shared" si="27"/>
        <v>0.06503283201</v>
      </c>
      <c r="T164" s="241">
        <f t="shared" si="27"/>
        <v>0.07751681316</v>
      </c>
      <c r="U164" s="241">
        <f t="shared" si="27"/>
        <v>0.07389012859</v>
      </c>
      <c r="V164" s="241">
        <f t="shared" si="27"/>
        <v>0.07133431544</v>
      </c>
      <c r="W164" s="241">
        <f t="shared" si="27"/>
        <v>0.06883561544</v>
      </c>
      <c r="X164" s="241">
        <f t="shared" si="27"/>
        <v>0.04065027944</v>
      </c>
      <c r="Y164" s="241">
        <f t="shared" si="27"/>
        <v>0.08604570916</v>
      </c>
      <c r="Z164" s="241">
        <f t="shared" si="27"/>
        <v>0.0714104663</v>
      </c>
      <c r="AA164" s="241">
        <f t="shared" si="27"/>
        <v>0.09427476116</v>
      </c>
      <c r="AB164" s="241">
        <f t="shared" si="27"/>
        <v>0.08194784116</v>
      </c>
      <c r="AC164" s="241">
        <f t="shared" si="27"/>
        <v>0.08660732173</v>
      </c>
      <c r="AD164" s="241">
        <f t="shared" si="27"/>
        <v>0.09164755659</v>
      </c>
      <c r="AE164" s="241">
        <f t="shared" si="27"/>
        <v>0.08364695716</v>
      </c>
      <c r="AF164" s="241">
        <f t="shared" si="27"/>
        <v>0.0870356703</v>
      </c>
      <c r="AG164" s="241">
        <f t="shared" si="27"/>
        <v>0.06347649887</v>
      </c>
      <c r="AH164" s="241">
        <f t="shared" si="27"/>
        <v>0.07177218287</v>
      </c>
      <c r="AI164" s="241">
        <f t="shared" si="27"/>
        <v>0.05803171258</v>
      </c>
      <c r="AJ164" s="241">
        <f t="shared" si="27"/>
        <v>0.08477494173</v>
      </c>
      <c r="AK164" s="241">
        <f t="shared" si="27"/>
        <v>0.06163935944</v>
      </c>
      <c r="AL164" s="241">
        <f t="shared" si="27"/>
        <v>0.04899831715</v>
      </c>
      <c r="AM164" s="241">
        <f t="shared" si="27"/>
        <v>0.04899831715</v>
      </c>
      <c r="AN164" s="241">
        <f t="shared" si="27"/>
        <v>0.04899831715</v>
      </c>
      <c r="AO164" s="241">
        <f t="shared" si="27"/>
        <v>0.05495712173</v>
      </c>
      <c r="AP164" s="241">
        <f t="shared" si="27"/>
        <v>0.06417137544</v>
      </c>
      <c r="AQ164" s="241">
        <f t="shared" si="27"/>
        <v>0.08009166402</v>
      </c>
      <c r="AR164" s="241">
        <f t="shared" si="27"/>
        <v>0.06321948973</v>
      </c>
      <c r="AS164" s="241">
        <f t="shared" si="27"/>
        <v>0.06795988059</v>
      </c>
      <c r="AT164" s="241">
        <f t="shared" si="27"/>
        <v>0.08198591659</v>
      </c>
      <c r="AU164" s="241">
        <f t="shared" si="27"/>
        <v>0.06079218116</v>
      </c>
      <c r="AV164" s="241">
        <f t="shared" si="27"/>
        <v>0.0656467983</v>
      </c>
      <c r="AW164" s="259"/>
    </row>
    <row r="165">
      <c r="A165" s="122"/>
      <c r="B165" s="123"/>
      <c r="C165" s="450"/>
      <c r="D165" s="131"/>
      <c r="E165" s="257" t="s">
        <v>477</v>
      </c>
      <c r="F165" s="213" t="s">
        <v>72</v>
      </c>
      <c r="G165" s="485" t="s">
        <v>161</v>
      </c>
      <c r="H165" s="240" t="s">
        <v>162</v>
      </c>
      <c r="I165" s="241">
        <f t="shared" ref="I165:AV165" si="28">I70*(1+$H$160)</f>
        <v>0</v>
      </c>
      <c r="J165" s="241">
        <f t="shared" si="28"/>
        <v>0</v>
      </c>
      <c r="K165" s="241">
        <f t="shared" si="28"/>
        <v>0</v>
      </c>
      <c r="L165" s="241">
        <f t="shared" si="28"/>
        <v>0</v>
      </c>
      <c r="M165" s="241">
        <f t="shared" si="28"/>
        <v>0</v>
      </c>
      <c r="N165" s="241">
        <f t="shared" si="28"/>
        <v>0</v>
      </c>
      <c r="O165" s="241">
        <f t="shared" si="28"/>
        <v>0</v>
      </c>
      <c r="P165" s="241">
        <f t="shared" si="28"/>
        <v>0</v>
      </c>
      <c r="Q165" s="456">
        <f t="shared" si="28"/>
        <v>0</v>
      </c>
      <c r="R165" s="241">
        <f t="shared" si="28"/>
        <v>0</v>
      </c>
      <c r="S165" s="241">
        <f t="shared" si="28"/>
        <v>0</v>
      </c>
      <c r="T165" s="241">
        <f t="shared" si="28"/>
        <v>0</v>
      </c>
      <c r="U165" s="241">
        <f t="shared" si="28"/>
        <v>0</v>
      </c>
      <c r="V165" s="241">
        <f t="shared" si="28"/>
        <v>0</v>
      </c>
      <c r="W165" s="241">
        <f t="shared" si="28"/>
        <v>0</v>
      </c>
      <c r="X165" s="241">
        <f t="shared" si="28"/>
        <v>0</v>
      </c>
      <c r="Y165" s="241">
        <f t="shared" si="28"/>
        <v>0</v>
      </c>
      <c r="Z165" s="241">
        <f t="shared" si="28"/>
        <v>0</v>
      </c>
      <c r="AA165" s="241">
        <f t="shared" si="28"/>
        <v>0</v>
      </c>
      <c r="AB165" s="241">
        <f t="shared" si="28"/>
        <v>0</v>
      </c>
      <c r="AC165" s="241">
        <f t="shared" si="28"/>
        <v>0</v>
      </c>
      <c r="AD165" s="241">
        <f t="shared" si="28"/>
        <v>0</v>
      </c>
      <c r="AE165" s="241">
        <f t="shared" si="28"/>
        <v>0</v>
      </c>
      <c r="AF165" s="241">
        <f t="shared" si="28"/>
        <v>0</v>
      </c>
      <c r="AG165" s="241">
        <f t="shared" si="28"/>
        <v>0</v>
      </c>
      <c r="AH165" s="241">
        <f t="shared" si="28"/>
        <v>0</v>
      </c>
      <c r="AI165" s="241">
        <f t="shared" si="28"/>
        <v>0</v>
      </c>
      <c r="AJ165" s="241">
        <f t="shared" si="28"/>
        <v>0</v>
      </c>
      <c r="AK165" s="241">
        <f t="shared" si="28"/>
        <v>0</v>
      </c>
      <c r="AL165" s="241">
        <f t="shared" si="28"/>
        <v>0</v>
      </c>
      <c r="AM165" s="241">
        <f t="shared" si="28"/>
        <v>0</v>
      </c>
      <c r="AN165" s="241">
        <f t="shared" si="28"/>
        <v>0</v>
      </c>
      <c r="AO165" s="241">
        <f t="shared" si="28"/>
        <v>0</v>
      </c>
      <c r="AP165" s="241">
        <f t="shared" si="28"/>
        <v>0</v>
      </c>
      <c r="AQ165" s="241">
        <f t="shared" si="28"/>
        <v>0</v>
      </c>
      <c r="AR165" s="241">
        <f t="shared" si="28"/>
        <v>0</v>
      </c>
      <c r="AS165" s="241">
        <f t="shared" si="28"/>
        <v>0</v>
      </c>
      <c r="AT165" s="241">
        <f t="shared" si="28"/>
        <v>0</v>
      </c>
      <c r="AU165" s="241">
        <f t="shared" si="28"/>
        <v>0</v>
      </c>
      <c r="AV165" s="241">
        <f t="shared" si="28"/>
        <v>0</v>
      </c>
      <c r="AW165" s="259"/>
    </row>
    <row r="166">
      <c r="A166" s="122"/>
      <c r="B166" s="123"/>
      <c r="C166" s="450"/>
      <c r="D166" s="131"/>
      <c r="E166" s="272" t="s">
        <v>478</v>
      </c>
      <c r="F166" s="200" t="s">
        <v>72</v>
      </c>
      <c r="G166" s="487" t="s">
        <v>161</v>
      </c>
      <c r="H166" s="228" t="s">
        <v>162</v>
      </c>
      <c r="I166" s="385">
        <f t="shared" ref="I166:AV166" si="29">I71*(1+$H$160)</f>
        <v>0.02826042921</v>
      </c>
      <c r="J166" s="385">
        <f t="shared" si="29"/>
        <v>0.03393472572</v>
      </c>
      <c r="K166" s="385">
        <f t="shared" si="29"/>
        <v>0.05198353652</v>
      </c>
      <c r="L166" s="385">
        <f t="shared" si="29"/>
        <v>0.05260755049</v>
      </c>
      <c r="M166" s="385">
        <f t="shared" si="29"/>
        <v>0.03716056064</v>
      </c>
      <c r="N166" s="385">
        <f t="shared" si="29"/>
        <v>0.04059263747</v>
      </c>
      <c r="O166" s="385">
        <f t="shared" si="29"/>
        <v>0.05972025208</v>
      </c>
      <c r="P166" s="385">
        <f t="shared" si="29"/>
        <v>0.01814928762</v>
      </c>
      <c r="Q166" s="462">
        <f t="shared" si="29"/>
        <v>0.04307282858</v>
      </c>
      <c r="R166" s="385">
        <f t="shared" si="29"/>
        <v>0.07055588446</v>
      </c>
      <c r="S166" s="385">
        <f t="shared" si="29"/>
        <v>0.05672181208</v>
      </c>
      <c r="T166" s="385">
        <f t="shared" si="29"/>
        <v>0.06711323113</v>
      </c>
      <c r="U166" s="385">
        <f t="shared" si="29"/>
        <v>0.0637499016</v>
      </c>
      <c r="V166" s="385">
        <f t="shared" si="29"/>
        <v>0.06269225081</v>
      </c>
      <c r="W166" s="385">
        <f t="shared" si="29"/>
        <v>0.06284561017</v>
      </c>
      <c r="X166" s="385">
        <f t="shared" si="29"/>
        <v>0.03571686731</v>
      </c>
      <c r="Y166" s="385">
        <f t="shared" si="29"/>
        <v>0.07438458033</v>
      </c>
      <c r="Z166" s="385">
        <f t="shared" si="29"/>
        <v>0.06850933017</v>
      </c>
      <c r="AA166" s="385">
        <f t="shared" si="29"/>
        <v>0.08648939367</v>
      </c>
      <c r="AB166" s="385">
        <f t="shared" si="29"/>
        <v>0.07433698605</v>
      </c>
      <c r="AC166" s="385">
        <f t="shared" si="29"/>
        <v>0.08841960637</v>
      </c>
      <c r="AD166" s="385">
        <f t="shared" si="29"/>
        <v>0.07502445906</v>
      </c>
      <c r="AE166" s="385">
        <f t="shared" si="29"/>
        <v>0.08290924573</v>
      </c>
      <c r="AF166" s="385">
        <f t="shared" si="29"/>
        <v>0.06983668192</v>
      </c>
      <c r="AG166" s="385">
        <f t="shared" si="29"/>
        <v>0.05260755049</v>
      </c>
      <c r="AH166" s="385">
        <f t="shared" si="29"/>
        <v>0.06801752255</v>
      </c>
      <c r="AI166" s="385">
        <f t="shared" si="29"/>
        <v>0.05951401017</v>
      </c>
      <c r="AJ166" s="385">
        <f t="shared" si="29"/>
        <v>0.08115354541</v>
      </c>
      <c r="AK166" s="385">
        <f t="shared" si="29"/>
        <v>0.05230083176</v>
      </c>
      <c r="AL166" s="385">
        <f t="shared" si="29"/>
        <v>0.05014322414</v>
      </c>
      <c r="AM166" s="385">
        <f t="shared" si="29"/>
        <v>0.05014322414</v>
      </c>
      <c r="AN166" s="385">
        <f t="shared" si="29"/>
        <v>0.05014322414</v>
      </c>
      <c r="AO166" s="385">
        <f t="shared" si="29"/>
        <v>0.05253880319</v>
      </c>
      <c r="AP166" s="385">
        <f t="shared" si="29"/>
        <v>0.06196247176</v>
      </c>
      <c r="AQ166" s="385">
        <f t="shared" si="29"/>
        <v>0.0751460889</v>
      </c>
      <c r="AR166" s="385">
        <f t="shared" si="29"/>
        <v>0.05727179049</v>
      </c>
      <c r="AS166" s="385">
        <f t="shared" si="29"/>
        <v>0.06457486922</v>
      </c>
      <c r="AT166" s="385">
        <f t="shared" si="29"/>
        <v>0.07889017272</v>
      </c>
      <c r="AU166" s="385">
        <f t="shared" si="29"/>
        <v>0.06083607366</v>
      </c>
      <c r="AV166" s="385">
        <f t="shared" si="29"/>
        <v>0.06665844128</v>
      </c>
      <c r="AW166" s="274"/>
    </row>
    <row r="167">
      <c r="A167" s="122"/>
      <c r="B167" s="123"/>
      <c r="C167" s="450"/>
      <c r="D167" s="131"/>
      <c r="E167" s="269"/>
      <c r="F167" s="141"/>
      <c r="G167" s="448"/>
      <c r="H167" s="188"/>
      <c r="I167" s="317"/>
      <c r="J167" s="317"/>
      <c r="K167" s="317"/>
      <c r="L167" s="317"/>
      <c r="M167" s="317"/>
      <c r="N167" s="317"/>
      <c r="O167" s="317"/>
      <c r="P167" s="317"/>
      <c r="Q167" s="449"/>
      <c r="R167" s="317"/>
      <c r="S167" s="317"/>
      <c r="T167" s="317"/>
      <c r="U167" s="317"/>
      <c r="V167" s="317"/>
      <c r="W167" s="317"/>
      <c r="X167" s="317"/>
      <c r="Y167" s="317"/>
      <c r="Z167" s="317"/>
      <c r="AA167" s="317"/>
      <c r="AB167" s="317"/>
      <c r="AC167" s="317"/>
      <c r="AD167" s="317"/>
      <c r="AE167" s="317"/>
      <c r="AF167" s="317"/>
      <c r="AG167" s="317"/>
      <c r="AH167" s="317"/>
      <c r="AI167" s="317"/>
      <c r="AJ167" s="317"/>
      <c r="AK167" s="317"/>
      <c r="AL167" s="317"/>
      <c r="AM167" s="317"/>
      <c r="AN167" s="317"/>
      <c r="AO167" s="317"/>
      <c r="AP167" s="317"/>
      <c r="AQ167" s="317"/>
      <c r="AR167" s="317"/>
      <c r="AS167" s="317"/>
      <c r="AT167" s="317"/>
      <c r="AU167" s="317"/>
      <c r="AV167" s="317"/>
      <c r="AW167" s="130"/>
    </row>
    <row r="168">
      <c r="A168" s="122"/>
      <c r="B168" s="123"/>
      <c r="C168" s="450" t="s">
        <v>479</v>
      </c>
      <c r="F168" s="141"/>
      <c r="G168" s="448"/>
      <c r="H168" s="188"/>
      <c r="I168" s="317"/>
      <c r="J168" s="317"/>
      <c r="K168" s="317"/>
      <c r="L168" s="317"/>
      <c r="M168" s="317"/>
      <c r="N168" s="317"/>
      <c r="O168" s="317"/>
      <c r="P168" s="317"/>
      <c r="Q168" s="449"/>
      <c r="R168" s="317"/>
      <c r="S168" s="317"/>
      <c r="T168" s="317"/>
      <c r="U168" s="317"/>
      <c r="V168" s="317"/>
      <c r="W168" s="317"/>
      <c r="X168" s="317"/>
      <c r="Y168" s="317"/>
      <c r="Z168" s="317"/>
      <c r="AA168" s="317"/>
      <c r="AB168" s="317"/>
      <c r="AC168" s="317"/>
      <c r="AD168" s="317"/>
      <c r="AE168" s="317"/>
      <c r="AF168" s="317"/>
      <c r="AG168" s="317"/>
      <c r="AH168" s="317"/>
      <c r="AI168" s="317"/>
      <c r="AJ168" s="317"/>
      <c r="AK168" s="317"/>
      <c r="AL168" s="317"/>
      <c r="AM168" s="317"/>
      <c r="AN168" s="317"/>
      <c r="AO168" s="317"/>
      <c r="AP168" s="317"/>
      <c r="AQ168" s="317"/>
      <c r="AR168" s="317"/>
      <c r="AS168" s="317"/>
      <c r="AT168" s="317"/>
      <c r="AU168" s="317"/>
      <c r="AV168" s="317"/>
      <c r="AW168" s="130"/>
    </row>
    <row r="169">
      <c r="A169" s="122"/>
      <c r="B169" s="123"/>
      <c r="C169" s="450"/>
      <c r="D169" s="131"/>
      <c r="E169" s="490" t="s">
        <v>215</v>
      </c>
      <c r="F169" s="134" t="s">
        <v>72</v>
      </c>
      <c r="G169" s="491" t="s">
        <v>161</v>
      </c>
      <c r="H169" s="146" t="s">
        <v>162</v>
      </c>
      <c r="I169" s="407">
        <f t="shared" ref="I169:AV169" si="30">SUMPRODUCT($H141:$H146,I149:I154,I161:I166)/I157</f>
        <v>0.03077732535</v>
      </c>
      <c r="J169" s="407">
        <f t="shared" si="30"/>
        <v>0.0370015064</v>
      </c>
      <c r="K169" s="407">
        <f t="shared" si="30"/>
        <v>0.04594883691</v>
      </c>
      <c r="L169" s="407">
        <f t="shared" si="30"/>
        <v>0.05635984666</v>
      </c>
      <c r="M169" s="407">
        <f t="shared" si="30"/>
        <v>0.04088924151</v>
      </c>
      <c r="N169" s="407">
        <f t="shared" si="30"/>
        <v>0.03772638276</v>
      </c>
      <c r="O169" s="407">
        <f t="shared" si="30"/>
        <v>0.04293308409</v>
      </c>
      <c r="P169" s="407">
        <f t="shared" si="30"/>
        <v>0.01995272895</v>
      </c>
      <c r="Q169" s="481">
        <f t="shared" si="30"/>
        <v>0.03289826689</v>
      </c>
      <c r="R169" s="407">
        <f t="shared" si="30"/>
        <v>0.07140064738</v>
      </c>
      <c r="S169" s="407">
        <f t="shared" si="30"/>
        <v>0.05462833046</v>
      </c>
      <c r="T169" s="407">
        <f t="shared" si="30"/>
        <v>0.06698531084</v>
      </c>
      <c r="U169" s="407">
        <f t="shared" si="30"/>
        <v>0.06735906622</v>
      </c>
      <c r="V169" s="407">
        <f t="shared" si="30"/>
        <v>0.05512203534</v>
      </c>
      <c r="W169" s="407">
        <f t="shared" si="30"/>
        <v>0.05442065788</v>
      </c>
      <c r="X169" s="407">
        <f t="shared" si="30"/>
        <v>0.03761490214</v>
      </c>
      <c r="Y169" s="407">
        <f t="shared" si="30"/>
        <v>0.07260820592</v>
      </c>
      <c r="Z169" s="407">
        <f t="shared" si="30"/>
        <v>0.06423460155</v>
      </c>
      <c r="AA169" s="407">
        <f t="shared" si="30"/>
        <v>0.07487954373</v>
      </c>
      <c r="AB169" s="407">
        <f t="shared" si="30"/>
        <v>0.07324247543</v>
      </c>
      <c r="AC169" s="407">
        <f t="shared" si="30"/>
        <v>0.07660036338</v>
      </c>
      <c r="AD169" s="407">
        <f t="shared" si="30"/>
        <v>0.07762103838</v>
      </c>
      <c r="AE169" s="407">
        <f t="shared" si="30"/>
        <v>0.07606460305</v>
      </c>
      <c r="AF169" s="407">
        <f t="shared" si="30"/>
        <v>0.07787584654</v>
      </c>
      <c r="AG169" s="407">
        <f t="shared" si="30"/>
        <v>0.05635984666</v>
      </c>
      <c r="AH169" s="407">
        <f t="shared" si="30"/>
        <v>0.06394578421</v>
      </c>
      <c r="AI169" s="407">
        <f t="shared" si="30"/>
        <v>0.05186504472</v>
      </c>
      <c r="AJ169" s="407">
        <f t="shared" si="30"/>
        <v>0.07855489969</v>
      </c>
      <c r="AK169" s="407">
        <f t="shared" si="30"/>
        <v>0.05420805652</v>
      </c>
      <c r="AL169" s="407">
        <f t="shared" si="30"/>
        <v>0.04231672445</v>
      </c>
      <c r="AM169" s="407">
        <f t="shared" si="30"/>
        <v>0.04231672445</v>
      </c>
      <c r="AN169" s="407">
        <f t="shared" si="30"/>
        <v>0.04231672445</v>
      </c>
      <c r="AO169" s="407">
        <f t="shared" si="30"/>
        <v>0.05228710385</v>
      </c>
      <c r="AP169" s="407">
        <f t="shared" si="30"/>
        <v>0.0555600858</v>
      </c>
      <c r="AQ169" s="407">
        <f t="shared" si="30"/>
        <v>0.0724011807</v>
      </c>
      <c r="AR169" s="407">
        <f t="shared" si="30"/>
        <v>0.05498916218</v>
      </c>
      <c r="AS169" s="407">
        <f t="shared" si="30"/>
        <v>0.05806261015</v>
      </c>
      <c r="AT169" s="407">
        <f t="shared" si="30"/>
        <v>0.07269240961</v>
      </c>
      <c r="AU169" s="407">
        <f t="shared" si="30"/>
        <v>0.04649093507</v>
      </c>
      <c r="AV169" s="407">
        <f t="shared" si="30"/>
        <v>0.0507948186</v>
      </c>
      <c r="AW169" s="409"/>
    </row>
    <row r="170">
      <c r="A170" s="432"/>
      <c r="B170" s="433"/>
      <c r="C170" s="501"/>
      <c r="D170" s="433"/>
      <c r="E170" s="434"/>
      <c r="F170" s="435"/>
      <c r="G170" s="436"/>
      <c r="H170" s="406"/>
      <c r="I170" s="502"/>
      <c r="J170" s="502"/>
      <c r="K170" s="502"/>
      <c r="L170" s="502"/>
      <c r="M170" s="502"/>
      <c r="N170" s="502"/>
      <c r="O170" s="502"/>
      <c r="P170" s="502"/>
      <c r="Q170" s="503"/>
      <c r="R170" s="502"/>
      <c r="S170" s="502"/>
      <c r="T170" s="502"/>
      <c r="U170" s="502"/>
      <c r="V170" s="502"/>
      <c r="W170" s="502"/>
      <c r="X170" s="502"/>
      <c r="Y170" s="502"/>
      <c r="Z170" s="502"/>
      <c r="AA170" s="502"/>
      <c r="AB170" s="502"/>
      <c r="AC170" s="502"/>
      <c r="AD170" s="502"/>
      <c r="AE170" s="502"/>
      <c r="AF170" s="502"/>
      <c r="AG170" s="502"/>
      <c r="AH170" s="502"/>
      <c r="AI170" s="502"/>
      <c r="AJ170" s="502"/>
      <c r="AK170" s="502"/>
      <c r="AL170" s="502"/>
      <c r="AM170" s="502"/>
      <c r="AN170" s="502"/>
      <c r="AO170" s="502"/>
      <c r="AP170" s="502"/>
      <c r="AQ170" s="502"/>
      <c r="AR170" s="502"/>
      <c r="AS170" s="502"/>
      <c r="AT170" s="502"/>
      <c r="AU170" s="502"/>
      <c r="AV170" s="502"/>
      <c r="AW170" s="409"/>
    </row>
  </sheetData>
  <mergeCells count="30">
    <mergeCell ref="I1:Q1"/>
    <mergeCell ref="R1:AE1"/>
    <mergeCell ref="AF1:AV1"/>
    <mergeCell ref="A3:E3"/>
    <mergeCell ref="A5:G5"/>
    <mergeCell ref="C7:E7"/>
    <mergeCell ref="C21:E21"/>
    <mergeCell ref="C35:E35"/>
    <mergeCell ref="A44:G44"/>
    <mergeCell ref="C46:E46"/>
    <mergeCell ref="C54:E54"/>
    <mergeCell ref="C62:E62"/>
    <mergeCell ref="C65:E65"/>
    <mergeCell ref="C73:E73"/>
    <mergeCell ref="A76:G76"/>
    <mergeCell ref="C78:E78"/>
    <mergeCell ref="C86:E86"/>
    <mergeCell ref="C94:E94"/>
    <mergeCell ref="C97:E97"/>
    <mergeCell ref="C106:E106"/>
    <mergeCell ref="C109:E109"/>
    <mergeCell ref="C159:E159"/>
    <mergeCell ref="C168:E168"/>
    <mergeCell ref="C117:E117"/>
    <mergeCell ref="C125:E125"/>
    <mergeCell ref="C128:E128"/>
    <mergeCell ref="C137:E137"/>
    <mergeCell ref="C140:E140"/>
    <mergeCell ref="C148:E148"/>
    <mergeCell ref="C156:E156"/>
  </mergeCells>
  <hyperlinks>
    <hyperlink display="Baseline proportion of children in the target population who receive the BCG vaccine" location="'Vaccine coverage'!E96" ref="E8"/>
    <hyperlink display="Baseline proportion of children in the target population who receive the 1st dose of the Penta vaccine" location="'Vaccine coverage'!E97" ref="E9"/>
    <hyperlink display="Baseline proportion of children in the target population who receive the 2nd dose of the Penta vaccine" location="'Vaccine coverage'!E98" ref="E10"/>
    <hyperlink display="Baseline proportion of children in the target population who receive the 3rd dose of the Penta vaccine" location="'Vaccine coverage'!E99" ref="E11"/>
    <hyperlink display="Baseline proportion of children in the target population who receive the 1st dose of the PCV vaccine" location="'Vaccine coverage'!E108" ref="E12"/>
    <hyperlink display="Baseline proportion of children in the target population who receive the 2nd dose of the PCV vaccine" location="'Vaccine coverage'!E109" ref="E13"/>
    <hyperlink display="Baseline proportion of children in the target population who receive the 3rd dose of the PCV vaccine" location="'Vaccine coverage'!E110" ref="E14"/>
    <hyperlink display="Baseline proportion of children in the target population who receive the 1st dose of the rotavirus vaccine" location="'Vaccine coverage'!E115" ref="E15"/>
    <hyperlink display="Baseline proportion of children in the target population who receive the 2nd dose of the rotavirus vaccine" location="'Vaccine coverage'!E116" ref="E16"/>
    <hyperlink display="Baseline proportion of children in the target population who receive the 3rd dose of the rotavirus vaccine" location="'Vaccine coverage'!E117" ref="E17"/>
    <hyperlink display="Baseline proportion of children in the target population who receive the 1st dose of the measles vaccine" location="'Vaccine coverage'!E124" ref="E18"/>
    <hyperlink display="Baseline proportion of children in the target population who receive the 2nd dose of the measles vaccine" location="'Vaccine coverage'!E125" ref="E19"/>
    <hyperlink display="Proportion of vaccine-preventable mortalities among people under age 5 that could be prevented by the BCG vaccine" location="'Disease burden'!E388" ref="E22"/>
    <hyperlink display="Proportion of vaccine-preventable mortalities among people under age 5 that could be prevented by the 1st dose of the Penta vaccine" location="'Disease burden'!E389" ref="E23"/>
    <hyperlink display="Proportion of vaccine-preventable mortalities among people under age 5 that could be prevented by the 2nd dose of the Penta vaccine" location="'Disease burden'!E390" ref="E24"/>
    <hyperlink display="Proportion of vaccine-preventable mortalities among people under age 5 that could be prevented by the 3rd dose of the Penta vaccine" location="'Disease burden'!E391" ref="E25"/>
    <hyperlink display="Proportion of vaccine-preventable mortalities among people under age 5 that could be prevented by the 1st dose of the PCV vaccine" location="'Disease burden'!E392" ref="E26"/>
    <hyperlink display="Proportion of vaccine-preventable mortalities among people under age 5 that could be prevented by the 2nd dose of the PCV vaccine" location="'Disease burden'!E393" ref="E27"/>
    <hyperlink display="Proportion of vaccine-preventable mortalities among people under age 5 that could be prevented by the 3rd dose of the PCV vaccine" location="'Disease burden'!E394" ref="E28"/>
    <hyperlink display="Proportion of vaccine-preventable mortalities among people under age 5 that could be prevented by the 1st dose of the rotavirus vaccine" location="'Disease burden'!E395" ref="E29"/>
    <hyperlink display="Proportion of vaccine-preventable mortalities among people under age 5 that could be prevented by the 2nd dose of the rotavirus vaccine" location="'Disease burden'!E396" ref="E30"/>
    <hyperlink display="Proportion of vaccine-preventable mortalities among people under age 5 that could be prevented by the 3rd dose of the rotavirus vaccine" location="'Disease burden'!E397" ref="E31"/>
    <hyperlink display="Proportion of vaccine-preventable mortalities among people under age 5 that could be prevented by the 1st dose of the measles vaccine" location="'Disease burden'!E398" ref="E32"/>
    <hyperlink display="Proportion of vaccine-preventable mortalities among people under age 5 that could be prevented by the 2nd dose of the measles vaccine" location="'Disease burden'!E399" ref="E33"/>
    <hyperlink display="BCG vaccine efficacy rate with universal coverage" location="'Vaccine efficacy'!E50" ref="E47"/>
    <hyperlink display="DTP vaccine efficacy rate with universal coverage (part of the Penta vaccine)" location="'Vaccine efficacy'!E51" ref="E48"/>
    <hyperlink display="Hib vaccine efficacy rate with universal coverage (part of the Penta vaccine)" location="'Vaccine efficacy'!E52" ref="E49"/>
    <hyperlink display="PCV vaccine efficacy rate with universal coverage" location="'Vaccine efficacy'!E53" ref="E50"/>
    <hyperlink display="Rotavirus vaccine efficacy rate with universal coverage" location="'Vaccine efficacy'!E54" ref="E51"/>
    <hyperlink display="Measles vaccine efficacy rate with universal coverage" location="'Vaccine efficacy'!E55" ref="E52"/>
    <hyperlink display="Proportion of deaths from vaccine-preventable causes among unvaccinated people under age 5 that are addressable by the BCG vaccine, adjusted for deaths occurring before the age of vaccination" location="'Disease burden'!E212" ref="E55"/>
    <hyperlink display="Proportion of deaths from vaccine-preventable causes among unvaccinated people under age 5 that are addressable by the DTP vaccine, adjusted for deaths occurring before the age of vaccination" location="'Disease burden'!E213" ref="E56"/>
    <hyperlink display="Proportion of deaths from vaccine-preventable causes among unvaccinated people under age 5 that are addressable by the Hib vaccine, adjusted for deaths occurring before the age of vaccination" location="'Disease burden'!E214" ref="E57"/>
    <hyperlink display="Proportion of deaths from vaccine-preventable causes among unvaccinated people under age 5 that are addressable by the PCV vaccine, adjusted for deaths occurring before the age of vaccination" location="'Disease burden'!E215" ref="E58"/>
    <hyperlink display="Proportion of deaths from vaccine-preventable causes among unvaccinated people under age 5 that are addressable by the rotavirus vaccine, adjusted for deaths occurring before the age of vaccination" location="'Disease burden'!E216" ref="E59"/>
    <hyperlink display="Proportion of deaths from vaccine-preventable causes among unvaccinated people under age 5 that are addressable by the measles vaccine, adjusted for deaths occurring before the age of vaccination" location="'Disease burden'!E217" ref="E60"/>
    <hyperlink display="Proportion of people under age 5 represented in GBD 2021 disease burden estimates who received the BCG vaccine" location="'Vaccine coverage'!E163" ref="E66"/>
    <hyperlink display="Proportion of people under age 5 represented in GBD 2021 disease burden estimates who received the DTP vaccine, aggregated across doses" location="'Vaccine coverage'!E164" ref="E67"/>
    <hyperlink display="Proportion of people under age 5 represented in GBD 2021 disease burden estimates who received the Hib vaccine, aggregated across doses" location="'Vaccine coverage'!E165" ref="E68"/>
    <hyperlink display="Proportion of people under age 5 represented in GBD 2021 disease burden estimates who received the PCV vaccine, aggregated across doses" location="'Vaccine coverage'!E166" ref="E69"/>
    <hyperlink display="Proportion of people under age 5 represented in GBD 2021 disease burden estimates who received the rotavirus vaccine, aggregated across doses" location="'Vaccine coverage'!E167" ref="E70"/>
    <hyperlink display="Proportion of people under age 5 represented in GBD 2021 disease burden estimates who received the measles vaccine" location="'Vaccine coverage'!E168" ref="E71"/>
    <hyperlink display="Proportion of vaccine-preventable disease incidence averted by BCG vaccination among 5-14-year-olds" location="'Disease burden'!E241" ref="E79"/>
    <hyperlink display="Proportion of vaccine-preventable disease incidence averted by DTP vaccination among 5-14-year-olds" location="'Disease burden'!E242" ref="E80"/>
    <hyperlink display="Proportion of vaccine-preventable disease incidence averted by Hib vaccination among 5-14-year-olds" location="'Disease burden'!E243" ref="E81"/>
    <hyperlink display="Proportion of vaccine-preventable disease incidence averted by PCV vaccination among 5-14-year-olds" location="'Disease burden'!E244" ref="E82"/>
    <hyperlink display="Proportion of vaccine-preventable disease incidence averted by rotavirus vaccination among 5-14-year-olds" location="'Disease burden'!E245" ref="E83"/>
    <hyperlink display="Proportion of vaccine-preventable disease incidence averted by measles vaccination among 5-14-year-olds" location="'Disease burden'!E246" ref="E84"/>
    <hyperlink display="Proportion of deaths from vaccine-preventable causes among unvaccinated 5-14-year-olds that are addressable by the BCG vaccine" location="'Disease burden'!E258" ref="E87"/>
    <hyperlink display="Proportion of deaths from vaccine-preventable causes among unvaccinated 5-14-year-olds that are addressable by the DTP vaccine" location="'Disease burden'!E259" ref="E88"/>
    <hyperlink display="Proportion of deaths from vaccine-preventable causes among unvaccinated 5-14-year-olds that are addressable by the Hib vaccine" location="'Disease burden'!E260" ref="E89"/>
    <hyperlink display="Proportion of deaths from vaccine-preventable causes among unvaccinated 5-14-year-olds that are addressable by the PCV vaccine" location="'Disease burden'!E261" ref="E90"/>
    <hyperlink display="Proportion of deaths from vaccine-preventable causes among unvaccinated 5-14-year-olds that are addressable by the rotavirus vaccine" location="'Disease burden'!E262" ref="E91"/>
    <hyperlink display="Proportion of deaths from vaccine-preventable causes among unvaccinated 5-14-year-olds that are addressable by the measles vaccine" location="'Disease burden'!E263" ref="E92"/>
    <hyperlink display="Adjustment for lower vaccine coverage among 5-14-year-olds represented in GBD 2021 disease burden estimates" location="Inputs!E193" ref="E98"/>
    <hyperlink display="Proportion of vaccine-preventable disease incidence averted by BCG vaccination among 15-49-year-olds" location="'Disease burden'!E286" ref="E110"/>
    <hyperlink display="Proportion of vaccine-preventable disease incidence averted by DTP vaccination among 15-49-year-olds" location="'Disease burden'!E287" ref="E111"/>
    <hyperlink display="Proportion of vaccine-preventable disease incidence averted by Hib vaccination among 15-49-year-olds" location="'Disease burden'!E288" ref="E112"/>
    <hyperlink display="Proportion of vaccine-preventable disease incidence averted by PCV vaccination among 15-49-year-olds" location="'Disease burden'!E289" ref="E113"/>
    <hyperlink display="Proportion of vaccine-preventable disease incidence averted by rotavirus vaccination among 15-49-year-olds" location="'Disease burden'!E290" ref="E114"/>
    <hyperlink display="Proportion of vaccine-preventable disease incidence averted by measles vaccination among 15-49-year-olds" location="'Disease burden'!E291" ref="E115"/>
    <hyperlink display="Proportion of deaths from vaccine-preventable causes among unvaccinated 15-49-year-olds that are addressable by the BCG vaccine" location="'Disease burden'!E303" ref="E118"/>
    <hyperlink display="Proportion of deaths from vaccine-preventable causes among unvaccinated 15-49-year-olds that are addressable by the DTP vaccine" location="'Disease burden'!E304" ref="E119"/>
    <hyperlink display="Proportion of deaths from vaccine-preventable causes among unvaccinated 15-49-year-olds that are addressable by the Hib vaccine" location="'Disease burden'!E305" ref="E120"/>
    <hyperlink display="Proportion of deaths from vaccine-preventable causes among unvaccinated 15-49-year-olds that are addressable by the PCV vaccine" location="'Disease burden'!E306" ref="E121"/>
    <hyperlink display="Proportion of deaths from vaccine-preventable causes among unvaccinated 15-49-year-olds that are addressable by the rotavirus vaccine" location="'Disease burden'!E307" ref="E122"/>
    <hyperlink display="Proportion of deaths from vaccine-preventable causes among unvaccinated 15-49-year-olds that are addressable by the measles vaccine" location="'Disease burden'!E308" ref="E123"/>
    <hyperlink display="Adjustment for lower vaccine coverage among 15-49-year-olds represented in GBD 2021 disease burden estimates" location="Inputs!E196" ref="E129"/>
    <hyperlink display="Proportion of vaccine-preventable disease incidence averted by BCG vaccination among 50-74-year-olds" location="'Disease burden'!E331" ref="E141"/>
    <hyperlink display="Proportion of vaccine-preventable disease incidence averted by DTP vaccination among 50-74-year-olds" location="'Disease burden'!E332" ref="E142"/>
    <hyperlink display="Proportion of vaccine-preventable disease incidence averted by Hib vaccination among 50-74-year-olds" location="'Disease burden'!E333" ref="E143"/>
    <hyperlink display="Proportion of vaccine-preventable disease incidence averted by PCV vaccination among 50-74-year-olds" location="'Disease burden'!E334" ref="E144"/>
    <hyperlink display="Proportion of vaccine-preventable disease incidence averted by rotavirus vaccination among 50-74-year-olds" location="'Disease burden'!E335" ref="E145"/>
    <hyperlink display="Proportion of vaccine-preventable disease incidence averted by measles vaccination among 50-74-year-olds" location="'Disease burden'!E336" ref="E146"/>
    <hyperlink display="Proportion of deaths from vaccine-preventable causes among unvaccinated 50-74-year-olds that are addressable by the BCG vaccine" location="'Disease burden'!E348" ref="E149"/>
    <hyperlink display="Proportion of deaths from vaccine-preventable causes among unvaccinated 50-74-year-olds that are addressable by the DTP vaccine" location="'Disease burden'!E349" ref="E150"/>
    <hyperlink display="Proportion of deaths from vaccine-preventable causes among unvaccinated 50-74-year-olds that are addressable by the Hib vaccine" location="'Disease burden'!E350" ref="E151"/>
    <hyperlink display="Proportion of deaths from vaccine-preventable causes among unvaccinated 50-74-year-olds that are addressable by the PCV vaccine" location="'Disease burden'!E351" ref="E152"/>
    <hyperlink display="Proportion of deaths from vaccine-preventable causes among unvaccinated 50-74-year-olds that are addressable by the rotavirus vaccine" location="'Disease burden'!E352" ref="E153"/>
    <hyperlink display="Proportion of deaths from vaccine-preventable causes among unvaccinated 50-74-year-olds that are addressable by the measles vaccine" location="'Disease burden'!E353" ref="E154"/>
    <hyperlink display="Adjustment for lower vaccine coverage among 50-74-year-olds represented in GBD 2021 disease burden estimates" location="Inputs!E200" ref="E160"/>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5"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6"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480</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3"/>
      <c r="B7" s="123"/>
      <c r="C7" s="53" t="s">
        <v>480</v>
      </c>
      <c r="F7" s="125"/>
      <c r="G7" s="48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3"/>
      <c r="B8" s="123"/>
      <c r="C8" s="53"/>
      <c r="D8" s="53"/>
      <c r="E8" s="507" t="s">
        <v>481</v>
      </c>
      <c r="F8" s="356" t="str">
        <f>Inputs!F208</f>
        <v>%</v>
      </c>
      <c r="G8" s="508" t="str">
        <f>Inputs!G208</f>
        <v>input</v>
      </c>
      <c r="H8" s="255">
        <f>Inputs!H208</f>
        <v>0.63</v>
      </c>
      <c r="I8" s="509" t="str">
        <f>Inputs!I208</f>
        <v>-</v>
      </c>
      <c r="J8" s="509" t="str">
        <f>Inputs!J208</f>
        <v>-</v>
      </c>
      <c r="K8" s="509" t="str">
        <f>Inputs!K208</f>
        <v>-</v>
      </c>
      <c r="L8" s="509" t="str">
        <f>Inputs!L208</f>
        <v>-</v>
      </c>
      <c r="M8" s="509" t="str">
        <f>Inputs!M208</f>
        <v>-</v>
      </c>
      <c r="N8" s="509" t="str">
        <f>Inputs!N208</f>
        <v>-</v>
      </c>
      <c r="O8" s="509" t="str">
        <f>Inputs!O208</f>
        <v>-</v>
      </c>
      <c r="P8" s="509" t="str">
        <f>Inputs!P208</f>
        <v>-</v>
      </c>
      <c r="Q8" s="509" t="str">
        <f>Inputs!Q208</f>
        <v>-</v>
      </c>
      <c r="R8" s="509" t="str">
        <f>Inputs!R208</f>
        <v>-</v>
      </c>
      <c r="S8" s="509" t="str">
        <f>Inputs!S208</f>
        <v>-</v>
      </c>
      <c r="T8" s="509" t="str">
        <f>Inputs!T208</f>
        <v>-</v>
      </c>
      <c r="U8" s="509" t="str">
        <f>Inputs!U208</f>
        <v>-</v>
      </c>
      <c r="V8" s="509" t="str">
        <f>Inputs!V208</f>
        <v>-</v>
      </c>
      <c r="W8" s="509" t="str">
        <f>Inputs!W208</f>
        <v>-</v>
      </c>
      <c r="X8" s="509" t="str">
        <f>Inputs!X208</f>
        <v>-</v>
      </c>
      <c r="Y8" s="509" t="str">
        <f>Inputs!Y208</f>
        <v>-</v>
      </c>
      <c r="Z8" s="509" t="str">
        <f>Inputs!Z208</f>
        <v>-</v>
      </c>
      <c r="AA8" s="509" t="str">
        <f>Inputs!AA208</f>
        <v>-</v>
      </c>
      <c r="AB8" s="509" t="str">
        <f>Inputs!AB208</f>
        <v>-</v>
      </c>
      <c r="AC8" s="509" t="str">
        <f>Inputs!AC208</f>
        <v>-</v>
      </c>
      <c r="AD8" s="509" t="str">
        <f>Inputs!AD208</f>
        <v>-</v>
      </c>
      <c r="AE8" s="509" t="str">
        <f>Inputs!AE208</f>
        <v>-</v>
      </c>
      <c r="AF8" s="509" t="str">
        <f>Inputs!AF208</f>
        <v>-</v>
      </c>
      <c r="AG8" s="509" t="str">
        <f>Inputs!AG208</f>
        <v>-</v>
      </c>
      <c r="AH8" s="509" t="str">
        <f>Inputs!AH208</f>
        <v>-</v>
      </c>
      <c r="AI8" s="509" t="str">
        <f>Inputs!AI208</f>
        <v>-</v>
      </c>
      <c r="AJ8" s="509" t="str">
        <f>Inputs!AJ208</f>
        <v>-</v>
      </c>
      <c r="AK8" s="509" t="str">
        <f>Inputs!AK208</f>
        <v>-</v>
      </c>
      <c r="AL8" s="509" t="str">
        <f>Inputs!AL208</f>
        <v>-</v>
      </c>
      <c r="AM8" s="509" t="str">
        <f>Inputs!AM208</f>
        <v>-</v>
      </c>
      <c r="AN8" s="509" t="str">
        <f>Inputs!AN208</f>
        <v>-</v>
      </c>
      <c r="AO8" s="509" t="str">
        <f>Inputs!AO208</f>
        <v>-</v>
      </c>
      <c r="AP8" s="509" t="str">
        <f>Inputs!AP208</f>
        <v>-</v>
      </c>
      <c r="AQ8" s="509" t="str">
        <f>Inputs!AQ208</f>
        <v>-</v>
      </c>
      <c r="AR8" s="509" t="str">
        <f>Inputs!AR208</f>
        <v>-</v>
      </c>
      <c r="AS8" s="509" t="str">
        <f>Inputs!AS208</f>
        <v>-</v>
      </c>
      <c r="AT8" s="509" t="str">
        <f>Inputs!AT208</f>
        <v>-</v>
      </c>
      <c r="AU8" s="509" t="str">
        <f>Inputs!AU208</f>
        <v>-</v>
      </c>
      <c r="AV8" s="509" t="str">
        <f>Inputs!AV208</f>
        <v>-</v>
      </c>
      <c r="AW8" s="256"/>
    </row>
    <row r="9">
      <c r="A9" s="123"/>
      <c r="B9" s="123"/>
      <c r="C9" s="53"/>
      <c r="D9" s="53"/>
      <c r="E9" s="510" t="s">
        <v>482</v>
      </c>
      <c r="F9" s="395" t="str">
        <f>Inputs!F209</f>
        <v>%</v>
      </c>
      <c r="G9" s="511" t="str">
        <f>Inputs!G209</f>
        <v>input</v>
      </c>
      <c r="H9" s="258">
        <f>Inputs!H209</f>
        <v>0.5419</v>
      </c>
      <c r="I9" s="512" t="str">
        <f>Inputs!I209</f>
        <v>-</v>
      </c>
      <c r="J9" s="512" t="str">
        <f>Inputs!J209</f>
        <v>-</v>
      </c>
      <c r="K9" s="512" t="str">
        <f>Inputs!K209</f>
        <v>-</v>
      </c>
      <c r="L9" s="512" t="str">
        <f>Inputs!L209</f>
        <v>-</v>
      </c>
      <c r="M9" s="512" t="str">
        <f>Inputs!M209</f>
        <v>-</v>
      </c>
      <c r="N9" s="512" t="str">
        <f>Inputs!N209</f>
        <v>-</v>
      </c>
      <c r="O9" s="512" t="str">
        <f>Inputs!O209</f>
        <v>-</v>
      </c>
      <c r="P9" s="512" t="str">
        <f>Inputs!P209</f>
        <v>-</v>
      </c>
      <c r="Q9" s="512" t="str">
        <f>Inputs!Q209</f>
        <v>-</v>
      </c>
      <c r="R9" s="512" t="str">
        <f>Inputs!R209</f>
        <v>-</v>
      </c>
      <c r="S9" s="512" t="str">
        <f>Inputs!S209</f>
        <v>-</v>
      </c>
      <c r="T9" s="512" t="str">
        <f>Inputs!T209</f>
        <v>-</v>
      </c>
      <c r="U9" s="512" t="str">
        <f>Inputs!U209</f>
        <v>-</v>
      </c>
      <c r="V9" s="512" t="str">
        <f>Inputs!V209</f>
        <v>-</v>
      </c>
      <c r="W9" s="512" t="str">
        <f>Inputs!W209</f>
        <v>-</v>
      </c>
      <c r="X9" s="512" t="str">
        <f>Inputs!X209</f>
        <v>-</v>
      </c>
      <c r="Y9" s="512" t="str">
        <f>Inputs!Y209</f>
        <v>-</v>
      </c>
      <c r="Z9" s="512" t="str">
        <f>Inputs!Z209</f>
        <v>-</v>
      </c>
      <c r="AA9" s="512" t="str">
        <f>Inputs!AA209</f>
        <v>-</v>
      </c>
      <c r="AB9" s="512" t="str">
        <f>Inputs!AB209</f>
        <v>-</v>
      </c>
      <c r="AC9" s="512" t="str">
        <f>Inputs!AC209</f>
        <v>-</v>
      </c>
      <c r="AD9" s="512" t="str">
        <f>Inputs!AD209</f>
        <v>-</v>
      </c>
      <c r="AE9" s="512" t="str">
        <f>Inputs!AE209</f>
        <v>-</v>
      </c>
      <c r="AF9" s="512" t="str">
        <f>Inputs!AF209</f>
        <v>-</v>
      </c>
      <c r="AG9" s="512" t="str">
        <f>Inputs!AG209</f>
        <v>-</v>
      </c>
      <c r="AH9" s="512" t="str">
        <f>Inputs!AH209</f>
        <v>-</v>
      </c>
      <c r="AI9" s="512" t="str">
        <f>Inputs!AI209</f>
        <v>-</v>
      </c>
      <c r="AJ9" s="512" t="str">
        <f>Inputs!AJ209</f>
        <v>-</v>
      </c>
      <c r="AK9" s="512" t="str">
        <f>Inputs!AK209</f>
        <v>-</v>
      </c>
      <c r="AL9" s="512" t="str">
        <f>Inputs!AL209</f>
        <v>-</v>
      </c>
      <c r="AM9" s="512" t="str">
        <f>Inputs!AM209</f>
        <v>-</v>
      </c>
      <c r="AN9" s="512" t="str">
        <f>Inputs!AN209</f>
        <v>-</v>
      </c>
      <c r="AO9" s="512" t="str">
        <f>Inputs!AO209</f>
        <v>-</v>
      </c>
      <c r="AP9" s="512" t="str">
        <f>Inputs!AP209</f>
        <v>-</v>
      </c>
      <c r="AQ9" s="512" t="str">
        <f>Inputs!AQ209</f>
        <v>-</v>
      </c>
      <c r="AR9" s="512" t="str">
        <f>Inputs!AR209</f>
        <v>-</v>
      </c>
      <c r="AS9" s="512" t="str">
        <f>Inputs!AS209</f>
        <v>-</v>
      </c>
      <c r="AT9" s="512" t="str">
        <f>Inputs!AT209</f>
        <v>-</v>
      </c>
      <c r="AU9" s="512" t="str">
        <f>Inputs!AU209</f>
        <v>-</v>
      </c>
      <c r="AV9" s="512" t="str">
        <f>Inputs!AV209</f>
        <v>-</v>
      </c>
      <c r="AW9" s="259"/>
    </row>
    <row r="10">
      <c r="A10" s="123"/>
      <c r="B10" s="123"/>
      <c r="C10" s="53"/>
      <c r="D10" s="53"/>
      <c r="E10" s="510" t="s">
        <v>483</v>
      </c>
      <c r="F10" s="395" t="str">
        <f>Inputs!F210</f>
        <v>%</v>
      </c>
      <c r="G10" s="511" t="str">
        <f>Inputs!G210</f>
        <v>input</v>
      </c>
      <c r="H10" s="258">
        <f>Inputs!H210</f>
        <v>0.3961</v>
      </c>
      <c r="I10" s="512" t="str">
        <f>Inputs!I210</f>
        <v>-</v>
      </c>
      <c r="J10" s="512" t="str">
        <f>Inputs!J210</f>
        <v>-</v>
      </c>
      <c r="K10" s="512" t="str">
        <f>Inputs!K210</f>
        <v>-</v>
      </c>
      <c r="L10" s="512" t="str">
        <f>Inputs!L210</f>
        <v>-</v>
      </c>
      <c r="M10" s="512" t="str">
        <f>Inputs!M210</f>
        <v>-</v>
      </c>
      <c r="N10" s="512" t="str">
        <f>Inputs!N210</f>
        <v>-</v>
      </c>
      <c r="O10" s="512" t="str">
        <f>Inputs!O210</f>
        <v>-</v>
      </c>
      <c r="P10" s="512" t="str">
        <f>Inputs!P210</f>
        <v>-</v>
      </c>
      <c r="Q10" s="512" t="str">
        <f>Inputs!Q210</f>
        <v>-</v>
      </c>
      <c r="R10" s="512" t="str">
        <f>Inputs!R210</f>
        <v>-</v>
      </c>
      <c r="S10" s="512" t="str">
        <f>Inputs!S210</f>
        <v>-</v>
      </c>
      <c r="T10" s="512" t="str">
        <f>Inputs!T210</f>
        <v>-</v>
      </c>
      <c r="U10" s="512" t="str">
        <f>Inputs!U210</f>
        <v>-</v>
      </c>
      <c r="V10" s="512" t="str">
        <f>Inputs!V210</f>
        <v>-</v>
      </c>
      <c r="W10" s="512" t="str">
        <f>Inputs!W210</f>
        <v>-</v>
      </c>
      <c r="X10" s="512" t="str">
        <f>Inputs!X210</f>
        <v>-</v>
      </c>
      <c r="Y10" s="512" t="str">
        <f>Inputs!Y210</f>
        <v>-</v>
      </c>
      <c r="Z10" s="512" t="str">
        <f>Inputs!Z210</f>
        <v>-</v>
      </c>
      <c r="AA10" s="512" t="str">
        <f>Inputs!AA210</f>
        <v>-</v>
      </c>
      <c r="AB10" s="512" t="str">
        <f>Inputs!AB210</f>
        <v>-</v>
      </c>
      <c r="AC10" s="512" t="str">
        <f>Inputs!AC210</f>
        <v>-</v>
      </c>
      <c r="AD10" s="512" t="str">
        <f>Inputs!AD210</f>
        <v>-</v>
      </c>
      <c r="AE10" s="512" t="str">
        <f>Inputs!AE210</f>
        <v>-</v>
      </c>
      <c r="AF10" s="512" t="str">
        <f>Inputs!AF210</f>
        <v>-</v>
      </c>
      <c r="AG10" s="512" t="str">
        <f>Inputs!AG210</f>
        <v>-</v>
      </c>
      <c r="AH10" s="512" t="str">
        <f>Inputs!AH210</f>
        <v>-</v>
      </c>
      <c r="AI10" s="512" t="str">
        <f>Inputs!AI210</f>
        <v>-</v>
      </c>
      <c r="AJ10" s="512" t="str">
        <f>Inputs!AJ210</f>
        <v>-</v>
      </c>
      <c r="AK10" s="512" t="str">
        <f>Inputs!AK210</f>
        <v>-</v>
      </c>
      <c r="AL10" s="512" t="str">
        <f>Inputs!AL210</f>
        <v>-</v>
      </c>
      <c r="AM10" s="512" t="str">
        <f>Inputs!AM210</f>
        <v>-</v>
      </c>
      <c r="AN10" s="512" t="str">
        <f>Inputs!AN210</f>
        <v>-</v>
      </c>
      <c r="AO10" s="512" t="str">
        <f>Inputs!AO210</f>
        <v>-</v>
      </c>
      <c r="AP10" s="512" t="str">
        <f>Inputs!AP210</f>
        <v>-</v>
      </c>
      <c r="AQ10" s="512" t="str">
        <f>Inputs!AQ210</f>
        <v>-</v>
      </c>
      <c r="AR10" s="512" t="str">
        <f>Inputs!AR210</f>
        <v>-</v>
      </c>
      <c r="AS10" s="512" t="str">
        <f>Inputs!AS210</f>
        <v>-</v>
      </c>
      <c r="AT10" s="512" t="str">
        <f>Inputs!AT210</f>
        <v>-</v>
      </c>
      <c r="AU10" s="512" t="str">
        <f>Inputs!AU210</f>
        <v>-</v>
      </c>
      <c r="AV10" s="512" t="str">
        <f>Inputs!AV210</f>
        <v>-</v>
      </c>
      <c r="AW10" s="259"/>
    </row>
    <row r="11">
      <c r="A11" s="123"/>
      <c r="B11" s="123"/>
      <c r="C11" s="53"/>
      <c r="D11" s="53"/>
      <c r="E11" s="510" t="s">
        <v>484</v>
      </c>
      <c r="F11" s="395" t="str">
        <f>Inputs!F211</f>
        <v>%</v>
      </c>
      <c r="G11" s="511" t="str">
        <f>Inputs!G211</f>
        <v>input</v>
      </c>
      <c r="H11" s="258">
        <f>Inputs!H211</f>
        <v>0.2978</v>
      </c>
      <c r="I11" s="512" t="str">
        <f>Inputs!I211</f>
        <v>-</v>
      </c>
      <c r="J11" s="512" t="str">
        <f>Inputs!J211</f>
        <v>-</v>
      </c>
      <c r="K11" s="512" t="str">
        <f>Inputs!K211</f>
        <v>-</v>
      </c>
      <c r="L11" s="512" t="str">
        <f>Inputs!L211</f>
        <v>-</v>
      </c>
      <c r="M11" s="512" t="str">
        <f>Inputs!M211</f>
        <v>-</v>
      </c>
      <c r="N11" s="512" t="str">
        <f>Inputs!N211</f>
        <v>-</v>
      </c>
      <c r="O11" s="512" t="str">
        <f>Inputs!O211</f>
        <v>-</v>
      </c>
      <c r="P11" s="512" t="str">
        <f>Inputs!P211</f>
        <v>-</v>
      </c>
      <c r="Q11" s="512" t="str">
        <f>Inputs!Q211</f>
        <v>-</v>
      </c>
      <c r="R11" s="512" t="str">
        <f>Inputs!R211</f>
        <v>-</v>
      </c>
      <c r="S11" s="512" t="str">
        <f>Inputs!S211</f>
        <v>-</v>
      </c>
      <c r="T11" s="512" t="str">
        <f>Inputs!T211</f>
        <v>-</v>
      </c>
      <c r="U11" s="512" t="str">
        <f>Inputs!U211</f>
        <v>-</v>
      </c>
      <c r="V11" s="512" t="str">
        <f>Inputs!V211</f>
        <v>-</v>
      </c>
      <c r="W11" s="512" t="str">
        <f>Inputs!W211</f>
        <v>-</v>
      </c>
      <c r="X11" s="512" t="str">
        <f>Inputs!X211</f>
        <v>-</v>
      </c>
      <c r="Y11" s="512" t="str">
        <f>Inputs!Y211</f>
        <v>-</v>
      </c>
      <c r="Z11" s="512" t="str">
        <f>Inputs!Z211</f>
        <v>-</v>
      </c>
      <c r="AA11" s="512" t="str">
        <f>Inputs!AA211</f>
        <v>-</v>
      </c>
      <c r="AB11" s="512" t="str">
        <f>Inputs!AB211</f>
        <v>-</v>
      </c>
      <c r="AC11" s="512" t="str">
        <f>Inputs!AC211</f>
        <v>-</v>
      </c>
      <c r="AD11" s="512" t="str">
        <f>Inputs!AD211</f>
        <v>-</v>
      </c>
      <c r="AE11" s="512" t="str">
        <f>Inputs!AE211</f>
        <v>-</v>
      </c>
      <c r="AF11" s="512" t="str">
        <f>Inputs!AF211</f>
        <v>-</v>
      </c>
      <c r="AG11" s="512" t="str">
        <f>Inputs!AG211</f>
        <v>-</v>
      </c>
      <c r="AH11" s="512" t="str">
        <f>Inputs!AH211</f>
        <v>-</v>
      </c>
      <c r="AI11" s="512" t="str">
        <f>Inputs!AI211</f>
        <v>-</v>
      </c>
      <c r="AJ11" s="512" t="str">
        <f>Inputs!AJ211</f>
        <v>-</v>
      </c>
      <c r="AK11" s="512" t="str">
        <f>Inputs!AK211</f>
        <v>-</v>
      </c>
      <c r="AL11" s="512" t="str">
        <f>Inputs!AL211</f>
        <v>-</v>
      </c>
      <c r="AM11" s="512" t="str">
        <f>Inputs!AM211</f>
        <v>-</v>
      </c>
      <c r="AN11" s="512" t="str">
        <f>Inputs!AN211</f>
        <v>-</v>
      </c>
      <c r="AO11" s="512" t="str">
        <f>Inputs!AO211</f>
        <v>-</v>
      </c>
      <c r="AP11" s="512" t="str">
        <f>Inputs!AP211</f>
        <v>-</v>
      </c>
      <c r="AQ11" s="512" t="str">
        <f>Inputs!AQ211</f>
        <v>-</v>
      </c>
      <c r="AR11" s="512" t="str">
        <f>Inputs!AR211</f>
        <v>-</v>
      </c>
      <c r="AS11" s="512" t="str">
        <f>Inputs!AS211</f>
        <v>-</v>
      </c>
      <c r="AT11" s="512" t="str">
        <f>Inputs!AT211</f>
        <v>-</v>
      </c>
      <c r="AU11" s="512" t="str">
        <f>Inputs!AU211</f>
        <v>-</v>
      </c>
      <c r="AV11" s="512" t="str">
        <f>Inputs!AV211</f>
        <v>-</v>
      </c>
      <c r="AW11" s="259"/>
    </row>
    <row r="12">
      <c r="A12" s="123"/>
      <c r="B12" s="123"/>
      <c r="C12" s="53"/>
      <c r="D12" s="53"/>
      <c r="E12" s="510" t="s">
        <v>485</v>
      </c>
      <c r="F12" s="395" t="str">
        <f>Inputs!F212</f>
        <v>%</v>
      </c>
      <c r="G12" s="511" t="str">
        <f>Inputs!G212</f>
        <v>input</v>
      </c>
      <c r="H12" s="258">
        <f>Inputs!H212</f>
        <v>0.4954</v>
      </c>
      <c r="I12" s="512" t="str">
        <f>Inputs!I212</f>
        <v>-</v>
      </c>
      <c r="J12" s="512" t="str">
        <f>Inputs!J212</f>
        <v>-</v>
      </c>
      <c r="K12" s="512" t="str">
        <f>Inputs!K212</f>
        <v>-</v>
      </c>
      <c r="L12" s="512" t="str">
        <f>Inputs!L212</f>
        <v>-</v>
      </c>
      <c r="M12" s="512" t="str">
        <f>Inputs!M212</f>
        <v>-</v>
      </c>
      <c r="N12" s="512" t="str">
        <f>Inputs!N212</f>
        <v>-</v>
      </c>
      <c r="O12" s="512" t="str">
        <f>Inputs!O212</f>
        <v>-</v>
      </c>
      <c r="P12" s="512" t="str">
        <f>Inputs!P212</f>
        <v>-</v>
      </c>
      <c r="Q12" s="512" t="str">
        <f>Inputs!Q212</f>
        <v>-</v>
      </c>
      <c r="R12" s="512" t="str">
        <f>Inputs!R212</f>
        <v>-</v>
      </c>
      <c r="S12" s="512" t="str">
        <f>Inputs!S212</f>
        <v>-</v>
      </c>
      <c r="T12" s="512" t="str">
        <f>Inputs!T212</f>
        <v>-</v>
      </c>
      <c r="U12" s="512" t="str">
        <f>Inputs!U212</f>
        <v>-</v>
      </c>
      <c r="V12" s="512" t="str">
        <f>Inputs!V212</f>
        <v>-</v>
      </c>
      <c r="W12" s="512" t="str">
        <f>Inputs!W212</f>
        <v>-</v>
      </c>
      <c r="X12" s="512" t="str">
        <f>Inputs!X212</f>
        <v>-</v>
      </c>
      <c r="Y12" s="512" t="str">
        <f>Inputs!Y212</f>
        <v>-</v>
      </c>
      <c r="Z12" s="512" t="str">
        <f>Inputs!Z212</f>
        <v>-</v>
      </c>
      <c r="AA12" s="512" t="str">
        <f>Inputs!AA212</f>
        <v>-</v>
      </c>
      <c r="AB12" s="512" t="str">
        <f>Inputs!AB212</f>
        <v>-</v>
      </c>
      <c r="AC12" s="512" t="str">
        <f>Inputs!AC212</f>
        <v>-</v>
      </c>
      <c r="AD12" s="512" t="str">
        <f>Inputs!AD212</f>
        <v>-</v>
      </c>
      <c r="AE12" s="512" t="str">
        <f>Inputs!AE212</f>
        <v>-</v>
      </c>
      <c r="AF12" s="512" t="str">
        <f>Inputs!AF212</f>
        <v>-</v>
      </c>
      <c r="AG12" s="512" t="str">
        <f>Inputs!AG212</f>
        <v>-</v>
      </c>
      <c r="AH12" s="512" t="str">
        <f>Inputs!AH212</f>
        <v>-</v>
      </c>
      <c r="AI12" s="512" t="str">
        <f>Inputs!AI212</f>
        <v>-</v>
      </c>
      <c r="AJ12" s="512" t="str">
        <f>Inputs!AJ212</f>
        <v>-</v>
      </c>
      <c r="AK12" s="512" t="str">
        <f>Inputs!AK212</f>
        <v>-</v>
      </c>
      <c r="AL12" s="512" t="str">
        <f>Inputs!AL212</f>
        <v>-</v>
      </c>
      <c r="AM12" s="512" t="str">
        <f>Inputs!AM212</f>
        <v>-</v>
      </c>
      <c r="AN12" s="512" t="str">
        <f>Inputs!AN212</f>
        <v>-</v>
      </c>
      <c r="AO12" s="512" t="str">
        <f>Inputs!AO212</f>
        <v>-</v>
      </c>
      <c r="AP12" s="512" t="str">
        <f>Inputs!AP212</f>
        <v>-</v>
      </c>
      <c r="AQ12" s="512" t="str">
        <f>Inputs!AQ212</f>
        <v>-</v>
      </c>
      <c r="AR12" s="512" t="str">
        <f>Inputs!AR212</f>
        <v>-</v>
      </c>
      <c r="AS12" s="512" t="str">
        <f>Inputs!AS212</f>
        <v>-</v>
      </c>
      <c r="AT12" s="512" t="str">
        <f>Inputs!AT212</f>
        <v>-</v>
      </c>
      <c r="AU12" s="512" t="str">
        <f>Inputs!AU212</f>
        <v>-</v>
      </c>
      <c r="AV12" s="512" t="str">
        <f>Inputs!AV212</f>
        <v>-</v>
      </c>
      <c r="AW12" s="259"/>
    </row>
    <row r="13">
      <c r="A13" s="123"/>
      <c r="B13" s="123"/>
      <c r="C13" s="53"/>
      <c r="D13" s="53"/>
      <c r="E13" s="510" t="s">
        <v>486</v>
      </c>
      <c r="F13" s="395" t="str">
        <f>Inputs!F213</f>
        <v>%</v>
      </c>
      <c r="G13" s="511" t="str">
        <f>Inputs!G213</f>
        <v>input</v>
      </c>
      <c r="H13" s="258">
        <f>Inputs!H213</f>
        <v>0.3554</v>
      </c>
      <c r="I13" s="512" t="str">
        <f>Inputs!I213</f>
        <v>-</v>
      </c>
      <c r="J13" s="512" t="str">
        <f>Inputs!J213</f>
        <v>-</v>
      </c>
      <c r="K13" s="512" t="str">
        <f>Inputs!K213</f>
        <v>-</v>
      </c>
      <c r="L13" s="512" t="str">
        <f>Inputs!L213</f>
        <v>-</v>
      </c>
      <c r="M13" s="512" t="str">
        <f>Inputs!M213</f>
        <v>-</v>
      </c>
      <c r="N13" s="512" t="str">
        <f>Inputs!N213</f>
        <v>-</v>
      </c>
      <c r="O13" s="512" t="str">
        <f>Inputs!O213</f>
        <v>-</v>
      </c>
      <c r="P13" s="512" t="str">
        <f>Inputs!P213</f>
        <v>-</v>
      </c>
      <c r="Q13" s="512" t="str">
        <f>Inputs!Q213</f>
        <v>-</v>
      </c>
      <c r="R13" s="512" t="str">
        <f>Inputs!R213</f>
        <v>-</v>
      </c>
      <c r="S13" s="512" t="str">
        <f>Inputs!S213</f>
        <v>-</v>
      </c>
      <c r="T13" s="512" t="str">
        <f>Inputs!T213</f>
        <v>-</v>
      </c>
      <c r="U13" s="512" t="str">
        <f>Inputs!U213</f>
        <v>-</v>
      </c>
      <c r="V13" s="512" t="str">
        <f>Inputs!V213</f>
        <v>-</v>
      </c>
      <c r="W13" s="512" t="str">
        <f>Inputs!W213</f>
        <v>-</v>
      </c>
      <c r="X13" s="512" t="str">
        <f>Inputs!X213</f>
        <v>-</v>
      </c>
      <c r="Y13" s="512" t="str">
        <f>Inputs!Y213</f>
        <v>-</v>
      </c>
      <c r="Z13" s="512" t="str">
        <f>Inputs!Z213</f>
        <v>-</v>
      </c>
      <c r="AA13" s="512" t="str">
        <f>Inputs!AA213</f>
        <v>-</v>
      </c>
      <c r="AB13" s="512" t="str">
        <f>Inputs!AB213</f>
        <v>-</v>
      </c>
      <c r="AC13" s="512" t="str">
        <f>Inputs!AC213</f>
        <v>-</v>
      </c>
      <c r="AD13" s="512" t="str">
        <f>Inputs!AD213</f>
        <v>-</v>
      </c>
      <c r="AE13" s="512" t="str">
        <f>Inputs!AE213</f>
        <v>-</v>
      </c>
      <c r="AF13" s="512" t="str">
        <f>Inputs!AF213</f>
        <v>-</v>
      </c>
      <c r="AG13" s="512" t="str">
        <f>Inputs!AG213</f>
        <v>-</v>
      </c>
      <c r="AH13" s="512" t="str">
        <f>Inputs!AH213</f>
        <v>-</v>
      </c>
      <c r="AI13" s="512" t="str">
        <f>Inputs!AI213</f>
        <v>-</v>
      </c>
      <c r="AJ13" s="512" t="str">
        <f>Inputs!AJ213</f>
        <v>-</v>
      </c>
      <c r="AK13" s="512" t="str">
        <f>Inputs!AK213</f>
        <v>-</v>
      </c>
      <c r="AL13" s="512" t="str">
        <f>Inputs!AL213</f>
        <v>-</v>
      </c>
      <c r="AM13" s="512" t="str">
        <f>Inputs!AM213</f>
        <v>-</v>
      </c>
      <c r="AN13" s="512" t="str">
        <f>Inputs!AN213</f>
        <v>-</v>
      </c>
      <c r="AO13" s="512" t="str">
        <f>Inputs!AO213</f>
        <v>-</v>
      </c>
      <c r="AP13" s="512" t="str">
        <f>Inputs!AP213</f>
        <v>-</v>
      </c>
      <c r="AQ13" s="512" t="str">
        <f>Inputs!AQ213</f>
        <v>-</v>
      </c>
      <c r="AR13" s="512" t="str">
        <f>Inputs!AR213</f>
        <v>-</v>
      </c>
      <c r="AS13" s="512" t="str">
        <f>Inputs!AS213</f>
        <v>-</v>
      </c>
      <c r="AT13" s="512" t="str">
        <f>Inputs!AT213</f>
        <v>-</v>
      </c>
      <c r="AU13" s="512" t="str">
        <f>Inputs!AU213</f>
        <v>-</v>
      </c>
      <c r="AV13" s="512" t="str">
        <f>Inputs!AV213</f>
        <v>-</v>
      </c>
      <c r="AW13" s="259"/>
    </row>
    <row r="14">
      <c r="A14" s="123"/>
      <c r="B14" s="123"/>
      <c r="C14" s="53"/>
      <c r="D14" s="53"/>
      <c r="E14" s="510" t="s">
        <v>487</v>
      </c>
      <c r="F14" s="395" t="str">
        <f>Inputs!F214</f>
        <v>%</v>
      </c>
      <c r="G14" s="511" t="str">
        <f>Inputs!G214</f>
        <v>input</v>
      </c>
      <c r="H14" s="258">
        <f>Inputs!H214</f>
        <v>0.266</v>
      </c>
      <c r="I14" s="512" t="str">
        <f>Inputs!I214</f>
        <v>-</v>
      </c>
      <c r="J14" s="512" t="str">
        <f>Inputs!J214</f>
        <v>-</v>
      </c>
      <c r="K14" s="512" t="str">
        <f>Inputs!K214</f>
        <v>-</v>
      </c>
      <c r="L14" s="512" t="str">
        <f>Inputs!L214</f>
        <v>-</v>
      </c>
      <c r="M14" s="512" t="str">
        <f>Inputs!M214</f>
        <v>-</v>
      </c>
      <c r="N14" s="512" t="str">
        <f>Inputs!N214</f>
        <v>-</v>
      </c>
      <c r="O14" s="512" t="str">
        <f>Inputs!O214</f>
        <v>-</v>
      </c>
      <c r="P14" s="512" t="str">
        <f>Inputs!P214</f>
        <v>-</v>
      </c>
      <c r="Q14" s="512" t="str">
        <f>Inputs!Q214</f>
        <v>-</v>
      </c>
      <c r="R14" s="512" t="str">
        <f>Inputs!R214</f>
        <v>-</v>
      </c>
      <c r="S14" s="512" t="str">
        <f>Inputs!S214</f>
        <v>-</v>
      </c>
      <c r="T14" s="512" t="str">
        <f>Inputs!T214</f>
        <v>-</v>
      </c>
      <c r="U14" s="512" t="str">
        <f>Inputs!U214</f>
        <v>-</v>
      </c>
      <c r="V14" s="512" t="str">
        <f>Inputs!V214</f>
        <v>-</v>
      </c>
      <c r="W14" s="512" t="str">
        <f>Inputs!W214</f>
        <v>-</v>
      </c>
      <c r="X14" s="512" t="str">
        <f>Inputs!X214</f>
        <v>-</v>
      </c>
      <c r="Y14" s="512" t="str">
        <f>Inputs!Y214</f>
        <v>-</v>
      </c>
      <c r="Z14" s="512" t="str">
        <f>Inputs!Z214</f>
        <v>-</v>
      </c>
      <c r="AA14" s="512" t="str">
        <f>Inputs!AA214</f>
        <v>-</v>
      </c>
      <c r="AB14" s="512" t="str">
        <f>Inputs!AB214</f>
        <v>-</v>
      </c>
      <c r="AC14" s="512" t="str">
        <f>Inputs!AC214</f>
        <v>-</v>
      </c>
      <c r="AD14" s="512" t="str">
        <f>Inputs!AD214</f>
        <v>-</v>
      </c>
      <c r="AE14" s="512" t="str">
        <f>Inputs!AE214</f>
        <v>-</v>
      </c>
      <c r="AF14" s="512" t="str">
        <f>Inputs!AF214</f>
        <v>-</v>
      </c>
      <c r="AG14" s="512" t="str">
        <f>Inputs!AG214</f>
        <v>-</v>
      </c>
      <c r="AH14" s="512" t="str">
        <f>Inputs!AH214</f>
        <v>-</v>
      </c>
      <c r="AI14" s="512" t="str">
        <f>Inputs!AI214</f>
        <v>-</v>
      </c>
      <c r="AJ14" s="512" t="str">
        <f>Inputs!AJ214</f>
        <v>-</v>
      </c>
      <c r="AK14" s="512" t="str">
        <f>Inputs!AK214</f>
        <v>-</v>
      </c>
      <c r="AL14" s="512" t="str">
        <f>Inputs!AL214</f>
        <v>-</v>
      </c>
      <c r="AM14" s="512" t="str">
        <f>Inputs!AM214</f>
        <v>-</v>
      </c>
      <c r="AN14" s="512" t="str">
        <f>Inputs!AN214</f>
        <v>-</v>
      </c>
      <c r="AO14" s="512" t="str">
        <f>Inputs!AO214</f>
        <v>-</v>
      </c>
      <c r="AP14" s="512" t="str">
        <f>Inputs!AP214</f>
        <v>-</v>
      </c>
      <c r="AQ14" s="512" t="str">
        <f>Inputs!AQ214</f>
        <v>-</v>
      </c>
      <c r="AR14" s="512" t="str">
        <f>Inputs!AR214</f>
        <v>-</v>
      </c>
      <c r="AS14" s="512" t="str">
        <f>Inputs!AS214</f>
        <v>-</v>
      </c>
      <c r="AT14" s="512" t="str">
        <f>Inputs!AT214</f>
        <v>-</v>
      </c>
      <c r="AU14" s="512" t="str">
        <f>Inputs!AU214</f>
        <v>-</v>
      </c>
      <c r="AV14" s="512" t="str">
        <f>Inputs!AV214</f>
        <v>-</v>
      </c>
      <c r="AW14" s="259"/>
    </row>
    <row r="15">
      <c r="A15" s="123"/>
      <c r="B15" s="123"/>
      <c r="C15" s="53"/>
      <c r="D15" s="53"/>
      <c r="E15" s="513" t="s">
        <v>488</v>
      </c>
      <c r="F15" s="489" t="str">
        <f>Inputs!F215</f>
        <v>%</v>
      </c>
      <c r="G15" s="514" t="str">
        <f>Inputs!G215</f>
        <v>input</v>
      </c>
      <c r="H15" s="498">
        <f>Inputs!H215</f>
        <v>0.5894</v>
      </c>
      <c r="I15" s="515" t="str">
        <f>Inputs!I215</f>
        <v>-</v>
      </c>
      <c r="J15" s="515" t="str">
        <f>Inputs!J215</f>
        <v>-</v>
      </c>
      <c r="K15" s="515" t="str">
        <f>Inputs!K215</f>
        <v>-</v>
      </c>
      <c r="L15" s="515" t="str">
        <f>Inputs!L215</f>
        <v>-</v>
      </c>
      <c r="M15" s="515" t="str">
        <f>Inputs!M215</f>
        <v>-</v>
      </c>
      <c r="N15" s="515" t="str">
        <f>Inputs!N215</f>
        <v>-</v>
      </c>
      <c r="O15" s="515" t="str">
        <f>Inputs!O215</f>
        <v>-</v>
      </c>
      <c r="P15" s="515" t="str">
        <f>Inputs!P215</f>
        <v>-</v>
      </c>
      <c r="Q15" s="515" t="str">
        <f>Inputs!Q215</f>
        <v>-</v>
      </c>
      <c r="R15" s="515" t="str">
        <f>Inputs!R215</f>
        <v>-</v>
      </c>
      <c r="S15" s="515" t="str">
        <f>Inputs!S215</f>
        <v>-</v>
      </c>
      <c r="T15" s="515" t="str">
        <f>Inputs!T215</f>
        <v>-</v>
      </c>
      <c r="U15" s="515" t="str">
        <f>Inputs!U215</f>
        <v>-</v>
      </c>
      <c r="V15" s="515" t="str">
        <f>Inputs!V215</f>
        <v>-</v>
      </c>
      <c r="W15" s="515" t="str">
        <f>Inputs!W215</f>
        <v>-</v>
      </c>
      <c r="X15" s="515" t="str">
        <f>Inputs!X215</f>
        <v>-</v>
      </c>
      <c r="Y15" s="515" t="str">
        <f>Inputs!Y215</f>
        <v>-</v>
      </c>
      <c r="Z15" s="515" t="str">
        <f>Inputs!Z215</f>
        <v>-</v>
      </c>
      <c r="AA15" s="515" t="str">
        <f>Inputs!AA215</f>
        <v>-</v>
      </c>
      <c r="AB15" s="515" t="str">
        <f>Inputs!AB215</f>
        <v>-</v>
      </c>
      <c r="AC15" s="515" t="str">
        <f>Inputs!AC215</f>
        <v>-</v>
      </c>
      <c r="AD15" s="515" t="str">
        <f>Inputs!AD215</f>
        <v>-</v>
      </c>
      <c r="AE15" s="515" t="str">
        <f>Inputs!AE215</f>
        <v>-</v>
      </c>
      <c r="AF15" s="515" t="str">
        <f>Inputs!AF215</f>
        <v>-</v>
      </c>
      <c r="AG15" s="515" t="str">
        <f>Inputs!AG215</f>
        <v>-</v>
      </c>
      <c r="AH15" s="515" t="str">
        <f>Inputs!AH215</f>
        <v>-</v>
      </c>
      <c r="AI15" s="515" t="str">
        <f>Inputs!AI215</f>
        <v>-</v>
      </c>
      <c r="AJ15" s="515" t="str">
        <f>Inputs!AJ215</f>
        <v>-</v>
      </c>
      <c r="AK15" s="515" t="str">
        <f>Inputs!AK215</f>
        <v>-</v>
      </c>
      <c r="AL15" s="515" t="str">
        <f>Inputs!AL215</f>
        <v>-</v>
      </c>
      <c r="AM15" s="515" t="str">
        <f>Inputs!AM215</f>
        <v>-</v>
      </c>
      <c r="AN15" s="515" t="str">
        <f>Inputs!AN215</f>
        <v>-</v>
      </c>
      <c r="AO15" s="515" t="str">
        <f>Inputs!AO215</f>
        <v>-</v>
      </c>
      <c r="AP15" s="515" t="str">
        <f>Inputs!AP215</f>
        <v>-</v>
      </c>
      <c r="AQ15" s="515" t="str">
        <f>Inputs!AQ215</f>
        <v>-</v>
      </c>
      <c r="AR15" s="515" t="str">
        <f>Inputs!AR215</f>
        <v>-</v>
      </c>
      <c r="AS15" s="515" t="str">
        <f>Inputs!AS215</f>
        <v>-</v>
      </c>
      <c r="AT15" s="515" t="str">
        <f>Inputs!AT215</f>
        <v>-</v>
      </c>
      <c r="AU15" s="515" t="str">
        <f>Inputs!AU215</f>
        <v>-</v>
      </c>
      <c r="AV15" s="515" t="str">
        <f>Inputs!AV215</f>
        <v>-</v>
      </c>
      <c r="AW15" s="274"/>
    </row>
    <row r="16">
      <c r="A16" s="123"/>
      <c r="B16" s="123"/>
      <c r="C16" s="53"/>
      <c r="D16" s="53"/>
      <c r="E16" s="516"/>
      <c r="F16" s="125"/>
      <c r="G16" s="482"/>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3"/>
      <c r="B17" s="123"/>
      <c r="C17" s="53" t="s">
        <v>489</v>
      </c>
      <c r="F17" s="125"/>
      <c r="G17" s="482"/>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3"/>
      <c r="B18" s="123"/>
      <c r="C18" s="53"/>
      <c r="D18" s="53"/>
      <c r="E18" s="517" t="s">
        <v>490</v>
      </c>
      <c r="F18" s="435" t="str">
        <f>Inputs!F218</f>
        <v>%</v>
      </c>
      <c r="G18" s="518" t="str">
        <f>Inputs!G218</f>
        <v>input</v>
      </c>
      <c r="H18" s="519">
        <f>Inputs!H218</f>
        <v>-0.2768959</v>
      </c>
      <c r="I18" s="520" t="str">
        <f>Inputs!I218</f>
        <v>-</v>
      </c>
      <c r="J18" s="520" t="str">
        <f>Inputs!J218</f>
        <v>-</v>
      </c>
      <c r="K18" s="520" t="str">
        <f>Inputs!K218</f>
        <v>-</v>
      </c>
      <c r="L18" s="520" t="str">
        <f>Inputs!L218</f>
        <v>-</v>
      </c>
      <c r="M18" s="520" t="str">
        <f>Inputs!M218</f>
        <v>-</v>
      </c>
      <c r="N18" s="520" t="str">
        <f>Inputs!N218</f>
        <v>-</v>
      </c>
      <c r="O18" s="520" t="str">
        <f>Inputs!O218</f>
        <v>-</v>
      </c>
      <c r="P18" s="520" t="str">
        <f>Inputs!P218</f>
        <v>-</v>
      </c>
      <c r="Q18" s="520" t="str">
        <f>Inputs!Q218</f>
        <v>-</v>
      </c>
      <c r="R18" s="520" t="str">
        <f>Inputs!R218</f>
        <v>-</v>
      </c>
      <c r="S18" s="520" t="str">
        <f>Inputs!S218</f>
        <v>-</v>
      </c>
      <c r="T18" s="520" t="str">
        <f>Inputs!T218</f>
        <v>-</v>
      </c>
      <c r="U18" s="520" t="str">
        <f>Inputs!U218</f>
        <v>-</v>
      </c>
      <c r="V18" s="520" t="str">
        <f>Inputs!V218</f>
        <v>-</v>
      </c>
      <c r="W18" s="520" t="str">
        <f>Inputs!W218</f>
        <v>-</v>
      </c>
      <c r="X18" s="520" t="str">
        <f>Inputs!X218</f>
        <v>-</v>
      </c>
      <c r="Y18" s="520" t="str">
        <f>Inputs!Y218</f>
        <v>-</v>
      </c>
      <c r="Z18" s="520" t="str">
        <f>Inputs!Z218</f>
        <v>-</v>
      </c>
      <c r="AA18" s="520" t="str">
        <f>Inputs!AA218</f>
        <v>-</v>
      </c>
      <c r="AB18" s="520" t="str">
        <f>Inputs!AB218</f>
        <v>-</v>
      </c>
      <c r="AC18" s="520" t="str">
        <f>Inputs!AC218</f>
        <v>-</v>
      </c>
      <c r="AD18" s="520" t="str">
        <f>Inputs!AD218</f>
        <v>-</v>
      </c>
      <c r="AE18" s="520" t="str">
        <f>Inputs!AE218</f>
        <v>-</v>
      </c>
      <c r="AF18" s="520" t="str">
        <f>Inputs!AF218</f>
        <v>-</v>
      </c>
      <c r="AG18" s="520" t="str">
        <f>Inputs!AG218</f>
        <v>-</v>
      </c>
      <c r="AH18" s="520" t="str">
        <f>Inputs!AH218</f>
        <v>-</v>
      </c>
      <c r="AI18" s="520" t="str">
        <f>Inputs!AI218</f>
        <v>-</v>
      </c>
      <c r="AJ18" s="520" t="str">
        <f>Inputs!AJ218</f>
        <v>-</v>
      </c>
      <c r="AK18" s="520" t="str">
        <f>Inputs!AK218</f>
        <v>-</v>
      </c>
      <c r="AL18" s="520" t="str">
        <f>Inputs!AL218</f>
        <v>-</v>
      </c>
      <c r="AM18" s="520" t="str">
        <f>Inputs!AM218</f>
        <v>-</v>
      </c>
      <c r="AN18" s="520" t="str">
        <f>Inputs!AN218</f>
        <v>-</v>
      </c>
      <c r="AO18" s="520" t="str">
        <f>Inputs!AO218</f>
        <v>-</v>
      </c>
      <c r="AP18" s="520" t="str">
        <f>Inputs!AP218</f>
        <v>-</v>
      </c>
      <c r="AQ18" s="520" t="str">
        <f>Inputs!AQ218</f>
        <v>-</v>
      </c>
      <c r="AR18" s="520" t="str">
        <f>Inputs!AR218</f>
        <v>-</v>
      </c>
      <c r="AS18" s="520" t="str">
        <f>Inputs!AS218</f>
        <v>-</v>
      </c>
      <c r="AT18" s="520" t="str">
        <f>Inputs!AT218</f>
        <v>-</v>
      </c>
      <c r="AU18" s="520" t="str">
        <f>Inputs!AU218</f>
        <v>-</v>
      </c>
      <c r="AV18" s="520" t="str">
        <f>Inputs!AV218</f>
        <v>-</v>
      </c>
      <c r="AW18" s="409"/>
    </row>
    <row r="19">
      <c r="A19" s="123"/>
      <c r="B19" s="123"/>
      <c r="C19" s="53"/>
      <c r="D19" s="53"/>
      <c r="E19" s="521"/>
      <c r="F19" s="125"/>
      <c r="G19" s="482"/>
      <c r="H19" s="127"/>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30"/>
    </row>
    <row r="20">
      <c r="A20" s="123"/>
      <c r="B20" s="123"/>
      <c r="C20" s="522" t="s">
        <v>491</v>
      </c>
      <c r="F20" s="125"/>
      <c r="G20" s="482"/>
      <c r="H20" s="127"/>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30"/>
    </row>
    <row r="21">
      <c r="A21" s="123"/>
      <c r="B21" s="123"/>
      <c r="C21" s="53"/>
      <c r="D21" s="53"/>
      <c r="E21" s="507" t="s">
        <v>492</v>
      </c>
      <c r="F21" s="193" t="s">
        <v>72</v>
      </c>
      <c r="G21" s="483" t="s">
        <v>161</v>
      </c>
      <c r="H21" s="255">
        <f t="shared" ref="H21:H28" si="1">H8*(1+H$18)</f>
        <v>0.455555583</v>
      </c>
      <c r="I21" s="331" t="s">
        <v>162</v>
      </c>
      <c r="J21" s="331" t="s">
        <v>162</v>
      </c>
      <c r="K21" s="331" t="s">
        <v>162</v>
      </c>
      <c r="L21" s="331" t="s">
        <v>162</v>
      </c>
      <c r="M21" s="331" t="s">
        <v>162</v>
      </c>
      <c r="N21" s="331" t="s">
        <v>162</v>
      </c>
      <c r="O21" s="331" t="s">
        <v>162</v>
      </c>
      <c r="P21" s="331" t="s">
        <v>162</v>
      </c>
      <c r="Q21" s="331" t="s">
        <v>162</v>
      </c>
      <c r="R21" s="331" t="s">
        <v>162</v>
      </c>
      <c r="S21" s="331" t="s">
        <v>162</v>
      </c>
      <c r="T21" s="331" t="s">
        <v>162</v>
      </c>
      <c r="U21" s="331" t="s">
        <v>162</v>
      </c>
      <c r="V21" s="331" t="s">
        <v>162</v>
      </c>
      <c r="W21" s="331" t="s">
        <v>162</v>
      </c>
      <c r="X21" s="331" t="s">
        <v>162</v>
      </c>
      <c r="Y21" s="331" t="s">
        <v>162</v>
      </c>
      <c r="Z21" s="331" t="s">
        <v>162</v>
      </c>
      <c r="AA21" s="331" t="s">
        <v>162</v>
      </c>
      <c r="AB21" s="331" t="s">
        <v>162</v>
      </c>
      <c r="AC21" s="331" t="s">
        <v>162</v>
      </c>
      <c r="AD21" s="331" t="s">
        <v>162</v>
      </c>
      <c r="AE21" s="331" t="s">
        <v>162</v>
      </c>
      <c r="AF21" s="331" t="s">
        <v>162</v>
      </c>
      <c r="AG21" s="331" t="s">
        <v>162</v>
      </c>
      <c r="AH21" s="331" t="s">
        <v>162</v>
      </c>
      <c r="AI21" s="331" t="s">
        <v>162</v>
      </c>
      <c r="AJ21" s="331" t="s">
        <v>162</v>
      </c>
      <c r="AK21" s="331" t="s">
        <v>162</v>
      </c>
      <c r="AL21" s="331" t="s">
        <v>162</v>
      </c>
      <c r="AM21" s="331" t="s">
        <v>162</v>
      </c>
      <c r="AN21" s="331" t="s">
        <v>162</v>
      </c>
      <c r="AO21" s="331" t="s">
        <v>162</v>
      </c>
      <c r="AP21" s="331" t="s">
        <v>162</v>
      </c>
      <c r="AQ21" s="331" t="s">
        <v>162</v>
      </c>
      <c r="AR21" s="331" t="s">
        <v>162</v>
      </c>
      <c r="AS21" s="331" t="s">
        <v>162</v>
      </c>
      <c r="AT21" s="331" t="s">
        <v>162</v>
      </c>
      <c r="AU21" s="331" t="s">
        <v>162</v>
      </c>
      <c r="AV21" s="331" t="s">
        <v>162</v>
      </c>
      <c r="AW21" s="256"/>
    </row>
    <row r="22">
      <c r="A22" s="123"/>
      <c r="B22" s="123"/>
      <c r="C22" s="53"/>
      <c r="D22" s="53"/>
      <c r="E22" s="510" t="s">
        <v>493</v>
      </c>
      <c r="F22" s="213" t="s">
        <v>72</v>
      </c>
      <c r="G22" s="485" t="s">
        <v>161</v>
      </c>
      <c r="H22" s="258">
        <f t="shared" si="1"/>
        <v>0.3918501118</v>
      </c>
      <c r="I22" s="220" t="s">
        <v>162</v>
      </c>
      <c r="J22" s="220" t="s">
        <v>162</v>
      </c>
      <c r="K22" s="220" t="s">
        <v>162</v>
      </c>
      <c r="L22" s="331" t="s">
        <v>162</v>
      </c>
      <c r="M22" s="220" t="s">
        <v>162</v>
      </c>
      <c r="N22" s="220" t="s">
        <v>162</v>
      </c>
      <c r="O22" s="220" t="s">
        <v>162</v>
      </c>
      <c r="P22" s="220" t="s">
        <v>162</v>
      </c>
      <c r="Q22" s="220" t="s">
        <v>162</v>
      </c>
      <c r="R22" s="220" t="s">
        <v>162</v>
      </c>
      <c r="S22" s="220" t="s">
        <v>162</v>
      </c>
      <c r="T22" s="220" t="s">
        <v>162</v>
      </c>
      <c r="U22" s="220" t="s">
        <v>162</v>
      </c>
      <c r="V22" s="220" t="s">
        <v>162</v>
      </c>
      <c r="W22" s="220" t="s">
        <v>162</v>
      </c>
      <c r="X22" s="220" t="s">
        <v>162</v>
      </c>
      <c r="Y22" s="220" t="s">
        <v>162</v>
      </c>
      <c r="Z22" s="220" t="s">
        <v>162</v>
      </c>
      <c r="AA22" s="220" t="s">
        <v>162</v>
      </c>
      <c r="AB22" s="220" t="s">
        <v>162</v>
      </c>
      <c r="AC22" s="220" t="s">
        <v>162</v>
      </c>
      <c r="AD22" s="220" t="s">
        <v>162</v>
      </c>
      <c r="AE22" s="220" t="s">
        <v>162</v>
      </c>
      <c r="AF22" s="220" t="s">
        <v>162</v>
      </c>
      <c r="AG22" s="220" t="s">
        <v>162</v>
      </c>
      <c r="AH22" s="220" t="s">
        <v>162</v>
      </c>
      <c r="AI22" s="220" t="s">
        <v>162</v>
      </c>
      <c r="AJ22" s="220" t="s">
        <v>162</v>
      </c>
      <c r="AK22" s="220" t="s">
        <v>162</v>
      </c>
      <c r="AL22" s="220" t="s">
        <v>162</v>
      </c>
      <c r="AM22" s="331" t="s">
        <v>162</v>
      </c>
      <c r="AN22" s="331" t="s">
        <v>162</v>
      </c>
      <c r="AO22" s="220" t="s">
        <v>162</v>
      </c>
      <c r="AP22" s="220" t="s">
        <v>162</v>
      </c>
      <c r="AQ22" s="220" t="s">
        <v>162</v>
      </c>
      <c r="AR22" s="220" t="s">
        <v>162</v>
      </c>
      <c r="AS22" s="220" t="s">
        <v>162</v>
      </c>
      <c r="AT22" s="220" t="s">
        <v>162</v>
      </c>
      <c r="AU22" s="220" t="s">
        <v>162</v>
      </c>
      <c r="AV22" s="220" t="s">
        <v>162</v>
      </c>
      <c r="AW22" s="259"/>
    </row>
    <row r="23">
      <c r="A23" s="123"/>
      <c r="B23" s="123"/>
      <c r="C23" s="53"/>
      <c r="D23" s="53"/>
      <c r="E23" s="510" t="s">
        <v>494</v>
      </c>
      <c r="F23" s="213" t="s">
        <v>72</v>
      </c>
      <c r="G23" s="485" t="s">
        <v>161</v>
      </c>
      <c r="H23" s="258">
        <f t="shared" si="1"/>
        <v>0.286421534</v>
      </c>
      <c r="I23" s="220" t="s">
        <v>162</v>
      </c>
      <c r="J23" s="220" t="s">
        <v>162</v>
      </c>
      <c r="K23" s="220" t="s">
        <v>162</v>
      </c>
      <c r="L23" s="331" t="s">
        <v>162</v>
      </c>
      <c r="M23" s="220" t="s">
        <v>162</v>
      </c>
      <c r="N23" s="220" t="s">
        <v>162</v>
      </c>
      <c r="O23" s="220" t="s">
        <v>162</v>
      </c>
      <c r="P23" s="220" t="s">
        <v>162</v>
      </c>
      <c r="Q23" s="220" t="s">
        <v>162</v>
      </c>
      <c r="R23" s="220" t="s">
        <v>162</v>
      </c>
      <c r="S23" s="220" t="s">
        <v>162</v>
      </c>
      <c r="T23" s="220" t="s">
        <v>162</v>
      </c>
      <c r="U23" s="220" t="s">
        <v>162</v>
      </c>
      <c r="V23" s="220" t="s">
        <v>162</v>
      </c>
      <c r="W23" s="220" t="s">
        <v>162</v>
      </c>
      <c r="X23" s="220" t="s">
        <v>162</v>
      </c>
      <c r="Y23" s="220" t="s">
        <v>162</v>
      </c>
      <c r="Z23" s="220" t="s">
        <v>162</v>
      </c>
      <c r="AA23" s="220" t="s">
        <v>162</v>
      </c>
      <c r="AB23" s="220" t="s">
        <v>162</v>
      </c>
      <c r="AC23" s="220" t="s">
        <v>162</v>
      </c>
      <c r="AD23" s="220" t="s">
        <v>162</v>
      </c>
      <c r="AE23" s="220" t="s">
        <v>162</v>
      </c>
      <c r="AF23" s="220" t="s">
        <v>162</v>
      </c>
      <c r="AG23" s="220" t="s">
        <v>162</v>
      </c>
      <c r="AH23" s="220" t="s">
        <v>162</v>
      </c>
      <c r="AI23" s="220" t="s">
        <v>162</v>
      </c>
      <c r="AJ23" s="220" t="s">
        <v>162</v>
      </c>
      <c r="AK23" s="220" t="s">
        <v>162</v>
      </c>
      <c r="AL23" s="220" t="s">
        <v>162</v>
      </c>
      <c r="AM23" s="331" t="s">
        <v>162</v>
      </c>
      <c r="AN23" s="331" t="s">
        <v>162</v>
      </c>
      <c r="AO23" s="220" t="s">
        <v>162</v>
      </c>
      <c r="AP23" s="220" t="s">
        <v>162</v>
      </c>
      <c r="AQ23" s="220" t="s">
        <v>162</v>
      </c>
      <c r="AR23" s="220" t="s">
        <v>162</v>
      </c>
      <c r="AS23" s="220" t="s">
        <v>162</v>
      </c>
      <c r="AT23" s="220" t="s">
        <v>162</v>
      </c>
      <c r="AU23" s="220" t="s">
        <v>162</v>
      </c>
      <c r="AV23" s="220" t="s">
        <v>162</v>
      </c>
      <c r="AW23" s="259"/>
    </row>
    <row r="24">
      <c r="A24" s="123"/>
      <c r="B24" s="123"/>
      <c r="C24" s="53"/>
      <c r="D24" s="53"/>
      <c r="E24" s="510" t="s">
        <v>495</v>
      </c>
      <c r="F24" s="213" t="s">
        <v>72</v>
      </c>
      <c r="G24" s="485" t="s">
        <v>161</v>
      </c>
      <c r="H24" s="258">
        <f t="shared" si="1"/>
        <v>0.215340401</v>
      </c>
      <c r="I24" s="220" t="s">
        <v>162</v>
      </c>
      <c r="J24" s="220" t="s">
        <v>162</v>
      </c>
      <c r="K24" s="220" t="s">
        <v>162</v>
      </c>
      <c r="L24" s="331" t="s">
        <v>162</v>
      </c>
      <c r="M24" s="220" t="s">
        <v>162</v>
      </c>
      <c r="N24" s="220" t="s">
        <v>162</v>
      </c>
      <c r="O24" s="220" t="s">
        <v>162</v>
      </c>
      <c r="P24" s="220" t="s">
        <v>162</v>
      </c>
      <c r="Q24" s="220" t="s">
        <v>162</v>
      </c>
      <c r="R24" s="220" t="s">
        <v>162</v>
      </c>
      <c r="S24" s="220" t="s">
        <v>162</v>
      </c>
      <c r="T24" s="220" t="s">
        <v>162</v>
      </c>
      <c r="U24" s="220" t="s">
        <v>162</v>
      </c>
      <c r="V24" s="220" t="s">
        <v>162</v>
      </c>
      <c r="W24" s="220" t="s">
        <v>162</v>
      </c>
      <c r="X24" s="220" t="s">
        <v>162</v>
      </c>
      <c r="Y24" s="220" t="s">
        <v>162</v>
      </c>
      <c r="Z24" s="220" t="s">
        <v>162</v>
      </c>
      <c r="AA24" s="220" t="s">
        <v>162</v>
      </c>
      <c r="AB24" s="220" t="s">
        <v>162</v>
      </c>
      <c r="AC24" s="220" t="s">
        <v>162</v>
      </c>
      <c r="AD24" s="220" t="s">
        <v>162</v>
      </c>
      <c r="AE24" s="220" t="s">
        <v>162</v>
      </c>
      <c r="AF24" s="220" t="s">
        <v>162</v>
      </c>
      <c r="AG24" s="220" t="s">
        <v>162</v>
      </c>
      <c r="AH24" s="220" t="s">
        <v>162</v>
      </c>
      <c r="AI24" s="220" t="s">
        <v>162</v>
      </c>
      <c r="AJ24" s="220" t="s">
        <v>162</v>
      </c>
      <c r="AK24" s="220" t="s">
        <v>162</v>
      </c>
      <c r="AL24" s="220" t="s">
        <v>162</v>
      </c>
      <c r="AM24" s="331" t="s">
        <v>162</v>
      </c>
      <c r="AN24" s="331" t="s">
        <v>162</v>
      </c>
      <c r="AO24" s="220" t="s">
        <v>162</v>
      </c>
      <c r="AP24" s="220" t="s">
        <v>162</v>
      </c>
      <c r="AQ24" s="220" t="s">
        <v>162</v>
      </c>
      <c r="AR24" s="220" t="s">
        <v>162</v>
      </c>
      <c r="AS24" s="220" t="s">
        <v>162</v>
      </c>
      <c r="AT24" s="220" t="s">
        <v>162</v>
      </c>
      <c r="AU24" s="220" t="s">
        <v>162</v>
      </c>
      <c r="AV24" s="220" t="s">
        <v>162</v>
      </c>
      <c r="AW24" s="259"/>
    </row>
    <row r="25">
      <c r="A25" s="123"/>
      <c r="B25" s="123"/>
      <c r="C25" s="53"/>
      <c r="D25" s="53"/>
      <c r="E25" s="510" t="s">
        <v>496</v>
      </c>
      <c r="F25" s="213" t="s">
        <v>72</v>
      </c>
      <c r="G25" s="485" t="s">
        <v>161</v>
      </c>
      <c r="H25" s="258">
        <f t="shared" si="1"/>
        <v>0.3582257711</v>
      </c>
      <c r="I25" s="220" t="s">
        <v>162</v>
      </c>
      <c r="J25" s="220" t="s">
        <v>162</v>
      </c>
      <c r="K25" s="220" t="s">
        <v>162</v>
      </c>
      <c r="L25" s="331" t="s">
        <v>162</v>
      </c>
      <c r="M25" s="220" t="s">
        <v>162</v>
      </c>
      <c r="N25" s="220" t="s">
        <v>162</v>
      </c>
      <c r="O25" s="220" t="s">
        <v>162</v>
      </c>
      <c r="P25" s="220" t="s">
        <v>162</v>
      </c>
      <c r="Q25" s="220" t="s">
        <v>162</v>
      </c>
      <c r="R25" s="220" t="s">
        <v>162</v>
      </c>
      <c r="S25" s="220" t="s">
        <v>162</v>
      </c>
      <c r="T25" s="220" t="s">
        <v>162</v>
      </c>
      <c r="U25" s="220" t="s">
        <v>162</v>
      </c>
      <c r="V25" s="220" t="s">
        <v>162</v>
      </c>
      <c r="W25" s="220" t="s">
        <v>162</v>
      </c>
      <c r="X25" s="220" t="s">
        <v>162</v>
      </c>
      <c r="Y25" s="220" t="s">
        <v>162</v>
      </c>
      <c r="Z25" s="220" t="s">
        <v>162</v>
      </c>
      <c r="AA25" s="220" t="s">
        <v>162</v>
      </c>
      <c r="AB25" s="220" t="s">
        <v>162</v>
      </c>
      <c r="AC25" s="220" t="s">
        <v>162</v>
      </c>
      <c r="AD25" s="220" t="s">
        <v>162</v>
      </c>
      <c r="AE25" s="220" t="s">
        <v>162</v>
      </c>
      <c r="AF25" s="220" t="s">
        <v>162</v>
      </c>
      <c r="AG25" s="220" t="s">
        <v>162</v>
      </c>
      <c r="AH25" s="220" t="s">
        <v>162</v>
      </c>
      <c r="AI25" s="220" t="s">
        <v>162</v>
      </c>
      <c r="AJ25" s="220" t="s">
        <v>162</v>
      </c>
      <c r="AK25" s="220" t="s">
        <v>162</v>
      </c>
      <c r="AL25" s="220" t="s">
        <v>162</v>
      </c>
      <c r="AM25" s="331" t="s">
        <v>162</v>
      </c>
      <c r="AN25" s="331" t="s">
        <v>162</v>
      </c>
      <c r="AO25" s="220" t="s">
        <v>162</v>
      </c>
      <c r="AP25" s="220" t="s">
        <v>162</v>
      </c>
      <c r="AQ25" s="220" t="s">
        <v>162</v>
      </c>
      <c r="AR25" s="220" t="s">
        <v>162</v>
      </c>
      <c r="AS25" s="220" t="s">
        <v>162</v>
      </c>
      <c r="AT25" s="220" t="s">
        <v>162</v>
      </c>
      <c r="AU25" s="220" t="s">
        <v>162</v>
      </c>
      <c r="AV25" s="220" t="s">
        <v>162</v>
      </c>
      <c r="AW25" s="259"/>
    </row>
    <row r="26">
      <c r="A26" s="123"/>
      <c r="B26" s="123"/>
      <c r="C26" s="53"/>
      <c r="D26" s="53"/>
      <c r="E26" s="510" t="s">
        <v>497</v>
      </c>
      <c r="F26" s="213" t="s">
        <v>72</v>
      </c>
      <c r="G26" s="485" t="s">
        <v>161</v>
      </c>
      <c r="H26" s="258">
        <f t="shared" si="1"/>
        <v>0.2569911971</v>
      </c>
      <c r="I26" s="220" t="s">
        <v>162</v>
      </c>
      <c r="J26" s="220" t="s">
        <v>162</v>
      </c>
      <c r="K26" s="220" t="s">
        <v>162</v>
      </c>
      <c r="L26" s="331" t="s">
        <v>162</v>
      </c>
      <c r="M26" s="220" t="s">
        <v>162</v>
      </c>
      <c r="N26" s="220" t="s">
        <v>162</v>
      </c>
      <c r="O26" s="220" t="s">
        <v>162</v>
      </c>
      <c r="P26" s="220" t="s">
        <v>162</v>
      </c>
      <c r="Q26" s="220" t="s">
        <v>162</v>
      </c>
      <c r="R26" s="220" t="s">
        <v>162</v>
      </c>
      <c r="S26" s="220" t="s">
        <v>162</v>
      </c>
      <c r="T26" s="220" t="s">
        <v>162</v>
      </c>
      <c r="U26" s="220" t="s">
        <v>162</v>
      </c>
      <c r="V26" s="220" t="s">
        <v>162</v>
      </c>
      <c r="W26" s="220" t="s">
        <v>162</v>
      </c>
      <c r="X26" s="220" t="s">
        <v>162</v>
      </c>
      <c r="Y26" s="220" t="s">
        <v>162</v>
      </c>
      <c r="Z26" s="220" t="s">
        <v>162</v>
      </c>
      <c r="AA26" s="220" t="s">
        <v>162</v>
      </c>
      <c r="AB26" s="220" t="s">
        <v>162</v>
      </c>
      <c r="AC26" s="220" t="s">
        <v>162</v>
      </c>
      <c r="AD26" s="220" t="s">
        <v>162</v>
      </c>
      <c r="AE26" s="220" t="s">
        <v>162</v>
      </c>
      <c r="AF26" s="220" t="s">
        <v>162</v>
      </c>
      <c r="AG26" s="220" t="s">
        <v>162</v>
      </c>
      <c r="AH26" s="220" t="s">
        <v>162</v>
      </c>
      <c r="AI26" s="220" t="s">
        <v>162</v>
      </c>
      <c r="AJ26" s="220" t="s">
        <v>162</v>
      </c>
      <c r="AK26" s="220" t="s">
        <v>162</v>
      </c>
      <c r="AL26" s="220" t="s">
        <v>162</v>
      </c>
      <c r="AM26" s="331" t="s">
        <v>162</v>
      </c>
      <c r="AN26" s="331" t="s">
        <v>162</v>
      </c>
      <c r="AO26" s="220" t="s">
        <v>162</v>
      </c>
      <c r="AP26" s="220" t="s">
        <v>162</v>
      </c>
      <c r="AQ26" s="220" t="s">
        <v>162</v>
      </c>
      <c r="AR26" s="220" t="s">
        <v>162</v>
      </c>
      <c r="AS26" s="220" t="s">
        <v>162</v>
      </c>
      <c r="AT26" s="220" t="s">
        <v>162</v>
      </c>
      <c r="AU26" s="220" t="s">
        <v>162</v>
      </c>
      <c r="AV26" s="220" t="s">
        <v>162</v>
      </c>
      <c r="AW26" s="259"/>
    </row>
    <row r="27">
      <c r="A27" s="123"/>
      <c r="B27" s="123"/>
      <c r="C27" s="53"/>
      <c r="D27" s="53"/>
      <c r="E27" s="510" t="s">
        <v>498</v>
      </c>
      <c r="F27" s="213" t="s">
        <v>72</v>
      </c>
      <c r="G27" s="485" t="s">
        <v>161</v>
      </c>
      <c r="H27" s="258">
        <f t="shared" si="1"/>
        <v>0.1923456906</v>
      </c>
      <c r="I27" s="220" t="s">
        <v>162</v>
      </c>
      <c r="J27" s="220" t="s">
        <v>162</v>
      </c>
      <c r="K27" s="220" t="s">
        <v>162</v>
      </c>
      <c r="L27" s="331" t="s">
        <v>162</v>
      </c>
      <c r="M27" s="220" t="s">
        <v>162</v>
      </c>
      <c r="N27" s="220" t="s">
        <v>162</v>
      </c>
      <c r="O27" s="220" t="s">
        <v>162</v>
      </c>
      <c r="P27" s="220" t="s">
        <v>162</v>
      </c>
      <c r="Q27" s="220" t="s">
        <v>162</v>
      </c>
      <c r="R27" s="220" t="s">
        <v>162</v>
      </c>
      <c r="S27" s="220" t="s">
        <v>162</v>
      </c>
      <c r="T27" s="220" t="s">
        <v>162</v>
      </c>
      <c r="U27" s="220" t="s">
        <v>162</v>
      </c>
      <c r="V27" s="220" t="s">
        <v>162</v>
      </c>
      <c r="W27" s="220" t="s">
        <v>162</v>
      </c>
      <c r="X27" s="220" t="s">
        <v>162</v>
      </c>
      <c r="Y27" s="220" t="s">
        <v>162</v>
      </c>
      <c r="Z27" s="220" t="s">
        <v>162</v>
      </c>
      <c r="AA27" s="220" t="s">
        <v>162</v>
      </c>
      <c r="AB27" s="220" t="s">
        <v>162</v>
      </c>
      <c r="AC27" s="220" t="s">
        <v>162</v>
      </c>
      <c r="AD27" s="220" t="s">
        <v>162</v>
      </c>
      <c r="AE27" s="220" t="s">
        <v>162</v>
      </c>
      <c r="AF27" s="220" t="s">
        <v>162</v>
      </c>
      <c r="AG27" s="220" t="s">
        <v>162</v>
      </c>
      <c r="AH27" s="220" t="s">
        <v>162</v>
      </c>
      <c r="AI27" s="220" t="s">
        <v>162</v>
      </c>
      <c r="AJ27" s="220" t="s">
        <v>162</v>
      </c>
      <c r="AK27" s="220" t="s">
        <v>162</v>
      </c>
      <c r="AL27" s="220" t="s">
        <v>162</v>
      </c>
      <c r="AM27" s="331" t="s">
        <v>162</v>
      </c>
      <c r="AN27" s="331" t="s">
        <v>162</v>
      </c>
      <c r="AO27" s="220" t="s">
        <v>162</v>
      </c>
      <c r="AP27" s="220" t="s">
        <v>162</v>
      </c>
      <c r="AQ27" s="220" t="s">
        <v>162</v>
      </c>
      <c r="AR27" s="220" t="s">
        <v>162</v>
      </c>
      <c r="AS27" s="220" t="s">
        <v>162</v>
      </c>
      <c r="AT27" s="220" t="s">
        <v>162</v>
      </c>
      <c r="AU27" s="220" t="s">
        <v>162</v>
      </c>
      <c r="AV27" s="220" t="s">
        <v>162</v>
      </c>
      <c r="AW27" s="259"/>
    </row>
    <row r="28">
      <c r="A28" s="123"/>
      <c r="B28" s="123"/>
      <c r="C28" s="53"/>
      <c r="D28" s="53"/>
      <c r="E28" s="513" t="s">
        <v>499</v>
      </c>
      <c r="F28" s="200" t="s">
        <v>72</v>
      </c>
      <c r="G28" s="487" t="s">
        <v>161</v>
      </c>
      <c r="H28" s="498">
        <f t="shared" si="1"/>
        <v>0.4261975565</v>
      </c>
      <c r="I28" s="493" t="s">
        <v>162</v>
      </c>
      <c r="J28" s="493" t="s">
        <v>162</v>
      </c>
      <c r="K28" s="493" t="s">
        <v>162</v>
      </c>
      <c r="L28" s="493" t="s">
        <v>162</v>
      </c>
      <c r="M28" s="493" t="s">
        <v>162</v>
      </c>
      <c r="N28" s="493" t="s">
        <v>162</v>
      </c>
      <c r="O28" s="493" t="s">
        <v>162</v>
      </c>
      <c r="P28" s="493" t="s">
        <v>162</v>
      </c>
      <c r="Q28" s="493" t="s">
        <v>162</v>
      </c>
      <c r="R28" s="493" t="s">
        <v>162</v>
      </c>
      <c r="S28" s="493" t="s">
        <v>162</v>
      </c>
      <c r="T28" s="493" t="s">
        <v>162</v>
      </c>
      <c r="U28" s="493" t="s">
        <v>162</v>
      </c>
      <c r="V28" s="493" t="s">
        <v>162</v>
      </c>
      <c r="W28" s="493" t="s">
        <v>162</v>
      </c>
      <c r="X28" s="493" t="s">
        <v>162</v>
      </c>
      <c r="Y28" s="493" t="s">
        <v>162</v>
      </c>
      <c r="Z28" s="493" t="s">
        <v>162</v>
      </c>
      <c r="AA28" s="493" t="s">
        <v>162</v>
      </c>
      <c r="AB28" s="493" t="s">
        <v>162</v>
      </c>
      <c r="AC28" s="493" t="s">
        <v>162</v>
      </c>
      <c r="AD28" s="493" t="s">
        <v>162</v>
      </c>
      <c r="AE28" s="493" t="s">
        <v>162</v>
      </c>
      <c r="AF28" s="493" t="s">
        <v>162</v>
      </c>
      <c r="AG28" s="493" t="s">
        <v>162</v>
      </c>
      <c r="AH28" s="493" t="s">
        <v>162</v>
      </c>
      <c r="AI28" s="493" t="s">
        <v>162</v>
      </c>
      <c r="AJ28" s="493" t="s">
        <v>162</v>
      </c>
      <c r="AK28" s="493" t="s">
        <v>162</v>
      </c>
      <c r="AL28" s="493" t="s">
        <v>162</v>
      </c>
      <c r="AM28" s="493" t="s">
        <v>162</v>
      </c>
      <c r="AN28" s="493" t="s">
        <v>162</v>
      </c>
      <c r="AO28" s="493" t="s">
        <v>162</v>
      </c>
      <c r="AP28" s="493" t="s">
        <v>162</v>
      </c>
      <c r="AQ28" s="493" t="s">
        <v>162</v>
      </c>
      <c r="AR28" s="493" t="s">
        <v>162</v>
      </c>
      <c r="AS28" s="493" t="s">
        <v>162</v>
      </c>
      <c r="AT28" s="493" t="s">
        <v>162</v>
      </c>
      <c r="AU28" s="493" t="s">
        <v>162</v>
      </c>
      <c r="AV28" s="493" t="s">
        <v>162</v>
      </c>
      <c r="AW28" s="274"/>
    </row>
    <row r="29">
      <c r="A29" s="123"/>
      <c r="B29" s="123"/>
      <c r="C29" s="53"/>
      <c r="D29" s="53"/>
      <c r="E29" s="521"/>
      <c r="F29" s="125"/>
      <c r="G29" s="482"/>
      <c r="H29" s="127"/>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3"/>
      <c r="B30" s="123"/>
      <c r="C30" s="131" t="s">
        <v>365</v>
      </c>
      <c r="F30" s="125"/>
      <c r="G30" s="482"/>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3"/>
      <c r="B31" s="123"/>
      <c r="C31" s="53"/>
      <c r="D31" s="53"/>
      <c r="E31" s="507" t="s">
        <v>366</v>
      </c>
      <c r="F31" s="356" t="str">
        <f>'Disease burden'!F388</f>
        <v>%</v>
      </c>
      <c r="G31" s="483" t="s">
        <v>173</v>
      </c>
      <c r="H31" s="389" t="str">
        <f>'Disease burden'!H388</f>
        <v>-</v>
      </c>
      <c r="I31" s="383">
        <f>'Disease burden'!I388</f>
        <v>0.1782349073</v>
      </c>
      <c r="J31" s="383">
        <f>'Disease burden'!J388</f>
        <v>0.1203335906</v>
      </c>
      <c r="K31" s="383">
        <f>'Disease burden'!K388</f>
        <v>0.2030213616</v>
      </c>
      <c r="L31" s="383">
        <f>'Disease burden'!L388</f>
        <v>0.1065706465</v>
      </c>
      <c r="M31" s="383">
        <f>'Disease burden'!M388</f>
        <v>0.1327762775</v>
      </c>
      <c r="N31" s="383">
        <f>'Disease burden'!N388</f>
        <v>0.1733297403</v>
      </c>
      <c r="O31" s="383">
        <f>'Disease burden'!O388</f>
        <v>0.1578965315</v>
      </c>
      <c r="P31" s="383">
        <f>'Disease burden'!P388</f>
        <v>0.18003357</v>
      </c>
      <c r="Q31" s="383">
        <f>'Disease burden'!Q388</f>
        <v>0.2055157123</v>
      </c>
      <c r="R31" s="383">
        <f>'Disease burden'!R388</f>
        <v>0.08644994566</v>
      </c>
      <c r="S31" s="383">
        <f>'Disease burden'!S388</f>
        <v>0.1262181503</v>
      </c>
      <c r="T31" s="383">
        <f>'Disease burden'!T388</f>
        <v>0.08233124757</v>
      </c>
      <c r="U31" s="383">
        <f>'Disease burden'!U388</f>
        <v>0.0796192129</v>
      </c>
      <c r="V31" s="383">
        <f>'Disease burden'!V388</f>
        <v>0.06718777858</v>
      </c>
      <c r="W31" s="383">
        <f>'Disease burden'!W388</f>
        <v>0.1006389542</v>
      </c>
      <c r="X31" s="383">
        <f>'Disease burden'!X388</f>
        <v>0.09950085865</v>
      </c>
      <c r="Y31" s="383">
        <f>'Disease burden'!Y388</f>
        <v>0.08927550034</v>
      </c>
      <c r="Z31" s="383">
        <f>'Disease burden'!Z388</f>
        <v>0.09606846602</v>
      </c>
      <c r="AA31" s="383">
        <f>'Disease burden'!AA388</f>
        <v>0.09533082911</v>
      </c>
      <c r="AB31" s="383">
        <f>'Disease burden'!AB388</f>
        <v>0.09250961696</v>
      </c>
      <c r="AC31" s="383">
        <f>'Disease burden'!AC388</f>
        <v>0.1094520505</v>
      </c>
      <c r="AD31" s="383">
        <f>'Disease burden'!AD388</f>
        <v>0.08314302052</v>
      </c>
      <c r="AE31" s="383">
        <f>'Disease burden'!AE388</f>
        <v>0.100122233</v>
      </c>
      <c r="AF31" s="383">
        <f>'Disease burden'!AF388</f>
        <v>0.09370492827</v>
      </c>
      <c r="AG31" s="383">
        <f>'Disease burden'!AG388</f>
        <v>0.1065706465</v>
      </c>
      <c r="AH31" s="383">
        <f>'Disease burden'!AH388</f>
        <v>0.06350413719</v>
      </c>
      <c r="AI31" s="383">
        <f>'Disease burden'!AI388</f>
        <v>0.08074745526</v>
      </c>
      <c r="AJ31" s="383">
        <f>'Disease burden'!AJ388</f>
        <v>0.08352429428</v>
      </c>
      <c r="AK31" s="383">
        <f>'Disease burden'!AK388</f>
        <v>0.108970206</v>
      </c>
      <c r="AL31" s="383">
        <f>'Disease burden'!AL388</f>
        <v>0.1148108911</v>
      </c>
      <c r="AM31" s="383">
        <f>'Disease burden'!AM388</f>
        <v>0.1148108911</v>
      </c>
      <c r="AN31" s="383">
        <f>'Disease burden'!AN388</f>
        <v>0.1148108911</v>
      </c>
      <c r="AO31" s="383">
        <f>'Disease burden'!AO388</f>
        <v>0.08765625677</v>
      </c>
      <c r="AP31" s="383">
        <f>'Disease burden'!AP388</f>
        <v>0.09622422835</v>
      </c>
      <c r="AQ31" s="383">
        <f>'Disease burden'!AQ388</f>
        <v>0.09116531324</v>
      </c>
      <c r="AR31" s="383">
        <f>'Disease burden'!AR388</f>
        <v>0.06671598947</v>
      </c>
      <c r="AS31" s="383">
        <f>'Disease burden'!AS388</f>
        <v>0.1122708694</v>
      </c>
      <c r="AT31" s="383">
        <f>'Disease burden'!AT388</f>
        <v>0.0947934804</v>
      </c>
      <c r="AU31" s="383">
        <f>'Disease burden'!AU388</f>
        <v>0.1144120014</v>
      </c>
      <c r="AV31" s="383">
        <f>'Disease burden'!AV388</f>
        <v>0.1598644238</v>
      </c>
      <c r="AW31" s="256"/>
    </row>
    <row r="32">
      <c r="A32" s="123"/>
      <c r="B32" s="123"/>
      <c r="C32" s="53"/>
      <c r="D32" s="53"/>
      <c r="E32" s="510" t="s">
        <v>367</v>
      </c>
      <c r="F32" s="395" t="str">
        <f>'Disease burden'!F389</f>
        <v>%</v>
      </c>
      <c r="G32" s="485" t="s">
        <v>173</v>
      </c>
      <c r="H32" s="243" t="str">
        <f>'Disease burden'!H389</f>
        <v>-</v>
      </c>
      <c r="I32" s="241">
        <f>'Disease burden'!I389</f>
        <v>0.07364431546</v>
      </c>
      <c r="J32" s="241">
        <f>'Disease burden'!J389</f>
        <v>0.09622371017</v>
      </c>
      <c r="K32" s="241">
        <f>'Disease burden'!K389</f>
        <v>0.09177259407</v>
      </c>
      <c r="L32" s="383">
        <f>'Disease burden'!L389</f>
        <v>0.1123244321</v>
      </c>
      <c r="M32" s="241">
        <f>'Disease burden'!M389</f>
        <v>0.08557590775</v>
      </c>
      <c r="N32" s="241">
        <f>'Disease burden'!N389</f>
        <v>0.08962916834</v>
      </c>
      <c r="O32" s="241">
        <f>'Disease burden'!O389</f>
        <v>0.1046620826</v>
      </c>
      <c r="P32" s="241">
        <f>'Disease burden'!P389</f>
        <v>0.08002381085</v>
      </c>
      <c r="Q32" s="241">
        <f>'Disease burden'!Q389</f>
        <v>0.08523582556</v>
      </c>
      <c r="R32" s="241">
        <f>'Disease burden'!R389</f>
        <v>0.09083060394</v>
      </c>
      <c r="S32" s="241">
        <f>'Disease burden'!S389</f>
        <v>0.08498153407</v>
      </c>
      <c r="T32" s="241">
        <f>'Disease burden'!T389</f>
        <v>0.1186443774</v>
      </c>
      <c r="U32" s="241">
        <f>'Disease burden'!U389</f>
        <v>0.1311076095</v>
      </c>
      <c r="V32" s="241">
        <f>'Disease burden'!V389</f>
        <v>0.1260971653</v>
      </c>
      <c r="W32" s="241">
        <f>'Disease burden'!W389</f>
        <v>0.09467928776</v>
      </c>
      <c r="X32" s="241">
        <f>'Disease burden'!X389</f>
        <v>0.105435393</v>
      </c>
      <c r="Y32" s="241">
        <f>'Disease burden'!Y389</f>
        <v>0.1301603744</v>
      </c>
      <c r="Z32" s="241">
        <f>'Disease burden'!Z389</f>
        <v>0.1091873021</v>
      </c>
      <c r="AA32" s="241">
        <f>'Disease burden'!AA389</f>
        <v>0.1244135483</v>
      </c>
      <c r="AB32" s="241">
        <f>'Disease burden'!AB389</f>
        <v>0.1119352415</v>
      </c>
      <c r="AC32" s="241">
        <f>'Disease burden'!AC389</f>
        <v>0.09932308177</v>
      </c>
      <c r="AD32" s="241">
        <f>'Disease burden'!AD389</f>
        <v>0.1464363431</v>
      </c>
      <c r="AE32" s="241">
        <f>'Disease burden'!AE389</f>
        <v>0.1112701194</v>
      </c>
      <c r="AF32" s="241">
        <f>'Disease burden'!AF389</f>
        <v>0.1154748351</v>
      </c>
      <c r="AG32" s="241">
        <f>'Disease burden'!AG389</f>
        <v>0.1123244321</v>
      </c>
      <c r="AH32" s="241">
        <f>'Disease burden'!AH389</f>
        <v>0.1835688899</v>
      </c>
      <c r="AI32" s="241">
        <f>'Disease burden'!AI389</f>
        <v>0.1175180704</v>
      </c>
      <c r="AJ32" s="241">
        <f>'Disease burden'!AJ389</f>
        <v>0.1140892107</v>
      </c>
      <c r="AK32" s="241">
        <f>'Disease burden'!AK389</f>
        <v>0.1114146225</v>
      </c>
      <c r="AL32" s="241">
        <f>'Disease burden'!AL389</f>
        <v>0.09725309835</v>
      </c>
      <c r="AM32" s="383">
        <f>'Disease burden'!AM389</f>
        <v>0.09725309835</v>
      </c>
      <c r="AN32" s="383">
        <f>'Disease burden'!AN389</f>
        <v>0.09725309835</v>
      </c>
      <c r="AO32" s="241">
        <f>'Disease burden'!AO389</f>
        <v>0.1108417252</v>
      </c>
      <c r="AP32" s="241">
        <f>'Disease burden'!AP389</f>
        <v>0.09193668948</v>
      </c>
      <c r="AQ32" s="241">
        <f>'Disease burden'!AQ389</f>
        <v>0.1253284141</v>
      </c>
      <c r="AR32" s="241">
        <f>'Disease burden'!AR389</f>
        <v>0.1365398718</v>
      </c>
      <c r="AS32" s="241">
        <f>'Disease burden'!AS389</f>
        <v>0.1006048056</v>
      </c>
      <c r="AT32" s="241">
        <f>'Disease burden'!AT389</f>
        <v>0.1111996677</v>
      </c>
      <c r="AU32" s="241">
        <f>'Disease burden'!AU389</f>
        <v>0.08807155383</v>
      </c>
      <c r="AV32" s="241">
        <f>'Disease burden'!AV389</f>
        <v>0.1145960577</v>
      </c>
      <c r="AW32" s="259"/>
    </row>
    <row r="33">
      <c r="A33" s="123"/>
      <c r="B33" s="123"/>
      <c r="C33" s="53"/>
      <c r="D33" s="53"/>
      <c r="E33" s="510" t="s">
        <v>368</v>
      </c>
      <c r="F33" s="395" t="str">
        <f>'Disease burden'!F390</f>
        <v>%</v>
      </c>
      <c r="G33" s="485" t="s">
        <v>173</v>
      </c>
      <c r="H33" s="243" t="str">
        <f>'Disease burden'!H390</f>
        <v>-</v>
      </c>
      <c r="I33" s="241">
        <f>'Disease burden'!I390</f>
        <v>0.1157267814</v>
      </c>
      <c r="J33" s="241">
        <f>'Disease burden'!J390</f>
        <v>0.1512086874</v>
      </c>
      <c r="K33" s="241">
        <f>'Disease burden'!K390</f>
        <v>0.1442140764</v>
      </c>
      <c r="L33" s="383">
        <f>'Disease burden'!L390</f>
        <v>0.1765098218</v>
      </c>
      <c r="M33" s="241">
        <f>'Disease burden'!M390</f>
        <v>0.1344764265</v>
      </c>
      <c r="N33" s="241">
        <f>'Disease burden'!N390</f>
        <v>0.140845836</v>
      </c>
      <c r="O33" s="241">
        <f>'Disease burden'!O390</f>
        <v>0.1644689869</v>
      </c>
      <c r="P33" s="241">
        <f>'Disease burden'!P390</f>
        <v>0.1257517028</v>
      </c>
      <c r="Q33" s="241">
        <f>'Disease burden'!Q390</f>
        <v>0.1339420116</v>
      </c>
      <c r="R33" s="241">
        <f>'Disease burden'!R390</f>
        <v>0.1427338062</v>
      </c>
      <c r="S33" s="241">
        <f>'Disease burden'!S390</f>
        <v>0.1335424107</v>
      </c>
      <c r="T33" s="241">
        <f>'Disease burden'!T390</f>
        <v>0.1864411644</v>
      </c>
      <c r="U33" s="241">
        <f>'Disease burden'!U390</f>
        <v>0.2060262436</v>
      </c>
      <c r="V33" s="241">
        <f>'Disease burden'!V390</f>
        <v>0.1981526884</v>
      </c>
      <c r="W33" s="241">
        <f>'Disease burden'!W390</f>
        <v>0.1487817379</v>
      </c>
      <c r="X33" s="241">
        <f>'Disease burden'!X390</f>
        <v>0.1656841891</v>
      </c>
      <c r="Y33" s="241">
        <f>'Disease burden'!Y390</f>
        <v>0.2045377312</v>
      </c>
      <c r="Z33" s="241">
        <f>'Disease burden'!Z390</f>
        <v>0.1715800462</v>
      </c>
      <c r="AA33" s="241">
        <f>'Disease burden'!AA390</f>
        <v>0.1955070044</v>
      </c>
      <c r="AB33" s="241">
        <f>'Disease burden'!AB390</f>
        <v>0.1758982367</v>
      </c>
      <c r="AC33" s="241">
        <f>'Disease burden'!AC390</f>
        <v>0.1560791285</v>
      </c>
      <c r="AD33" s="241">
        <f>'Disease burden'!AD390</f>
        <v>0.2301142535</v>
      </c>
      <c r="AE33" s="241">
        <f>'Disease burden'!AE390</f>
        <v>0.1748530448</v>
      </c>
      <c r="AF33" s="241">
        <f>'Disease burden'!AF390</f>
        <v>0.1814604552</v>
      </c>
      <c r="AG33" s="241">
        <f>'Disease burden'!AG390</f>
        <v>0.1765098218</v>
      </c>
      <c r="AH33" s="241">
        <f>'Disease burden'!AH390</f>
        <v>0.2884653984</v>
      </c>
      <c r="AI33" s="241">
        <f>'Disease burden'!AI390</f>
        <v>0.1846712534</v>
      </c>
      <c r="AJ33" s="241">
        <f>'Disease burden'!AJ390</f>
        <v>0.1792830453</v>
      </c>
      <c r="AK33" s="241">
        <f>'Disease burden'!AK390</f>
        <v>0.1750801211</v>
      </c>
      <c r="AL33" s="241">
        <f>'Disease burden'!AL390</f>
        <v>0.1528262974</v>
      </c>
      <c r="AM33" s="383">
        <f>'Disease burden'!AM390</f>
        <v>0.1528262974</v>
      </c>
      <c r="AN33" s="383">
        <f>'Disease burden'!AN390</f>
        <v>0.1528262974</v>
      </c>
      <c r="AO33" s="241">
        <f>'Disease burden'!AO390</f>
        <v>0.1741798538</v>
      </c>
      <c r="AP33" s="241">
        <f>'Disease burden'!AP390</f>
        <v>0.1444719406</v>
      </c>
      <c r="AQ33" s="241">
        <f>'Disease burden'!AQ390</f>
        <v>0.1969446507</v>
      </c>
      <c r="AR33" s="241">
        <f>'Disease burden'!AR390</f>
        <v>0.2145626557</v>
      </c>
      <c r="AS33" s="241">
        <f>'Disease burden'!AS390</f>
        <v>0.158093266</v>
      </c>
      <c r="AT33" s="241">
        <f>'Disease burden'!AT390</f>
        <v>0.174742335</v>
      </c>
      <c r="AU33" s="241">
        <f>'Disease burden'!AU390</f>
        <v>0.138398156</v>
      </c>
      <c r="AV33" s="241">
        <f>'Disease burden'!AV390</f>
        <v>0.1800795193</v>
      </c>
      <c r="AW33" s="259"/>
    </row>
    <row r="34">
      <c r="A34" s="123"/>
      <c r="B34" s="123"/>
      <c r="C34" s="53"/>
      <c r="D34" s="53"/>
      <c r="E34" s="510" t="s">
        <v>369</v>
      </c>
      <c r="F34" s="395" t="str">
        <f>'Disease burden'!F391</f>
        <v>%</v>
      </c>
      <c r="G34" s="485" t="s">
        <v>173</v>
      </c>
      <c r="H34" s="243" t="str">
        <f>'Disease burden'!H391</f>
        <v>-</v>
      </c>
      <c r="I34" s="241">
        <f>'Disease burden'!I391</f>
        <v>0.02104123299</v>
      </c>
      <c r="J34" s="241">
        <f>'Disease burden'!J391</f>
        <v>0.02749248862</v>
      </c>
      <c r="K34" s="241">
        <f>'Disease burden'!K391</f>
        <v>0.02622074116</v>
      </c>
      <c r="L34" s="383">
        <f>'Disease burden'!L391</f>
        <v>0.03209269488</v>
      </c>
      <c r="M34" s="241">
        <f>'Disease burden'!M391</f>
        <v>0.02445025936</v>
      </c>
      <c r="N34" s="241">
        <f>'Disease burden'!N391</f>
        <v>0.02560833381</v>
      </c>
      <c r="O34" s="241">
        <f>'Disease burden'!O391</f>
        <v>0.02990345216</v>
      </c>
      <c r="P34" s="241">
        <f>'Disease burden'!P391</f>
        <v>0.02286394596</v>
      </c>
      <c r="Q34" s="241">
        <f>'Disease burden'!Q391</f>
        <v>0.02435309302</v>
      </c>
      <c r="R34" s="241">
        <f>'Disease burden'!R391</f>
        <v>0.02595160112</v>
      </c>
      <c r="S34" s="241">
        <f>'Disease burden'!S391</f>
        <v>0.0242804383</v>
      </c>
      <c r="T34" s="241">
        <f>'Disease burden'!T391</f>
        <v>0.03389839353</v>
      </c>
      <c r="U34" s="241">
        <f>'Disease burden'!U391</f>
        <v>0.03745931701</v>
      </c>
      <c r="V34" s="241">
        <f>'Disease burden'!V391</f>
        <v>0.03602776152</v>
      </c>
      <c r="W34" s="241">
        <f>'Disease burden'!W391</f>
        <v>0.02705122507</v>
      </c>
      <c r="X34" s="241">
        <f>'Disease burden'!X391</f>
        <v>0.03012439801</v>
      </c>
      <c r="Y34" s="241">
        <f>'Disease burden'!Y391</f>
        <v>0.0371886784</v>
      </c>
      <c r="Z34" s="241">
        <f>'Disease burden'!Z391</f>
        <v>0.03119637203</v>
      </c>
      <c r="AA34" s="241">
        <f>'Disease burden'!AA391</f>
        <v>0.03554672807</v>
      </c>
      <c r="AB34" s="241">
        <f>'Disease burden'!AB391</f>
        <v>0.03198149759</v>
      </c>
      <c r="AC34" s="241">
        <f>'Disease burden'!AC391</f>
        <v>0.02837802336</v>
      </c>
      <c r="AD34" s="241">
        <f>'Disease burden'!AD391</f>
        <v>0.04183895518</v>
      </c>
      <c r="AE34" s="241">
        <f>'Disease burden'!AE391</f>
        <v>0.0317914627</v>
      </c>
      <c r="AF34" s="241">
        <f>'Disease burden'!AF391</f>
        <v>0.03299281003</v>
      </c>
      <c r="AG34" s="241">
        <f>'Disease burden'!AG391</f>
        <v>0.03209269488</v>
      </c>
      <c r="AH34" s="241">
        <f>'Disease burden'!AH391</f>
        <v>0.05244825425</v>
      </c>
      <c r="AI34" s="241">
        <f>'Disease burden'!AI391</f>
        <v>0.03357659153</v>
      </c>
      <c r="AJ34" s="241">
        <f>'Disease burden'!AJ391</f>
        <v>0.03259691733</v>
      </c>
      <c r="AK34" s="241">
        <f>'Disease burden'!AK391</f>
        <v>0.03183274929</v>
      </c>
      <c r="AL34" s="241">
        <f>'Disease burden'!AL391</f>
        <v>0.02778659953</v>
      </c>
      <c r="AM34" s="383">
        <f>'Disease burden'!AM391</f>
        <v>0.02778659953</v>
      </c>
      <c r="AN34" s="383">
        <f>'Disease burden'!AN391</f>
        <v>0.02778659953</v>
      </c>
      <c r="AO34" s="241">
        <f>'Disease burden'!AO391</f>
        <v>0.03166906433</v>
      </c>
      <c r="AP34" s="241">
        <f>'Disease burden'!AP391</f>
        <v>0.02626762557</v>
      </c>
      <c r="AQ34" s="241">
        <f>'Disease burden'!AQ391</f>
        <v>0.03580811831</v>
      </c>
      <c r="AR34" s="241">
        <f>'Disease burden'!AR391</f>
        <v>0.03901139194</v>
      </c>
      <c r="AS34" s="241">
        <f>'Disease burden'!AS391</f>
        <v>0.02874423018</v>
      </c>
      <c r="AT34" s="241">
        <f>'Disease burden'!AT391</f>
        <v>0.03177133364</v>
      </c>
      <c r="AU34" s="241">
        <f>'Disease burden'!AU391</f>
        <v>0.0251633011</v>
      </c>
      <c r="AV34" s="241">
        <f>'Disease burden'!AV391</f>
        <v>0.03274173077</v>
      </c>
      <c r="AW34" s="259"/>
    </row>
    <row r="35">
      <c r="A35" s="123"/>
      <c r="B35" s="123"/>
      <c r="C35" s="53"/>
      <c r="D35" s="53"/>
      <c r="E35" s="510" t="s">
        <v>370</v>
      </c>
      <c r="F35" s="395" t="str">
        <f>'Disease burden'!F392</f>
        <v>%</v>
      </c>
      <c r="G35" s="485" t="s">
        <v>173</v>
      </c>
      <c r="H35" s="243" t="str">
        <f>'Disease burden'!H392</f>
        <v>-</v>
      </c>
      <c r="I35" s="241">
        <f>'Disease burden'!I392</f>
        <v>0.08990052497</v>
      </c>
      <c r="J35" s="241">
        <f>'Disease burden'!J392</f>
        <v>0.101356031</v>
      </c>
      <c r="K35" s="241">
        <f>'Disease burden'!K392</f>
        <v>0.08564804463</v>
      </c>
      <c r="L35" s="383">
        <f>'Disease burden'!L392</f>
        <v>0.1079030006</v>
      </c>
      <c r="M35" s="241">
        <f>'Disease burden'!M392</f>
        <v>0.1109400863</v>
      </c>
      <c r="N35" s="241">
        <f>'Disease burden'!N392</f>
        <v>0.07977539802</v>
      </c>
      <c r="O35" s="241">
        <f>'Disease burden'!O392</f>
        <v>0.07646206579</v>
      </c>
      <c r="P35" s="241">
        <f>'Disease burden'!P392</f>
        <v>0.08359671028</v>
      </c>
      <c r="Q35" s="241">
        <f>'Disease burden'!Q392</f>
        <v>0.06730625974</v>
      </c>
      <c r="R35" s="241">
        <f>'Disease burden'!R392</f>
        <v>0.1247556426</v>
      </c>
      <c r="S35" s="241">
        <f>'Disease burden'!S392</f>
        <v>0.1150239465</v>
      </c>
      <c r="T35" s="241">
        <f>'Disease burden'!T392</f>
        <v>0.1167064137</v>
      </c>
      <c r="U35" s="241">
        <f>'Disease burden'!U392</f>
        <v>0.1278282457</v>
      </c>
      <c r="V35" s="241">
        <f>'Disease burden'!V392</f>
        <v>0.09080436546</v>
      </c>
      <c r="W35" s="241">
        <f>'Disease burden'!W392</f>
        <v>0.10172656</v>
      </c>
      <c r="X35" s="241">
        <f>'Disease burden'!X392</f>
        <v>0.0729101274</v>
      </c>
      <c r="Y35" s="241">
        <f>'Disease burden'!Y392</f>
        <v>0.1063139688</v>
      </c>
      <c r="Z35" s="241">
        <f>'Disease burden'!Z392</f>
        <v>0.122596032</v>
      </c>
      <c r="AA35" s="241">
        <f>'Disease burden'!AA392</f>
        <v>0.1097120303</v>
      </c>
      <c r="AB35" s="241">
        <f>'Disease burden'!AB392</f>
        <v>0.1335345357</v>
      </c>
      <c r="AC35" s="241">
        <f>'Disease burden'!AC392</f>
        <v>0.1233994014</v>
      </c>
      <c r="AD35" s="241">
        <f>'Disease burden'!AD392</f>
        <v>0.1051478179</v>
      </c>
      <c r="AE35" s="241">
        <f>'Disease burden'!AE392</f>
        <v>0.1265856886</v>
      </c>
      <c r="AF35" s="241">
        <f>'Disease burden'!AF392</f>
        <v>0.1313524431</v>
      </c>
      <c r="AG35" s="241">
        <f>'Disease burden'!AG392</f>
        <v>0.1079030006</v>
      </c>
      <c r="AH35" s="241">
        <f>'Disease burden'!AH392</f>
        <v>0.08136266314</v>
      </c>
      <c r="AI35" s="241">
        <f>'Disease burden'!AI392</f>
        <v>0.1036451154</v>
      </c>
      <c r="AJ35" s="241">
        <f>'Disease burden'!AJ392</f>
        <v>0.1217265593</v>
      </c>
      <c r="AK35" s="241">
        <f>'Disease burden'!AK392</f>
        <v>0.1090389157</v>
      </c>
      <c r="AL35" s="241">
        <f>'Disease burden'!AL392</f>
        <v>0.1007271679</v>
      </c>
      <c r="AM35" s="383">
        <f>'Disease burden'!AM392</f>
        <v>0.1007271679</v>
      </c>
      <c r="AN35" s="383">
        <f>'Disease burden'!AN392</f>
        <v>0.1007271679</v>
      </c>
      <c r="AO35" s="241">
        <f>'Disease burden'!AO392</f>
        <v>0.1159764219</v>
      </c>
      <c r="AP35" s="241">
        <f>'Disease burden'!AP392</f>
        <v>0.1366960695</v>
      </c>
      <c r="AQ35" s="241">
        <f>'Disease burden'!AQ392</f>
        <v>0.1060892404</v>
      </c>
      <c r="AR35" s="241">
        <f>'Disease burden'!AR392</f>
        <v>0.1072112159</v>
      </c>
      <c r="AS35" s="241">
        <f>'Disease burden'!AS392</f>
        <v>0.1100165681</v>
      </c>
      <c r="AT35" s="241">
        <f>'Disease burden'!AT392</f>
        <v>0.124846749</v>
      </c>
      <c r="AU35" s="241">
        <f>'Disease burden'!AU392</f>
        <v>0.111926</v>
      </c>
      <c r="AV35" s="241">
        <f>'Disease burden'!AV392</f>
        <v>0.07376110257</v>
      </c>
      <c r="AW35" s="259"/>
    </row>
    <row r="36">
      <c r="A36" s="123"/>
      <c r="B36" s="123"/>
      <c r="C36" s="53"/>
      <c r="D36" s="53"/>
      <c r="E36" s="510" t="s">
        <v>371</v>
      </c>
      <c r="F36" s="395" t="str">
        <f>'Disease burden'!F393</f>
        <v>%</v>
      </c>
      <c r="G36" s="485" t="s">
        <v>173</v>
      </c>
      <c r="H36" s="243" t="str">
        <f>'Disease burden'!H393</f>
        <v>-</v>
      </c>
      <c r="I36" s="241">
        <f>'Disease burden'!I393</f>
        <v>0.1412722535</v>
      </c>
      <c r="J36" s="241">
        <f>'Disease burden'!J393</f>
        <v>0.1592737631</v>
      </c>
      <c r="K36" s="241">
        <f>'Disease burden'!K393</f>
        <v>0.1345897844</v>
      </c>
      <c r="L36" s="383">
        <f>'Disease burden'!L393</f>
        <v>0.169561858</v>
      </c>
      <c r="M36" s="241">
        <f>'Disease burden'!M393</f>
        <v>0.1743344213</v>
      </c>
      <c r="N36" s="241">
        <f>'Disease burden'!N393</f>
        <v>0.1253613397</v>
      </c>
      <c r="O36" s="241">
        <f>'Disease burden'!O393</f>
        <v>0.1201546748</v>
      </c>
      <c r="P36" s="241">
        <f>'Disease burden'!P393</f>
        <v>0.131366259</v>
      </c>
      <c r="Q36" s="241">
        <f>'Disease burden'!Q393</f>
        <v>0.1057669796</v>
      </c>
      <c r="R36" s="241">
        <f>'Disease burden'!R393</f>
        <v>0.1960445812</v>
      </c>
      <c r="S36" s="241">
        <f>'Disease burden'!S393</f>
        <v>0.1807519159</v>
      </c>
      <c r="T36" s="241">
        <f>'Disease burden'!T393</f>
        <v>0.183395793</v>
      </c>
      <c r="U36" s="241">
        <f>'Disease burden'!U393</f>
        <v>0.2008729576</v>
      </c>
      <c r="V36" s="241">
        <f>'Disease burden'!V393</f>
        <v>0.1426925743</v>
      </c>
      <c r="W36" s="241">
        <f>'Disease burden'!W393</f>
        <v>0.1598560228</v>
      </c>
      <c r="X36" s="241">
        <f>'Disease burden'!X393</f>
        <v>0.1145730573</v>
      </c>
      <c r="Y36" s="241">
        <f>'Disease burden'!Y393</f>
        <v>0.1670648081</v>
      </c>
      <c r="Z36" s="241">
        <f>'Disease burden'!Z393</f>
        <v>0.1926509074</v>
      </c>
      <c r="AA36" s="241">
        <f>'Disease burden'!AA393</f>
        <v>0.1724046191</v>
      </c>
      <c r="AB36" s="241">
        <f>'Disease burden'!AB393</f>
        <v>0.2098399847</v>
      </c>
      <c r="AC36" s="241">
        <f>'Disease burden'!AC393</f>
        <v>0.193913345</v>
      </c>
      <c r="AD36" s="241">
        <f>'Disease burden'!AD393</f>
        <v>0.1652322853</v>
      </c>
      <c r="AE36" s="241">
        <f>'Disease burden'!AE393</f>
        <v>0.1989203677</v>
      </c>
      <c r="AF36" s="241">
        <f>'Disease burden'!AF393</f>
        <v>0.2064109821</v>
      </c>
      <c r="AG36" s="241">
        <f>'Disease burden'!AG393</f>
        <v>0.169561858</v>
      </c>
      <c r="AH36" s="241">
        <f>'Disease burden'!AH393</f>
        <v>0.1278556135</v>
      </c>
      <c r="AI36" s="241">
        <f>'Disease burden'!AI393</f>
        <v>0.1628708956</v>
      </c>
      <c r="AJ36" s="241">
        <f>'Disease burden'!AJ393</f>
        <v>0.1912845931</v>
      </c>
      <c r="AK36" s="241">
        <f>'Disease burden'!AK393</f>
        <v>0.1713468676</v>
      </c>
      <c r="AL36" s="241">
        <f>'Disease burden'!AL393</f>
        <v>0.1582855496</v>
      </c>
      <c r="AM36" s="383">
        <f>'Disease burden'!AM393</f>
        <v>0.1582855496</v>
      </c>
      <c r="AN36" s="383">
        <f>'Disease burden'!AN393</f>
        <v>0.1582855496</v>
      </c>
      <c r="AO36" s="241">
        <f>'Disease burden'!AO393</f>
        <v>0.1822486629</v>
      </c>
      <c r="AP36" s="241">
        <f>'Disease burden'!AP393</f>
        <v>0.2148081092</v>
      </c>
      <c r="AQ36" s="241">
        <f>'Disease burden'!AQ393</f>
        <v>0.1667116635</v>
      </c>
      <c r="AR36" s="241">
        <f>'Disease burden'!AR393</f>
        <v>0.1684747678</v>
      </c>
      <c r="AS36" s="241">
        <f>'Disease burden'!AS393</f>
        <v>0.1728831784</v>
      </c>
      <c r="AT36" s="241">
        <f>'Disease burden'!AT393</f>
        <v>0.1961877485</v>
      </c>
      <c r="AU36" s="241">
        <f>'Disease burden'!AU393</f>
        <v>0.1758837142</v>
      </c>
      <c r="AV36" s="241">
        <f>'Disease burden'!AV393</f>
        <v>0.115910304</v>
      </c>
      <c r="AW36" s="259"/>
    </row>
    <row r="37">
      <c r="A37" s="123"/>
      <c r="B37" s="123"/>
      <c r="C37" s="53"/>
      <c r="D37" s="53"/>
      <c r="E37" s="510" t="s">
        <v>372</v>
      </c>
      <c r="F37" s="395" t="str">
        <f>'Disease burden'!F394</f>
        <v>%</v>
      </c>
      <c r="G37" s="485" t="s">
        <v>173</v>
      </c>
      <c r="H37" s="243" t="str">
        <f>'Disease burden'!H394</f>
        <v>-</v>
      </c>
      <c r="I37" s="241">
        <f>'Disease burden'!I394</f>
        <v>0.02568586428</v>
      </c>
      <c r="J37" s="241">
        <f>'Disease burden'!J394</f>
        <v>0.02895886601</v>
      </c>
      <c r="K37" s="241">
        <f>'Disease burden'!K394</f>
        <v>0.02447086989</v>
      </c>
      <c r="L37" s="383">
        <f>'Disease burden'!L394</f>
        <v>0.03082942873</v>
      </c>
      <c r="M37" s="241">
        <f>'Disease burden'!M394</f>
        <v>0.0316971675</v>
      </c>
      <c r="N37" s="241">
        <f>'Disease burden'!N394</f>
        <v>0.02279297086</v>
      </c>
      <c r="O37" s="241">
        <f>'Disease burden'!O394</f>
        <v>0.02184630451</v>
      </c>
      <c r="P37" s="241">
        <f>'Disease burden'!P394</f>
        <v>0.02388477437</v>
      </c>
      <c r="Q37" s="241">
        <f>'Disease burden'!Q394</f>
        <v>0.01923035993</v>
      </c>
      <c r="R37" s="241">
        <f>'Disease burden'!R394</f>
        <v>0.03564446931</v>
      </c>
      <c r="S37" s="241">
        <f>'Disease burden'!S394</f>
        <v>0.03286398471</v>
      </c>
      <c r="T37" s="241">
        <f>'Disease burden'!T394</f>
        <v>0.03334468964</v>
      </c>
      <c r="U37" s="241">
        <f>'Disease burden'!U394</f>
        <v>0.03652235593</v>
      </c>
      <c r="V37" s="241">
        <f>'Disease burden'!V394</f>
        <v>0.02594410442</v>
      </c>
      <c r="W37" s="241">
        <f>'Disease burden'!W394</f>
        <v>0.02906473142</v>
      </c>
      <c r="X37" s="241">
        <f>'Disease burden'!X394</f>
        <v>0.02083146497</v>
      </c>
      <c r="Y37" s="241">
        <f>'Disease burden'!Y394</f>
        <v>0.03037541966</v>
      </c>
      <c r="Z37" s="241">
        <f>'Disease burden'!Z394</f>
        <v>0.03502743772</v>
      </c>
      <c r="AA37" s="241">
        <f>'Disease burden'!AA394</f>
        <v>0.03134629437</v>
      </c>
      <c r="AB37" s="241">
        <f>'Disease burden'!AB394</f>
        <v>0.0381527245</v>
      </c>
      <c r="AC37" s="241">
        <f>'Disease burden'!AC394</f>
        <v>0.03525697182</v>
      </c>
      <c r="AD37" s="241">
        <f>'Disease burden'!AD394</f>
        <v>0.0300422337</v>
      </c>
      <c r="AE37" s="241">
        <f>'Disease burden'!AE394</f>
        <v>0.03616733959</v>
      </c>
      <c r="AF37" s="241">
        <f>'Disease burden'!AF394</f>
        <v>0.03752926947</v>
      </c>
      <c r="AG37" s="241">
        <f>'Disease burden'!AG394</f>
        <v>0.03082942873</v>
      </c>
      <c r="AH37" s="241">
        <f>'Disease burden'!AH394</f>
        <v>0.02324647518</v>
      </c>
      <c r="AI37" s="241">
        <f>'Disease burden'!AI394</f>
        <v>0.0296128901</v>
      </c>
      <c r="AJ37" s="241">
        <f>'Disease burden'!AJ394</f>
        <v>0.03477901693</v>
      </c>
      <c r="AK37" s="241">
        <f>'Disease burden'!AK394</f>
        <v>0.03115397592</v>
      </c>
      <c r="AL37" s="241">
        <f>'Disease burden'!AL394</f>
        <v>0.02877919083</v>
      </c>
      <c r="AM37" s="383">
        <f>'Disease burden'!AM394</f>
        <v>0.02877919083</v>
      </c>
      <c r="AN37" s="383">
        <f>'Disease burden'!AN394</f>
        <v>0.02877919083</v>
      </c>
      <c r="AO37" s="241">
        <f>'Disease burden'!AO394</f>
        <v>0.03313612053</v>
      </c>
      <c r="AP37" s="241">
        <f>'Disease burden'!AP394</f>
        <v>0.03905601986</v>
      </c>
      <c r="AQ37" s="241">
        <f>'Disease burden'!AQ394</f>
        <v>0.03031121155</v>
      </c>
      <c r="AR37" s="241">
        <f>'Disease burden'!AR394</f>
        <v>0.03063177596</v>
      </c>
      <c r="AS37" s="241">
        <f>'Disease burden'!AS394</f>
        <v>0.03143330517</v>
      </c>
      <c r="AT37" s="241">
        <f>'Disease burden'!AT394</f>
        <v>0.03567049972</v>
      </c>
      <c r="AU37" s="241">
        <f>'Disease burden'!AU394</f>
        <v>0.03197885713</v>
      </c>
      <c r="AV37" s="241">
        <f>'Disease burden'!AV394</f>
        <v>0.02107460073</v>
      </c>
      <c r="AW37" s="259"/>
    </row>
    <row r="38">
      <c r="A38" s="123"/>
      <c r="B38" s="123"/>
      <c r="C38" s="53"/>
      <c r="D38" s="53"/>
      <c r="E38" s="510" t="s">
        <v>376</v>
      </c>
      <c r="F38" s="395" t="str">
        <f>'Disease burden'!F398</f>
        <v>%</v>
      </c>
      <c r="G38" s="485" t="s">
        <v>173</v>
      </c>
      <c r="H38" s="243" t="str">
        <f>'Disease burden'!H398</f>
        <v>-</v>
      </c>
      <c r="I38" s="241">
        <f>'Disease burden'!I398</f>
        <v>0.07460615085</v>
      </c>
      <c r="J38" s="241">
        <f>'Disease burden'!J398</f>
        <v>0.05711713764</v>
      </c>
      <c r="K38" s="241">
        <f>'Disease burden'!K398</f>
        <v>0.09007219474</v>
      </c>
      <c r="L38" s="383">
        <f>'Disease burden'!L395</f>
        <v>0.1455802518</v>
      </c>
      <c r="M38" s="241">
        <f>'Disease burden'!M398</f>
        <v>0.04405250946</v>
      </c>
      <c r="N38" s="241">
        <f>'Disease burden'!N398</f>
        <v>0.1011255494</v>
      </c>
      <c r="O38" s="241">
        <f>'Disease burden'!O398</f>
        <v>0.1012424106</v>
      </c>
      <c r="P38" s="241">
        <f>'Disease burden'!P398</f>
        <v>0.07792178888</v>
      </c>
      <c r="Q38" s="241">
        <f>'Disease burden'!Q398</f>
        <v>0.09201877719</v>
      </c>
      <c r="R38" s="241">
        <f>'Disease burden'!R398</f>
        <v>0.03552455377</v>
      </c>
      <c r="S38" s="241">
        <f>'Disease burden'!S398</f>
        <v>0.04576203708</v>
      </c>
      <c r="T38" s="241">
        <f>'Disease burden'!T398</f>
        <v>0.0687274182</v>
      </c>
      <c r="U38" s="241">
        <f>'Disease burden'!U398</f>
        <v>0.0471759505</v>
      </c>
      <c r="V38" s="241">
        <f>'Disease burden'!V398</f>
        <v>0.07237393468</v>
      </c>
      <c r="W38" s="241">
        <f>'Disease burden'!W398</f>
        <v>0.04850060422</v>
      </c>
      <c r="X38" s="241">
        <f>'Disease burden'!X398</f>
        <v>0.08830786182</v>
      </c>
      <c r="Y38" s="241">
        <f>'Disease burden'!Y398</f>
        <v>0.07145011373</v>
      </c>
      <c r="Z38" s="241">
        <f>'Disease burden'!Z398</f>
        <v>0.05923352476</v>
      </c>
      <c r="AA38" s="241">
        <f>'Disease burden'!AA398</f>
        <v>0.06022180305</v>
      </c>
      <c r="AB38" s="241">
        <f>'Disease burden'!AB398</f>
        <v>0.05581647437</v>
      </c>
      <c r="AC38" s="241">
        <f>'Disease burden'!AC398</f>
        <v>0.0854589088</v>
      </c>
      <c r="AD38" s="241">
        <f>'Disease burden'!AD398</f>
        <v>0.05733623549</v>
      </c>
      <c r="AE38" s="241">
        <f>'Disease burden'!AE398</f>
        <v>0.0523183394</v>
      </c>
      <c r="AF38" s="241">
        <f>'Disease burden'!AF398</f>
        <v>0.04799325528</v>
      </c>
      <c r="AG38" s="241">
        <f>'Disease burden'!AG398</f>
        <v>0.0662066086</v>
      </c>
      <c r="AH38" s="241">
        <f>'Disease burden'!AH398</f>
        <v>0.06303172599</v>
      </c>
      <c r="AI38" s="241">
        <f>'Disease burden'!AI398</f>
        <v>0.109801654</v>
      </c>
      <c r="AJ38" s="241">
        <f>'Disease burden'!AJ398</f>
        <v>0.06584046946</v>
      </c>
      <c r="AK38" s="241">
        <f>'Disease burden'!AK398</f>
        <v>0.06240636799</v>
      </c>
      <c r="AL38" s="241">
        <f>'Disease burden'!AL398</f>
        <v>0.06645139583</v>
      </c>
      <c r="AM38" s="241">
        <f>'Disease burden'!AM398</f>
        <v>0.06645139583</v>
      </c>
      <c r="AN38" s="241">
        <f>'Disease burden'!AN398</f>
        <v>0.06645139583</v>
      </c>
      <c r="AO38" s="241">
        <f>'Disease burden'!AO398</f>
        <v>0.06078612507</v>
      </c>
      <c r="AP38" s="241">
        <f>'Disease burden'!AP398</f>
        <v>0.06388548772</v>
      </c>
      <c r="AQ38" s="241">
        <f>'Disease burden'!AQ398</f>
        <v>0.0752080161</v>
      </c>
      <c r="AR38" s="241">
        <f>'Disease burden'!AR398</f>
        <v>0.07600649775</v>
      </c>
      <c r="AS38" s="241">
        <f>'Disease burden'!AS398</f>
        <v>0.06185974634</v>
      </c>
      <c r="AT38" s="241">
        <f>'Disease burden'!AT398</f>
        <v>0.0604756214</v>
      </c>
      <c r="AU38" s="241">
        <f>'Disease burden'!AU398</f>
        <v>0.05002700932</v>
      </c>
      <c r="AV38" s="241">
        <f>'Disease burden'!AV398</f>
        <v>0.1084550742</v>
      </c>
      <c r="AW38" s="259"/>
    </row>
    <row r="39">
      <c r="A39" s="123"/>
      <c r="B39" s="123"/>
      <c r="C39" s="53"/>
      <c r="D39" s="53"/>
      <c r="E39" s="523" t="s">
        <v>377</v>
      </c>
      <c r="F39" s="435" t="str">
        <f>'Disease burden'!F399</f>
        <v>%</v>
      </c>
      <c r="G39" s="491" t="s">
        <v>173</v>
      </c>
      <c r="H39" s="406" t="str">
        <f>'Disease burden'!H399</f>
        <v>-</v>
      </c>
      <c r="I39" s="407">
        <f>'Disease burden'!I399</f>
        <v>0.004388597109</v>
      </c>
      <c r="J39" s="407">
        <f>'Disease burden'!J399</f>
        <v>0.003359831626</v>
      </c>
      <c r="K39" s="407">
        <f>'Disease burden'!K399</f>
        <v>0.005298364397</v>
      </c>
      <c r="L39" s="383">
        <f>'Disease burden'!L396</f>
        <v>0.02911605037</v>
      </c>
      <c r="M39" s="407">
        <f>'Disease burden'!M399</f>
        <v>0.002591324086</v>
      </c>
      <c r="N39" s="407">
        <f>'Disease burden'!N399</f>
        <v>0.005948561727</v>
      </c>
      <c r="O39" s="407">
        <f>'Disease burden'!O399</f>
        <v>0.005955435919</v>
      </c>
      <c r="P39" s="407">
        <f>'Disease burden'!P399</f>
        <v>0.00458363464</v>
      </c>
      <c r="Q39" s="407">
        <f>'Disease burden'!Q399</f>
        <v>0.005412869246</v>
      </c>
      <c r="R39" s="407">
        <f>'Disease burden'!R399</f>
        <v>0.002089679633</v>
      </c>
      <c r="S39" s="407">
        <f>'Disease burden'!S399</f>
        <v>0.002691884534</v>
      </c>
      <c r="T39" s="407">
        <f>'Disease burden'!T399</f>
        <v>0.004042789306</v>
      </c>
      <c r="U39" s="407">
        <f>'Disease burden'!U399</f>
        <v>0.002775055912</v>
      </c>
      <c r="V39" s="407">
        <f>'Disease burden'!V399</f>
        <v>0.004257290275</v>
      </c>
      <c r="W39" s="407">
        <f>'Disease burden'!W399</f>
        <v>0.002852976719</v>
      </c>
      <c r="X39" s="407">
        <f>'Disease burden'!X399</f>
        <v>0.005194580107</v>
      </c>
      <c r="Y39" s="407">
        <f>'Disease burden'!Y399</f>
        <v>0.004202947867</v>
      </c>
      <c r="Z39" s="407">
        <f>'Disease burden'!Z399</f>
        <v>0.003484324986</v>
      </c>
      <c r="AA39" s="407">
        <f>'Disease burden'!AA399</f>
        <v>0.003542459003</v>
      </c>
      <c r="AB39" s="407">
        <f>'Disease burden'!AB399</f>
        <v>0.003283322022</v>
      </c>
      <c r="AC39" s="407">
        <f>'Disease burden'!AC399</f>
        <v>0.005026994635</v>
      </c>
      <c r="AD39" s="407">
        <f>'Disease burden'!AD399</f>
        <v>0.003372719735</v>
      </c>
      <c r="AE39" s="407">
        <f>'Disease burden'!AE399</f>
        <v>0.003077549376</v>
      </c>
      <c r="AF39" s="407">
        <f>'Disease burden'!AF399</f>
        <v>0.002823132664</v>
      </c>
      <c r="AG39" s="407">
        <f>'Disease burden'!AG399</f>
        <v>0.003894506389</v>
      </c>
      <c r="AH39" s="407">
        <f>'Disease burden'!AH399</f>
        <v>0.003707748588</v>
      </c>
      <c r="AI39" s="407">
        <f>'Disease burden'!AI399</f>
        <v>0.006458920824</v>
      </c>
      <c r="AJ39" s="407">
        <f>'Disease burden'!AJ399</f>
        <v>0.003872968792</v>
      </c>
      <c r="AK39" s="407">
        <f>'Disease burden'!AK399</f>
        <v>0.003670962823</v>
      </c>
      <c r="AL39" s="407">
        <f>'Disease burden'!AL399</f>
        <v>0.003908905637</v>
      </c>
      <c r="AM39" s="407">
        <f>'Disease burden'!AM399</f>
        <v>0.003908905637</v>
      </c>
      <c r="AN39" s="407">
        <f>'Disease burden'!AN399</f>
        <v>0.003908905637</v>
      </c>
      <c r="AO39" s="407">
        <f>'Disease burden'!AO399</f>
        <v>0.003575654416</v>
      </c>
      <c r="AP39" s="407">
        <f>'Disease burden'!AP399</f>
        <v>0.003757969866</v>
      </c>
      <c r="AQ39" s="407">
        <f>'Disease burden'!AQ399</f>
        <v>0.004424000947</v>
      </c>
      <c r="AR39" s="407">
        <f>'Disease burden'!AR399</f>
        <v>0.004470970456</v>
      </c>
      <c r="AS39" s="407">
        <f>'Disease burden'!AS399</f>
        <v>0.003638808608</v>
      </c>
      <c r="AT39" s="407">
        <f>'Disease burden'!AT399</f>
        <v>0.003557389494</v>
      </c>
      <c r="AU39" s="407">
        <f>'Disease burden'!AU399</f>
        <v>0.002942765254</v>
      </c>
      <c r="AV39" s="407">
        <f>'Disease burden'!AV399</f>
        <v>0.006379710245</v>
      </c>
      <c r="AW39" s="409"/>
    </row>
    <row r="40">
      <c r="A40" s="123"/>
      <c r="B40" s="123"/>
      <c r="C40" s="53"/>
      <c r="D40" s="53"/>
      <c r="E40" s="521"/>
      <c r="F40" s="125"/>
      <c r="G40" s="482"/>
      <c r="H40" s="127"/>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3"/>
      <c r="B41" s="123"/>
      <c r="C41" s="450" t="s">
        <v>500</v>
      </c>
      <c r="F41" s="125"/>
      <c r="G41" s="482"/>
      <c r="H41" s="127"/>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30"/>
    </row>
    <row r="42">
      <c r="A42" s="123"/>
      <c r="B42" s="123"/>
      <c r="C42" s="53"/>
      <c r="D42" s="53"/>
      <c r="E42" s="507" t="s">
        <v>501</v>
      </c>
      <c r="F42" s="193" t="s">
        <v>72</v>
      </c>
      <c r="G42" s="483" t="s">
        <v>161</v>
      </c>
      <c r="H42" s="255">
        <f t="shared" ref="H42:H49" si="2">AVERAGE(K31,N31,Q31)</f>
        <v>0.1939556048</v>
      </c>
      <c r="I42" s="331" t="s">
        <v>162</v>
      </c>
      <c r="J42" s="331" t="s">
        <v>162</v>
      </c>
      <c r="K42" s="331" t="s">
        <v>162</v>
      </c>
      <c r="L42" s="331" t="s">
        <v>162</v>
      </c>
      <c r="M42" s="331" t="s">
        <v>162</v>
      </c>
      <c r="N42" s="331" t="s">
        <v>162</v>
      </c>
      <c r="O42" s="331" t="s">
        <v>162</v>
      </c>
      <c r="P42" s="331" t="s">
        <v>162</v>
      </c>
      <c r="Q42" s="331" t="s">
        <v>162</v>
      </c>
      <c r="R42" s="331" t="s">
        <v>162</v>
      </c>
      <c r="S42" s="331" t="s">
        <v>162</v>
      </c>
      <c r="T42" s="331" t="s">
        <v>162</v>
      </c>
      <c r="U42" s="331" t="s">
        <v>162</v>
      </c>
      <c r="V42" s="331" t="s">
        <v>162</v>
      </c>
      <c r="W42" s="331" t="s">
        <v>162</v>
      </c>
      <c r="X42" s="331" t="s">
        <v>162</v>
      </c>
      <c r="Y42" s="331" t="s">
        <v>162</v>
      </c>
      <c r="Z42" s="331" t="s">
        <v>162</v>
      </c>
      <c r="AA42" s="331" t="s">
        <v>162</v>
      </c>
      <c r="AB42" s="331" t="s">
        <v>162</v>
      </c>
      <c r="AC42" s="331" t="s">
        <v>162</v>
      </c>
      <c r="AD42" s="331" t="s">
        <v>162</v>
      </c>
      <c r="AE42" s="331" t="s">
        <v>162</v>
      </c>
      <c r="AF42" s="331" t="s">
        <v>162</v>
      </c>
      <c r="AG42" s="331" t="s">
        <v>162</v>
      </c>
      <c r="AH42" s="331" t="s">
        <v>162</v>
      </c>
      <c r="AI42" s="331" t="s">
        <v>162</v>
      </c>
      <c r="AJ42" s="331" t="s">
        <v>162</v>
      </c>
      <c r="AK42" s="331" t="s">
        <v>162</v>
      </c>
      <c r="AL42" s="331" t="s">
        <v>162</v>
      </c>
      <c r="AM42" s="331" t="s">
        <v>162</v>
      </c>
      <c r="AN42" s="331" t="s">
        <v>162</v>
      </c>
      <c r="AO42" s="331" t="s">
        <v>162</v>
      </c>
      <c r="AP42" s="331" t="s">
        <v>162</v>
      </c>
      <c r="AQ42" s="331" t="s">
        <v>162</v>
      </c>
      <c r="AR42" s="331" t="s">
        <v>162</v>
      </c>
      <c r="AS42" s="331" t="s">
        <v>162</v>
      </c>
      <c r="AT42" s="331" t="s">
        <v>162</v>
      </c>
      <c r="AU42" s="331" t="s">
        <v>162</v>
      </c>
      <c r="AV42" s="331" t="s">
        <v>162</v>
      </c>
      <c r="AW42" s="256"/>
    </row>
    <row r="43">
      <c r="A43" s="123"/>
      <c r="B43" s="123"/>
      <c r="C43" s="53"/>
      <c r="D43" s="53"/>
      <c r="E43" s="510" t="s">
        <v>502</v>
      </c>
      <c r="F43" s="213" t="s">
        <v>72</v>
      </c>
      <c r="G43" s="485" t="s">
        <v>161</v>
      </c>
      <c r="H43" s="258">
        <f t="shared" si="2"/>
        <v>0.08887919599</v>
      </c>
      <c r="I43" s="220" t="s">
        <v>162</v>
      </c>
      <c r="J43" s="220" t="s">
        <v>162</v>
      </c>
      <c r="K43" s="220" t="s">
        <v>162</v>
      </c>
      <c r="L43" s="331" t="s">
        <v>162</v>
      </c>
      <c r="M43" s="220" t="s">
        <v>162</v>
      </c>
      <c r="N43" s="220" t="s">
        <v>162</v>
      </c>
      <c r="O43" s="220" t="s">
        <v>162</v>
      </c>
      <c r="P43" s="220" t="s">
        <v>162</v>
      </c>
      <c r="Q43" s="220" t="s">
        <v>162</v>
      </c>
      <c r="R43" s="220" t="s">
        <v>162</v>
      </c>
      <c r="S43" s="220" t="s">
        <v>162</v>
      </c>
      <c r="T43" s="220" t="s">
        <v>162</v>
      </c>
      <c r="U43" s="220" t="s">
        <v>162</v>
      </c>
      <c r="V43" s="220" t="s">
        <v>162</v>
      </c>
      <c r="W43" s="220" t="s">
        <v>162</v>
      </c>
      <c r="X43" s="220" t="s">
        <v>162</v>
      </c>
      <c r="Y43" s="220" t="s">
        <v>162</v>
      </c>
      <c r="Z43" s="220" t="s">
        <v>162</v>
      </c>
      <c r="AA43" s="220" t="s">
        <v>162</v>
      </c>
      <c r="AB43" s="220" t="s">
        <v>162</v>
      </c>
      <c r="AC43" s="220" t="s">
        <v>162</v>
      </c>
      <c r="AD43" s="220" t="s">
        <v>162</v>
      </c>
      <c r="AE43" s="220" t="s">
        <v>162</v>
      </c>
      <c r="AF43" s="220" t="s">
        <v>162</v>
      </c>
      <c r="AG43" s="220" t="s">
        <v>162</v>
      </c>
      <c r="AH43" s="220" t="s">
        <v>162</v>
      </c>
      <c r="AI43" s="220" t="s">
        <v>162</v>
      </c>
      <c r="AJ43" s="220" t="s">
        <v>162</v>
      </c>
      <c r="AK43" s="220" t="s">
        <v>162</v>
      </c>
      <c r="AL43" s="331" t="s">
        <v>162</v>
      </c>
      <c r="AM43" s="331" t="s">
        <v>162</v>
      </c>
      <c r="AN43" s="331" t="s">
        <v>162</v>
      </c>
      <c r="AO43" s="220" t="s">
        <v>162</v>
      </c>
      <c r="AP43" s="220" t="s">
        <v>162</v>
      </c>
      <c r="AQ43" s="220" t="s">
        <v>162</v>
      </c>
      <c r="AR43" s="220" t="s">
        <v>162</v>
      </c>
      <c r="AS43" s="220" t="s">
        <v>162</v>
      </c>
      <c r="AT43" s="220" t="s">
        <v>162</v>
      </c>
      <c r="AU43" s="220" t="s">
        <v>162</v>
      </c>
      <c r="AV43" s="220" t="s">
        <v>162</v>
      </c>
      <c r="AW43" s="259"/>
    </row>
    <row r="44">
      <c r="A44" s="123"/>
      <c r="B44" s="123"/>
      <c r="C44" s="53"/>
      <c r="D44" s="53"/>
      <c r="E44" s="510" t="s">
        <v>503</v>
      </c>
      <c r="F44" s="213" t="s">
        <v>72</v>
      </c>
      <c r="G44" s="485" t="s">
        <v>161</v>
      </c>
      <c r="H44" s="258">
        <f t="shared" si="2"/>
        <v>0.139667308</v>
      </c>
      <c r="I44" s="220" t="s">
        <v>162</v>
      </c>
      <c r="J44" s="220" t="s">
        <v>162</v>
      </c>
      <c r="K44" s="220" t="s">
        <v>162</v>
      </c>
      <c r="L44" s="331" t="s">
        <v>162</v>
      </c>
      <c r="M44" s="220" t="s">
        <v>162</v>
      </c>
      <c r="N44" s="220" t="s">
        <v>162</v>
      </c>
      <c r="O44" s="220" t="s">
        <v>162</v>
      </c>
      <c r="P44" s="220" t="s">
        <v>162</v>
      </c>
      <c r="Q44" s="220" t="s">
        <v>162</v>
      </c>
      <c r="R44" s="220" t="s">
        <v>162</v>
      </c>
      <c r="S44" s="220" t="s">
        <v>162</v>
      </c>
      <c r="T44" s="220" t="s">
        <v>162</v>
      </c>
      <c r="U44" s="220" t="s">
        <v>162</v>
      </c>
      <c r="V44" s="220" t="s">
        <v>162</v>
      </c>
      <c r="W44" s="220" t="s">
        <v>162</v>
      </c>
      <c r="X44" s="220" t="s">
        <v>162</v>
      </c>
      <c r="Y44" s="220" t="s">
        <v>162</v>
      </c>
      <c r="Z44" s="220" t="s">
        <v>162</v>
      </c>
      <c r="AA44" s="220" t="s">
        <v>162</v>
      </c>
      <c r="AB44" s="220" t="s">
        <v>162</v>
      </c>
      <c r="AC44" s="220" t="s">
        <v>162</v>
      </c>
      <c r="AD44" s="220" t="s">
        <v>162</v>
      </c>
      <c r="AE44" s="220" t="s">
        <v>162</v>
      </c>
      <c r="AF44" s="220" t="s">
        <v>162</v>
      </c>
      <c r="AG44" s="220" t="s">
        <v>162</v>
      </c>
      <c r="AH44" s="220" t="s">
        <v>162</v>
      </c>
      <c r="AI44" s="220" t="s">
        <v>162</v>
      </c>
      <c r="AJ44" s="220" t="s">
        <v>162</v>
      </c>
      <c r="AK44" s="220" t="s">
        <v>162</v>
      </c>
      <c r="AL44" s="331" t="s">
        <v>162</v>
      </c>
      <c r="AM44" s="331" t="s">
        <v>162</v>
      </c>
      <c r="AN44" s="331" t="s">
        <v>162</v>
      </c>
      <c r="AO44" s="220" t="s">
        <v>162</v>
      </c>
      <c r="AP44" s="220" t="s">
        <v>162</v>
      </c>
      <c r="AQ44" s="220" t="s">
        <v>162</v>
      </c>
      <c r="AR44" s="220" t="s">
        <v>162</v>
      </c>
      <c r="AS44" s="220" t="s">
        <v>162</v>
      </c>
      <c r="AT44" s="220" t="s">
        <v>162</v>
      </c>
      <c r="AU44" s="220" t="s">
        <v>162</v>
      </c>
      <c r="AV44" s="220" t="s">
        <v>162</v>
      </c>
      <c r="AW44" s="259"/>
    </row>
    <row r="45">
      <c r="A45" s="123"/>
      <c r="B45" s="123"/>
      <c r="C45" s="53"/>
      <c r="D45" s="53"/>
      <c r="E45" s="510" t="s">
        <v>504</v>
      </c>
      <c r="F45" s="213" t="s">
        <v>72</v>
      </c>
      <c r="G45" s="485" t="s">
        <v>161</v>
      </c>
      <c r="H45" s="258">
        <f t="shared" si="2"/>
        <v>0.025394056</v>
      </c>
      <c r="I45" s="220" t="s">
        <v>162</v>
      </c>
      <c r="J45" s="220" t="s">
        <v>162</v>
      </c>
      <c r="K45" s="220" t="s">
        <v>162</v>
      </c>
      <c r="L45" s="331" t="s">
        <v>162</v>
      </c>
      <c r="M45" s="220" t="s">
        <v>162</v>
      </c>
      <c r="N45" s="220" t="s">
        <v>162</v>
      </c>
      <c r="O45" s="220" t="s">
        <v>162</v>
      </c>
      <c r="P45" s="220" t="s">
        <v>162</v>
      </c>
      <c r="Q45" s="220" t="s">
        <v>162</v>
      </c>
      <c r="R45" s="220" t="s">
        <v>162</v>
      </c>
      <c r="S45" s="220" t="s">
        <v>162</v>
      </c>
      <c r="T45" s="220" t="s">
        <v>162</v>
      </c>
      <c r="U45" s="220" t="s">
        <v>162</v>
      </c>
      <c r="V45" s="220" t="s">
        <v>162</v>
      </c>
      <c r="W45" s="220" t="s">
        <v>162</v>
      </c>
      <c r="X45" s="220" t="s">
        <v>162</v>
      </c>
      <c r="Y45" s="220" t="s">
        <v>162</v>
      </c>
      <c r="Z45" s="220" t="s">
        <v>162</v>
      </c>
      <c r="AA45" s="220" t="s">
        <v>162</v>
      </c>
      <c r="AB45" s="220" t="s">
        <v>162</v>
      </c>
      <c r="AC45" s="220" t="s">
        <v>162</v>
      </c>
      <c r="AD45" s="220" t="s">
        <v>162</v>
      </c>
      <c r="AE45" s="220" t="s">
        <v>162</v>
      </c>
      <c r="AF45" s="220" t="s">
        <v>162</v>
      </c>
      <c r="AG45" s="220" t="s">
        <v>162</v>
      </c>
      <c r="AH45" s="220" t="s">
        <v>162</v>
      </c>
      <c r="AI45" s="220" t="s">
        <v>162</v>
      </c>
      <c r="AJ45" s="220" t="s">
        <v>162</v>
      </c>
      <c r="AK45" s="220" t="s">
        <v>162</v>
      </c>
      <c r="AL45" s="331" t="s">
        <v>162</v>
      </c>
      <c r="AM45" s="331" t="s">
        <v>162</v>
      </c>
      <c r="AN45" s="331" t="s">
        <v>162</v>
      </c>
      <c r="AO45" s="220" t="s">
        <v>162</v>
      </c>
      <c r="AP45" s="220" t="s">
        <v>162</v>
      </c>
      <c r="AQ45" s="220" t="s">
        <v>162</v>
      </c>
      <c r="AR45" s="220" t="s">
        <v>162</v>
      </c>
      <c r="AS45" s="220" t="s">
        <v>162</v>
      </c>
      <c r="AT45" s="220" t="s">
        <v>162</v>
      </c>
      <c r="AU45" s="220" t="s">
        <v>162</v>
      </c>
      <c r="AV45" s="220" t="s">
        <v>162</v>
      </c>
      <c r="AW45" s="259"/>
    </row>
    <row r="46">
      <c r="A46" s="123"/>
      <c r="B46" s="123"/>
      <c r="C46" s="53"/>
      <c r="D46" s="53"/>
      <c r="E46" s="510" t="s">
        <v>505</v>
      </c>
      <c r="F46" s="213" t="s">
        <v>72</v>
      </c>
      <c r="G46" s="485" t="s">
        <v>161</v>
      </c>
      <c r="H46" s="258">
        <f t="shared" si="2"/>
        <v>0.07757656746</v>
      </c>
      <c r="I46" s="220" t="s">
        <v>162</v>
      </c>
      <c r="J46" s="220" t="s">
        <v>162</v>
      </c>
      <c r="K46" s="220" t="s">
        <v>162</v>
      </c>
      <c r="L46" s="331" t="s">
        <v>162</v>
      </c>
      <c r="M46" s="220" t="s">
        <v>162</v>
      </c>
      <c r="N46" s="220" t="s">
        <v>162</v>
      </c>
      <c r="O46" s="220" t="s">
        <v>162</v>
      </c>
      <c r="P46" s="220" t="s">
        <v>162</v>
      </c>
      <c r="Q46" s="220" t="s">
        <v>162</v>
      </c>
      <c r="R46" s="220" t="s">
        <v>162</v>
      </c>
      <c r="S46" s="220" t="s">
        <v>162</v>
      </c>
      <c r="T46" s="220" t="s">
        <v>162</v>
      </c>
      <c r="U46" s="220" t="s">
        <v>162</v>
      </c>
      <c r="V46" s="220" t="s">
        <v>162</v>
      </c>
      <c r="W46" s="220" t="s">
        <v>162</v>
      </c>
      <c r="X46" s="220" t="s">
        <v>162</v>
      </c>
      <c r="Y46" s="220" t="s">
        <v>162</v>
      </c>
      <c r="Z46" s="220" t="s">
        <v>162</v>
      </c>
      <c r="AA46" s="220" t="s">
        <v>162</v>
      </c>
      <c r="AB46" s="220" t="s">
        <v>162</v>
      </c>
      <c r="AC46" s="220" t="s">
        <v>162</v>
      </c>
      <c r="AD46" s="220" t="s">
        <v>162</v>
      </c>
      <c r="AE46" s="220" t="s">
        <v>162</v>
      </c>
      <c r="AF46" s="220" t="s">
        <v>162</v>
      </c>
      <c r="AG46" s="220" t="s">
        <v>162</v>
      </c>
      <c r="AH46" s="220" t="s">
        <v>162</v>
      </c>
      <c r="AI46" s="220" t="s">
        <v>162</v>
      </c>
      <c r="AJ46" s="220" t="s">
        <v>162</v>
      </c>
      <c r="AK46" s="220" t="s">
        <v>162</v>
      </c>
      <c r="AL46" s="331" t="s">
        <v>162</v>
      </c>
      <c r="AM46" s="331" t="s">
        <v>162</v>
      </c>
      <c r="AN46" s="331" t="s">
        <v>162</v>
      </c>
      <c r="AO46" s="220" t="s">
        <v>162</v>
      </c>
      <c r="AP46" s="220" t="s">
        <v>162</v>
      </c>
      <c r="AQ46" s="220" t="s">
        <v>162</v>
      </c>
      <c r="AR46" s="220" t="s">
        <v>162</v>
      </c>
      <c r="AS46" s="220" t="s">
        <v>162</v>
      </c>
      <c r="AT46" s="220" t="s">
        <v>162</v>
      </c>
      <c r="AU46" s="220" t="s">
        <v>162</v>
      </c>
      <c r="AV46" s="220" t="s">
        <v>162</v>
      </c>
      <c r="AW46" s="259"/>
    </row>
    <row r="47">
      <c r="A47" s="123"/>
      <c r="B47" s="123"/>
      <c r="C47" s="53"/>
      <c r="D47" s="53"/>
      <c r="E47" s="510" t="s">
        <v>506</v>
      </c>
      <c r="F47" s="213" t="s">
        <v>72</v>
      </c>
      <c r="G47" s="485" t="s">
        <v>161</v>
      </c>
      <c r="H47" s="258">
        <f t="shared" si="2"/>
        <v>0.1219060346</v>
      </c>
      <c r="I47" s="220" t="s">
        <v>162</v>
      </c>
      <c r="J47" s="220" t="s">
        <v>162</v>
      </c>
      <c r="K47" s="220" t="s">
        <v>162</v>
      </c>
      <c r="L47" s="331" t="s">
        <v>162</v>
      </c>
      <c r="M47" s="220" t="s">
        <v>162</v>
      </c>
      <c r="N47" s="220" t="s">
        <v>162</v>
      </c>
      <c r="O47" s="220" t="s">
        <v>162</v>
      </c>
      <c r="P47" s="220" t="s">
        <v>162</v>
      </c>
      <c r="Q47" s="220" t="s">
        <v>162</v>
      </c>
      <c r="R47" s="220" t="s">
        <v>162</v>
      </c>
      <c r="S47" s="220" t="s">
        <v>162</v>
      </c>
      <c r="T47" s="220" t="s">
        <v>162</v>
      </c>
      <c r="U47" s="220" t="s">
        <v>162</v>
      </c>
      <c r="V47" s="220" t="s">
        <v>162</v>
      </c>
      <c r="W47" s="220" t="s">
        <v>162</v>
      </c>
      <c r="X47" s="220" t="s">
        <v>162</v>
      </c>
      <c r="Y47" s="220" t="s">
        <v>162</v>
      </c>
      <c r="Z47" s="220" t="s">
        <v>162</v>
      </c>
      <c r="AA47" s="220" t="s">
        <v>162</v>
      </c>
      <c r="AB47" s="220" t="s">
        <v>162</v>
      </c>
      <c r="AC47" s="220" t="s">
        <v>162</v>
      </c>
      <c r="AD47" s="220" t="s">
        <v>162</v>
      </c>
      <c r="AE47" s="220" t="s">
        <v>162</v>
      </c>
      <c r="AF47" s="220" t="s">
        <v>162</v>
      </c>
      <c r="AG47" s="220" t="s">
        <v>162</v>
      </c>
      <c r="AH47" s="220" t="s">
        <v>162</v>
      </c>
      <c r="AI47" s="220" t="s">
        <v>162</v>
      </c>
      <c r="AJ47" s="220" t="s">
        <v>162</v>
      </c>
      <c r="AK47" s="220" t="s">
        <v>162</v>
      </c>
      <c r="AL47" s="331" t="s">
        <v>162</v>
      </c>
      <c r="AM47" s="331" t="s">
        <v>162</v>
      </c>
      <c r="AN47" s="331" t="s">
        <v>162</v>
      </c>
      <c r="AO47" s="220" t="s">
        <v>162</v>
      </c>
      <c r="AP47" s="220" t="s">
        <v>162</v>
      </c>
      <c r="AQ47" s="220" t="s">
        <v>162</v>
      </c>
      <c r="AR47" s="220" t="s">
        <v>162</v>
      </c>
      <c r="AS47" s="220" t="s">
        <v>162</v>
      </c>
      <c r="AT47" s="220" t="s">
        <v>162</v>
      </c>
      <c r="AU47" s="220" t="s">
        <v>162</v>
      </c>
      <c r="AV47" s="220" t="s">
        <v>162</v>
      </c>
      <c r="AW47" s="259"/>
    </row>
    <row r="48">
      <c r="A48" s="123"/>
      <c r="B48" s="123"/>
      <c r="C48" s="53"/>
      <c r="D48" s="53"/>
      <c r="E48" s="510" t="s">
        <v>507</v>
      </c>
      <c r="F48" s="213" t="s">
        <v>72</v>
      </c>
      <c r="G48" s="485" t="s">
        <v>161</v>
      </c>
      <c r="H48" s="258">
        <f t="shared" si="2"/>
        <v>0.02216473356</v>
      </c>
      <c r="I48" s="220" t="s">
        <v>162</v>
      </c>
      <c r="J48" s="220" t="s">
        <v>162</v>
      </c>
      <c r="K48" s="220" t="s">
        <v>162</v>
      </c>
      <c r="L48" s="331" t="s">
        <v>162</v>
      </c>
      <c r="M48" s="220" t="s">
        <v>162</v>
      </c>
      <c r="N48" s="220" t="s">
        <v>162</v>
      </c>
      <c r="O48" s="220" t="s">
        <v>162</v>
      </c>
      <c r="P48" s="220" t="s">
        <v>162</v>
      </c>
      <c r="Q48" s="220" t="s">
        <v>162</v>
      </c>
      <c r="R48" s="220" t="s">
        <v>162</v>
      </c>
      <c r="S48" s="220" t="s">
        <v>162</v>
      </c>
      <c r="T48" s="220" t="s">
        <v>162</v>
      </c>
      <c r="U48" s="220" t="s">
        <v>162</v>
      </c>
      <c r="V48" s="220" t="s">
        <v>162</v>
      </c>
      <c r="W48" s="220" t="s">
        <v>162</v>
      </c>
      <c r="X48" s="220" t="s">
        <v>162</v>
      </c>
      <c r="Y48" s="220" t="s">
        <v>162</v>
      </c>
      <c r="Z48" s="220" t="s">
        <v>162</v>
      </c>
      <c r="AA48" s="220" t="s">
        <v>162</v>
      </c>
      <c r="AB48" s="220" t="s">
        <v>162</v>
      </c>
      <c r="AC48" s="220" t="s">
        <v>162</v>
      </c>
      <c r="AD48" s="220" t="s">
        <v>162</v>
      </c>
      <c r="AE48" s="220" t="s">
        <v>162</v>
      </c>
      <c r="AF48" s="220" t="s">
        <v>162</v>
      </c>
      <c r="AG48" s="220" t="s">
        <v>162</v>
      </c>
      <c r="AH48" s="220" t="s">
        <v>162</v>
      </c>
      <c r="AI48" s="220" t="s">
        <v>162</v>
      </c>
      <c r="AJ48" s="220" t="s">
        <v>162</v>
      </c>
      <c r="AK48" s="220" t="s">
        <v>162</v>
      </c>
      <c r="AL48" s="331" t="s">
        <v>162</v>
      </c>
      <c r="AM48" s="331" t="s">
        <v>162</v>
      </c>
      <c r="AN48" s="331" t="s">
        <v>162</v>
      </c>
      <c r="AO48" s="220" t="s">
        <v>162</v>
      </c>
      <c r="AP48" s="220" t="s">
        <v>162</v>
      </c>
      <c r="AQ48" s="220" t="s">
        <v>162</v>
      </c>
      <c r="AR48" s="220" t="s">
        <v>162</v>
      </c>
      <c r="AS48" s="220" t="s">
        <v>162</v>
      </c>
      <c r="AT48" s="220" t="s">
        <v>162</v>
      </c>
      <c r="AU48" s="220" t="s">
        <v>162</v>
      </c>
      <c r="AV48" s="220" t="s">
        <v>162</v>
      </c>
      <c r="AW48" s="259"/>
    </row>
    <row r="49">
      <c r="A49" s="123"/>
      <c r="B49" s="123"/>
      <c r="C49" s="53"/>
      <c r="D49" s="53"/>
      <c r="E49" s="513" t="s">
        <v>508</v>
      </c>
      <c r="F49" s="200" t="s">
        <v>72</v>
      </c>
      <c r="G49" s="487" t="s">
        <v>161</v>
      </c>
      <c r="H49" s="498">
        <f t="shared" si="2"/>
        <v>0.0944055071</v>
      </c>
      <c r="I49" s="493" t="s">
        <v>162</v>
      </c>
      <c r="J49" s="493" t="s">
        <v>162</v>
      </c>
      <c r="K49" s="493" t="s">
        <v>162</v>
      </c>
      <c r="L49" s="493" t="s">
        <v>162</v>
      </c>
      <c r="M49" s="493" t="s">
        <v>162</v>
      </c>
      <c r="N49" s="493" t="s">
        <v>162</v>
      </c>
      <c r="O49" s="493" t="s">
        <v>162</v>
      </c>
      <c r="P49" s="493" t="s">
        <v>162</v>
      </c>
      <c r="Q49" s="493" t="s">
        <v>162</v>
      </c>
      <c r="R49" s="493" t="s">
        <v>162</v>
      </c>
      <c r="S49" s="493" t="s">
        <v>162</v>
      </c>
      <c r="T49" s="493" t="s">
        <v>162</v>
      </c>
      <c r="U49" s="493" t="s">
        <v>162</v>
      </c>
      <c r="V49" s="493" t="s">
        <v>162</v>
      </c>
      <c r="W49" s="493" t="s">
        <v>162</v>
      </c>
      <c r="X49" s="493" t="s">
        <v>162</v>
      </c>
      <c r="Y49" s="493" t="s">
        <v>162</v>
      </c>
      <c r="Z49" s="493" t="s">
        <v>162</v>
      </c>
      <c r="AA49" s="493" t="s">
        <v>162</v>
      </c>
      <c r="AB49" s="493" t="s">
        <v>162</v>
      </c>
      <c r="AC49" s="493" t="s">
        <v>162</v>
      </c>
      <c r="AD49" s="493" t="s">
        <v>162</v>
      </c>
      <c r="AE49" s="493" t="s">
        <v>162</v>
      </c>
      <c r="AF49" s="493" t="s">
        <v>162</v>
      </c>
      <c r="AG49" s="493" t="s">
        <v>162</v>
      </c>
      <c r="AH49" s="493" t="s">
        <v>162</v>
      </c>
      <c r="AI49" s="493" t="s">
        <v>162</v>
      </c>
      <c r="AJ49" s="493" t="s">
        <v>162</v>
      </c>
      <c r="AK49" s="493" t="s">
        <v>162</v>
      </c>
      <c r="AL49" s="493" t="s">
        <v>162</v>
      </c>
      <c r="AM49" s="493" t="s">
        <v>162</v>
      </c>
      <c r="AN49" s="493" t="s">
        <v>162</v>
      </c>
      <c r="AO49" s="493" t="s">
        <v>162</v>
      </c>
      <c r="AP49" s="493" t="s">
        <v>162</v>
      </c>
      <c r="AQ49" s="493" t="s">
        <v>162</v>
      </c>
      <c r="AR49" s="493" t="s">
        <v>162</v>
      </c>
      <c r="AS49" s="493" t="s">
        <v>162</v>
      </c>
      <c r="AT49" s="493" t="s">
        <v>162</v>
      </c>
      <c r="AU49" s="493" t="s">
        <v>162</v>
      </c>
      <c r="AV49" s="493" t="s">
        <v>162</v>
      </c>
      <c r="AW49" s="274"/>
    </row>
    <row r="50">
      <c r="A50" s="123"/>
      <c r="B50" s="123"/>
      <c r="C50" s="53"/>
      <c r="D50" s="53"/>
      <c r="E50" s="521"/>
      <c r="F50" s="125"/>
      <c r="G50" s="482"/>
      <c r="H50" s="127"/>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3"/>
      <c r="B51" s="123"/>
      <c r="C51" s="522" t="s">
        <v>509</v>
      </c>
      <c r="F51" s="125"/>
      <c r="G51" s="482"/>
      <c r="H51" s="127"/>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30"/>
    </row>
    <row r="52">
      <c r="A52" s="123"/>
      <c r="B52" s="123"/>
      <c r="C52" s="53"/>
      <c r="D52" s="53"/>
      <c r="E52" s="507" t="s">
        <v>510</v>
      </c>
      <c r="F52" s="193" t="s">
        <v>72</v>
      </c>
      <c r="G52" s="483" t="s">
        <v>161</v>
      </c>
      <c r="H52" s="255">
        <f>SUMPRODUCT(H21:H28,H42:H49)/SUM(H42:H49)</f>
        <v>0.3564038444</v>
      </c>
      <c r="I52" s="331" t="s">
        <v>162</v>
      </c>
      <c r="J52" s="331" t="s">
        <v>162</v>
      </c>
      <c r="K52" s="331" t="s">
        <v>162</v>
      </c>
      <c r="L52" s="331" t="s">
        <v>162</v>
      </c>
      <c r="M52" s="331" t="s">
        <v>162</v>
      </c>
      <c r="N52" s="331" t="s">
        <v>162</v>
      </c>
      <c r="O52" s="331" t="s">
        <v>162</v>
      </c>
      <c r="P52" s="331" t="s">
        <v>162</v>
      </c>
      <c r="Q52" s="331" t="s">
        <v>162</v>
      </c>
      <c r="R52" s="331" t="s">
        <v>162</v>
      </c>
      <c r="S52" s="331" t="s">
        <v>162</v>
      </c>
      <c r="T52" s="331" t="s">
        <v>162</v>
      </c>
      <c r="U52" s="331" t="s">
        <v>162</v>
      </c>
      <c r="V52" s="331" t="s">
        <v>162</v>
      </c>
      <c r="W52" s="331" t="s">
        <v>162</v>
      </c>
      <c r="X52" s="331" t="s">
        <v>162</v>
      </c>
      <c r="Y52" s="331" t="s">
        <v>162</v>
      </c>
      <c r="Z52" s="331" t="s">
        <v>162</v>
      </c>
      <c r="AA52" s="331" t="s">
        <v>162</v>
      </c>
      <c r="AB52" s="331" t="s">
        <v>162</v>
      </c>
      <c r="AC52" s="331" t="s">
        <v>162</v>
      </c>
      <c r="AD52" s="331" t="s">
        <v>162</v>
      </c>
      <c r="AE52" s="331" t="s">
        <v>162</v>
      </c>
      <c r="AF52" s="331" t="s">
        <v>162</v>
      </c>
      <c r="AG52" s="331" t="s">
        <v>162</v>
      </c>
      <c r="AH52" s="331" t="s">
        <v>162</v>
      </c>
      <c r="AI52" s="331" t="s">
        <v>162</v>
      </c>
      <c r="AJ52" s="331" t="s">
        <v>162</v>
      </c>
      <c r="AK52" s="331" t="s">
        <v>162</v>
      </c>
      <c r="AL52" s="331" t="s">
        <v>162</v>
      </c>
      <c r="AM52" s="331" t="s">
        <v>162</v>
      </c>
      <c r="AN52" s="331" t="s">
        <v>162</v>
      </c>
      <c r="AO52" s="331" t="s">
        <v>162</v>
      </c>
      <c r="AP52" s="331" t="s">
        <v>162</v>
      </c>
      <c r="AQ52" s="331" t="s">
        <v>162</v>
      </c>
      <c r="AR52" s="331" t="s">
        <v>162</v>
      </c>
      <c r="AS52" s="331" t="s">
        <v>162</v>
      </c>
      <c r="AT52" s="331" t="s">
        <v>162</v>
      </c>
      <c r="AU52" s="331" t="s">
        <v>162</v>
      </c>
      <c r="AV52" s="331" t="s">
        <v>162</v>
      </c>
      <c r="AW52" s="256"/>
    </row>
    <row r="53">
      <c r="A53" s="123"/>
      <c r="B53" s="123"/>
      <c r="C53" s="53"/>
      <c r="D53" s="53"/>
      <c r="E53" s="513" t="s">
        <v>511</v>
      </c>
      <c r="F53" s="200" t="s">
        <v>72</v>
      </c>
      <c r="G53" s="487" t="s">
        <v>161</v>
      </c>
      <c r="H53" s="498">
        <f>1-H52</f>
        <v>0.6435961556</v>
      </c>
      <c r="I53" s="493" t="s">
        <v>162</v>
      </c>
      <c r="J53" s="493" t="s">
        <v>162</v>
      </c>
      <c r="K53" s="493" t="s">
        <v>162</v>
      </c>
      <c r="L53" s="493" t="s">
        <v>162</v>
      </c>
      <c r="M53" s="493" t="s">
        <v>162</v>
      </c>
      <c r="N53" s="493" t="s">
        <v>162</v>
      </c>
      <c r="O53" s="493" t="s">
        <v>162</v>
      </c>
      <c r="P53" s="493" t="s">
        <v>162</v>
      </c>
      <c r="Q53" s="493" t="s">
        <v>162</v>
      </c>
      <c r="R53" s="493" t="s">
        <v>162</v>
      </c>
      <c r="S53" s="493" t="s">
        <v>162</v>
      </c>
      <c r="T53" s="493" t="s">
        <v>162</v>
      </c>
      <c r="U53" s="493" t="s">
        <v>162</v>
      </c>
      <c r="V53" s="493" t="s">
        <v>162</v>
      </c>
      <c r="W53" s="493" t="s">
        <v>162</v>
      </c>
      <c r="X53" s="493" t="s">
        <v>162</v>
      </c>
      <c r="Y53" s="493" t="s">
        <v>162</v>
      </c>
      <c r="Z53" s="493" t="s">
        <v>162</v>
      </c>
      <c r="AA53" s="493" t="s">
        <v>162</v>
      </c>
      <c r="AB53" s="493" t="s">
        <v>162</v>
      </c>
      <c r="AC53" s="493" t="s">
        <v>162</v>
      </c>
      <c r="AD53" s="493" t="s">
        <v>162</v>
      </c>
      <c r="AE53" s="493" t="s">
        <v>162</v>
      </c>
      <c r="AF53" s="493" t="s">
        <v>162</v>
      </c>
      <c r="AG53" s="493" t="s">
        <v>162</v>
      </c>
      <c r="AH53" s="493" t="s">
        <v>162</v>
      </c>
      <c r="AI53" s="493" t="s">
        <v>162</v>
      </c>
      <c r="AJ53" s="493" t="s">
        <v>162</v>
      </c>
      <c r="AK53" s="493" t="s">
        <v>162</v>
      </c>
      <c r="AL53" s="493" t="s">
        <v>162</v>
      </c>
      <c r="AM53" s="493" t="s">
        <v>162</v>
      </c>
      <c r="AN53" s="493" t="s">
        <v>162</v>
      </c>
      <c r="AO53" s="493" t="s">
        <v>162</v>
      </c>
      <c r="AP53" s="493" t="s">
        <v>162</v>
      </c>
      <c r="AQ53" s="493" t="s">
        <v>162</v>
      </c>
      <c r="AR53" s="493" t="s">
        <v>162</v>
      </c>
      <c r="AS53" s="493" t="s">
        <v>162</v>
      </c>
      <c r="AT53" s="493" t="s">
        <v>162</v>
      </c>
      <c r="AU53" s="493" t="s">
        <v>162</v>
      </c>
      <c r="AV53" s="493" t="s">
        <v>162</v>
      </c>
      <c r="AW53" s="274"/>
    </row>
    <row r="54">
      <c r="A54" s="123"/>
      <c r="B54" s="123"/>
      <c r="C54" s="524"/>
      <c r="D54" s="524"/>
      <c r="E54" s="525"/>
      <c r="F54" s="125"/>
      <c r="G54" s="482"/>
      <c r="H54" s="127"/>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17" t="s">
        <v>512</v>
      </c>
      <c r="B55" s="7"/>
      <c r="C55" s="7"/>
      <c r="D55" s="7"/>
      <c r="E55" s="7"/>
      <c r="F55" s="7"/>
      <c r="G55" s="7"/>
      <c r="H55" s="17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175"/>
    </row>
    <row r="56">
      <c r="A56" s="122"/>
      <c r="B56" s="123"/>
      <c r="C56" s="123"/>
      <c r="D56" s="123"/>
      <c r="E56" s="124"/>
      <c r="F56" s="125"/>
      <c r="G56" s="176"/>
      <c r="H56" s="127"/>
      <c r="I56" s="177"/>
      <c r="J56" s="177"/>
      <c r="K56" s="177"/>
      <c r="L56" s="177"/>
      <c r="M56" s="177"/>
      <c r="N56" s="177"/>
      <c r="O56" s="177"/>
      <c r="P56" s="177"/>
      <c r="Q56" s="177"/>
      <c r="R56" s="128"/>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30"/>
    </row>
    <row r="57">
      <c r="A57" s="122"/>
      <c r="B57" s="123"/>
      <c r="C57" s="53" t="s">
        <v>512</v>
      </c>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22"/>
      <c r="B58" s="123"/>
      <c r="C58" s="131"/>
      <c r="D58" s="131"/>
      <c r="E58" s="254" t="s">
        <v>513</v>
      </c>
      <c r="F58" s="193" t="str">
        <f>Inputs!F221</f>
        <v>%</v>
      </c>
      <c r="G58" s="194" t="str">
        <f>Inputs!G221</f>
        <v>input</v>
      </c>
      <c r="H58" s="255">
        <f>Inputs!H221</f>
        <v>0.1642</v>
      </c>
      <c r="I58" s="509" t="str">
        <f>Inputs!I221</f>
        <v>-</v>
      </c>
      <c r="J58" s="509" t="str">
        <f>Inputs!J221</f>
        <v>-</v>
      </c>
      <c r="K58" s="509" t="str">
        <f>Inputs!K221</f>
        <v>-</v>
      </c>
      <c r="L58" s="509" t="str">
        <f>Inputs!L221</f>
        <v>-</v>
      </c>
      <c r="M58" s="509" t="str">
        <f>Inputs!M221</f>
        <v>-</v>
      </c>
      <c r="N58" s="509" t="str">
        <f>Inputs!N221</f>
        <v>-</v>
      </c>
      <c r="O58" s="509" t="str">
        <f>Inputs!O221</f>
        <v>-</v>
      </c>
      <c r="P58" s="509" t="str">
        <f>Inputs!P221</f>
        <v>-</v>
      </c>
      <c r="Q58" s="509" t="str">
        <f>Inputs!Q221</f>
        <v>-</v>
      </c>
      <c r="R58" s="509" t="str">
        <f>Inputs!R221</f>
        <v>-</v>
      </c>
      <c r="S58" s="509" t="str">
        <f>Inputs!S221</f>
        <v>-</v>
      </c>
      <c r="T58" s="383" t="str">
        <f>Inputs!T221</f>
        <v>-</v>
      </c>
      <c r="U58" s="509" t="str">
        <f>Inputs!U221</f>
        <v>-</v>
      </c>
      <c r="V58" s="509" t="str">
        <f>Inputs!V221</f>
        <v>-</v>
      </c>
      <c r="W58" s="509" t="str">
        <f>Inputs!W221</f>
        <v>-</v>
      </c>
      <c r="X58" s="509" t="str">
        <f>Inputs!X221</f>
        <v>-</v>
      </c>
      <c r="Y58" s="509" t="str">
        <f>Inputs!Y221</f>
        <v>-</v>
      </c>
      <c r="Z58" s="509" t="str">
        <f>Inputs!Z221</f>
        <v>-</v>
      </c>
      <c r="AA58" s="509" t="str">
        <f>Inputs!AA221</f>
        <v>-</v>
      </c>
      <c r="AB58" s="509" t="str">
        <f>Inputs!AB221</f>
        <v>-</v>
      </c>
      <c r="AC58" s="509" t="str">
        <f>Inputs!AC221</f>
        <v>-</v>
      </c>
      <c r="AD58" s="509" t="str">
        <f>Inputs!AD221</f>
        <v>-</v>
      </c>
      <c r="AE58" s="509" t="str">
        <f>Inputs!AE221</f>
        <v>-</v>
      </c>
      <c r="AF58" s="509" t="str">
        <f>Inputs!AF221</f>
        <v>-</v>
      </c>
      <c r="AG58" s="509" t="str">
        <f>Inputs!AG221</f>
        <v>-</v>
      </c>
      <c r="AH58" s="509" t="str">
        <f>Inputs!AH221</f>
        <v>-</v>
      </c>
      <c r="AI58" s="509" t="str">
        <f>Inputs!AI221</f>
        <v>-</v>
      </c>
      <c r="AJ58" s="509" t="str">
        <f>Inputs!AJ221</f>
        <v>-</v>
      </c>
      <c r="AK58" s="509" t="str">
        <f>Inputs!AK221</f>
        <v>-</v>
      </c>
      <c r="AL58" s="509" t="str">
        <f>Inputs!AL221</f>
        <v>-</v>
      </c>
      <c r="AM58" s="509" t="str">
        <f>Inputs!AM221</f>
        <v>-</v>
      </c>
      <c r="AN58" s="509" t="str">
        <f>Inputs!AN221</f>
        <v>-</v>
      </c>
      <c r="AO58" s="509" t="str">
        <f>Inputs!AO221</f>
        <v>-</v>
      </c>
      <c r="AP58" s="509" t="str">
        <f>Inputs!AP221</f>
        <v>-</v>
      </c>
      <c r="AQ58" s="509" t="str">
        <f>Inputs!AQ221</f>
        <v>-</v>
      </c>
      <c r="AR58" s="509" t="str">
        <f>Inputs!AR221</f>
        <v>-</v>
      </c>
      <c r="AS58" s="509" t="str">
        <f>Inputs!AS221</f>
        <v>-</v>
      </c>
      <c r="AT58" s="509" t="str">
        <f>Inputs!AT221</f>
        <v>-</v>
      </c>
      <c r="AU58" s="509" t="str">
        <f>Inputs!AU221</f>
        <v>-</v>
      </c>
      <c r="AV58" s="509" t="str">
        <f>Inputs!AV221</f>
        <v>-</v>
      </c>
      <c r="AW58" s="256"/>
    </row>
    <row r="59">
      <c r="A59" s="122"/>
      <c r="B59" s="123"/>
      <c r="C59" s="131"/>
      <c r="D59" s="131"/>
      <c r="E59" s="254" t="s">
        <v>514</v>
      </c>
      <c r="F59" s="193" t="str">
        <f>Inputs!F222</f>
        <v>%</v>
      </c>
      <c r="G59" s="194" t="str">
        <f>Inputs!G222</f>
        <v>input</v>
      </c>
      <c r="H59" s="255">
        <f>Inputs!H222</f>
        <v>0.2093</v>
      </c>
      <c r="I59" s="509" t="str">
        <f>Inputs!I222</f>
        <v>-</v>
      </c>
      <c r="J59" s="509" t="str">
        <f>Inputs!J222</f>
        <v>-</v>
      </c>
      <c r="K59" s="509" t="str">
        <f>Inputs!K222</f>
        <v>-</v>
      </c>
      <c r="L59" s="509" t="str">
        <f>Inputs!L222</f>
        <v>-</v>
      </c>
      <c r="M59" s="509" t="str">
        <f>Inputs!M222</f>
        <v>-</v>
      </c>
      <c r="N59" s="509" t="str">
        <f>Inputs!N222</f>
        <v>-</v>
      </c>
      <c r="O59" s="509" t="str">
        <f>Inputs!O222</f>
        <v>-</v>
      </c>
      <c r="P59" s="509" t="str">
        <f>Inputs!P222</f>
        <v>-</v>
      </c>
      <c r="Q59" s="509" t="str">
        <f>Inputs!Q222</f>
        <v>-</v>
      </c>
      <c r="R59" s="509" t="str">
        <f>Inputs!R222</f>
        <v>-</v>
      </c>
      <c r="S59" s="509" t="str">
        <f>Inputs!S222</f>
        <v>-</v>
      </c>
      <c r="T59" s="383" t="str">
        <f>Inputs!T222</f>
        <v>-</v>
      </c>
      <c r="U59" s="509" t="str">
        <f>Inputs!U222</f>
        <v>-</v>
      </c>
      <c r="V59" s="509" t="str">
        <f>Inputs!V222</f>
        <v>-</v>
      </c>
      <c r="W59" s="509" t="str">
        <f>Inputs!W222</f>
        <v>-</v>
      </c>
      <c r="X59" s="509" t="str">
        <f>Inputs!X222</f>
        <v>-</v>
      </c>
      <c r="Y59" s="509" t="str">
        <f>Inputs!Y222</f>
        <v>-</v>
      </c>
      <c r="Z59" s="509" t="str">
        <f>Inputs!Z222</f>
        <v>-</v>
      </c>
      <c r="AA59" s="509" t="str">
        <f>Inputs!AA222</f>
        <v>-</v>
      </c>
      <c r="AB59" s="509" t="str">
        <f>Inputs!AB222</f>
        <v>-</v>
      </c>
      <c r="AC59" s="509" t="str">
        <f>Inputs!AC222</f>
        <v>-</v>
      </c>
      <c r="AD59" s="509" t="str">
        <f>Inputs!AD222</f>
        <v>-</v>
      </c>
      <c r="AE59" s="509" t="str">
        <f>Inputs!AE222</f>
        <v>-</v>
      </c>
      <c r="AF59" s="509" t="str">
        <f>Inputs!AF222</f>
        <v>-</v>
      </c>
      <c r="AG59" s="509" t="str">
        <f>Inputs!AG222</f>
        <v>-</v>
      </c>
      <c r="AH59" s="509" t="str">
        <f>Inputs!AH222</f>
        <v>-</v>
      </c>
      <c r="AI59" s="509" t="str">
        <f>Inputs!AI222</f>
        <v>-</v>
      </c>
      <c r="AJ59" s="509" t="str">
        <f>Inputs!AJ222</f>
        <v>-</v>
      </c>
      <c r="AK59" s="509" t="str">
        <f>Inputs!AK222</f>
        <v>-</v>
      </c>
      <c r="AL59" s="509" t="str">
        <f>Inputs!AL222</f>
        <v>-</v>
      </c>
      <c r="AM59" s="509" t="str">
        <f>Inputs!AM222</f>
        <v>-</v>
      </c>
      <c r="AN59" s="509" t="str">
        <f>Inputs!AN222</f>
        <v>-</v>
      </c>
      <c r="AO59" s="509" t="str">
        <f>Inputs!AO222</f>
        <v>-</v>
      </c>
      <c r="AP59" s="509" t="str">
        <f>Inputs!AP222</f>
        <v>-</v>
      </c>
      <c r="AQ59" s="509" t="str">
        <f>Inputs!AQ222</f>
        <v>-</v>
      </c>
      <c r="AR59" s="509" t="str">
        <f>Inputs!AR222</f>
        <v>-</v>
      </c>
      <c r="AS59" s="509" t="str">
        <f>Inputs!AS222</f>
        <v>-</v>
      </c>
      <c r="AT59" s="509" t="str">
        <f>Inputs!AT222</f>
        <v>-</v>
      </c>
      <c r="AU59" s="509" t="str">
        <f>Inputs!AU222</f>
        <v>-</v>
      </c>
      <c r="AV59" s="509" t="str">
        <f>Inputs!AV222</f>
        <v>-</v>
      </c>
      <c r="AW59" s="256"/>
    </row>
    <row r="60">
      <c r="A60" s="122"/>
      <c r="B60" s="123"/>
      <c r="C60" s="131"/>
      <c r="D60" s="131"/>
      <c r="E60" s="254" t="s">
        <v>515</v>
      </c>
      <c r="F60" s="193" t="str">
        <f>Inputs!F223</f>
        <v>%</v>
      </c>
      <c r="G60" s="194" t="str">
        <f>Inputs!G223</f>
        <v>input</v>
      </c>
      <c r="H60" s="255">
        <f>Inputs!H223</f>
        <v>0.2659</v>
      </c>
      <c r="I60" s="509" t="str">
        <f>Inputs!I223</f>
        <v>-</v>
      </c>
      <c r="J60" s="509" t="str">
        <f>Inputs!J223</f>
        <v>-</v>
      </c>
      <c r="K60" s="509" t="str">
        <f>Inputs!K223</f>
        <v>-</v>
      </c>
      <c r="L60" s="509" t="str">
        <f>Inputs!L223</f>
        <v>-</v>
      </c>
      <c r="M60" s="509" t="str">
        <f>Inputs!M223</f>
        <v>-</v>
      </c>
      <c r="N60" s="509" t="str">
        <f>Inputs!N223</f>
        <v>-</v>
      </c>
      <c r="O60" s="509" t="str">
        <f>Inputs!O223</f>
        <v>-</v>
      </c>
      <c r="P60" s="509" t="str">
        <f>Inputs!P223</f>
        <v>-</v>
      </c>
      <c r="Q60" s="509" t="str">
        <f>Inputs!Q223</f>
        <v>-</v>
      </c>
      <c r="R60" s="509" t="str">
        <f>Inputs!R223</f>
        <v>-</v>
      </c>
      <c r="S60" s="509" t="str">
        <f>Inputs!S223</f>
        <v>-</v>
      </c>
      <c r="T60" s="383" t="str">
        <f>Inputs!T223</f>
        <v>-</v>
      </c>
      <c r="U60" s="509" t="str">
        <f>Inputs!U223</f>
        <v>-</v>
      </c>
      <c r="V60" s="509" t="str">
        <f>Inputs!V223</f>
        <v>-</v>
      </c>
      <c r="W60" s="509" t="str">
        <f>Inputs!W223</f>
        <v>-</v>
      </c>
      <c r="X60" s="509" t="str">
        <f>Inputs!X223</f>
        <v>-</v>
      </c>
      <c r="Y60" s="509" t="str">
        <f>Inputs!Y223</f>
        <v>-</v>
      </c>
      <c r="Z60" s="509" t="str">
        <f>Inputs!Z223</f>
        <v>-</v>
      </c>
      <c r="AA60" s="509" t="str">
        <f>Inputs!AA223</f>
        <v>-</v>
      </c>
      <c r="AB60" s="509" t="str">
        <f>Inputs!AB223</f>
        <v>-</v>
      </c>
      <c r="AC60" s="509" t="str">
        <f>Inputs!AC223</f>
        <v>-</v>
      </c>
      <c r="AD60" s="509" t="str">
        <f>Inputs!AD223</f>
        <v>-</v>
      </c>
      <c r="AE60" s="509" t="str">
        <f>Inputs!AE223</f>
        <v>-</v>
      </c>
      <c r="AF60" s="509" t="str">
        <f>Inputs!AF223</f>
        <v>-</v>
      </c>
      <c r="AG60" s="509" t="str">
        <f>Inputs!AG223</f>
        <v>-</v>
      </c>
      <c r="AH60" s="509" t="str">
        <f>Inputs!AH223</f>
        <v>-</v>
      </c>
      <c r="AI60" s="509" t="str">
        <f>Inputs!AI223</f>
        <v>-</v>
      </c>
      <c r="AJ60" s="509" t="str">
        <f>Inputs!AJ223</f>
        <v>-</v>
      </c>
      <c r="AK60" s="509" t="str">
        <f>Inputs!AK223</f>
        <v>-</v>
      </c>
      <c r="AL60" s="509" t="str">
        <f>Inputs!AL223</f>
        <v>-</v>
      </c>
      <c r="AM60" s="509" t="str">
        <f>Inputs!AM223</f>
        <v>-</v>
      </c>
      <c r="AN60" s="509" t="str">
        <f>Inputs!AN223</f>
        <v>-</v>
      </c>
      <c r="AO60" s="509" t="str">
        <f>Inputs!AO223</f>
        <v>-</v>
      </c>
      <c r="AP60" s="509" t="str">
        <f>Inputs!AP223</f>
        <v>-</v>
      </c>
      <c r="AQ60" s="509" t="str">
        <f>Inputs!AQ223</f>
        <v>-</v>
      </c>
      <c r="AR60" s="509" t="str">
        <f>Inputs!AR223</f>
        <v>-</v>
      </c>
      <c r="AS60" s="509" t="str">
        <f>Inputs!AS223</f>
        <v>-</v>
      </c>
      <c r="AT60" s="509" t="str">
        <f>Inputs!AT223</f>
        <v>-</v>
      </c>
      <c r="AU60" s="509" t="str">
        <f>Inputs!AU223</f>
        <v>-</v>
      </c>
      <c r="AV60" s="509" t="str">
        <f>Inputs!AV223</f>
        <v>-</v>
      </c>
      <c r="AW60" s="256"/>
    </row>
    <row r="61">
      <c r="A61" s="122"/>
      <c r="B61" s="123"/>
      <c r="C61" s="131"/>
      <c r="D61" s="131"/>
      <c r="E61" s="254" t="s">
        <v>516</v>
      </c>
      <c r="F61" s="193" t="str">
        <f>Inputs!F224</f>
        <v>%</v>
      </c>
      <c r="G61" s="194" t="str">
        <f>Inputs!G224</f>
        <v>input</v>
      </c>
      <c r="H61" s="255">
        <f>Inputs!H224</f>
        <v>0.275</v>
      </c>
      <c r="I61" s="509" t="str">
        <f>Inputs!I224</f>
        <v>-</v>
      </c>
      <c r="J61" s="509" t="str">
        <f>Inputs!J224</f>
        <v>-</v>
      </c>
      <c r="K61" s="509" t="str">
        <f>Inputs!K224</f>
        <v>-</v>
      </c>
      <c r="L61" s="509" t="str">
        <f>Inputs!L224</f>
        <v>-</v>
      </c>
      <c r="M61" s="509" t="str">
        <f>Inputs!M224</f>
        <v>-</v>
      </c>
      <c r="N61" s="509" t="str">
        <f>Inputs!N224</f>
        <v>-</v>
      </c>
      <c r="O61" s="509" t="str">
        <f>Inputs!O224</f>
        <v>-</v>
      </c>
      <c r="P61" s="509" t="str">
        <f>Inputs!P224</f>
        <v>-</v>
      </c>
      <c r="Q61" s="509" t="str">
        <f>Inputs!Q224</f>
        <v>-</v>
      </c>
      <c r="R61" s="509" t="str">
        <f>Inputs!R224</f>
        <v>-</v>
      </c>
      <c r="S61" s="509" t="str">
        <f>Inputs!S224</f>
        <v>-</v>
      </c>
      <c r="T61" s="383" t="str">
        <f>Inputs!T224</f>
        <v>-</v>
      </c>
      <c r="U61" s="509" t="str">
        <f>Inputs!U224</f>
        <v>-</v>
      </c>
      <c r="V61" s="509" t="str">
        <f>Inputs!V224</f>
        <v>-</v>
      </c>
      <c r="W61" s="509" t="str">
        <f>Inputs!W224</f>
        <v>-</v>
      </c>
      <c r="X61" s="509" t="str">
        <f>Inputs!X224</f>
        <v>-</v>
      </c>
      <c r="Y61" s="509" t="str">
        <f>Inputs!Y224</f>
        <v>-</v>
      </c>
      <c r="Z61" s="509" t="str">
        <f>Inputs!Z224</f>
        <v>-</v>
      </c>
      <c r="AA61" s="509" t="str">
        <f>Inputs!AA224</f>
        <v>-</v>
      </c>
      <c r="AB61" s="509" t="str">
        <f>Inputs!AB224</f>
        <v>-</v>
      </c>
      <c r="AC61" s="509" t="str">
        <f>Inputs!AC224</f>
        <v>-</v>
      </c>
      <c r="AD61" s="509" t="str">
        <f>Inputs!AD224</f>
        <v>-</v>
      </c>
      <c r="AE61" s="509" t="str">
        <f>Inputs!AE224</f>
        <v>-</v>
      </c>
      <c r="AF61" s="509" t="str">
        <f>Inputs!AF224</f>
        <v>-</v>
      </c>
      <c r="AG61" s="509" t="str">
        <f>Inputs!AG224</f>
        <v>-</v>
      </c>
      <c r="AH61" s="509" t="str">
        <f>Inputs!AH224</f>
        <v>-</v>
      </c>
      <c r="AI61" s="509" t="str">
        <f>Inputs!AI224</f>
        <v>-</v>
      </c>
      <c r="AJ61" s="509" t="str">
        <f>Inputs!AJ224</f>
        <v>-</v>
      </c>
      <c r="AK61" s="509" t="str">
        <f>Inputs!AK224</f>
        <v>-</v>
      </c>
      <c r="AL61" s="509" t="str">
        <f>Inputs!AL224</f>
        <v>-</v>
      </c>
      <c r="AM61" s="509" t="str">
        <f>Inputs!AM224</f>
        <v>-</v>
      </c>
      <c r="AN61" s="509" t="str">
        <f>Inputs!AN224</f>
        <v>-</v>
      </c>
      <c r="AO61" s="509" t="str">
        <f>Inputs!AO224</f>
        <v>-</v>
      </c>
      <c r="AP61" s="509" t="str">
        <f>Inputs!AP224</f>
        <v>-</v>
      </c>
      <c r="AQ61" s="509" t="str">
        <f>Inputs!AQ224</f>
        <v>-</v>
      </c>
      <c r="AR61" s="509" t="str">
        <f>Inputs!AR224</f>
        <v>-</v>
      </c>
      <c r="AS61" s="509" t="str">
        <f>Inputs!AS224</f>
        <v>-</v>
      </c>
      <c r="AT61" s="509" t="str">
        <f>Inputs!AT224</f>
        <v>-</v>
      </c>
      <c r="AU61" s="509" t="str">
        <f>Inputs!AU224</f>
        <v>-</v>
      </c>
      <c r="AV61" s="509" t="str">
        <f>Inputs!AV224</f>
        <v>-</v>
      </c>
      <c r="AW61" s="256"/>
    </row>
    <row r="62">
      <c r="A62" s="122"/>
      <c r="B62" s="123"/>
      <c r="C62" s="131"/>
      <c r="D62" s="131"/>
      <c r="E62" s="257" t="s">
        <v>517</v>
      </c>
      <c r="F62" s="213" t="str">
        <f>Inputs!F225</f>
        <v>%</v>
      </c>
      <c r="G62" s="214" t="str">
        <f>Inputs!G225</f>
        <v>input</v>
      </c>
      <c r="H62" s="258">
        <f>Inputs!H225</f>
        <v>0.2227</v>
      </c>
      <c r="I62" s="512" t="str">
        <f>Inputs!I225</f>
        <v>-</v>
      </c>
      <c r="J62" s="512" t="str">
        <f>Inputs!J225</f>
        <v>-</v>
      </c>
      <c r="K62" s="512" t="str">
        <f>Inputs!K225</f>
        <v>-</v>
      </c>
      <c r="L62" s="509" t="str">
        <f>Inputs!L225</f>
        <v>-</v>
      </c>
      <c r="M62" s="512" t="str">
        <f>Inputs!M225</f>
        <v>-</v>
      </c>
      <c r="N62" s="512" t="str">
        <f>Inputs!N225</f>
        <v>-</v>
      </c>
      <c r="O62" s="512" t="str">
        <f>Inputs!O225</f>
        <v>-</v>
      </c>
      <c r="P62" s="512" t="str">
        <f>Inputs!P225</f>
        <v>-</v>
      </c>
      <c r="Q62" s="512" t="str">
        <f>Inputs!Q225</f>
        <v>-</v>
      </c>
      <c r="R62" s="512" t="str">
        <f>Inputs!R225</f>
        <v>-</v>
      </c>
      <c r="S62" s="512" t="str">
        <f>Inputs!S225</f>
        <v>-</v>
      </c>
      <c r="T62" s="241" t="str">
        <f>Inputs!T225</f>
        <v>-</v>
      </c>
      <c r="U62" s="512" t="str">
        <f>Inputs!U225</f>
        <v>-</v>
      </c>
      <c r="V62" s="512" t="str">
        <f>Inputs!V225</f>
        <v>-</v>
      </c>
      <c r="W62" s="512" t="str">
        <f>Inputs!W225</f>
        <v>-</v>
      </c>
      <c r="X62" s="512" t="str">
        <f>Inputs!X225</f>
        <v>-</v>
      </c>
      <c r="Y62" s="512" t="str">
        <f>Inputs!Y225</f>
        <v>-</v>
      </c>
      <c r="Z62" s="512" t="str">
        <f>Inputs!Z225</f>
        <v>-</v>
      </c>
      <c r="AA62" s="512" t="str">
        <f>Inputs!AA225</f>
        <v>-</v>
      </c>
      <c r="AB62" s="512" t="str">
        <f>Inputs!AB225</f>
        <v>-</v>
      </c>
      <c r="AC62" s="512" t="str">
        <f>Inputs!AC225</f>
        <v>-</v>
      </c>
      <c r="AD62" s="512" t="str">
        <f>Inputs!AD225</f>
        <v>-</v>
      </c>
      <c r="AE62" s="512" t="str">
        <f>Inputs!AE225</f>
        <v>-</v>
      </c>
      <c r="AF62" s="512" t="str">
        <f>Inputs!AF225</f>
        <v>-</v>
      </c>
      <c r="AG62" s="512" t="str">
        <f>Inputs!AG225</f>
        <v>-</v>
      </c>
      <c r="AH62" s="512" t="str">
        <f>Inputs!AH225</f>
        <v>-</v>
      </c>
      <c r="AI62" s="512" t="str">
        <f>Inputs!AI225</f>
        <v>-</v>
      </c>
      <c r="AJ62" s="512" t="str">
        <f>Inputs!AJ225</f>
        <v>-</v>
      </c>
      <c r="AK62" s="512" t="str">
        <f>Inputs!AK225</f>
        <v>-</v>
      </c>
      <c r="AL62" s="509" t="str">
        <f>Inputs!AL225</f>
        <v>-</v>
      </c>
      <c r="AM62" s="509" t="str">
        <f>Inputs!AM225</f>
        <v>-</v>
      </c>
      <c r="AN62" s="509" t="str">
        <f>Inputs!AN225</f>
        <v>-</v>
      </c>
      <c r="AO62" s="512" t="str">
        <f>Inputs!AO225</f>
        <v>-</v>
      </c>
      <c r="AP62" s="512" t="str">
        <f>Inputs!AP225</f>
        <v>-</v>
      </c>
      <c r="AQ62" s="512" t="str">
        <f>Inputs!AQ225</f>
        <v>-</v>
      </c>
      <c r="AR62" s="512" t="str">
        <f>Inputs!AR225</f>
        <v>-</v>
      </c>
      <c r="AS62" s="512" t="str">
        <f>Inputs!AS225</f>
        <v>-</v>
      </c>
      <c r="AT62" s="512" t="str">
        <f>Inputs!AT225</f>
        <v>-</v>
      </c>
      <c r="AU62" s="512" t="str">
        <f>Inputs!AU225</f>
        <v>-</v>
      </c>
      <c r="AV62" s="512" t="str">
        <f>Inputs!AV225</f>
        <v>-</v>
      </c>
      <c r="AW62" s="259"/>
    </row>
    <row r="63">
      <c r="A63" s="122"/>
      <c r="B63" s="123"/>
      <c r="C63" s="131"/>
      <c r="D63" s="131"/>
      <c r="E63" s="257" t="s">
        <v>518</v>
      </c>
      <c r="F63" s="213" t="str">
        <f>Inputs!F226</f>
        <v>%</v>
      </c>
      <c r="G63" s="214" t="str">
        <f>Inputs!G226</f>
        <v>input</v>
      </c>
      <c r="H63" s="258">
        <f>Inputs!H226</f>
        <v>0.2726</v>
      </c>
      <c r="I63" s="512" t="str">
        <f>Inputs!I226</f>
        <v>-</v>
      </c>
      <c r="J63" s="512" t="str">
        <f>Inputs!J226</f>
        <v>-</v>
      </c>
      <c r="K63" s="512" t="str">
        <f>Inputs!K226</f>
        <v>-</v>
      </c>
      <c r="L63" s="509" t="str">
        <f>Inputs!L226</f>
        <v>-</v>
      </c>
      <c r="M63" s="512" t="str">
        <f>Inputs!M226</f>
        <v>-</v>
      </c>
      <c r="N63" s="512" t="str">
        <f>Inputs!N226</f>
        <v>-</v>
      </c>
      <c r="O63" s="512" t="str">
        <f>Inputs!O226</f>
        <v>-</v>
      </c>
      <c r="P63" s="512" t="str">
        <f>Inputs!P226</f>
        <v>-</v>
      </c>
      <c r="Q63" s="512" t="str">
        <f>Inputs!Q226</f>
        <v>-</v>
      </c>
      <c r="R63" s="512" t="str">
        <f>Inputs!R226</f>
        <v>-</v>
      </c>
      <c r="S63" s="512" t="str">
        <f>Inputs!S226</f>
        <v>-</v>
      </c>
      <c r="T63" s="241" t="str">
        <f>Inputs!T226</f>
        <v>-</v>
      </c>
      <c r="U63" s="512" t="str">
        <f>Inputs!U226</f>
        <v>-</v>
      </c>
      <c r="V63" s="512" t="str">
        <f>Inputs!V226</f>
        <v>-</v>
      </c>
      <c r="W63" s="512" t="str">
        <f>Inputs!W226</f>
        <v>-</v>
      </c>
      <c r="X63" s="512" t="str">
        <f>Inputs!X226</f>
        <v>-</v>
      </c>
      <c r="Y63" s="512" t="str">
        <f>Inputs!Y226</f>
        <v>-</v>
      </c>
      <c r="Z63" s="512" t="str">
        <f>Inputs!Z226</f>
        <v>-</v>
      </c>
      <c r="AA63" s="512" t="str">
        <f>Inputs!AA226</f>
        <v>-</v>
      </c>
      <c r="AB63" s="512" t="str">
        <f>Inputs!AB226</f>
        <v>-</v>
      </c>
      <c r="AC63" s="512" t="str">
        <f>Inputs!AC226</f>
        <v>-</v>
      </c>
      <c r="AD63" s="512" t="str">
        <f>Inputs!AD226</f>
        <v>-</v>
      </c>
      <c r="AE63" s="512" t="str">
        <f>Inputs!AE226</f>
        <v>-</v>
      </c>
      <c r="AF63" s="512" t="str">
        <f>Inputs!AF226</f>
        <v>-</v>
      </c>
      <c r="AG63" s="512" t="str">
        <f>Inputs!AG226</f>
        <v>-</v>
      </c>
      <c r="AH63" s="512" t="str">
        <f>Inputs!AH226</f>
        <v>-</v>
      </c>
      <c r="AI63" s="512" t="str">
        <f>Inputs!AI226</f>
        <v>-</v>
      </c>
      <c r="AJ63" s="512" t="str">
        <f>Inputs!AJ226</f>
        <v>-</v>
      </c>
      <c r="AK63" s="512" t="str">
        <f>Inputs!AK226</f>
        <v>-</v>
      </c>
      <c r="AL63" s="509" t="str">
        <f>Inputs!AL226</f>
        <v>-</v>
      </c>
      <c r="AM63" s="509" t="str">
        <f>Inputs!AM226</f>
        <v>-</v>
      </c>
      <c r="AN63" s="509" t="str">
        <f>Inputs!AN226</f>
        <v>-</v>
      </c>
      <c r="AO63" s="512" t="str">
        <f>Inputs!AO226</f>
        <v>-</v>
      </c>
      <c r="AP63" s="512" t="str">
        <f>Inputs!AP226</f>
        <v>-</v>
      </c>
      <c r="AQ63" s="512" t="str">
        <f>Inputs!AQ226</f>
        <v>-</v>
      </c>
      <c r="AR63" s="512" t="str">
        <f>Inputs!AR226</f>
        <v>-</v>
      </c>
      <c r="AS63" s="512" t="str">
        <f>Inputs!AS226</f>
        <v>-</v>
      </c>
      <c r="AT63" s="512" t="str">
        <f>Inputs!AT226</f>
        <v>-</v>
      </c>
      <c r="AU63" s="512" t="str">
        <f>Inputs!AU226</f>
        <v>-</v>
      </c>
      <c r="AV63" s="512" t="str">
        <f>Inputs!AV226</f>
        <v>-</v>
      </c>
      <c r="AW63" s="259"/>
    </row>
    <row r="64">
      <c r="A64" s="122"/>
      <c r="B64" s="123"/>
      <c r="C64" s="131"/>
      <c r="D64" s="131"/>
      <c r="E64" s="257" t="s">
        <v>519</v>
      </c>
      <c r="F64" s="213" t="str">
        <f>Inputs!F227</f>
        <v>%</v>
      </c>
      <c r="G64" s="214" t="str">
        <f>Inputs!G227</f>
        <v>input</v>
      </c>
      <c r="H64" s="258">
        <f>Inputs!H227</f>
        <v>0.2471</v>
      </c>
      <c r="I64" s="512" t="str">
        <f>Inputs!I227</f>
        <v>-</v>
      </c>
      <c r="J64" s="512" t="str">
        <f>Inputs!J227</f>
        <v>-</v>
      </c>
      <c r="K64" s="512" t="str">
        <f>Inputs!K227</f>
        <v>-</v>
      </c>
      <c r="L64" s="509" t="str">
        <f>Inputs!L227</f>
        <v>-</v>
      </c>
      <c r="M64" s="512" t="str">
        <f>Inputs!M227</f>
        <v>-</v>
      </c>
      <c r="N64" s="512" t="str">
        <f>Inputs!N227</f>
        <v>-</v>
      </c>
      <c r="O64" s="512" t="str">
        <f>Inputs!O227</f>
        <v>-</v>
      </c>
      <c r="P64" s="512" t="str">
        <f>Inputs!P227</f>
        <v>-</v>
      </c>
      <c r="Q64" s="512" t="str">
        <f>Inputs!Q227</f>
        <v>-</v>
      </c>
      <c r="R64" s="512" t="str">
        <f>Inputs!R227</f>
        <v>-</v>
      </c>
      <c r="S64" s="512" t="str">
        <f>Inputs!S227</f>
        <v>-</v>
      </c>
      <c r="T64" s="241" t="str">
        <f>Inputs!T227</f>
        <v>-</v>
      </c>
      <c r="U64" s="512" t="str">
        <f>Inputs!U227</f>
        <v>-</v>
      </c>
      <c r="V64" s="512" t="str">
        <f>Inputs!V227</f>
        <v>-</v>
      </c>
      <c r="W64" s="512" t="str">
        <f>Inputs!W227</f>
        <v>-</v>
      </c>
      <c r="X64" s="512" t="str">
        <f>Inputs!X227</f>
        <v>-</v>
      </c>
      <c r="Y64" s="512" t="str">
        <f>Inputs!Y227</f>
        <v>-</v>
      </c>
      <c r="Z64" s="512" t="str">
        <f>Inputs!Z227</f>
        <v>-</v>
      </c>
      <c r="AA64" s="512" t="str">
        <f>Inputs!AA227</f>
        <v>-</v>
      </c>
      <c r="AB64" s="512" t="str">
        <f>Inputs!AB227</f>
        <v>-</v>
      </c>
      <c r="AC64" s="512" t="str">
        <f>Inputs!AC227</f>
        <v>-</v>
      </c>
      <c r="AD64" s="512" t="str">
        <f>Inputs!AD227</f>
        <v>-</v>
      </c>
      <c r="AE64" s="512" t="str">
        <f>Inputs!AE227</f>
        <v>-</v>
      </c>
      <c r="AF64" s="512" t="str">
        <f>Inputs!AF227</f>
        <v>-</v>
      </c>
      <c r="AG64" s="512" t="str">
        <f>Inputs!AG227</f>
        <v>-</v>
      </c>
      <c r="AH64" s="512" t="str">
        <f>Inputs!AH227</f>
        <v>-</v>
      </c>
      <c r="AI64" s="512" t="str">
        <f>Inputs!AI227</f>
        <v>-</v>
      </c>
      <c r="AJ64" s="512" t="str">
        <f>Inputs!AJ227</f>
        <v>-</v>
      </c>
      <c r="AK64" s="512" t="str">
        <f>Inputs!AK227</f>
        <v>-</v>
      </c>
      <c r="AL64" s="509" t="str">
        <f>Inputs!AL227</f>
        <v>-</v>
      </c>
      <c r="AM64" s="509" t="str">
        <f>Inputs!AM227</f>
        <v>-</v>
      </c>
      <c r="AN64" s="509" t="str">
        <f>Inputs!AN227</f>
        <v>-</v>
      </c>
      <c r="AO64" s="512" t="str">
        <f>Inputs!AO227</f>
        <v>-</v>
      </c>
      <c r="AP64" s="512" t="str">
        <f>Inputs!AP227</f>
        <v>-</v>
      </c>
      <c r="AQ64" s="512" t="str">
        <f>Inputs!AQ227</f>
        <v>-</v>
      </c>
      <c r="AR64" s="512" t="str">
        <f>Inputs!AR227</f>
        <v>-</v>
      </c>
      <c r="AS64" s="512" t="str">
        <f>Inputs!AS227</f>
        <v>-</v>
      </c>
      <c r="AT64" s="512" t="str">
        <f>Inputs!AT227</f>
        <v>-</v>
      </c>
      <c r="AU64" s="512" t="str">
        <f>Inputs!AU227</f>
        <v>-</v>
      </c>
      <c r="AV64" s="512" t="str">
        <f>Inputs!AV227</f>
        <v>-</v>
      </c>
      <c r="AW64" s="259"/>
    </row>
    <row r="65">
      <c r="A65" s="122"/>
      <c r="B65" s="123"/>
      <c r="C65" s="131"/>
      <c r="D65" s="131"/>
      <c r="E65" s="272" t="s">
        <v>520</v>
      </c>
      <c r="F65" s="200" t="str">
        <f>Inputs!F228</f>
        <v>%</v>
      </c>
      <c r="G65" s="201" t="str">
        <f>Inputs!G228</f>
        <v>input</v>
      </c>
      <c r="H65" s="498">
        <f>Inputs!H228</f>
        <v>0.1432</v>
      </c>
      <c r="I65" s="515" t="str">
        <f>Inputs!I228</f>
        <v>-</v>
      </c>
      <c r="J65" s="515" t="str">
        <f>Inputs!J228</f>
        <v>-</v>
      </c>
      <c r="K65" s="515" t="str">
        <f>Inputs!K228</f>
        <v>-</v>
      </c>
      <c r="L65" s="515" t="str">
        <f>Inputs!L228</f>
        <v>-</v>
      </c>
      <c r="M65" s="515" t="str">
        <f>Inputs!M228</f>
        <v>-</v>
      </c>
      <c r="N65" s="515" t="str">
        <f>Inputs!N228</f>
        <v>-</v>
      </c>
      <c r="O65" s="515" t="str">
        <f>Inputs!O228</f>
        <v>-</v>
      </c>
      <c r="P65" s="515" t="str">
        <f>Inputs!P228</f>
        <v>-</v>
      </c>
      <c r="Q65" s="515" t="str">
        <f>Inputs!Q228</f>
        <v>-</v>
      </c>
      <c r="R65" s="515" t="str">
        <f>Inputs!R228</f>
        <v>-</v>
      </c>
      <c r="S65" s="515" t="str">
        <f>Inputs!S228</f>
        <v>-</v>
      </c>
      <c r="T65" s="385" t="str">
        <f>Inputs!T228</f>
        <v>-</v>
      </c>
      <c r="U65" s="515" t="str">
        <f>Inputs!U228</f>
        <v>-</v>
      </c>
      <c r="V65" s="515" t="str">
        <f>Inputs!V228</f>
        <v>-</v>
      </c>
      <c r="W65" s="515" t="str">
        <f>Inputs!W228</f>
        <v>-</v>
      </c>
      <c r="X65" s="515" t="str">
        <f>Inputs!X228</f>
        <v>-</v>
      </c>
      <c r="Y65" s="515" t="str">
        <f>Inputs!Y228</f>
        <v>-</v>
      </c>
      <c r="Z65" s="515" t="str">
        <f>Inputs!Z228</f>
        <v>-</v>
      </c>
      <c r="AA65" s="515" t="str">
        <f>Inputs!AA228</f>
        <v>-</v>
      </c>
      <c r="AB65" s="515" t="str">
        <f>Inputs!AB228</f>
        <v>-</v>
      </c>
      <c r="AC65" s="515" t="str">
        <f>Inputs!AC228</f>
        <v>-</v>
      </c>
      <c r="AD65" s="515" t="str">
        <f>Inputs!AD228</f>
        <v>-</v>
      </c>
      <c r="AE65" s="515" t="str">
        <f>Inputs!AE228</f>
        <v>-</v>
      </c>
      <c r="AF65" s="515" t="str">
        <f>Inputs!AF228</f>
        <v>-</v>
      </c>
      <c r="AG65" s="515" t="str">
        <f>Inputs!AG228</f>
        <v>-</v>
      </c>
      <c r="AH65" s="515" t="str">
        <f>Inputs!AH228</f>
        <v>-</v>
      </c>
      <c r="AI65" s="515" t="str">
        <f>Inputs!AI228</f>
        <v>-</v>
      </c>
      <c r="AJ65" s="515" t="str">
        <f>Inputs!AJ228</f>
        <v>-</v>
      </c>
      <c r="AK65" s="515" t="str">
        <f>Inputs!AK228</f>
        <v>-</v>
      </c>
      <c r="AL65" s="515" t="str">
        <f>Inputs!AL228</f>
        <v>-</v>
      </c>
      <c r="AM65" s="515" t="str">
        <f>Inputs!AM228</f>
        <v>-</v>
      </c>
      <c r="AN65" s="515" t="str">
        <f>Inputs!AN228</f>
        <v>-</v>
      </c>
      <c r="AO65" s="515" t="str">
        <f>Inputs!AO228</f>
        <v>-</v>
      </c>
      <c r="AP65" s="515" t="str">
        <f>Inputs!AP228</f>
        <v>-</v>
      </c>
      <c r="AQ65" s="515" t="str">
        <f>Inputs!AQ228</f>
        <v>-</v>
      </c>
      <c r="AR65" s="515" t="str">
        <f>Inputs!AR228</f>
        <v>-</v>
      </c>
      <c r="AS65" s="515" t="str">
        <f>Inputs!AS228</f>
        <v>-</v>
      </c>
      <c r="AT65" s="515" t="str">
        <f>Inputs!AT228</f>
        <v>-</v>
      </c>
      <c r="AU65" s="515" t="str">
        <f>Inputs!AU228</f>
        <v>-</v>
      </c>
      <c r="AV65" s="515" t="str">
        <f>Inputs!AV228</f>
        <v>-</v>
      </c>
      <c r="AW65" s="274"/>
    </row>
    <row r="66">
      <c r="A66" s="122"/>
      <c r="B66" s="123"/>
      <c r="C66" s="131"/>
      <c r="D66" s="131"/>
      <c r="E66" s="526"/>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342" t="s">
        <v>521</v>
      </c>
      <c r="F67" s="423"/>
      <c r="G67" s="424"/>
      <c r="H67" s="425"/>
      <c r="I67" s="527"/>
      <c r="J67" s="527"/>
      <c r="K67" s="527"/>
      <c r="L67" s="527"/>
      <c r="M67" s="527"/>
      <c r="N67" s="527"/>
      <c r="O67" s="527"/>
      <c r="P67" s="527"/>
      <c r="Q67" s="527"/>
      <c r="R67" s="527"/>
      <c r="S67" s="527"/>
      <c r="T67" s="527"/>
      <c r="U67" s="527"/>
      <c r="V67" s="527"/>
      <c r="W67" s="527"/>
      <c r="X67" s="527"/>
      <c r="Y67" s="527"/>
      <c r="Z67" s="527"/>
      <c r="AA67" s="527"/>
      <c r="AB67" s="527"/>
      <c r="AC67" s="527"/>
      <c r="AD67" s="527"/>
      <c r="AE67" s="527"/>
      <c r="AF67" s="527"/>
      <c r="AG67" s="527"/>
      <c r="AH67" s="527"/>
      <c r="AI67" s="527"/>
      <c r="AJ67" s="527"/>
      <c r="AK67" s="527"/>
      <c r="AL67" s="527"/>
      <c r="AM67" s="527"/>
      <c r="AN67" s="527"/>
      <c r="AO67" s="527"/>
      <c r="AP67" s="527"/>
      <c r="AQ67" s="527"/>
      <c r="AR67" s="527"/>
      <c r="AS67" s="527"/>
      <c r="AT67" s="527"/>
      <c r="AU67" s="527"/>
      <c r="AV67" s="527"/>
      <c r="AW67" s="130"/>
    </row>
    <row r="68">
      <c r="A68" s="122"/>
      <c r="B68" s="123"/>
      <c r="C68" s="123"/>
      <c r="D68" s="123"/>
      <c r="E68" s="133" t="s">
        <v>522</v>
      </c>
      <c r="F68" s="134" t="s">
        <v>72</v>
      </c>
      <c r="G68" s="145" t="s">
        <v>161</v>
      </c>
      <c r="H68" s="399">
        <f>SUMPRODUCT(H42:H49,H58:H65)/SUM(H42:H49)</f>
        <v>0.21477152</v>
      </c>
      <c r="I68" s="400" t="s">
        <v>162</v>
      </c>
      <c r="J68" s="400" t="s">
        <v>162</v>
      </c>
      <c r="K68" s="400" t="s">
        <v>162</v>
      </c>
      <c r="L68" s="400" t="s">
        <v>162</v>
      </c>
      <c r="M68" s="400" t="s">
        <v>162</v>
      </c>
      <c r="N68" s="400" t="s">
        <v>162</v>
      </c>
      <c r="O68" s="400" t="s">
        <v>162</v>
      </c>
      <c r="P68" s="400" t="s">
        <v>162</v>
      </c>
      <c r="Q68" s="400" t="s">
        <v>162</v>
      </c>
      <c r="R68" s="400" t="s">
        <v>162</v>
      </c>
      <c r="S68" s="400" t="s">
        <v>162</v>
      </c>
      <c r="T68" s="400" t="s">
        <v>162</v>
      </c>
      <c r="U68" s="400" t="s">
        <v>162</v>
      </c>
      <c r="V68" s="400" t="s">
        <v>162</v>
      </c>
      <c r="W68" s="400" t="s">
        <v>162</v>
      </c>
      <c r="X68" s="400" t="s">
        <v>162</v>
      </c>
      <c r="Y68" s="400" t="s">
        <v>162</v>
      </c>
      <c r="Z68" s="400" t="s">
        <v>162</v>
      </c>
      <c r="AA68" s="400" t="s">
        <v>162</v>
      </c>
      <c r="AB68" s="400" t="s">
        <v>162</v>
      </c>
      <c r="AC68" s="400" t="s">
        <v>162</v>
      </c>
      <c r="AD68" s="400" t="s">
        <v>162</v>
      </c>
      <c r="AE68" s="400" t="s">
        <v>162</v>
      </c>
      <c r="AF68" s="400" t="s">
        <v>162</v>
      </c>
      <c r="AG68" s="400" t="s">
        <v>162</v>
      </c>
      <c r="AH68" s="400" t="s">
        <v>162</v>
      </c>
      <c r="AI68" s="400" t="s">
        <v>162</v>
      </c>
      <c r="AJ68" s="400" t="s">
        <v>162</v>
      </c>
      <c r="AK68" s="400" t="s">
        <v>162</v>
      </c>
      <c r="AL68" s="400" t="s">
        <v>162</v>
      </c>
      <c r="AM68" s="400" t="s">
        <v>162</v>
      </c>
      <c r="AN68" s="400" t="s">
        <v>162</v>
      </c>
      <c r="AO68" s="400" t="s">
        <v>162</v>
      </c>
      <c r="AP68" s="400" t="s">
        <v>162</v>
      </c>
      <c r="AQ68" s="400" t="s">
        <v>162</v>
      </c>
      <c r="AR68" s="400" t="s">
        <v>162</v>
      </c>
      <c r="AS68" s="400" t="s">
        <v>162</v>
      </c>
      <c r="AT68" s="400" t="s">
        <v>162</v>
      </c>
      <c r="AU68" s="400" t="s">
        <v>162</v>
      </c>
      <c r="AV68" s="400" t="s">
        <v>162</v>
      </c>
      <c r="AW68" s="409"/>
    </row>
    <row r="69">
      <c r="A69" s="122"/>
      <c r="B69" s="123"/>
      <c r="C69" s="123"/>
      <c r="D69" s="123"/>
      <c r="E69" s="140"/>
      <c r="F69" s="141"/>
      <c r="G69" s="144"/>
      <c r="H69" s="270"/>
      <c r="I69" s="528"/>
      <c r="J69" s="528"/>
      <c r="K69" s="528"/>
      <c r="L69" s="528"/>
      <c r="M69" s="528"/>
      <c r="N69" s="528"/>
      <c r="O69" s="528"/>
      <c r="P69" s="528"/>
      <c r="Q69" s="528"/>
      <c r="R69" s="528"/>
      <c r="S69" s="528"/>
      <c r="T69" s="528"/>
      <c r="U69" s="528"/>
      <c r="V69" s="528"/>
      <c r="W69" s="528"/>
      <c r="X69" s="528"/>
      <c r="Y69" s="528"/>
      <c r="Z69" s="528"/>
      <c r="AA69" s="528"/>
      <c r="AB69" s="528"/>
      <c r="AC69" s="528"/>
      <c r="AD69" s="528"/>
      <c r="AE69" s="528"/>
      <c r="AF69" s="528"/>
      <c r="AG69" s="528"/>
      <c r="AH69" s="528"/>
      <c r="AI69" s="528"/>
      <c r="AJ69" s="528"/>
      <c r="AK69" s="528"/>
      <c r="AL69" s="528"/>
      <c r="AM69" s="528"/>
      <c r="AN69" s="528"/>
      <c r="AO69" s="528"/>
      <c r="AP69" s="528"/>
      <c r="AQ69" s="528"/>
      <c r="AR69" s="528"/>
      <c r="AS69" s="528"/>
      <c r="AT69" s="528"/>
      <c r="AU69" s="528"/>
      <c r="AV69" s="528"/>
      <c r="AW69" s="130"/>
    </row>
    <row r="70">
      <c r="A70" s="122"/>
      <c r="B70" s="123"/>
      <c r="C70" s="342" t="s">
        <v>523</v>
      </c>
      <c r="F70" s="141"/>
      <c r="G70" s="144"/>
      <c r="H70" s="270"/>
      <c r="I70" s="528"/>
      <c r="J70" s="528"/>
      <c r="K70" s="528"/>
      <c r="L70" s="528"/>
      <c r="M70" s="528"/>
      <c r="N70" s="528"/>
      <c r="O70" s="528"/>
      <c r="P70" s="528"/>
      <c r="Q70" s="528"/>
      <c r="R70" s="528"/>
      <c r="S70" s="528"/>
      <c r="T70" s="528"/>
      <c r="U70" s="528"/>
      <c r="V70" s="528"/>
      <c r="W70" s="528"/>
      <c r="X70" s="528"/>
      <c r="Y70" s="528"/>
      <c r="Z70" s="528"/>
      <c r="AA70" s="528"/>
      <c r="AB70" s="528"/>
      <c r="AC70" s="528"/>
      <c r="AD70" s="528"/>
      <c r="AE70" s="528"/>
      <c r="AF70" s="528"/>
      <c r="AG70" s="528"/>
      <c r="AH70" s="528"/>
      <c r="AI70" s="528"/>
      <c r="AJ70" s="528"/>
      <c r="AK70" s="528"/>
      <c r="AL70" s="528"/>
      <c r="AM70" s="528"/>
      <c r="AN70" s="528"/>
      <c r="AO70" s="528"/>
      <c r="AP70" s="528"/>
      <c r="AQ70" s="528"/>
      <c r="AR70" s="528"/>
      <c r="AS70" s="528"/>
      <c r="AT70" s="528"/>
      <c r="AU70" s="528"/>
      <c r="AV70" s="528"/>
      <c r="AW70" s="130"/>
    </row>
    <row r="71">
      <c r="A71" s="122"/>
      <c r="B71" s="123"/>
      <c r="C71" s="123"/>
      <c r="D71" s="123"/>
      <c r="E71" s="133" t="s">
        <v>176</v>
      </c>
      <c r="F71" s="134" t="s">
        <v>72</v>
      </c>
      <c r="G71" s="145" t="s">
        <v>161</v>
      </c>
      <c r="H71" s="399">
        <f>H68/H53</f>
        <v>0.3337054115</v>
      </c>
      <c r="I71" s="400" t="s">
        <v>162</v>
      </c>
      <c r="J71" s="400" t="s">
        <v>162</v>
      </c>
      <c r="K71" s="400" t="s">
        <v>162</v>
      </c>
      <c r="L71" s="400" t="s">
        <v>162</v>
      </c>
      <c r="M71" s="400" t="s">
        <v>162</v>
      </c>
      <c r="N71" s="400" t="s">
        <v>162</v>
      </c>
      <c r="O71" s="400" t="s">
        <v>162</v>
      </c>
      <c r="P71" s="400" t="s">
        <v>162</v>
      </c>
      <c r="Q71" s="400" t="s">
        <v>162</v>
      </c>
      <c r="R71" s="400" t="s">
        <v>162</v>
      </c>
      <c r="S71" s="400" t="s">
        <v>162</v>
      </c>
      <c r="T71" s="400" t="s">
        <v>162</v>
      </c>
      <c r="U71" s="400" t="s">
        <v>162</v>
      </c>
      <c r="V71" s="400" t="s">
        <v>162</v>
      </c>
      <c r="W71" s="400" t="s">
        <v>162</v>
      </c>
      <c r="X71" s="400" t="s">
        <v>162</v>
      </c>
      <c r="Y71" s="400" t="s">
        <v>162</v>
      </c>
      <c r="Z71" s="400" t="s">
        <v>162</v>
      </c>
      <c r="AA71" s="400" t="s">
        <v>162</v>
      </c>
      <c r="AB71" s="400" t="s">
        <v>162</v>
      </c>
      <c r="AC71" s="400" t="s">
        <v>162</v>
      </c>
      <c r="AD71" s="400" t="s">
        <v>162</v>
      </c>
      <c r="AE71" s="400" t="s">
        <v>162</v>
      </c>
      <c r="AF71" s="400" t="s">
        <v>162</v>
      </c>
      <c r="AG71" s="400" t="s">
        <v>162</v>
      </c>
      <c r="AH71" s="400" t="s">
        <v>162</v>
      </c>
      <c r="AI71" s="400" t="s">
        <v>162</v>
      </c>
      <c r="AJ71" s="400" t="s">
        <v>162</v>
      </c>
      <c r="AK71" s="400" t="s">
        <v>162</v>
      </c>
      <c r="AL71" s="400" t="s">
        <v>162</v>
      </c>
      <c r="AM71" s="400" t="s">
        <v>162</v>
      </c>
      <c r="AN71" s="400" t="s">
        <v>162</v>
      </c>
      <c r="AO71" s="400" t="s">
        <v>162</v>
      </c>
      <c r="AP71" s="400" t="s">
        <v>162</v>
      </c>
      <c r="AQ71" s="400" t="s">
        <v>162</v>
      </c>
      <c r="AR71" s="400" t="s">
        <v>162</v>
      </c>
      <c r="AS71" s="400" t="s">
        <v>162</v>
      </c>
      <c r="AT71" s="400" t="s">
        <v>162</v>
      </c>
      <c r="AU71" s="400" t="s">
        <v>162</v>
      </c>
      <c r="AV71" s="400" t="s">
        <v>162</v>
      </c>
      <c r="AW71" s="409"/>
    </row>
    <row r="72">
      <c r="A72" s="432"/>
      <c r="B72" s="433"/>
      <c r="C72" s="433"/>
      <c r="D72" s="433"/>
      <c r="E72" s="434"/>
      <c r="F72" s="435"/>
      <c r="G72" s="436"/>
      <c r="H72" s="406"/>
      <c r="I72" s="502"/>
      <c r="J72" s="502"/>
      <c r="K72" s="502"/>
      <c r="L72" s="502"/>
      <c r="M72" s="502"/>
      <c r="N72" s="502"/>
      <c r="O72" s="502"/>
      <c r="P72" s="502"/>
      <c r="Q72" s="502"/>
      <c r="R72" s="502"/>
      <c r="S72" s="502"/>
      <c r="T72" s="502"/>
      <c r="U72" s="502"/>
      <c r="V72" s="502"/>
      <c r="W72" s="502"/>
      <c r="X72" s="502"/>
      <c r="Y72" s="502"/>
      <c r="Z72" s="502"/>
      <c r="AA72" s="502"/>
      <c r="AB72" s="502"/>
      <c r="AC72" s="502"/>
      <c r="AD72" s="502"/>
      <c r="AE72" s="502"/>
      <c r="AF72" s="502"/>
      <c r="AG72" s="502"/>
      <c r="AH72" s="502"/>
      <c r="AI72" s="502"/>
      <c r="AJ72" s="502"/>
      <c r="AK72" s="502"/>
      <c r="AL72" s="502"/>
      <c r="AM72" s="502"/>
      <c r="AN72" s="502"/>
      <c r="AO72" s="502"/>
      <c r="AP72" s="502"/>
      <c r="AQ72" s="502"/>
      <c r="AR72" s="502"/>
      <c r="AS72" s="502"/>
      <c r="AT72" s="502"/>
      <c r="AU72" s="502"/>
      <c r="AV72" s="502"/>
      <c r="AW72" s="409"/>
    </row>
    <row r="73">
      <c r="A73" s="117" t="s">
        <v>524</v>
      </c>
      <c r="B73" s="7"/>
      <c r="C73" s="7"/>
      <c r="D73" s="7"/>
      <c r="E73" s="7"/>
      <c r="F73" s="7"/>
      <c r="G73" s="7"/>
      <c r="H73" s="172"/>
      <c r="I73" s="232"/>
      <c r="J73" s="232"/>
      <c r="K73" s="232"/>
      <c r="L73" s="232"/>
      <c r="M73" s="232"/>
      <c r="N73" s="232"/>
      <c r="O73" s="232"/>
      <c r="P73" s="232"/>
      <c r="Q73" s="232"/>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175"/>
    </row>
    <row r="74">
      <c r="A74" s="122"/>
      <c r="B74" s="123"/>
      <c r="C74" s="123"/>
      <c r="D74" s="123"/>
      <c r="E74" s="124"/>
      <c r="F74" s="125"/>
      <c r="G74" s="176"/>
      <c r="H74" s="127"/>
      <c r="I74" s="177"/>
      <c r="J74" s="177"/>
      <c r="K74" s="177"/>
      <c r="L74" s="177"/>
      <c r="M74" s="177"/>
      <c r="N74" s="177"/>
      <c r="O74" s="177"/>
      <c r="P74" s="177"/>
      <c r="Q74" s="177"/>
      <c r="R74" s="128"/>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30"/>
    </row>
    <row r="75">
      <c r="A75" s="122"/>
      <c r="B75" s="123"/>
      <c r="C75" s="53" t="s">
        <v>6</v>
      </c>
      <c r="F75" s="125"/>
      <c r="G75" s="132"/>
      <c r="H75" s="127"/>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30"/>
    </row>
    <row r="76">
      <c r="A76" s="122"/>
      <c r="B76" s="123"/>
      <c r="C76" s="131"/>
      <c r="D76" s="131"/>
      <c r="E76" s="254" t="s">
        <v>525</v>
      </c>
      <c r="F76" s="193" t="str">
        <f>Inputs!F241</f>
        <v>%</v>
      </c>
      <c r="G76" s="194" t="s">
        <v>165</v>
      </c>
      <c r="H76" s="208">
        <v>0.85</v>
      </c>
      <c r="I76" s="509" t="str">
        <f>Inputs!I241</f>
        <v>-</v>
      </c>
      <c r="J76" s="321" t="str">
        <f>Inputs!J241</f>
        <v>-</v>
      </c>
      <c r="K76" s="321" t="str">
        <f>Inputs!K241</f>
        <v>-</v>
      </c>
      <c r="L76" s="321" t="str">
        <f>Inputs!L241</f>
        <v>-</v>
      </c>
      <c r="M76" s="321" t="str">
        <f>Inputs!M241</f>
        <v>-</v>
      </c>
      <c r="N76" s="321" t="str">
        <f>Inputs!N241</f>
        <v>-</v>
      </c>
      <c r="O76" s="321" t="str">
        <f>Inputs!O241</f>
        <v>-</v>
      </c>
      <c r="P76" s="321" t="str">
        <f>Inputs!P241</f>
        <v>-</v>
      </c>
      <c r="Q76" s="321" t="str">
        <f>Inputs!Q241</f>
        <v>-</v>
      </c>
      <c r="R76" s="321" t="str">
        <f>Inputs!R241</f>
        <v>-</v>
      </c>
      <c r="S76" s="321" t="str">
        <f>Inputs!S241</f>
        <v>-</v>
      </c>
      <c r="T76" s="383" t="str">
        <f>Inputs!T241</f>
        <v>-</v>
      </c>
      <c r="U76" s="321" t="str">
        <f>Inputs!U241</f>
        <v>-</v>
      </c>
      <c r="V76" s="321" t="str">
        <f>Inputs!V241</f>
        <v>-</v>
      </c>
      <c r="W76" s="321" t="str">
        <f>Inputs!W241</f>
        <v>-</v>
      </c>
      <c r="X76" s="321" t="str">
        <f>Inputs!X241</f>
        <v>-</v>
      </c>
      <c r="Y76" s="321" t="str">
        <f>Inputs!Y241</f>
        <v>-</v>
      </c>
      <c r="Z76" s="321" t="str">
        <f>Inputs!Z241</f>
        <v>-</v>
      </c>
      <c r="AA76" s="321" t="str">
        <f>Inputs!AA241</f>
        <v>-</v>
      </c>
      <c r="AB76" s="321" t="str">
        <f>Inputs!AB241</f>
        <v>-</v>
      </c>
      <c r="AC76" s="321" t="str">
        <f>Inputs!AC241</f>
        <v>-</v>
      </c>
      <c r="AD76" s="321" t="str">
        <f>Inputs!AD241</f>
        <v>-</v>
      </c>
      <c r="AE76" s="321" t="str">
        <f>Inputs!AE241</f>
        <v>-</v>
      </c>
      <c r="AF76" s="321" t="str">
        <f>Inputs!AF241</f>
        <v>-</v>
      </c>
      <c r="AG76" s="321" t="str">
        <f>Inputs!AG241</f>
        <v>-</v>
      </c>
      <c r="AH76" s="321" t="str">
        <f>Inputs!AH241</f>
        <v>-</v>
      </c>
      <c r="AI76" s="321" t="str">
        <f>Inputs!AI241</f>
        <v>-</v>
      </c>
      <c r="AJ76" s="321" t="str">
        <f>Inputs!AJ241</f>
        <v>-</v>
      </c>
      <c r="AK76" s="321" t="str">
        <f>Inputs!AK241</f>
        <v>-</v>
      </c>
      <c r="AL76" s="321" t="str">
        <f>Inputs!AL241</f>
        <v>-</v>
      </c>
      <c r="AM76" s="321" t="str">
        <f>Inputs!AM241</f>
        <v>-</v>
      </c>
      <c r="AN76" s="321" t="str">
        <f>Inputs!AN241</f>
        <v>-</v>
      </c>
      <c r="AO76" s="321" t="str">
        <f>Inputs!AO241</f>
        <v>-</v>
      </c>
      <c r="AP76" s="321" t="str">
        <f>Inputs!AP241</f>
        <v>-</v>
      </c>
      <c r="AQ76" s="321" t="str">
        <f>Inputs!AQ241</f>
        <v>-</v>
      </c>
      <c r="AR76" s="321" t="str">
        <f>Inputs!AR241</f>
        <v>-</v>
      </c>
      <c r="AS76" s="321" t="str">
        <f>Inputs!AS241</f>
        <v>-</v>
      </c>
      <c r="AT76" s="321" t="str">
        <f>Inputs!AT241</f>
        <v>-</v>
      </c>
      <c r="AU76" s="321" t="str">
        <f>Inputs!AU241</f>
        <v>-</v>
      </c>
      <c r="AV76" s="321" t="str">
        <f>Inputs!AV241</f>
        <v>-</v>
      </c>
      <c r="AW76" s="256"/>
    </row>
    <row r="77">
      <c r="A77" s="122"/>
      <c r="B77" s="123"/>
      <c r="C77" s="131"/>
      <c r="D77" s="131"/>
      <c r="E77" s="490" t="s">
        <v>526</v>
      </c>
      <c r="F77" s="134" t="str">
        <f>Inputs!F242</f>
        <v>%</v>
      </c>
      <c r="G77" s="184" t="s">
        <v>161</v>
      </c>
      <c r="H77" s="519">
        <f>(H65/(1-H28))*H76</f>
        <v>0.2121287586</v>
      </c>
      <c r="I77" s="520" t="str">
        <f>Inputs!I242</f>
        <v>-</v>
      </c>
      <c r="J77" s="502" t="str">
        <f>Inputs!J242</f>
        <v>-</v>
      </c>
      <c r="K77" s="502" t="str">
        <f>Inputs!K242</f>
        <v>-</v>
      </c>
      <c r="L77" s="502" t="str">
        <f>Inputs!L242</f>
        <v>-</v>
      </c>
      <c r="M77" s="502" t="str">
        <f>Inputs!M242</f>
        <v>-</v>
      </c>
      <c r="N77" s="502" t="str">
        <f>Inputs!N242</f>
        <v>-</v>
      </c>
      <c r="O77" s="502" t="str">
        <f>Inputs!O242</f>
        <v>-</v>
      </c>
      <c r="P77" s="502" t="str">
        <f>Inputs!P242</f>
        <v>-</v>
      </c>
      <c r="Q77" s="502" t="str">
        <f>Inputs!Q242</f>
        <v>-</v>
      </c>
      <c r="R77" s="502" t="str">
        <f>Inputs!R242</f>
        <v>-</v>
      </c>
      <c r="S77" s="502" t="str">
        <f>Inputs!S242</f>
        <v>-</v>
      </c>
      <c r="T77" s="407" t="str">
        <f>Inputs!T242</f>
        <v>-</v>
      </c>
      <c r="U77" s="502" t="str">
        <f>Inputs!U242</f>
        <v>-</v>
      </c>
      <c r="V77" s="502" t="str">
        <f>Inputs!V242</f>
        <v>-</v>
      </c>
      <c r="W77" s="502" t="str">
        <f>Inputs!W242</f>
        <v>-</v>
      </c>
      <c r="X77" s="502" t="str">
        <f>Inputs!X242</f>
        <v>-</v>
      </c>
      <c r="Y77" s="502" t="str">
        <f>Inputs!Y242</f>
        <v>-</v>
      </c>
      <c r="Z77" s="502" t="str">
        <f>Inputs!Z242</f>
        <v>-</v>
      </c>
      <c r="AA77" s="502" t="str">
        <f>Inputs!AA242</f>
        <v>-</v>
      </c>
      <c r="AB77" s="502" t="str">
        <f>Inputs!AB242</f>
        <v>-</v>
      </c>
      <c r="AC77" s="502" t="str">
        <f>Inputs!AC242</f>
        <v>-</v>
      </c>
      <c r="AD77" s="502" t="str">
        <f>Inputs!AD242</f>
        <v>-</v>
      </c>
      <c r="AE77" s="502" t="str">
        <f>Inputs!AE242</f>
        <v>-</v>
      </c>
      <c r="AF77" s="502" t="str">
        <f>Inputs!AF242</f>
        <v>-</v>
      </c>
      <c r="AG77" s="502" t="str">
        <f>Inputs!AG242</f>
        <v>-</v>
      </c>
      <c r="AH77" s="502" t="str">
        <f>Inputs!AH242</f>
        <v>-</v>
      </c>
      <c r="AI77" s="502" t="str">
        <f>Inputs!AI242</f>
        <v>-</v>
      </c>
      <c r="AJ77" s="502" t="str">
        <f>Inputs!AJ242</f>
        <v>-</v>
      </c>
      <c r="AK77" s="502" t="str">
        <f>Inputs!AK242</f>
        <v>-</v>
      </c>
      <c r="AL77" s="502" t="str">
        <f>Inputs!AL242</f>
        <v>-</v>
      </c>
      <c r="AM77" s="502" t="str">
        <f>Inputs!AM242</f>
        <v>-</v>
      </c>
      <c r="AN77" s="502" t="str">
        <f>Inputs!AN242</f>
        <v>-</v>
      </c>
      <c r="AO77" s="502" t="str">
        <f>Inputs!AO242</f>
        <v>-</v>
      </c>
      <c r="AP77" s="502" t="str">
        <f>Inputs!AP242</f>
        <v>-</v>
      </c>
      <c r="AQ77" s="502" t="str">
        <f>Inputs!AQ242</f>
        <v>-</v>
      </c>
      <c r="AR77" s="502" t="str">
        <f>Inputs!AR242</f>
        <v>-</v>
      </c>
      <c r="AS77" s="502" t="str">
        <f>Inputs!AS242</f>
        <v>-</v>
      </c>
      <c r="AT77" s="502" t="str">
        <f>Inputs!AT242</f>
        <v>-</v>
      </c>
      <c r="AU77" s="502" t="str">
        <f>Inputs!AU242</f>
        <v>-</v>
      </c>
      <c r="AV77" s="502" t="str">
        <f>Inputs!AV242</f>
        <v>-</v>
      </c>
      <c r="AW77" s="409"/>
    </row>
    <row r="78">
      <c r="A78" s="122"/>
      <c r="B78" s="123"/>
      <c r="C78" s="131"/>
      <c r="D78" s="131"/>
      <c r="E78" s="269"/>
      <c r="F78" s="141"/>
      <c r="G78" s="142"/>
      <c r="H78" s="253"/>
      <c r="I78" s="351"/>
      <c r="J78" s="128"/>
      <c r="K78" s="128"/>
      <c r="L78" s="128"/>
      <c r="M78" s="128"/>
      <c r="N78" s="128"/>
      <c r="O78" s="128"/>
      <c r="P78" s="128"/>
      <c r="Q78" s="128"/>
      <c r="R78" s="128"/>
      <c r="S78" s="128"/>
      <c r="T78" s="317"/>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2"/>
      <c r="B79" s="123"/>
      <c r="C79" s="522" t="s">
        <v>527</v>
      </c>
      <c r="F79" s="125"/>
      <c r="G79" s="132"/>
      <c r="H79" s="127"/>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30"/>
    </row>
    <row r="80">
      <c r="A80" s="122"/>
      <c r="B80" s="123"/>
      <c r="C80" s="131"/>
      <c r="D80" s="131"/>
      <c r="E80" s="254" t="s">
        <v>528</v>
      </c>
      <c r="F80" s="193" t="s">
        <v>72</v>
      </c>
      <c r="G80" s="194" t="s">
        <v>161</v>
      </c>
      <c r="H80" s="529">
        <f>AVERAGE(K39,N39,Q39)</f>
        <v>0.005553265123</v>
      </c>
      <c r="I80" s="530" t="s">
        <v>162</v>
      </c>
      <c r="J80" s="530" t="s">
        <v>162</v>
      </c>
      <c r="K80" s="530" t="s">
        <v>162</v>
      </c>
      <c r="L80" s="530" t="s">
        <v>162</v>
      </c>
      <c r="M80" s="530" t="s">
        <v>162</v>
      </c>
      <c r="N80" s="530" t="s">
        <v>162</v>
      </c>
      <c r="O80" s="530" t="s">
        <v>162</v>
      </c>
      <c r="P80" s="530" t="s">
        <v>162</v>
      </c>
      <c r="Q80" s="530" t="s">
        <v>162</v>
      </c>
      <c r="R80" s="530" t="s">
        <v>162</v>
      </c>
      <c r="S80" s="530" t="s">
        <v>162</v>
      </c>
      <c r="T80" s="530" t="s">
        <v>162</v>
      </c>
      <c r="U80" s="530" t="s">
        <v>162</v>
      </c>
      <c r="V80" s="530" t="s">
        <v>162</v>
      </c>
      <c r="W80" s="530" t="s">
        <v>162</v>
      </c>
      <c r="X80" s="530" t="s">
        <v>162</v>
      </c>
      <c r="Y80" s="530" t="s">
        <v>162</v>
      </c>
      <c r="Z80" s="530" t="s">
        <v>162</v>
      </c>
      <c r="AA80" s="530" t="s">
        <v>162</v>
      </c>
      <c r="AB80" s="530" t="s">
        <v>162</v>
      </c>
      <c r="AC80" s="530" t="s">
        <v>162</v>
      </c>
      <c r="AD80" s="530" t="s">
        <v>162</v>
      </c>
      <c r="AE80" s="530" t="s">
        <v>162</v>
      </c>
      <c r="AF80" s="530" t="s">
        <v>162</v>
      </c>
      <c r="AG80" s="530" t="s">
        <v>162</v>
      </c>
      <c r="AH80" s="530" t="s">
        <v>162</v>
      </c>
      <c r="AI80" s="530" t="s">
        <v>162</v>
      </c>
      <c r="AJ80" s="530" t="s">
        <v>162</v>
      </c>
      <c r="AK80" s="530" t="s">
        <v>162</v>
      </c>
      <c r="AL80" s="530" t="s">
        <v>162</v>
      </c>
      <c r="AM80" s="530" t="s">
        <v>162</v>
      </c>
      <c r="AN80" s="530" t="s">
        <v>162</v>
      </c>
      <c r="AO80" s="530" t="s">
        <v>162</v>
      </c>
      <c r="AP80" s="530" t="s">
        <v>162</v>
      </c>
      <c r="AQ80" s="530" t="s">
        <v>162</v>
      </c>
      <c r="AR80" s="530" t="s">
        <v>162</v>
      </c>
      <c r="AS80" s="530" t="s">
        <v>162</v>
      </c>
      <c r="AT80" s="530" t="s">
        <v>162</v>
      </c>
      <c r="AU80" s="530" t="s">
        <v>162</v>
      </c>
      <c r="AV80" s="530" t="s">
        <v>162</v>
      </c>
      <c r="AW80" s="256"/>
    </row>
    <row r="81">
      <c r="A81" s="122"/>
      <c r="B81" s="123"/>
      <c r="C81" s="131"/>
      <c r="D81" s="131"/>
      <c r="E81" s="272" t="s">
        <v>529</v>
      </c>
      <c r="F81" s="134" t="s">
        <v>72</v>
      </c>
      <c r="G81" s="184" t="s">
        <v>161</v>
      </c>
      <c r="H81" s="531">
        <f>1-H80</f>
        <v>0.9944467349</v>
      </c>
      <c r="I81" s="532" t="s">
        <v>162</v>
      </c>
      <c r="J81" s="532" t="s">
        <v>162</v>
      </c>
      <c r="K81" s="532" t="s">
        <v>162</v>
      </c>
      <c r="L81" s="532" t="s">
        <v>162</v>
      </c>
      <c r="M81" s="532" t="s">
        <v>162</v>
      </c>
      <c r="N81" s="532" t="s">
        <v>162</v>
      </c>
      <c r="O81" s="532" t="s">
        <v>162</v>
      </c>
      <c r="P81" s="532" t="s">
        <v>162</v>
      </c>
      <c r="Q81" s="532" t="s">
        <v>162</v>
      </c>
      <c r="R81" s="532" t="s">
        <v>162</v>
      </c>
      <c r="S81" s="532" t="s">
        <v>162</v>
      </c>
      <c r="T81" s="532" t="s">
        <v>162</v>
      </c>
      <c r="U81" s="532" t="s">
        <v>162</v>
      </c>
      <c r="V81" s="532" t="s">
        <v>162</v>
      </c>
      <c r="W81" s="532" t="s">
        <v>162</v>
      </c>
      <c r="X81" s="532" t="s">
        <v>162</v>
      </c>
      <c r="Y81" s="532" t="s">
        <v>162</v>
      </c>
      <c r="Z81" s="532" t="s">
        <v>162</v>
      </c>
      <c r="AA81" s="532" t="s">
        <v>162</v>
      </c>
      <c r="AB81" s="532" t="s">
        <v>162</v>
      </c>
      <c r="AC81" s="532" t="s">
        <v>162</v>
      </c>
      <c r="AD81" s="532" t="s">
        <v>162</v>
      </c>
      <c r="AE81" s="532" t="s">
        <v>162</v>
      </c>
      <c r="AF81" s="532" t="s">
        <v>162</v>
      </c>
      <c r="AG81" s="532" t="s">
        <v>162</v>
      </c>
      <c r="AH81" s="532" t="s">
        <v>162</v>
      </c>
      <c r="AI81" s="532" t="s">
        <v>162</v>
      </c>
      <c r="AJ81" s="532" t="s">
        <v>162</v>
      </c>
      <c r="AK81" s="532" t="s">
        <v>162</v>
      </c>
      <c r="AL81" s="532" t="s">
        <v>162</v>
      </c>
      <c r="AM81" s="532" t="s">
        <v>162</v>
      </c>
      <c r="AN81" s="532" t="s">
        <v>162</v>
      </c>
      <c r="AO81" s="532" t="s">
        <v>162</v>
      </c>
      <c r="AP81" s="532" t="s">
        <v>162</v>
      </c>
      <c r="AQ81" s="532" t="s">
        <v>162</v>
      </c>
      <c r="AR81" s="532" t="s">
        <v>162</v>
      </c>
      <c r="AS81" s="532" t="s">
        <v>162</v>
      </c>
      <c r="AT81" s="532" t="s">
        <v>162</v>
      </c>
      <c r="AU81" s="532" t="s">
        <v>162</v>
      </c>
      <c r="AV81" s="532" t="s">
        <v>162</v>
      </c>
      <c r="AW81" s="274"/>
    </row>
    <row r="82">
      <c r="A82" s="122"/>
      <c r="B82" s="123"/>
      <c r="C82" s="131"/>
      <c r="D82" s="131"/>
      <c r="E82" s="526"/>
      <c r="F82" s="125"/>
      <c r="G82" s="132"/>
      <c r="H82" s="127"/>
      <c r="I82" s="128"/>
      <c r="J82" s="128"/>
      <c r="K82" s="128"/>
      <c r="L82" s="128"/>
      <c r="M82" s="128"/>
      <c r="N82" s="128"/>
      <c r="O82" s="128"/>
      <c r="P82" s="128"/>
      <c r="Q82" s="128"/>
      <c r="R82" s="128"/>
      <c r="S82" s="128"/>
      <c r="T82" s="317"/>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30"/>
    </row>
    <row r="83">
      <c r="A83" s="122"/>
      <c r="B83" s="123"/>
      <c r="C83" s="342" t="s">
        <v>523</v>
      </c>
      <c r="F83" s="141"/>
      <c r="G83" s="144"/>
      <c r="H83" s="270"/>
      <c r="I83" s="528"/>
      <c r="J83" s="528"/>
      <c r="K83" s="528"/>
      <c r="L83" s="528"/>
      <c r="M83" s="528"/>
      <c r="N83" s="528"/>
      <c r="O83" s="528"/>
      <c r="P83" s="528"/>
      <c r="Q83" s="528"/>
      <c r="R83" s="528"/>
      <c r="S83" s="528"/>
      <c r="T83" s="528"/>
      <c r="U83" s="528"/>
      <c r="V83" s="528"/>
      <c r="W83" s="528"/>
      <c r="X83" s="528"/>
      <c r="Y83" s="528"/>
      <c r="Z83" s="528"/>
      <c r="AA83" s="528"/>
      <c r="AB83" s="528"/>
      <c r="AC83" s="528"/>
      <c r="AD83" s="528"/>
      <c r="AE83" s="528"/>
      <c r="AF83" s="528"/>
      <c r="AG83" s="528"/>
      <c r="AH83" s="528"/>
      <c r="AI83" s="528"/>
      <c r="AJ83" s="528"/>
      <c r="AK83" s="528"/>
      <c r="AL83" s="528"/>
      <c r="AM83" s="528"/>
      <c r="AN83" s="528"/>
      <c r="AO83" s="528"/>
      <c r="AP83" s="528"/>
      <c r="AQ83" s="528"/>
      <c r="AR83" s="528"/>
      <c r="AS83" s="528"/>
      <c r="AT83" s="528"/>
      <c r="AU83" s="528"/>
      <c r="AV83" s="528"/>
      <c r="AW83" s="130"/>
    </row>
    <row r="84">
      <c r="A84" s="122"/>
      <c r="B84" s="123"/>
      <c r="C84" s="123"/>
      <c r="D84" s="123"/>
      <c r="E84" s="133" t="s">
        <v>176</v>
      </c>
      <c r="F84" s="134" t="s">
        <v>72</v>
      </c>
      <c r="G84" s="145" t="s">
        <v>161</v>
      </c>
      <c r="H84" s="399">
        <f>H77*H80+H71*H81</f>
        <v>0.3330302641</v>
      </c>
      <c r="I84" s="400" t="s">
        <v>162</v>
      </c>
      <c r="J84" s="400" t="s">
        <v>162</v>
      </c>
      <c r="K84" s="400" t="s">
        <v>162</v>
      </c>
      <c r="L84" s="400" t="s">
        <v>162</v>
      </c>
      <c r="M84" s="400" t="s">
        <v>162</v>
      </c>
      <c r="N84" s="400" t="s">
        <v>162</v>
      </c>
      <c r="O84" s="400" t="s">
        <v>162</v>
      </c>
      <c r="P84" s="400" t="s">
        <v>162</v>
      </c>
      <c r="Q84" s="400" t="s">
        <v>162</v>
      </c>
      <c r="R84" s="400" t="s">
        <v>162</v>
      </c>
      <c r="S84" s="400" t="s">
        <v>162</v>
      </c>
      <c r="T84" s="400" t="s">
        <v>162</v>
      </c>
      <c r="U84" s="400" t="s">
        <v>162</v>
      </c>
      <c r="V84" s="400" t="s">
        <v>162</v>
      </c>
      <c r="W84" s="400" t="s">
        <v>162</v>
      </c>
      <c r="X84" s="400" t="s">
        <v>162</v>
      </c>
      <c r="Y84" s="400" t="s">
        <v>162</v>
      </c>
      <c r="Z84" s="400" t="s">
        <v>162</v>
      </c>
      <c r="AA84" s="400" t="s">
        <v>162</v>
      </c>
      <c r="AB84" s="400" t="s">
        <v>162</v>
      </c>
      <c r="AC84" s="400" t="s">
        <v>162</v>
      </c>
      <c r="AD84" s="400" t="s">
        <v>162</v>
      </c>
      <c r="AE84" s="400" t="s">
        <v>162</v>
      </c>
      <c r="AF84" s="400" t="s">
        <v>162</v>
      </c>
      <c r="AG84" s="400" t="s">
        <v>162</v>
      </c>
      <c r="AH84" s="400" t="s">
        <v>162</v>
      </c>
      <c r="AI84" s="400" t="s">
        <v>162</v>
      </c>
      <c r="AJ84" s="400" t="s">
        <v>162</v>
      </c>
      <c r="AK84" s="400" t="s">
        <v>162</v>
      </c>
      <c r="AL84" s="400" t="s">
        <v>162</v>
      </c>
      <c r="AM84" s="400" t="s">
        <v>162</v>
      </c>
      <c r="AN84" s="400" t="s">
        <v>162</v>
      </c>
      <c r="AO84" s="400" t="s">
        <v>162</v>
      </c>
      <c r="AP84" s="400" t="s">
        <v>162</v>
      </c>
      <c r="AQ84" s="400" t="s">
        <v>162</v>
      </c>
      <c r="AR84" s="400" t="s">
        <v>162</v>
      </c>
      <c r="AS84" s="400" t="s">
        <v>162</v>
      </c>
      <c r="AT84" s="400" t="s">
        <v>162</v>
      </c>
      <c r="AU84" s="400" t="s">
        <v>162</v>
      </c>
      <c r="AV84" s="400" t="s">
        <v>162</v>
      </c>
      <c r="AW84" s="409"/>
    </row>
    <row r="85">
      <c r="A85" s="122"/>
      <c r="B85" s="123"/>
      <c r="C85" s="123"/>
      <c r="D85" s="123"/>
      <c r="E85" s="140"/>
      <c r="F85" s="141"/>
      <c r="G85" s="144"/>
      <c r="H85" s="270"/>
      <c r="I85" s="528"/>
      <c r="J85" s="528"/>
      <c r="K85" s="528"/>
      <c r="L85" s="528"/>
      <c r="M85" s="528"/>
      <c r="N85" s="528"/>
      <c r="O85" s="528"/>
      <c r="P85" s="528"/>
      <c r="Q85" s="528"/>
      <c r="R85" s="528"/>
      <c r="S85" s="528"/>
      <c r="T85" s="528"/>
      <c r="U85" s="528"/>
      <c r="V85" s="528"/>
      <c r="W85" s="528"/>
      <c r="X85" s="528"/>
      <c r="Y85" s="528"/>
      <c r="Z85" s="528"/>
      <c r="AA85" s="528"/>
      <c r="AB85" s="528"/>
      <c r="AC85" s="528"/>
      <c r="AD85" s="528"/>
      <c r="AE85" s="528"/>
      <c r="AF85" s="528"/>
      <c r="AG85" s="528"/>
      <c r="AH85" s="528"/>
      <c r="AI85" s="528"/>
      <c r="AJ85" s="528"/>
      <c r="AK85" s="528"/>
      <c r="AL85" s="528"/>
      <c r="AM85" s="528"/>
      <c r="AN85" s="528"/>
      <c r="AO85" s="528"/>
      <c r="AP85" s="528"/>
      <c r="AQ85" s="528"/>
      <c r="AR85" s="528"/>
      <c r="AS85" s="528"/>
      <c r="AT85" s="528"/>
      <c r="AU85" s="528"/>
      <c r="AV85" s="528"/>
      <c r="AW85" s="130"/>
    </row>
  </sheetData>
  <mergeCells count="20">
    <mergeCell ref="I1:Q1"/>
    <mergeCell ref="R1:AE1"/>
    <mergeCell ref="AF1:AV1"/>
    <mergeCell ref="A3:E3"/>
    <mergeCell ref="A5:G5"/>
    <mergeCell ref="C6:E6"/>
    <mergeCell ref="C7:E7"/>
    <mergeCell ref="C67:E67"/>
    <mergeCell ref="C70:E70"/>
    <mergeCell ref="A73:G73"/>
    <mergeCell ref="C75:E75"/>
    <mergeCell ref="C79:E79"/>
    <mergeCell ref="C83:E83"/>
    <mergeCell ref="C17:E17"/>
    <mergeCell ref="C20:E20"/>
    <mergeCell ref="C30:E30"/>
    <mergeCell ref="C41:E41"/>
    <mergeCell ref="C51:E51"/>
    <mergeCell ref="A55:G55"/>
    <mergeCell ref="C57:E57"/>
  </mergeCells>
  <hyperlinks>
    <hyperlink display="Proportion of children in the New Incentives RCT control group who reported receiving the BCG vaccine" location="Inputs!E208" ref="E8"/>
    <hyperlink display="Proportion of children in the New Incentives RCT control group who reported receiving the 1st dose of the Penta vaccine" location="Inputs!E209" ref="E9"/>
    <hyperlink display="Proportion of children in the New Incentives RCT control group who reported receiving the 2nd dose of the Penta vaccine" location="Inputs!E210" ref="E10"/>
    <hyperlink display="Proportion of children in the New Incentives RCT control group who reported receiving the 3rd dose of the Penta vaccine" location="Inputs!E211" ref="E11"/>
    <hyperlink display="Proportion of children in the New Incentives RCT control group who reported receiving the 1st dose of the PCV vaccine" location="Inputs!E212" ref="E12"/>
    <hyperlink display="Proportion of children in the New Incentives RCT control group who reported receiving the 2nd dose of the PCV vaccine" location="Inputs!E213" ref="E13"/>
    <hyperlink display="Proportion of children in the New Incentives RCT control group who reported receiving the 3rd dose of the PCV vaccine" location="Inputs!E214" ref="E14"/>
    <hyperlink display="Proportion of children in the New Incentives RCT control group who reported receiving the measles vaccine" location="Inputs!E215" ref="E15"/>
    <hyperlink display="Adjustment for self-report bias in the New Incentives RCT" location="Inputs!E218" ref="E18"/>
    <hyperlink display="Proportion of vaccine-preventable mortalities among people under age 5 that could be prevented by the BCG vaccine" location="'Disease burden'!E388" ref="E31"/>
    <hyperlink display="Proportion of vaccine-preventable mortalities among people under age 5 that could be prevented by the 1st dose of the Penta vaccine" location="'Disease burden'!E389" ref="E32"/>
    <hyperlink display="Proportion of vaccine-preventable mortalities among people under age 5 that could be prevented by the 2nd dose of the Penta vaccine" location="'Disease burden'!E390" ref="E33"/>
    <hyperlink display="Proportion of vaccine-preventable mortalities among people under age 5 that could be prevented by the 3rd dose of the Penta vaccine" location="'Disease burden'!E391" ref="E34"/>
    <hyperlink display="Proportion of vaccine-preventable mortalities among people under age 5 that could be prevented by the 1st dose of the PCV vaccine" location="'Disease burden'!E392" ref="E35"/>
    <hyperlink display="Proportion of vaccine-preventable mortalities among people under age 5 that could be prevented by the 2nd dose of the PCV vaccine" location="'Disease burden'!E393" ref="E36"/>
    <hyperlink display="Proportion of vaccine-preventable mortalities among people under age 5 that could be prevented by the 3rd dose of the PCV vaccine" location="'Disease burden'!E394" ref="E37"/>
    <hyperlink display="Proportion of vaccine-preventable mortalities among people under age 5 that could be prevented by the 1st dose of the measles vaccine" location="'Disease burden'!E398" ref="E38"/>
    <hyperlink display="Proportion of vaccine-preventable mortalities among people under age 5 that could be prevented by the 2nd dose of the measles vaccine" location="'Disease burden'!E399" ref="E39"/>
    <hyperlink display="Increase in the proportion of children receiving the BCG vaccine" location="Inputs!E221" ref="E58"/>
    <hyperlink display="Increase in the proportion of children receiving the 1st dose of the Penta vaccine" location="Inputs!E222" ref="E59"/>
    <hyperlink display="Increase in the proportion of children receiving the 2nd dose of the Penta vaccine" location="Inputs!E223" ref="E60"/>
    <hyperlink display="Increase in the proportion of children receiving the 3rd dose of the Penta vaccine" location="Inputs!E224" ref="E61"/>
    <hyperlink display="Increase in the proportion of children receiving the 1st dose of the PCV vaccine" location="Inputs!E225" ref="E62"/>
    <hyperlink display="Increase in the proportion of children receiving the 2nd dose of the PCV vaccine" location="Inputs!E226" ref="E63"/>
    <hyperlink display="Increase in the proportion of children receiving the 3rd dose of the PCV vaccine" location="Inputs!E227" ref="E64"/>
    <hyperlink display="Increase in the proportion of children receiving the 1st dose of the measles vaccine" location="Inputs!E228" ref="E65"/>
    <hyperlink display="Reduction in the proportion of children who do not receive the second dose of the measles vaccine as a result of New Incentives' program, relative to the program's impact on the first dose" location="Inputs!E231" ref="E76"/>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5"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6"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530</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531</v>
      </c>
      <c r="F7" s="533"/>
      <c r="G7" s="534"/>
      <c r="H7" s="535"/>
      <c r="I7" s="536"/>
      <c r="J7" s="536"/>
      <c r="K7" s="536"/>
      <c r="L7" s="536"/>
      <c r="M7" s="536"/>
      <c r="N7" s="536"/>
      <c r="O7" s="536"/>
      <c r="P7" s="536"/>
      <c r="Q7" s="536"/>
      <c r="R7" s="536"/>
      <c r="S7" s="536"/>
      <c r="T7" s="536"/>
      <c r="U7" s="536"/>
      <c r="V7" s="536"/>
      <c r="W7" s="536"/>
      <c r="X7" s="536"/>
      <c r="Y7" s="536"/>
      <c r="Z7" s="536"/>
      <c r="AA7" s="536"/>
      <c r="AB7" s="536"/>
      <c r="AC7" s="536"/>
      <c r="AD7" s="536"/>
      <c r="AE7" s="536"/>
      <c r="AF7" s="536"/>
      <c r="AG7" s="536"/>
      <c r="AH7" s="536"/>
      <c r="AI7" s="536"/>
      <c r="AJ7" s="536"/>
      <c r="AK7" s="536"/>
      <c r="AL7" s="536"/>
      <c r="AM7" s="536"/>
      <c r="AN7" s="536"/>
      <c r="AO7" s="536"/>
      <c r="AP7" s="536"/>
      <c r="AQ7" s="536"/>
      <c r="AR7" s="536"/>
      <c r="AS7" s="536"/>
      <c r="AT7" s="536"/>
      <c r="AU7" s="536"/>
      <c r="AV7" s="536"/>
      <c r="AW7" s="537"/>
    </row>
    <row r="8">
      <c r="A8" s="122"/>
      <c r="B8" s="123"/>
      <c r="C8" s="538"/>
      <c r="D8" s="538"/>
      <c r="E8" s="254" t="s">
        <v>532</v>
      </c>
      <c r="F8" s="539" t="str">
        <f>Inputs!F111</f>
        <v>%</v>
      </c>
      <c r="G8" s="540" t="str">
        <f>Inputs!G111</f>
        <v>input</v>
      </c>
      <c r="H8" s="541" t="str">
        <f>Inputs!H111</f>
        <v>-</v>
      </c>
      <c r="I8" s="542">
        <f>Inputs!I111</f>
        <v>0.003629763</v>
      </c>
      <c r="J8" s="542">
        <f>Inputs!J111</f>
        <v>0.001693533</v>
      </c>
      <c r="K8" s="542">
        <f>Inputs!K111</f>
        <v>0.004321809</v>
      </c>
      <c r="L8" s="542">
        <f>Inputs!L111</f>
        <v>0.000876042</v>
      </c>
      <c r="M8" s="542">
        <f>Inputs!M111</f>
        <v>0.001723095</v>
      </c>
      <c r="N8" s="542">
        <f>Inputs!N111</f>
        <v>0.002687563</v>
      </c>
      <c r="O8" s="542">
        <f>Inputs!O111</f>
        <v>0.002755632</v>
      </c>
      <c r="P8" s="542">
        <f>Inputs!P111</f>
        <v>0.004692335</v>
      </c>
      <c r="Q8" s="542">
        <f>Inputs!Q111</f>
        <v>0.005920174</v>
      </c>
      <c r="R8" s="542">
        <f>Inputs!R111</f>
        <v>0.000340487</v>
      </c>
      <c r="S8" s="542">
        <f>Inputs!S111</f>
        <v>0.001242071</v>
      </c>
      <c r="T8" s="542">
        <f>Inputs!T111</f>
        <v>0.000232857</v>
      </c>
      <c r="U8" s="542">
        <f>Inputs!U111</f>
        <v>0.000236873</v>
      </c>
      <c r="V8" s="542">
        <f>Inputs!V111</f>
        <v>0.000342083</v>
      </c>
      <c r="W8" s="542">
        <f>Inputs!W111</f>
        <v>0.000561141</v>
      </c>
      <c r="X8" s="542">
        <f>Inputs!X111</f>
        <v>0.000540748</v>
      </c>
      <c r="Y8" s="542">
        <f>Inputs!Y111</f>
        <v>0.000308884</v>
      </c>
      <c r="Z8" s="542">
        <f>Inputs!Z111</f>
        <v>0.00034876</v>
      </c>
      <c r="AA8" s="542">
        <f>Inputs!AA111</f>
        <v>0.000484387</v>
      </c>
      <c r="AB8" s="542">
        <f>Inputs!AB111</f>
        <v>0.000327009</v>
      </c>
      <c r="AC8" s="542">
        <f>Inputs!AC111</f>
        <v>0.000293915</v>
      </c>
      <c r="AD8" s="542">
        <f>Inputs!AD111</f>
        <v>0.000173117</v>
      </c>
      <c r="AE8" s="542">
        <f>Inputs!AE111</f>
        <v>0.000302269</v>
      </c>
      <c r="AF8" s="542">
        <f>Inputs!AF111</f>
        <v>0.000186819</v>
      </c>
      <c r="AG8" s="542">
        <f>Inputs!AG111</f>
        <v>0.000876042</v>
      </c>
      <c r="AH8" s="542">
        <f>Inputs!AH111</f>
        <v>0.000243976</v>
      </c>
      <c r="AI8" s="542">
        <f>Inputs!AI111</f>
        <v>0.000189327</v>
      </c>
      <c r="AJ8" s="542">
        <f>Inputs!AJ111</f>
        <v>0.000125611</v>
      </c>
      <c r="AK8" s="542">
        <f>Inputs!AK111</f>
        <v>0.000519729</v>
      </c>
      <c r="AL8" s="542">
        <f>Inputs!AL111</f>
        <v>0.000903152</v>
      </c>
      <c r="AM8" s="542">
        <f>Inputs!AM111</f>
        <v>0.000903152</v>
      </c>
      <c r="AN8" s="542">
        <f>Inputs!AN111</f>
        <v>0.000903152</v>
      </c>
      <c r="AO8" s="542">
        <f>Inputs!AO111</f>
        <v>0.00024853</v>
      </c>
      <c r="AP8" s="542">
        <f>Inputs!AP111</f>
        <v>0.000298102</v>
      </c>
      <c r="AQ8" s="542">
        <f>Inputs!AQ111</f>
        <v>0.000132551</v>
      </c>
      <c r="AR8" s="542">
        <f>Inputs!AR111</f>
        <v>0.000138701</v>
      </c>
      <c r="AS8" s="542">
        <f>Inputs!AS111</f>
        <v>0.000383821</v>
      </c>
      <c r="AT8" s="542">
        <f>Inputs!AT111</f>
        <v>0.000322044</v>
      </c>
      <c r="AU8" s="542">
        <f>Inputs!AU111</f>
        <v>0.001380717</v>
      </c>
      <c r="AV8" s="542">
        <f>Inputs!AV111</f>
        <v>0.00187352</v>
      </c>
      <c r="AW8" s="543"/>
    </row>
    <row r="9">
      <c r="A9" s="122"/>
      <c r="B9" s="123"/>
      <c r="C9" s="538"/>
      <c r="D9" s="538"/>
      <c r="E9" s="254" t="s">
        <v>533</v>
      </c>
      <c r="F9" s="539" t="str">
        <f>Inputs!F112</f>
        <v>%</v>
      </c>
      <c r="G9" s="540" t="str">
        <f>Inputs!G112</f>
        <v>input</v>
      </c>
      <c r="H9" s="541" t="str">
        <f>Inputs!H112</f>
        <v>-</v>
      </c>
      <c r="I9" s="542">
        <f>Inputs!I112</f>
        <v>0.000531146</v>
      </c>
      <c r="J9" s="542">
        <f>Inputs!J112</f>
        <v>0.000260845</v>
      </c>
      <c r="K9" s="542">
        <f>Inputs!K112</f>
        <v>0.000599109</v>
      </c>
      <c r="L9" s="542">
        <f>Inputs!L112</f>
        <v>0.000139527</v>
      </c>
      <c r="M9" s="542">
        <f>Inputs!M112</f>
        <v>0.000283003</v>
      </c>
      <c r="N9" s="542">
        <f>Inputs!N112</f>
        <v>0.000411465</v>
      </c>
      <c r="O9" s="542">
        <f>Inputs!O112</f>
        <v>0.000446374</v>
      </c>
      <c r="P9" s="542">
        <f>Inputs!P112</f>
        <v>0.000662009</v>
      </c>
      <c r="Q9" s="542">
        <f>Inputs!Q112</f>
        <v>0.000743129</v>
      </c>
      <c r="R9" s="542">
        <f>Inputs!R112</f>
        <v>0.0000621</v>
      </c>
      <c r="S9" s="542">
        <f>Inputs!S112</f>
        <v>0.000209726</v>
      </c>
      <c r="T9" s="542">
        <f>Inputs!T112</f>
        <v>0.0000557</v>
      </c>
      <c r="U9" s="542">
        <f>Inputs!U112</f>
        <v>0.0000609</v>
      </c>
      <c r="V9" s="542">
        <f>Inputs!V112</f>
        <v>0.0000631</v>
      </c>
      <c r="W9" s="542">
        <f>Inputs!W112</f>
        <v>0.000151165</v>
      </c>
      <c r="X9" s="542">
        <f>Inputs!X112</f>
        <v>0.000139579</v>
      </c>
      <c r="Y9" s="542">
        <f>Inputs!Y112</f>
        <v>0.0000649</v>
      </c>
      <c r="Z9" s="542">
        <f>Inputs!Z112</f>
        <v>0.000076</v>
      </c>
      <c r="AA9" s="542">
        <f>Inputs!AA112</f>
        <v>0.000116521</v>
      </c>
      <c r="AB9" s="542">
        <f>Inputs!AB112</f>
        <v>0.0000615</v>
      </c>
      <c r="AC9" s="542">
        <f>Inputs!AC112</f>
        <v>0.0000564</v>
      </c>
      <c r="AD9" s="542">
        <f>Inputs!AD112</f>
        <v>0.0000595</v>
      </c>
      <c r="AE9" s="542">
        <f>Inputs!AE112</f>
        <v>0.0000768</v>
      </c>
      <c r="AF9" s="542">
        <f>Inputs!AF112</f>
        <v>0.0000532</v>
      </c>
      <c r="AG9" s="542">
        <f>Inputs!AG112</f>
        <v>0.000139527</v>
      </c>
      <c r="AH9" s="542">
        <f>Inputs!AH112</f>
        <v>0.0000579</v>
      </c>
      <c r="AI9" s="542">
        <f>Inputs!AI112</f>
        <v>0.0000545</v>
      </c>
      <c r="AJ9" s="542">
        <f>Inputs!AJ112</f>
        <v>0.0000473</v>
      </c>
      <c r="AK9" s="542">
        <f>Inputs!AK112</f>
        <v>0.000116059</v>
      </c>
      <c r="AL9" s="542">
        <f>Inputs!AL112</f>
        <v>0.000179674</v>
      </c>
      <c r="AM9" s="542">
        <f>Inputs!AM112</f>
        <v>0.000179674</v>
      </c>
      <c r="AN9" s="542">
        <f>Inputs!AN112</f>
        <v>0.000179674</v>
      </c>
      <c r="AO9" s="542">
        <f>Inputs!AO112</f>
        <v>0.0000743</v>
      </c>
      <c r="AP9" s="542">
        <f>Inputs!AP112</f>
        <v>0.0000696</v>
      </c>
      <c r="AQ9" s="542">
        <f>Inputs!AQ112</f>
        <v>0.0000391</v>
      </c>
      <c r="AR9" s="542">
        <f>Inputs!AR112</f>
        <v>0.0000329</v>
      </c>
      <c r="AS9" s="542">
        <f>Inputs!AS112</f>
        <v>0.000114084</v>
      </c>
      <c r="AT9" s="542">
        <f>Inputs!AT112</f>
        <v>0.0000651</v>
      </c>
      <c r="AU9" s="542">
        <f>Inputs!AU112</f>
        <v>0.000235176</v>
      </c>
      <c r="AV9" s="542">
        <f>Inputs!AV112</f>
        <v>0.000388626</v>
      </c>
      <c r="AW9" s="543"/>
    </row>
    <row r="10">
      <c r="A10" s="122"/>
      <c r="B10" s="123"/>
      <c r="C10" s="538"/>
      <c r="D10" s="538"/>
      <c r="E10" s="254" t="s">
        <v>534</v>
      </c>
      <c r="F10" s="539" t="str">
        <f>Inputs!F113</f>
        <v>%</v>
      </c>
      <c r="G10" s="540" t="str">
        <f>Inputs!G113</f>
        <v>input</v>
      </c>
      <c r="H10" s="541" t="str">
        <f>Inputs!H113</f>
        <v>-</v>
      </c>
      <c r="I10" s="542">
        <f>Inputs!I113</f>
        <v>0.007150253</v>
      </c>
      <c r="J10" s="542">
        <f>Inputs!J113</f>
        <v>0.004007767</v>
      </c>
      <c r="K10" s="542">
        <f>Inputs!K113</f>
        <v>0.008685948</v>
      </c>
      <c r="L10" s="542">
        <f>Inputs!L113</f>
        <v>0.002843472</v>
      </c>
      <c r="M10" s="542">
        <f>Inputs!M113</f>
        <v>0.003815045</v>
      </c>
      <c r="N10" s="542">
        <f>Inputs!N113</f>
        <v>0.006867301</v>
      </c>
      <c r="O10" s="542">
        <f>Inputs!O113</f>
        <v>0.007345394</v>
      </c>
      <c r="P10" s="542">
        <f>Inputs!P113</f>
        <v>0.010104002</v>
      </c>
      <c r="Q10" s="542">
        <f>Inputs!Q113</f>
        <v>0.008822924</v>
      </c>
      <c r="R10" s="542">
        <f>Inputs!R113</f>
        <v>0.001712444</v>
      </c>
      <c r="S10" s="542">
        <f>Inputs!S113</f>
        <v>0.003254575</v>
      </c>
      <c r="T10" s="542">
        <f>Inputs!T113</f>
        <v>0.001947567</v>
      </c>
      <c r="U10" s="542">
        <f>Inputs!U113</f>
        <v>0.001891574</v>
      </c>
      <c r="V10" s="542">
        <f>Inputs!V113</f>
        <v>0.002199333</v>
      </c>
      <c r="W10" s="542">
        <f>Inputs!W113</f>
        <v>0.00325216</v>
      </c>
      <c r="X10" s="542">
        <f>Inputs!X113</f>
        <v>0.002925094</v>
      </c>
      <c r="Y10" s="542">
        <f>Inputs!Y113</f>
        <v>0.002153522</v>
      </c>
      <c r="Z10" s="542">
        <f>Inputs!Z113</f>
        <v>0.002148009</v>
      </c>
      <c r="AA10" s="542">
        <f>Inputs!AA113</f>
        <v>0.002777193</v>
      </c>
      <c r="AB10" s="542">
        <f>Inputs!AB113</f>
        <v>0.002017867</v>
      </c>
      <c r="AC10" s="542">
        <f>Inputs!AC113</f>
        <v>0.001820839</v>
      </c>
      <c r="AD10" s="542">
        <f>Inputs!AD113</f>
        <v>0.00191537</v>
      </c>
      <c r="AE10" s="542">
        <f>Inputs!AE113</f>
        <v>0.001753646</v>
      </c>
      <c r="AF10" s="542">
        <f>Inputs!AF113</f>
        <v>0.00167821</v>
      </c>
      <c r="AG10" s="542">
        <f>Inputs!AG113</f>
        <v>0.002843472</v>
      </c>
      <c r="AH10" s="542">
        <f>Inputs!AH113</f>
        <v>0.002003066</v>
      </c>
      <c r="AI10" s="542">
        <f>Inputs!AI113</f>
        <v>0.002403157</v>
      </c>
      <c r="AJ10" s="542">
        <f>Inputs!AJ113</f>
        <v>0.001213453</v>
      </c>
      <c r="AK10" s="542">
        <f>Inputs!AK113</f>
        <v>0.003105895</v>
      </c>
      <c r="AL10" s="542">
        <f>Inputs!AL113</f>
        <v>0.003950397</v>
      </c>
      <c r="AM10" s="542">
        <f>Inputs!AM113</f>
        <v>0.003950397</v>
      </c>
      <c r="AN10" s="542">
        <f>Inputs!AN113</f>
        <v>0.003950397</v>
      </c>
      <c r="AO10" s="542">
        <f>Inputs!AO113</f>
        <v>0.00235567</v>
      </c>
      <c r="AP10" s="542">
        <f>Inputs!AP113</f>
        <v>0.002089846</v>
      </c>
      <c r="AQ10" s="542">
        <f>Inputs!AQ113</f>
        <v>0.001299033</v>
      </c>
      <c r="AR10" s="542">
        <f>Inputs!AR113</f>
        <v>0.001446772</v>
      </c>
      <c r="AS10" s="542">
        <f>Inputs!AS113</f>
        <v>0.00310694</v>
      </c>
      <c r="AT10" s="542">
        <f>Inputs!AT113</f>
        <v>0.001856172</v>
      </c>
      <c r="AU10" s="542">
        <f>Inputs!AU113</f>
        <v>0.004273474</v>
      </c>
      <c r="AV10" s="542">
        <f>Inputs!AV113</f>
        <v>0.006708114</v>
      </c>
      <c r="AW10" s="543"/>
    </row>
    <row r="11">
      <c r="A11" s="122"/>
      <c r="B11" s="123"/>
      <c r="C11" s="538"/>
      <c r="D11" s="538"/>
      <c r="E11" s="490" t="s">
        <v>535</v>
      </c>
      <c r="F11" s="544" t="str">
        <f>Inputs!F114</f>
        <v>%</v>
      </c>
      <c r="G11" s="545" t="str">
        <f>Inputs!G114</f>
        <v>input</v>
      </c>
      <c r="H11" s="546" t="str">
        <f>Inputs!H114</f>
        <v>-</v>
      </c>
      <c r="I11" s="547">
        <f>Inputs!I114</f>
        <v>0.049361812</v>
      </c>
      <c r="J11" s="547">
        <f>Inputs!J114</f>
        <v>0.030242318</v>
      </c>
      <c r="K11" s="547">
        <f>Inputs!K114</f>
        <v>0.052337352</v>
      </c>
      <c r="L11" s="542">
        <f>Inputs!L114</f>
        <v>0.017468647</v>
      </c>
      <c r="M11" s="547">
        <f>Inputs!M114</f>
        <v>0.024547523</v>
      </c>
      <c r="N11" s="547">
        <f>Inputs!N114</f>
        <v>0.043092487</v>
      </c>
      <c r="O11" s="547">
        <f>Inputs!O114</f>
        <v>0.052878712</v>
      </c>
      <c r="P11" s="547">
        <f>Inputs!P114</f>
        <v>0.055929714</v>
      </c>
      <c r="Q11" s="547">
        <f>Inputs!Q114</f>
        <v>0.065277222</v>
      </c>
      <c r="R11" s="547">
        <f>Inputs!R114</f>
        <v>0.012599879</v>
      </c>
      <c r="S11" s="547">
        <f>Inputs!S114</f>
        <v>0.023004763</v>
      </c>
      <c r="T11" s="547">
        <f>Inputs!T114</f>
        <v>0.013029136</v>
      </c>
      <c r="U11" s="547">
        <f>Inputs!U114</f>
        <v>0.012334946</v>
      </c>
      <c r="V11" s="547">
        <f>Inputs!V114</f>
        <v>0.014655927</v>
      </c>
      <c r="W11" s="547">
        <f>Inputs!W114</f>
        <v>0.021009252</v>
      </c>
      <c r="X11" s="547">
        <f>Inputs!X114</f>
        <v>0.022167906</v>
      </c>
      <c r="Y11" s="547">
        <f>Inputs!Y114</f>
        <v>0.014441764</v>
      </c>
      <c r="Z11" s="547">
        <f>Inputs!Z114</f>
        <v>0.011944601</v>
      </c>
      <c r="AA11" s="547">
        <f>Inputs!AA114</f>
        <v>0.01787577</v>
      </c>
      <c r="AB11" s="547">
        <f>Inputs!AB114</f>
        <v>0.01091559</v>
      </c>
      <c r="AC11" s="547">
        <f>Inputs!AC114</f>
        <v>0.012048696</v>
      </c>
      <c r="AD11" s="547">
        <f>Inputs!AD114</f>
        <v>0.013674896</v>
      </c>
      <c r="AE11" s="547">
        <f>Inputs!AE114</f>
        <v>0.00979287</v>
      </c>
      <c r="AF11" s="547">
        <f>Inputs!AF114</f>
        <v>0.011610331</v>
      </c>
      <c r="AG11" s="547">
        <f>Inputs!AG114</f>
        <v>0.017468647</v>
      </c>
      <c r="AH11" s="547">
        <f>Inputs!AH114</f>
        <v>0.015085468</v>
      </c>
      <c r="AI11" s="547">
        <f>Inputs!AI114</f>
        <v>0.013966852</v>
      </c>
      <c r="AJ11" s="547">
        <f>Inputs!AJ114</f>
        <v>0.007392705</v>
      </c>
      <c r="AK11" s="547">
        <f>Inputs!AK114</f>
        <v>0.015409974</v>
      </c>
      <c r="AL11" s="547">
        <f>Inputs!AL114</f>
        <v>0.024823515</v>
      </c>
      <c r="AM11" s="547">
        <f>Inputs!AM114</f>
        <v>0.024823515</v>
      </c>
      <c r="AN11" s="547">
        <f>Inputs!AN114</f>
        <v>0.024823515</v>
      </c>
      <c r="AO11" s="547">
        <f>Inputs!AO114</f>
        <v>0.015866669</v>
      </c>
      <c r="AP11" s="547">
        <f>Inputs!AP114</f>
        <v>0.01415755</v>
      </c>
      <c r="AQ11" s="547">
        <f>Inputs!AQ114</f>
        <v>0.011586001</v>
      </c>
      <c r="AR11" s="547">
        <f>Inputs!AR114</f>
        <v>0.008549682</v>
      </c>
      <c r="AS11" s="547">
        <f>Inputs!AS114</f>
        <v>0.015257187</v>
      </c>
      <c r="AT11" s="547">
        <f>Inputs!AT114</f>
        <v>0.011869172</v>
      </c>
      <c r="AU11" s="547">
        <f>Inputs!AU114</f>
        <v>0.020851106</v>
      </c>
      <c r="AV11" s="547">
        <f>Inputs!AV114</f>
        <v>0.043770944</v>
      </c>
      <c r="AW11" s="548"/>
    </row>
    <row r="12">
      <c r="A12" s="122"/>
      <c r="B12" s="123"/>
      <c r="C12" s="143"/>
      <c r="D12" s="143"/>
      <c r="E12" s="269"/>
      <c r="F12" s="533"/>
      <c r="G12" s="534"/>
      <c r="H12" s="127"/>
      <c r="I12" s="482"/>
      <c r="J12" s="482"/>
      <c r="K12" s="482"/>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132"/>
    </row>
    <row r="13">
      <c r="A13" s="122"/>
      <c r="B13" s="123"/>
      <c r="C13" s="143" t="s">
        <v>536</v>
      </c>
      <c r="F13" s="143"/>
      <c r="G13" s="533"/>
      <c r="H13" s="188"/>
      <c r="I13" s="549"/>
      <c r="J13" s="549"/>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132"/>
    </row>
    <row r="14">
      <c r="A14" s="122"/>
      <c r="B14" s="123"/>
      <c r="C14" s="538"/>
      <c r="D14" s="538"/>
      <c r="E14" s="254" t="s">
        <v>537</v>
      </c>
      <c r="F14" s="539" t="s">
        <v>72</v>
      </c>
      <c r="G14" s="539" t="s">
        <v>165</v>
      </c>
      <c r="H14" s="208">
        <f>Inputs!H115</f>
        <v>0</v>
      </c>
      <c r="I14" s="299" t="str">
        <f>Inputs!I115</f>
        <v>-</v>
      </c>
      <c r="J14" s="299" t="str">
        <f>Inputs!J115</f>
        <v>-</v>
      </c>
      <c r="K14" s="299" t="str">
        <f>Inputs!K115</f>
        <v>-</v>
      </c>
      <c r="L14" s="299" t="str">
        <f>Inputs!L115</f>
        <v>-</v>
      </c>
      <c r="M14" s="299" t="str">
        <f>Inputs!M115</f>
        <v>-</v>
      </c>
      <c r="N14" s="299" t="str">
        <f>Inputs!N115</f>
        <v>-</v>
      </c>
      <c r="O14" s="299" t="str">
        <f>Inputs!O115</f>
        <v>-</v>
      </c>
      <c r="P14" s="299" t="str">
        <f>Inputs!P115</f>
        <v>-</v>
      </c>
      <c r="Q14" s="299" t="str">
        <f>Inputs!Q115</f>
        <v>-</v>
      </c>
      <c r="R14" s="299" t="str">
        <f>Inputs!R115</f>
        <v>-</v>
      </c>
      <c r="S14" s="299" t="str">
        <f>Inputs!S115</f>
        <v>-</v>
      </c>
      <c r="T14" s="299" t="str">
        <f>Inputs!T115</f>
        <v>-</v>
      </c>
      <c r="U14" s="299" t="str">
        <f>Inputs!U115</f>
        <v>-</v>
      </c>
      <c r="V14" s="299" t="str">
        <f>Inputs!V115</f>
        <v>-</v>
      </c>
      <c r="W14" s="299" t="str">
        <f>Inputs!W115</f>
        <v>-</v>
      </c>
      <c r="X14" s="299" t="str">
        <f>Inputs!X115</f>
        <v>-</v>
      </c>
      <c r="Y14" s="299" t="str">
        <f>Inputs!Y115</f>
        <v>-</v>
      </c>
      <c r="Z14" s="299" t="str">
        <f>Inputs!Z115</f>
        <v>-</v>
      </c>
      <c r="AA14" s="299" t="str">
        <f>Inputs!AA115</f>
        <v>-</v>
      </c>
      <c r="AB14" s="299" t="str">
        <f>Inputs!AB115</f>
        <v>-</v>
      </c>
      <c r="AC14" s="299" t="str">
        <f>Inputs!AC115</f>
        <v>-</v>
      </c>
      <c r="AD14" s="299" t="str">
        <f>Inputs!AD115</f>
        <v>-</v>
      </c>
      <c r="AE14" s="299" t="str">
        <f>Inputs!AE115</f>
        <v>-</v>
      </c>
      <c r="AF14" s="299" t="str">
        <f>Inputs!AF115</f>
        <v>-</v>
      </c>
      <c r="AG14" s="299" t="str">
        <f>Inputs!AG115</f>
        <v>-</v>
      </c>
      <c r="AH14" s="299" t="str">
        <f>Inputs!AH115</f>
        <v>-</v>
      </c>
      <c r="AI14" s="299" t="str">
        <f>Inputs!AI115</f>
        <v>-</v>
      </c>
      <c r="AJ14" s="299" t="str">
        <f>Inputs!AJ115</f>
        <v>-</v>
      </c>
      <c r="AK14" s="299" t="str">
        <f>Inputs!AK115</f>
        <v>-</v>
      </c>
      <c r="AL14" s="299" t="str">
        <f>Inputs!AL115</f>
        <v>-</v>
      </c>
      <c r="AM14" s="299" t="str">
        <f>Inputs!AM115</f>
        <v>-</v>
      </c>
      <c r="AN14" s="299" t="str">
        <f>Inputs!AN115</f>
        <v>-</v>
      </c>
      <c r="AO14" s="299" t="str">
        <f>Inputs!AO115</f>
        <v>-</v>
      </c>
      <c r="AP14" s="299" t="str">
        <f>Inputs!AP115</f>
        <v>-</v>
      </c>
      <c r="AQ14" s="299" t="str">
        <f>Inputs!AQ115</f>
        <v>-</v>
      </c>
      <c r="AR14" s="299" t="str">
        <f>Inputs!AR115</f>
        <v>-</v>
      </c>
      <c r="AS14" s="299" t="str">
        <f>Inputs!AS115</f>
        <v>-</v>
      </c>
      <c r="AT14" s="299" t="str">
        <f>Inputs!AT115</f>
        <v>-</v>
      </c>
      <c r="AU14" s="299" t="str">
        <f>Inputs!AU115</f>
        <v>-</v>
      </c>
      <c r="AV14" s="299" t="str">
        <f>Inputs!AV115</f>
        <v>-</v>
      </c>
      <c r="AW14" s="550"/>
    </row>
    <row r="15">
      <c r="A15" s="122"/>
      <c r="B15" s="123"/>
      <c r="C15" s="538"/>
      <c r="D15" s="538"/>
      <c r="E15" s="490" t="s">
        <v>538</v>
      </c>
      <c r="F15" s="544" t="s">
        <v>72</v>
      </c>
      <c r="G15" s="545" t="s">
        <v>161</v>
      </c>
      <c r="H15" s="551" t="s">
        <v>162</v>
      </c>
      <c r="I15" s="547">
        <f t="shared" ref="I15:AV15" si="1">I8*(1-$H14)</f>
        <v>0.003629763</v>
      </c>
      <c r="J15" s="547">
        <f t="shared" si="1"/>
        <v>0.001693533</v>
      </c>
      <c r="K15" s="547">
        <f t="shared" si="1"/>
        <v>0.004321809</v>
      </c>
      <c r="L15" s="547">
        <f t="shared" si="1"/>
        <v>0.000876042</v>
      </c>
      <c r="M15" s="547">
        <f t="shared" si="1"/>
        <v>0.001723095</v>
      </c>
      <c r="N15" s="547">
        <f t="shared" si="1"/>
        <v>0.002687563</v>
      </c>
      <c r="O15" s="547">
        <f t="shared" si="1"/>
        <v>0.002755632</v>
      </c>
      <c r="P15" s="547">
        <f t="shared" si="1"/>
        <v>0.004692335</v>
      </c>
      <c r="Q15" s="547">
        <f t="shared" si="1"/>
        <v>0.005920174</v>
      </c>
      <c r="R15" s="547">
        <f t="shared" si="1"/>
        <v>0.000340487</v>
      </c>
      <c r="S15" s="547">
        <f t="shared" si="1"/>
        <v>0.001242071</v>
      </c>
      <c r="T15" s="547">
        <f t="shared" si="1"/>
        <v>0.000232857</v>
      </c>
      <c r="U15" s="547">
        <f t="shared" si="1"/>
        <v>0.000236873</v>
      </c>
      <c r="V15" s="547">
        <f t="shared" si="1"/>
        <v>0.000342083</v>
      </c>
      <c r="W15" s="547">
        <f t="shared" si="1"/>
        <v>0.000561141</v>
      </c>
      <c r="X15" s="547">
        <f t="shared" si="1"/>
        <v>0.000540748</v>
      </c>
      <c r="Y15" s="547">
        <f t="shared" si="1"/>
        <v>0.000308884</v>
      </c>
      <c r="Z15" s="547">
        <f t="shared" si="1"/>
        <v>0.00034876</v>
      </c>
      <c r="AA15" s="547">
        <f t="shared" si="1"/>
        <v>0.000484387</v>
      </c>
      <c r="AB15" s="547">
        <f t="shared" si="1"/>
        <v>0.000327009</v>
      </c>
      <c r="AC15" s="547">
        <f t="shared" si="1"/>
        <v>0.000293915</v>
      </c>
      <c r="AD15" s="547">
        <f t="shared" si="1"/>
        <v>0.000173117</v>
      </c>
      <c r="AE15" s="547">
        <f t="shared" si="1"/>
        <v>0.000302269</v>
      </c>
      <c r="AF15" s="547">
        <f t="shared" si="1"/>
        <v>0.000186819</v>
      </c>
      <c r="AG15" s="547">
        <f t="shared" si="1"/>
        <v>0.000876042</v>
      </c>
      <c r="AH15" s="547">
        <f t="shared" si="1"/>
        <v>0.000243976</v>
      </c>
      <c r="AI15" s="547">
        <f t="shared" si="1"/>
        <v>0.000189327</v>
      </c>
      <c r="AJ15" s="547">
        <f t="shared" si="1"/>
        <v>0.000125611</v>
      </c>
      <c r="AK15" s="547">
        <f t="shared" si="1"/>
        <v>0.000519729</v>
      </c>
      <c r="AL15" s="547">
        <f t="shared" si="1"/>
        <v>0.000903152</v>
      </c>
      <c r="AM15" s="547">
        <f t="shared" si="1"/>
        <v>0.000903152</v>
      </c>
      <c r="AN15" s="547">
        <f t="shared" si="1"/>
        <v>0.000903152</v>
      </c>
      <c r="AO15" s="547">
        <f t="shared" si="1"/>
        <v>0.00024853</v>
      </c>
      <c r="AP15" s="547">
        <f t="shared" si="1"/>
        <v>0.000298102</v>
      </c>
      <c r="AQ15" s="547">
        <f t="shared" si="1"/>
        <v>0.000132551</v>
      </c>
      <c r="AR15" s="547">
        <f t="shared" si="1"/>
        <v>0.000138701</v>
      </c>
      <c r="AS15" s="547">
        <f t="shared" si="1"/>
        <v>0.000383821</v>
      </c>
      <c r="AT15" s="547">
        <f t="shared" si="1"/>
        <v>0.000322044</v>
      </c>
      <c r="AU15" s="547">
        <f t="shared" si="1"/>
        <v>0.001380717</v>
      </c>
      <c r="AV15" s="547">
        <f t="shared" si="1"/>
        <v>0.00187352</v>
      </c>
      <c r="AW15" s="548"/>
    </row>
    <row r="16">
      <c r="A16" s="122"/>
      <c r="B16" s="123"/>
      <c r="C16" s="143"/>
      <c r="D16" s="143"/>
      <c r="E16" s="269"/>
      <c r="F16" s="533"/>
      <c r="G16" s="534"/>
      <c r="H16" s="127"/>
      <c r="I16" s="482"/>
      <c r="J16" s="482"/>
      <c r="K16" s="482"/>
      <c r="L16" s="482"/>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132"/>
    </row>
    <row r="17">
      <c r="A17" s="117" t="s">
        <v>539</v>
      </c>
      <c r="B17" s="7"/>
      <c r="C17" s="7"/>
      <c r="D17" s="7"/>
      <c r="E17" s="7"/>
      <c r="F17" s="7"/>
      <c r="G17" s="7"/>
      <c r="H17" s="118"/>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121"/>
    </row>
    <row r="18">
      <c r="A18" s="122"/>
      <c r="B18" s="123"/>
      <c r="C18" s="538"/>
      <c r="D18" s="538"/>
      <c r="E18" s="269"/>
      <c r="F18" s="533"/>
      <c r="G18" s="534"/>
      <c r="H18" s="127"/>
      <c r="I18" s="552"/>
      <c r="J18" s="552"/>
      <c r="K18" s="552"/>
      <c r="L18" s="552"/>
      <c r="M18" s="552"/>
      <c r="N18" s="552"/>
      <c r="O18" s="552"/>
      <c r="P18" s="552"/>
      <c r="Q18" s="552"/>
      <c r="R18" s="549"/>
      <c r="S18" s="552"/>
      <c r="T18" s="552"/>
      <c r="U18" s="552"/>
      <c r="V18" s="552"/>
      <c r="W18" s="552"/>
      <c r="X18" s="552"/>
      <c r="Y18" s="552"/>
      <c r="Z18" s="552"/>
      <c r="AA18" s="552"/>
      <c r="AB18" s="552"/>
      <c r="AC18" s="552"/>
      <c r="AD18" s="552"/>
      <c r="AE18" s="552"/>
      <c r="AF18" s="552"/>
      <c r="AG18" s="552"/>
      <c r="AH18" s="552"/>
      <c r="AI18" s="552"/>
      <c r="AJ18" s="552"/>
      <c r="AK18" s="552"/>
      <c r="AL18" s="552"/>
      <c r="AM18" s="552"/>
      <c r="AN18" s="552"/>
      <c r="AO18" s="552"/>
      <c r="AP18" s="552"/>
      <c r="AQ18" s="552"/>
      <c r="AR18" s="552"/>
      <c r="AS18" s="552"/>
      <c r="AT18" s="552"/>
      <c r="AU18" s="552"/>
      <c r="AV18" s="552"/>
      <c r="AW18" s="553"/>
    </row>
    <row r="19">
      <c r="A19" s="122"/>
      <c r="B19" s="123"/>
      <c r="C19" s="143" t="s">
        <v>540</v>
      </c>
      <c r="F19" s="533"/>
      <c r="G19" s="534"/>
      <c r="H19" s="127"/>
      <c r="I19" s="552"/>
      <c r="J19" s="552"/>
      <c r="K19" s="552"/>
      <c r="L19" s="552"/>
      <c r="M19" s="552"/>
      <c r="N19" s="552"/>
      <c r="O19" s="552"/>
      <c r="P19" s="552"/>
      <c r="Q19" s="552"/>
      <c r="R19" s="552"/>
      <c r="S19" s="552"/>
      <c r="T19" s="552"/>
      <c r="U19" s="552"/>
      <c r="V19" s="552"/>
      <c r="W19" s="552"/>
      <c r="X19" s="552"/>
      <c r="Y19" s="552"/>
      <c r="Z19" s="552"/>
      <c r="AA19" s="552"/>
      <c r="AB19" s="552"/>
      <c r="AC19" s="552"/>
      <c r="AD19" s="552"/>
      <c r="AE19" s="552"/>
      <c r="AF19" s="552"/>
      <c r="AG19" s="552"/>
      <c r="AH19" s="552"/>
      <c r="AI19" s="552"/>
      <c r="AJ19" s="552"/>
      <c r="AK19" s="552"/>
      <c r="AL19" s="552"/>
      <c r="AM19" s="552"/>
      <c r="AN19" s="552"/>
      <c r="AO19" s="552"/>
      <c r="AP19" s="552"/>
      <c r="AQ19" s="552"/>
      <c r="AR19" s="552"/>
      <c r="AS19" s="552"/>
      <c r="AT19" s="552"/>
      <c r="AU19" s="552"/>
      <c r="AV19" s="552"/>
      <c r="AW19" s="553"/>
    </row>
    <row r="20">
      <c r="A20" s="122"/>
      <c r="B20" s="123"/>
      <c r="C20" s="538"/>
      <c r="D20" s="538"/>
      <c r="E20" s="254" t="s">
        <v>541</v>
      </c>
      <c r="F20" s="539" t="s">
        <v>72</v>
      </c>
      <c r="G20" s="540" t="s">
        <v>165</v>
      </c>
      <c r="H20" s="541" t="str">
        <f>Inputs!H118</f>
        <v>-</v>
      </c>
      <c r="I20" s="542">
        <f>Inputs!I118</f>
        <v>0.000501357</v>
      </c>
      <c r="J20" s="542">
        <f>Inputs!J118</f>
        <v>0.000347103</v>
      </c>
      <c r="K20" s="542">
        <f>Inputs!K118</f>
        <v>0.000579052</v>
      </c>
      <c r="L20" s="542">
        <f>Inputs!L118</f>
        <v>0.000105863</v>
      </c>
      <c r="M20" s="542">
        <f>Inputs!M118</f>
        <v>0.000247733</v>
      </c>
      <c r="N20" s="542">
        <f>Inputs!N118</f>
        <v>0.000380731</v>
      </c>
      <c r="O20" s="542">
        <f>Inputs!O118</f>
        <v>0.000728763</v>
      </c>
      <c r="P20" s="542">
        <f>Inputs!P118</f>
        <v>0.001418658</v>
      </c>
      <c r="Q20" s="542">
        <f>Inputs!Q118</f>
        <v>0.001618551</v>
      </c>
      <c r="R20" s="542">
        <f>Inputs!R118</f>
        <v>0.0000086</v>
      </c>
      <c r="S20" s="542">
        <f>Inputs!S118</f>
        <v>0.0000678</v>
      </c>
      <c r="T20" s="542">
        <f>Inputs!T118</f>
        <v>0.00000675</v>
      </c>
      <c r="U20" s="542">
        <f>Inputs!U118</f>
        <v>0.0000039</v>
      </c>
      <c r="V20" s="542">
        <f>Inputs!V118</f>
        <v>0.0000197</v>
      </c>
      <c r="W20" s="542">
        <f>Inputs!W118</f>
        <v>0.0000197</v>
      </c>
      <c r="X20" s="542">
        <f>Inputs!X118</f>
        <v>0.0000471</v>
      </c>
      <c r="Y20" s="542">
        <f>Inputs!Y118</f>
        <v>0.00000697</v>
      </c>
      <c r="Z20" s="542">
        <f>Inputs!Z118</f>
        <v>0.00000924</v>
      </c>
      <c r="AA20" s="542">
        <f>Inputs!AA118</f>
        <v>0.0000109</v>
      </c>
      <c r="AB20" s="542">
        <f>Inputs!AB118</f>
        <v>0.00000759</v>
      </c>
      <c r="AC20" s="542">
        <f>Inputs!AC118</f>
        <v>0.00000402</v>
      </c>
      <c r="AD20" s="542">
        <f>Inputs!AD118</f>
        <v>0.00000345</v>
      </c>
      <c r="AE20" s="542">
        <f>Inputs!AE118</f>
        <v>0.00000794</v>
      </c>
      <c r="AF20" s="542">
        <f>Inputs!AF118</f>
        <v>0.00000361</v>
      </c>
      <c r="AG20" s="542">
        <f>Inputs!AG118</f>
        <v>0.000105863</v>
      </c>
      <c r="AH20" s="542">
        <f>Inputs!AH118</f>
        <v>0.0000113</v>
      </c>
      <c r="AI20" s="542">
        <f>Inputs!AI118</f>
        <v>0.00000694</v>
      </c>
      <c r="AJ20" s="542">
        <f>Inputs!AJ118</f>
        <v>0.00000167</v>
      </c>
      <c r="AK20" s="542">
        <f>Inputs!AK118</f>
        <v>0.0000313</v>
      </c>
      <c r="AL20" s="542">
        <f>Inputs!AL118</f>
        <v>0.00011796</v>
      </c>
      <c r="AM20" s="542">
        <f>Inputs!AM118</f>
        <v>0.00011796</v>
      </c>
      <c r="AN20" s="542">
        <f>Inputs!AN118</f>
        <v>0.00011796</v>
      </c>
      <c r="AO20" s="542">
        <f>Inputs!AO118</f>
        <v>0.0000132</v>
      </c>
      <c r="AP20" s="542">
        <f>Inputs!AP118</f>
        <v>0.00000703</v>
      </c>
      <c r="AQ20" s="542">
        <f>Inputs!AQ118</f>
        <v>0.00000214</v>
      </c>
      <c r="AR20" s="542">
        <f>Inputs!AR118</f>
        <v>0.00000946</v>
      </c>
      <c r="AS20" s="542">
        <f>Inputs!AS118</f>
        <v>0.0000122</v>
      </c>
      <c r="AT20" s="542">
        <f>Inputs!AT118</f>
        <v>0.00000755</v>
      </c>
      <c r="AU20" s="542">
        <f>Inputs!AU118</f>
        <v>0.000140862</v>
      </c>
      <c r="AV20" s="542">
        <f>Inputs!AV118</f>
        <v>0.000257334</v>
      </c>
      <c r="AW20" s="543"/>
    </row>
    <row r="21">
      <c r="A21" s="122"/>
      <c r="B21" s="123"/>
      <c r="C21" s="538"/>
      <c r="D21" s="538"/>
      <c r="E21" s="257" t="s">
        <v>542</v>
      </c>
      <c r="F21" s="554" t="s">
        <v>72</v>
      </c>
      <c r="G21" s="555" t="s">
        <v>165</v>
      </c>
      <c r="H21" s="556" t="str">
        <f>Inputs!H119</f>
        <v>-</v>
      </c>
      <c r="I21" s="557">
        <f>Inputs!I119</f>
        <v>0.0000588</v>
      </c>
      <c r="J21" s="557">
        <f>Inputs!J119</f>
        <v>0.0000439</v>
      </c>
      <c r="K21" s="557">
        <f>Inputs!K119</f>
        <v>0.0000671</v>
      </c>
      <c r="L21" s="542">
        <f>Inputs!L119</f>
        <v>0.0000199</v>
      </c>
      <c r="M21" s="557">
        <f>Inputs!M119</f>
        <v>0.0000353</v>
      </c>
      <c r="N21" s="557">
        <f>Inputs!N119</f>
        <v>0.0000459</v>
      </c>
      <c r="O21" s="557">
        <f>Inputs!O119</f>
        <v>0.000109744</v>
      </c>
      <c r="P21" s="557">
        <f>Inputs!P119</f>
        <v>0.000181069</v>
      </c>
      <c r="Q21" s="557">
        <f>Inputs!Q119</f>
        <v>0.000177977</v>
      </c>
      <c r="R21" s="557">
        <f>Inputs!R119</f>
        <v>0.00000173</v>
      </c>
      <c r="S21" s="557">
        <f>Inputs!S119</f>
        <v>0.0000108</v>
      </c>
      <c r="T21" s="557">
        <f>Inputs!T119</f>
        <v>0.00000172</v>
      </c>
      <c r="U21" s="557">
        <f>Inputs!U119</f>
        <v>0.00000109</v>
      </c>
      <c r="V21" s="557">
        <f>Inputs!V119</f>
        <v>0.00000369</v>
      </c>
      <c r="W21" s="557">
        <f>Inputs!W119</f>
        <v>0.00000581</v>
      </c>
      <c r="X21" s="557">
        <f>Inputs!X119</f>
        <v>0.0000111</v>
      </c>
      <c r="Y21" s="557">
        <f>Inputs!Y119</f>
        <v>0.0000018</v>
      </c>
      <c r="Z21" s="557">
        <f>Inputs!Z119</f>
        <v>0.00000239</v>
      </c>
      <c r="AA21" s="557">
        <f>Inputs!AA119</f>
        <v>0.00000331</v>
      </c>
      <c r="AB21" s="557">
        <f>Inputs!AB119</f>
        <v>0.00000129</v>
      </c>
      <c r="AC21" s="557">
        <f>Inputs!AC119</f>
        <v>0.000000922</v>
      </c>
      <c r="AD21" s="557">
        <f>Inputs!AD119</f>
        <v>0.00000121</v>
      </c>
      <c r="AE21" s="557">
        <f>Inputs!AE119</f>
        <v>0.00000229</v>
      </c>
      <c r="AF21" s="557">
        <f>Inputs!AF119</f>
        <v>0.0000011</v>
      </c>
      <c r="AG21" s="557">
        <f>Inputs!AG119</f>
        <v>0.0000199</v>
      </c>
      <c r="AH21" s="557">
        <f>Inputs!AH119</f>
        <v>0.00000265</v>
      </c>
      <c r="AI21" s="557">
        <f>Inputs!AI119</f>
        <v>0.00000212</v>
      </c>
      <c r="AJ21" s="557">
        <f>Inputs!AJ119</f>
        <v>0.000000723</v>
      </c>
      <c r="AK21" s="557">
        <f>Inputs!AK119</f>
        <v>0.0000074</v>
      </c>
      <c r="AL21" s="557">
        <f>Inputs!AL119</f>
        <v>0.0000242</v>
      </c>
      <c r="AM21" s="542">
        <f>Inputs!AM119</f>
        <v>0.0000242</v>
      </c>
      <c r="AN21" s="542">
        <f>Inputs!AN119</f>
        <v>0.0000242</v>
      </c>
      <c r="AO21" s="557">
        <f>Inputs!AO119</f>
        <v>0.00000391</v>
      </c>
      <c r="AP21" s="557">
        <f>Inputs!AP119</f>
        <v>0.00000175</v>
      </c>
      <c r="AQ21" s="557">
        <f>Inputs!AQ119</f>
        <v>0.000000736</v>
      </c>
      <c r="AR21" s="557">
        <f>Inputs!AR119</f>
        <v>0.00000221</v>
      </c>
      <c r="AS21" s="557">
        <f>Inputs!AS119</f>
        <v>0.00000413</v>
      </c>
      <c r="AT21" s="557">
        <f>Inputs!AT119</f>
        <v>0.00000164</v>
      </c>
      <c r="AU21" s="557">
        <f>Inputs!AU119</f>
        <v>0.000026</v>
      </c>
      <c r="AV21" s="557">
        <f>Inputs!AV119</f>
        <v>0.0000446</v>
      </c>
      <c r="AW21" s="558"/>
    </row>
    <row r="22">
      <c r="A22" s="122"/>
      <c r="B22" s="123"/>
      <c r="C22" s="538"/>
      <c r="D22" s="538"/>
      <c r="E22" s="257" t="s">
        <v>543</v>
      </c>
      <c r="F22" s="554" t="s">
        <v>72</v>
      </c>
      <c r="G22" s="555" t="s">
        <v>165</v>
      </c>
      <c r="H22" s="556" t="str">
        <f>Inputs!H120</f>
        <v>-</v>
      </c>
      <c r="I22" s="557">
        <f>Inputs!I120</f>
        <v>0.0000277</v>
      </c>
      <c r="J22" s="557">
        <f>Inputs!J120</f>
        <v>0.0000201</v>
      </c>
      <c r="K22" s="557">
        <f>Inputs!K120</f>
        <v>0.0000352</v>
      </c>
      <c r="L22" s="542">
        <f>Inputs!L120</f>
        <v>0.0000112</v>
      </c>
      <c r="M22" s="557">
        <f>Inputs!M120</f>
        <v>0.0000133</v>
      </c>
      <c r="N22" s="557">
        <f>Inputs!N120</f>
        <v>0.0000268</v>
      </c>
      <c r="O22" s="557">
        <f>Inputs!O120</f>
        <v>0.000059</v>
      </c>
      <c r="P22" s="557">
        <f>Inputs!P120</f>
        <v>0.0000935</v>
      </c>
      <c r="Q22" s="557">
        <f>Inputs!Q120</f>
        <v>0.0000801</v>
      </c>
      <c r="R22" s="557">
        <f>Inputs!R120</f>
        <v>0.00000133</v>
      </c>
      <c r="S22" s="557">
        <f>Inputs!S120</f>
        <v>0.00000537</v>
      </c>
      <c r="T22" s="557">
        <f>Inputs!T120</f>
        <v>0.00000161</v>
      </c>
      <c r="U22" s="557">
        <f>Inputs!U120</f>
        <v>0.000000981</v>
      </c>
      <c r="V22" s="557">
        <f>Inputs!V120</f>
        <v>0.00000366</v>
      </c>
      <c r="W22" s="557">
        <f>Inputs!W120</f>
        <v>0.00000395</v>
      </c>
      <c r="X22" s="557">
        <f>Inputs!X120</f>
        <v>0.00000826</v>
      </c>
      <c r="Y22" s="557">
        <f>Inputs!Y120</f>
        <v>0.00000175</v>
      </c>
      <c r="Z22" s="557">
        <f>Inputs!Z120</f>
        <v>0.00000185</v>
      </c>
      <c r="AA22" s="557">
        <f>Inputs!AA120</f>
        <v>0.00000224</v>
      </c>
      <c r="AB22" s="557">
        <f>Inputs!AB120</f>
        <v>0.00000115</v>
      </c>
      <c r="AC22" s="557">
        <f>Inputs!AC120</f>
        <v>0.000000856</v>
      </c>
      <c r="AD22" s="557">
        <f>Inputs!AD120</f>
        <v>0.00000127</v>
      </c>
      <c r="AE22" s="557">
        <f>Inputs!AE120</f>
        <v>0.0000015</v>
      </c>
      <c r="AF22" s="557">
        <f>Inputs!AF120</f>
        <v>0.00000101</v>
      </c>
      <c r="AG22" s="557">
        <f>Inputs!AG120</f>
        <v>0.0000112</v>
      </c>
      <c r="AH22" s="557">
        <f>Inputs!AH120</f>
        <v>0.00000262</v>
      </c>
      <c r="AI22" s="557">
        <f>Inputs!AI120</f>
        <v>0.00000266</v>
      </c>
      <c r="AJ22" s="557">
        <f>Inputs!AJ120</f>
        <v>0.00000056</v>
      </c>
      <c r="AK22" s="557">
        <f>Inputs!AK120</f>
        <v>0.00000577</v>
      </c>
      <c r="AL22" s="557">
        <f>Inputs!AL120</f>
        <v>0.0000163</v>
      </c>
      <c r="AM22" s="542">
        <f>Inputs!AM120</f>
        <v>0.0000163</v>
      </c>
      <c r="AN22" s="542">
        <f>Inputs!AN120</f>
        <v>0.0000163</v>
      </c>
      <c r="AO22" s="557">
        <f>Inputs!AO120</f>
        <v>0.00000358</v>
      </c>
      <c r="AP22" s="557">
        <f>Inputs!AP120</f>
        <v>0.00000137</v>
      </c>
      <c r="AQ22" s="557">
        <f>Inputs!AQ120</f>
        <v>0.000000763</v>
      </c>
      <c r="AR22" s="557">
        <f>Inputs!AR120</f>
        <v>0.00000252</v>
      </c>
      <c r="AS22" s="557">
        <f>Inputs!AS120</f>
        <v>0.00000335</v>
      </c>
      <c r="AT22" s="557">
        <f>Inputs!AT120</f>
        <v>0.00000133</v>
      </c>
      <c r="AU22" s="557">
        <f>Inputs!AU120</f>
        <v>0.0000136</v>
      </c>
      <c r="AV22" s="557">
        <f>Inputs!AV120</f>
        <v>0.0000304</v>
      </c>
      <c r="AW22" s="558"/>
    </row>
    <row r="23">
      <c r="A23" s="122"/>
      <c r="B23" s="123"/>
      <c r="C23" s="538"/>
      <c r="D23" s="538"/>
      <c r="E23" s="272" t="s">
        <v>544</v>
      </c>
      <c r="F23" s="559" t="s">
        <v>72</v>
      </c>
      <c r="G23" s="560" t="s">
        <v>165</v>
      </c>
      <c r="H23" s="561" t="str">
        <f>Inputs!H121</f>
        <v>-</v>
      </c>
      <c r="I23" s="562">
        <f>Inputs!I121</f>
        <v>0.0000412</v>
      </c>
      <c r="J23" s="562">
        <f>Inputs!J121</f>
        <v>0.0000315</v>
      </c>
      <c r="K23" s="562">
        <f>Inputs!K121</f>
        <v>0.0000455</v>
      </c>
      <c r="L23" s="562">
        <f>Inputs!L121</f>
        <v>0.000016</v>
      </c>
      <c r="M23" s="562">
        <f>Inputs!M121</f>
        <v>0.0000215</v>
      </c>
      <c r="N23" s="562">
        <f>Inputs!N121</f>
        <v>0.0000393</v>
      </c>
      <c r="O23" s="562">
        <f>Inputs!O121</f>
        <v>0.000081</v>
      </c>
      <c r="P23" s="562">
        <f>Inputs!P121</f>
        <v>0.000127981</v>
      </c>
      <c r="Q23" s="562">
        <f>Inputs!Q121</f>
        <v>0.000112303</v>
      </c>
      <c r="R23" s="562">
        <f>Inputs!R121</f>
        <v>0.00000162</v>
      </c>
      <c r="S23" s="562">
        <f>Inputs!S121</f>
        <v>0.00000674</v>
      </c>
      <c r="T23" s="562">
        <f>Inputs!T121</f>
        <v>0.00000193</v>
      </c>
      <c r="U23" s="562">
        <f>Inputs!U121</f>
        <v>0.00000122</v>
      </c>
      <c r="V23" s="562">
        <f>Inputs!V121</f>
        <v>0.00000389</v>
      </c>
      <c r="W23" s="562">
        <f>Inputs!W121</f>
        <v>0.00000412</v>
      </c>
      <c r="X23" s="562">
        <f>Inputs!X121</f>
        <v>0.0000126</v>
      </c>
      <c r="Y23" s="562">
        <f>Inputs!Y121</f>
        <v>0.00000197</v>
      </c>
      <c r="Z23" s="562">
        <f>Inputs!Z121</f>
        <v>0.00000221</v>
      </c>
      <c r="AA23" s="562">
        <f>Inputs!AA121</f>
        <v>0.0000024</v>
      </c>
      <c r="AB23" s="562">
        <f>Inputs!AB121</f>
        <v>0.00000145</v>
      </c>
      <c r="AC23" s="562">
        <f>Inputs!AC121</f>
        <v>0.000000939</v>
      </c>
      <c r="AD23" s="562">
        <f>Inputs!AD121</f>
        <v>0.00000153</v>
      </c>
      <c r="AE23" s="562">
        <f>Inputs!AE121</f>
        <v>0.0000021</v>
      </c>
      <c r="AF23" s="562">
        <f>Inputs!AF121</f>
        <v>0.00000121</v>
      </c>
      <c r="AG23" s="562">
        <f>Inputs!AG121</f>
        <v>0.000016</v>
      </c>
      <c r="AH23" s="562">
        <f>Inputs!AH121</f>
        <v>0.00000293</v>
      </c>
      <c r="AI23" s="562">
        <f>Inputs!AI121</f>
        <v>0.00000327</v>
      </c>
      <c r="AJ23" s="562">
        <f>Inputs!AJ121</f>
        <v>0.000000827</v>
      </c>
      <c r="AK23" s="562">
        <f>Inputs!AK121</f>
        <v>0.00000682</v>
      </c>
      <c r="AL23" s="562">
        <f>Inputs!AL121</f>
        <v>0.0000205</v>
      </c>
      <c r="AM23" s="562">
        <f>Inputs!AM121</f>
        <v>0.0000205</v>
      </c>
      <c r="AN23" s="562">
        <f>Inputs!AN121</f>
        <v>0.0000205</v>
      </c>
      <c r="AO23" s="562">
        <f>Inputs!AO121</f>
        <v>0.00000403</v>
      </c>
      <c r="AP23" s="562">
        <f>Inputs!AP121</f>
        <v>0.00000148</v>
      </c>
      <c r="AQ23" s="562">
        <f>Inputs!AQ121</f>
        <v>0.000000936</v>
      </c>
      <c r="AR23" s="562">
        <f>Inputs!AR121</f>
        <v>0.00000323</v>
      </c>
      <c r="AS23" s="562">
        <f>Inputs!AS121</f>
        <v>0.00000425</v>
      </c>
      <c r="AT23" s="562">
        <f>Inputs!AT121</f>
        <v>0.00000158</v>
      </c>
      <c r="AU23" s="562">
        <f>Inputs!AU121</f>
        <v>0.0000203</v>
      </c>
      <c r="AV23" s="562">
        <f>Inputs!AV121</f>
        <v>0.0000425</v>
      </c>
      <c r="AW23" s="563"/>
    </row>
    <row r="24">
      <c r="A24" s="122"/>
      <c r="B24" s="123"/>
      <c r="C24" s="143"/>
      <c r="D24" s="143"/>
      <c r="E24" s="269"/>
      <c r="F24" s="533"/>
      <c r="G24" s="534"/>
      <c r="H24" s="127"/>
      <c r="I24" s="552"/>
      <c r="J24" s="552"/>
      <c r="K24" s="552"/>
      <c r="L24" s="552"/>
      <c r="M24" s="552"/>
      <c r="N24" s="552"/>
      <c r="O24" s="552"/>
      <c r="P24" s="552"/>
      <c r="Q24" s="552"/>
      <c r="R24" s="552"/>
      <c r="S24" s="552"/>
      <c r="T24" s="552"/>
      <c r="U24" s="552"/>
      <c r="V24" s="552"/>
      <c r="W24" s="552"/>
      <c r="X24" s="552"/>
      <c r="Y24" s="552"/>
      <c r="Z24" s="552"/>
      <c r="AA24" s="552"/>
      <c r="AB24" s="552"/>
      <c r="AC24" s="552"/>
      <c r="AD24" s="552"/>
      <c r="AE24" s="552"/>
      <c r="AF24" s="552"/>
      <c r="AG24" s="552"/>
      <c r="AH24" s="552"/>
      <c r="AI24" s="552"/>
      <c r="AJ24" s="552"/>
      <c r="AK24" s="552"/>
      <c r="AL24" s="552"/>
      <c r="AM24" s="552"/>
      <c r="AN24" s="552"/>
      <c r="AO24" s="552"/>
      <c r="AP24" s="552"/>
      <c r="AQ24" s="552"/>
      <c r="AR24" s="552"/>
      <c r="AS24" s="552"/>
      <c r="AT24" s="552"/>
      <c r="AU24" s="552"/>
      <c r="AV24" s="552"/>
      <c r="AW24" s="553"/>
    </row>
    <row r="25">
      <c r="A25" s="122"/>
      <c r="B25" s="123"/>
      <c r="C25" s="143" t="s">
        <v>545</v>
      </c>
      <c r="F25" s="533"/>
      <c r="G25" s="534"/>
      <c r="H25" s="127"/>
      <c r="I25" s="552"/>
      <c r="J25" s="552"/>
      <c r="K25" s="552"/>
      <c r="L25" s="552"/>
      <c r="M25" s="552"/>
      <c r="N25" s="552"/>
      <c r="O25" s="552"/>
      <c r="P25" s="552"/>
      <c r="Q25" s="552"/>
      <c r="R25" s="552"/>
      <c r="S25" s="552"/>
      <c r="T25" s="552"/>
      <c r="U25" s="552"/>
      <c r="V25" s="552"/>
      <c r="W25" s="552"/>
      <c r="X25" s="552"/>
      <c r="Y25" s="552"/>
      <c r="Z25" s="552"/>
      <c r="AA25" s="552"/>
      <c r="AB25" s="552"/>
      <c r="AC25" s="552"/>
      <c r="AD25" s="552"/>
      <c r="AE25" s="552"/>
      <c r="AF25" s="552"/>
      <c r="AG25" s="552"/>
      <c r="AH25" s="552"/>
      <c r="AI25" s="552"/>
      <c r="AJ25" s="552"/>
      <c r="AK25" s="552"/>
      <c r="AL25" s="552"/>
      <c r="AM25" s="552"/>
      <c r="AN25" s="552"/>
      <c r="AO25" s="552"/>
      <c r="AP25" s="552"/>
      <c r="AQ25" s="552"/>
      <c r="AR25" s="552"/>
      <c r="AS25" s="552"/>
      <c r="AT25" s="552"/>
      <c r="AU25" s="552"/>
      <c r="AV25" s="552"/>
      <c r="AW25" s="553"/>
    </row>
    <row r="26">
      <c r="A26" s="122"/>
      <c r="B26" s="123"/>
      <c r="C26" s="538"/>
      <c r="D26" s="538"/>
      <c r="E26" s="254" t="s">
        <v>546</v>
      </c>
      <c r="F26" s="539" t="s">
        <v>62</v>
      </c>
      <c r="G26" s="540" t="s">
        <v>165</v>
      </c>
      <c r="H26" s="541" t="str">
        <f>Inputs!H122</f>
        <v>-</v>
      </c>
      <c r="I26" s="564">
        <f>Inputs!I122</f>
        <v>140.5925717</v>
      </c>
      <c r="J26" s="564">
        <f>Inputs!J122</f>
        <v>45.34226006</v>
      </c>
      <c r="K26" s="564">
        <f>Inputs!K122</f>
        <v>133.2007348</v>
      </c>
      <c r="L26" s="564">
        <f>Inputs!L122</f>
        <v>41.32786631</v>
      </c>
      <c r="M26" s="564">
        <f>Inputs!M122</f>
        <v>169.1040064</v>
      </c>
      <c r="N26" s="564">
        <f>Inputs!N122</f>
        <v>160.2021903</v>
      </c>
      <c r="O26" s="564">
        <f>Inputs!O122</f>
        <v>145.3019295</v>
      </c>
      <c r="P26" s="564">
        <f>Inputs!P122</f>
        <v>421.4909505</v>
      </c>
      <c r="Q26" s="564">
        <f>Inputs!Q122</f>
        <v>259.6096777</v>
      </c>
      <c r="R26" s="564">
        <f>Inputs!R122</f>
        <v>1.190982076</v>
      </c>
      <c r="S26" s="564">
        <f>Inputs!S122</f>
        <v>7.614581744</v>
      </c>
      <c r="T26" s="564">
        <f>Inputs!T122</f>
        <v>0.404695933</v>
      </c>
      <c r="U26" s="564">
        <f>Inputs!U122</f>
        <v>0.736387658</v>
      </c>
      <c r="V26" s="564">
        <f>Inputs!V122</f>
        <v>0.427061552</v>
      </c>
      <c r="W26" s="564">
        <f>Inputs!W122</f>
        <v>5.977126705</v>
      </c>
      <c r="X26" s="564">
        <f>Inputs!X122</f>
        <v>7.83703306</v>
      </c>
      <c r="Y26" s="564">
        <f>Inputs!Y122</f>
        <v>0.442144401</v>
      </c>
      <c r="Z26" s="564">
        <f>Inputs!Z122</f>
        <v>1.107272456</v>
      </c>
      <c r="AA26" s="564">
        <f>Inputs!AA122</f>
        <v>1.131173934</v>
      </c>
      <c r="AB26" s="564">
        <f>Inputs!AB122</f>
        <v>0.768267778</v>
      </c>
      <c r="AC26" s="564">
        <f>Inputs!AC122</f>
        <v>0.18189512</v>
      </c>
      <c r="AD26" s="564">
        <f>Inputs!AD122</f>
        <v>0.435656185</v>
      </c>
      <c r="AE26" s="564">
        <f>Inputs!AE122</f>
        <v>1.471213539</v>
      </c>
      <c r="AF26" s="564">
        <f>Inputs!AF122</f>
        <v>1.111986737</v>
      </c>
      <c r="AG26" s="564">
        <f>Inputs!AG122</f>
        <v>41.32786631</v>
      </c>
      <c r="AH26" s="564">
        <f>Inputs!AH122</f>
        <v>0.946029637</v>
      </c>
      <c r="AI26" s="564">
        <f>Inputs!AI122</f>
        <v>0.634968963</v>
      </c>
      <c r="AJ26" s="564">
        <f>Inputs!AJ122</f>
        <v>0.222869375</v>
      </c>
      <c r="AK26" s="564">
        <f>Inputs!AK122</f>
        <v>6.108897635</v>
      </c>
      <c r="AL26" s="564">
        <f>Inputs!AL122</f>
        <v>49.73510111</v>
      </c>
      <c r="AM26" s="564">
        <f>Inputs!AM122</f>
        <v>49.73510111</v>
      </c>
      <c r="AN26" s="564">
        <f>Inputs!AN122</f>
        <v>49.73510111</v>
      </c>
      <c r="AO26" s="564">
        <f>Inputs!AO122</f>
        <v>4.554478784</v>
      </c>
      <c r="AP26" s="564">
        <f>Inputs!AP122</f>
        <v>0.689545242</v>
      </c>
      <c r="AQ26" s="564">
        <f>Inputs!AQ122</f>
        <v>0.242134115</v>
      </c>
      <c r="AR26" s="564">
        <f>Inputs!AR122</f>
        <v>1.497399123</v>
      </c>
      <c r="AS26" s="564">
        <f>Inputs!AS122</f>
        <v>4.711166399</v>
      </c>
      <c r="AT26" s="564">
        <f>Inputs!AT122</f>
        <v>0.727269737</v>
      </c>
      <c r="AU26" s="564">
        <f>Inputs!AU122</f>
        <v>41.61988576</v>
      </c>
      <c r="AV26" s="564">
        <f>Inputs!AV122</f>
        <v>43.77835685</v>
      </c>
      <c r="AW26" s="565"/>
    </row>
    <row r="27">
      <c r="A27" s="122"/>
      <c r="B27" s="123"/>
      <c r="C27" s="538"/>
      <c r="D27" s="538"/>
      <c r="E27" s="257" t="s">
        <v>547</v>
      </c>
      <c r="F27" s="554" t="s">
        <v>62</v>
      </c>
      <c r="G27" s="555" t="s">
        <v>165</v>
      </c>
      <c r="H27" s="556" t="str">
        <f>Inputs!H123</f>
        <v>-</v>
      </c>
      <c r="I27" s="310">
        <f>Inputs!I123</f>
        <v>17.73593433</v>
      </c>
      <c r="J27" s="310">
        <f>Inputs!J123</f>
        <v>7.34543864</v>
      </c>
      <c r="K27" s="310">
        <f>Inputs!K123</f>
        <v>17.62269744</v>
      </c>
      <c r="L27" s="310">
        <f>Inputs!L123</f>
        <v>10.45679282</v>
      </c>
      <c r="M27" s="310">
        <f>Inputs!M123</f>
        <v>24.367067</v>
      </c>
      <c r="N27" s="310">
        <f>Inputs!N123</f>
        <v>29.1714306</v>
      </c>
      <c r="O27" s="310">
        <f>Inputs!O123</f>
        <v>26.00676359</v>
      </c>
      <c r="P27" s="310">
        <f>Inputs!P123</f>
        <v>63.04011149</v>
      </c>
      <c r="Q27" s="310">
        <f>Inputs!Q123</f>
        <v>45.4811006</v>
      </c>
      <c r="R27" s="310">
        <f>Inputs!R123</f>
        <v>0.372585776</v>
      </c>
      <c r="S27" s="310">
        <f>Inputs!S123</f>
        <v>1.846267923</v>
      </c>
      <c r="T27" s="310">
        <f>Inputs!T123</f>
        <v>0.09461251</v>
      </c>
      <c r="U27" s="310">
        <f>Inputs!U123</f>
        <v>0.226625696</v>
      </c>
      <c r="V27" s="310">
        <f>Inputs!V123</f>
        <v>0.082234531</v>
      </c>
      <c r="W27" s="310">
        <f>Inputs!W123</f>
        <v>2.270374832</v>
      </c>
      <c r="X27" s="310">
        <f>Inputs!X123</f>
        <v>2.079454236</v>
      </c>
      <c r="Y27" s="310">
        <f>Inputs!Y123</f>
        <v>0.108272675</v>
      </c>
      <c r="Z27" s="310">
        <f>Inputs!Z123</f>
        <v>0.316802014</v>
      </c>
      <c r="AA27" s="310">
        <f>Inputs!AA123</f>
        <v>0.44419353</v>
      </c>
      <c r="AB27" s="310">
        <f>Inputs!AB123</f>
        <v>0.113344909</v>
      </c>
      <c r="AC27" s="310">
        <f>Inputs!AC123</f>
        <v>0.044328215</v>
      </c>
      <c r="AD27" s="310">
        <f>Inputs!AD123</f>
        <v>0.134094899</v>
      </c>
      <c r="AE27" s="310">
        <f>Inputs!AE123</f>
        <v>0.481958407</v>
      </c>
      <c r="AF27" s="310">
        <f>Inputs!AF123</f>
        <v>0.325161876</v>
      </c>
      <c r="AG27" s="310">
        <f>Inputs!AG123</f>
        <v>10.45679282</v>
      </c>
      <c r="AH27" s="310">
        <f>Inputs!AH123</f>
        <v>0.168110394</v>
      </c>
      <c r="AI27" s="310">
        <f>Inputs!AI123</f>
        <v>0.164143709</v>
      </c>
      <c r="AJ27" s="310">
        <f>Inputs!AJ123</f>
        <v>0.075080269</v>
      </c>
      <c r="AK27" s="310">
        <f>Inputs!AK123</f>
        <v>1.656832671</v>
      </c>
      <c r="AL27" s="310">
        <f>Inputs!AL123</f>
        <v>12.71493864</v>
      </c>
      <c r="AM27" s="310">
        <f>Inputs!AM123</f>
        <v>12.71493864</v>
      </c>
      <c r="AN27" s="310">
        <f>Inputs!AN123</f>
        <v>12.71493864</v>
      </c>
      <c r="AO27" s="310">
        <f>Inputs!AO123</f>
        <v>1.144057378</v>
      </c>
      <c r="AP27" s="310">
        <f>Inputs!AP123</f>
        <v>0.084029561</v>
      </c>
      <c r="AQ27" s="310">
        <f>Inputs!AQ123</f>
        <v>0.066767652</v>
      </c>
      <c r="AR27" s="310">
        <f>Inputs!AR123</f>
        <v>0.288561387</v>
      </c>
      <c r="AS27" s="310">
        <f>Inputs!AS123</f>
        <v>1.722023852</v>
      </c>
      <c r="AT27" s="310">
        <f>Inputs!AT123</f>
        <v>0.195401276</v>
      </c>
      <c r="AU27" s="310">
        <f>Inputs!AU123</f>
        <v>10.43434373</v>
      </c>
      <c r="AV27" s="310">
        <f>Inputs!AV123</f>
        <v>7.820044894</v>
      </c>
      <c r="AW27" s="251"/>
    </row>
    <row r="28">
      <c r="A28" s="122"/>
      <c r="B28" s="123"/>
      <c r="C28" s="538"/>
      <c r="D28" s="538"/>
      <c r="E28" s="257" t="s">
        <v>548</v>
      </c>
      <c r="F28" s="554" t="s">
        <v>72</v>
      </c>
      <c r="G28" s="555" t="s">
        <v>161</v>
      </c>
      <c r="H28" s="566" t="s">
        <v>162</v>
      </c>
      <c r="I28" s="567">
        <f t="shared" ref="I28:AV28" si="2">I27/I26</f>
        <v>0.1261512903</v>
      </c>
      <c r="J28" s="567">
        <f t="shared" si="2"/>
        <v>0.1619998348</v>
      </c>
      <c r="K28" s="567">
        <f t="shared" si="2"/>
        <v>0.1323018035</v>
      </c>
      <c r="L28" s="567">
        <f t="shared" si="2"/>
        <v>0.2530203892</v>
      </c>
      <c r="M28" s="567">
        <f t="shared" si="2"/>
        <v>0.144095149</v>
      </c>
      <c r="N28" s="567">
        <f t="shared" si="2"/>
        <v>0.1820913344</v>
      </c>
      <c r="O28" s="567">
        <f t="shared" si="2"/>
        <v>0.1789842962</v>
      </c>
      <c r="P28" s="567">
        <f t="shared" si="2"/>
        <v>0.149564567</v>
      </c>
      <c r="Q28" s="567">
        <f t="shared" si="2"/>
        <v>0.1751903126</v>
      </c>
      <c r="R28" s="567">
        <f t="shared" si="2"/>
        <v>0.3128391128</v>
      </c>
      <c r="S28" s="567">
        <f t="shared" si="2"/>
        <v>0.2424647847</v>
      </c>
      <c r="T28" s="567">
        <f t="shared" si="2"/>
        <v>0.2337866588</v>
      </c>
      <c r="U28" s="567">
        <f t="shared" si="2"/>
        <v>0.3077532513</v>
      </c>
      <c r="V28" s="567">
        <f t="shared" si="2"/>
        <v>0.1925589663</v>
      </c>
      <c r="W28" s="567">
        <f t="shared" si="2"/>
        <v>0.3798438521</v>
      </c>
      <c r="X28" s="567">
        <f t="shared" si="2"/>
        <v>0.2653369228</v>
      </c>
      <c r="Y28" s="567">
        <f t="shared" si="2"/>
        <v>0.2448808008</v>
      </c>
      <c r="Z28" s="567">
        <f t="shared" si="2"/>
        <v>0.2861102634</v>
      </c>
      <c r="AA28" s="567">
        <f t="shared" si="2"/>
        <v>0.3926836684</v>
      </c>
      <c r="AB28" s="567">
        <f t="shared" si="2"/>
        <v>0.1475330767</v>
      </c>
      <c r="AC28" s="567">
        <f t="shared" si="2"/>
        <v>0.2437020575</v>
      </c>
      <c r="AD28" s="567">
        <f t="shared" si="2"/>
        <v>0.3077998284</v>
      </c>
      <c r="AE28" s="567">
        <f t="shared" si="2"/>
        <v>0.3275924223</v>
      </c>
      <c r="AF28" s="567">
        <f t="shared" si="2"/>
        <v>0.2924152467</v>
      </c>
      <c r="AG28" s="567">
        <f t="shared" si="2"/>
        <v>0.2530203892</v>
      </c>
      <c r="AH28" s="567">
        <f t="shared" si="2"/>
        <v>0.1777009804</v>
      </c>
      <c r="AI28" s="567">
        <f t="shared" si="2"/>
        <v>0.258506665</v>
      </c>
      <c r="AJ28" s="567">
        <f t="shared" si="2"/>
        <v>0.3368801523</v>
      </c>
      <c r="AK28" s="567">
        <f t="shared" si="2"/>
        <v>0.2712163094</v>
      </c>
      <c r="AL28" s="567">
        <f t="shared" si="2"/>
        <v>0.2556532179</v>
      </c>
      <c r="AM28" s="567">
        <f t="shared" si="2"/>
        <v>0.2556532179</v>
      </c>
      <c r="AN28" s="567">
        <f t="shared" si="2"/>
        <v>0.2556532179</v>
      </c>
      <c r="AO28" s="567">
        <f t="shared" si="2"/>
        <v>0.2511939197</v>
      </c>
      <c r="AP28" s="567">
        <f t="shared" si="2"/>
        <v>0.1218622882</v>
      </c>
      <c r="AQ28" s="567">
        <f t="shared" si="2"/>
        <v>0.2757465713</v>
      </c>
      <c r="AR28" s="567">
        <f t="shared" si="2"/>
        <v>0.1927083986</v>
      </c>
      <c r="AS28" s="567">
        <f t="shared" si="2"/>
        <v>0.3655196412</v>
      </c>
      <c r="AT28" s="567">
        <f t="shared" si="2"/>
        <v>0.2686778592</v>
      </c>
      <c r="AU28" s="567">
        <f t="shared" si="2"/>
        <v>0.2507057273</v>
      </c>
      <c r="AV28" s="567">
        <f t="shared" si="2"/>
        <v>0.1786281043</v>
      </c>
      <c r="AW28" s="251"/>
    </row>
    <row r="29">
      <c r="A29" s="122"/>
      <c r="B29" s="123"/>
      <c r="C29" s="538"/>
      <c r="D29" s="538"/>
      <c r="E29" s="257" t="s">
        <v>549</v>
      </c>
      <c r="F29" s="554" t="s">
        <v>72</v>
      </c>
      <c r="G29" s="555" t="s">
        <v>165</v>
      </c>
      <c r="H29" s="568">
        <f>Inputs!H124</f>
        <v>0.15</v>
      </c>
      <c r="I29" s="310" t="str">
        <f>Inputs!I124</f>
        <v>-</v>
      </c>
      <c r="J29" s="310" t="str">
        <f>Inputs!J124</f>
        <v>-</v>
      </c>
      <c r="K29" s="310" t="str">
        <f>Inputs!K124</f>
        <v>-</v>
      </c>
      <c r="L29" s="310" t="str">
        <f>Inputs!L124</f>
        <v>-</v>
      </c>
      <c r="M29" s="310" t="str">
        <f>Inputs!M124</f>
        <v>-</v>
      </c>
      <c r="N29" s="310" t="str">
        <f>Inputs!N124</f>
        <v>-</v>
      </c>
      <c r="O29" s="310" t="str">
        <f>Inputs!O124</f>
        <v>-</v>
      </c>
      <c r="P29" s="310" t="str">
        <f>Inputs!P124</f>
        <v>-</v>
      </c>
      <c r="Q29" s="310" t="str">
        <f>Inputs!Q124</f>
        <v>-</v>
      </c>
      <c r="R29" s="310" t="str">
        <f>Inputs!R124</f>
        <v>-</v>
      </c>
      <c r="S29" s="310" t="str">
        <f>Inputs!S124</f>
        <v>-</v>
      </c>
      <c r="T29" s="310" t="str">
        <f>Inputs!T124</f>
        <v>-</v>
      </c>
      <c r="U29" s="310" t="str">
        <f>Inputs!U124</f>
        <v>-</v>
      </c>
      <c r="V29" s="310" t="str">
        <f>Inputs!V124</f>
        <v>-</v>
      </c>
      <c r="W29" s="310" t="str">
        <f>Inputs!W124</f>
        <v>-</v>
      </c>
      <c r="X29" s="310" t="str">
        <f>Inputs!X124</f>
        <v>-</v>
      </c>
      <c r="Y29" s="310" t="str">
        <f>Inputs!Y124</f>
        <v>-</v>
      </c>
      <c r="Z29" s="310" t="str">
        <f>Inputs!Z124</f>
        <v>-</v>
      </c>
      <c r="AA29" s="310" t="str">
        <f>Inputs!AA124</f>
        <v>-</v>
      </c>
      <c r="AB29" s="310" t="str">
        <f>Inputs!AB124</f>
        <v>-</v>
      </c>
      <c r="AC29" s="310" t="str">
        <f>Inputs!AC124</f>
        <v>-</v>
      </c>
      <c r="AD29" s="310" t="str">
        <f>Inputs!AD124</f>
        <v>-</v>
      </c>
      <c r="AE29" s="310" t="str">
        <f>Inputs!AE124</f>
        <v>-</v>
      </c>
      <c r="AF29" s="310" t="str">
        <f>Inputs!AF124</f>
        <v>-</v>
      </c>
      <c r="AG29" s="310" t="str">
        <f>Inputs!AG124</f>
        <v>-</v>
      </c>
      <c r="AH29" s="310" t="str">
        <f>Inputs!AH124</f>
        <v>-</v>
      </c>
      <c r="AI29" s="310" t="str">
        <f>Inputs!AI124</f>
        <v>-</v>
      </c>
      <c r="AJ29" s="310" t="str">
        <f>Inputs!AJ124</f>
        <v>-</v>
      </c>
      <c r="AK29" s="310" t="str">
        <f>Inputs!AK124</f>
        <v>-</v>
      </c>
      <c r="AL29" s="310" t="str">
        <f>Inputs!AL124</f>
        <v>-</v>
      </c>
      <c r="AM29" s="310" t="str">
        <f>Inputs!AM124</f>
        <v>-</v>
      </c>
      <c r="AN29" s="310" t="str">
        <f>Inputs!AN124</f>
        <v>-</v>
      </c>
      <c r="AO29" s="310" t="str">
        <f>Inputs!AO124</f>
        <v>-</v>
      </c>
      <c r="AP29" s="310" t="str">
        <f>Inputs!AP124</f>
        <v>-</v>
      </c>
      <c r="AQ29" s="310" t="str">
        <f>Inputs!AQ124</f>
        <v>-</v>
      </c>
      <c r="AR29" s="310" t="str">
        <f>Inputs!AR124</f>
        <v>-</v>
      </c>
      <c r="AS29" s="310" t="str">
        <f>Inputs!AS124</f>
        <v>-</v>
      </c>
      <c r="AT29" s="310" t="str">
        <f>Inputs!AT124</f>
        <v>-</v>
      </c>
      <c r="AU29" s="310" t="str">
        <f>Inputs!AU124</f>
        <v>-</v>
      </c>
      <c r="AV29" s="310" t="str">
        <f>Inputs!AV124</f>
        <v>-</v>
      </c>
      <c r="AW29" s="251"/>
    </row>
    <row r="30">
      <c r="A30" s="122"/>
      <c r="B30" s="123"/>
      <c r="C30" s="538"/>
      <c r="D30" s="538"/>
      <c r="E30" s="257" t="s">
        <v>550</v>
      </c>
      <c r="F30" s="554" t="s">
        <v>72</v>
      </c>
      <c r="G30" s="555" t="s">
        <v>161</v>
      </c>
      <c r="H30" s="566" t="s">
        <v>162</v>
      </c>
      <c r="I30" s="567">
        <f t="shared" ref="I30:AV30" si="3">I28*$H29</f>
        <v>0.01892269355</v>
      </c>
      <c r="J30" s="567">
        <f t="shared" si="3"/>
        <v>0.02429997522</v>
      </c>
      <c r="K30" s="567">
        <f t="shared" si="3"/>
        <v>0.01984527052</v>
      </c>
      <c r="L30" s="567">
        <f t="shared" si="3"/>
        <v>0.03795305839</v>
      </c>
      <c r="M30" s="567">
        <f t="shared" si="3"/>
        <v>0.02161427235</v>
      </c>
      <c r="N30" s="567">
        <f t="shared" si="3"/>
        <v>0.02731370015</v>
      </c>
      <c r="O30" s="567">
        <f t="shared" si="3"/>
        <v>0.02684764443</v>
      </c>
      <c r="P30" s="567">
        <f t="shared" si="3"/>
        <v>0.02243468504</v>
      </c>
      <c r="Q30" s="567">
        <f t="shared" si="3"/>
        <v>0.0262785469</v>
      </c>
      <c r="R30" s="567">
        <f t="shared" si="3"/>
        <v>0.04692586692</v>
      </c>
      <c r="S30" s="567">
        <f t="shared" si="3"/>
        <v>0.0363697177</v>
      </c>
      <c r="T30" s="567">
        <f t="shared" si="3"/>
        <v>0.03506799882</v>
      </c>
      <c r="U30" s="567">
        <f t="shared" si="3"/>
        <v>0.0461629877</v>
      </c>
      <c r="V30" s="567">
        <f t="shared" si="3"/>
        <v>0.02888384495</v>
      </c>
      <c r="W30" s="567">
        <f t="shared" si="3"/>
        <v>0.05697657781</v>
      </c>
      <c r="X30" s="567">
        <f t="shared" si="3"/>
        <v>0.03980053842</v>
      </c>
      <c r="Y30" s="567">
        <f t="shared" si="3"/>
        <v>0.03673212012</v>
      </c>
      <c r="Z30" s="567">
        <f t="shared" si="3"/>
        <v>0.0429165395</v>
      </c>
      <c r="AA30" s="567">
        <f t="shared" si="3"/>
        <v>0.05890255026</v>
      </c>
      <c r="AB30" s="567">
        <f t="shared" si="3"/>
        <v>0.0221299615</v>
      </c>
      <c r="AC30" s="567">
        <f t="shared" si="3"/>
        <v>0.03655530863</v>
      </c>
      <c r="AD30" s="567">
        <f t="shared" si="3"/>
        <v>0.04616997427</v>
      </c>
      <c r="AE30" s="567">
        <f t="shared" si="3"/>
        <v>0.04913886335</v>
      </c>
      <c r="AF30" s="567">
        <f t="shared" si="3"/>
        <v>0.043862287</v>
      </c>
      <c r="AG30" s="567">
        <f t="shared" si="3"/>
        <v>0.03795305839</v>
      </c>
      <c r="AH30" s="567">
        <f t="shared" si="3"/>
        <v>0.02665514706</v>
      </c>
      <c r="AI30" s="567">
        <f t="shared" si="3"/>
        <v>0.03877599975</v>
      </c>
      <c r="AJ30" s="567">
        <f t="shared" si="3"/>
        <v>0.05053202285</v>
      </c>
      <c r="AK30" s="567">
        <f t="shared" si="3"/>
        <v>0.04068244641</v>
      </c>
      <c r="AL30" s="567">
        <f t="shared" si="3"/>
        <v>0.03834798268</v>
      </c>
      <c r="AM30" s="567">
        <f t="shared" si="3"/>
        <v>0.03834798268</v>
      </c>
      <c r="AN30" s="567">
        <f t="shared" si="3"/>
        <v>0.03834798268</v>
      </c>
      <c r="AO30" s="567">
        <f t="shared" si="3"/>
        <v>0.03767908796</v>
      </c>
      <c r="AP30" s="567">
        <f t="shared" si="3"/>
        <v>0.01827934323</v>
      </c>
      <c r="AQ30" s="567">
        <f t="shared" si="3"/>
        <v>0.04136198569</v>
      </c>
      <c r="AR30" s="567">
        <f t="shared" si="3"/>
        <v>0.02890625978</v>
      </c>
      <c r="AS30" s="567">
        <f t="shared" si="3"/>
        <v>0.05482794619</v>
      </c>
      <c r="AT30" s="567">
        <f t="shared" si="3"/>
        <v>0.04030167888</v>
      </c>
      <c r="AU30" s="567">
        <f t="shared" si="3"/>
        <v>0.0376058591</v>
      </c>
      <c r="AV30" s="567">
        <f t="shared" si="3"/>
        <v>0.02679421565</v>
      </c>
      <c r="AW30" s="251"/>
    </row>
    <row r="31">
      <c r="A31" s="122"/>
      <c r="B31" s="123"/>
      <c r="C31" s="538"/>
      <c r="D31" s="538"/>
      <c r="E31" s="490" t="s">
        <v>551</v>
      </c>
      <c r="F31" s="544" t="s">
        <v>72</v>
      </c>
      <c r="G31" s="545" t="s">
        <v>161</v>
      </c>
      <c r="H31" s="551" t="s">
        <v>162</v>
      </c>
      <c r="I31" s="547">
        <f t="shared" ref="I31:AV31" si="4">I20*(1-I30)</f>
        <v>0.0004918699751</v>
      </c>
      <c r="J31" s="547">
        <f t="shared" si="4"/>
        <v>0.0003386684057</v>
      </c>
      <c r="K31" s="547">
        <f t="shared" si="4"/>
        <v>0.0005675605564</v>
      </c>
      <c r="L31" s="547">
        <f t="shared" si="4"/>
        <v>0.0001018451754</v>
      </c>
      <c r="M31" s="547">
        <f t="shared" si="4"/>
        <v>0.0002423784315</v>
      </c>
      <c r="N31" s="547">
        <f t="shared" si="4"/>
        <v>0.0003703318276</v>
      </c>
      <c r="O31" s="547">
        <f t="shared" si="4"/>
        <v>0.0007091974301</v>
      </c>
      <c r="P31" s="547">
        <f t="shared" si="4"/>
        <v>0.001386830855</v>
      </c>
      <c r="Q31" s="547">
        <f t="shared" si="4"/>
        <v>0.001576017832</v>
      </c>
      <c r="R31" s="547">
        <f t="shared" si="4"/>
        <v>0.000008196437545</v>
      </c>
      <c r="S31" s="547">
        <f t="shared" si="4"/>
        <v>0.00006533413314</v>
      </c>
      <c r="T31" s="547">
        <f t="shared" si="4"/>
        <v>0.000006513291008</v>
      </c>
      <c r="U31" s="547">
        <f t="shared" si="4"/>
        <v>0.000003719964348</v>
      </c>
      <c r="V31" s="547">
        <f t="shared" si="4"/>
        <v>0.00001913098825</v>
      </c>
      <c r="W31" s="547">
        <f t="shared" si="4"/>
        <v>0.00001857756142</v>
      </c>
      <c r="X31" s="547">
        <f t="shared" si="4"/>
        <v>0.00004522539464</v>
      </c>
      <c r="Y31" s="547">
        <f t="shared" si="4"/>
        <v>0.000006713977123</v>
      </c>
      <c r="Z31" s="547">
        <f t="shared" si="4"/>
        <v>0.000008843451175</v>
      </c>
      <c r="AA31" s="547">
        <f t="shared" si="4"/>
        <v>0.0000102579622</v>
      </c>
      <c r="AB31" s="547">
        <f t="shared" si="4"/>
        <v>0.000007422033592</v>
      </c>
      <c r="AC31" s="547">
        <f t="shared" si="4"/>
        <v>0.000003873047659</v>
      </c>
      <c r="AD31" s="547">
        <f t="shared" si="4"/>
        <v>0.000003290713589</v>
      </c>
      <c r="AE31" s="547">
        <f t="shared" si="4"/>
        <v>0.000007549837425</v>
      </c>
      <c r="AF31" s="547">
        <f t="shared" si="4"/>
        <v>0.000003451657144</v>
      </c>
      <c r="AG31" s="547">
        <f t="shared" si="4"/>
        <v>0.0001018451754</v>
      </c>
      <c r="AH31" s="547">
        <f t="shared" si="4"/>
        <v>0.00001099879684</v>
      </c>
      <c r="AI31" s="547">
        <f t="shared" si="4"/>
        <v>0.000006670894562</v>
      </c>
      <c r="AJ31" s="547">
        <f t="shared" si="4"/>
        <v>0.000001585611522</v>
      </c>
      <c r="AK31" s="547">
        <f t="shared" si="4"/>
        <v>0.00003002663943</v>
      </c>
      <c r="AL31" s="547">
        <f t="shared" si="4"/>
        <v>0.000113436472</v>
      </c>
      <c r="AM31" s="547">
        <f t="shared" si="4"/>
        <v>0.000113436472</v>
      </c>
      <c r="AN31" s="547">
        <f t="shared" si="4"/>
        <v>0.000113436472</v>
      </c>
      <c r="AO31" s="547">
        <f t="shared" si="4"/>
        <v>0.00001270263604</v>
      </c>
      <c r="AP31" s="547">
        <f t="shared" si="4"/>
        <v>0.000006901496217</v>
      </c>
      <c r="AQ31" s="547">
        <f t="shared" si="4"/>
        <v>0.000002051485351</v>
      </c>
      <c r="AR31" s="547">
        <f t="shared" si="4"/>
        <v>0.000009186546782</v>
      </c>
      <c r="AS31" s="547">
        <f t="shared" si="4"/>
        <v>0.00001153109906</v>
      </c>
      <c r="AT31" s="547">
        <f t="shared" si="4"/>
        <v>0.000007245722324</v>
      </c>
      <c r="AU31" s="547">
        <f t="shared" si="4"/>
        <v>0.0001355647635</v>
      </c>
      <c r="AV31" s="547">
        <f t="shared" si="4"/>
        <v>0.0002504389373</v>
      </c>
      <c r="AW31" s="548"/>
    </row>
    <row r="32">
      <c r="A32" s="122"/>
      <c r="B32" s="123"/>
      <c r="C32" s="538"/>
      <c r="D32" s="538"/>
      <c r="E32" s="269"/>
      <c r="F32" s="533"/>
      <c r="G32" s="534"/>
      <c r="H32" s="127"/>
      <c r="I32" s="552"/>
      <c r="J32" s="552"/>
      <c r="K32" s="552"/>
      <c r="L32" s="552"/>
      <c r="M32" s="552"/>
      <c r="N32" s="552"/>
      <c r="O32" s="552"/>
      <c r="P32" s="552"/>
      <c r="Q32" s="552"/>
      <c r="R32" s="552"/>
      <c r="S32" s="552"/>
      <c r="T32" s="552"/>
      <c r="U32" s="552"/>
      <c r="V32" s="552"/>
      <c r="W32" s="552"/>
      <c r="X32" s="552"/>
      <c r="Y32" s="552"/>
      <c r="Z32" s="552"/>
      <c r="AA32" s="552"/>
      <c r="AB32" s="552"/>
      <c r="AC32" s="552"/>
      <c r="AD32" s="552"/>
      <c r="AE32" s="552"/>
      <c r="AF32" s="552"/>
      <c r="AG32" s="552"/>
      <c r="AH32" s="552"/>
      <c r="AI32" s="552"/>
      <c r="AJ32" s="552"/>
      <c r="AK32" s="552"/>
      <c r="AL32" s="552"/>
      <c r="AM32" s="552"/>
      <c r="AN32" s="552"/>
      <c r="AO32" s="552"/>
      <c r="AP32" s="552"/>
      <c r="AQ32" s="552"/>
      <c r="AR32" s="552"/>
      <c r="AS32" s="552"/>
      <c r="AT32" s="552"/>
      <c r="AU32" s="552"/>
      <c r="AV32" s="552"/>
      <c r="AW32" s="553"/>
    </row>
    <row r="33">
      <c r="A33" s="117" t="s">
        <v>552</v>
      </c>
      <c r="B33" s="7"/>
      <c r="C33" s="7"/>
      <c r="D33" s="7"/>
      <c r="E33" s="7"/>
      <c r="F33" s="7"/>
      <c r="G33" s="7"/>
      <c r="H33" s="118"/>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121"/>
    </row>
    <row r="34">
      <c r="A34" s="122"/>
      <c r="B34" s="123"/>
      <c r="C34" s="538"/>
      <c r="D34" s="538"/>
      <c r="E34" s="269"/>
      <c r="F34" s="533"/>
      <c r="G34" s="534"/>
      <c r="H34" s="127"/>
      <c r="I34" s="552"/>
      <c r="J34" s="552"/>
      <c r="K34" s="552"/>
      <c r="L34" s="552"/>
      <c r="M34" s="552"/>
      <c r="N34" s="552"/>
      <c r="O34" s="552"/>
      <c r="P34" s="552"/>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552"/>
      <c r="AQ34" s="552"/>
      <c r="AR34" s="552"/>
      <c r="AS34" s="552"/>
      <c r="AT34" s="552"/>
      <c r="AU34" s="552"/>
      <c r="AV34" s="552"/>
      <c r="AW34" s="553"/>
    </row>
    <row r="35">
      <c r="A35" s="123"/>
      <c r="B35" s="123"/>
      <c r="C35" s="143" t="s">
        <v>553</v>
      </c>
      <c r="F35" s="533"/>
      <c r="G35" s="533"/>
      <c r="H35" s="127"/>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c r="AR35" s="552"/>
      <c r="AS35" s="552"/>
      <c r="AT35" s="552"/>
      <c r="AU35" s="552"/>
      <c r="AV35" s="552"/>
      <c r="AW35" s="553"/>
    </row>
    <row r="36">
      <c r="A36" s="122"/>
      <c r="B36" s="123"/>
      <c r="C36" s="538"/>
      <c r="D36" s="538"/>
      <c r="E36" s="254" t="s">
        <v>554</v>
      </c>
      <c r="F36" s="539" t="s">
        <v>72</v>
      </c>
      <c r="G36" s="540" t="s">
        <v>165</v>
      </c>
      <c r="H36" s="541" t="str">
        <f>Inputs!H127</f>
        <v>-</v>
      </c>
      <c r="I36" s="542">
        <f>Inputs!I127</f>
        <v>0.001926586</v>
      </c>
      <c r="J36" s="542">
        <f>Inputs!J127</f>
        <v>0.001715755</v>
      </c>
      <c r="K36" s="542">
        <f>Inputs!K127</f>
        <v>0.002305103</v>
      </c>
      <c r="L36" s="542">
        <f>Inputs!L127</f>
        <v>0.001196296</v>
      </c>
      <c r="M36" s="542">
        <f>Inputs!M127</f>
        <v>0.001434608</v>
      </c>
      <c r="N36" s="542">
        <f>Inputs!N127</f>
        <v>0.001871217</v>
      </c>
      <c r="O36" s="542">
        <f>Inputs!O127</f>
        <v>0.002022091</v>
      </c>
      <c r="P36" s="542">
        <f>Inputs!P127</f>
        <v>0.002327154</v>
      </c>
      <c r="Q36" s="542">
        <f>Inputs!Q127</f>
        <v>0.002749402</v>
      </c>
      <c r="R36" s="542">
        <f>Inputs!R127</f>
        <v>0.000328459</v>
      </c>
      <c r="S36" s="542">
        <f>Inputs!S127</f>
        <v>0.001064752</v>
      </c>
      <c r="T36" s="542">
        <f>Inputs!T127</f>
        <v>0.000357013</v>
      </c>
      <c r="U36" s="542">
        <f>Inputs!U127</f>
        <v>0.000476822</v>
      </c>
      <c r="V36" s="542">
        <f>Inputs!V127</f>
        <v>0.000791876</v>
      </c>
      <c r="W36" s="542">
        <f>Inputs!W127</f>
        <v>0.000626519</v>
      </c>
      <c r="X36" s="542">
        <f>Inputs!X127</f>
        <v>0.000996955</v>
      </c>
      <c r="Y36" s="542">
        <f>Inputs!Y127</f>
        <v>0.000432579</v>
      </c>
      <c r="Z36" s="542">
        <f>Inputs!Z127</f>
        <v>0.000463026</v>
      </c>
      <c r="AA36" s="542">
        <f>Inputs!AA127</f>
        <v>0.000463607</v>
      </c>
      <c r="AB36" s="542">
        <f>Inputs!AB127</f>
        <v>0.000329156</v>
      </c>
      <c r="AC36" s="542">
        <f>Inputs!AC127</f>
        <v>0.000215045</v>
      </c>
      <c r="AD36" s="542">
        <f>Inputs!AD127</f>
        <v>0.00026046</v>
      </c>
      <c r="AE36" s="542">
        <f>Inputs!AE127</f>
        <v>0.000333012</v>
      </c>
      <c r="AF36" s="542">
        <f>Inputs!AF127</f>
        <v>0.000186305</v>
      </c>
      <c r="AG36" s="542">
        <f>Inputs!AG127</f>
        <v>0.001196296</v>
      </c>
      <c r="AH36" s="542">
        <f>Inputs!AH127</f>
        <v>0.001066403</v>
      </c>
      <c r="AI36" s="542">
        <f>Inputs!AI127</f>
        <v>0.00039724</v>
      </c>
      <c r="AJ36" s="542">
        <f>Inputs!AJ127</f>
        <v>0.000158837</v>
      </c>
      <c r="AK36" s="542">
        <f>Inputs!AK127</f>
        <v>0.000753801</v>
      </c>
      <c r="AL36" s="542">
        <f>Inputs!AL127</f>
        <v>0.001116255</v>
      </c>
      <c r="AM36" s="542">
        <f>Inputs!AM127</f>
        <v>0.001116255</v>
      </c>
      <c r="AN36" s="542">
        <f>Inputs!AN127</f>
        <v>0.001116255</v>
      </c>
      <c r="AO36" s="542">
        <f>Inputs!AO127</f>
        <v>0.000471182</v>
      </c>
      <c r="AP36" s="542">
        <f>Inputs!AP127</f>
        <v>0.000323322</v>
      </c>
      <c r="AQ36" s="542">
        <f>Inputs!AQ127</f>
        <v>0.000185004</v>
      </c>
      <c r="AR36" s="542">
        <f>Inputs!AR127</f>
        <v>0.000430089</v>
      </c>
      <c r="AS36" s="542">
        <f>Inputs!AS127</f>
        <v>0.00041336</v>
      </c>
      <c r="AT36" s="542">
        <f>Inputs!AT127</f>
        <v>0.000357551</v>
      </c>
      <c r="AU36" s="542">
        <f>Inputs!AU127</f>
        <v>0.001203361</v>
      </c>
      <c r="AV36" s="542">
        <f>Inputs!AV127</f>
        <v>0.001569238</v>
      </c>
      <c r="AW36" s="543"/>
    </row>
    <row r="37">
      <c r="A37" s="122"/>
      <c r="B37" s="123"/>
      <c r="C37" s="538"/>
      <c r="D37" s="538"/>
      <c r="E37" s="257" t="s">
        <v>555</v>
      </c>
      <c r="F37" s="554" t="s">
        <v>72</v>
      </c>
      <c r="G37" s="555" t="s">
        <v>165</v>
      </c>
      <c r="H37" s="556" t="str">
        <f>Inputs!H128</f>
        <v>-</v>
      </c>
      <c r="I37" s="557">
        <f>Inputs!I128</f>
        <v>0.000230744</v>
      </c>
      <c r="J37" s="557">
        <f>Inputs!J128</f>
        <v>0.000206465</v>
      </c>
      <c r="K37" s="557">
        <f>Inputs!K128</f>
        <v>0.000290793</v>
      </c>
      <c r="L37" s="557">
        <f>Inputs!L128</f>
        <v>0.000172137</v>
      </c>
      <c r="M37" s="557">
        <f>Inputs!M128</f>
        <v>0.000177755</v>
      </c>
      <c r="N37" s="557">
        <f>Inputs!N128</f>
        <v>0.000245196</v>
      </c>
      <c r="O37" s="557">
        <f>Inputs!O128</f>
        <v>0.00027482</v>
      </c>
      <c r="P37" s="557">
        <f>Inputs!P128</f>
        <v>0.000297079</v>
      </c>
      <c r="Q37" s="557">
        <f>Inputs!Q128</f>
        <v>0.000315217</v>
      </c>
      <c r="R37" s="557">
        <f>Inputs!R128</f>
        <v>0.0000506</v>
      </c>
      <c r="S37" s="557">
        <f>Inputs!S128</f>
        <v>0.000128866</v>
      </c>
      <c r="T37" s="557">
        <f>Inputs!T128</f>
        <v>0.0000564</v>
      </c>
      <c r="U37" s="557">
        <f>Inputs!U128</f>
        <v>0.0000933</v>
      </c>
      <c r="V37" s="557">
        <f>Inputs!V128</f>
        <v>0.000116541</v>
      </c>
      <c r="W37" s="557">
        <f>Inputs!W128</f>
        <v>0.0000828</v>
      </c>
      <c r="X37" s="557">
        <f>Inputs!X128</f>
        <v>0.000125805</v>
      </c>
      <c r="Y37" s="557">
        <f>Inputs!Y128</f>
        <v>0.0000594</v>
      </c>
      <c r="Z37" s="557">
        <f>Inputs!Z128</f>
        <v>0.0000784</v>
      </c>
      <c r="AA37" s="557">
        <f>Inputs!AA128</f>
        <v>0.0000719</v>
      </c>
      <c r="AB37" s="557">
        <f>Inputs!AB128</f>
        <v>0.0000467</v>
      </c>
      <c r="AC37" s="557">
        <f>Inputs!AC128</f>
        <v>0.0000346</v>
      </c>
      <c r="AD37" s="557">
        <f>Inputs!AD128</f>
        <v>0.0000408</v>
      </c>
      <c r="AE37" s="557">
        <f>Inputs!AE128</f>
        <v>0.0000501</v>
      </c>
      <c r="AF37" s="557">
        <f>Inputs!AF128</f>
        <v>0.00003</v>
      </c>
      <c r="AG37" s="557">
        <f>Inputs!AG128</f>
        <v>0.000172137</v>
      </c>
      <c r="AH37" s="557">
        <f>Inputs!AH128</f>
        <v>0.000207429</v>
      </c>
      <c r="AI37" s="557">
        <f>Inputs!AI128</f>
        <v>0.0000759</v>
      </c>
      <c r="AJ37" s="557">
        <f>Inputs!AJ128</f>
        <v>0.0000291</v>
      </c>
      <c r="AK37" s="557">
        <f>Inputs!AK128</f>
        <v>0.000108955</v>
      </c>
      <c r="AL37" s="557">
        <f>Inputs!AL128</f>
        <v>0.000139744</v>
      </c>
      <c r="AM37" s="557">
        <f>Inputs!AM128</f>
        <v>0.000139744</v>
      </c>
      <c r="AN37" s="557">
        <f>Inputs!AN128</f>
        <v>0.000139744</v>
      </c>
      <c r="AO37" s="557">
        <f>Inputs!AO128</f>
        <v>0.0000664</v>
      </c>
      <c r="AP37" s="557">
        <f>Inputs!AP128</f>
        <v>0.000055</v>
      </c>
      <c r="AQ37" s="557">
        <f>Inputs!AQ128</f>
        <v>0.0000299</v>
      </c>
      <c r="AR37" s="557">
        <f>Inputs!AR128</f>
        <v>0.0000709</v>
      </c>
      <c r="AS37" s="557">
        <f>Inputs!AS128</f>
        <v>0.0000702</v>
      </c>
      <c r="AT37" s="557">
        <f>Inputs!AT128</f>
        <v>0.000055</v>
      </c>
      <c r="AU37" s="557">
        <f>Inputs!AU128</f>
        <v>0.000146813</v>
      </c>
      <c r="AV37" s="557">
        <f>Inputs!AV128</f>
        <v>0.000187811</v>
      </c>
      <c r="AW37" s="558"/>
    </row>
    <row r="38">
      <c r="A38" s="122"/>
      <c r="B38" s="123"/>
      <c r="C38" s="538"/>
      <c r="D38" s="538"/>
      <c r="E38" s="257" t="s">
        <v>556</v>
      </c>
      <c r="F38" s="554" t="s">
        <v>72</v>
      </c>
      <c r="G38" s="555" t="s">
        <v>165</v>
      </c>
      <c r="H38" s="556" t="str">
        <f>Inputs!H129</f>
        <v>-</v>
      </c>
      <c r="I38" s="557">
        <f>Inputs!I129</f>
        <v>0.0000474</v>
      </c>
      <c r="J38" s="557">
        <f>Inputs!J129</f>
        <v>0.0000378</v>
      </c>
      <c r="K38" s="557">
        <f>Inputs!K129</f>
        <v>0.0000691</v>
      </c>
      <c r="L38" s="557">
        <f>Inputs!L129</f>
        <v>0.0000312</v>
      </c>
      <c r="M38" s="557">
        <f>Inputs!M129</f>
        <v>0.0000337</v>
      </c>
      <c r="N38" s="557">
        <f>Inputs!N129</f>
        <v>0.0000512</v>
      </c>
      <c r="O38" s="557">
        <f>Inputs!O129</f>
        <v>0.000058</v>
      </c>
      <c r="P38" s="557">
        <f>Inputs!P129</f>
        <v>0.0000676</v>
      </c>
      <c r="Q38" s="557">
        <f>Inputs!Q129</f>
        <v>0.0000669</v>
      </c>
      <c r="R38" s="557">
        <f>Inputs!R129</f>
        <v>0.0000107</v>
      </c>
      <c r="S38" s="557">
        <f>Inputs!S129</f>
        <v>0.0000292</v>
      </c>
      <c r="T38" s="557">
        <f>Inputs!T129</f>
        <v>0.000014</v>
      </c>
      <c r="U38" s="557">
        <f>Inputs!U129</f>
        <v>0.0000208</v>
      </c>
      <c r="V38" s="557">
        <f>Inputs!V129</f>
        <v>0.0000301</v>
      </c>
      <c r="W38" s="557">
        <f>Inputs!W129</f>
        <v>0.0000231</v>
      </c>
      <c r="X38" s="557">
        <f>Inputs!X129</f>
        <v>0.0000333</v>
      </c>
      <c r="Y38" s="557">
        <f>Inputs!Y129</f>
        <v>0.0000153</v>
      </c>
      <c r="Z38" s="557">
        <f>Inputs!Z129</f>
        <v>0.000017</v>
      </c>
      <c r="AA38" s="557">
        <f>Inputs!AA129</f>
        <v>0.0000164</v>
      </c>
      <c r="AB38" s="557">
        <f>Inputs!AB129</f>
        <v>0.0000104</v>
      </c>
      <c r="AC38" s="557">
        <f>Inputs!AC129</f>
        <v>0.00000772</v>
      </c>
      <c r="AD38" s="557">
        <f>Inputs!AD129</f>
        <v>0.0000111</v>
      </c>
      <c r="AE38" s="557">
        <f>Inputs!AE129</f>
        <v>0.0000112</v>
      </c>
      <c r="AF38" s="557">
        <f>Inputs!AF129</f>
        <v>0.00000778</v>
      </c>
      <c r="AG38" s="557">
        <f>Inputs!AG129</f>
        <v>0.0000312</v>
      </c>
      <c r="AH38" s="557">
        <f>Inputs!AH129</f>
        <v>0.0000461</v>
      </c>
      <c r="AI38" s="557">
        <f>Inputs!AI129</f>
        <v>0.0000174</v>
      </c>
      <c r="AJ38" s="557">
        <f>Inputs!AJ129</f>
        <v>0.00000699</v>
      </c>
      <c r="AK38" s="557">
        <f>Inputs!AK129</f>
        <v>0.0000256</v>
      </c>
      <c r="AL38" s="557">
        <f>Inputs!AL129</f>
        <v>0.0000368</v>
      </c>
      <c r="AM38" s="557">
        <f>Inputs!AM129</f>
        <v>0.0000368</v>
      </c>
      <c r="AN38" s="557">
        <f>Inputs!AN129</f>
        <v>0.0000368</v>
      </c>
      <c r="AO38" s="557">
        <f>Inputs!AO129</f>
        <v>0.0000191</v>
      </c>
      <c r="AP38" s="557">
        <f>Inputs!AP129</f>
        <v>0.0000123</v>
      </c>
      <c r="AQ38" s="557">
        <f>Inputs!AQ129</f>
        <v>0.00000768</v>
      </c>
      <c r="AR38" s="557">
        <f>Inputs!AR129</f>
        <v>0.000017</v>
      </c>
      <c r="AS38" s="557">
        <f>Inputs!AS129</f>
        <v>0.0000181</v>
      </c>
      <c r="AT38" s="557">
        <f>Inputs!AT129</f>
        <v>0.0000123</v>
      </c>
      <c r="AU38" s="557">
        <f>Inputs!AU129</f>
        <v>0.0000329</v>
      </c>
      <c r="AV38" s="557">
        <f>Inputs!AV129</f>
        <v>0.0000525</v>
      </c>
      <c r="AW38" s="558"/>
    </row>
    <row r="39">
      <c r="A39" s="122"/>
      <c r="B39" s="123"/>
      <c r="C39" s="538"/>
      <c r="D39" s="538"/>
      <c r="E39" s="272" t="s">
        <v>557</v>
      </c>
      <c r="F39" s="559" t="s">
        <v>72</v>
      </c>
      <c r="G39" s="560" t="s">
        <v>165</v>
      </c>
      <c r="H39" s="561" t="str">
        <f>Inputs!H130</f>
        <v>-</v>
      </c>
      <c r="I39" s="562">
        <f>Inputs!I130</f>
        <v>0.0000466</v>
      </c>
      <c r="J39" s="562">
        <f>Inputs!J130</f>
        <v>0.0000385</v>
      </c>
      <c r="K39" s="562">
        <f>Inputs!K130</f>
        <v>0.0000541</v>
      </c>
      <c r="L39" s="562">
        <f>Inputs!L130</f>
        <v>0.0000293</v>
      </c>
      <c r="M39" s="562">
        <f>Inputs!M130</f>
        <v>0.0000367</v>
      </c>
      <c r="N39" s="562">
        <f>Inputs!N130</f>
        <v>0.0000468</v>
      </c>
      <c r="O39" s="562">
        <f>Inputs!O130</f>
        <v>0.0000517</v>
      </c>
      <c r="P39" s="562">
        <f>Inputs!P130</f>
        <v>0.0000607</v>
      </c>
      <c r="Q39" s="562">
        <f>Inputs!Q130</f>
        <v>0.0000599</v>
      </c>
      <c r="R39" s="562">
        <f>Inputs!R130</f>
        <v>0.00000778</v>
      </c>
      <c r="S39" s="562">
        <f>Inputs!S130</f>
        <v>0.0000221</v>
      </c>
      <c r="T39" s="562">
        <f>Inputs!T130</f>
        <v>0.00000984</v>
      </c>
      <c r="U39" s="562">
        <f>Inputs!U130</f>
        <v>0.0000133</v>
      </c>
      <c r="V39" s="562">
        <f>Inputs!V130</f>
        <v>0.0000189</v>
      </c>
      <c r="W39" s="562">
        <f>Inputs!W130</f>
        <v>0.0000142</v>
      </c>
      <c r="X39" s="562">
        <f>Inputs!X130</f>
        <v>0.0000291</v>
      </c>
      <c r="Y39" s="562">
        <f>Inputs!Y130</f>
        <v>0.00001</v>
      </c>
      <c r="Z39" s="562">
        <f>Inputs!Z130</f>
        <v>0.0000116</v>
      </c>
      <c r="AA39" s="562">
        <f>Inputs!AA130</f>
        <v>0.000011</v>
      </c>
      <c r="AB39" s="562">
        <f>Inputs!AB130</f>
        <v>0.00000802</v>
      </c>
      <c r="AC39" s="562">
        <f>Inputs!AC130</f>
        <v>0.00000539</v>
      </c>
      <c r="AD39" s="562">
        <f>Inputs!AD130</f>
        <v>0.0000073</v>
      </c>
      <c r="AE39" s="562">
        <f>Inputs!AE130</f>
        <v>0.00000841</v>
      </c>
      <c r="AF39" s="562">
        <f>Inputs!AF130</f>
        <v>0.00000545</v>
      </c>
      <c r="AG39" s="562">
        <f>Inputs!AG130</f>
        <v>0.0000293</v>
      </c>
      <c r="AH39" s="562">
        <f>Inputs!AH130</f>
        <v>0.0000271</v>
      </c>
      <c r="AI39" s="562">
        <f>Inputs!AI130</f>
        <v>0.0000129</v>
      </c>
      <c r="AJ39" s="562">
        <f>Inputs!AJ130</f>
        <v>0.00000548</v>
      </c>
      <c r="AK39" s="562">
        <f>Inputs!AK130</f>
        <v>0.0000187</v>
      </c>
      <c r="AL39" s="562">
        <f>Inputs!AL130</f>
        <v>0.0000296</v>
      </c>
      <c r="AM39" s="562">
        <f>Inputs!AM130</f>
        <v>0.0000296</v>
      </c>
      <c r="AN39" s="562">
        <f>Inputs!AN130</f>
        <v>0.0000296</v>
      </c>
      <c r="AO39" s="562">
        <f>Inputs!AO130</f>
        <v>0.0000128</v>
      </c>
      <c r="AP39" s="562">
        <f>Inputs!AP130</f>
        <v>0.00000779</v>
      </c>
      <c r="AQ39" s="562">
        <f>Inputs!AQ130</f>
        <v>0.00000538</v>
      </c>
      <c r="AR39" s="562">
        <f>Inputs!AR130</f>
        <v>0.0000123</v>
      </c>
      <c r="AS39" s="562">
        <f>Inputs!AS130</f>
        <v>0.0000131</v>
      </c>
      <c r="AT39" s="562">
        <f>Inputs!AT130</f>
        <v>0.00000929</v>
      </c>
      <c r="AU39" s="562">
        <f>Inputs!AU130</f>
        <v>0.0000327</v>
      </c>
      <c r="AV39" s="562">
        <f>Inputs!AV130</f>
        <v>0.0000443</v>
      </c>
      <c r="AW39" s="563"/>
    </row>
    <row r="40">
      <c r="A40" s="122"/>
      <c r="B40" s="123"/>
      <c r="C40" s="538"/>
      <c r="D40" s="538"/>
      <c r="E40" s="269"/>
      <c r="F40" s="533"/>
      <c r="G40" s="534"/>
      <c r="H40" s="127"/>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2"/>
      <c r="AN40" s="552"/>
      <c r="AO40" s="552"/>
      <c r="AP40" s="552"/>
      <c r="AQ40" s="552"/>
      <c r="AR40" s="552"/>
      <c r="AS40" s="552"/>
      <c r="AT40" s="552"/>
      <c r="AU40" s="552"/>
      <c r="AV40" s="552"/>
      <c r="AW40" s="553"/>
    </row>
    <row r="41">
      <c r="A41" s="122"/>
      <c r="B41" s="123"/>
      <c r="C41" s="143" t="s">
        <v>558</v>
      </c>
      <c r="F41" s="533"/>
      <c r="G41" s="534"/>
      <c r="H41" s="127"/>
      <c r="I41" s="552"/>
      <c r="J41" s="552"/>
      <c r="K41" s="552"/>
      <c r="L41" s="552"/>
      <c r="M41" s="552"/>
      <c r="N41" s="552"/>
      <c r="O41" s="552"/>
      <c r="P41" s="552"/>
      <c r="Q41" s="552"/>
      <c r="R41" s="552"/>
      <c r="S41" s="552"/>
      <c r="T41" s="552"/>
      <c r="U41" s="552"/>
      <c r="V41" s="552"/>
      <c r="W41" s="552"/>
      <c r="X41" s="552"/>
      <c r="Y41" s="552"/>
      <c r="Z41" s="552"/>
      <c r="AA41" s="552"/>
      <c r="AB41" s="552"/>
      <c r="AC41" s="552"/>
      <c r="AD41" s="552"/>
      <c r="AE41" s="552"/>
      <c r="AF41" s="552"/>
      <c r="AG41" s="552"/>
      <c r="AH41" s="552"/>
      <c r="AI41" s="552"/>
      <c r="AJ41" s="552"/>
      <c r="AK41" s="552"/>
      <c r="AL41" s="552"/>
      <c r="AM41" s="552"/>
      <c r="AN41" s="552"/>
      <c r="AO41" s="552"/>
      <c r="AP41" s="552"/>
      <c r="AQ41" s="552"/>
      <c r="AR41" s="552"/>
      <c r="AS41" s="552"/>
      <c r="AT41" s="552"/>
      <c r="AU41" s="552"/>
      <c r="AV41" s="552"/>
      <c r="AW41" s="553"/>
    </row>
    <row r="42">
      <c r="A42" s="122"/>
      <c r="B42" s="123"/>
      <c r="C42" s="538"/>
      <c r="D42" s="538"/>
      <c r="E42" s="254" t="s">
        <v>559</v>
      </c>
      <c r="F42" s="539" t="s">
        <v>62</v>
      </c>
      <c r="G42" s="540" t="s">
        <v>165</v>
      </c>
      <c r="H42" s="541" t="str">
        <f>Inputs!H131</f>
        <v>-</v>
      </c>
      <c r="I42" s="564">
        <f>Inputs!I131</f>
        <v>540.8011157</v>
      </c>
      <c r="J42" s="564">
        <f>Inputs!J131</f>
        <v>224.345146</v>
      </c>
      <c r="K42" s="564">
        <f>Inputs!K131</f>
        <v>530.8905851</v>
      </c>
      <c r="L42" s="564">
        <f>Inputs!L131</f>
        <v>467.3780154</v>
      </c>
      <c r="M42" s="564">
        <f>Inputs!M131</f>
        <v>980.0860812</v>
      </c>
      <c r="N42" s="564">
        <f>Inputs!N131</f>
        <v>788.1841524</v>
      </c>
      <c r="O42" s="564">
        <f>Inputs!O131</f>
        <v>403.5331121</v>
      </c>
      <c r="P42" s="564">
        <f>Inputs!P131</f>
        <v>691.8503844</v>
      </c>
      <c r="Q42" s="564">
        <f>Inputs!Q131</f>
        <v>441.3439874</v>
      </c>
      <c r="R42" s="564">
        <f>Inputs!R131</f>
        <v>45.51206907</v>
      </c>
      <c r="S42" s="564">
        <f>Inputs!S131</f>
        <v>119.6846827</v>
      </c>
      <c r="T42" s="564">
        <f>Inputs!T131</f>
        <v>21.4097731</v>
      </c>
      <c r="U42" s="564">
        <f>Inputs!U131</f>
        <v>90.01817195</v>
      </c>
      <c r="V42" s="564">
        <f>Inputs!V131</f>
        <v>17.17539435</v>
      </c>
      <c r="W42" s="564">
        <f>Inputs!W131</f>
        <v>189.8240928</v>
      </c>
      <c r="X42" s="564">
        <f>Inputs!X131</f>
        <v>165.9417811</v>
      </c>
      <c r="Y42" s="564">
        <f>Inputs!Y131</f>
        <v>27.43035327</v>
      </c>
      <c r="Z42" s="564">
        <f>Inputs!Z131</f>
        <v>55.49172414</v>
      </c>
      <c r="AA42" s="564">
        <f>Inputs!AA131</f>
        <v>48.19076233</v>
      </c>
      <c r="AB42" s="564">
        <f>Inputs!AB131</f>
        <v>33.34002946</v>
      </c>
      <c r="AC42" s="564">
        <f>Inputs!AC131</f>
        <v>9.735488309</v>
      </c>
      <c r="AD42" s="564">
        <f>Inputs!AD131</f>
        <v>32.85350986</v>
      </c>
      <c r="AE42" s="564">
        <f>Inputs!AE131</f>
        <v>61.69118541</v>
      </c>
      <c r="AF42" s="564">
        <f>Inputs!AF131</f>
        <v>57.44254279</v>
      </c>
      <c r="AG42" s="564">
        <f>Inputs!AG131</f>
        <v>467.3780154</v>
      </c>
      <c r="AH42" s="564">
        <f>Inputs!AH131</f>
        <v>89.28366102</v>
      </c>
      <c r="AI42" s="564">
        <f>Inputs!AI131</f>
        <v>36.36779927</v>
      </c>
      <c r="AJ42" s="564">
        <f>Inputs!AJ131</f>
        <v>21.25609156</v>
      </c>
      <c r="AK42" s="564">
        <f>Inputs!AK131</f>
        <v>147.1413366</v>
      </c>
      <c r="AL42" s="564">
        <f>Inputs!AL131</f>
        <v>470.9719226</v>
      </c>
      <c r="AM42" s="564">
        <f>Inputs!AM131</f>
        <v>470.9719226</v>
      </c>
      <c r="AN42" s="564">
        <f>Inputs!AN131</f>
        <v>470.9719226</v>
      </c>
      <c r="AO42" s="564">
        <f>Inputs!AO131</f>
        <v>162.4752605</v>
      </c>
      <c r="AP42" s="564">
        <f>Inputs!AP131</f>
        <v>31.70792364</v>
      </c>
      <c r="AQ42" s="564">
        <f>Inputs!AQ131</f>
        <v>20.91062685</v>
      </c>
      <c r="AR42" s="564">
        <f>Inputs!AR131</f>
        <v>68.1150623</v>
      </c>
      <c r="AS42" s="564">
        <f>Inputs!AS131</f>
        <v>160.2433634</v>
      </c>
      <c r="AT42" s="564">
        <f>Inputs!AT131</f>
        <v>34.47277344</v>
      </c>
      <c r="AU42" s="564">
        <f>Inputs!AU131</f>
        <v>355.815953</v>
      </c>
      <c r="AV42" s="564">
        <f>Inputs!AV131</f>
        <v>267.2085607</v>
      </c>
      <c r="AW42" s="565"/>
    </row>
    <row r="43">
      <c r="A43" s="122"/>
      <c r="B43" s="123"/>
      <c r="C43" s="538"/>
      <c r="D43" s="538"/>
      <c r="E43" s="257" t="s">
        <v>560</v>
      </c>
      <c r="F43" s="554" t="s">
        <v>62</v>
      </c>
      <c r="G43" s="555" t="s">
        <v>165</v>
      </c>
      <c r="H43" s="556" t="str">
        <f>Inputs!H132</f>
        <v>-</v>
      </c>
      <c r="I43" s="310">
        <f>Inputs!I132</f>
        <v>189.8339379</v>
      </c>
      <c r="J43" s="310">
        <f>Inputs!J132</f>
        <v>81.0002238</v>
      </c>
      <c r="K43" s="310">
        <f>Inputs!K132</f>
        <v>199.569061</v>
      </c>
      <c r="L43" s="310">
        <f>Inputs!L132</f>
        <v>197.5509697</v>
      </c>
      <c r="M43" s="310">
        <f>Inputs!M132</f>
        <v>363.1260394</v>
      </c>
      <c r="N43" s="310">
        <f>Inputs!N132</f>
        <v>306.1586707</v>
      </c>
      <c r="O43" s="310">
        <f>Inputs!O132</f>
        <v>151.4564727</v>
      </c>
      <c r="P43" s="310">
        <f>Inputs!P132</f>
        <v>250.6856765</v>
      </c>
      <c r="Q43" s="310">
        <f>Inputs!Q132</f>
        <v>155.0955003</v>
      </c>
      <c r="R43" s="310">
        <f>Inputs!R132</f>
        <v>18.67439503</v>
      </c>
      <c r="S43" s="310">
        <f>Inputs!S132</f>
        <v>45.45611919</v>
      </c>
      <c r="T43" s="310">
        <f>Inputs!T132</f>
        <v>8.546008622</v>
      </c>
      <c r="U43" s="310">
        <f>Inputs!U132</f>
        <v>39.5919197</v>
      </c>
      <c r="V43" s="310">
        <f>Inputs!V132</f>
        <v>6.177657033</v>
      </c>
      <c r="W43" s="310">
        <f>Inputs!W132</f>
        <v>83.11093737</v>
      </c>
      <c r="X43" s="310">
        <f>Inputs!X132</f>
        <v>67.36193672</v>
      </c>
      <c r="Y43" s="310">
        <f>Inputs!Y132</f>
        <v>10.73802738</v>
      </c>
      <c r="Z43" s="310">
        <f>Inputs!Z132</f>
        <v>23.25069983</v>
      </c>
      <c r="AA43" s="310">
        <f>Inputs!AA132</f>
        <v>21.17100073</v>
      </c>
      <c r="AB43" s="310">
        <f>Inputs!AB132</f>
        <v>11.7975463</v>
      </c>
      <c r="AC43" s="310">
        <f>Inputs!AC132</f>
        <v>3.796313255</v>
      </c>
      <c r="AD43" s="310">
        <f>Inputs!AD132</f>
        <v>13.54920366</v>
      </c>
      <c r="AE43" s="310">
        <f>Inputs!AE132</f>
        <v>27.25101399</v>
      </c>
      <c r="AF43" s="310">
        <f>Inputs!AF132</f>
        <v>23.74188118</v>
      </c>
      <c r="AG43" s="310">
        <f>Inputs!AG132</f>
        <v>197.5509697</v>
      </c>
      <c r="AH43" s="310">
        <f>Inputs!AH132</f>
        <v>35.1694165</v>
      </c>
      <c r="AI43" s="310">
        <f>Inputs!AI132</f>
        <v>15.15255535</v>
      </c>
      <c r="AJ43" s="310">
        <f>Inputs!AJ132</f>
        <v>9.340011027</v>
      </c>
      <c r="AK43" s="310">
        <f>Inputs!AK132</f>
        <v>59.51532439</v>
      </c>
      <c r="AL43" s="310">
        <f>Inputs!AL132</f>
        <v>192.6364774</v>
      </c>
      <c r="AM43" s="310">
        <f>Inputs!AM132</f>
        <v>192.6364774</v>
      </c>
      <c r="AN43" s="310">
        <f>Inputs!AN132</f>
        <v>192.6364774</v>
      </c>
      <c r="AO43" s="310">
        <f>Inputs!AO132</f>
        <v>68.78692763</v>
      </c>
      <c r="AP43" s="310">
        <f>Inputs!AP132</f>
        <v>10.67714035</v>
      </c>
      <c r="AQ43" s="310">
        <f>Inputs!AQ132</f>
        <v>8.796109199</v>
      </c>
      <c r="AR43" s="310">
        <f>Inputs!AR132</f>
        <v>25.89045487</v>
      </c>
      <c r="AS43" s="310">
        <f>Inputs!AS132</f>
        <v>69.51014856</v>
      </c>
      <c r="AT43" s="310">
        <f>Inputs!AT132</f>
        <v>13.6339952</v>
      </c>
      <c r="AU43" s="310">
        <f>Inputs!AU132</f>
        <v>138.0998402</v>
      </c>
      <c r="AV43" s="310">
        <f>Inputs!AV132</f>
        <v>102.6045024</v>
      </c>
      <c r="AW43" s="251"/>
    </row>
    <row r="44">
      <c r="A44" s="122"/>
      <c r="B44" s="123"/>
      <c r="C44" s="538"/>
      <c r="D44" s="538"/>
      <c r="E44" s="257" t="s">
        <v>561</v>
      </c>
      <c r="F44" s="554" t="s">
        <v>72</v>
      </c>
      <c r="G44" s="555" t="s">
        <v>161</v>
      </c>
      <c r="H44" s="566" t="s">
        <v>162</v>
      </c>
      <c r="I44" s="567">
        <f t="shared" ref="I44:AV44" si="5">I43/I42</f>
        <v>0.3510235693</v>
      </c>
      <c r="J44" s="567">
        <f t="shared" si="5"/>
        <v>0.3610518224</v>
      </c>
      <c r="K44" s="567">
        <f t="shared" si="5"/>
        <v>0.3759137318</v>
      </c>
      <c r="L44" s="567">
        <f t="shared" si="5"/>
        <v>0.4226792087</v>
      </c>
      <c r="M44" s="567">
        <f t="shared" si="5"/>
        <v>0.3705042306</v>
      </c>
      <c r="N44" s="567">
        <f t="shared" si="5"/>
        <v>0.3884354561</v>
      </c>
      <c r="O44" s="567">
        <f t="shared" si="5"/>
        <v>0.3753260096</v>
      </c>
      <c r="P44" s="567">
        <f t="shared" si="5"/>
        <v>0.3623408791</v>
      </c>
      <c r="Q44" s="567">
        <f t="shared" si="5"/>
        <v>0.3514163662</v>
      </c>
      <c r="R44" s="567">
        <f t="shared" si="5"/>
        <v>0.4103174259</v>
      </c>
      <c r="S44" s="567">
        <f t="shared" si="5"/>
        <v>0.3797989698</v>
      </c>
      <c r="T44" s="567">
        <f t="shared" si="5"/>
        <v>0.3991639044</v>
      </c>
      <c r="U44" s="567">
        <f t="shared" si="5"/>
        <v>0.4398214143</v>
      </c>
      <c r="V44" s="567">
        <f t="shared" si="5"/>
        <v>0.3596806517</v>
      </c>
      <c r="W44" s="567">
        <f t="shared" si="5"/>
        <v>0.4378313424</v>
      </c>
      <c r="X44" s="567">
        <f t="shared" si="5"/>
        <v>0.4059371683</v>
      </c>
      <c r="Y44" s="567">
        <f t="shared" si="5"/>
        <v>0.3914651508</v>
      </c>
      <c r="Z44" s="567">
        <f t="shared" si="5"/>
        <v>0.4189940066</v>
      </c>
      <c r="AA44" s="567">
        <f t="shared" si="5"/>
        <v>0.4393165766</v>
      </c>
      <c r="AB44" s="567">
        <f t="shared" si="5"/>
        <v>0.3538553052</v>
      </c>
      <c r="AC44" s="567">
        <f t="shared" si="5"/>
        <v>0.3899458491</v>
      </c>
      <c r="AD44" s="567">
        <f t="shared" si="5"/>
        <v>0.4124126682</v>
      </c>
      <c r="AE44" s="567">
        <f t="shared" si="5"/>
        <v>0.4417327015</v>
      </c>
      <c r="AF44" s="567">
        <f t="shared" si="5"/>
        <v>0.4133152891</v>
      </c>
      <c r="AG44" s="567">
        <f t="shared" si="5"/>
        <v>0.4226792087</v>
      </c>
      <c r="AH44" s="567">
        <f t="shared" si="5"/>
        <v>0.3939065233</v>
      </c>
      <c r="AI44" s="567">
        <f t="shared" si="5"/>
        <v>0.4166475743</v>
      </c>
      <c r="AJ44" s="567">
        <f t="shared" si="5"/>
        <v>0.4394039704</v>
      </c>
      <c r="AK44" s="567">
        <f t="shared" si="5"/>
        <v>0.4044772582</v>
      </c>
      <c r="AL44" s="567">
        <f t="shared" si="5"/>
        <v>0.4090190267</v>
      </c>
      <c r="AM44" s="567">
        <f t="shared" si="5"/>
        <v>0.4090190267</v>
      </c>
      <c r="AN44" s="567">
        <f t="shared" si="5"/>
        <v>0.4090190267</v>
      </c>
      <c r="AO44" s="567">
        <f t="shared" si="5"/>
        <v>0.423368625</v>
      </c>
      <c r="AP44" s="567">
        <f t="shared" si="5"/>
        <v>0.3367341385</v>
      </c>
      <c r="AQ44" s="567">
        <f t="shared" si="5"/>
        <v>0.4206525831</v>
      </c>
      <c r="AR44" s="567">
        <f t="shared" si="5"/>
        <v>0.380098821</v>
      </c>
      <c r="AS44" s="567">
        <f t="shared" si="5"/>
        <v>0.433778642</v>
      </c>
      <c r="AT44" s="567">
        <f t="shared" si="5"/>
        <v>0.3955003859</v>
      </c>
      <c r="AU44" s="567">
        <f t="shared" si="5"/>
        <v>0.3881215528</v>
      </c>
      <c r="AV44" s="567">
        <f t="shared" si="5"/>
        <v>0.3839865839</v>
      </c>
      <c r="AW44" s="251"/>
    </row>
    <row r="45">
      <c r="A45" s="122"/>
      <c r="B45" s="123"/>
      <c r="C45" s="538"/>
      <c r="D45" s="538"/>
      <c r="E45" s="257" t="s">
        <v>562</v>
      </c>
      <c r="F45" s="554" t="s">
        <v>72</v>
      </c>
      <c r="G45" s="555" t="s">
        <v>165</v>
      </c>
      <c r="H45" s="568">
        <f>Inputs!H133</f>
        <v>0.15</v>
      </c>
      <c r="I45" s="310" t="str">
        <f>Inputs!I133</f>
        <v>-</v>
      </c>
      <c r="J45" s="310" t="str">
        <f>Inputs!J133</f>
        <v>-</v>
      </c>
      <c r="K45" s="310" t="str">
        <f>Inputs!K133</f>
        <v>-</v>
      </c>
      <c r="L45" s="310" t="str">
        <f>Inputs!L133</f>
        <v>-</v>
      </c>
      <c r="M45" s="310" t="str">
        <f>Inputs!M133</f>
        <v>-</v>
      </c>
      <c r="N45" s="310" t="str">
        <f>Inputs!N133</f>
        <v>-</v>
      </c>
      <c r="O45" s="310" t="str">
        <f>Inputs!O133</f>
        <v>-</v>
      </c>
      <c r="P45" s="310" t="str">
        <f>Inputs!P133</f>
        <v>-</v>
      </c>
      <c r="Q45" s="310" t="str">
        <f>Inputs!Q133</f>
        <v>-</v>
      </c>
      <c r="R45" s="310" t="str">
        <f>Inputs!R133</f>
        <v>-</v>
      </c>
      <c r="S45" s="310" t="str">
        <f>Inputs!S133</f>
        <v>-</v>
      </c>
      <c r="T45" s="310" t="str">
        <f>Inputs!T133</f>
        <v>-</v>
      </c>
      <c r="U45" s="310" t="str">
        <f>Inputs!U133</f>
        <v>-</v>
      </c>
      <c r="V45" s="310" t="str">
        <f>Inputs!V133</f>
        <v>-</v>
      </c>
      <c r="W45" s="310" t="str">
        <f>Inputs!W133</f>
        <v>-</v>
      </c>
      <c r="X45" s="310" t="str">
        <f>Inputs!X133</f>
        <v>-</v>
      </c>
      <c r="Y45" s="310" t="str">
        <f>Inputs!Y133</f>
        <v>-</v>
      </c>
      <c r="Z45" s="310" t="str">
        <f>Inputs!Z133</f>
        <v>-</v>
      </c>
      <c r="AA45" s="310" t="str">
        <f>Inputs!AA133</f>
        <v>-</v>
      </c>
      <c r="AB45" s="310" t="str">
        <f>Inputs!AB133</f>
        <v>-</v>
      </c>
      <c r="AC45" s="310" t="str">
        <f>Inputs!AC133</f>
        <v>-</v>
      </c>
      <c r="AD45" s="310" t="str">
        <f>Inputs!AD133</f>
        <v>-</v>
      </c>
      <c r="AE45" s="310" t="str">
        <f>Inputs!AE133</f>
        <v>-</v>
      </c>
      <c r="AF45" s="310" t="str">
        <f>Inputs!AF133</f>
        <v>-</v>
      </c>
      <c r="AG45" s="310" t="str">
        <f>Inputs!AG133</f>
        <v>-</v>
      </c>
      <c r="AH45" s="310" t="str">
        <f>Inputs!AH133</f>
        <v>-</v>
      </c>
      <c r="AI45" s="310" t="str">
        <f>Inputs!AI133</f>
        <v>-</v>
      </c>
      <c r="AJ45" s="310" t="str">
        <f>Inputs!AJ133</f>
        <v>-</v>
      </c>
      <c r="AK45" s="310" t="str">
        <f>Inputs!AK133</f>
        <v>-</v>
      </c>
      <c r="AL45" s="310" t="str">
        <f>Inputs!AL133</f>
        <v>-</v>
      </c>
      <c r="AM45" s="310" t="str">
        <f>Inputs!AM133</f>
        <v>-</v>
      </c>
      <c r="AN45" s="310" t="str">
        <f>Inputs!AN133</f>
        <v>-</v>
      </c>
      <c r="AO45" s="310" t="str">
        <f>Inputs!AO133</f>
        <v>-</v>
      </c>
      <c r="AP45" s="310" t="str">
        <f>Inputs!AP133</f>
        <v>-</v>
      </c>
      <c r="AQ45" s="310" t="str">
        <f>Inputs!AQ133</f>
        <v>-</v>
      </c>
      <c r="AR45" s="310" t="str">
        <f>Inputs!AR133</f>
        <v>-</v>
      </c>
      <c r="AS45" s="310" t="str">
        <f>Inputs!AS133</f>
        <v>-</v>
      </c>
      <c r="AT45" s="310" t="str">
        <f>Inputs!AT133</f>
        <v>-</v>
      </c>
      <c r="AU45" s="310" t="str">
        <f>Inputs!AU133</f>
        <v>-</v>
      </c>
      <c r="AV45" s="310" t="str">
        <f>Inputs!AV133</f>
        <v>-</v>
      </c>
      <c r="AW45" s="251"/>
    </row>
    <row r="46">
      <c r="A46" s="122"/>
      <c r="B46" s="123"/>
      <c r="C46" s="538"/>
      <c r="D46" s="538"/>
      <c r="E46" s="257" t="s">
        <v>563</v>
      </c>
      <c r="F46" s="554" t="s">
        <v>72</v>
      </c>
      <c r="G46" s="555" t="s">
        <v>161</v>
      </c>
      <c r="H46" s="566" t="s">
        <v>162</v>
      </c>
      <c r="I46" s="567">
        <f t="shared" ref="I46:AV46" si="6">I44*$H45</f>
        <v>0.05265353539</v>
      </c>
      <c r="J46" s="567">
        <f t="shared" si="6"/>
        <v>0.05415777335</v>
      </c>
      <c r="K46" s="567">
        <f t="shared" si="6"/>
        <v>0.05638705976</v>
      </c>
      <c r="L46" s="567">
        <f t="shared" si="6"/>
        <v>0.0634018813</v>
      </c>
      <c r="M46" s="567">
        <f t="shared" si="6"/>
        <v>0.05557563458</v>
      </c>
      <c r="N46" s="567">
        <f t="shared" si="6"/>
        <v>0.05826531841</v>
      </c>
      <c r="O46" s="567">
        <f t="shared" si="6"/>
        <v>0.05629890144</v>
      </c>
      <c r="P46" s="567">
        <f t="shared" si="6"/>
        <v>0.05435113187</v>
      </c>
      <c r="Q46" s="567">
        <f t="shared" si="6"/>
        <v>0.05271245493</v>
      </c>
      <c r="R46" s="567">
        <f t="shared" si="6"/>
        <v>0.06154761389</v>
      </c>
      <c r="S46" s="567">
        <f t="shared" si="6"/>
        <v>0.05696984547</v>
      </c>
      <c r="T46" s="567">
        <f t="shared" si="6"/>
        <v>0.05987458565</v>
      </c>
      <c r="U46" s="567">
        <f t="shared" si="6"/>
        <v>0.06597321215</v>
      </c>
      <c r="V46" s="567">
        <f t="shared" si="6"/>
        <v>0.05395209775</v>
      </c>
      <c r="W46" s="567">
        <f t="shared" si="6"/>
        <v>0.06567470136</v>
      </c>
      <c r="X46" s="567">
        <f t="shared" si="6"/>
        <v>0.06089057524</v>
      </c>
      <c r="Y46" s="567">
        <f t="shared" si="6"/>
        <v>0.05871977262</v>
      </c>
      <c r="Z46" s="567">
        <f t="shared" si="6"/>
        <v>0.06284910099</v>
      </c>
      <c r="AA46" s="567">
        <f t="shared" si="6"/>
        <v>0.06589748649</v>
      </c>
      <c r="AB46" s="567">
        <f t="shared" si="6"/>
        <v>0.05307829578</v>
      </c>
      <c r="AC46" s="567">
        <f t="shared" si="6"/>
        <v>0.05849187736</v>
      </c>
      <c r="AD46" s="567">
        <f t="shared" si="6"/>
        <v>0.06186190022</v>
      </c>
      <c r="AE46" s="567">
        <f t="shared" si="6"/>
        <v>0.06625990523</v>
      </c>
      <c r="AF46" s="567">
        <f t="shared" si="6"/>
        <v>0.06199729337</v>
      </c>
      <c r="AG46" s="567">
        <f t="shared" si="6"/>
        <v>0.0634018813</v>
      </c>
      <c r="AH46" s="567">
        <f t="shared" si="6"/>
        <v>0.0590859785</v>
      </c>
      <c r="AI46" s="567">
        <f t="shared" si="6"/>
        <v>0.06249713615</v>
      </c>
      <c r="AJ46" s="567">
        <f t="shared" si="6"/>
        <v>0.06591059556</v>
      </c>
      <c r="AK46" s="567">
        <f t="shared" si="6"/>
        <v>0.06067158872</v>
      </c>
      <c r="AL46" s="567">
        <f t="shared" si="6"/>
        <v>0.06135285401</v>
      </c>
      <c r="AM46" s="567">
        <f t="shared" si="6"/>
        <v>0.06135285401</v>
      </c>
      <c r="AN46" s="567">
        <f t="shared" si="6"/>
        <v>0.06135285401</v>
      </c>
      <c r="AO46" s="567">
        <f t="shared" si="6"/>
        <v>0.06350529375</v>
      </c>
      <c r="AP46" s="567">
        <f t="shared" si="6"/>
        <v>0.05051012077</v>
      </c>
      <c r="AQ46" s="567">
        <f t="shared" si="6"/>
        <v>0.06309788747</v>
      </c>
      <c r="AR46" s="567">
        <f t="shared" si="6"/>
        <v>0.05701482314</v>
      </c>
      <c r="AS46" s="567">
        <f t="shared" si="6"/>
        <v>0.0650667963</v>
      </c>
      <c r="AT46" s="567">
        <f t="shared" si="6"/>
        <v>0.05932505789</v>
      </c>
      <c r="AU46" s="567">
        <f t="shared" si="6"/>
        <v>0.05821823292</v>
      </c>
      <c r="AV46" s="567">
        <f t="shared" si="6"/>
        <v>0.05759798758</v>
      </c>
      <c r="AW46" s="251"/>
    </row>
    <row r="47">
      <c r="A47" s="122"/>
      <c r="B47" s="123"/>
      <c r="C47" s="538"/>
      <c r="D47" s="538"/>
      <c r="E47" s="490" t="s">
        <v>564</v>
      </c>
      <c r="F47" s="544" t="s">
        <v>72</v>
      </c>
      <c r="G47" s="545" t="s">
        <v>161</v>
      </c>
      <c r="H47" s="551" t="s">
        <v>162</v>
      </c>
      <c r="I47" s="547">
        <f t="shared" ref="I47:AV47" si="7">I36*(1-I46)</f>
        <v>0.001825144436</v>
      </c>
      <c r="J47" s="547">
        <f t="shared" si="7"/>
        <v>0.00162283353</v>
      </c>
      <c r="K47" s="547">
        <f t="shared" si="7"/>
        <v>0.002175125019</v>
      </c>
      <c r="L47" s="547">
        <f t="shared" si="7"/>
        <v>0.001120448583</v>
      </c>
      <c r="M47" s="547">
        <f t="shared" si="7"/>
        <v>0.00135487875</v>
      </c>
      <c r="N47" s="547">
        <f t="shared" si="7"/>
        <v>0.001762189946</v>
      </c>
      <c r="O47" s="547">
        <f t="shared" si="7"/>
        <v>0.001908249498</v>
      </c>
      <c r="P47" s="547">
        <f t="shared" si="7"/>
        <v>0.002200670546</v>
      </c>
      <c r="Q47" s="547">
        <f t="shared" si="7"/>
        <v>0.002604474271</v>
      </c>
      <c r="R47" s="547">
        <f t="shared" si="7"/>
        <v>0.0003082431323</v>
      </c>
      <c r="S47" s="547">
        <f t="shared" si="7"/>
        <v>0.001004093243</v>
      </c>
      <c r="T47" s="547">
        <f t="shared" si="7"/>
        <v>0.0003356369946</v>
      </c>
      <c r="U47" s="547">
        <f t="shared" si="7"/>
        <v>0.000445364521</v>
      </c>
      <c r="V47" s="547">
        <f t="shared" si="7"/>
        <v>0.0007491526286</v>
      </c>
      <c r="W47" s="547">
        <f t="shared" si="7"/>
        <v>0.0005853725518</v>
      </c>
      <c r="X47" s="547">
        <f t="shared" si="7"/>
        <v>0.0009362498366</v>
      </c>
      <c r="Y47" s="547">
        <f t="shared" si="7"/>
        <v>0.0004071780595</v>
      </c>
      <c r="Z47" s="547">
        <f t="shared" si="7"/>
        <v>0.0004339252322</v>
      </c>
      <c r="AA47" s="547">
        <f t="shared" si="7"/>
        <v>0.000433056464</v>
      </c>
      <c r="AB47" s="547">
        <f t="shared" si="7"/>
        <v>0.0003116849605</v>
      </c>
      <c r="AC47" s="547">
        <f t="shared" si="7"/>
        <v>0.0002024666142</v>
      </c>
      <c r="AD47" s="547">
        <f t="shared" si="7"/>
        <v>0.0002443474495</v>
      </c>
      <c r="AE47" s="547">
        <f t="shared" si="7"/>
        <v>0.0003109466564</v>
      </c>
      <c r="AF47" s="547">
        <f t="shared" si="7"/>
        <v>0.0001747545943</v>
      </c>
      <c r="AG47" s="547">
        <f t="shared" si="7"/>
        <v>0.001120448583</v>
      </c>
      <c r="AH47" s="547">
        <f t="shared" si="7"/>
        <v>0.001003393535</v>
      </c>
      <c r="AI47" s="547">
        <f t="shared" si="7"/>
        <v>0.0003724136376</v>
      </c>
      <c r="AJ47" s="547">
        <f t="shared" si="7"/>
        <v>0.0001483679587</v>
      </c>
      <c r="AK47" s="547">
        <f t="shared" si="7"/>
        <v>0.0007080666957</v>
      </c>
      <c r="AL47" s="547">
        <f t="shared" si="7"/>
        <v>0.00104776957</v>
      </c>
      <c r="AM47" s="547">
        <f t="shared" si="7"/>
        <v>0.00104776957</v>
      </c>
      <c r="AN47" s="547">
        <f t="shared" si="7"/>
        <v>0.00104776957</v>
      </c>
      <c r="AO47" s="547">
        <f t="shared" si="7"/>
        <v>0.0004412594487</v>
      </c>
      <c r="AP47" s="547">
        <f t="shared" si="7"/>
        <v>0.0003069909667</v>
      </c>
      <c r="AQ47" s="547">
        <f t="shared" si="7"/>
        <v>0.0001733306384</v>
      </c>
      <c r="AR47" s="547">
        <f t="shared" si="7"/>
        <v>0.0004055675517</v>
      </c>
      <c r="AS47" s="547">
        <f t="shared" si="7"/>
        <v>0.0003864639891</v>
      </c>
      <c r="AT47" s="547">
        <f t="shared" si="7"/>
        <v>0.0003363392662</v>
      </c>
      <c r="AU47" s="547">
        <f t="shared" si="7"/>
        <v>0.001133303449</v>
      </c>
      <c r="AV47" s="547">
        <f t="shared" si="7"/>
        <v>0.001478853049</v>
      </c>
      <c r="AW47" s="548"/>
    </row>
    <row r="48">
      <c r="A48" s="122"/>
      <c r="B48" s="123"/>
      <c r="C48" s="538"/>
      <c r="D48" s="538"/>
      <c r="E48" s="269"/>
      <c r="F48" s="533"/>
      <c r="G48" s="534"/>
      <c r="H48" s="127"/>
      <c r="I48" s="552"/>
      <c r="J48" s="552"/>
      <c r="K48" s="552"/>
      <c r="L48" s="552"/>
      <c r="M48" s="552"/>
      <c r="N48" s="552"/>
      <c r="O48" s="552"/>
      <c r="P48" s="552"/>
      <c r="Q48" s="552"/>
      <c r="R48" s="552"/>
      <c r="S48" s="552"/>
      <c r="T48" s="552"/>
      <c r="U48" s="552"/>
      <c r="V48" s="552"/>
      <c r="W48" s="552"/>
      <c r="X48" s="552"/>
      <c r="Y48" s="552"/>
      <c r="Z48" s="552"/>
      <c r="AA48" s="552"/>
      <c r="AB48" s="552"/>
      <c r="AC48" s="552"/>
      <c r="AD48" s="552"/>
      <c r="AE48" s="552"/>
      <c r="AF48" s="552"/>
      <c r="AG48" s="552"/>
      <c r="AH48" s="552"/>
      <c r="AI48" s="552"/>
      <c r="AJ48" s="552"/>
      <c r="AK48" s="552"/>
      <c r="AL48" s="552"/>
      <c r="AM48" s="552"/>
      <c r="AN48" s="552"/>
      <c r="AO48" s="552"/>
      <c r="AP48" s="552"/>
      <c r="AQ48" s="552"/>
      <c r="AR48" s="552"/>
      <c r="AS48" s="552"/>
      <c r="AT48" s="552"/>
      <c r="AU48" s="552"/>
      <c r="AV48" s="552"/>
      <c r="AW48" s="553"/>
    </row>
    <row r="49">
      <c r="A49" s="117" t="s">
        <v>565</v>
      </c>
      <c r="B49" s="7"/>
      <c r="C49" s="7"/>
      <c r="D49" s="7"/>
      <c r="E49" s="7"/>
      <c r="F49" s="7"/>
      <c r="G49" s="7"/>
      <c r="H49" s="118"/>
      <c r="I49" s="340"/>
      <c r="J49" s="340"/>
      <c r="K49" s="340"/>
      <c r="L49" s="340"/>
      <c r="M49" s="340"/>
      <c r="N49" s="340"/>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121"/>
    </row>
    <row r="50">
      <c r="A50" s="122"/>
      <c r="B50" s="123"/>
      <c r="C50" s="538"/>
      <c r="D50" s="538"/>
      <c r="E50" s="269"/>
      <c r="F50" s="533"/>
      <c r="G50" s="534"/>
      <c r="H50" s="127"/>
      <c r="I50" s="552"/>
      <c r="J50" s="552"/>
      <c r="K50" s="552"/>
      <c r="L50" s="552"/>
      <c r="M50" s="552"/>
      <c r="N50" s="552"/>
      <c r="O50" s="552"/>
      <c r="P50" s="552"/>
      <c r="Q50" s="552"/>
      <c r="R50" s="552"/>
      <c r="S50" s="552"/>
      <c r="T50" s="552"/>
      <c r="U50" s="552"/>
      <c r="V50" s="552"/>
      <c r="W50" s="552"/>
      <c r="X50" s="552"/>
      <c r="Y50" s="552"/>
      <c r="Z50" s="552"/>
      <c r="AA50" s="552"/>
      <c r="AB50" s="552"/>
      <c r="AC50" s="552"/>
      <c r="AD50" s="552"/>
      <c r="AE50" s="552"/>
      <c r="AF50" s="552"/>
      <c r="AG50" s="552"/>
      <c r="AH50" s="552"/>
      <c r="AI50" s="552"/>
      <c r="AJ50" s="552"/>
      <c r="AK50" s="552"/>
      <c r="AL50" s="552"/>
      <c r="AM50" s="552"/>
      <c r="AN50" s="552"/>
      <c r="AO50" s="552"/>
      <c r="AP50" s="552"/>
      <c r="AQ50" s="552"/>
      <c r="AR50" s="552"/>
      <c r="AS50" s="552"/>
      <c r="AT50" s="552"/>
      <c r="AU50" s="552"/>
      <c r="AV50" s="552"/>
      <c r="AW50" s="553"/>
    </row>
    <row r="51">
      <c r="A51" s="123"/>
      <c r="B51" s="123"/>
      <c r="C51" s="143" t="s">
        <v>566</v>
      </c>
      <c r="F51" s="533"/>
      <c r="G51" s="533"/>
      <c r="H51" s="127"/>
      <c r="I51" s="552"/>
      <c r="J51" s="552"/>
      <c r="K51" s="552"/>
      <c r="L51" s="552"/>
      <c r="M51" s="552"/>
      <c r="N51" s="552"/>
      <c r="O51" s="552"/>
      <c r="P51" s="552"/>
      <c r="Q51" s="552"/>
      <c r="R51" s="552"/>
      <c r="S51" s="552"/>
      <c r="T51" s="552"/>
      <c r="U51" s="552"/>
      <c r="V51" s="552"/>
      <c r="W51" s="552"/>
      <c r="X51" s="552"/>
      <c r="Y51" s="552"/>
      <c r="Z51" s="552"/>
      <c r="AA51" s="552"/>
      <c r="AB51" s="552"/>
      <c r="AC51" s="552"/>
      <c r="AD51" s="552"/>
      <c r="AE51" s="552"/>
      <c r="AF51" s="552"/>
      <c r="AG51" s="552"/>
      <c r="AH51" s="552"/>
      <c r="AI51" s="552"/>
      <c r="AJ51" s="552"/>
      <c r="AK51" s="552"/>
      <c r="AL51" s="552"/>
      <c r="AM51" s="552"/>
      <c r="AN51" s="552"/>
      <c r="AO51" s="552"/>
      <c r="AP51" s="552"/>
      <c r="AQ51" s="552"/>
      <c r="AR51" s="552"/>
      <c r="AS51" s="552"/>
      <c r="AT51" s="552"/>
      <c r="AU51" s="552"/>
      <c r="AV51" s="552"/>
      <c r="AW51" s="553"/>
    </row>
    <row r="52">
      <c r="A52" s="122"/>
      <c r="B52" s="123"/>
      <c r="C52" s="538"/>
      <c r="D52" s="538"/>
      <c r="E52" s="254" t="s">
        <v>567</v>
      </c>
      <c r="F52" s="539" t="s">
        <v>72</v>
      </c>
      <c r="G52" s="540" t="s">
        <v>165</v>
      </c>
      <c r="H52" s="541" t="str">
        <f>Inputs!H136</f>
        <v>-</v>
      </c>
      <c r="I52" s="542">
        <f>Inputs!I136</f>
        <v>0.000194494</v>
      </c>
      <c r="J52" s="542">
        <f>Inputs!J136</f>
        <v>0.000165483</v>
      </c>
      <c r="K52" s="542">
        <f>Inputs!K136</f>
        <v>0.000136302</v>
      </c>
      <c r="L52" s="542">
        <f>Inputs!L136</f>
        <v>0.0001208</v>
      </c>
      <c r="M52" s="542">
        <f>Inputs!M136</f>
        <v>0.000125013</v>
      </c>
      <c r="N52" s="542">
        <f>Inputs!N136</f>
        <v>0.000144148</v>
      </c>
      <c r="O52" s="542">
        <f>Inputs!O136</f>
        <v>0.000289399</v>
      </c>
      <c r="P52" s="542">
        <f>Inputs!P136</f>
        <v>0.000383113</v>
      </c>
      <c r="Q52" s="542">
        <f>Inputs!Q136</f>
        <v>0.000356266</v>
      </c>
      <c r="R52" s="542">
        <f>Inputs!R136</f>
        <v>0.0000691</v>
      </c>
      <c r="S52" s="542">
        <f>Inputs!S136</f>
        <v>0.000107375</v>
      </c>
      <c r="T52" s="542">
        <f>Inputs!T136</f>
        <v>0.0000696</v>
      </c>
      <c r="U52" s="542">
        <f>Inputs!U136</f>
        <v>0.0000567</v>
      </c>
      <c r="V52" s="542">
        <f>Inputs!V136</f>
        <v>0.0000648</v>
      </c>
      <c r="W52" s="542">
        <f>Inputs!W136</f>
        <v>0.0000798</v>
      </c>
      <c r="X52" s="542">
        <f>Inputs!X136</f>
        <v>0.0000596</v>
      </c>
      <c r="Y52" s="542">
        <f>Inputs!Y136</f>
        <v>0.000066</v>
      </c>
      <c r="Z52" s="542">
        <f>Inputs!Z136</f>
        <v>0.0000939</v>
      </c>
      <c r="AA52" s="542">
        <f>Inputs!AA136</f>
        <v>0.000127965</v>
      </c>
      <c r="AB52" s="542">
        <f>Inputs!AB136</f>
        <v>0.0000768</v>
      </c>
      <c r="AC52" s="542">
        <f>Inputs!AC136</f>
        <v>0.0000861</v>
      </c>
      <c r="AD52" s="542">
        <f>Inputs!AD136</f>
        <v>0.0000607</v>
      </c>
      <c r="AE52" s="542">
        <f>Inputs!AE136</f>
        <v>0.0000934</v>
      </c>
      <c r="AF52" s="542">
        <f>Inputs!AF136</f>
        <v>0.0000584</v>
      </c>
      <c r="AG52" s="542">
        <f>Inputs!AG136</f>
        <v>0.0001208</v>
      </c>
      <c r="AH52" s="542">
        <f>Inputs!AH136</f>
        <v>0.0000744</v>
      </c>
      <c r="AI52" s="542">
        <f>Inputs!AI136</f>
        <v>0.0000784</v>
      </c>
      <c r="AJ52" s="542">
        <f>Inputs!AJ136</f>
        <v>0.0000653</v>
      </c>
      <c r="AK52" s="542">
        <f>Inputs!AK136</f>
        <v>0.0000915</v>
      </c>
      <c r="AL52" s="542">
        <f>Inputs!AL136</f>
        <v>0.000120712</v>
      </c>
      <c r="AM52" s="542">
        <f>Inputs!AM136</f>
        <v>0.000120712</v>
      </c>
      <c r="AN52" s="542">
        <f>Inputs!AN136</f>
        <v>0.000120712</v>
      </c>
      <c r="AO52" s="542">
        <f>Inputs!AO136</f>
        <v>0.0000974</v>
      </c>
      <c r="AP52" s="542">
        <f>Inputs!AP136</f>
        <v>0.0000727</v>
      </c>
      <c r="AQ52" s="542">
        <f>Inputs!AQ136</f>
        <v>0.000065</v>
      </c>
      <c r="AR52" s="542">
        <f>Inputs!AR136</f>
        <v>0.0000518</v>
      </c>
      <c r="AS52" s="542">
        <f>Inputs!AS136</f>
        <v>0.0000779</v>
      </c>
      <c r="AT52" s="542">
        <f>Inputs!AT136</f>
        <v>0.0000849</v>
      </c>
      <c r="AU52" s="542">
        <f>Inputs!AU136</f>
        <v>0.000101093</v>
      </c>
      <c r="AV52" s="542">
        <f>Inputs!AV136</f>
        <v>0.000133492</v>
      </c>
      <c r="AW52" s="543"/>
    </row>
    <row r="53">
      <c r="A53" s="122"/>
      <c r="B53" s="123"/>
      <c r="C53" s="538"/>
      <c r="D53" s="538"/>
      <c r="E53" s="257" t="s">
        <v>568</v>
      </c>
      <c r="F53" s="554" t="s">
        <v>72</v>
      </c>
      <c r="G53" s="555" t="s">
        <v>165</v>
      </c>
      <c r="H53" s="556" t="str">
        <f>Inputs!H137</f>
        <v>-</v>
      </c>
      <c r="I53" s="557">
        <f>Inputs!I137</f>
        <v>0.0000407</v>
      </c>
      <c r="J53" s="557">
        <f>Inputs!J137</f>
        <v>0.0000422</v>
      </c>
      <c r="K53" s="557">
        <f>Inputs!K137</f>
        <v>0.0000408</v>
      </c>
      <c r="L53" s="557">
        <f>Inputs!L137</f>
        <v>0.0000254</v>
      </c>
      <c r="M53" s="557">
        <f>Inputs!M137</f>
        <v>0.0000296</v>
      </c>
      <c r="N53" s="557">
        <f>Inputs!N137</f>
        <v>0.0000315</v>
      </c>
      <c r="O53" s="557">
        <f>Inputs!O137</f>
        <v>0.00005</v>
      </c>
      <c r="P53" s="557">
        <f>Inputs!P137</f>
        <v>0.0000796</v>
      </c>
      <c r="Q53" s="557">
        <f>Inputs!Q137</f>
        <v>0.0000761</v>
      </c>
      <c r="R53" s="557">
        <f>Inputs!R137</f>
        <v>0.00000949</v>
      </c>
      <c r="S53" s="557">
        <f>Inputs!S137</f>
        <v>0.0000235</v>
      </c>
      <c r="T53" s="557">
        <f>Inputs!T137</f>
        <v>0.00000733</v>
      </c>
      <c r="U53" s="557">
        <f>Inputs!U137</f>
        <v>0.00000622</v>
      </c>
      <c r="V53" s="557">
        <f>Inputs!V137</f>
        <v>0.0000107</v>
      </c>
      <c r="W53" s="557">
        <f>Inputs!W137</f>
        <v>0.0000114</v>
      </c>
      <c r="X53" s="557">
        <f>Inputs!X137</f>
        <v>0.0000116</v>
      </c>
      <c r="Y53" s="557">
        <f>Inputs!Y137</f>
        <v>0.00000774</v>
      </c>
      <c r="Z53" s="557">
        <f>Inputs!Z137</f>
        <v>0.00000908</v>
      </c>
      <c r="AA53" s="557">
        <f>Inputs!AA137</f>
        <v>0.0000138</v>
      </c>
      <c r="AB53" s="557">
        <f>Inputs!AB137</f>
        <v>0.00000851</v>
      </c>
      <c r="AC53" s="557">
        <f>Inputs!AC137</f>
        <v>0.00000781</v>
      </c>
      <c r="AD53" s="557">
        <f>Inputs!AD137</f>
        <v>0.00000688</v>
      </c>
      <c r="AE53" s="557">
        <f>Inputs!AE137</f>
        <v>0.00001</v>
      </c>
      <c r="AF53" s="557">
        <f>Inputs!AF137</f>
        <v>0.00000727</v>
      </c>
      <c r="AG53" s="557">
        <f>Inputs!AG137</f>
        <v>0.0000254</v>
      </c>
      <c r="AH53" s="557">
        <f>Inputs!AH137</f>
        <v>0.0000102</v>
      </c>
      <c r="AI53" s="557">
        <f>Inputs!AI137</f>
        <v>0.00000873</v>
      </c>
      <c r="AJ53" s="557">
        <f>Inputs!AJ137</f>
        <v>0.00000524</v>
      </c>
      <c r="AK53" s="557">
        <f>Inputs!AK137</f>
        <v>0.0000132</v>
      </c>
      <c r="AL53" s="557">
        <f>Inputs!AL137</f>
        <v>0.0000249</v>
      </c>
      <c r="AM53" s="557">
        <f>Inputs!AM137</f>
        <v>0.0000249</v>
      </c>
      <c r="AN53" s="557">
        <f>Inputs!AN137</f>
        <v>0.0000249</v>
      </c>
      <c r="AO53" s="557">
        <f>Inputs!AO137</f>
        <v>0.0000105</v>
      </c>
      <c r="AP53" s="557">
        <f>Inputs!AP137</f>
        <v>0.0000094</v>
      </c>
      <c r="AQ53" s="557">
        <f>Inputs!AQ137</f>
        <v>0.00000524</v>
      </c>
      <c r="AR53" s="557">
        <f>Inputs!AR137</f>
        <v>0.00000728</v>
      </c>
      <c r="AS53" s="557">
        <f>Inputs!AS137</f>
        <v>0.0000107</v>
      </c>
      <c r="AT53" s="557">
        <f>Inputs!AT137</f>
        <v>0.00000863</v>
      </c>
      <c r="AU53" s="557">
        <f>Inputs!AU137</f>
        <v>0.0000269</v>
      </c>
      <c r="AV53" s="557">
        <f>Inputs!AV137</f>
        <v>0.0000288</v>
      </c>
      <c r="AW53" s="558"/>
    </row>
    <row r="54">
      <c r="A54" s="122"/>
      <c r="B54" s="123"/>
      <c r="C54" s="538"/>
      <c r="D54" s="538"/>
      <c r="E54" s="257" t="s">
        <v>569</v>
      </c>
      <c r="F54" s="554" t="s">
        <v>72</v>
      </c>
      <c r="G54" s="555" t="s">
        <v>165</v>
      </c>
      <c r="H54" s="556" t="str">
        <f>Inputs!H138</f>
        <v>-</v>
      </c>
      <c r="I54" s="557">
        <f>Inputs!I138</f>
        <v>0.0000796</v>
      </c>
      <c r="J54" s="557">
        <f>Inputs!J138</f>
        <v>0.0000732</v>
      </c>
      <c r="K54" s="557">
        <f>Inputs!K138</f>
        <v>0.0000969</v>
      </c>
      <c r="L54" s="557">
        <f>Inputs!L138</f>
        <v>0.0000584</v>
      </c>
      <c r="M54" s="557">
        <f>Inputs!M138</f>
        <v>0.000049</v>
      </c>
      <c r="N54" s="557">
        <f>Inputs!N138</f>
        <v>0.0000743</v>
      </c>
      <c r="O54" s="557">
        <f>Inputs!O138</f>
        <v>0.000110427</v>
      </c>
      <c r="P54" s="557">
        <f>Inputs!P138</f>
        <v>0.000183691</v>
      </c>
      <c r="Q54" s="557">
        <f>Inputs!Q138</f>
        <v>0.000144104</v>
      </c>
      <c r="R54" s="557">
        <f>Inputs!R138</f>
        <v>0.0000293</v>
      </c>
      <c r="S54" s="557">
        <f>Inputs!S138</f>
        <v>0.0000509</v>
      </c>
      <c r="T54" s="557">
        <f>Inputs!T138</f>
        <v>0.000028</v>
      </c>
      <c r="U54" s="557">
        <f>Inputs!U138</f>
        <v>0.0000231</v>
      </c>
      <c r="V54" s="557">
        <f>Inputs!V138</f>
        <v>0.0000397</v>
      </c>
      <c r="W54" s="557">
        <f>Inputs!W138</f>
        <v>0.0000332</v>
      </c>
      <c r="X54" s="557">
        <f>Inputs!X138</f>
        <v>0.0000302</v>
      </c>
      <c r="Y54" s="557">
        <f>Inputs!Y138</f>
        <v>0.0000275</v>
      </c>
      <c r="Z54" s="557">
        <f>Inputs!Z138</f>
        <v>0.0000288</v>
      </c>
      <c r="AA54" s="557">
        <f>Inputs!AA138</f>
        <v>0.0000384</v>
      </c>
      <c r="AB54" s="557">
        <f>Inputs!AB138</f>
        <v>0.0000304</v>
      </c>
      <c r="AC54" s="557">
        <f>Inputs!AC138</f>
        <v>0.0000261</v>
      </c>
      <c r="AD54" s="557">
        <f>Inputs!AD138</f>
        <v>0.0000274</v>
      </c>
      <c r="AE54" s="557">
        <f>Inputs!AE138</f>
        <v>0.0000285</v>
      </c>
      <c r="AF54" s="557">
        <f>Inputs!AF138</f>
        <v>0.0000263</v>
      </c>
      <c r="AG54" s="557">
        <f>Inputs!AG138</f>
        <v>0.0000584</v>
      </c>
      <c r="AH54" s="557">
        <f>Inputs!AH138</f>
        <v>0.0000378</v>
      </c>
      <c r="AI54" s="557">
        <f>Inputs!AI138</f>
        <v>0.0000387</v>
      </c>
      <c r="AJ54" s="557">
        <f>Inputs!AJ138</f>
        <v>0.000017</v>
      </c>
      <c r="AK54" s="557">
        <f>Inputs!AK138</f>
        <v>0.0000411</v>
      </c>
      <c r="AL54" s="557">
        <f>Inputs!AL138</f>
        <v>0.0000703</v>
      </c>
      <c r="AM54" s="557">
        <f>Inputs!AM138</f>
        <v>0.0000703</v>
      </c>
      <c r="AN54" s="557">
        <f>Inputs!AN138</f>
        <v>0.0000703</v>
      </c>
      <c r="AO54" s="557">
        <f>Inputs!AO138</f>
        <v>0.0000394</v>
      </c>
      <c r="AP54" s="557">
        <f>Inputs!AP138</f>
        <v>0.0000299</v>
      </c>
      <c r="AQ54" s="557">
        <f>Inputs!AQ138</f>
        <v>0.0000199</v>
      </c>
      <c r="AR54" s="557">
        <f>Inputs!AR138</f>
        <v>0.0000324</v>
      </c>
      <c r="AS54" s="557">
        <f>Inputs!AS138</f>
        <v>0.0000364</v>
      </c>
      <c r="AT54" s="557">
        <f>Inputs!AT138</f>
        <v>0.0000283</v>
      </c>
      <c r="AU54" s="557">
        <f>Inputs!AU138</f>
        <v>0.0000625</v>
      </c>
      <c r="AV54" s="557">
        <f>Inputs!AV138</f>
        <v>0.0000793</v>
      </c>
      <c r="AW54" s="558"/>
    </row>
    <row r="55">
      <c r="A55" s="122"/>
      <c r="B55" s="123"/>
      <c r="C55" s="538"/>
      <c r="D55" s="538"/>
      <c r="E55" s="272" t="s">
        <v>570</v>
      </c>
      <c r="F55" s="559" t="s">
        <v>72</v>
      </c>
      <c r="G55" s="560" t="s">
        <v>165</v>
      </c>
      <c r="H55" s="561" t="str">
        <f>Inputs!H139</f>
        <v>-</v>
      </c>
      <c r="I55" s="562">
        <f>Inputs!I139</f>
        <v>0.000285466</v>
      </c>
      <c r="J55" s="562">
        <f>Inputs!J139</f>
        <v>0.000340228</v>
      </c>
      <c r="K55" s="562">
        <f>Inputs!K139</f>
        <v>0.000269698</v>
      </c>
      <c r="L55" s="562">
        <f>Inputs!L139</f>
        <v>0.00019924</v>
      </c>
      <c r="M55" s="562">
        <f>Inputs!M139</f>
        <v>0.000175487</v>
      </c>
      <c r="N55" s="562">
        <f>Inputs!N139</f>
        <v>0.000234563</v>
      </c>
      <c r="O55" s="562">
        <f>Inputs!O139</f>
        <v>0.000414794</v>
      </c>
      <c r="P55" s="562">
        <f>Inputs!P139</f>
        <v>0.000479564</v>
      </c>
      <c r="Q55" s="562">
        <f>Inputs!Q139</f>
        <v>0.000503219</v>
      </c>
      <c r="R55" s="562">
        <f>Inputs!R139</f>
        <v>0.000100875</v>
      </c>
      <c r="S55" s="562">
        <f>Inputs!S139</f>
        <v>0.000174205</v>
      </c>
      <c r="T55" s="562">
        <f>Inputs!T139</f>
        <v>0.0000971</v>
      </c>
      <c r="U55" s="562">
        <f>Inputs!U139</f>
        <v>0.0000732</v>
      </c>
      <c r="V55" s="562">
        <f>Inputs!V139</f>
        <v>0.000138815</v>
      </c>
      <c r="W55" s="562">
        <f>Inputs!W139</f>
        <v>0.000113005</v>
      </c>
      <c r="X55" s="562">
        <f>Inputs!X139</f>
        <v>0.000120993</v>
      </c>
      <c r="Y55" s="562">
        <f>Inputs!Y139</f>
        <v>0.000100775</v>
      </c>
      <c r="Z55" s="562">
        <f>Inputs!Z139</f>
        <v>0.0000846</v>
      </c>
      <c r="AA55" s="562">
        <f>Inputs!AA139</f>
        <v>0.000137671</v>
      </c>
      <c r="AB55" s="562">
        <f>Inputs!AB139</f>
        <v>0.0000871</v>
      </c>
      <c r="AC55" s="562">
        <f>Inputs!AC139</f>
        <v>0.0000921</v>
      </c>
      <c r="AD55" s="562">
        <f>Inputs!AD139</f>
        <v>0.000101209</v>
      </c>
      <c r="AE55" s="562">
        <f>Inputs!AE139</f>
        <v>0.0000695</v>
      </c>
      <c r="AF55" s="562">
        <f>Inputs!AF139</f>
        <v>0.0000862</v>
      </c>
      <c r="AG55" s="562">
        <f>Inputs!AG139</f>
        <v>0.00019924</v>
      </c>
      <c r="AH55" s="562">
        <f>Inputs!AH139</f>
        <v>0.000147611</v>
      </c>
      <c r="AI55" s="562">
        <f>Inputs!AI139</f>
        <v>0.000117909</v>
      </c>
      <c r="AJ55" s="562">
        <f>Inputs!AJ139</f>
        <v>0.0000466</v>
      </c>
      <c r="AK55" s="562">
        <f>Inputs!AK139</f>
        <v>0.000111902</v>
      </c>
      <c r="AL55" s="562">
        <f>Inputs!AL139</f>
        <v>0.000213765</v>
      </c>
      <c r="AM55" s="562">
        <f>Inputs!AM139</f>
        <v>0.000213765</v>
      </c>
      <c r="AN55" s="562">
        <f>Inputs!AN139</f>
        <v>0.000213765</v>
      </c>
      <c r="AO55" s="562">
        <f>Inputs!AO139</f>
        <v>0.000130887</v>
      </c>
      <c r="AP55" s="562">
        <f>Inputs!AP139</f>
        <v>0.000103803</v>
      </c>
      <c r="AQ55" s="562">
        <f>Inputs!AQ139</f>
        <v>0.0000795</v>
      </c>
      <c r="AR55" s="562">
        <f>Inputs!AR139</f>
        <v>0.000103973</v>
      </c>
      <c r="AS55" s="562">
        <f>Inputs!AS139</f>
        <v>0.000093</v>
      </c>
      <c r="AT55" s="562">
        <f>Inputs!AT139</f>
        <v>0.0000941</v>
      </c>
      <c r="AU55" s="562">
        <f>Inputs!AU139</f>
        <v>0.000175697</v>
      </c>
      <c r="AV55" s="562">
        <f>Inputs!AV139</f>
        <v>0.000243663</v>
      </c>
      <c r="AW55" s="563"/>
    </row>
    <row r="56">
      <c r="A56" s="122"/>
      <c r="B56" s="123"/>
      <c r="C56" s="143"/>
      <c r="D56" s="143"/>
      <c r="E56" s="269"/>
      <c r="F56" s="533"/>
      <c r="G56" s="534"/>
      <c r="H56" s="127"/>
      <c r="I56" s="552"/>
      <c r="J56" s="552"/>
      <c r="K56" s="552"/>
      <c r="L56" s="552"/>
      <c r="M56" s="552"/>
      <c r="N56" s="552"/>
      <c r="O56" s="552"/>
      <c r="P56" s="552"/>
      <c r="Q56" s="552"/>
      <c r="R56" s="552"/>
      <c r="S56" s="552"/>
      <c r="T56" s="552"/>
      <c r="U56" s="552"/>
      <c r="V56" s="552"/>
      <c r="W56" s="552"/>
      <c r="X56" s="552"/>
      <c r="Y56" s="552"/>
      <c r="Z56" s="552"/>
      <c r="AA56" s="552"/>
      <c r="AB56" s="552"/>
      <c r="AC56" s="552"/>
      <c r="AD56" s="552"/>
      <c r="AE56" s="552"/>
      <c r="AF56" s="552"/>
      <c r="AG56" s="552"/>
      <c r="AH56" s="552"/>
      <c r="AI56" s="552"/>
      <c r="AJ56" s="552"/>
      <c r="AK56" s="552"/>
      <c r="AL56" s="552"/>
      <c r="AM56" s="552"/>
      <c r="AN56" s="552"/>
      <c r="AO56" s="552"/>
      <c r="AP56" s="552"/>
      <c r="AQ56" s="552"/>
      <c r="AR56" s="552"/>
      <c r="AS56" s="552"/>
      <c r="AT56" s="552"/>
      <c r="AU56" s="552"/>
      <c r="AV56" s="552"/>
      <c r="AW56" s="553"/>
    </row>
    <row r="57">
      <c r="A57" s="122"/>
      <c r="B57" s="123"/>
      <c r="C57" s="143" t="s">
        <v>571</v>
      </c>
      <c r="F57" s="533"/>
      <c r="G57" s="534"/>
      <c r="H57" s="127"/>
      <c r="I57" s="552"/>
      <c r="J57" s="552"/>
      <c r="K57" s="552"/>
      <c r="L57" s="552"/>
      <c r="M57" s="552"/>
      <c r="N57" s="552"/>
      <c r="O57" s="552"/>
      <c r="P57" s="552"/>
      <c r="Q57" s="552"/>
      <c r="R57" s="552"/>
      <c r="S57" s="552"/>
      <c r="T57" s="552"/>
      <c r="U57" s="552"/>
      <c r="V57" s="552"/>
      <c r="W57" s="552"/>
      <c r="X57" s="552"/>
      <c r="Y57" s="552"/>
      <c r="Z57" s="552"/>
      <c r="AA57" s="552"/>
      <c r="AB57" s="552"/>
      <c r="AC57" s="552"/>
      <c r="AD57" s="552"/>
      <c r="AE57" s="552"/>
      <c r="AF57" s="552"/>
      <c r="AG57" s="552"/>
      <c r="AH57" s="552"/>
      <c r="AI57" s="552"/>
      <c r="AJ57" s="552"/>
      <c r="AK57" s="552"/>
      <c r="AL57" s="552"/>
      <c r="AM57" s="552"/>
      <c r="AN57" s="552"/>
      <c r="AO57" s="552"/>
      <c r="AP57" s="552"/>
      <c r="AQ57" s="552"/>
      <c r="AR57" s="552"/>
      <c r="AS57" s="552"/>
      <c r="AT57" s="552"/>
      <c r="AU57" s="552"/>
      <c r="AV57" s="552"/>
      <c r="AW57" s="553"/>
    </row>
    <row r="58">
      <c r="A58" s="122"/>
      <c r="B58" s="123"/>
      <c r="C58" s="538"/>
      <c r="D58" s="538"/>
      <c r="E58" s="254" t="s">
        <v>572</v>
      </c>
      <c r="F58" s="539" t="s">
        <v>62</v>
      </c>
      <c r="G58" s="540" t="s">
        <v>165</v>
      </c>
      <c r="H58" s="541" t="str">
        <f>Inputs!H140</f>
        <v>-</v>
      </c>
      <c r="I58" s="564">
        <f>Inputs!I140</f>
        <v>54.52905687</v>
      </c>
      <c r="J58" s="564">
        <f>Inputs!J140</f>
        <v>21.61435705</v>
      </c>
      <c r="K58" s="564">
        <f>Inputs!K140</f>
        <v>31.34407661</v>
      </c>
      <c r="L58" s="564">
        <f>Inputs!L140</f>
        <v>47.15968207</v>
      </c>
      <c r="M58" s="564">
        <f>Inputs!M140</f>
        <v>85.3270538</v>
      </c>
      <c r="N58" s="564">
        <f>Inputs!N140</f>
        <v>60.64375318</v>
      </c>
      <c r="O58" s="564">
        <f>Inputs!O140</f>
        <v>57.68311257</v>
      </c>
      <c r="P58" s="564">
        <f>Inputs!P140</f>
        <v>113.7423618</v>
      </c>
      <c r="Q58" s="564">
        <f>Inputs!Q140</f>
        <v>57.09325468</v>
      </c>
      <c r="R58" s="564">
        <f>Inputs!R140</f>
        <v>9.574368913</v>
      </c>
      <c r="S58" s="564">
        <f>Inputs!S140</f>
        <v>12.06153137</v>
      </c>
      <c r="T58" s="564">
        <f>Inputs!T140</f>
        <v>4.170890145</v>
      </c>
      <c r="U58" s="564">
        <f>Inputs!U140</f>
        <v>10.71030585</v>
      </c>
      <c r="V58" s="564">
        <f>Inputs!V140</f>
        <v>1.405803468</v>
      </c>
      <c r="W58" s="564">
        <f>Inputs!W140</f>
        <v>24.16772067</v>
      </c>
      <c r="X58" s="564">
        <f>Inputs!X140</f>
        <v>9.913937734</v>
      </c>
      <c r="Y58" s="564">
        <f>Inputs!Y140</f>
        <v>4.182139598</v>
      </c>
      <c r="Z58" s="564">
        <f>Inputs!Z140</f>
        <v>11.25158975</v>
      </c>
      <c r="AA58" s="564">
        <f>Inputs!AA140</f>
        <v>13.29848504</v>
      </c>
      <c r="AB58" s="564">
        <f>Inputs!AB140</f>
        <v>7.777809942</v>
      </c>
      <c r="AC58" s="564">
        <f>Inputs!AC140</f>
        <v>3.896342869</v>
      </c>
      <c r="AD58" s="564">
        <f>Inputs!AD140</f>
        <v>7.6557406</v>
      </c>
      <c r="AE58" s="564">
        <f>Inputs!AE140</f>
        <v>17.29689736</v>
      </c>
      <c r="AF58" s="564">
        <f>Inputs!AF140</f>
        <v>18.01740353</v>
      </c>
      <c r="AG58" s="564">
        <f>Inputs!AG140</f>
        <v>47.15968207</v>
      </c>
      <c r="AH58" s="564">
        <f>Inputs!AH140</f>
        <v>6.221320837</v>
      </c>
      <c r="AI58" s="564">
        <f>Inputs!AI140</f>
        <v>7.172326789</v>
      </c>
      <c r="AJ58" s="564">
        <f>Inputs!AJ140</f>
        <v>8.736607085</v>
      </c>
      <c r="AK58" s="564">
        <f>Inputs!AK140</f>
        <v>17.84794665</v>
      </c>
      <c r="AL58" s="564">
        <f>Inputs!AL140</f>
        <v>50.89545208</v>
      </c>
      <c r="AM58" s="564">
        <f>Inputs!AM140</f>
        <v>50.89545208</v>
      </c>
      <c r="AN58" s="564">
        <f>Inputs!AN140</f>
        <v>50.89545208</v>
      </c>
      <c r="AO58" s="564">
        <f>Inputs!AO140</f>
        <v>33.58925374</v>
      </c>
      <c r="AP58" s="564">
        <f>Inputs!AP140</f>
        <v>7.131687658</v>
      </c>
      <c r="AQ58" s="564">
        <f>Inputs!AQ140</f>
        <v>7.341984829</v>
      </c>
      <c r="AR58" s="564">
        <f>Inputs!AR140</f>
        <v>8.199715917</v>
      </c>
      <c r="AS58" s="564">
        <f>Inputs!AS140</f>
        <v>30.21033403</v>
      </c>
      <c r="AT58" s="564">
        <f>Inputs!AT140</f>
        <v>8.185850082</v>
      </c>
      <c r="AU58" s="564">
        <f>Inputs!AU140</f>
        <v>29.86877151</v>
      </c>
      <c r="AV58" s="564">
        <f>Inputs!AV140</f>
        <v>22.7080095</v>
      </c>
      <c r="AW58" s="565"/>
    </row>
    <row r="59">
      <c r="A59" s="122"/>
      <c r="B59" s="123"/>
      <c r="C59" s="538"/>
      <c r="D59" s="538"/>
      <c r="E59" s="257" t="s">
        <v>573</v>
      </c>
      <c r="F59" s="554" t="s">
        <v>62</v>
      </c>
      <c r="G59" s="555" t="s">
        <v>165</v>
      </c>
      <c r="H59" s="556" t="str">
        <f>Inputs!H141</f>
        <v>-</v>
      </c>
      <c r="I59" s="310">
        <f>Inputs!I141</f>
        <v>30.47888663</v>
      </c>
      <c r="J59" s="310">
        <f>Inputs!J141</f>
        <v>10.96428607</v>
      </c>
      <c r="K59" s="310">
        <f>Inputs!K141</f>
        <v>15.56390594</v>
      </c>
      <c r="L59" s="310">
        <f>Inputs!L141</f>
        <v>23.68307774</v>
      </c>
      <c r="M59" s="310">
        <f>Inputs!M141</f>
        <v>43.1227603</v>
      </c>
      <c r="N59" s="310">
        <f>Inputs!N141</f>
        <v>28.61757985</v>
      </c>
      <c r="O59" s="310">
        <f>Inputs!O141</f>
        <v>31.95701187</v>
      </c>
      <c r="P59" s="310">
        <f>Inputs!P141</f>
        <v>54.16983297</v>
      </c>
      <c r="Q59" s="310">
        <f>Inputs!Q141</f>
        <v>23.68680904</v>
      </c>
      <c r="R59" s="310">
        <f>Inputs!R141</f>
        <v>5.79282685</v>
      </c>
      <c r="S59" s="310">
        <f>Inputs!S141</f>
        <v>6.176313845</v>
      </c>
      <c r="T59" s="310">
        <f>Inputs!T141</f>
        <v>2.448145769</v>
      </c>
      <c r="U59" s="310">
        <f>Inputs!U141</f>
        <v>6.455351306</v>
      </c>
      <c r="V59" s="310">
        <f>Inputs!V141</f>
        <v>0.783819609</v>
      </c>
      <c r="W59" s="310">
        <f>Inputs!W141</f>
        <v>14.18173748</v>
      </c>
      <c r="X59" s="310">
        <f>Inputs!X141</f>
        <v>5.691886711</v>
      </c>
      <c r="Y59" s="310">
        <f>Inputs!Y141</f>
        <v>2.364898348</v>
      </c>
      <c r="Z59" s="310">
        <f>Inputs!Z141</f>
        <v>6.378451158</v>
      </c>
      <c r="AA59" s="310">
        <f>Inputs!AA141</f>
        <v>8.035664095</v>
      </c>
      <c r="AB59" s="310">
        <f>Inputs!AB141</f>
        <v>4.553855496</v>
      </c>
      <c r="AC59" s="310">
        <f>Inputs!AC141</f>
        <v>2.490712103</v>
      </c>
      <c r="AD59" s="310">
        <f>Inputs!AD141</f>
        <v>4.105372745</v>
      </c>
      <c r="AE59" s="310">
        <f>Inputs!AE141</f>
        <v>10.69612408</v>
      </c>
      <c r="AF59" s="310">
        <f>Inputs!AF141</f>
        <v>12.47815421</v>
      </c>
      <c r="AG59" s="310">
        <f>Inputs!AG141</f>
        <v>23.68307774</v>
      </c>
      <c r="AH59" s="310">
        <f>Inputs!AH141</f>
        <v>3.585001826</v>
      </c>
      <c r="AI59" s="310">
        <f>Inputs!AI141</f>
        <v>4.086182425</v>
      </c>
      <c r="AJ59" s="310">
        <f>Inputs!AJ141</f>
        <v>5.425082302</v>
      </c>
      <c r="AK59" s="310">
        <f>Inputs!AK141</f>
        <v>10.13230532</v>
      </c>
      <c r="AL59" s="310">
        <f>Inputs!AL141</f>
        <v>24.81793769</v>
      </c>
      <c r="AM59" s="310">
        <f>Inputs!AM141</f>
        <v>24.81793769</v>
      </c>
      <c r="AN59" s="310">
        <f>Inputs!AN141</f>
        <v>24.81793769</v>
      </c>
      <c r="AO59" s="310">
        <f>Inputs!AO141</f>
        <v>18.67628757</v>
      </c>
      <c r="AP59" s="310">
        <f>Inputs!AP141</f>
        <v>4.360320599</v>
      </c>
      <c r="AQ59" s="310">
        <f>Inputs!AQ141</f>
        <v>4.308711985</v>
      </c>
      <c r="AR59" s="310">
        <f>Inputs!AR141</f>
        <v>5.979455422</v>
      </c>
      <c r="AS59" s="310">
        <f>Inputs!AS141</f>
        <v>17.15657445</v>
      </c>
      <c r="AT59" s="310">
        <f>Inputs!AT141</f>
        <v>4.962703781</v>
      </c>
      <c r="AU59" s="310">
        <f>Inputs!AU141</f>
        <v>15.13290745</v>
      </c>
      <c r="AV59" s="310">
        <f>Inputs!AV141</f>
        <v>13.35720932</v>
      </c>
      <c r="AW59" s="251"/>
    </row>
    <row r="60">
      <c r="A60" s="122"/>
      <c r="B60" s="123"/>
      <c r="C60" s="538"/>
      <c r="D60" s="538"/>
      <c r="E60" s="257" t="s">
        <v>574</v>
      </c>
      <c r="F60" s="554" t="s">
        <v>62</v>
      </c>
      <c r="G60" s="555" t="s">
        <v>165</v>
      </c>
      <c r="H60" s="556" t="str">
        <f>Inputs!H142</f>
        <v>-</v>
      </c>
      <c r="I60" s="310">
        <f>Inputs!I142</f>
        <v>13.78822446</v>
      </c>
      <c r="J60" s="310">
        <f>Inputs!J142</f>
        <v>5.840665</v>
      </c>
      <c r="K60" s="310">
        <f>Inputs!K142</f>
        <v>7.862766221</v>
      </c>
      <c r="L60" s="310">
        <f>Inputs!L142</f>
        <v>14.89126409</v>
      </c>
      <c r="M60" s="310">
        <f>Inputs!M142</f>
        <v>25.74459587</v>
      </c>
      <c r="N60" s="310">
        <f>Inputs!N142</f>
        <v>21.06859248</v>
      </c>
      <c r="O60" s="310">
        <f>Inputs!O142</f>
        <v>16.16964646</v>
      </c>
      <c r="P60" s="310">
        <f>Inputs!P142</f>
        <v>36.70287667</v>
      </c>
      <c r="Q60" s="310">
        <f>Inputs!Q142</f>
        <v>20.01437074</v>
      </c>
      <c r="R60" s="310">
        <f>Inputs!R142</f>
        <v>2.612578044</v>
      </c>
      <c r="S60" s="310">
        <f>Inputs!S142</f>
        <v>3.601899175</v>
      </c>
      <c r="T60" s="310">
        <f>Inputs!T142</f>
        <v>1.359625785</v>
      </c>
      <c r="U60" s="310">
        <f>Inputs!U142</f>
        <v>3.257913338</v>
      </c>
      <c r="V60" s="310">
        <f>Inputs!V142</f>
        <v>0.417991705</v>
      </c>
      <c r="W60" s="310">
        <f>Inputs!W142</f>
        <v>7.373690901</v>
      </c>
      <c r="X60" s="310">
        <f>Inputs!X142</f>
        <v>3.112678576</v>
      </c>
      <c r="Y60" s="310">
        <f>Inputs!Y142</f>
        <v>1.319127884</v>
      </c>
      <c r="Z60" s="310">
        <f>Inputs!Z142</f>
        <v>3.834320554</v>
      </c>
      <c r="AA60" s="310">
        <f>Inputs!AA142</f>
        <v>4.02433628</v>
      </c>
      <c r="AB60" s="310">
        <f>Inputs!AB142</f>
        <v>2.453681959</v>
      </c>
      <c r="AC60" s="310">
        <f>Inputs!AC142</f>
        <v>1.071696054</v>
      </c>
      <c r="AD60" s="310">
        <f>Inputs!AD142</f>
        <v>2.942227922</v>
      </c>
      <c r="AE60" s="310">
        <f>Inputs!AE142</f>
        <v>5.088316432</v>
      </c>
      <c r="AF60" s="310">
        <f>Inputs!AF142</f>
        <v>3.924052851</v>
      </c>
      <c r="AG60" s="310">
        <f>Inputs!AG142</f>
        <v>14.89126409</v>
      </c>
      <c r="AH60" s="310">
        <f>Inputs!AH142</f>
        <v>1.948413438</v>
      </c>
      <c r="AI60" s="310">
        <f>Inputs!AI142</f>
        <v>2.546767408</v>
      </c>
      <c r="AJ60" s="310">
        <f>Inputs!AJ142</f>
        <v>2.84886257</v>
      </c>
      <c r="AK60" s="310">
        <f>Inputs!AK142</f>
        <v>5.807692329</v>
      </c>
      <c r="AL60" s="310">
        <f>Inputs!AL142</f>
        <v>18.32742634</v>
      </c>
      <c r="AM60" s="310">
        <f>Inputs!AM142</f>
        <v>18.32742634</v>
      </c>
      <c r="AN60" s="310">
        <f>Inputs!AN142</f>
        <v>18.32742634</v>
      </c>
      <c r="AO60" s="310">
        <f>Inputs!AO142</f>
        <v>12.56677019</v>
      </c>
      <c r="AP60" s="310">
        <f>Inputs!AP142</f>
        <v>2.098506261</v>
      </c>
      <c r="AQ60" s="310">
        <f>Inputs!AQ142</f>
        <v>2.606632921</v>
      </c>
      <c r="AR60" s="310">
        <f>Inputs!AR142</f>
        <v>1.351413197</v>
      </c>
      <c r="AS60" s="310">
        <f>Inputs!AS142</f>
        <v>10.34257607</v>
      </c>
      <c r="AT60" s="310">
        <f>Inputs!AT142</f>
        <v>2.425935606</v>
      </c>
      <c r="AU60" s="310">
        <f>Inputs!AU142</f>
        <v>8.190185532</v>
      </c>
      <c r="AV60" s="310">
        <f>Inputs!AV142</f>
        <v>5.70125199</v>
      </c>
      <c r="AW60" s="251"/>
    </row>
    <row r="61">
      <c r="A61" s="122"/>
      <c r="B61" s="123"/>
      <c r="C61" s="538"/>
      <c r="D61" s="538"/>
      <c r="E61" s="257" t="s">
        <v>575</v>
      </c>
      <c r="F61" s="554" t="s">
        <v>62</v>
      </c>
      <c r="G61" s="555" t="s">
        <v>165</v>
      </c>
      <c r="H61" s="556" t="str">
        <f>Inputs!H143</f>
        <v>-</v>
      </c>
      <c r="I61" s="310">
        <f>Inputs!I143</f>
        <v>47.0020537</v>
      </c>
      <c r="J61" s="310">
        <f>Inputs!J143</f>
        <v>17.97923694</v>
      </c>
      <c r="K61" s="310">
        <f>Inputs!K143</f>
        <v>25.21442306</v>
      </c>
      <c r="L61" s="310">
        <f>Inputs!L143</f>
        <v>41.85500009</v>
      </c>
      <c r="M61" s="310">
        <f>Inputs!M143</f>
        <v>72.7546586</v>
      </c>
      <c r="N61" s="310">
        <f>Inputs!N143</f>
        <v>52.66273079</v>
      </c>
      <c r="O61" s="310">
        <f>Inputs!O143</f>
        <v>51.53625826</v>
      </c>
      <c r="P61" s="310">
        <f>Inputs!P143</f>
        <v>97.51605064</v>
      </c>
      <c r="Q61" s="310">
        <f>Inputs!Q143</f>
        <v>47.90478002</v>
      </c>
      <c r="R61" s="310">
        <f>Inputs!R143</f>
        <v>8.996741352</v>
      </c>
      <c r="S61" s="310">
        <f>Inputs!S143</f>
        <v>10.59827222</v>
      </c>
      <c r="T61" s="310">
        <f>Inputs!T143</f>
        <v>4.015253149</v>
      </c>
      <c r="U61" s="310">
        <f>Inputs!U143</f>
        <v>10.29521031</v>
      </c>
      <c r="V61" s="310">
        <f>Inputs!V143</f>
        <v>1.275822268</v>
      </c>
      <c r="W61" s="310">
        <f>Inputs!W143</f>
        <v>23.03307008</v>
      </c>
      <c r="X61" s="310">
        <f>Inputs!X143</f>
        <v>9.245846069</v>
      </c>
      <c r="Y61" s="310">
        <f>Inputs!Y143</f>
        <v>3.940436997</v>
      </c>
      <c r="Z61" s="310">
        <f>Inputs!Z143</f>
        <v>10.81927196</v>
      </c>
      <c r="AA61" s="310">
        <f>Inputs!AA143</f>
        <v>12.81358162</v>
      </c>
      <c r="AB61" s="310">
        <f>Inputs!AB143</f>
        <v>7.301345555</v>
      </c>
      <c r="AC61" s="310">
        <f>Inputs!AC143</f>
        <v>3.730227381</v>
      </c>
      <c r="AD61" s="310">
        <f>Inputs!AD143</f>
        <v>7.379462363</v>
      </c>
      <c r="AE61" s="310">
        <f>Inputs!AE143</f>
        <v>16.68042733</v>
      </c>
      <c r="AF61" s="310">
        <f>Inputs!AF143</f>
        <v>17.24890252</v>
      </c>
      <c r="AG61" s="310">
        <f>Inputs!AG143</f>
        <v>41.85500009</v>
      </c>
      <c r="AH61" s="310">
        <f>Inputs!AH143</f>
        <v>5.785430233</v>
      </c>
      <c r="AI61" s="310">
        <f>Inputs!AI143</f>
        <v>6.902652745</v>
      </c>
      <c r="AJ61" s="310">
        <f>Inputs!AJ143</f>
        <v>8.567912872</v>
      </c>
      <c r="AK61" s="310">
        <f>Inputs!AK143</f>
        <v>16.80640272</v>
      </c>
      <c r="AL61" s="310">
        <f>Inputs!AL143</f>
        <v>46.13068297</v>
      </c>
      <c r="AM61" s="310">
        <f>Inputs!AM143</f>
        <v>46.13068297</v>
      </c>
      <c r="AN61" s="310">
        <f>Inputs!AN143</f>
        <v>46.13068297</v>
      </c>
      <c r="AO61" s="310">
        <f>Inputs!AO143</f>
        <v>32.48270396</v>
      </c>
      <c r="AP61" s="310">
        <f>Inputs!AP143</f>
        <v>6.704346197</v>
      </c>
      <c r="AQ61" s="310">
        <f>Inputs!AQ143</f>
        <v>7.148989524</v>
      </c>
      <c r="AR61" s="310">
        <f>Inputs!AR143</f>
        <v>7.661387766</v>
      </c>
      <c r="AS61" s="310">
        <f>Inputs!AS143</f>
        <v>29.16460489</v>
      </c>
      <c r="AT61" s="310">
        <f>Inputs!AT143</f>
        <v>7.796745361</v>
      </c>
      <c r="AU61" s="310">
        <f>Inputs!AU143</f>
        <v>25.70426119</v>
      </c>
      <c r="AV61" s="310">
        <f>Inputs!AV143</f>
        <v>20.06678334</v>
      </c>
      <c r="AW61" s="251"/>
    </row>
    <row r="62">
      <c r="A62" s="122"/>
      <c r="B62" s="123"/>
      <c r="C62" s="538"/>
      <c r="D62" s="538"/>
      <c r="E62" s="257" t="s">
        <v>576</v>
      </c>
      <c r="F62" s="554" t="s">
        <v>72</v>
      </c>
      <c r="G62" s="555" t="s">
        <v>161</v>
      </c>
      <c r="H62" s="566" t="s">
        <v>162</v>
      </c>
      <c r="I62" s="567">
        <f t="shared" ref="I62:AV62" si="8">SUM(I59:I60)/I58</f>
        <v>0.8118077523</v>
      </c>
      <c r="J62" s="567">
        <f t="shared" si="8"/>
        <v>0.7774902132</v>
      </c>
      <c r="K62" s="567">
        <f t="shared" si="8"/>
        <v>0.7474034872</v>
      </c>
      <c r="L62" s="567">
        <f t="shared" si="8"/>
        <v>0.8179516938</v>
      </c>
      <c r="M62" s="567">
        <f t="shared" si="8"/>
        <v>0.8070987231</v>
      </c>
      <c r="N62" s="567">
        <f t="shared" si="8"/>
        <v>0.8193122906</v>
      </c>
      <c r="O62" s="567">
        <f t="shared" si="8"/>
        <v>0.8343283881</v>
      </c>
      <c r="P62" s="567">
        <f t="shared" si="8"/>
        <v>0.7989346115</v>
      </c>
      <c r="Q62" s="567">
        <f t="shared" si="8"/>
        <v>0.7654350768</v>
      </c>
      <c r="R62" s="567">
        <f t="shared" si="8"/>
        <v>0.8779069378</v>
      </c>
      <c r="S62" s="567">
        <f t="shared" si="8"/>
        <v>0.8106941581</v>
      </c>
      <c r="T62" s="567">
        <f t="shared" si="8"/>
        <v>0.9129397854</v>
      </c>
      <c r="U62" s="567">
        <f t="shared" si="8"/>
        <v>0.9069082415</v>
      </c>
      <c r="V62" s="567">
        <f t="shared" si="8"/>
        <v>0.8548928363</v>
      </c>
      <c r="W62" s="567">
        <f t="shared" si="8"/>
        <v>0.8919098609</v>
      </c>
      <c r="X62" s="567">
        <f t="shared" si="8"/>
        <v>0.8880997161</v>
      </c>
      <c r="Y62" s="567">
        <f t="shared" si="8"/>
        <v>0.8808950887</v>
      </c>
      <c r="Z62" s="567">
        <f t="shared" si="8"/>
        <v>0.9076736656</v>
      </c>
      <c r="AA62" s="567">
        <f t="shared" si="8"/>
        <v>0.9068702441</v>
      </c>
      <c r="AB62" s="567">
        <f t="shared" si="8"/>
        <v>0.9009653755</v>
      </c>
      <c r="AC62" s="567">
        <f t="shared" si="8"/>
        <v>0.9142953474</v>
      </c>
      <c r="AD62" s="567">
        <f t="shared" si="8"/>
        <v>0.920564193</v>
      </c>
      <c r="AE62" s="567">
        <f t="shared" si="8"/>
        <v>0.9125590667</v>
      </c>
      <c r="AF62" s="567">
        <f t="shared" si="8"/>
        <v>0.9103535387</v>
      </c>
      <c r="AG62" s="567">
        <f t="shared" si="8"/>
        <v>0.8179516938</v>
      </c>
      <c r="AH62" s="567">
        <f t="shared" si="8"/>
        <v>0.8894277291</v>
      </c>
      <c r="AI62" s="567">
        <f t="shared" si="8"/>
        <v>0.9247974929</v>
      </c>
      <c r="AJ62" s="567">
        <f t="shared" si="8"/>
        <v>0.9470432619</v>
      </c>
      <c r="AK62" s="567">
        <f t="shared" si="8"/>
        <v>0.8930998037</v>
      </c>
      <c r="AL62" s="567">
        <f t="shared" si="8"/>
        <v>0.8477253324</v>
      </c>
      <c r="AM62" s="567">
        <f t="shared" si="8"/>
        <v>0.8477253324</v>
      </c>
      <c r="AN62" s="567">
        <f t="shared" si="8"/>
        <v>0.8477253324</v>
      </c>
      <c r="AO62" s="567">
        <f t="shared" si="8"/>
        <v>0.9301503988</v>
      </c>
      <c r="AP62" s="567">
        <f t="shared" si="8"/>
        <v>0.9056519536</v>
      </c>
      <c r="AQ62" s="567">
        <f t="shared" si="8"/>
        <v>0.9418903835</v>
      </c>
      <c r="AR62" s="567">
        <f t="shared" si="8"/>
        <v>0.8940393415</v>
      </c>
      <c r="AS62" s="567">
        <f t="shared" si="8"/>
        <v>0.9102564206</v>
      </c>
      <c r="AT62" s="567">
        <f t="shared" si="8"/>
        <v>0.9026111293</v>
      </c>
      <c r="AU62" s="567">
        <f t="shared" si="8"/>
        <v>0.7808521008</v>
      </c>
      <c r="AV62" s="567">
        <f t="shared" si="8"/>
        <v>0.8392836594</v>
      </c>
      <c r="AW62" s="251"/>
    </row>
    <row r="63">
      <c r="A63" s="122"/>
      <c r="B63" s="123"/>
      <c r="C63" s="538"/>
      <c r="D63" s="538"/>
      <c r="E63" s="257" t="s">
        <v>577</v>
      </c>
      <c r="F63" s="554" t="s">
        <v>72</v>
      </c>
      <c r="G63" s="555" t="s">
        <v>165</v>
      </c>
      <c r="H63" s="568">
        <f>Inputs!H144</f>
        <v>0.1</v>
      </c>
      <c r="I63" s="310" t="str">
        <f>Inputs!I144</f>
        <v>-</v>
      </c>
      <c r="J63" s="310" t="str">
        <f>Inputs!J144</f>
        <v>-</v>
      </c>
      <c r="K63" s="310" t="str">
        <f>Inputs!K144</f>
        <v>-</v>
      </c>
      <c r="L63" s="310" t="str">
        <f>Inputs!L144</f>
        <v>-</v>
      </c>
      <c r="M63" s="310" t="str">
        <f>Inputs!M144</f>
        <v>-</v>
      </c>
      <c r="N63" s="310" t="str">
        <f>Inputs!N144</f>
        <v>-</v>
      </c>
      <c r="O63" s="310" t="str">
        <f>Inputs!O144</f>
        <v>-</v>
      </c>
      <c r="P63" s="310" t="str">
        <f>Inputs!P144</f>
        <v>-</v>
      </c>
      <c r="Q63" s="310" t="str">
        <f>Inputs!Q144</f>
        <v>-</v>
      </c>
      <c r="R63" s="310" t="str">
        <f>Inputs!R144</f>
        <v>-</v>
      </c>
      <c r="S63" s="310" t="str">
        <f>Inputs!S144</f>
        <v>-</v>
      </c>
      <c r="T63" s="310" t="str">
        <f>Inputs!T144</f>
        <v>-</v>
      </c>
      <c r="U63" s="310" t="str">
        <f>Inputs!U144</f>
        <v>-</v>
      </c>
      <c r="V63" s="310" t="str">
        <f>Inputs!V144</f>
        <v>-</v>
      </c>
      <c r="W63" s="310" t="str">
        <f>Inputs!W144</f>
        <v>-</v>
      </c>
      <c r="X63" s="310" t="str">
        <f>Inputs!X144</f>
        <v>-</v>
      </c>
      <c r="Y63" s="310" t="str">
        <f>Inputs!Y144</f>
        <v>-</v>
      </c>
      <c r="Z63" s="310" t="str">
        <f>Inputs!Z144</f>
        <v>-</v>
      </c>
      <c r="AA63" s="310" t="str">
        <f>Inputs!AA144</f>
        <v>-</v>
      </c>
      <c r="AB63" s="310" t="str">
        <f>Inputs!AB144</f>
        <v>-</v>
      </c>
      <c r="AC63" s="310" t="str">
        <f>Inputs!AC144</f>
        <v>-</v>
      </c>
      <c r="AD63" s="310" t="str">
        <f>Inputs!AD144</f>
        <v>-</v>
      </c>
      <c r="AE63" s="310" t="str">
        <f>Inputs!AE144</f>
        <v>-</v>
      </c>
      <c r="AF63" s="310" t="str">
        <f>Inputs!AF144</f>
        <v>-</v>
      </c>
      <c r="AG63" s="310" t="str">
        <f>Inputs!AG144</f>
        <v>-</v>
      </c>
      <c r="AH63" s="310" t="str">
        <f>Inputs!AH144</f>
        <v>-</v>
      </c>
      <c r="AI63" s="310" t="str">
        <f>Inputs!AI144</f>
        <v>-</v>
      </c>
      <c r="AJ63" s="310" t="str">
        <f>Inputs!AJ144</f>
        <v>-</v>
      </c>
      <c r="AK63" s="310" t="str">
        <f>Inputs!AK144</f>
        <v>-</v>
      </c>
      <c r="AL63" s="310" t="str">
        <f>Inputs!AL144</f>
        <v>-</v>
      </c>
      <c r="AM63" s="310" t="str">
        <f>Inputs!AM144</f>
        <v>-</v>
      </c>
      <c r="AN63" s="310" t="str">
        <f>Inputs!AN144</f>
        <v>-</v>
      </c>
      <c r="AO63" s="310" t="str">
        <f>Inputs!AO144</f>
        <v>-</v>
      </c>
      <c r="AP63" s="310" t="str">
        <f>Inputs!AP144</f>
        <v>-</v>
      </c>
      <c r="AQ63" s="310" t="str">
        <f>Inputs!AQ144</f>
        <v>-</v>
      </c>
      <c r="AR63" s="310" t="str">
        <f>Inputs!AR144</f>
        <v>-</v>
      </c>
      <c r="AS63" s="310" t="str">
        <f>Inputs!AS144</f>
        <v>-</v>
      </c>
      <c r="AT63" s="310" t="str">
        <f>Inputs!AT144</f>
        <v>-</v>
      </c>
      <c r="AU63" s="310" t="str">
        <f>Inputs!AU144</f>
        <v>-</v>
      </c>
      <c r="AV63" s="310" t="str">
        <f>Inputs!AV144</f>
        <v>-</v>
      </c>
      <c r="AW63" s="251"/>
    </row>
    <row r="64">
      <c r="A64" s="122"/>
      <c r="B64" s="123"/>
      <c r="C64" s="538"/>
      <c r="D64" s="538"/>
      <c r="E64" s="278" t="s">
        <v>578</v>
      </c>
      <c r="F64" s="569" t="s">
        <v>72</v>
      </c>
      <c r="G64" s="570" t="s">
        <v>161</v>
      </c>
      <c r="H64" s="571" t="s">
        <v>162</v>
      </c>
      <c r="I64" s="572">
        <f t="shared" ref="I64:AV64" si="9">I61/I58</f>
        <v>0.8619634447</v>
      </c>
      <c r="J64" s="572">
        <f t="shared" si="9"/>
        <v>0.8318191884</v>
      </c>
      <c r="K64" s="572">
        <f t="shared" si="9"/>
        <v>0.8044398109</v>
      </c>
      <c r="L64" s="572">
        <f t="shared" si="9"/>
        <v>0.8875165873</v>
      </c>
      <c r="M64" s="572">
        <f t="shared" si="9"/>
        <v>0.852656401</v>
      </c>
      <c r="N64" s="572">
        <f t="shared" si="9"/>
        <v>0.8683949793</v>
      </c>
      <c r="O64" s="572">
        <f t="shared" si="9"/>
        <v>0.8934375412</v>
      </c>
      <c r="P64" s="572">
        <f t="shared" si="9"/>
        <v>0.8573415313</v>
      </c>
      <c r="Q64" s="572">
        <f t="shared" si="9"/>
        <v>0.8390619924</v>
      </c>
      <c r="R64" s="572">
        <f t="shared" si="9"/>
        <v>0.9396693854</v>
      </c>
      <c r="S64" s="572">
        <f t="shared" si="9"/>
        <v>0.8786837999</v>
      </c>
      <c r="T64" s="572">
        <f t="shared" si="9"/>
        <v>0.9626849448</v>
      </c>
      <c r="U64" s="572">
        <f t="shared" si="9"/>
        <v>0.9612433537</v>
      </c>
      <c r="V64" s="572">
        <f t="shared" si="9"/>
        <v>0.9075395651</v>
      </c>
      <c r="W64" s="572">
        <f t="shared" si="9"/>
        <v>0.9530509885</v>
      </c>
      <c r="X64" s="572">
        <f t="shared" si="9"/>
        <v>0.9326108674</v>
      </c>
      <c r="Y64" s="572">
        <f t="shared" si="9"/>
        <v>0.942205994</v>
      </c>
      <c r="Z64" s="572">
        <f t="shared" si="9"/>
        <v>0.9615771814</v>
      </c>
      <c r="AA64" s="572">
        <f t="shared" si="9"/>
        <v>0.9635369429</v>
      </c>
      <c r="AB64" s="572">
        <f t="shared" si="9"/>
        <v>0.9387405464</v>
      </c>
      <c r="AC64" s="572">
        <f t="shared" si="9"/>
        <v>0.9573663064</v>
      </c>
      <c r="AD64" s="572">
        <f t="shared" si="9"/>
        <v>0.9639122782</v>
      </c>
      <c r="AE64" s="572">
        <f t="shared" si="9"/>
        <v>0.9643595025</v>
      </c>
      <c r="AF64" s="572">
        <f t="shared" si="9"/>
        <v>0.9573467393</v>
      </c>
      <c r="AG64" s="572">
        <f t="shared" si="9"/>
        <v>0.8875165873</v>
      </c>
      <c r="AH64" s="572">
        <f t="shared" si="9"/>
        <v>0.9299360031</v>
      </c>
      <c r="AI64" s="572">
        <f t="shared" si="9"/>
        <v>0.9624007589</v>
      </c>
      <c r="AJ64" s="572">
        <f t="shared" si="9"/>
        <v>0.9806911068</v>
      </c>
      <c r="AK64" s="572">
        <f t="shared" si="9"/>
        <v>0.9416434872</v>
      </c>
      <c r="AL64" s="572">
        <f t="shared" si="9"/>
        <v>0.9063812401</v>
      </c>
      <c r="AM64" s="572">
        <f t="shared" si="9"/>
        <v>0.9063812401</v>
      </c>
      <c r="AN64" s="572">
        <f t="shared" si="9"/>
        <v>0.9063812401</v>
      </c>
      <c r="AO64" s="572">
        <f t="shared" si="9"/>
        <v>0.9670564344</v>
      </c>
      <c r="AP64" s="572">
        <f t="shared" si="9"/>
        <v>0.9400784945</v>
      </c>
      <c r="AQ64" s="572">
        <f t="shared" si="9"/>
        <v>0.9737134699</v>
      </c>
      <c r="AR64" s="572">
        <f t="shared" si="9"/>
        <v>0.934347951</v>
      </c>
      <c r="AS64" s="572">
        <f t="shared" si="9"/>
        <v>0.965385052</v>
      </c>
      <c r="AT64" s="572">
        <f t="shared" si="9"/>
        <v>0.9524661804</v>
      </c>
      <c r="AU64" s="572">
        <f t="shared" si="9"/>
        <v>0.8605730967</v>
      </c>
      <c r="AV64" s="572">
        <f t="shared" si="9"/>
        <v>0.8836874646</v>
      </c>
      <c r="AW64" s="573"/>
    </row>
    <row r="65">
      <c r="A65" s="122"/>
      <c r="B65" s="123"/>
      <c r="C65" s="538"/>
      <c r="D65" s="538"/>
      <c r="E65" s="257" t="s">
        <v>579</v>
      </c>
      <c r="F65" s="554" t="s">
        <v>72</v>
      </c>
      <c r="G65" s="555" t="s">
        <v>161</v>
      </c>
      <c r="H65" s="566" t="s">
        <v>162</v>
      </c>
      <c r="I65" s="567">
        <f t="shared" ref="I65:AV65" si="10">MIN(I64,I62*(1+$H63))</f>
        <v>0.8619634447</v>
      </c>
      <c r="J65" s="567">
        <f t="shared" si="10"/>
        <v>0.8318191884</v>
      </c>
      <c r="K65" s="567">
        <f t="shared" si="10"/>
        <v>0.8044398109</v>
      </c>
      <c r="L65" s="567">
        <f t="shared" si="10"/>
        <v>0.8875165873</v>
      </c>
      <c r="M65" s="567">
        <f t="shared" si="10"/>
        <v>0.852656401</v>
      </c>
      <c r="N65" s="567">
        <f t="shared" si="10"/>
        <v>0.8683949793</v>
      </c>
      <c r="O65" s="567">
        <f t="shared" si="10"/>
        <v>0.8934375412</v>
      </c>
      <c r="P65" s="567">
        <f t="shared" si="10"/>
        <v>0.8573415313</v>
      </c>
      <c r="Q65" s="567">
        <f t="shared" si="10"/>
        <v>0.8390619924</v>
      </c>
      <c r="R65" s="567">
        <f t="shared" si="10"/>
        <v>0.9396693854</v>
      </c>
      <c r="S65" s="567">
        <f t="shared" si="10"/>
        <v>0.8786837999</v>
      </c>
      <c r="T65" s="567">
        <f t="shared" si="10"/>
        <v>0.9626849448</v>
      </c>
      <c r="U65" s="567">
        <f t="shared" si="10"/>
        <v>0.9612433537</v>
      </c>
      <c r="V65" s="567">
        <f t="shared" si="10"/>
        <v>0.9075395651</v>
      </c>
      <c r="W65" s="567">
        <f t="shared" si="10"/>
        <v>0.9530509885</v>
      </c>
      <c r="X65" s="567">
        <f t="shared" si="10"/>
        <v>0.9326108674</v>
      </c>
      <c r="Y65" s="567">
        <f t="shared" si="10"/>
        <v>0.942205994</v>
      </c>
      <c r="Z65" s="567">
        <f t="shared" si="10"/>
        <v>0.9615771814</v>
      </c>
      <c r="AA65" s="567">
        <f t="shared" si="10"/>
        <v>0.9635369429</v>
      </c>
      <c r="AB65" s="567">
        <f t="shared" si="10"/>
        <v>0.9387405464</v>
      </c>
      <c r="AC65" s="567">
        <f t="shared" si="10"/>
        <v>0.9573663064</v>
      </c>
      <c r="AD65" s="567">
        <f t="shared" si="10"/>
        <v>0.9639122782</v>
      </c>
      <c r="AE65" s="567">
        <f t="shared" si="10"/>
        <v>0.9643595025</v>
      </c>
      <c r="AF65" s="567">
        <f t="shared" si="10"/>
        <v>0.9573467393</v>
      </c>
      <c r="AG65" s="567">
        <f t="shared" si="10"/>
        <v>0.8875165873</v>
      </c>
      <c r="AH65" s="567">
        <f t="shared" si="10"/>
        <v>0.9299360031</v>
      </c>
      <c r="AI65" s="567">
        <f t="shared" si="10"/>
        <v>0.9624007589</v>
      </c>
      <c r="AJ65" s="567">
        <f t="shared" si="10"/>
        <v>0.9806911068</v>
      </c>
      <c r="AK65" s="567">
        <f t="shared" si="10"/>
        <v>0.9416434872</v>
      </c>
      <c r="AL65" s="567">
        <f t="shared" si="10"/>
        <v>0.9063812401</v>
      </c>
      <c r="AM65" s="567">
        <f t="shared" si="10"/>
        <v>0.9063812401</v>
      </c>
      <c r="AN65" s="567">
        <f t="shared" si="10"/>
        <v>0.9063812401</v>
      </c>
      <c r="AO65" s="567">
        <f t="shared" si="10"/>
        <v>0.9670564344</v>
      </c>
      <c r="AP65" s="567">
        <f t="shared" si="10"/>
        <v>0.9400784945</v>
      </c>
      <c r="AQ65" s="567">
        <f t="shared" si="10"/>
        <v>0.9737134699</v>
      </c>
      <c r="AR65" s="567">
        <f t="shared" si="10"/>
        <v>0.934347951</v>
      </c>
      <c r="AS65" s="567">
        <f t="shared" si="10"/>
        <v>0.965385052</v>
      </c>
      <c r="AT65" s="567">
        <f t="shared" si="10"/>
        <v>0.9524661804</v>
      </c>
      <c r="AU65" s="567">
        <f t="shared" si="10"/>
        <v>0.8589373109</v>
      </c>
      <c r="AV65" s="567">
        <f t="shared" si="10"/>
        <v>0.8836874646</v>
      </c>
      <c r="AW65" s="251"/>
    </row>
    <row r="66">
      <c r="A66" s="122"/>
      <c r="B66" s="123"/>
      <c r="C66" s="538"/>
      <c r="D66" s="538"/>
      <c r="E66" s="490" t="s">
        <v>580</v>
      </c>
      <c r="F66" s="544" t="s">
        <v>72</v>
      </c>
      <c r="G66" s="545" t="s">
        <v>161</v>
      </c>
      <c r="H66" s="551" t="s">
        <v>162</v>
      </c>
      <c r="I66" s="547">
        <f t="shared" ref="I66:AV66" si="11">I52*(1-I65)</f>
        <v>0.00002684728178</v>
      </c>
      <c r="J66" s="547">
        <f t="shared" si="11"/>
        <v>0.00002783106525</v>
      </c>
      <c r="K66" s="547">
        <f t="shared" si="11"/>
        <v>0.00002665524489</v>
      </c>
      <c r="L66" s="547">
        <f t="shared" si="11"/>
        <v>0.00001358799626</v>
      </c>
      <c r="M66" s="547">
        <f t="shared" si="11"/>
        <v>0.00001841986534</v>
      </c>
      <c r="N66" s="547">
        <f t="shared" si="11"/>
        <v>0.00001897060053</v>
      </c>
      <c r="O66" s="547">
        <f t="shared" si="11"/>
        <v>0.00003083906902</v>
      </c>
      <c r="P66" s="547">
        <f t="shared" si="11"/>
        <v>0.00005465431393</v>
      </c>
      <c r="Q66" s="547">
        <f t="shared" si="11"/>
        <v>0.00005733674023</v>
      </c>
      <c r="R66" s="547">
        <f t="shared" si="11"/>
        <v>0.000004168845469</v>
      </c>
      <c r="S66" s="547">
        <f t="shared" si="11"/>
        <v>0.00001302632698</v>
      </c>
      <c r="T66" s="547">
        <f t="shared" si="11"/>
        <v>0.000002597127842</v>
      </c>
      <c r="U66" s="547">
        <f t="shared" si="11"/>
        <v>0.000002197501847</v>
      </c>
      <c r="V66" s="547">
        <f t="shared" si="11"/>
        <v>0.00000599143618</v>
      </c>
      <c r="W66" s="547">
        <f t="shared" si="11"/>
        <v>0.000003746531116</v>
      </c>
      <c r="X66" s="547">
        <f t="shared" si="11"/>
        <v>0.000004016392306</v>
      </c>
      <c r="Y66" s="547">
        <f t="shared" si="11"/>
        <v>0.000003814404396</v>
      </c>
      <c r="Z66" s="547">
        <f t="shared" si="11"/>
        <v>0.000003607902667</v>
      </c>
      <c r="AA66" s="547">
        <f t="shared" si="11"/>
        <v>0.000004665995108</v>
      </c>
      <c r="AB66" s="547">
        <f t="shared" si="11"/>
        <v>0.000004704726034</v>
      </c>
      <c r="AC66" s="547">
        <f t="shared" si="11"/>
        <v>0.000003670761018</v>
      </c>
      <c r="AD66" s="547">
        <f t="shared" si="11"/>
        <v>0.000002190524714</v>
      </c>
      <c r="AE66" s="547">
        <f t="shared" si="11"/>
        <v>0.000003328822466</v>
      </c>
      <c r="AF66" s="547">
        <f t="shared" si="11"/>
        <v>0.000002490950425</v>
      </c>
      <c r="AG66" s="547">
        <f t="shared" si="11"/>
        <v>0.00001358799626</v>
      </c>
      <c r="AH66" s="547">
        <f t="shared" si="11"/>
        <v>0.000005212761371</v>
      </c>
      <c r="AI66" s="547">
        <f t="shared" si="11"/>
        <v>0.0000029477805</v>
      </c>
      <c r="AJ66" s="547">
        <f t="shared" si="11"/>
        <v>0.000001260870725</v>
      </c>
      <c r="AK66" s="547">
        <f t="shared" si="11"/>
        <v>0.000005339620921</v>
      </c>
      <c r="AL66" s="547">
        <f t="shared" si="11"/>
        <v>0.00001130090775</v>
      </c>
      <c r="AM66" s="547">
        <f t="shared" si="11"/>
        <v>0.00001130090775</v>
      </c>
      <c r="AN66" s="547">
        <f t="shared" si="11"/>
        <v>0.00001130090775</v>
      </c>
      <c r="AO66" s="547">
        <f t="shared" si="11"/>
        <v>0.000003208703292</v>
      </c>
      <c r="AP66" s="547">
        <f t="shared" si="11"/>
        <v>0.000004356293448</v>
      </c>
      <c r="AQ66" s="547">
        <f t="shared" si="11"/>
        <v>0.000001708624455</v>
      </c>
      <c r="AR66" s="547">
        <f t="shared" si="11"/>
        <v>0.000003400776137</v>
      </c>
      <c r="AS66" s="547">
        <f t="shared" si="11"/>
        <v>0.000002696504448</v>
      </c>
      <c r="AT66" s="547">
        <f t="shared" si="11"/>
        <v>0.000004035621283</v>
      </c>
      <c r="AU66" s="547">
        <f t="shared" si="11"/>
        <v>0.00001426045043</v>
      </c>
      <c r="AV66" s="547">
        <f t="shared" si="11"/>
        <v>0.00001552679297</v>
      </c>
      <c r="AW66" s="548"/>
    </row>
    <row r="67">
      <c r="A67" s="122"/>
      <c r="B67" s="123"/>
      <c r="C67" s="538"/>
      <c r="D67" s="538"/>
      <c r="E67" s="269"/>
      <c r="F67" s="533"/>
      <c r="G67" s="534"/>
      <c r="H67" s="127"/>
      <c r="I67" s="552"/>
      <c r="J67" s="552"/>
      <c r="K67" s="552"/>
      <c r="L67" s="552"/>
      <c r="M67" s="552"/>
      <c r="N67" s="552"/>
      <c r="O67" s="552"/>
      <c r="P67" s="552"/>
      <c r="Q67" s="552"/>
      <c r="R67" s="552"/>
      <c r="S67" s="552"/>
      <c r="T67" s="552"/>
      <c r="U67" s="552"/>
      <c r="V67" s="552"/>
      <c r="W67" s="552"/>
      <c r="X67" s="552"/>
      <c r="Y67" s="552"/>
      <c r="Z67" s="552"/>
      <c r="AA67" s="552"/>
      <c r="AB67" s="552"/>
      <c r="AC67" s="552"/>
      <c r="AD67" s="552"/>
      <c r="AE67" s="552"/>
      <c r="AF67" s="552"/>
      <c r="AG67" s="552"/>
      <c r="AH67" s="552"/>
      <c r="AI67" s="552"/>
      <c r="AJ67" s="552"/>
      <c r="AK67" s="552"/>
      <c r="AL67" s="552"/>
      <c r="AM67" s="552"/>
      <c r="AN67" s="552"/>
      <c r="AO67" s="552"/>
      <c r="AP67" s="552"/>
      <c r="AQ67" s="552"/>
      <c r="AR67" s="552"/>
      <c r="AS67" s="552"/>
      <c r="AT67" s="552"/>
      <c r="AU67" s="552"/>
      <c r="AV67" s="552"/>
      <c r="AW67" s="553"/>
    </row>
    <row r="68">
      <c r="A68" s="117" t="s">
        <v>581</v>
      </c>
      <c r="B68" s="7"/>
      <c r="C68" s="7"/>
      <c r="D68" s="7"/>
      <c r="E68" s="7"/>
      <c r="F68" s="7"/>
      <c r="G68" s="7"/>
      <c r="H68" s="118"/>
      <c r="I68" s="340"/>
      <c r="J68" s="340"/>
      <c r="K68" s="340"/>
      <c r="L68" s="340"/>
      <c r="M68" s="340"/>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340"/>
      <c r="AW68" s="121"/>
    </row>
    <row r="69">
      <c r="A69" s="122"/>
      <c r="B69" s="123"/>
      <c r="C69" s="143"/>
      <c r="D69" s="143"/>
      <c r="E69" s="269"/>
      <c r="F69" s="533"/>
      <c r="G69" s="534"/>
      <c r="H69" s="127"/>
      <c r="I69" s="482"/>
      <c r="J69" s="482"/>
      <c r="K69" s="482"/>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482"/>
      <c r="AK69" s="482"/>
      <c r="AL69" s="482"/>
      <c r="AM69" s="482"/>
      <c r="AN69" s="482"/>
      <c r="AO69" s="482"/>
      <c r="AP69" s="482"/>
      <c r="AQ69" s="482"/>
      <c r="AR69" s="482"/>
      <c r="AS69" s="482"/>
      <c r="AT69" s="482"/>
      <c r="AU69" s="482"/>
      <c r="AV69" s="482"/>
      <c r="AW69" s="132"/>
    </row>
    <row r="70">
      <c r="A70" s="122"/>
      <c r="B70" s="123"/>
      <c r="C70" s="143" t="s">
        <v>582</v>
      </c>
      <c r="F70" s="533"/>
      <c r="G70" s="534"/>
      <c r="H70" s="127"/>
      <c r="I70" s="482"/>
      <c r="J70" s="482"/>
      <c r="K70" s="482"/>
      <c r="L70" s="482"/>
      <c r="M70" s="482"/>
      <c r="N70" s="482"/>
      <c r="O70" s="482"/>
      <c r="P70" s="482"/>
      <c r="Q70" s="482"/>
      <c r="R70" s="482"/>
      <c r="S70" s="482"/>
      <c r="T70" s="482"/>
      <c r="U70" s="482"/>
      <c r="V70" s="482"/>
      <c r="W70" s="482"/>
      <c r="X70" s="482"/>
      <c r="Y70" s="482"/>
      <c r="Z70" s="482"/>
      <c r="AA70" s="482"/>
      <c r="AB70" s="482"/>
      <c r="AC70" s="482"/>
      <c r="AD70" s="482"/>
      <c r="AE70" s="482"/>
      <c r="AF70" s="482"/>
      <c r="AG70" s="482"/>
      <c r="AH70" s="482"/>
      <c r="AI70" s="482"/>
      <c r="AJ70" s="482"/>
      <c r="AK70" s="482"/>
      <c r="AL70" s="482"/>
      <c r="AM70" s="482"/>
      <c r="AN70" s="482"/>
      <c r="AO70" s="482"/>
      <c r="AP70" s="482"/>
      <c r="AQ70" s="482"/>
      <c r="AR70" s="482"/>
      <c r="AS70" s="482"/>
      <c r="AT70" s="482"/>
      <c r="AU70" s="482"/>
      <c r="AV70" s="482"/>
      <c r="AW70" s="132"/>
    </row>
    <row r="71">
      <c r="A71" s="122"/>
      <c r="B71" s="123"/>
      <c r="C71" s="538"/>
      <c r="D71" s="538"/>
      <c r="E71" s="254" t="s">
        <v>583</v>
      </c>
      <c r="F71" s="539" t="s">
        <v>72</v>
      </c>
      <c r="G71" s="540" t="s">
        <v>165</v>
      </c>
      <c r="H71" s="541" t="str">
        <f>Inputs!H147</f>
        <v>-</v>
      </c>
      <c r="I71" s="542">
        <f>Inputs!I147</f>
        <v>0.023390685</v>
      </c>
      <c r="J71" s="542">
        <f>Inputs!J147</f>
        <v>0.018787823</v>
      </c>
      <c r="K71" s="542">
        <f>Inputs!K147</f>
        <v>0.023068706</v>
      </c>
      <c r="L71" s="542">
        <f>Inputs!L147</f>
        <v>0.01387223</v>
      </c>
      <c r="M71" s="542">
        <f>Inputs!M147</f>
        <v>0.021079399</v>
      </c>
      <c r="N71" s="542">
        <f>Inputs!N147</f>
        <v>0.01695616</v>
      </c>
      <c r="O71" s="542">
        <f>Inputs!O147</f>
        <v>0.018438313</v>
      </c>
      <c r="P71" s="542">
        <f>Inputs!P147</f>
        <v>0.026957948</v>
      </c>
      <c r="Q71" s="542">
        <f>Inputs!Q147</f>
        <v>0.021586078</v>
      </c>
      <c r="R71" s="542">
        <f>Inputs!R147</f>
        <v>0.008631043</v>
      </c>
      <c r="S71" s="542">
        <f>Inputs!S147</f>
        <v>0.017692972</v>
      </c>
      <c r="T71" s="542">
        <f>Inputs!T147</f>
        <v>0.006290583</v>
      </c>
      <c r="U71" s="542">
        <f>Inputs!U147</f>
        <v>0.007369406</v>
      </c>
      <c r="V71" s="542">
        <f>Inputs!V147</f>
        <v>0.00733338</v>
      </c>
      <c r="W71" s="542">
        <f>Inputs!W147</f>
        <v>0.010914292</v>
      </c>
      <c r="X71" s="542">
        <f>Inputs!X147</f>
        <v>0.007233136</v>
      </c>
      <c r="Y71" s="542">
        <f>Inputs!Y147</f>
        <v>0.00653061</v>
      </c>
      <c r="Z71" s="542">
        <f>Inputs!Z147</f>
        <v>0.008807684</v>
      </c>
      <c r="AA71" s="542">
        <f>Inputs!AA147</f>
        <v>0.011309457</v>
      </c>
      <c r="AB71" s="542">
        <f>Inputs!AB147</f>
        <v>0.008648343</v>
      </c>
      <c r="AC71" s="542">
        <f>Inputs!AC147</f>
        <v>0.007752461</v>
      </c>
      <c r="AD71" s="542">
        <f>Inputs!AD147</f>
        <v>0.004975645</v>
      </c>
      <c r="AE71" s="542">
        <f>Inputs!AE147</f>
        <v>0.008219573</v>
      </c>
      <c r="AF71" s="542">
        <f>Inputs!AF147</f>
        <v>0.005635233</v>
      </c>
      <c r="AG71" s="542">
        <f>Inputs!AG147</f>
        <v>0.01387223</v>
      </c>
      <c r="AH71" s="542">
        <f>Inputs!AH147</f>
        <v>0.006925311</v>
      </c>
      <c r="AI71" s="542">
        <f>Inputs!AI147</f>
        <v>0.005374371</v>
      </c>
      <c r="AJ71" s="542">
        <f>Inputs!AJ147</f>
        <v>0.005648216</v>
      </c>
      <c r="AK71" s="542">
        <f>Inputs!AK147</f>
        <v>0.009993866</v>
      </c>
      <c r="AL71" s="542">
        <f>Inputs!AL147</f>
        <v>0.012652618</v>
      </c>
      <c r="AM71" s="542">
        <f>Inputs!AM147</f>
        <v>0.012652618</v>
      </c>
      <c r="AN71" s="542">
        <f>Inputs!AN147</f>
        <v>0.012652618</v>
      </c>
      <c r="AO71" s="542">
        <f>Inputs!AO147</f>
        <v>0.007272124</v>
      </c>
      <c r="AP71" s="542">
        <f>Inputs!AP147</f>
        <v>0.00799731</v>
      </c>
      <c r="AQ71" s="542">
        <f>Inputs!AQ147</f>
        <v>0.004606194</v>
      </c>
      <c r="AR71" s="542">
        <f>Inputs!AR147</f>
        <v>0.004597797</v>
      </c>
      <c r="AS71" s="542">
        <f>Inputs!AS147</f>
        <v>0.008021461</v>
      </c>
      <c r="AT71" s="542">
        <f>Inputs!AT147</f>
        <v>0.00814551</v>
      </c>
      <c r="AU71" s="542">
        <f>Inputs!AU147</f>
        <v>0.018515733</v>
      </c>
      <c r="AV71" s="542">
        <f>Inputs!AV147</f>
        <v>0.013456401</v>
      </c>
      <c r="AW71" s="543"/>
    </row>
    <row r="72">
      <c r="A72" s="122"/>
      <c r="B72" s="123"/>
      <c r="C72" s="538"/>
      <c r="D72" s="538"/>
      <c r="E72" s="254" t="s">
        <v>584</v>
      </c>
      <c r="F72" s="539" t="s">
        <v>72</v>
      </c>
      <c r="G72" s="540" t="s">
        <v>165</v>
      </c>
      <c r="H72" s="541" t="str">
        <f>Inputs!H148</f>
        <v>-</v>
      </c>
      <c r="I72" s="542">
        <f>Inputs!I148</f>
        <v>0.001298445</v>
      </c>
      <c r="J72" s="542">
        <f>Inputs!J148</f>
        <v>0.001136902</v>
      </c>
      <c r="K72" s="542">
        <f>Inputs!K148</f>
        <v>0.001358999</v>
      </c>
      <c r="L72" s="542">
        <f>Inputs!L148</f>
        <v>0.000848418</v>
      </c>
      <c r="M72" s="542">
        <f>Inputs!M148</f>
        <v>0.001325756</v>
      </c>
      <c r="N72" s="542">
        <f>Inputs!N148</f>
        <v>0.001052452</v>
      </c>
      <c r="O72" s="542">
        <f>Inputs!O148</f>
        <v>0.001083798</v>
      </c>
      <c r="P72" s="542">
        <f>Inputs!P148</f>
        <v>0.001487164</v>
      </c>
      <c r="Q72" s="542">
        <f>Inputs!Q148</f>
        <v>0.001579396</v>
      </c>
      <c r="R72" s="542">
        <f>Inputs!R148</f>
        <v>0.00054279</v>
      </c>
      <c r="S72" s="542">
        <f>Inputs!S148</f>
        <v>0.001159606</v>
      </c>
      <c r="T72" s="542">
        <f>Inputs!T148</f>
        <v>0.000438313</v>
      </c>
      <c r="U72" s="542">
        <f>Inputs!U148</f>
        <v>0.000477036</v>
      </c>
      <c r="V72" s="542">
        <f>Inputs!V148</f>
        <v>0.000461053</v>
      </c>
      <c r="W72" s="542">
        <f>Inputs!W148</f>
        <v>0.000839495</v>
      </c>
      <c r="X72" s="542">
        <f>Inputs!X148</f>
        <v>0.000604129</v>
      </c>
      <c r="Y72" s="542">
        <f>Inputs!Y148</f>
        <v>0.000721752</v>
      </c>
      <c r="Z72" s="542">
        <f>Inputs!Z148</f>
        <v>0.000601201</v>
      </c>
      <c r="AA72" s="542">
        <f>Inputs!AA148</f>
        <v>0.000818631</v>
      </c>
      <c r="AB72" s="542">
        <f>Inputs!AB148</f>
        <v>0.000492514</v>
      </c>
      <c r="AC72" s="542">
        <f>Inputs!AC148</f>
        <v>0.000465323</v>
      </c>
      <c r="AD72" s="542">
        <f>Inputs!AD148</f>
        <v>0.000394427</v>
      </c>
      <c r="AE72" s="542">
        <f>Inputs!AE148</f>
        <v>0.00060762</v>
      </c>
      <c r="AF72" s="542">
        <f>Inputs!AF148</f>
        <v>0.00042438</v>
      </c>
      <c r="AG72" s="542">
        <f>Inputs!AG148</f>
        <v>0.000848418</v>
      </c>
      <c r="AH72" s="542">
        <f>Inputs!AH148</f>
        <v>0.000443956</v>
      </c>
      <c r="AI72" s="542">
        <f>Inputs!AI148</f>
        <v>0.000388867</v>
      </c>
      <c r="AJ72" s="542">
        <f>Inputs!AJ148</f>
        <v>0.000420064</v>
      </c>
      <c r="AK72" s="542">
        <f>Inputs!AK148</f>
        <v>0.000753327</v>
      </c>
      <c r="AL72" s="542">
        <f>Inputs!AL148</f>
        <v>0.000857672</v>
      </c>
      <c r="AM72" s="542">
        <f>Inputs!AM148</f>
        <v>0.000857672</v>
      </c>
      <c r="AN72" s="542">
        <f>Inputs!AN148</f>
        <v>0.000857672</v>
      </c>
      <c r="AO72" s="542">
        <f>Inputs!AO148</f>
        <v>0.000502423</v>
      </c>
      <c r="AP72" s="542">
        <f>Inputs!AP148</f>
        <v>0.000580734</v>
      </c>
      <c r="AQ72" s="542">
        <f>Inputs!AQ148</f>
        <v>0.000303436</v>
      </c>
      <c r="AR72" s="542">
        <f>Inputs!AR148</f>
        <v>0.000294241</v>
      </c>
      <c r="AS72" s="542">
        <f>Inputs!AS148</f>
        <v>0.00068802</v>
      </c>
      <c r="AT72" s="542">
        <f>Inputs!AT148</f>
        <v>0.000523182</v>
      </c>
      <c r="AU72" s="542">
        <f>Inputs!AU148</f>
        <v>0.001213507</v>
      </c>
      <c r="AV72" s="542">
        <f>Inputs!AV148</f>
        <v>0.000921898</v>
      </c>
      <c r="AW72" s="543"/>
    </row>
    <row r="73">
      <c r="A73" s="122"/>
      <c r="B73" s="123"/>
      <c r="C73" s="538"/>
      <c r="D73" s="538"/>
      <c r="E73" s="254" t="s">
        <v>585</v>
      </c>
      <c r="F73" s="539" t="s">
        <v>72</v>
      </c>
      <c r="G73" s="540" t="s">
        <v>165</v>
      </c>
      <c r="H73" s="541" t="str">
        <f>Inputs!H149</f>
        <v>-</v>
      </c>
      <c r="I73" s="542">
        <f>Inputs!I149</f>
        <v>0.002586005</v>
      </c>
      <c r="J73" s="542">
        <f>Inputs!J149</f>
        <v>0.00203186</v>
      </c>
      <c r="K73" s="542">
        <f>Inputs!K149</f>
        <v>0.003081885</v>
      </c>
      <c r="L73" s="542">
        <f>Inputs!L149</f>
        <v>0.002004393</v>
      </c>
      <c r="M73" s="542">
        <f>Inputs!M149</f>
        <v>0.002148469</v>
      </c>
      <c r="N73" s="542">
        <f>Inputs!N149</f>
        <v>0.002520287</v>
      </c>
      <c r="O73" s="542">
        <f>Inputs!O149</f>
        <v>0.002528167</v>
      </c>
      <c r="P73" s="542">
        <f>Inputs!P149</f>
        <v>0.003306589</v>
      </c>
      <c r="Q73" s="542">
        <f>Inputs!Q149</f>
        <v>0.002961165</v>
      </c>
      <c r="R73" s="542">
        <f>Inputs!R149</f>
        <v>0.001764135</v>
      </c>
      <c r="S73" s="542">
        <f>Inputs!S149</f>
        <v>0.002444501</v>
      </c>
      <c r="T73" s="542">
        <f>Inputs!T149</f>
        <v>0.001880042</v>
      </c>
      <c r="U73" s="542">
        <f>Inputs!U149</f>
        <v>0.001957972</v>
      </c>
      <c r="V73" s="542">
        <f>Inputs!V149</f>
        <v>0.002082136</v>
      </c>
      <c r="W73" s="542">
        <f>Inputs!W149</f>
        <v>0.002509839</v>
      </c>
      <c r="X73" s="542">
        <f>Inputs!X149</f>
        <v>0.00181658</v>
      </c>
      <c r="Y73" s="542">
        <f>Inputs!Y149</f>
        <v>0.003680809</v>
      </c>
      <c r="Z73" s="542">
        <f>Inputs!Z149</f>
        <v>0.00207159</v>
      </c>
      <c r="AA73" s="542">
        <f>Inputs!AA149</f>
        <v>0.002309895</v>
      </c>
      <c r="AB73" s="542">
        <f>Inputs!AB149</f>
        <v>0.002007432</v>
      </c>
      <c r="AC73" s="542">
        <f>Inputs!AC149</f>
        <v>0.001824262</v>
      </c>
      <c r="AD73" s="542">
        <f>Inputs!AD149</f>
        <v>0.00182818</v>
      </c>
      <c r="AE73" s="542">
        <f>Inputs!AE149</f>
        <v>0.001742828</v>
      </c>
      <c r="AF73" s="542">
        <f>Inputs!AF149</f>
        <v>0.001739745</v>
      </c>
      <c r="AG73" s="542">
        <f>Inputs!AG149</f>
        <v>0.002004393</v>
      </c>
      <c r="AH73" s="542">
        <f>Inputs!AH149</f>
        <v>0.001960957</v>
      </c>
      <c r="AI73" s="542">
        <f>Inputs!AI149</f>
        <v>0.002123181</v>
      </c>
      <c r="AJ73" s="542">
        <f>Inputs!AJ149</f>
        <v>0.001496856</v>
      </c>
      <c r="AK73" s="542">
        <f>Inputs!AK149</f>
        <v>0.002433635</v>
      </c>
      <c r="AL73" s="542">
        <f>Inputs!AL149</f>
        <v>0.002520823</v>
      </c>
      <c r="AM73" s="542">
        <f>Inputs!AM149</f>
        <v>0.002520823</v>
      </c>
      <c r="AN73" s="542">
        <f>Inputs!AN149</f>
        <v>0.002520823</v>
      </c>
      <c r="AO73" s="542">
        <f>Inputs!AO149</f>
        <v>0.002077252</v>
      </c>
      <c r="AP73" s="542">
        <f>Inputs!AP149</f>
        <v>0.001965618</v>
      </c>
      <c r="AQ73" s="542">
        <f>Inputs!AQ149</f>
        <v>0.001386363</v>
      </c>
      <c r="AR73" s="542">
        <f>Inputs!AR149</f>
        <v>0.001585732</v>
      </c>
      <c r="AS73" s="542">
        <f>Inputs!AS149</f>
        <v>0.002490513</v>
      </c>
      <c r="AT73" s="542">
        <f>Inputs!AT149</f>
        <v>0.00194264</v>
      </c>
      <c r="AU73" s="542">
        <f>Inputs!AU149</f>
        <v>0.002746134</v>
      </c>
      <c r="AV73" s="542">
        <f>Inputs!AV149</f>
        <v>0.002595537</v>
      </c>
      <c r="AW73" s="543"/>
    </row>
    <row r="74">
      <c r="A74" s="122"/>
      <c r="B74" s="123"/>
      <c r="C74" s="538"/>
      <c r="D74" s="538"/>
      <c r="E74" s="490" t="s">
        <v>586</v>
      </c>
      <c r="F74" s="544" t="s">
        <v>72</v>
      </c>
      <c r="G74" s="545" t="s">
        <v>165</v>
      </c>
      <c r="H74" s="546" t="str">
        <f>Inputs!H150</f>
        <v>-</v>
      </c>
      <c r="I74" s="547">
        <f>Inputs!I150</f>
        <v>0.023849512</v>
      </c>
      <c r="J74" s="547">
        <f>Inputs!J150</f>
        <v>0.02352892</v>
      </c>
      <c r="K74" s="547">
        <f>Inputs!K150</f>
        <v>0.024494371</v>
      </c>
      <c r="L74" s="547">
        <f>Inputs!L150</f>
        <v>0.016803436</v>
      </c>
      <c r="M74" s="547">
        <f>Inputs!M150</f>
        <v>0.018501934</v>
      </c>
      <c r="N74" s="547">
        <f>Inputs!N150</f>
        <v>0.02109105</v>
      </c>
      <c r="O74" s="547">
        <f>Inputs!O150</f>
        <v>0.025109776</v>
      </c>
      <c r="P74" s="547">
        <f>Inputs!P150</f>
        <v>0.024150318</v>
      </c>
      <c r="Q74" s="547">
        <f>Inputs!Q150</f>
        <v>0.029711508</v>
      </c>
      <c r="R74" s="547">
        <f>Inputs!R150</f>
        <v>0.015782545</v>
      </c>
      <c r="S74" s="547">
        <f>Inputs!S150</f>
        <v>0.023351116</v>
      </c>
      <c r="T74" s="547">
        <f>Inputs!T150</f>
        <v>0.017447023</v>
      </c>
      <c r="U74" s="547">
        <f>Inputs!U150</f>
        <v>0.016405116</v>
      </c>
      <c r="V74" s="547">
        <f>Inputs!V150</f>
        <v>0.019350304</v>
      </c>
      <c r="W74" s="547">
        <f>Inputs!W150</f>
        <v>0.021737143</v>
      </c>
      <c r="X74" s="547">
        <f>Inputs!X150</f>
        <v>0.019471301</v>
      </c>
      <c r="Y74" s="547">
        <f>Inputs!Y150</f>
        <v>0.032955525</v>
      </c>
      <c r="Z74" s="547">
        <f>Inputs!Z150</f>
        <v>0.015790436</v>
      </c>
      <c r="AA74" s="547">
        <f>Inputs!AA150</f>
        <v>0.019875108</v>
      </c>
      <c r="AB74" s="547">
        <f>Inputs!AB150</f>
        <v>0.014327169</v>
      </c>
      <c r="AC74" s="547">
        <f>Inputs!AC150</f>
        <v>0.015967831</v>
      </c>
      <c r="AD74" s="547">
        <f>Inputs!AD150</f>
        <v>0.017175346</v>
      </c>
      <c r="AE74" s="547">
        <f>Inputs!AE150</f>
        <v>0.011371433</v>
      </c>
      <c r="AF74" s="547">
        <f>Inputs!AF150</f>
        <v>0.014655234</v>
      </c>
      <c r="AG74" s="547">
        <f>Inputs!AG150</f>
        <v>0.016803436</v>
      </c>
      <c r="AH74" s="547">
        <f>Inputs!AH150</f>
        <v>0.019361124</v>
      </c>
      <c r="AI74" s="547">
        <f>Inputs!AI150</f>
        <v>0.016970364</v>
      </c>
      <c r="AJ74" s="547">
        <f>Inputs!AJ150</f>
        <v>0.011549145</v>
      </c>
      <c r="AK74" s="547">
        <f>Inputs!AK150</f>
        <v>0.015653005</v>
      </c>
      <c r="AL74" s="547">
        <f>Inputs!AL150</f>
        <v>0.020421233</v>
      </c>
      <c r="AM74" s="547">
        <f>Inputs!AM150</f>
        <v>0.020421233</v>
      </c>
      <c r="AN74" s="547">
        <f>Inputs!AN150</f>
        <v>0.020421233</v>
      </c>
      <c r="AO74" s="547">
        <f>Inputs!AO150</f>
        <v>0.018129064</v>
      </c>
      <c r="AP74" s="547">
        <f>Inputs!AP150</f>
        <v>0.018137271</v>
      </c>
      <c r="AQ74" s="547">
        <f>Inputs!AQ150</f>
        <v>0.014733298</v>
      </c>
      <c r="AR74" s="547">
        <f>Inputs!AR150</f>
        <v>0.014182152</v>
      </c>
      <c r="AS74" s="547">
        <f>Inputs!AS150</f>
        <v>0.015807042</v>
      </c>
      <c r="AT74" s="547">
        <f>Inputs!AT150</f>
        <v>0.015695869</v>
      </c>
      <c r="AU74" s="547">
        <f>Inputs!AU150</f>
        <v>0.017242094</v>
      </c>
      <c r="AV74" s="547">
        <f>Inputs!AV150</f>
        <v>0.022438887</v>
      </c>
      <c r="AW74" s="548"/>
    </row>
    <row r="75">
      <c r="A75" s="122"/>
      <c r="B75" s="123"/>
      <c r="C75" s="143"/>
      <c r="D75" s="143"/>
      <c r="E75" s="269"/>
      <c r="F75" s="533"/>
      <c r="G75" s="534"/>
      <c r="H75" s="127"/>
      <c r="I75" s="482"/>
      <c r="J75" s="482"/>
      <c r="K75" s="482"/>
      <c r="L75" s="482"/>
      <c r="M75" s="482"/>
      <c r="N75" s="482"/>
      <c r="O75" s="482"/>
      <c r="P75" s="482"/>
      <c r="Q75" s="482"/>
      <c r="R75" s="482"/>
      <c r="S75" s="482"/>
      <c r="T75" s="482"/>
      <c r="U75" s="482"/>
      <c r="V75" s="482"/>
      <c r="W75" s="482"/>
      <c r="X75" s="482"/>
      <c r="Y75" s="482"/>
      <c r="Z75" s="482"/>
      <c r="AA75" s="482"/>
      <c r="AB75" s="482"/>
      <c r="AC75" s="482"/>
      <c r="AD75" s="482"/>
      <c r="AE75" s="482"/>
      <c r="AF75" s="482"/>
      <c r="AG75" s="482"/>
      <c r="AH75" s="482"/>
      <c r="AI75" s="482"/>
      <c r="AJ75" s="482"/>
      <c r="AK75" s="482"/>
      <c r="AL75" s="482"/>
      <c r="AM75" s="482"/>
      <c r="AN75" s="482"/>
      <c r="AO75" s="482"/>
      <c r="AP75" s="482"/>
      <c r="AQ75" s="482"/>
      <c r="AR75" s="482"/>
      <c r="AS75" s="482"/>
      <c r="AT75" s="482"/>
      <c r="AU75" s="482"/>
      <c r="AV75" s="482"/>
      <c r="AW75" s="132"/>
    </row>
    <row r="76">
      <c r="A76" s="122"/>
      <c r="B76" s="123"/>
      <c r="C76" s="143" t="s">
        <v>587</v>
      </c>
      <c r="F76" s="533"/>
      <c r="G76" s="534"/>
      <c r="H76" s="127"/>
      <c r="I76" s="482"/>
      <c r="J76" s="482"/>
      <c r="K76" s="482"/>
      <c r="L76" s="482"/>
      <c r="M76" s="482"/>
      <c r="N76" s="482"/>
      <c r="O76" s="482"/>
      <c r="P76" s="482"/>
      <c r="Q76" s="482"/>
      <c r="R76" s="482"/>
      <c r="S76" s="482"/>
      <c r="T76" s="482"/>
      <c r="U76" s="482"/>
      <c r="V76" s="482"/>
      <c r="W76" s="482"/>
      <c r="X76" s="482"/>
      <c r="Y76" s="482"/>
      <c r="Z76" s="482"/>
      <c r="AA76" s="482"/>
      <c r="AB76" s="482"/>
      <c r="AC76" s="482"/>
      <c r="AD76" s="482"/>
      <c r="AE76" s="482"/>
      <c r="AF76" s="482"/>
      <c r="AG76" s="482"/>
      <c r="AH76" s="482"/>
      <c r="AI76" s="482"/>
      <c r="AJ76" s="482"/>
      <c r="AK76" s="482"/>
      <c r="AL76" s="482"/>
      <c r="AM76" s="482"/>
      <c r="AN76" s="482"/>
      <c r="AO76" s="482"/>
      <c r="AP76" s="482"/>
      <c r="AQ76" s="482"/>
      <c r="AR76" s="482"/>
      <c r="AS76" s="482"/>
      <c r="AT76" s="482"/>
      <c r="AU76" s="482"/>
      <c r="AV76" s="482"/>
      <c r="AW76" s="132"/>
    </row>
    <row r="77">
      <c r="A77" s="122"/>
      <c r="B77" s="123"/>
      <c r="C77" s="538"/>
      <c r="D77" s="538"/>
      <c r="E77" s="254" t="s">
        <v>588</v>
      </c>
      <c r="F77" s="539" t="s">
        <v>62</v>
      </c>
      <c r="G77" s="540" t="s">
        <v>165</v>
      </c>
      <c r="H77" s="541" t="str">
        <f>Inputs!H151</f>
        <v>-</v>
      </c>
      <c r="I77" s="564">
        <f>Inputs!I151</f>
        <v>6666.160437</v>
      </c>
      <c r="J77" s="564">
        <f>Inputs!J151</f>
        <v>2486.36786</v>
      </c>
      <c r="K77" s="564">
        <f>Inputs!K151</f>
        <v>5391.465326</v>
      </c>
      <c r="L77" s="564">
        <f>Inputs!L151</f>
        <v>5468.270934</v>
      </c>
      <c r="M77" s="564">
        <f>Inputs!M151</f>
        <v>14601.87847</v>
      </c>
      <c r="N77" s="564">
        <f>Inputs!N151</f>
        <v>7218.508224</v>
      </c>
      <c r="O77" s="564">
        <f>Inputs!O151</f>
        <v>3722.428607</v>
      </c>
      <c r="P77" s="564">
        <f>Inputs!P151</f>
        <v>8155.291135</v>
      </c>
      <c r="Q77" s="564">
        <f>Inputs!Q151</f>
        <v>3511.465494</v>
      </c>
      <c r="R77" s="564">
        <f>Inputs!R151</f>
        <v>1202.92937</v>
      </c>
      <c r="S77" s="564">
        <f>Inputs!S151</f>
        <v>2012.237586</v>
      </c>
      <c r="T77" s="564">
        <f>Inputs!T151</f>
        <v>378.814408</v>
      </c>
      <c r="U77" s="564">
        <f>Inputs!U151</f>
        <v>1398.002058</v>
      </c>
      <c r="V77" s="564">
        <f>Inputs!V151</f>
        <v>159.7895022</v>
      </c>
      <c r="W77" s="564">
        <f>Inputs!W151</f>
        <v>3330.832438</v>
      </c>
      <c r="X77" s="564">
        <f>Inputs!X151</f>
        <v>1209.228038</v>
      </c>
      <c r="Y77" s="564">
        <f>Inputs!Y151</f>
        <v>415.8901035</v>
      </c>
      <c r="Z77" s="564">
        <f>Inputs!Z151</f>
        <v>1061.768764</v>
      </c>
      <c r="AA77" s="564">
        <f>Inputs!AA151</f>
        <v>1184.586367</v>
      </c>
      <c r="AB77" s="564">
        <f>Inputs!AB151</f>
        <v>881.118419</v>
      </c>
      <c r="AC77" s="564">
        <f>Inputs!AC151</f>
        <v>352.8307972</v>
      </c>
      <c r="AD77" s="564">
        <f>Inputs!AD151</f>
        <v>629.688544</v>
      </c>
      <c r="AE77" s="564">
        <f>Inputs!AE151</f>
        <v>1531.147811</v>
      </c>
      <c r="AF77" s="564">
        <f>Inputs!AF151</f>
        <v>1744.136024</v>
      </c>
      <c r="AG77" s="564">
        <f>Inputs!AG151</f>
        <v>5468.270934</v>
      </c>
      <c r="AH77" s="564">
        <f>Inputs!AH151</f>
        <v>582.2050582</v>
      </c>
      <c r="AI77" s="564">
        <f>Inputs!AI151</f>
        <v>493.7507516</v>
      </c>
      <c r="AJ77" s="564">
        <f>Inputs!AJ151</f>
        <v>758.7766907</v>
      </c>
      <c r="AK77" s="564">
        <f>Inputs!AK151</f>
        <v>1963.50028</v>
      </c>
      <c r="AL77" s="564">
        <f>Inputs!AL151</f>
        <v>5381.905875</v>
      </c>
      <c r="AM77" s="564">
        <f>Inputs!AM151</f>
        <v>5381.905875</v>
      </c>
      <c r="AN77" s="564">
        <f>Inputs!AN151</f>
        <v>5381.905875</v>
      </c>
      <c r="AO77" s="564">
        <f>Inputs!AO151</f>
        <v>2519.607052</v>
      </c>
      <c r="AP77" s="564">
        <f>Inputs!AP151</f>
        <v>788.5256111</v>
      </c>
      <c r="AQ77" s="564">
        <f>Inputs!AQ151</f>
        <v>522.2441219</v>
      </c>
      <c r="AR77" s="564">
        <f>Inputs!AR151</f>
        <v>730.3035654</v>
      </c>
      <c r="AS77" s="564">
        <f>Inputs!AS151</f>
        <v>3126.259236</v>
      </c>
      <c r="AT77" s="564">
        <f>Inputs!AT151</f>
        <v>789.6435423</v>
      </c>
      <c r="AU77" s="564">
        <f>Inputs!AU151</f>
        <v>5542.047624</v>
      </c>
      <c r="AV77" s="564">
        <f>Inputs!AV151</f>
        <v>2310.592523</v>
      </c>
      <c r="AW77" s="565"/>
    </row>
    <row r="78">
      <c r="A78" s="122"/>
      <c r="B78" s="123"/>
      <c r="C78" s="538"/>
      <c r="D78" s="538"/>
      <c r="E78" s="257" t="s">
        <v>589</v>
      </c>
      <c r="F78" s="554" t="s">
        <v>62</v>
      </c>
      <c r="G78" s="555" t="s">
        <v>165</v>
      </c>
      <c r="H78" s="556" t="str">
        <f>Inputs!H152</f>
        <v>-</v>
      </c>
      <c r="I78" s="310">
        <f>Inputs!I152</f>
        <v>1061.467461</v>
      </c>
      <c r="J78" s="310">
        <f>Inputs!J152</f>
        <v>381.0681328</v>
      </c>
      <c r="K78" s="310">
        <f>Inputs!K152</f>
        <v>750.413681</v>
      </c>
      <c r="L78" s="310">
        <f>Inputs!L152</f>
        <v>981.2133565</v>
      </c>
      <c r="M78" s="310">
        <f>Inputs!M152</f>
        <v>2779.112992</v>
      </c>
      <c r="N78" s="310">
        <f>Inputs!N152</f>
        <v>1075.561854</v>
      </c>
      <c r="O78" s="310">
        <f>Inputs!O152</f>
        <v>697.047277</v>
      </c>
      <c r="P78" s="310">
        <f>Inputs!P152</f>
        <v>1055.148578</v>
      </c>
      <c r="Q78" s="310">
        <f>Inputs!Q152</f>
        <v>335.622534</v>
      </c>
      <c r="R78" s="310">
        <f>Inputs!R152</f>
        <v>273.658547</v>
      </c>
      <c r="S78" s="310">
        <f>Inputs!S152</f>
        <v>319.0969645</v>
      </c>
      <c r="T78" s="310">
        <f>Inputs!T152</f>
        <v>99.18373242</v>
      </c>
      <c r="U78" s="310">
        <f>Inputs!U152</f>
        <v>357.6860169</v>
      </c>
      <c r="V78" s="310">
        <f>Inputs!V152</f>
        <v>33.50491455</v>
      </c>
      <c r="W78" s="310">
        <f>Inputs!W152</f>
        <v>886.0005902</v>
      </c>
      <c r="X78" s="310">
        <f>Inputs!X152</f>
        <v>300.3458283</v>
      </c>
      <c r="Y78" s="310">
        <f>Inputs!Y152</f>
        <v>89.35648229</v>
      </c>
      <c r="Z78" s="310">
        <f>Inputs!Z152</f>
        <v>272.6754375</v>
      </c>
      <c r="AA78" s="310">
        <f>Inputs!AA152</f>
        <v>318.3975475</v>
      </c>
      <c r="AB78" s="310">
        <f>Inputs!AB152</f>
        <v>195.6446153</v>
      </c>
      <c r="AC78" s="310">
        <f>Inputs!AC152</f>
        <v>113.2588923</v>
      </c>
      <c r="AD78" s="310">
        <f>Inputs!AD152</f>
        <v>160.875714</v>
      </c>
      <c r="AE78" s="310">
        <f>Inputs!AE152</f>
        <v>465.8300061</v>
      </c>
      <c r="AF78" s="310">
        <f>Inputs!AF152</f>
        <v>588.8475439</v>
      </c>
      <c r="AG78" s="310">
        <f>Inputs!AG152</f>
        <v>981.2133565</v>
      </c>
      <c r="AH78" s="310">
        <f>Inputs!AH152</f>
        <v>162.1212496</v>
      </c>
      <c r="AI78" s="310">
        <f>Inputs!AI152</f>
        <v>143.4555733</v>
      </c>
      <c r="AJ78" s="310">
        <f>Inputs!AJ152</f>
        <v>307.9391204</v>
      </c>
      <c r="AK78" s="310">
        <f>Inputs!AK152</f>
        <v>498.6291859</v>
      </c>
      <c r="AL78" s="310">
        <f>Inputs!AL152</f>
        <v>960.6172552</v>
      </c>
      <c r="AM78" s="310">
        <f>Inputs!AM152</f>
        <v>960.6172552</v>
      </c>
      <c r="AN78" s="310">
        <f>Inputs!AN152</f>
        <v>960.6172552</v>
      </c>
      <c r="AO78" s="310">
        <f>Inputs!AO152</f>
        <v>703.5287218</v>
      </c>
      <c r="AP78" s="310">
        <f>Inputs!AP152</f>
        <v>215.1188228</v>
      </c>
      <c r="AQ78" s="310">
        <f>Inputs!AQ152</f>
        <v>185.6929629</v>
      </c>
      <c r="AR78" s="310">
        <f>Inputs!AR152</f>
        <v>254.4659791</v>
      </c>
      <c r="AS78" s="310">
        <f>Inputs!AS152</f>
        <v>803.0921082</v>
      </c>
      <c r="AT78" s="310">
        <f>Inputs!AT152</f>
        <v>215.7573264</v>
      </c>
      <c r="AU78" s="310">
        <f>Inputs!AU152</f>
        <v>833.7026331</v>
      </c>
      <c r="AV78" s="310">
        <f>Inputs!AV152</f>
        <v>517.0937589</v>
      </c>
      <c r="AW78" s="251"/>
    </row>
    <row r="79">
      <c r="A79" s="122"/>
      <c r="B79" s="123"/>
      <c r="C79" s="538"/>
      <c r="D79" s="538"/>
      <c r="E79" s="257" t="s">
        <v>590</v>
      </c>
      <c r="F79" s="554" t="s">
        <v>62</v>
      </c>
      <c r="G79" s="555" t="s">
        <v>165</v>
      </c>
      <c r="H79" s="556" t="str">
        <f>Inputs!H153</f>
        <v>-</v>
      </c>
      <c r="I79" s="310">
        <f>Inputs!I153</f>
        <v>404.6041757</v>
      </c>
      <c r="J79" s="310">
        <f>Inputs!J153</f>
        <v>172.4965171</v>
      </c>
      <c r="K79" s="310">
        <f>Inputs!K153</f>
        <v>322.7686116</v>
      </c>
      <c r="L79" s="310">
        <f>Inputs!L153</f>
        <v>560.4574101</v>
      </c>
      <c r="M79" s="310">
        <f>Inputs!M153</f>
        <v>1432.33014</v>
      </c>
      <c r="N79" s="310">
        <f>Inputs!N153</f>
        <v>842.4771043</v>
      </c>
      <c r="O79" s="310">
        <f>Inputs!O153</f>
        <v>317.3714496</v>
      </c>
      <c r="P79" s="310">
        <f>Inputs!P153</f>
        <v>756.141429</v>
      </c>
      <c r="Q79" s="310">
        <f>Inputs!Q153</f>
        <v>290.4911702</v>
      </c>
      <c r="R79" s="310">
        <f>Inputs!R153</f>
        <v>95.28330604</v>
      </c>
      <c r="S79" s="310">
        <f>Inputs!S153</f>
        <v>157.2835257</v>
      </c>
      <c r="T79" s="310">
        <f>Inputs!T153</f>
        <v>45.35458905</v>
      </c>
      <c r="U79" s="310">
        <f>Inputs!U153</f>
        <v>150.8925561</v>
      </c>
      <c r="V79" s="310">
        <f>Inputs!V153</f>
        <v>14.62465335</v>
      </c>
      <c r="W79" s="310">
        <f>Inputs!W153</f>
        <v>380.1906619</v>
      </c>
      <c r="X79" s="310">
        <f>Inputs!X153</f>
        <v>147.7294825</v>
      </c>
      <c r="Y79" s="310">
        <f>Inputs!Y153</f>
        <v>42.64310619</v>
      </c>
      <c r="Z79" s="310">
        <f>Inputs!Z153</f>
        <v>144.0685462</v>
      </c>
      <c r="AA79" s="310">
        <f>Inputs!AA153</f>
        <v>132.6954545</v>
      </c>
      <c r="AB79" s="310">
        <f>Inputs!AB153</f>
        <v>90.30950381</v>
      </c>
      <c r="AC79" s="310">
        <f>Inputs!AC153</f>
        <v>36.88682191</v>
      </c>
      <c r="AD79" s="310">
        <f>Inputs!AD153</f>
        <v>110.7200888</v>
      </c>
      <c r="AE79" s="310">
        <f>Inputs!AE153</f>
        <v>160.3809941</v>
      </c>
      <c r="AF79" s="310">
        <f>Inputs!AF153</f>
        <v>133.3791064</v>
      </c>
      <c r="AG79" s="310">
        <f>Inputs!AG153</f>
        <v>560.4574101</v>
      </c>
      <c r="AH79" s="310">
        <f>Inputs!AH153</f>
        <v>67.57942849</v>
      </c>
      <c r="AI79" s="310">
        <f>Inputs!AI153</f>
        <v>85.92015055</v>
      </c>
      <c r="AJ79" s="310">
        <f>Inputs!AJ153</f>
        <v>119.6056327</v>
      </c>
      <c r="AK79" s="310">
        <f>Inputs!AK153</f>
        <v>245.6423763</v>
      </c>
      <c r="AL79" s="310">
        <f>Inputs!AL153</f>
        <v>692.8217128</v>
      </c>
      <c r="AM79" s="310">
        <f>Inputs!AM153</f>
        <v>692.8217128</v>
      </c>
      <c r="AN79" s="310">
        <f>Inputs!AN153</f>
        <v>692.8217128</v>
      </c>
      <c r="AO79" s="310">
        <f>Inputs!AO153</f>
        <v>453.9959429</v>
      </c>
      <c r="AP79" s="310">
        <f>Inputs!AP153</f>
        <v>84.24543346</v>
      </c>
      <c r="AQ79" s="310">
        <f>Inputs!AQ153</f>
        <v>98.76779349</v>
      </c>
      <c r="AR79" s="310">
        <f>Inputs!AR153</f>
        <v>35.58003873</v>
      </c>
      <c r="AS79" s="310">
        <f>Inputs!AS153</f>
        <v>449.0839803</v>
      </c>
      <c r="AT79" s="310">
        <f>Inputs!AT153</f>
        <v>77.82999324</v>
      </c>
      <c r="AU79" s="310">
        <f>Inputs!AU153</f>
        <v>372.0457279</v>
      </c>
      <c r="AV79" s="310">
        <f>Inputs!AV153</f>
        <v>188.4149133</v>
      </c>
      <c r="AW79" s="251"/>
    </row>
    <row r="80">
      <c r="A80" s="122"/>
      <c r="B80" s="123"/>
      <c r="C80" s="538"/>
      <c r="D80" s="538"/>
      <c r="E80" s="257" t="s">
        <v>591</v>
      </c>
      <c r="F80" s="554" t="s">
        <v>72</v>
      </c>
      <c r="G80" s="555" t="s">
        <v>161</v>
      </c>
      <c r="H80" s="566" t="s">
        <v>162</v>
      </c>
      <c r="I80" s="567">
        <f t="shared" ref="I80:AV80" si="12">SUM(I78:I79)/I77</f>
        <v>0.2199274456</v>
      </c>
      <c r="J80" s="567">
        <f t="shared" si="12"/>
        <v>0.2226398832</v>
      </c>
      <c r="K80" s="567">
        <f t="shared" si="12"/>
        <v>0.1990520624</v>
      </c>
      <c r="L80" s="567">
        <f t="shared" si="12"/>
        <v>0.2819302089</v>
      </c>
      <c r="M80" s="567">
        <f t="shared" si="12"/>
        <v>0.2884179005</v>
      </c>
      <c r="N80" s="567">
        <f t="shared" si="12"/>
        <v>0.2657112659</v>
      </c>
      <c r="O80" s="567">
        <f t="shared" si="12"/>
        <v>0.2725152941</v>
      </c>
      <c r="P80" s="567">
        <f t="shared" si="12"/>
        <v>0.2220999811</v>
      </c>
      <c r="Q80" s="567">
        <f t="shared" si="12"/>
        <v>0.1783055266</v>
      </c>
      <c r="R80" s="567">
        <f t="shared" si="12"/>
        <v>0.3067028391</v>
      </c>
      <c r="S80" s="567">
        <f t="shared" si="12"/>
        <v>0.2367416718</v>
      </c>
      <c r="T80" s="567">
        <f t="shared" si="12"/>
        <v>0.3815544457</v>
      </c>
      <c r="U80" s="567">
        <f t="shared" si="12"/>
        <v>0.3637895739</v>
      </c>
      <c r="V80" s="567">
        <f t="shared" si="12"/>
        <v>0.3012060695</v>
      </c>
      <c r="W80" s="567">
        <f t="shared" si="12"/>
        <v>0.3801425847</v>
      </c>
      <c r="X80" s="567">
        <f t="shared" si="12"/>
        <v>0.3705465774</v>
      </c>
      <c r="Y80" s="567">
        <f t="shared" si="12"/>
        <v>0.3173905495</v>
      </c>
      <c r="Z80" s="567">
        <f t="shared" si="12"/>
        <v>0.3924997587</v>
      </c>
      <c r="AA80" s="567">
        <f t="shared" si="12"/>
        <v>0.3808021218</v>
      </c>
      <c r="AB80" s="567">
        <f t="shared" si="12"/>
        <v>0.3245354006</v>
      </c>
      <c r="AC80" s="567">
        <f t="shared" si="12"/>
        <v>0.4255459427</v>
      </c>
      <c r="AD80" s="567">
        <f t="shared" si="12"/>
        <v>0.4313176814</v>
      </c>
      <c r="AE80" s="567">
        <f t="shared" si="12"/>
        <v>0.4089814162</v>
      </c>
      <c r="AF80" s="567">
        <f t="shared" si="12"/>
        <v>0.4140884887</v>
      </c>
      <c r="AG80" s="567">
        <f t="shared" si="12"/>
        <v>0.2819302089</v>
      </c>
      <c r="AH80" s="567">
        <f t="shared" si="12"/>
        <v>0.3945356964</v>
      </c>
      <c r="AI80" s="567">
        <f t="shared" si="12"/>
        <v>0.4645577209</v>
      </c>
      <c r="AJ80" s="567">
        <f t="shared" si="12"/>
        <v>0.5634658502</v>
      </c>
      <c r="AK80" s="567">
        <f t="shared" si="12"/>
        <v>0.3790534536</v>
      </c>
      <c r="AL80" s="567">
        <f t="shared" si="12"/>
        <v>0.3072218293</v>
      </c>
      <c r="AM80" s="567">
        <f t="shared" si="12"/>
        <v>0.3072218293</v>
      </c>
      <c r="AN80" s="567">
        <f t="shared" si="12"/>
        <v>0.3072218293</v>
      </c>
      <c r="AO80" s="567">
        <f t="shared" si="12"/>
        <v>0.4594068205</v>
      </c>
      <c r="AP80" s="567">
        <f t="shared" si="12"/>
        <v>0.3796506442</v>
      </c>
      <c r="AQ80" s="567">
        <f t="shared" si="12"/>
        <v>0.5446892449</v>
      </c>
      <c r="AR80" s="567">
        <f t="shared" si="12"/>
        <v>0.3971581567</v>
      </c>
      <c r="AS80" s="567">
        <f t="shared" si="12"/>
        <v>0.4005349506</v>
      </c>
      <c r="AT80" s="567">
        <f t="shared" si="12"/>
        <v>0.371797278</v>
      </c>
      <c r="AU80" s="567">
        <f t="shared" si="12"/>
        <v>0.2175636954</v>
      </c>
      <c r="AV80" s="567">
        <f t="shared" si="12"/>
        <v>0.3053366897</v>
      </c>
      <c r="AW80" s="251"/>
    </row>
    <row r="81">
      <c r="A81" s="122"/>
      <c r="B81" s="123"/>
      <c r="C81" s="538"/>
      <c r="D81" s="538"/>
      <c r="E81" s="257" t="s">
        <v>592</v>
      </c>
      <c r="F81" s="554" t="s">
        <v>72</v>
      </c>
      <c r="G81" s="555" t="s">
        <v>165</v>
      </c>
      <c r="H81" s="568">
        <f>Inputs!H154</f>
        <v>0.1</v>
      </c>
      <c r="I81" s="310" t="str">
        <f>Inputs!I154</f>
        <v>-</v>
      </c>
      <c r="J81" s="310" t="str">
        <f>Inputs!J154</f>
        <v>-</v>
      </c>
      <c r="K81" s="310" t="str">
        <f>Inputs!K154</f>
        <v>-</v>
      </c>
      <c r="L81" s="310" t="str">
        <f>Inputs!L154</f>
        <v>-</v>
      </c>
      <c r="M81" s="310" t="str">
        <f>Inputs!M154</f>
        <v>-</v>
      </c>
      <c r="N81" s="310" t="str">
        <f>Inputs!N154</f>
        <v>-</v>
      </c>
      <c r="O81" s="310" t="str">
        <f>Inputs!O154</f>
        <v>-</v>
      </c>
      <c r="P81" s="310" t="str">
        <f>Inputs!P154</f>
        <v>-</v>
      </c>
      <c r="Q81" s="310" t="str">
        <f>Inputs!Q154</f>
        <v>-</v>
      </c>
      <c r="R81" s="310" t="str">
        <f>Inputs!R154</f>
        <v>-</v>
      </c>
      <c r="S81" s="310" t="str">
        <f>Inputs!S154</f>
        <v>-</v>
      </c>
      <c r="T81" s="310" t="str">
        <f>Inputs!T154</f>
        <v>-</v>
      </c>
      <c r="U81" s="310" t="str">
        <f>Inputs!U154</f>
        <v>-</v>
      </c>
      <c r="V81" s="310" t="str">
        <f>Inputs!V154</f>
        <v>-</v>
      </c>
      <c r="W81" s="310" t="str">
        <f>Inputs!W154</f>
        <v>-</v>
      </c>
      <c r="X81" s="310" t="str">
        <f>Inputs!X154</f>
        <v>-</v>
      </c>
      <c r="Y81" s="310" t="str">
        <f>Inputs!Y154</f>
        <v>-</v>
      </c>
      <c r="Z81" s="310" t="str">
        <f>Inputs!Z154</f>
        <v>-</v>
      </c>
      <c r="AA81" s="310" t="str">
        <f>Inputs!AA154</f>
        <v>-</v>
      </c>
      <c r="AB81" s="310" t="str">
        <f>Inputs!AB154</f>
        <v>-</v>
      </c>
      <c r="AC81" s="310" t="str">
        <f>Inputs!AC154</f>
        <v>-</v>
      </c>
      <c r="AD81" s="310" t="str">
        <f>Inputs!AD154</f>
        <v>-</v>
      </c>
      <c r="AE81" s="310" t="str">
        <f>Inputs!AE154</f>
        <v>-</v>
      </c>
      <c r="AF81" s="310" t="str">
        <f>Inputs!AF154</f>
        <v>-</v>
      </c>
      <c r="AG81" s="310" t="str">
        <f>Inputs!AG154</f>
        <v>-</v>
      </c>
      <c r="AH81" s="310" t="str">
        <f>Inputs!AH154</f>
        <v>-</v>
      </c>
      <c r="AI81" s="310" t="str">
        <f>Inputs!AI154</f>
        <v>-</v>
      </c>
      <c r="AJ81" s="310" t="str">
        <f>Inputs!AJ154</f>
        <v>-</v>
      </c>
      <c r="AK81" s="310" t="str">
        <f>Inputs!AK154</f>
        <v>-</v>
      </c>
      <c r="AL81" s="310" t="str">
        <f>Inputs!AL154</f>
        <v>-</v>
      </c>
      <c r="AM81" s="310" t="str">
        <f>Inputs!AM154</f>
        <v>-</v>
      </c>
      <c r="AN81" s="310" t="str">
        <f>Inputs!AN154</f>
        <v>-</v>
      </c>
      <c r="AO81" s="310" t="str">
        <f>Inputs!AO154</f>
        <v>-</v>
      </c>
      <c r="AP81" s="310" t="str">
        <f>Inputs!AP154</f>
        <v>-</v>
      </c>
      <c r="AQ81" s="310" t="str">
        <f>Inputs!AQ154</f>
        <v>-</v>
      </c>
      <c r="AR81" s="310" t="str">
        <f>Inputs!AR154</f>
        <v>-</v>
      </c>
      <c r="AS81" s="310" t="str">
        <f>Inputs!AS154</f>
        <v>-</v>
      </c>
      <c r="AT81" s="310" t="str">
        <f>Inputs!AT154</f>
        <v>-</v>
      </c>
      <c r="AU81" s="310" t="str">
        <f>Inputs!AU154</f>
        <v>-</v>
      </c>
      <c r="AV81" s="310" t="str">
        <f>Inputs!AV154</f>
        <v>-</v>
      </c>
      <c r="AW81" s="251"/>
    </row>
    <row r="82">
      <c r="A82" s="122"/>
      <c r="B82" s="123"/>
      <c r="C82" s="538"/>
      <c r="D82" s="538"/>
      <c r="E82" s="257" t="s">
        <v>593</v>
      </c>
      <c r="F82" s="554" t="s">
        <v>72</v>
      </c>
      <c r="G82" s="555" t="s">
        <v>161</v>
      </c>
      <c r="H82" s="566" t="s">
        <v>162</v>
      </c>
      <c r="I82" s="567">
        <f t="shared" ref="I82:AV82" si="13">I80*(1+$H81)</f>
        <v>0.2419201901</v>
      </c>
      <c r="J82" s="567">
        <f t="shared" si="13"/>
        <v>0.2449038715</v>
      </c>
      <c r="K82" s="567">
        <f t="shared" si="13"/>
        <v>0.2189572687</v>
      </c>
      <c r="L82" s="567">
        <f t="shared" si="13"/>
        <v>0.3101232298</v>
      </c>
      <c r="M82" s="567">
        <f t="shared" si="13"/>
        <v>0.3172596906</v>
      </c>
      <c r="N82" s="567">
        <f t="shared" si="13"/>
        <v>0.2922823925</v>
      </c>
      <c r="O82" s="567">
        <f t="shared" si="13"/>
        <v>0.2997668235</v>
      </c>
      <c r="P82" s="567">
        <f t="shared" si="13"/>
        <v>0.2443099792</v>
      </c>
      <c r="Q82" s="567">
        <f t="shared" si="13"/>
        <v>0.1961360793</v>
      </c>
      <c r="R82" s="567">
        <f t="shared" si="13"/>
        <v>0.337373123</v>
      </c>
      <c r="S82" s="567">
        <f t="shared" si="13"/>
        <v>0.260415839</v>
      </c>
      <c r="T82" s="567">
        <f t="shared" si="13"/>
        <v>0.4197098903</v>
      </c>
      <c r="U82" s="567">
        <f t="shared" si="13"/>
        <v>0.4001685313</v>
      </c>
      <c r="V82" s="567">
        <f t="shared" si="13"/>
        <v>0.3313266764</v>
      </c>
      <c r="W82" s="567">
        <f t="shared" si="13"/>
        <v>0.4181568431</v>
      </c>
      <c r="X82" s="567">
        <f t="shared" si="13"/>
        <v>0.4076012352</v>
      </c>
      <c r="Y82" s="567">
        <f t="shared" si="13"/>
        <v>0.3491296044</v>
      </c>
      <c r="Z82" s="567">
        <f t="shared" si="13"/>
        <v>0.4317497346</v>
      </c>
      <c r="AA82" s="567">
        <f t="shared" si="13"/>
        <v>0.418882334</v>
      </c>
      <c r="AB82" s="567">
        <f t="shared" si="13"/>
        <v>0.3569889407</v>
      </c>
      <c r="AC82" s="567">
        <f t="shared" si="13"/>
        <v>0.468100537</v>
      </c>
      <c r="AD82" s="567">
        <f t="shared" si="13"/>
        <v>0.4744494495</v>
      </c>
      <c r="AE82" s="567">
        <f t="shared" si="13"/>
        <v>0.4498795579</v>
      </c>
      <c r="AF82" s="567">
        <f t="shared" si="13"/>
        <v>0.4554973376</v>
      </c>
      <c r="AG82" s="567">
        <f t="shared" si="13"/>
        <v>0.3101232298</v>
      </c>
      <c r="AH82" s="567">
        <f t="shared" si="13"/>
        <v>0.4339892661</v>
      </c>
      <c r="AI82" s="567">
        <f t="shared" si="13"/>
        <v>0.511013493</v>
      </c>
      <c r="AJ82" s="567">
        <f t="shared" si="13"/>
        <v>0.6198124352</v>
      </c>
      <c r="AK82" s="567">
        <f t="shared" si="13"/>
        <v>0.4169587989</v>
      </c>
      <c r="AL82" s="567">
        <f t="shared" si="13"/>
        <v>0.3379440122</v>
      </c>
      <c r="AM82" s="567">
        <f t="shared" si="13"/>
        <v>0.3379440122</v>
      </c>
      <c r="AN82" s="567">
        <f t="shared" si="13"/>
        <v>0.3379440122</v>
      </c>
      <c r="AO82" s="567">
        <f t="shared" si="13"/>
        <v>0.5053475026</v>
      </c>
      <c r="AP82" s="567">
        <f t="shared" si="13"/>
        <v>0.4176157087</v>
      </c>
      <c r="AQ82" s="567">
        <f t="shared" si="13"/>
        <v>0.5991581693</v>
      </c>
      <c r="AR82" s="567">
        <f t="shared" si="13"/>
        <v>0.4368739723</v>
      </c>
      <c r="AS82" s="567">
        <f t="shared" si="13"/>
        <v>0.4405884456</v>
      </c>
      <c r="AT82" s="567">
        <f t="shared" si="13"/>
        <v>0.4089770058</v>
      </c>
      <c r="AU82" s="567">
        <f t="shared" si="13"/>
        <v>0.2393200649</v>
      </c>
      <c r="AV82" s="567">
        <f t="shared" si="13"/>
        <v>0.3358703587</v>
      </c>
      <c r="AW82" s="251"/>
    </row>
    <row r="83">
      <c r="A83" s="122"/>
      <c r="B83" s="123"/>
      <c r="C83" s="538"/>
      <c r="D83" s="538"/>
      <c r="E83" s="490" t="s">
        <v>594</v>
      </c>
      <c r="F83" s="544" t="s">
        <v>72</v>
      </c>
      <c r="G83" s="545" t="s">
        <v>161</v>
      </c>
      <c r="H83" s="551" t="s">
        <v>162</v>
      </c>
      <c r="I83" s="547">
        <f t="shared" ref="I83:AV83" si="14">I71*(1-I82)</f>
        <v>0.01773200604</v>
      </c>
      <c r="J83" s="547">
        <f t="shared" si="14"/>
        <v>0.01418661241</v>
      </c>
      <c r="K83" s="547">
        <f t="shared" si="14"/>
        <v>0.01801764514</v>
      </c>
      <c r="L83" s="547">
        <f t="shared" si="14"/>
        <v>0.009570129228</v>
      </c>
      <c r="M83" s="547">
        <f t="shared" si="14"/>
        <v>0.0143917554</v>
      </c>
      <c r="N83" s="547">
        <f t="shared" si="14"/>
        <v>0.01200017299</v>
      </c>
      <c r="O83" s="547">
        <f t="shared" si="14"/>
        <v>0.01291111848</v>
      </c>
      <c r="P83" s="547">
        <f t="shared" si="14"/>
        <v>0.02037185228</v>
      </c>
      <c r="Q83" s="547">
        <f t="shared" si="14"/>
        <v>0.01735226929</v>
      </c>
      <c r="R83" s="547">
        <f t="shared" si="14"/>
        <v>0.005719161068</v>
      </c>
      <c r="S83" s="547">
        <f t="shared" si="14"/>
        <v>0.01308544185</v>
      </c>
      <c r="T83" s="547">
        <f t="shared" si="14"/>
        <v>0.003650363099</v>
      </c>
      <c r="U83" s="547">
        <f t="shared" si="14"/>
        <v>0.004420401624</v>
      </c>
      <c r="V83" s="547">
        <f t="shared" si="14"/>
        <v>0.004903635578</v>
      </c>
      <c r="W83" s="547">
        <f t="shared" si="14"/>
        <v>0.006350406112</v>
      </c>
      <c r="X83" s="547">
        <f t="shared" si="14"/>
        <v>0.004284900832</v>
      </c>
      <c r="Y83" s="547">
        <f t="shared" si="14"/>
        <v>0.004250580714</v>
      </c>
      <c r="Z83" s="547">
        <f t="shared" si="14"/>
        <v>0.005004968771</v>
      </c>
      <c r="AA83" s="547">
        <f t="shared" si="14"/>
        <v>0.006572125256</v>
      </c>
      <c r="AB83" s="547">
        <f t="shared" si="14"/>
        <v>0.005560980194</v>
      </c>
      <c r="AC83" s="547">
        <f t="shared" si="14"/>
        <v>0.004123529843</v>
      </c>
      <c r="AD83" s="547">
        <f t="shared" si="14"/>
        <v>0.002614952969</v>
      </c>
      <c r="AE83" s="547">
        <f t="shared" si="14"/>
        <v>0.004521755133</v>
      </c>
      <c r="AF83" s="547">
        <f t="shared" si="14"/>
        <v>0.003068399372</v>
      </c>
      <c r="AG83" s="547">
        <f t="shared" si="14"/>
        <v>0.009570129228</v>
      </c>
      <c r="AH83" s="547">
        <f t="shared" si="14"/>
        <v>0.003919800362</v>
      </c>
      <c r="AI83" s="547">
        <f t="shared" si="14"/>
        <v>0.002627994903</v>
      </c>
      <c r="AJ83" s="547">
        <f t="shared" si="14"/>
        <v>0.002147381487</v>
      </c>
      <c r="AK83" s="547">
        <f t="shared" si="14"/>
        <v>0.005826835636</v>
      </c>
      <c r="AL83" s="547">
        <f t="shared" si="14"/>
        <v>0.008376741508</v>
      </c>
      <c r="AM83" s="547">
        <f t="shared" si="14"/>
        <v>0.008376741508</v>
      </c>
      <c r="AN83" s="547">
        <f t="shared" si="14"/>
        <v>0.008376741508</v>
      </c>
      <c r="AO83" s="547">
        <f t="shared" si="14"/>
        <v>0.003597174298</v>
      </c>
      <c r="AP83" s="547">
        <f t="shared" si="14"/>
        <v>0.004657507717</v>
      </c>
      <c r="AQ83" s="547">
        <f t="shared" si="14"/>
        <v>0.001846355235</v>
      </c>
      <c r="AR83" s="547">
        <f t="shared" si="14"/>
        <v>0.002589139161</v>
      </c>
      <c r="AS83" s="547">
        <f t="shared" si="14"/>
        <v>0.004487297967</v>
      </c>
      <c r="AT83" s="547">
        <f t="shared" si="14"/>
        <v>0.004814183709</v>
      </c>
      <c r="AU83" s="547">
        <f t="shared" si="14"/>
        <v>0.01408454658</v>
      </c>
      <c r="AV83" s="547">
        <f t="shared" si="14"/>
        <v>0.00893679477</v>
      </c>
      <c r="AW83" s="548"/>
    </row>
    <row r="84">
      <c r="A84" s="122"/>
      <c r="B84" s="123"/>
      <c r="C84" s="143"/>
      <c r="D84" s="143"/>
      <c r="E84" s="269"/>
      <c r="F84" s="533"/>
      <c r="G84" s="534"/>
      <c r="H84" s="127"/>
      <c r="I84" s="482"/>
      <c r="J84" s="482"/>
      <c r="K84" s="482"/>
      <c r="L84" s="482"/>
      <c r="M84" s="482"/>
      <c r="N84" s="482"/>
      <c r="O84" s="482"/>
      <c r="P84" s="482"/>
      <c r="Q84" s="482"/>
      <c r="R84" s="404"/>
      <c r="S84" s="482"/>
      <c r="T84" s="482"/>
      <c r="U84" s="482"/>
      <c r="V84" s="482"/>
      <c r="W84" s="482"/>
      <c r="X84" s="482"/>
      <c r="Y84" s="482"/>
      <c r="Z84" s="482"/>
      <c r="AA84" s="482"/>
      <c r="AB84" s="482"/>
      <c r="AC84" s="482"/>
      <c r="AD84" s="482"/>
      <c r="AE84" s="482"/>
      <c r="AF84" s="482"/>
      <c r="AG84" s="482"/>
      <c r="AH84" s="482"/>
      <c r="AI84" s="482"/>
      <c r="AJ84" s="482"/>
      <c r="AK84" s="482"/>
      <c r="AL84" s="482"/>
      <c r="AM84" s="482"/>
      <c r="AN84" s="482"/>
      <c r="AO84" s="482"/>
      <c r="AP84" s="482"/>
      <c r="AQ84" s="482"/>
      <c r="AR84" s="482"/>
      <c r="AS84" s="482"/>
      <c r="AT84" s="482"/>
      <c r="AU84" s="482"/>
      <c r="AV84" s="482"/>
      <c r="AW84" s="132"/>
    </row>
    <row r="85">
      <c r="A85" s="122"/>
      <c r="B85" s="123"/>
      <c r="C85" s="143" t="s">
        <v>595</v>
      </c>
      <c r="F85" s="533"/>
      <c r="G85" s="534"/>
      <c r="H85" s="127"/>
      <c r="I85" s="482"/>
      <c r="J85" s="482"/>
      <c r="K85" s="482"/>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482"/>
      <c r="AM85" s="482"/>
      <c r="AN85" s="482"/>
      <c r="AO85" s="482"/>
      <c r="AP85" s="482"/>
      <c r="AQ85" s="482"/>
      <c r="AR85" s="482"/>
      <c r="AS85" s="482"/>
      <c r="AT85" s="482"/>
      <c r="AU85" s="482"/>
      <c r="AV85" s="482"/>
      <c r="AW85" s="132"/>
    </row>
    <row r="86">
      <c r="A86" s="122"/>
      <c r="B86" s="123"/>
      <c r="C86" s="538"/>
      <c r="D86" s="574" t="s">
        <v>596</v>
      </c>
      <c r="E86" s="42"/>
      <c r="F86" s="539"/>
      <c r="G86" s="540"/>
      <c r="H86" s="575"/>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5"/>
    </row>
    <row r="87">
      <c r="A87" s="122"/>
      <c r="B87" s="123"/>
      <c r="C87" s="538"/>
      <c r="D87" s="538"/>
      <c r="E87" s="257" t="s">
        <v>597</v>
      </c>
      <c r="F87" s="554" t="s">
        <v>72</v>
      </c>
      <c r="G87" s="555" t="s">
        <v>165</v>
      </c>
      <c r="H87" s="568">
        <f>Inputs!H155</f>
        <v>0.0281715</v>
      </c>
      <c r="I87" s="310" t="str">
        <f>Inputs!I155</f>
        <v>-</v>
      </c>
      <c r="J87" s="310" t="str">
        <f>Inputs!J155</f>
        <v>-</v>
      </c>
      <c r="K87" s="310" t="str">
        <f>Inputs!K155</f>
        <v>-</v>
      </c>
      <c r="L87" s="310" t="str">
        <f>Inputs!L155</f>
        <v>-</v>
      </c>
      <c r="M87" s="310" t="str">
        <f>Inputs!M155</f>
        <v>-</v>
      </c>
      <c r="N87" s="310" t="str">
        <f>Inputs!N155</f>
        <v>-</v>
      </c>
      <c r="O87" s="310" t="str">
        <f>Inputs!O155</f>
        <v>-</v>
      </c>
      <c r="P87" s="310" t="str">
        <f>Inputs!P155</f>
        <v>-</v>
      </c>
      <c r="Q87" s="310" t="str">
        <f>Inputs!Q155</f>
        <v>-</v>
      </c>
      <c r="R87" s="310" t="str">
        <f>Inputs!R155</f>
        <v>-</v>
      </c>
      <c r="S87" s="310" t="str">
        <f>Inputs!S155</f>
        <v>-</v>
      </c>
      <c r="T87" s="310" t="str">
        <f>Inputs!T155</f>
        <v>-</v>
      </c>
      <c r="U87" s="310" t="str">
        <f>Inputs!U155</f>
        <v>-</v>
      </c>
      <c r="V87" s="310" t="str">
        <f>Inputs!V155</f>
        <v>-</v>
      </c>
      <c r="W87" s="310" t="str">
        <f>Inputs!W155</f>
        <v>-</v>
      </c>
      <c r="X87" s="310" t="str">
        <f>Inputs!X155</f>
        <v>-</v>
      </c>
      <c r="Y87" s="310" t="str">
        <f>Inputs!Y155</f>
        <v>-</v>
      </c>
      <c r="Z87" s="310" t="str">
        <f>Inputs!Z155</f>
        <v>-</v>
      </c>
      <c r="AA87" s="310" t="str">
        <f>Inputs!AA155</f>
        <v>-</v>
      </c>
      <c r="AB87" s="310" t="str">
        <f>Inputs!AB155</f>
        <v>-</v>
      </c>
      <c r="AC87" s="310" t="str">
        <f>Inputs!AC155</f>
        <v>-</v>
      </c>
      <c r="AD87" s="310" t="str">
        <f>Inputs!AD155</f>
        <v>-</v>
      </c>
      <c r="AE87" s="310" t="str">
        <f>Inputs!AE155</f>
        <v>-</v>
      </c>
      <c r="AF87" s="310" t="str">
        <f>Inputs!AF155</f>
        <v>-</v>
      </c>
      <c r="AG87" s="310" t="str">
        <f>Inputs!AG155</f>
        <v>-</v>
      </c>
      <c r="AH87" s="310" t="str">
        <f>Inputs!AH155</f>
        <v>-</v>
      </c>
      <c r="AI87" s="310" t="str">
        <f>Inputs!AI155</f>
        <v>-</v>
      </c>
      <c r="AJ87" s="310" t="str">
        <f>Inputs!AJ155</f>
        <v>-</v>
      </c>
      <c r="AK87" s="310" t="str">
        <f>Inputs!AK155</f>
        <v>-</v>
      </c>
      <c r="AL87" s="310" t="str">
        <f>Inputs!AL155</f>
        <v>-</v>
      </c>
      <c r="AM87" s="310" t="str">
        <f>Inputs!AM155</f>
        <v>-</v>
      </c>
      <c r="AN87" s="310" t="str">
        <f>Inputs!AN155</f>
        <v>-</v>
      </c>
      <c r="AO87" s="310" t="str">
        <f>Inputs!AO155</f>
        <v>-</v>
      </c>
      <c r="AP87" s="310" t="str">
        <f>Inputs!AP155</f>
        <v>-</v>
      </c>
      <c r="AQ87" s="310" t="str">
        <f>Inputs!AQ155</f>
        <v>-</v>
      </c>
      <c r="AR87" s="310" t="str">
        <f>Inputs!AR155</f>
        <v>-</v>
      </c>
      <c r="AS87" s="310" t="str">
        <f>Inputs!AS155</f>
        <v>-</v>
      </c>
      <c r="AT87" s="310" t="str">
        <f>Inputs!AT155</f>
        <v>-</v>
      </c>
      <c r="AU87" s="310" t="str">
        <f>Inputs!AU155</f>
        <v>-</v>
      </c>
      <c r="AV87" s="310" t="str">
        <f>Inputs!AV155</f>
        <v>-</v>
      </c>
      <c r="AW87" s="251"/>
    </row>
    <row r="88">
      <c r="A88" s="122"/>
      <c r="B88" s="123"/>
      <c r="C88" s="538"/>
      <c r="D88" s="538"/>
      <c r="E88" s="254" t="s">
        <v>598</v>
      </c>
      <c r="F88" s="539" t="s">
        <v>72</v>
      </c>
      <c r="G88" s="540" t="s">
        <v>161</v>
      </c>
      <c r="H88" s="576" t="s">
        <v>162</v>
      </c>
      <c r="I88" s="542">
        <f t="shared" ref="I88:AV88" si="15">I83*$H$87</f>
        <v>0.0004995372081</v>
      </c>
      <c r="J88" s="542">
        <f t="shared" si="15"/>
        <v>0.0003996581515</v>
      </c>
      <c r="K88" s="542">
        <f t="shared" si="15"/>
        <v>0.0005075840901</v>
      </c>
      <c r="L88" s="542">
        <f t="shared" si="15"/>
        <v>0.0002696048956</v>
      </c>
      <c r="M88" s="542">
        <f t="shared" si="15"/>
        <v>0.0004054373371</v>
      </c>
      <c r="N88" s="542">
        <f t="shared" si="15"/>
        <v>0.0003380628733</v>
      </c>
      <c r="O88" s="542">
        <f t="shared" si="15"/>
        <v>0.0003637255743</v>
      </c>
      <c r="P88" s="542">
        <f t="shared" si="15"/>
        <v>0.0005739056366</v>
      </c>
      <c r="Q88" s="542">
        <f t="shared" si="15"/>
        <v>0.0004888394544</v>
      </c>
      <c r="R88" s="542">
        <f t="shared" si="15"/>
        <v>0.000161117346</v>
      </c>
      <c r="S88" s="542">
        <f t="shared" si="15"/>
        <v>0.0003686365251</v>
      </c>
      <c r="T88" s="542">
        <f t="shared" si="15"/>
        <v>0.0001028362041</v>
      </c>
      <c r="U88" s="542">
        <f t="shared" si="15"/>
        <v>0.0001245293444</v>
      </c>
      <c r="V88" s="542">
        <f t="shared" si="15"/>
        <v>0.0001381427697</v>
      </c>
      <c r="W88" s="542">
        <f t="shared" si="15"/>
        <v>0.0001789004658</v>
      </c>
      <c r="X88" s="542">
        <f t="shared" si="15"/>
        <v>0.0001207120838</v>
      </c>
      <c r="Y88" s="542">
        <f t="shared" si="15"/>
        <v>0.0001197452346</v>
      </c>
      <c r="Z88" s="542">
        <f t="shared" si="15"/>
        <v>0.0001409974777</v>
      </c>
      <c r="AA88" s="542">
        <f t="shared" si="15"/>
        <v>0.0001851466266</v>
      </c>
      <c r="AB88" s="542">
        <f t="shared" si="15"/>
        <v>0.0001566611535</v>
      </c>
      <c r="AC88" s="542">
        <f t="shared" si="15"/>
        <v>0.000116166021</v>
      </c>
      <c r="AD88" s="542">
        <f t="shared" si="15"/>
        <v>0.00007366714756</v>
      </c>
      <c r="AE88" s="542">
        <f t="shared" si="15"/>
        <v>0.0001273846247</v>
      </c>
      <c r="AF88" s="542">
        <f t="shared" si="15"/>
        <v>0.0000864414129</v>
      </c>
      <c r="AG88" s="542">
        <f t="shared" si="15"/>
        <v>0.0002696048956</v>
      </c>
      <c r="AH88" s="542">
        <f t="shared" si="15"/>
        <v>0.0001104266559</v>
      </c>
      <c r="AI88" s="542">
        <f t="shared" si="15"/>
        <v>0.0000740345584</v>
      </c>
      <c r="AJ88" s="542">
        <f t="shared" si="15"/>
        <v>0.00006049495755</v>
      </c>
      <c r="AK88" s="542">
        <f t="shared" si="15"/>
        <v>0.0001641507001</v>
      </c>
      <c r="AL88" s="542">
        <f t="shared" si="15"/>
        <v>0.0002359853734</v>
      </c>
      <c r="AM88" s="542">
        <f t="shared" si="15"/>
        <v>0.0002359853734</v>
      </c>
      <c r="AN88" s="542">
        <f t="shared" si="15"/>
        <v>0.0002359853734</v>
      </c>
      <c r="AO88" s="542">
        <f t="shared" si="15"/>
        <v>0.0001013377957</v>
      </c>
      <c r="AP88" s="542">
        <f t="shared" si="15"/>
        <v>0.0001312089786</v>
      </c>
      <c r="AQ88" s="542">
        <f t="shared" si="15"/>
        <v>0.00005201459651</v>
      </c>
      <c r="AR88" s="542">
        <f t="shared" si="15"/>
        <v>0.00007293993387</v>
      </c>
      <c r="AS88" s="542">
        <f t="shared" si="15"/>
        <v>0.0001264139147</v>
      </c>
      <c r="AT88" s="542">
        <f t="shared" si="15"/>
        <v>0.0001356227764</v>
      </c>
      <c r="AU88" s="542">
        <f t="shared" si="15"/>
        <v>0.0003967828039</v>
      </c>
      <c r="AV88" s="542">
        <f t="shared" si="15"/>
        <v>0.0002517629139</v>
      </c>
      <c r="AW88" s="565"/>
    </row>
    <row r="89">
      <c r="A89" s="122"/>
      <c r="B89" s="123"/>
      <c r="C89" s="538"/>
      <c r="D89" s="538"/>
      <c r="E89" s="254" t="s">
        <v>599</v>
      </c>
      <c r="F89" s="539" t="s">
        <v>72</v>
      </c>
      <c r="G89" s="540" t="s">
        <v>161</v>
      </c>
      <c r="H89" s="576" t="s">
        <v>162</v>
      </c>
      <c r="I89" s="542">
        <f t="shared" ref="I89:AV89" si="16">I72*$H$87</f>
        <v>0.00003657914332</v>
      </c>
      <c r="J89" s="542">
        <f t="shared" si="16"/>
        <v>0.00003202823469</v>
      </c>
      <c r="K89" s="542">
        <f t="shared" si="16"/>
        <v>0.00003828504033</v>
      </c>
      <c r="L89" s="542">
        <f t="shared" si="16"/>
        <v>0.00002390120769</v>
      </c>
      <c r="M89" s="542">
        <f t="shared" si="16"/>
        <v>0.00003734853515</v>
      </c>
      <c r="N89" s="542">
        <f t="shared" si="16"/>
        <v>0.00002964915152</v>
      </c>
      <c r="O89" s="542">
        <f t="shared" si="16"/>
        <v>0.00003053221536</v>
      </c>
      <c r="P89" s="542">
        <f t="shared" si="16"/>
        <v>0.00004189564063</v>
      </c>
      <c r="Q89" s="542">
        <f t="shared" si="16"/>
        <v>0.00004449395441</v>
      </c>
      <c r="R89" s="542">
        <f t="shared" si="16"/>
        <v>0.00001529120849</v>
      </c>
      <c r="S89" s="542">
        <f t="shared" si="16"/>
        <v>0.00003266784043</v>
      </c>
      <c r="T89" s="542">
        <f t="shared" si="16"/>
        <v>0.00001234793468</v>
      </c>
      <c r="U89" s="542">
        <f t="shared" si="16"/>
        <v>0.00001343881967</v>
      </c>
      <c r="V89" s="542">
        <f t="shared" si="16"/>
        <v>0.00001298855459</v>
      </c>
      <c r="W89" s="542">
        <f t="shared" si="16"/>
        <v>0.00002364983339</v>
      </c>
      <c r="X89" s="542">
        <f t="shared" si="16"/>
        <v>0.00001701922012</v>
      </c>
      <c r="Y89" s="542">
        <f t="shared" si="16"/>
        <v>0.00002033283647</v>
      </c>
      <c r="Z89" s="542">
        <f t="shared" si="16"/>
        <v>0.00001693673397</v>
      </c>
      <c r="AA89" s="542">
        <f t="shared" si="16"/>
        <v>0.00002306206322</v>
      </c>
      <c r="AB89" s="542">
        <f t="shared" si="16"/>
        <v>0.00001387485815</v>
      </c>
      <c r="AC89" s="542">
        <f t="shared" si="16"/>
        <v>0.00001310884689</v>
      </c>
      <c r="AD89" s="542">
        <f t="shared" si="16"/>
        <v>0.00001111160023</v>
      </c>
      <c r="AE89" s="542">
        <f t="shared" si="16"/>
        <v>0.00001711756683</v>
      </c>
      <c r="AF89" s="542">
        <f t="shared" si="16"/>
        <v>0.00001195542117</v>
      </c>
      <c r="AG89" s="542">
        <f t="shared" si="16"/>
        <v>0.00002390120769</v>
      </c>
      <c r="AH89" s="542">
        <f t="shared" si="16"/>
        <v>0.00001250690645</v>
      </c>
      <c r="AI89" s="542">
        <f t="shared" si="16"/>
        <v>0.00001095496669</v>
      </c>
      <c r="AJ89" s="542">
        <f t="shared" si="16"/>
        <v>0.00001183383298</v>
      </c>
      <c r="AK89" s="542">
        <f t="shared" si="16"/>
        <v>0.00002122235158</v>
      </c>
      <c r="AL89" s="542">
        <f t="shared" si="16"/>
        <v>0.00002416190675</v>
      </c>
      <c r="AM89" s="542">
        <f t="shared" si="16"/>
        <v>0.00002416190675</v>
      </c>
      <c r="AN89" s="542">
        <f t="shared" si="16"/>
        <v>0.00002416190675</v>
      </c>
      <c r="AO89" s="542">
        <f t="shared" si="16"/>
        <v>0.00001415400954</v>
      </c>
      <c r="AP89" s="542">
        <f t="shared" si="16"/>
        <v>0.00001636014788</v>
      </c>
      <c r="AQ89" s="542">
        <f t="shared" si="16"/>
        <v>0.000008548247274</v>
      </c>
      <c r="AR89" s="542">
        <f t="shared" si="16"/>
        <v>0.000008289210332</v>
      </c>
      <c r="AS89" s="542">
        <f t="shared" si="16"/>
        <v>0.00001938255543</v>
      </c>
      <c r="AT89" s="542">
        <f t="shared" si="16"/>
        <v>0.00001473882171</v>
      </c>
      <c r="AU89" s="542">
        <f t="shared" si="16"/>
        <v>0.00003418631245</v>
      </c>
      <c r="AV89" s="542">
        <f t="shared" si="16"/>
        <v>0.00002597124951</v>
      </c>
      <c r="AW89" s="565"/>
    </row>
    <row r="90">
      <c r="A90" s="122"/>
      <c r="B90" s="123"/>
      <c r="C90" s="538"/>
      <c r="D90" s="538"/>
      <c r="E90" s="254" t="s">
        <v>600</v>
      </c>
      <c r="F90" s="539" t="s">
        <v>72</v>
      </c>
      <c r="G90" s="540" t="s">
        <v>161</v>
      </c>
      <c r="H90" s="576" t="s">
        <v>162</v>
      </c>
      <c r="I90" s="542">
        <f t="shared" ref="I90:AV90" si="17">I73*$H$87</f>
        <v>0.00007285163986</v>
      </c>
      <c r="J90" s="542">
        <f t="shared" si="17"/>
        <v>0.00005724054399</v>
      </c>
      <c r="K90" s="542">
        <f t="shared" si="17"/>
        <v>0.00008682132328</v>
      </c>
      <c r="L90" s="542">
        <f t="shared" si="17"/>
        <v>0.0000564667574</v>
      </c>
      <c r="M90" s="542">
        <f t="shared" si="17"/>
        <v>0.00006052559443</v>
      </c>
      <c r="N90" s="542">
        <f t="shared" si="17"/>
        <v>0.00007100026522</v>
      </c>
      <c r="O90" s="542">
        <f t="shared" si="17"/>
        <v>0.00007122225664</v>
      </c>
      <c r="P90" s="542">
        <f t="shared" si="17"/>
        <v>0.00009315157201</v>
      </c>
      <c r="Q90" s="542">
        <f t="shared" si="17"/>
        <v>0.0000834204598</v>
      </c>
      <c r="R90" s="542">
        <f t="shared" si="17"/>
        <v>0.00004969832915</v>
      </c>
      <c r="S90" s="542">
        <f t="shared" si="17"/>
        <v>0.00006886525992</v>
      </c>
      <c r="T90" s="542">
        <f t="shared" si="17"/>
        <v>0.0000529636032</v>
      </c>
      <c r="U90" s="542">
        <f t="shared" si="17"/>
        <v>0.0000551590082</v>
      </c>
      <c r="V90" s="542">
        <f t="shared" si="17"/>
        <v>0.00005865689432</v>
      </c>
      <c r="W90" s="542">
        <f t="shared" si="17"/>
        <v>0.00007070592939</v>
      </c>
      <c r="X90" s="542">
        <f t="shared" si="17"/>
        <v>0.00005117578347</v>
      </c>
      <c r="Y90" s="542">
        <f t="shared" si="17"/>
        <v>0.0001036939107</v>
      </c>
      <c r="Z90" s="542">
        <f t="shared" si="17"/>
        <v>0.00005835979769</v>
      </c>
      <c r="AA90" s="542">
        <f t="shared" si="17"/>
        <v>0.00006507320699</v>
      </c>
      <c r="AB90" s="542">
        <f t="shared" si="17"/>
        <v>0.00005655237059</v>
      </c>
      <c r="AC90" s="542">
        <f t="shared" si="17"/>
        <v>0.00005139219693</v>
      </c>
      <c r="AD90" s="542">
        <f t="shared" si="17"/>
        <v>0.00005150257287</v>
      </c>
      <c r="AE90" s="542">
        <f t="shared" si="17"/>
        <v>0.000049098079</v>
      </c>
      <c r="AF90" s="542">
        <f t="shared" si="17"/>
        <v>0.00004901122627</v>
      </c>
      <c r="AG90" s="542">
        <f t="shared" si="17"/>
        <v>0.0000564667574</v>
      </c>
      <c r="AH90" s="542">
        <f t="shared" si="17"/>
        <v>0.00005524310013</v>
      </c>
      <c r="AI90" s="542">
        <f t="shared" si="17"/>
        <v>0.00005981319354</v>
      </c>
      <c r="AJ90" s="542">
        <f t="shared" si="17"/>
        <v>0.0000421686788</v>
      </c>
      <c r="AK90" s="542">
        <f t="shared" si="17"/>
        <v>0.0000685591484</v>
      </c>
      <c r="AL90" s="542">
        <f t="shared" si="17"/>
        <v>0.00007101536514</v>
      </c>
      <c r="AM90" s="542">
        <f t="shared" si="17"/>
        <v>0.00007101536514</v>
      </c>
      <c r="AN90" s="542">
        <f t="shared" si="17"/>
        <v>0.00007101536514</v>
      </c>
      <c r="AO90" s="542">
        <f t="shared" si="17"/>
        <v>0.00005851930472</v>
      </c>
      <c r="AP90" s="542">
        <f t="shared" si="17"/>
        <v>0.00005537440749</v>
      </c>
      <c r="AQ90" s="542">
        <f t="shared" si="17"/>
        <v>0.00003905592525</v>
      </c>
      <c r="AR90" s="542">
        <f t="shared" si="17"/>
        <v>0.00004467244904</v>
      </c>
      <c r="AS90" s="542">
        <f t="shared" si="17"/>
        <v>0.00007016148698</v>
      </c>
      <c r="AT90" s="542">
        <f t="shared" si="17"/>
        <v>0.00005472708276</v>
      </c>
      <c r="AU90" s="542">
        <f t="shared" si="17"/>
        <v>0.00007736271398</v>
      </c>
      <c r="AV90" s="542">
        <f t="shared" si="17"/>
        <v>0.0000731201706</v>
      </c>
      <c r="AW90" s="565"/>
    </row>
    <row r="91">
      <c r="A91" s="122"/>
      <c r="B91" s="123"/>
      <c r="C91" s="538"/>
      <c r="D91" s="538"/>
      <c r="E91" s="254" t="s">
        <v>601</v>
      </c>
      <c r="F91" s="539" t="s">
        <v>72</v>
      </c>
      <c r="G91" s="540" t="s">
        <v>161</v>
      </c>
      <c r="H91" s="576" t="s">
        <v>162</v>
      </c>
      <c r="I91" s="542">
        <f t="shared" ref="I91:AV91" si="18">I74*$H$87</f>
        <v>0.0006718765273</v>
      </c>
      <c r="J91" s="542">
        <f t="shared" si="18"/>
        <v>0.0006628449698</v>
      </c>
      <c r="K91" s="542">
        <f t="shared" si="18"/>
        <v>0.0006900431726</v>
      </c>
      <c r="L91" s="542">
        <f t="shared" si="18"/>
        <v>0.0004733779973</v>
      </c>
      <c r="M91" s="542">
        <f t="shared" si="18"/>
        <v>0.0005212272337</v>
      </c>
      <c r="N91" s="542">
        <f t="shared" si="18"/>
        <v>0.0005941665151</v>
      </c>
      <c r="O91" s="542">
        <f t="shared" si="18"/>
        <v>0.0007073800546</v>
      </c>
      <c r="P91" s="542">
        <f t="shared" si="18"/>
        <v>0.0006803506835</v>
      </c>
      <c r="Q91" s="542">
        <f t="shared" si="18"/>
        <v>0.0008370177476</v>
      </c>
      <c r="R91" s="542">
        <f t="shared" si="18"/>
        <v>0.0004446179665</v>
      </c>
      <c r="S91" s="542">
        <f t="shared" si="18"/>
        <v>0.0006578359644</v>
      </c>
      <c r="T91" s="542">
        <f t="shared" si="18"/>
        <v>0.0004915088084</v>
      </c>
      <c r="U91" s="542">
        <f t="shared" si="18"/>
        <v>0.0004621567254</v>
      </c>
      <c r="V91" s="542">
        <f t="shared" si="18"/>
        <v>0.0005451270891</v>
      </c>
      <c r="W91" s="542">
        <f t="shared" si="18"/>
        <v>0.000612367924</v>
      </c>
      <c r="X91" s="542">
        <f t="shared" si="18"/>
        <v>0.0005485357561</v>
      </c>
      <c r="Y91" s="542">
        <f t="shared" si="18"/>
        <v>0.0009284065725</v>
      </c>
      <c r="Z91" s="542">
        <f t="shared" si="18"/>
        <v>0.0004448402678</v>
      </c>
      <c r="AA91" s="542">
        <f t="shared" si="18"/>
        <v>0.000559911605</v>
      </c>
      <c r="AB91" s="542">
        <f t="shared" si="18"/>
        <v>0.0004036178415</v>
      </c>
      <c r="AC91" s="542">
        <f t="shared" si="18"/>
        <v>0.000449837751</v>
      </c>
      <c r="AD91" s="542">
        <f t="shared" si="18"/>
        <v>0.0004838552598</v>
      </c>
      <c r="AE91" s="542">
        <f t="shared" si="18"/>
        <v>0.0003203503248</v>
      </c>
      <c r="AF91" s="542">
        <f t="shared" si="18"/>
        <v>0.0004128599246</v>
      </c>
      <c r="AG91" s="542">
        <f t="shared" si="18"/>
        <v>0.0004733779973</v>
      </c>
      <c r="AH91" s="542">
        <f t="shared" si="18"/>
        <v>0.0005454319048</v>
      </c>
      <c r="AI91" s="542">
        <f t="shared" si="18"/>
        <v>0.0004780806094</v>
      </c>
      <c r="AJ91" s="542">
        <f t="shared" si="18"/>
        <v>0.0003253567384</v>
      </c>
      <c r="AK91" s="542">
        <f t="shared" si="18"/>
        <v>0.0004409686304</v>
      </c>
      <c r="AL91" s="542">
        <f t="shared" si="18"/>
        <v>0.0005752967655</v>
      </c>
      <c r="AM91" s="542">
        <f t="shared" si="18"/>
        <v>0.0005752967655</v>
      </c>
      <c r="AN91" s="542">
        <f t="shared" si="18"/>
        <v>0.0005752967655</v>
      </c>
      <c r="AO91" s="542">
        <f t="shared" si="18"/>
        <v>0.0005107229265</v>
      </c>
      <c r="AP91" s="542">
        <f t="shared" si="18"/>
        <v>0.00051095413</v>
      </c>
      <c r="AQ91" s="542">
        <f t="shared" si="18"/>
        <v>0.0004150591046</v>
      </c>
      <c r="AR91" s="542">
        <f t="shared" si="18"/>
        <v>0.0003995324951</v>
      </c>
      <c r="AS91" s="542">
        <f t="shared" si="18"/>
        <v>0.0004453080837</v>
      </c>
      <c r="AT91" s="542">
        <f t="shared" si="18"/>
        <v>0.0004421761735</v>
      </c>
      <c r="AU91" s="542">
        <f t="shared" si="18"/>
        <v>0.0004857356511</v>
      </c>
      <c r="AV91" s="542">
        <f t="shared" si="18"/>
        <v>0.0006321371051</v>
      </c>
      <c r="AW91" s="565"/>
    </row>
    <row r="92">
      <c r="A92" s="122"/>
      <c r="B92" s="123"/>
      <c r="C92" s="538"/>
      <c r="D92" s="574" t="s">
        <v>602</v>
      </c>
      <c r="E92" s="42"/>
      <c r="F92" s="539"/>
      <c r="G92" s="540"/>
      <c r="H92" s="575"/>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5"/>
    </row>
    <row r="93">
      <c r="A93" s="122"/>
      <c r="B93" s="123"/>
      <c r="C93" s="538"/>
      <c r="D93" s="538"/>
      <c r="E93" s="254" t="s">
        <v>603</v>
      </c>
      <c r="F93" s="539" t="s">
        <v>72</v>
      </c>
      <c r="G93" s="540" t="s">
        <v>165</v>
      </c>
      <c r="H93" s="575">
        <f>Inputs!H156</f>
        <v>0.3951260017</v>
      </c>
      <c r="I93" s="564" t="str">
        <f>Inputs!I156</f>
        <v>-</v>
      </c>
      <c r="J93" s="564" t="str">
        <f>Inputs!J156</f>
        <v>-</v>
      </c>
      <c r="K93" s="564" t="str">
        <f>Inputs!K156</f>
        <v>-</v>
      </c>
      <c r="L93" s="564" t="str">
        <f>Inputs!L156</f>
        <v>-</v>
      </c>
      <c r="M93" s="564" t="str">
        <f>Inputs!M156</f>
        <v>-</v>
      </c>
      <c r="N93" s="564" t="str">
        <f>Inputs!N156</f>
        <v>-</v>
      </c>
      <c r="O93" s="564" t="str">
        <f>Inputs!O156</f>
        <v>-</v>
      </c>
      <c r="P93" s="564" t="str">
        <f>Inputs!P156</f>
        <v>-</v>
      </c>
      <c r="Q93" s="564" t="str">
        <f>Inputs!Q156</f>
        <v>-</v>
      </c>
      <c r="R93" s="564" t="str">
        <f>Inputs!R156</f>
        <v>-</v>
      </c>
      <c r="S93" s="564" t="str">
        <f>Inputs!S156</f>
        <v>-</v>
      </c>
      <c r="T93" s="564" t="str">
        <f>Inputs!T156</f>
        <v>-</v>
      </c>
      <c r="U93" s="564" t="str">
        <f>Inputs!U156</f>
        <v>-</v>
      </c>
      <c r="V93" s="564" t="str">
        <f>Inputs!V156</f>
        <v>-</v>
      </c>
      <c r="W93" s="564" t="str">
        <f>Inputs!W156</f>
        <v>-</v>
      </c>
      <c r="X93" s="564" t="str">
        <f>Inputs!X156</f>
        <v>-</v>
      </c>
      <c r="Y93" s="564" t="str">
        <f>Inputs!Y156</f>
        <v>-</v>
      </c>
      <c r="Z93" s="564" t="str">
        <f>Inputs!Z156</f>
        <v>-</v>
      </c>
      <c r="AA93" s="564" t="str">
        <f>Inputs!AA156</f>
        <v>-</v>
      </c>
      <c r="AB93" s="564" t="str">
        <f>Inputs!AB156</f>
        <v>-</v>
      </c>
      <c r="AC93" s="564" t="str">
        <f>Inputs!AC156</f>
        <v>-</v>
      </c>
      <c r="AD93" s="564" t="str">
        <f>Inputs!AD156</f>
        <v>-</v>
      </c>
      <c r="AE93" s="564" t="str">
        <f>Inputs!AE156</f>
        <v>-</v>
      </c>
      <c r="AF93" s="564" t="str">
        <f>Inputs!AF156</f>
        <v>-</v>
      </c>
      <c r="AG93" s="564" t="str">
        <f>Inputs!AG156</f>
        <v>-</v>
      </c>
      <c r="AH93" s="564" t="str">
        <f>Inputs!AH156</f>
        <v>-</v>
      </c>
      <c r="AI93" s="564" t="str">
        <f>Inputs!AI156</f>
        <v>-</v>
      </c>
      <c r="AJ93" s="564" t="str">
        <f>Inputs!AJ156</f>
        <v>-</v>
      </c>
      <c r="AK93" s="564" t="str">
        <f>Inputs!AK156</f>
        <v>-</v>
      </c>
      <c r="AL93" s="564" t="str">
        <f>Inputs!AL156</f>
        <v>-</v>
      </c>
      <c r="AM93" s="564" t="str">
        <f>Inputs!AM156</f>
        <v>-</v>
      </c>
      <c r="AN93" s="564" t="str">
        <f>Inputs!AN156</f>
        <v>-</v>
      </c>
      <c r="AO93" s="564" t="str">
        <f>Inputs!AO156</f>
        <v>-</v>
      </c>
      <c r="AP93" s="564" t="str">
        <f>Inputs!AP156</f>
        <v>-</v>
      </c>
      <c r="AQ93" s="564" t="str">
        <f>Inputs!AQ156</f>
        <v>-</v>
      </c>
      <c r="AR93" s="564" t="str">
        <f>Inputs!AR156</f>
        <v>-</v>
      </c>
      <c r="AS93" s="564" t="str">
        <f>Inputs!AS156</f>
        <v>-</v>
      </c>
      <c r="AT93" s="564" t="str">
        <f>Inputs!AT156</f>
        <v>-</v>
      </c>
      <c r="AU93" s="564" t="str">
        <f>Inputs!AU156</f>
        <v>-</v>
      </c>
      <c r="AV93" s="564" t="str">
        <f>Inputs!AV156</f>
        <v>-</v>
      </c>
      <c r="AW93" s="565"/>
    </row>
    <row r="94">
      <c r="A94" s="122"/>
      <c r="B94" s="123"/>
      <c r="C94" s="538"/>
      <c r="D94" s="538"/>
      <c r="E94" s="254" t="s">
        <v>604</v>
      </c>
      <c r="F94" s="539" t="s">
        <v>72</v>
      </c>
      <c r="G94" s="540" t="s">
        <v>161</v>
      </c>
      <c r="H94" s="576" t="s">
        <v>162</v>
      </c>
      <c r="I94" s="542">
        <f t="shared" ref="I94:AV94" si="19">I83*$H$93</f>
        <v>0.007006376647</v>
      </c>
      <c r="J94" s="542">
        <f t="shared" si="19"/>
        <v>0.005605499439</v>
      </c>
      <c r="K94" s="542">
        <f t="shared" si="19"/>
        <v>0.007119240085</v>
      </c>
      <c r="L94" s="542">
        <f t="shared" si="19"/>
        <v>0.003781406897</v>
      </c>
      <c r="M94" s="542">
        <f t="shared" si="19"/>
        <v>0.005686556767</v>
      </c>
      <c r="N94" s="542">
        <f t="shared" si="19"/>
        <v>0.004741580372</v>
      </c>
      <c r="O94" s="542">
        <f t="shared" si="19"/>
        <v>0.005101518623</v>
      </c>
      <c r="P94" s="542">
        <f t="shared" si="19"/>
        <v>0.00804944854</v>
      </c>
      <c r="Q94" s="542">
        <f t="shared" si="19"/>
        <v>0.006856332786</v>
      </c>
      <c r="R94" s="542">
        <f t="shared" si="19"/>
        <v>0.002259789246</v>
      </c>
      <c r="S94" s="542">
        <f t="shared" si="19"/>
        <v>0.005170398319</v>
      </c>
      <c r="T94" s="542">
        <f t="shared" si="19"/>
        <v>0.001442353376</v>
      </c>
      <c r="U94" s="542">
        <f t="shared" si="19"/>
        <v>0.00174661562</v>
      </c>
      <c r="V94" s="542">
        <f t="shared" si="19"/>
        <v>0.001937553919</v>
      </c>
      <c r="W94" s="542">
        <f t="shared" si="19"/>
        <v>0.002509210576</v>
      </c>
      <c r="X94" s="542">
        <f t="shared" si="19"/>
        <v>0.001693075733</v>
      </c>
      <c r="Y94" s="542">
        <f t="shared" si="19"/>
        <v>0.001679514962</v>
      </c>
      <c r="Z94" s="542">
        <f t="shared" si="19"/>
        <v>0.001977593299</v>
      </c>
      <c r="AA94" s="542">
        <f t="shared" si="19"/>
        <v>0.002596817575</v>
      </c>
      <c r="AB94" s="542">
        <f t="shared" si="19"/>
        <v>0.002197287869</v>
      </c>
      <c r="AC94" s="542">
        <f t="shared" si="19"/>
        <v>0.00162931386</v>
      </c>
      <c r="AD94" s="542">
        <f t="shared" si="19"/>
        <v>0.001033235911</v>
      </c>
      <c r="AE94" s="542">
        <f t="shared" si="19"/>
        <v>0.001786663026</v>
      </c>
      <c r="AF94" s="542">
        <f t="shared" si="19"/>
        <v>0.001212404375</v>
      </c>
      <c r="AG94" s="542">
        <f t="shared" si="19"/>
        <v>0.003781406897</v>
      </c>
      <c r="AH94" s="542">
        <f t="shared" si="19"/>
        <v>0.001548815044</v>
      </c>
      <c r="AI94" s="542">
        <f t="shared" si="19"/>
        <v>0.001038389118</v>
      </c>
      <c r="AJ94" s="542">
        <f t="shared" si="19"/>
        <v>0.0008484862609</v>
      </c>
      <c r="AK94" s="542">
        <f t="shared" si="19"/>
        <v>0.002302334267</v>
      </c>
      <c r="AL94" s="542">
        <f t="shared" si="19"/>
        <v>0.003309868379</v>
      </c>
      <c r="AM94" s="542">
        <f t="shared" si="19"/>
        <v>0.003309868379</v>
      </c>
      <c r="AN94" s="542">
        <f t="shared" si="19"/>
        <v>0.003309868379</v>
      </c>
      <c r="AO94" s="542">
        <f t="shared" si="19"/>
        <v>0.001421337098</v>
      </c>
      <c r="AP94" s="542">
        <f t="shared" si="19"/>
        <v>0.001840302402</v>
      </c>
      <c r="AQ94" s="542">
        <f t="shared" si="19"/>
        <v>0.0007295429618</v>
      </c>
      <c r="AR94" s="542">
        <f t="shared" si="19"/>
        <v>0.001023036204</v>
      </c>
      <c r="AS94" s="542">
        <f t="shared" si="19"/>
        <v>0.001773048104</v>
      </c>
      <c r="AT94" s="542">
        <f t="shared" si="19"/>
        <v>0.00190220916</v>
      </c>
      <c r="AU94" s="542">
        <f t="shared" si="19"/>
        <v>0.005565170574</v>
      </c>
      <c r="AV94" s="542">
        <f t="shared" si="19"/>
        <v>0.003531159985</v>
      </c>
      <c r="AW94" s="565"/>
    </row>
    <row r="95">
      <c r="A95" s="122"/>
      <c r="B95" s="123"/>
      <c r="C95" s="538"/>
      <c r="D95" s="538"/>
      <c r="E95" s="254" t="s">
        <v>605</v>
      </c>
      <c r="F95" s="539" t="s">
        <v>72</v>
      </c>
      <c r="G95" s="540" t="s">
        <v>161</v>
      </c>
      <c r="H95" s="576" t="s">
        <v>162</v>
      </c>
      <c r="I95" s="542">
        <f t="shared" ref="I95:AV95" si="20">I72*$H$93</f>
        <v>0.0005130493812</v>
      </c>
      <c r="J95" s="542">
        <f t="shared" si="20"/>
        <v>0.0004492195416</v>
      </c>
      <c r="K95" s="542">
        <f t="shared" si="20"/>
        <v>0.0005369758411</v>
      </c>
      <c r="L95" s="542">
        <f t="shared" si="20"/>
        <v>0.0003352320121</v>
      </c>
      <c r="M95" s="542">
        <f t="shared" si="20"/>
        <v>0.0005238406675</v>
      </c>
      <c r="N95" s="542">
        <f t="shared" si="20"/>
        <v>0.0004158511507</v>
      </c>
      <c r="O95" s="542">
        <f t="shared" si="20"/>
        <v>0.0004282367704</v>
      </c>
      <c r="P95" s="542">
        <f t="shared" si="20"/>
        <v>0.0005876171651</v>
      </c>
      <c r="Q95" s="542">
        <f t="shared" si="20"/>
        <v>0.0006240604265</v>
      </c>
      <c r="R95" s="542">
        <f t="shared" si="20"/>
        <v>0.0002144704424</v>
      </c>
      <c r="S95" s="542">
        <f t="shared" si="20"/>
        <v>0.0004581904823</v>
      </c>
      <c r="T95" s="542">
        <f t="shared" si="20"/>
        <v>0.0001731888632</v>
      </c>
      <c r="U95" s="542">
        <f t="shared" si="20"/>
        <v>0.0001884893273</v>
      </c>
      <c r="V95" s="542">
        <f t="shared" si="20"/>
        <v>0.0001821740284</v>
      </c>
      <c r="W95" s="542">
        <f t="shared" si="20"/>
        <v>0.0003317063028</v>
      </c>
      <c r="X95" s="542">
        <f t="shared" si="20"/>
        <v>0.0002387070763</v>
      </c>
      <c r="Y95" s="542">
        <f t="shared" si="20"/>
        <v>0.000285182982</v>
      </c>
      <c r="Z95" s="542">
        <f t="shared" si="20"/>
        <v>0.0002375501473</v>
      </c>
      <c r="AA95" s="542">
        <f t="shared" si="20"/>
        <v>0.0003234623939</v>
      </c>
      <c r="AB95" s="542">
        <f t="shared" si="20"/>
        <v>0.0001946050876</v>
      </c>
      <c r="AC95" s="542">
        <f t="shared" si="20"/>
        <v>0.0001838612165</v>
      </c>
      <c r="AD95" s="542">
        <f t="shared" si="20"/>
        <v>0.0001558483635</v>
      </c>
      <c r="AE95" s="542">
        <f t="shared" si="20"/>
        <v>0.0002400864611</v>
      </c>
      <c r="AF95" s="542">
        <f t="shared" si="20"/>
        <v>0.0001676835726</v>
      </c>
      <c r="AG95" s="542">
        <f t="shared" si="20"/>
        <v>0.0003352320121</v>
      </c>
      <c r="AH95" s="542">
        <f t="shared" si="20"/>
        <v>0.0001754185592</v>
      </c>
      <c r="AI95" s="542">
        <f t="shared" si="20"/>
        <v>0.0001536514629</v>
      </c>
      <c r="AJ95" s="542">
        <f t="shared" si="20"/>
        <v>0.0001659782088</v>
      </c>
      <c r="AK95" s="542">
        <f t="shared" si="20"/>
        <v>0.0002976590855</v>
      </c>
      <c r="AL95" s="542">
        <f t="shared" si="20"/>
        <v>0.0003388885081</v>
      </c>
      <c r="AM95" s="542">
        <f t="shared" si="20"/>
        <v>0.0003388885081</v>
      </c>
      <c r="AN95" s="542">
        <f t="shared" si="20"/>
        <v>0.0003388885081</v>
      </c>
      <c r="AO95" s="542">
        <f t="shared" si="20"/>
        <v>0.0001985203911</v>
      </c>
      <c r="AP95" s="542">
        <f t="shared" si="20"/>
        <v>0.0002294631035</v>
      </c>
      <c r="AQ95" s="542">
        <f t="shared" si="20"/>
        <v>0.0001198954534</v>
      </c>
      <c r="AR95" s="542">
        <f t="shared" si="20"/>
        <v>0.0001162622699</v>
      </c>
      <c r="AS95" s="542">
        <f t="shared" si="20"/>
        <v>0.0002718545917</v>
      </c>
      <c r="AT95" s="542">
        <f t="shared" si="20"/>
        <v>0.0002067228118</v>
      </c>
      <c r="AU95" s="542">
        <f t="shared" si="20"/>
        <v>0.0004794881689</v>
      </c>
      <c r="AV95" s="542">
        <f t="shared" si="20"/>
        <v>0.0003642658707</v>
      </c>
      <c r="AW95" s="565"/>
    </row>
    <row r="96">
      <c r="A96" s="122"/>
      <c r="B96" s="123"/>
      <c r="C96" s="538"/>
      <c r="D96" s="538"/>
      <c r="E96" s="254" t="s">
        <v>606</v>
      </c>
      <c r="F96" s="539" t="s">
        <v>72</v>
      </c>
      <c r="G96" s="540" t="s">
        <v>161</v>
      </c>
      <c r="H96" s="576" t="s">
        <v>162</v>
      </c>
      <c r="I96" s="542">
        <f t="shared" ref="I96:AV96" si="21">I73*$H$93</f>
        <v>0.001021797816</v>
      </c>
      <c r="J96" s="542">
        <f t="shared" si="21"/>
        <v>0.0008028407178</v>
      </c>
      <c r="K96" s="542">
        <f t="shared" si="21"/>
        <v>0.001217732898</v>
      </c>
      <c r="L96" s="542">
        <f t="shared" si="21"/>
        <v>0.0007919877919</v>
      </c>
      <c r="M96" s="542">
        <f t="shared" si="21"/>
        <v>0.0008489159657</v>
      </c>
      <c r="N96" s="542">
        <f t="shared" si="21"/>
        <v>0.0009958309254</v>
      </c>
      <c r="O96" s="542">
        <f t="shared" si="21"/>
        <v>0.0009989445183</v>
      </c>
      <c r="P96" s="542">
        <f t="shared" si="21"/>
        <v>0.001306519291</v>
      </c>
      <c r="Q96" s="542">
        <f t="shared" si="21"/>
        <v>0.001170033287</v>
      </c>
      <c r="R96" s="542">
        <f t="shared" si="21"/>
        <v>0.000697055609</v>
      </c>
      <c r="S96" s="542">
        <f t="shared" si="21"/>
        <v>0.0009658859062</v>
      </c>
      <c r="T96" s="542">
        <f t="shared" si="21"/>
        <v>0.0007428534784</v>
      </c>
      <c r="U96" s="542">
        <f t="shared" si="21"/>
        <v>0.0007736456477</v>
      </c>
      <c r="V96" s="542">
        <f t="shared" si="21"/>
        <v>0.0008227060726</v>
      </c>
      <c r="W96" s="542">
        <f t="shared" si="21"/>
        <v>0.0009917026489</v>
      </c>
      <c r="X96" s="542">
        <f t="shared" si="21"/>
        <v>0.0007177779921</v>
      </c>
      <c r="Y96" s="542">
        <f t="shared" si="21"/>
        <v>0.001454383343</v>
      </c>
      <c r="Z96" s="542">
        <f t="shared" si="21"/>
        <v>0.0008185390738</v>
      </c>
      <c r="AA96" s="542">
        <f t="shared" si="21"/>
        <v>0.0009126995756</v>
      </c>
      <c r="AB96" s="542">
        <f t="shared" si="21"/>
        <v>0.0007931885798</v>
      </c>
      <c r="AC96" s="542">
        <f t="shared" si="21"/>
        <v>0.0007208133501</v>
      </c>
      <c r="AD96" s="542">
        <f t="shared" si="21"/>
        <v>0.0007223614537</v>
      </c>
      <c r="AE96" s="542">
        <f t="shared" si="21"/>
        <v>0.0006886366592</v>
      </c>
      <c r="AF96" s="542">
        <f t="shared" si="21"/>
        <v>0.0006874184858</v>
      </c>
      <c r="AG96" s="542">
        <f t="shared" si="21"/>
        <v>0.0007919877919</v>
      </c>
      <c r="AH96" s="542">
        <f t="shared" si="21"/>
        <v>0.0007748250989</v>
      </c>
      <c r="AI96" s="542">
        <f t="shared" si="21"/>
        <v>0.0008389240194</v>
      </c>
      <c r="AJ96" s="542">
        <f t="shared" si="21"/>
        <v>0.0005914467264</v>
      </c>
      <c r="AK96" s="542">
        <f t="shared" si="21"/>
        <v>0.0009615924671</v>
      </c>
      <c r="AL96" s="542">
        <f t="shared" si="21"/>
        <v>0.0009960427129</v>
      </c>
      <c r="AM96" s="542">
        <f t="shared" si="21"/>
        <v>0.0009960427129</v>
      </c>
      <c r="AN96" s="542">
        <f t="shared" si="21"/>
        <v>0.0009960427129</v>
      </c>
      <c r="AO96" s="542">
        <f t="shared" si="21"/>
        <v>0.0008207762772</v>
      </c>
      <c r="AP96" s="542">
        <f t="shared" si="21"/>
        <v>0.0007766667812</v>
      </c>
      <c r="AQ96" s="542">
        <f t="shared" si="21"/>
        <v>0.0005477880691</v>
      </c>
      <c r="AR96" s="542">
        <f t="shared" si="21"/>
        <v>0.0006265639449</v>
      </c>
      <c r="AS96" s="542">
        <f t="shared" si="21"/>
        <v>0.0009840664438</v>
      </c>
      <c r="AT96" s="542">
        <f t="shared" si="21"/>
        <v>0.0007675875759</v>
      </c>
      <c r="AU96" s="542">
        <f t="shared" si="21"/>
        <v>0.001085068947</v>
      </c>
      <c r="AV96" s="542">
        <f t="shared" si="21"/>
        <v>0.001025564157</v>
      </c>
      <c r="AW96" s="565"/>
    </row>
    <row r="97">
      <c r="A97" s="122"/>
      <c r="B97" s="123"/>
      <c r="C97" s="538"/>
      <c r="D97" s="538"/>
      <c r="E97" s="490" t="s">
        <v>607</v>
      </c>
      <c r="F97" s="544" t="s">
        <v>72</v>
      </c>
      <c r="G97" s="545" t="s">
        <v>161</v>
      </c>
      <c r="H97" s="551" t="s">
        <v>162</v>
      </c>
      <c r="I97" s="547">
        <f t="shared" ref="I97:AV97" si="22">I74*$H$93</f>
        <v>0.009423562318</v>
      </c>
      <c r="J97" s="547">
        <f t="shared" si="22"/>
        <v>0.009296888083</v>
      </c>
      <c r="K97" s="547">
        <f t="shared" si="22"/>
        <v>0.009678362877</v>
      </c>
      <c r="L97" s="547">
        <f t="shared" si="22"/>
        <v>0.006639474481</v>
      </c>
      <c r="M97" s="547">
        <f t="shared" si="22"/>
        <v>0.007310595205</v>
      </c>
      <c r="N97" s="547">
        <f t="shared" si="22"/>
        <v>0.008333622258</v>
      </c>
      <c r="O97" s="547">
        <f t="shared" si="22"/>
        <v>0.009921525394</v>
      </c>
      <c r="P97" s="547">
        <f t="shared" si="22"/>
        <v>0.00954241859</v>
      </c>
      <c r="Q97" s="547">
        <f t="shared" si="22"/>
        <v>0.01173978936</v>
      </c>
      <c r="R97" s="547">
        <f t="shared" si="22"/>
        <v>0.006236093902</v>
      </c>
      <c r="S97" s="547">
        <f t="shared" si="22"/>
        <v>0.0092266331</v>
      </c>
      <c r="T97" s="547">
        <f t="shared" si="22"/>
        <v>0.006893772439</v>
      </c>
      <c r="U97" s="547">
        <f t="shared" si="22"/>
        <v>0.006482087892</v>
      </c>
      <c r="V97" s="547">
        <f t="shared" si="22"/>
        <v>0.007645808251</v>
      </c>
      <c r="W97" s="547">
        <f t="shared" si="22"/>
        <v>0.008588910401</v>
      </c>
      <c r="X97" s="547">
        <f t="shared" si="22"/>
        <v>0.007693617311</v>
      </c>
      <c r="Y97" s="547">
        <f t="shared" si="22"/>
        <v>0.01302158483</v>
      </c>
      <c r="Z97" s="547">
        <f t="shared" si="22"/>
        <v>0.006239211841</v>
      </c>
      <c r="AA97" s="547">
        <f t="shared" si="22"/>
        <v>0.007853171957</v>
      </c>
      <c r="AB97" s="547">
        <f t="shared" si="22"/>
        <v>0.005661037002</v>
      </c>
      <c r="AC97" s="547">
        <f t="shared" si="22"/>
        <v>0.006309305218</v>
      </c>
      <c r="AD97" s="547">
        <f t="shared" si="22"/>
        <v>0.006786425792</v>
      </c>
      <c r="AE97" s="547">
        <f t="shared" si="22"/>
        <v>0.004493148855</v>
      </c>
      <c r="AF97" s="547">
        <f t="shared" si="22"/>
        <v>0.005790664014</v>
      </c>
      <c r="AG97" s="547">
        <f t="shared" si="22"/>
        <v>0.006639474481</v>
      </c>
      <c r="AH97" s="547">
        <f t="shared" si="22"/>
        <v>0.007650083514</v>
      </c>
      <c r="AI97" s="547">
        <f t="shared" si="22"/>
        <v>0.006705432074</v>
      </c>
      <c r="AJ97" s="547">
        <f t="shared" si="22"/>
        <v>0.004563367487</v>
      </c>
      <c r="AK97" s="547">
        <f t="shared" si="22"/>
        <v>0.00618490928</v>
      </c>
      <c r="AL97" s="547">
        <f t="shared" si="22"/>
        <v>0.008068960144</v>
      </c>
      <c r="AM97" s="547">
        <f t="shared" si="22"/>
        <v>0.008068960144</v>
      </c>
      <c r="AN97" s="547">
        <f t="shared" si="22"/>
        <v>0.008068960144</v>
      </c>
      <c r="AO97" s="547">
        <f t="shared" si="22"/>
        <v>0.007163264572</v>
      </c>
      <c r="AP97" s="547">
        <f t="shared" si="22"/>
        <v>0.007166507371</v>
      </c>
      <c r="AQ97" s="547">
        <f t="shared" si="22"/>
        <v>0.00582150913</v>
      </c>
      <c r="AR97" s="547">
        <f t="shared" si="22"/>
        <v>0.005603737015</v>
      </c>
      <c r="AS97" s="547">
        <f t="shared" si="22"/>
        <v>0.006245773304</v>
      </c>
      <c r="AT97" s="547">
        <f t="shared" si="22"/>
        <v>0.006201845961</v>
      </c>
      <c r="AU97" s="547">
        <f t="shared" si="22"/>
        <v>0.006812799663</v>
      </c>
      <c r="AV97" s="547">
        <f t="shared" si="22"/>
        <v>0.008866187702</v>
      </c>
      <c r="AW97" s="577"/>
    </row>
    <row r="98">
      <c r="A98" s="122"/>
      <c r="B98" s="123"/>
      <c r="C98" s="143"/>
      <c r="D98" s="143"/>
      <c r="E98" s="269"/>
      <c r="F98" s="533"/>
      <c r="G98" s="534"/>
      <c r="H98" s="127"/>
      <c r="I98" s="482"/>
      <c r="J98" s="482"/>
      <c r="K98" s="482"/>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132"/>
    </row>
    <row r="99">
      <c r="A99" s="117" t="s">
        <v>608</v>
      </c>
      <c r="B99" s="7"/>
      <c r="C99" s="7"/>
      <c r="D99" s="7"/>
      <c r="E99" s="7"/>
      <c r="F99" s="7"/>
      <c r="G99" s="7"/>
      <c r="H99" s="118"/>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121"/>
    </row>
    <row r="100">
      <c r="A100" s="122"/>
      <c r="B100" s="123"/>
      <c r="C100" s="143"/>
      <c r="D100" s="143"/>
      <c r="E100" s="269"/>
      <c r="F100" s="533"/>
      <c r="G100" s="534"/>
      <c r="H100" s="127"/>
      <c r="I100" s="482"/>
      <c r="J100" s="482"/>
      <c r="K100" s="482"/>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132"/>
    </row>
    <row r="101">
      <c r="A101" s="123"/>
      <c r="B101" s="123"/>
      <c r="C101" s="143" t="s">
        <v>609</v>
      </c>
      <c r="F101" s="533"/>
      <c r="G101" s="533"/>
      <c r="H101" s="127"/>
      <c r="I101" s="482"/>
      <c r="J101" s="482"/>
      <c r="K101" s="482"/>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132"/>
    </row>
    <row r="102">
      <c r="A102" s="122"/>
      <c r="B102" s="123"/>
      <c r="C102" s="538"/>
      <c r="D102" s="538"/>
      <c r="E102" s="254" t="s">
        <v>610</v>
      </c>
      <c r="F102" s="539" t="s">
        <v>72</v>
      </c>
      <c r="G102" s="540" t="s">
        <v>165</v>
      </c>
      <c r="H102" s="541" t="str">
        <f>Inputs!H159</f>
        <v>-</v>
      </c>
      <c r="I102" s="542">
        <f>Inputs!I159</f>
        <v>0.006177361</v>
      </c>
      <c r="J102" s="542">
        <f>Inputs!J159</f>
        <v>0.005211418</v>
      </c>
      <c r="K102" s="542">
        <f>Inputs!K159</f>
        <v>0.006472392</v>
      </c>
      <c r="L102" s="542">
        <f>Inputs!L159</f>
        <v>0.003542222</v>
      </c>
      <c r="M102" s="542">
        <f>Inputs!M159</f>
        <v>0.005411087</v>
      </c>
      <c r="N102" s="542">
        <f>Inputs!N159</f>
        <v>0.004841311</v>
      </c>
      <c r="O102" s="542">
        <f>Inputs!O159</f>
        <v>0.005304934</v>
      </c>
      <c r="P102" s="542">
        <f>Inputs!P159</f>
        <v>0.008024852</v>
      </c>
      <c r="Q102" s="542">
        <f>Inputs!Q159</f>
        <v>0.009255404</v>
      </c>
      <c r="R102" s="542">
        <f>Inputs!R159</f>
        <v>0.001617762</v>
      </c>
      <c r="S102" s="542">
        <f>Inputs!S159</f>
        <v>0.004193349</v>
      </c>
      <c r="T102" s="542">
        <f>Inputs!T159</f>
        <v>0.001212024</v>
      </c>
      <c r="U102" s="542">
        <f>Inputs!U159</f>
        <v>0.00107499</v>
      </c>
      <c r="V102" s="542">
        <f>Inputs!V159</f>
        <v>0.00161615</v>
      </c>
      <c r="W102" s="542">
        <f>Inputs!W159</f>
        <v>0.002073541</v>
      </c>
      <c r="X102" s="542">
        <f>Inputs!X159</f>
        <v>0.001666184</v>
      </c>
      <c r="Y102" s="542">
        <f>Inputs!Y159</f>
        <v>0.001242412</v>
      </c>
      <c r="Z102" s="542">
        <f>Inputs!Z159</f>
        <v>0.001657807</v>
      </c>
      <c r="AA102" s="542">
        <f>Inputs!AA159</f>
        <v>0.002014104</v>
      </c>
      <c r="AB102" s="542">
        <f>Inputs!AB159</f>
        <v>0.0015937</v>
      </c>
      <c r="AC102" s="542">
        <f>Inputs!AC159</f>
        <v>0.001259148</v>
      </c>
      <c r="AD102" s="542">
        <f>Inputs!AD159</f>
        <v>0.000855174</v>
      </c>
      <c r="AE102" s="542">
        <f>Inputs!AE159</f>
        <v>0.001555766</v>
      </c>
      <c r="AF102" s="542">
        <f>Inputs!AF159</f>
        <v>0.000941128</v>
      </c>
      <c r="AG102" s="542">
        <f>Inputs!AG159</f>
        <v>0.003542222</v>
      </c>
      <c r="AH102" s="542">
        <f>Inputs!AH159</f>
        <v>0.001190984</v>
      </c>
      <c r="AI102" s="542">
        <f>Inputs!AI159</f>
        <v>0.00095864</v>
      </c>
      <c r="AJ102" s="542">
        <f>Inputs!AJ159</f>
        <v>0.000818202</v>
      </c>
      <c r="AK102" s="542">
        <f>Inputs!AK159</f>
        <v>0.002113785</v>
      </c>
      <c r="AL102" s="542">
        <f>Inputs!AL159</f>
        <v>0.003041217</v>
      </c>
      <c r="AM102" s="542">
        <f>Inputs!AM159</f>
        <v>0.003041217</v>
      </c>
      <c r="AN102" s="542">
        <f>Inputs!AN159</f>
        <v>0.003041217</v>
      </c>
      <c r="AO102" s="542">
        <f>Inputs!AO159</f>
        <v>0.001363403</v>
      </c>
      <c r="AP102" s="542">
        <f>Inputs!AP159</f>
        <v>0.00133794</v>
      </c>
      <c r="AQ102" s="542">
        <f>Inputs!AQ159</f>
        <v>0.000678927</v>
      </c>
      <c r="AR102" s="542">
        <f>Inputs!AR159</f>
        <v>0.000886172</v>
      </c>
      <c r="AS102" s="542">
        <f>Inputs!AS159</f>
        <v>0.001575413</v>
      </c>
      <c r="AT102" s="542">
        <f>Inputs!AT159</f>
        <v>0.001552693</v>
      </c>
      <c r="AU102" s="542">
        <f>Inputs!AU159</f>
        <v>0.004512629</v>
      </c>
      <c r="AV102" s="542">
        <f>Inputs!AV159</f>
        <v>0.003392061</v>
      </c>
      <c r="AW102" s="543"/>
    </row>
    <row r="103">
      <c r="A103" s="122"/>
      <c r="B103" s="123"/>
      <c r="C103" s="538"/>
      <c r="D103" s="538"/>
      <c r="E103" s="257" t="s">
        <v>611</v>
      </c>
      <c r="F103" s="554" t="s">
        <v>72</v>
      </c>
      <c r="G103" s="555" t="s">
        <v>165</v>
      </c>
      <c r="H103" s="556" t="str">
        <f>Inputs!H160</f>
        <v>-</v>
      </c>
      <c r="I103" s="557">
        <f>Inputs!I160</f>
        <v>0.000920251</v>
      </c>
      <c r="J103" s="557">
        <f>Inputs!J160</f>
        <v>0.00078274</v>
      </c>
      <c r="K103" s="557">
        <f>Inputs!K160</f>
        <v>0.000975938</v>
      </c>
      <c r="L103" s="557">
        <f>Inputs!L160</f>
        <v>0.000543254</v>
      </c>
      <c r="M103" s="557">
        <f>Inputs!M160</f>
        <v>0.00085293</v>
      </c>
      <c r="N103" s="557">
        <f>Inputs!N160</f>
        <v>0.000744263</v>
      </c>
      <c r="O103" s="557">
        <f>Inputs!O160</f>
        <v>0.000848212</v>
      </c>
      <c r="P103" s="557">
        <f>Inputs!P160</f>
        <v>0.001182199</v>
      </c>
      <c r="Q103" s="557">
        <f>Inputs!Q160</f>
        <v>0.001216374</v>
      </c>
      <c r="R103" s="557">
        <f>Inputs!R160</f>
        <v>0.000283224</v>
      </c>
      <c r="S103" s="557">
        <f>Inputs!S160</f>
        <v>0.00069414</v>
      </c>
      <c r="T103" s="557">
        <f>Inputs!T160</f>
        <v>0.000240103</v>
      </c>
      <c r="U103" s="557">
        <f>Inputs!U160</f>
        <v>0.000243766</v>
      </c>
      <c r="V103" s="557">
        <f>Inputs!V160</f>
        <v>0.000270451</v>
      </c>
      <c r="W103" s="557">
        <f>Inputs!W160</f>
        <v>0.000473177</v>
      </c>
      <c r="X103" s="557">
        <f>Inputs!X160</f>
        <v>0.00040184</v>
      </c>
      <c r="Y103" s="557">
        <f>Inputs!Y160</f>
        <v>0.000249085</v>
      </c>
      <c r="Z103" s="557">
        <f>Inputs!Z160</f>
        <v>0.000325336</v>
      </c>
      <c r="AA103" s="557">
        <f>Inputs!AA160</f>
        <v>0.000445482</v>
      </c>
      <c r="AB103" s="557">
        <f>Inputs!AB160</f>
        <v>0.000259059</v>
      </c>
      <c r="AC103" s="557">
        <f>Inputs!AC160</f>
        <v>0.000237977</v>
      </c>
      <c r="AD103" s="557">
        <f>Inputs!AD160</f>
        <v>0.000224853</v>
      </c>
      <c r="AE103" s="557">
        <f>Inputs!AE160</f>
        <v>0.000322448</v>
      </c>
      <c r="AF103" s="557">
        <f>Inputs!AF160</f>
        <v>0.000224958</v>
      </c>
      <c r="AG103" s="557">
        <f>Inputs!AG160</f>
        <v>0.000543254</v>
      </c>
      <c r="AH103" s="557">
        <f>Inputs!AH160</f>
        <v>0.000238644</v>
      </c>
      <c r="AI103" s="557">
        <f>Inputs!AI160</f>
        <v>0.000227058</v>
      </c>
      <c r="AJ103" s="557">
        <f>Inputs!AJ160</f>
        <v>0.000225853</v>
      </c>
      <c r="AK103" s="557">
        <f>Inputs!AK160</f>
        <v>0.000428339</v>
      </c>
      <c r="AL103" s="557">
        <f>Inputs!AL160</f>
        <v>0.000569156</v>
      </c>
      <c r="AM103" s="557">
        <f>Inputs!AM160</f>
        <v>0.000569156</v>
      </c>
      <c r="AN103" s="557">
        <f>Inputs!AN160</f>
        <v>0.000569156</v>
      </c>
      <c r="AO103" s="557">
        <f>Inputs!AO160</f>
        <v>0.000309691</v>
      </c>
      <c r="AP103" s="557">
        <f>Inputs!AP160</f>
        <v>0.000305717</v>
      </c>
      <c r="AQ103" s="557">
        <f>Inputs!AQ160</f>
        <v>0.000165232</v>
      </c>
      <c r="AR103" s="557">
        <f>Inputs!AR160</f>
        <v>0.000178382</v>
      </c>
      <c r="AS103" s="557">
        <f>Inputs!AS160</f>
        <v>0.000398961</v>
      </c>
      <c r="AT103" s="557">
        <f>Inputs!AT160</f>
        <v>0.000279489</v>
      </c>
      <c r="AU103" s="557">
        <f>Inputs!AU160</f>
        <v>0.000744871</v>
      </c>
      <c r="AV103" s="557">
        <f>Inputs!AV160</f>
        <v>0.000678181</v>
      </c>
      <c r="AW103" s="558"/>
    </row>
    <row r="104">
      <c r="A104" s="122"/>
      <c r="B104" s="123"/>
      <c r="C104" s="538"/>
      <c r="D104" s="538"/>
      <c r="E104" s="257" t="s">
        <v>612</v>
      </c>
      <c r="F104" s="554" t="s">
        <v>72</v>
      </c>
      <c r="G104" s="555" t="s">
        <v>165</v>
      </c>
      <c r="H104" s="556" t="str">
        <f>Inputs!H161</f>
        <v>-</v>
      </c>
      <c r="I104" s="557">
        <f>Inputs!I161</f>
        <v>0.001870641</v>
      </c>
      <c r="J104" s="557">
        <f>Inputs!J161</f>
        <v>0.001396704</v>
      </c>
      <c r="K104" s="557">
        <f>Inputs!K161</f>
        <v>0.002364602</v>
      </c>
      <c r="L104" s="557">
        <f>Inputs!L161</f>
        <v>0.001256075</v>
      </c>
      <c r="M104" s="557">
        <f>Inputs!M161</f>
        <v>0.001435015</v>
      </c>
      <c r="N104" s="557">
        <f>Inputs!N161</f>
        <v>0.001813177</v>
      </c>
      <c r="O104" s="557">
        <f>Inputs!O161</f>
        <v>0.001952634</v>
      </c>
      <c r="P104" s="557">
        <f>Inputs!P161</f>
        <v>0.002694076</v>
      </c>
      <c r="Q104" s="557">
        <f>Inputs!Q161</f>
        <v>0.002407406</v>
      </c>
      <c r="R104" s="557">
        <f>Inputs!R161</f>
        <v>0.000814486</v>
      </c>
      <c r="S104" s="557">
        <f>Inputs!S161</f>
        <v>0.001486466</v>
      </c>
      <c r="T104" s="557">
        <f>Inputs!T161</f>
        <v>0.000858825</v>
      </c>
      <c r="U104" s="557">
        <f>Inputs!U161</f>
        <v>0.000852011</v>
      </c>
      <c r="V104" s="557">
        <f>Inputs!V161</f>
        <v>0.001031929</v>
      </c>
      <c r="W104" s="557">
        <f>Inputs!W161</f>
        <v>0.001314864</v>
      </c>
      <c r="X104" s="557">
        <f>Inputs!X161</f>
        <v>0.001184471</v>
      </c>
      <c r="Y104" s="557">
        <f>Inputs!Y161</f>
        <v>0.000896409</v>
      </c>
      <c r="Z104" s="557">
        <f>Inputs!Z161</f>
        <v>0.000984157</v>
      </c>
      <c r="AA104" s="557">
        <f>Inputs!AA161</f>
        <v>0.001159156</v>
      </c>
      <c r="AB104" s="557">
        <f>Inputs!AB161</f>
        <v>0.000878335</v>
      </c>
      <c r="AC104" s="557">
        <f>Inputs!AC161</f>
        <v>0.000771143</v>
      </c>
      <c r="AD104" s="557">
        <f>Inputs!AD161</f>
        <v>0.000867108</v>
      </c>
      <c r="AE104" s="557">
        <f>Inputs!AE161</f>
        <v>0.000886405</v>
      </c>
      <c r="AF104" s="557">
        <f>Inputs!AF161</f>
        <v>0.000765457</v>
      </c>
      <c r="AG104" s="557">
        <f>Inputs!AG161</f>
        <v>0.001256075</v>
      </c>
      <c r="AH104" s="557">
        <f>Inputs!AH161</f>
        <v>0.000900864</v>
      </c>
      <c r="AI104" s="557">
        <f>Inputs!AI161</f>
        <v>0.000997862</v>
      </c>
      <c r="AJ104" s="557">
        <f>Inputs!AJ161</f>
        <v>0.000690807</v>
      </c>
      <c r="AK104" s="557">
        <f>Inputs!AK161</f>
        <v>0.001291432</v>
      </c>
      <c r="AL104" s="557">
        <f>Inputs!AL161</f>
        <v>0.001618747</v>
      </c>
      <c r="AM104" s="557">
        <f>Inputs!AM161</f>
        <v>0.001618747</v>
      </c>
      <c r="AN104" s="557">
        <f>Inputs!AN161</f>
        <v>0.001618747</v>
      </c>
      <c r="AO104" s="557">
        <f>Inputs!AO161</f>
        <v>0.001119381</v>
      </c>
      <c r="AP104" s="557">
        <f>Inputs!AP161</f>
        <v>0.000915458</v>
      </c>
      <c r="AQ104" s="557">
        <f>Inputs!AQ161</f>
        <v>0.000610898</v>
      </c>
      <c r="AR104" s="557">
        <f>Inputs!AR161</f>
        <v>0.000776371</v>
      </c>
      <c r="AS104" s="557">
        <f>Inputs!AS161</f>
        <v>0.001314524</v>
      </c>
      <c r="AT104" s="557">
        <f>Inputs!AT161</f>
        <v>0.000877491</v>
      </c>
      <c r="AU104" s="557">
        <f>Inputs!AU161</f>
        <v>0.001651731</v>
      </c>
      <c r="AV104" s="557">
        <f>Inputs!AV161</f>
        <v>0.001933221</v>
      </c>
      <c r="AW104" s="558"/>
    </row>
    <row r="105">
      <c r="A105" s="122"/>
      <c r="B105" s="123"/>
      <c r="C105" s="538"/>
      <c r="D105" s="538"/>
      <c r="E105" s="272" t="s">
        <v>613</v>
      </c>
      <c r="F105" s="559" t="s">
        <v>72</v>
      </c>
      <c r="G105" s="560" t="s">
        <v>165</v>
      </c>
      <c r="H105" s="561" t="str">
        <f>Inputs!H162</f>
        <v>-</v>
      </c>
      <c r="I105" s="562">
        <f>Inputs!I162</f>
        <v>0.004939422</v>
      </c>
      <c r="J105" s="562">
        <f>Inputs!J162</f>
        <v>0.00469284</v>
      </c>
      <c r="K105" s="562">
        <f>Inputs!K162</f>
        <v>0.005174821</v>
      </c>
      <c r="L105" s="562">
        <f>Inputs!L162</f>
        <v>0.003177413</v>
      </c>
      <c r="M105" s="562">
        <f>Inputs!M162</f>
        <v>0.003663199</v>
      </c>
      <c r="N105" s="562">
        <f>Inputs!N162</f>
        <v>0.004443934</v>
      </c>
      <c r="O105" s="562">
        <f>Inputs!O162</f>
        <v>0.005659515</v>
      </c>
      <c r="P105" s="562">
        <f>Inputs!P162</f>
        <v>0.005851887</v>
      </c>
      <c r="Q105" s="562">
        <f>Inputs!Q162</f>
        <v>0.006685653</v>
      </c>
      <c r="R105" s="562">
        <f>Inputs!R162</f>
        <v>0.002308496</v>
      </c>
      <c r="S105" s="562">
        <f>Inputs!S162</f>
        <v>0.00386879</v>
      </c>
      <c r="T105" s="562">
        <f>Inputs!T162</f>
        <v>0.002610774</v>
      </c>
      <c r="U105" s="562">
        <f>Inputs!U162</f>
        <v>0.002211325</v>
      </c>
      <c r="V105" s="562">
        <f>Inputs!V162</f>
        <v>0.003107491</v>
      </c>
      <c r="W105" s="562">
        <f>Inputs!W162</f>
        <v>0.003376875</v>
      </c>
      <c r="X105" s="562">
        <f>Inputs!X162</f>
        <v>0.003468907</v>
      </c>
      <c r="Y105" s="562">
        <f>Inputs!Y162</f>
        <v>0.002667023</v>
      </c>
      <c r="Z105" s="562">
        <f>Inputs!Z162</f>
        <v>0.002366756</v>
      </c>
      <c r="AA105" s="562">
        <f>Inputs!AA162</f>
        <v>0.002996523</v>
      </c>
      <c r="AB105" s="562">
        <f>Inputs!AB162</f>
        <v>0.002092001</v>
      </c>
      <c r="AC105" s="562">
        <f>Inputs!AC162</f>
        <v>0.002224215</v>
      </c>
      <c r="AD105" s="562">
        <f>Inputs!AD162</f>
        <v>0.002484024</v>
      </c>
      <c r="AE105" s="562">
        <f>Inputs!AE162</f>
        <v>0.00176615</v>
      </c>
      <c r="AF105" s="562">
        <f>Inputs!AF162</f>
        <v>0.002058023</v>
      </c>
      <c r="AG105" s="562">
        <f>Inputs!AG162</f>
        <v>0.003177413</v>
      </c>
      <c r="AH105" s="562">
        <f>Inputs!AH162</f>
        <v>0.002707385</v>
      </c>
      <c r="AI105" s="562">
        <f>Inputs!AI162</f>
        <v>0.00262762</v>
      </c>
      <c r="AJ105" s="562">
        <f>Inputs!AJ162</f>
        <v>0.001698962</v>
      </c>
      <c r="AK105" s="562">
        <f>Inputs!AK162</f>
        <v>0.002590713</v>
      </c>
      <c r="AL105" s="562">
        <f>Inputs!AL162</f>
        <v>0.003865714</v>
      </c>
      <c r="AM105" s="562">
        <f>Inputs!AM162</f>
        <v>0.003865714</v>
      </c>
      <c r="AN105" s="562">
        <f>Inputs!AN162</f>
        <v>0.003865714</v>
      </c>
      <c r="AO105" s="562">
        <f>Inputs!AO162</f>
        <v>0.002996476</v>
      </c>
      <c r="AP105" s="562">
        <f>Inputs!AP162</f>
        <v>0.00260227</v>
      </c>
      <c r="AQ105" s="562">
        <f>Inputs!AQ162</f>
        <v>0.002077918</v>
      </c>
      <c r="AR105" s="562">
        <f>Inputs!AR162</f>
        <v>0.002241338</v>
      </c>
      <c r="AS105" s="562">
        <f>Inputs!AS162</f>
        <v>0.002582749</v>
      </c>
      <c r="AT105" s="562">
        <f>Inputs!AT162</f>
        <v>0.002348981</v>
      </c>
      <c r="AU105" s="562">
        <f>Inputs!AU162</f>
        <v>0.003337364</v>
      </c>
      <c r="AV105" s="562">
        <f>Inputs!AV162</f>
        <v>0.004682851</v>
      </c>
      <c r="AW105" s="563"/>
    </row>
    <row r="106">
      <c r="A106" s="122"/>
      <c r="B106" s="123"/>
      <c r="C106" s="143"/>
      <c r="D106" s="143"/>
      <c r="E106" s="269"/>
      <c r="F106" s="533"/>
      <c r="G106" s="534"/>
      <c r="H106" s="127"/>
      <c r="I106" s="482"/>
      <c r="J106" s="482"/>
      <c r="K106" s="482"/>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132"/>
    </row>
    <row r="107">
      <c r="A107" s="122"/>
      <c r="B107" s="123"/>
      <c r="C107" s="143" t="s">
        <v>614</v>
      </c>
      <c r="F107" s="533"/>
      <c r="G107" s="534"/>
      <c r="H107" s="127"/>
      <c r="I107" s="482"/>
      <c r="J107" s="482"/>
      <c r="K107" s="482"/>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132"/>
    </row>
    <row r="108">
      <c r="A108" s="122"/>
      <c r="B108" s="123"/>
      <c r="C108" s="538"/>
      <c r="D108" s="538"/>
      <c r="E108" s="254" t="s">
        <v>615</v>
      </c>
      <c r="F108" s="539" t="s">
        <v>62</v>
      </c>
      <c r="G108" s="540" t="s">
        <v>165</v>
      </c>
      <c r="H108" s="541" t="str">
        <f>Inputs!H163</f>
        <v>-</v>
      </c>
      <c r="I108" s="564">
        <f>Inputs!I163</f>
        <v>1739.194164</v>
      </c>
      <c r="J108" s="564">
        <f>Inputs!J163</f>
        <v>683.0972966</v>
      </c>
      <c r="K108" s="564">
        <f>Inputs!K163</f>
        <v>1495.031252</v>
      </c>
      <c r="L108" s="564">
        <f>Inputs!L163</f>
        <v>1386.180635</v>
      </c>
      <c r="M108" s="564">
        <f>Inputs!M163</f>
        <v>3707.038833</v>
      </c>
      <c r="N108" s="564">
        <f>Inputs!N163</f>
        <v>2043.485593</v>
      </c>
      <c r="O108" s="564">
        <f>Inputs!O163</f>
        <v>1061.10668</v>
      </c>
      <c r="P108" s="564">
        <f>Inputs!P163</f>
        <v>2395.314093</v>
      </c>
      <c r="Q108" s="564">
        <f>Inputs!Q163</f>
        <v>1492.521201</v>
      </c>
      <c r="R108" s="564">
        <f>Inputs!R163</f>
        <v>224.3632432</v>
      </c>
      <c r="S108" s="564">
        <f>Inputs!S163</f>
        <v>472.3934152</v>
      </c>
      <c r="T108" s="564">
        <f>Inputs!T163</f>
        <v>72.72755246</v>
      </c>
      <c r="U108" s="564">
        <f>Inputs!U163</f>
        <v>203.0302095</v>
      </c>
      <c r="V108" s="564">
        <f>Inputs!V163</f>
        <v>35.07375564</v>
      </c>
      <c r="W108" s="564">
        <f>Inputs!W163</f>
        <v>628.8831324</v>
      </c>
      <c r="X108" s="564">
        <f>Inputs!X163</f>
        <v>277.464135</v>
      </c>
      <c r="Y108" s="564">
        <f>Inputs!Y163</f>
        <v>78.8276494</v>
      </c>
      <c r="Z108" s="564">
        <f>Inputs!Z163</f>
        <v>198.8477264</v>
      </c>
      <c r="AA108" s="564">
        <f>Inputs!AA163</f>
        <v>209.588632</v>
      </c>
      <c r="AB108" s="564">
        <f>Inputs!AB163</f>
        <v>161.5680607</v>
      </c>
      <c r="AC108" s="564">
        <f>Inputs!AC163</f>
        <v>57.04577686</v>
      </c>
      <c r="AD108" s="564">
        <f>Inputs!AD163</f>
        <v>107.9134404</v>
      </c>
      <c r="AE108" s="564">
        <f>Inputs!AE163</f>
        <v>288.455805</v>
      </c>
      <c r="AF108" s="564">
        <f>Inputs!AF163</f>
        <v>290.3267632</v>
      </c>
      <c r="AG108" s="564">
        <f>Inputs!AG163</f>
        <v>1386.180635</v>
      </c>
      <c r="AH108" s="564">
        <f>Inputs!AH163</f>
        <v>99.72279218</v>
      </c>
      <c r="AI108" s="564">
        <f>Inputs!AI163</f>
        <v>87.79916158</v>
      </c>
      <c r="AJ108" s="564">
        <f>Inputs!AJ163</f>
        <v>109.5447213</v>
      </c>
      <c r="AK108" s="564">
        <f>Inputs!AK163</f>
        <v>413.0022819</v>
      </c>
      <c r="AL108" s="564">
        <f>Inputs!AL163</f>
        <v>1284.887491</v>
      </c>
      <c r="AM108" s="564">
        <f>Inputs!AM163</f>
        <v>1284.887491</v>
      </c>
      <c r="AN108" s="564">
        <f>Inputs!AN163</f>
        <v>1284.887491</v>
      </c>
      <c r="AO108" s="564">
        <f>Inputs!AO163</f>
        <v>470.4288251</v>
      </c>
      <c r="AP108" s="564">
        <f>Inputs!AP163</f>
        <v>131.3038019</v>
      </c>
      <c r="AQ108" s="564">
        <f>Inputs!AQ163</f>
        <v>76.7641569</v>
      </c>
      <c r="AR108" s="564">
        <f>Inputs!AR163</f>
        <v>140.3916862</v>
      </c>
      <c r="AS108" s="564">
        <f>Inputs!AS163</f>
        <v>611.2231841</v>
      </c>
      <c r="AT108" s="564">
        <f>Inputs!AT163</f>
        <v>149.8260721</v>
      </c>
      <c r="AU108" s="564">
        <f>Inputs!AU163</f>
        <v>1337.418391</v>
      </c>
      <c r="AV108" s="564">
        <f>Inputs!AV163</f>
        <v>578.3361405</v>
      </c>
      <c r="AW108" s="565"/>
    </row>
    <row r="109">
      <c r="A109" s="122"/>
      <c r="B109" s="123"/>
      <c r="C109" s="538"/>
      <c r="D109" s="538"/>
      <c r="E109" s="257" t="s">
        <v>616</v>
      </c>
      <c r="F109" s="554" t="s">
        <v>62</v>
      </c>
      <c r="G109" s="555" t="s">
        <v>165</v>
      </c>
      <c r="H109" s="556" t="str">
        <f>Inputs!H164</f>
        <v>-</v>
      </c>
      <c r="I109" s="310">
        <f>Inputs!I164</f>
        <v>106.4141194</v>
      </c>
      <c r="J109" s="310">
        <f>Inputs!J164</f>
        <v>39.26907751</v>
      </c>
      <c r="K109" s="310">
        <f>Inputs!K164</f>
        <v>72.15888587</v>
      </c>
      <c r="L109" s="310">
        <f>Inputs!L164</f>
        <v>94.85391153</v>
      </c>
      <c r="M109" s="310">
        <f>Inputs!M164</f>
        <v>232.5389148</v>
      </c>
      <c r="N109" s="310">
        <f>Inputs!N164</f>
        <v>108.2306589</v>
      </c>
      <c r="O109" s="310">
        <f>Inputs!O164</f>
        <v>74.78046252</v>
      </c>
      <c r="P109" s="310">
        <f>Inputs!P164</f>
        <v>112.9247982</v>
      </c>
      <c r="Q109" s="310">
        <f>Inputs!Q164</f>
        <v>52.77654376</v>
      </c>
      <c r="R109" s="310">
        <f>Inputs!R164</f>
        <v>20.82072545</v>
      </c>
      <c r="S109" s="310">
        <f>Inputs!S164</f>
        <v>28.76934075</v>
      </c>
      <c r="T109" s="310">
        <f>Inputs!T164</f>
        <v>8.364610002</v>
      </c>
      <c r="U109" s="310">
        <f>Inputs!U164</f>
        <v>22.41188221</v>
      </c>
      <c r="V109" s="310">
        <f>Inputs!V164</f>
        <v>2.930334988</v>
      </c>
      <c r="W109" s="310">
        <f>Inputs!W164</f>
        <v>68.72042112</v>
      </c>
      <c r="X109" s="310">
        <f>Inputs!X164</f>
        <v>29.149782</v>
      </c>
      <c r="Y109" s="310">
        <f>Inputs!Y164</f>
        <v>7.597028806</v>
      </c>
      <c r="Z109" s="310">
        <f>Inputs!Z164</f>
        <v>22.0691039</v>
      </c>
      <c r="AA109" s="310">
        <f>Inputs!AA164</f>
        <v>26.03058789</v>
      </c>
      <c r="AB109" s="310">
        <f>Inputs!AB164</f>
        <v>15.21239842</v>
      </c>
      <c r="AC109" s="310">
        <f>Inputs!AC164</f>
        <v>8.398213867</v>
      </c>
      <c r="AD109" s="310">
        <f>Inputs!AD164</f>
        <v>12.76307736</v>
      </c>
      <c r="AE109" s="310">
        <f>Inputs!AE164</f>
        <v>36.68629771</v>
      </c>
      <c r="AF109" s="310">
        <f>Inputs!AF164</f>
        <v>43.57592011</v>
      </c>
      <c r="AG109" s="310">
        <f>Inputs!AG164</f>
        <v>94.85391153</v>
      </c>
      <c r="AH109" s="310">
        <f>Inputs!AH164</f>
        <v>11.45004907</v>
      </c>
      <c r="AI109" s="310">
        <f>Inputs!AI164</f>
        <v>11.61158209</v>
      </c>
      <c r="AJ109" s="310">
        <f>Inputs!AJ164</f>
        <v>21.65063764</v>
      </c>
      <c r="AK109" s="310">
        <f>Inputs!AK164</f>
        <v>43.50322354</v>
      </c>
      <c r="AL109" s="310">
        <f>Inputs!AL164</f>
        <v>92.28288516</v>
      </c>
      <c r="AM109" s="310">
        <f>Inputs!AM164</f>
        <v>92.28288516</v>
      </c>
      <c r="AN109" s="310">
        <f>Inputs!AN164</f>
        <v>92.28288516</v>
      </c>
      <c r="AO109" s="310">
        <f>Inputs!AO164</f>
        <v>61.83767961</v>
      </c>
      <c r="AP109" s="310">
        <f>Inputs!AP164</f>
        <v>16.32538475</v>
      </c>
      <c r="AQ109" s="310">
        <f>Inputs!AQ164</f>
        <v>13.57805059</v>
      </c>
      <c r="AR109" s="310">
        <f>Inputs!AR164</f>
        <v>20.95907005</v>
      </c>
      <c r="AS109" s="310">
        <f>Inputs!AS164</f>
        <v>66.10390092</v>
      </c>
      <c r="AT109" s="310">
        <f>Inputs!AT164</f>
        <v>17.25377488</v>
      </c>
      <c r="AU109" s="310">
        <f>Inputs!AU164</f>
        <v>79.06687657</v>
      </c>
      <c r="AV109" s="310">
        <f>Inputs!AV164</f>
        <v>53.62660007</v>
      </c>
      <c r="AW109" s="251"/>
    </row>
    <row r="110">
      <c r="A110" s="122"/>
      <c r="B110" s="123"/>
      <c r="C110" s="538"/>
      <c r="D110" s="538"/>
      <c r="E110" s="257" t="s">
        <v>617</v>
      </c>
      <c r="F110" s="554" t="s">
        <v>62</v>
      </c>
      <c r="G110" s="555" t="s">
        <v>165</v>
      </c>
      <c r="H110" s="556" t="str">
        <f>Inputs!H165</f>
        <v>-</v>
      </c>
      <c r="I110" s="310">
        <f>Inputs!I165</f>
        <v>52.03234816</v>
      </c>
      <c r="J110" s="310">
        <f>Inputs!J165</f>
        <v>22.47834852</v>
      </c>
      <c r="K110" s="310">
        <f>Inputs!K165</f>
        <v>40.57253079</v>
      </c>
      <c r="L110" s="310">
        <f>Inputs!L165</f>
        <v>68.29007617</v>
      </c>
      <c r="M110" s="310">
        <f>Inputs!M165</f>
        <v>157.4103247</v>
      </c>
      <c r="N110" s="310">
        <f>Inputs!N165</f>
        <v>105.1597916</v>
      </c>
      <c r="O110" s="310">
        <f>Inputs!O165</f>
        <v>44.52235959</v>
      </c>
      <c r="P110" s="310">
        <f>Inputs!P165</f>
        <v>105.0810759</v>
      </c>
      <c r="Q110" s="310">
        <f>Inputs!Q165</f>
        <v>58.31154912</v>
      </c>
      <c r="R110" s="310">
        <f>Inputs!R165</f>
        <v>9.239309279</v>
      </c>
      <c r="S110" s="310">
        <f>Inputs!S165</f>
        <v>17.47134003</v>
      </c>
      <c r="T110" s="310">
        <f>Inputs!T165</f>
        <v>4.712088948</v>
      </c>
      <c r="U110" s="310">
        <f>Inputs!U165</f>
        <v>11.73715441</v>
      </c>
      <c r="V110" s="310">
        <f>Inputs!V165</f>
        <v>1.616658064</v>
      </c>
      <c r="W110" s="310">
        <f>Inputs!W165</f>
        <v>37.0440206</v>
      </c>
      <c r="X110" s="310">
        <f>Inputs!X165</f>
        <v>17.84102987</v>
      </c>
      <c r="Y110" s="310">
        <f>Inputs!Y165</f>
        <v>4.592414057</v>
      </c>
      <c r="Z110" s="310">
        <f>Inputs!Z165</f>
        <v>14.38200631</v>
      </c>
      <c r="AA110" s="310">
        <f>Inputs!AA165</f>
        <v>13.62012144</v>
      </c>
      <c r="AB110" s="310">
        <f>Inputs!AB165</f>
        <v>8.540034917</v>
      </c>
      <c r="AC110" s="310">
        <f>Inputs!AC165</f>
        <v>3.405789601</v>
      </c>
      <c r="AD110" s="310">
        <f>Inputs!AD165</f>
        <v>10.89327711</v>
      </c>
      <c r="AE110" s="310">
        <f>Inputs!AE165</f>
        <v>16.43220052</v>
      </c>
      <c r="AF110" s="310">
        <f>Inputs!AF165</f>
        <v>13.26588654</v>
      </c>
      <c r="AG110" s="310">
        <f>Inputs!AG165</f>
        <v>68.29007617</v>
      </c>
      <c r="AH110" s="310">
        <f>Inputs!AH165</f>
        <v>6.007446286</v>
      </c>
      <c r="AI110" s="310">
        <f>Inputs!AI165</f>
        <v>8.6705455</v>
      </c>
      <c r="AJ110" s="310">
        <f>Inputs!AJ165</f>
        <v>10.25538763</v>
      </c>
      <c r="AK110" s="310">
        <f>Inputs!AK165</f>
        <v>27.30440462</v>
      </c>
      <c r="AL110" s="310">
        <f>Inputs!AL165</f>
        <v>84.11014099</v>
      </c>
      <c r="AM110" s="310">
        <f>Inputs!AM165</f>
        <v>84.11014099</v>
      </c>
      <c r="AN110" s="310">
        <f>Inputs!AN165</f>
        <v>84.11014099</v>
      </c>
      <c r="AO110" s="310">
        <f>Inputs!AO165</f>
        <v>47.05543466</v>
      </c>
      <c r="AP110" s="310">
        <f>Inputs!AP165</f>
        <v>8.11726436</v>
      </c>
      <c r="AQ110" s="310">
        <f>Inputs!AQ165</f>
        <v>9.057157988</v>
      </c>
      <c r="AR110" s="310">
        <f>Inputs!AR165</f>
        <v>3.908863392</v>
      </c>
      <c r="AS110" s="310">
        <f>Inputs!AS165</f>
        <v>47.21916433</v>
      </c>
      <c r="AT110" s="310">
        <f>Inputs!AT165</f>
        <v>7.757917506</v>
      </c>
      <c r="AU110" s="310">
        <f>Inputs!AU165</f>
        <v>44.60534573</v>
      </c>
      <c r="AV110" s="310">
        <f>Inputs!AV165</f>
        <v>24.43461597</v>
      </c>
      <c r="AW110" s="251"/>
    </row>
    <row r="111">
      <c r="A111" s="122"/>
      <c r="B111" s="123"/>
      <c r="C111" s="538"/>
      <c r="D111" s="538"/>
      <c r="E111" s="257" t="s">
        <v>618</v>
      </c>
      <c r="F111" s="554" t="s">
        <v>72</v>
      </c>
      <c r="G111" s="555" t="s">
        <v>161</v>
      </c>
      <c r="H111" s="566" t="s">
        <v>162</v>
      </c>
      <c r="I111" s="567">
        <f t="shared" ref="I111:AV111" si="23">SUM(I109:I110)/I108</f>
        <v>0.09110338043</v>
      </c>
      <c r="J111" s="567">
        <f t="shared" si="23"/>
        <v>0.0903933105</v>
      </c>
      <c r="K111" s="567">
        <f t="shared" si="23"/>
        <v>0.0754040536</v>
      </c>
      <c r="L111" s="567">
        <f t="shared" si="23"/>
        <v>0.1176931661</v>
      </c>
      <c r="M111" s="567">
        <f t="shared" si="23"/>
        <v>0.1051915712</v>
      </c>
      <c r="N111" s="567">
        <f t="shared" si="23"/>
        <v>0.1044247394</v>
      </c>
      <c r="O111" s="567">
        <f t="shared" si="23"/>
        <v>0.1124324485</v>
      </c>
      <c r="P111" s="567">
        <f t="shared" si="23"/>
        <v>0.09101348117</v>
      </c>
      <c r="Q111" s="567">
        <f t="shared" si="23"/>
        <v>0.07442982572</v>
      </c>
      <c r="R111" s="567">
        <f t="shared" si="23"/>
        <v>0.1339793199</v>
      </c>
      <c r="S111" s="567">
        <f t="shared" si="23"/>
        <v>0.09788595542</v>
      </c>
      <c r="T111" s="567">
        <f t="shared" si="23"/>
        <v>0.179803919</v>
      </c>
      <c r="U111" s="567">
        <f t="shared" si="23"/>
        <v>0.168196825</v>
      </c>
      <c r="V111" s="567">
        <f t="shared" si="23"/>
        <v>0.1296408944</v>
      </c>
      <c r="W111" s="567">
        <f t="shared" si="23"/>
        <v>0.1681782135</v>
      </c>
      <c r="X111" s="567">
        <f t="shared" si="23"/>
        <v>0.1693581474</v>
      </c>
      <c r="Y111" s="567">
        <f t="shared" si="23"/>
        <v>0.1546341031</v>
      </c>
      <c r="Z111" s="567">
        <f t="shared" si="23"/>
        <v>0.1833116771</v>
      </c>
      <c r="AA111" s="567">
        <f t="shared" si="23"/>
        <v>0.1891834922</v>
      </c>
      <c r="AB111" s="567">
        <f t="shared" si="23"/>
        <v>0.1470119356</v>
      </c>
      <c r="AC111" s="567">
        <f t="shared" si="23"/>
        <v>0.2069216008</v>
      </c>
      <c r="AD111" s="567">
        <f t="shared" si="23"/>
        <v>0.2192160159</v>
      </c>
      <c r="AE111" s="567">
        <f t="shared" si="23"/>
        <v>0.1841477873</v>
      </c>
      <c r="AF111" s="567">
        <f t="shared" si="23"/>
        <v>0.1957856245</v>
      </c>
      <c r="AG111" s="567">
        <f t="shared" si="23"/>
        <v>0.1176931661</v>
      </c>
      <c r="AH111" s="567">
        <f t="shared" si="23"/>
        <v>0.1750602342</v>
      </c>
      <c r="AI111" s="567">
        <f t="shared" si="23"/>
        <v>0.231005937</v>
      </c>
      <c r="AJ111" s="567">
        <f t="shared" si="23"/>
        <v>0.2912602715</v>
      </c>
      <c r="AK111" s="567">
        <f t="shared" si="23"/>
        <v>0.1714460943</v>
      </c>
      <c r="AL111" s="567">
        <f t="shared" si="23"/>
        <v>0.1372828574</v>
      </c>
      <c r="AM111" s="567">
        <f t="shared" si="23"/>
        <v>0.1372828574</v>
      </c>
      <c r="AN111" s="567">
        <f t="shared" si="23"/>
        <v>0.1372828574</v>
      </c>
      <c r="AO111" s="567">
        <f t="shared" si="23"/>
        <v>0.2314762796</v>
      </c>
      <c r="AP111" s="567">
        <f t="shared" si="23"/>
        <v>0.1861533996</v>
      </c>
      <c r="AQ111" s="567">
        <f t="shared" si="23"/>
        <v>0.2948668948</v>
      </c>
      <c r="AR111" s="567">
        <f t="shared" si="23"/>
        <v>0.177132522</v>
      </c>
      <c r="AS111" s="567">
        <f t="shared" si="23"/>
        <v>0.1854037415</v>
      </c>
      <c r="AT111" s="567">
        <f t="shared" si="23"/>
        <v>0.166938184</v>
      </c>
      <c r="AU111" s="567">
        <f t="shared" si="23"/>
        <v>0.09247085514</v>
      </c>
      <c r="AV111" s="567">
        <f t="shared" si="23"/>
        <v>0.1349755109</v>
      </c>
      <c r="AW111" s="251"/>
    </row>
    <row r="112">
      <c r="A112" s="122"/>
      <c r="B112" s="123"/>
      <c r="C112" s="538"/>
      <c r="D112" s="538"/>
      <c r="E112" s="257" t="s">
        <v>619</v>
      </c>
      <c r="F112" s="554" t="s">
        <v>72</v>
      </c>
      <c r="G112" s="555" t="s">
        <v>165</v>
      </c>
      <c r="H112" s="568">
        <f>Inputs!H166</f>
        <v>0.1</v>
      </c>
      <c r="I112" s="310" t="str">
        <f>Inputs!I166</f>
        <v>-</v>
      </c>
      <c r="J112" s="310" t="str">
        <f>Inputs!J166</f>
        <v>-</v>
      </c>
      <c r="K112" s="310" t="str">
        <f>Inputs!K166</f>
        <v>-</v>
      </c>
      <c r="L112" s="310" t="str">
        <f>Inputs!L166</f>
        <v>-</v>
      </c>
      <c r="M112" s="310" t="str">
        <f>Inputs!M166</f>
        <v>-</v>
      </c>
      <c r="N112" s="310" t="str">
        <f>Inputs!N166</f>
        <v>-</v>
      </c>
      <c r="O112" s="310" t="str">
        <f>Inputs!O166</f>
        <v>-</v>
      </c>
      <c r="P112" s="310" t="str">
        <f>Inputs!P166</f>
        <v>-</v>
      </c>
      <c r="Q112" s="310" t="str">
        <f>Inputs!Q166</f>
        <v>-</v>
      </c>
      <c r="R112" s="310" t="str">
        <f>Inputs!R166</f>
        <v>-</v>
      </c>
      <c r="S112" s="310" t="str">
        <f>Inputs!S166</f>
        <v>-</v>
      </c>
      <c r="T112" s="310" t="str">
        <f>Inputs!T166</f>
        <v>-</v>
      </c>
      <c r="U112" s="310" t="str">
        <f>Inputs!U166</f>
        <v>-</v>
      </c>
      <c r="V112" s="310" t="str">
        <f>Inputs!V166</f>
        <v>-</v>
      </c>
      <c r="W112" s="310" t="str">
        <f>Inputs!W166</f>
        <v>-</v>
      </c>
      <c r="X112" s="310" t="str">
        <f>Inputs!X166</f>
        <v>-</v>
      </c>
      <c r="Y112" s="310" t="str">
        <f>Inputs!Y166</f>
        <v>-</v>
      </c>
      <c r="Z112" s="310" t="str">
        <f>Inputs!Z166</f>
        <v>-</v>
      </c>
      <c r="AA112" s="310" t="str">
        <f>Inputs!AA166</f>
        <v>-</v>
      </c>
      <c r="AB112" s="310" t="str">
        <f>Inputs!AB166</f>
        <v>-</v>
      </c>
      <c r="AC112" s="310" t="str">
        <f>Inputs!AC166</f>
        <v>-</v>
      </c>
      <c r="AD112" s="310" t="str">
        <f>Inputs!AD166</f>
        <v>-</v>
      </c>
      <c r="AE112" s="310" t="str">
        <f>Inputs!AE166</f>
        <v>-</v>
      </c>
      <c r="AF112" s="310" t="str">
        <f>Inputs!AF166</f>
        <v>-</v>
      </c>
      <c r="AG112" s="310" t="str">
        <f>Inputs!AG166</f>
        <v>-</v>
      </c>
      <c r="AH112" s="310" t="str">
        <f>Inputs!AH166</f>
        <v>-</v>
      </c>
      <c r="AI112" s="310" t="str">
        <f>Inputs!AI166</f>
        <v>-</v>
      </c>
      <c r="AJ112" s="310" t="str">
        <f>Inputs!AJ166</f>
        <v>-</v>
      </c>
      <c r="AK112" s="310" t="str">
        <f>Inputs!AK166</f>
        <v>-</v>
      </c>
      <c r="AL112" s="310" t="str">
        <f>Inputs!AL166</f>
        <v>-</v>
      </c>
      <c r="AM112" s="310" t="str">
        <f>Inputs!AM166</f>
        <v>-</v>
      </c>
      <c r="AN112" s="310" t="str">
        <f>Inputs!AN166</f>
        <v>-</v>
      </c>
      <c r="AO112" s="310" t="str">
        <f>Inputs!AO166</f>
        <v>-</v>
      </c>
      <c r="AP112" s="310" t="str">
        <f>Inputs!AP166</f>
        <v>-</v>
      </c>
      <c r="AQ112" s="310" t="str">
        <f>Inputs!AQ166</f>
        <v>-</v>
      </c>
      <c r="AR112" s="310" t="str">
        <f>Inputs!AR166</f>
        <v>-</v>
      </c>
      <c r="AS112" s="310" t="str">
        <f>Inputs!AS166</f>
        <v>-</v>
      </c>
      <c r="AT112" s="310" t="str">
        <f>Inputs!AT166</f>
        <v>-</v>
      </c>
      <c r="AU112" s="310" t="str">
        <f>Inputs!AU166</f>
        <v>-</v>
      </c>
      <c r="AV112" s="310" t="str">
        <f>Inputs!AV166</f>
        <v>-</v>
      </c>
      <c r="AW112" s="251"/>
    </row>
    <row r="113">
      <c r="A113" s="122"/>
      <c r="B113" s="123"/>
      <c r="C113" s="538"/>
      <c r="D113" s="538"/>
      <c r="E113" s="257" t="s">
        <v>620</v>
      </c>
      <c r="F113" s="554" t="s">
        <v>72</v>
      </c>
      <c r="G113" s="555" t="s">
        <v>161</v>
      </c>
      <c r="H113" s="566" t="s">
        <v>162</v>
      </c>
      <c r="I113" s="567">
        <f t="shared" ref="I113:AV113" si="24">I111*(1+$H112)</f>
        <v>0.1002137185</v>
      </c>
      <c r="J113" s="567">
        <f t="shared" si="24"/>
        <v>0.09943264154</v>
      </c>
      <c r="K113" s="567">
        <f t="shared" si="24"/>
        <v>0.08294445896</v>
      </c>
      <c r="L113" s="567">
        <f t="shared" si="24"/>
        <v>0.1294624827</v>
      </c>
      <c r="M113" s="567">
        <f t="shared" si="24"/>
        <v>0.1157107284</v>
      </c>
      <c r="N113" s="567">
        <f t="shared" si="24"/>
        <v>0.1148672133</v>
      </c>
      <c r="O113" s="567">
        <f t="shared" si="24"/>
        <v>0.1236756933</v>
      </c>
      <c r="P113" s="567">
        <f t="shared" si="24"/>
        <v>0.1001148293</v>
      </c>
      <c r="Q113" s="567">
        <f t="shared" si="24"/>
        <v>0.0818728083</v>
      </c>
      <c r="R113" s="567">
        <f t="shared" si="24"/>
        <v>0.1473772519</v>
      </c>
      <c r="S113" s="567">
        <f t="shared" si="24"/>
        <v>0.107674551</v>
      </c>
      <c r="T113" s="567">
        <f t="shared" si="24"/>
        <v>0.1977843109</v>
      </c>
      <c r="U113" s="567">
        <f t="shared" si="24"/>
        <v>0.1850165075</v>
      </c>
      <c r="V113" s="567">
        <f t="shared" si="24"/>
        <v>0.1426049839</v>
      </c>
      <c r="W113" s="567">
        <f t="shared" si="24"/>
        <v>0.1849960349</v>
      </c>
      <c r="X113" s="567">
        <f t="shared" si="24"/>
        <v>0.1862939621</v>
      </c>
      <c r="Y113" s="567">
        <f t="shared" si="24"/>
        <v>0.1700975134</v>
      </c>
      <c r="Z113" s="567">
        <f t="shared" si="24"/>
        <v>0.2016428448</v>
      </c>
      <c r="AA113" s="567">
        <f t="shared" si="24"/>
        <v>0.2081018414</v>
      </c>
      <c r="AB113" s="567">
        <f t="shared" si="24"/>
        <v>0.1617131292</v>
      </c>
      <c r="AC113" s="567">
        <f t="shared" si="24"/>
        <v>0.2276137609</v>
      </c>
      <c r="AD113" s="567">
        <f t="shared" si="24"/>
        <v>0.2411376175</v>
      </c>
      <c r="AE113" s="567">
        <f t="shared" si="24"/>
        <v>0.2025625661</v>
      </c>
      <c r="AF113" s="567">
        <f t="shared" si="24"/>
        <v>0.215364187</v>
      </c>
      <c r="AG113" s="567">
        <f t="shared" si="24"/>
        <v>0.1294624827</v>
      </c>
      <c r="AH113" s="567">
        <f t="shared" si="24"/>
        <v>0.1925662576</v>
      </c>
      <c r="AI113" s="567">
        <f t="shared" si="24"/>
        <v>0.2541065307</v>
      </c>
      <c r="AJ113" s="567">
        <f t="shared" si="24"/>
        <v>0.3203862987</v>
      </c>
      <c r="AK113" s="567">
        <f t="shared" si="24"/>
        <v>0.1885907037</v>
      </c>
      <c r="AL113" s="567">
        <f t="shared" si="24"/>
        <v>0.1510111431</v>
      </c>
      <c r="AM113" s="567">
        <f t="shared" si="24"/>
        <v>0.1510111431</v>
      </c>
      <c r="AN113" s="567">
        <f t="shared" si="24"/>
        <v>0.1510111431</v>
      </c>
      <c r="AO113" s="567">
        <f t="shared" si="24"/>
        <v>0.2546239076</v>
      </c>
      <c r="AP113" s="567">
        <f t="shared" si="24"/>
        <v>0.2047687396</v>
      </c>
      <c r="AQ113" s="567">
        <f t="shared" si="24"/>
        <v>0.3243535843</v>
      </c>
      <c r="AR113" s="567">
        <f t="shared" si="24"/>
        <v>0.1948457742</v>
      </c>
      <c r="AS113" s="567">
        <f t="shared" si="24"/>
        <v>0.2039441157</v>
      </c>
      <c r="AT113" s="567">
        <f t="shared" si="24"/>
        <v>0.1836320024</v>
      </c>
      <c r="AU113" s="567">
        <f t="shared" si="24"/>
        <v>0.1017179407</v>
      </c>
      <c r="AV113" s="567">
        <f t="shared" si="24"/>
        <v>0.148473062</v>
      </c>
      <c r="AW113" s="251"/>
    </row>
    <row r="114">
      <c r="A114" s="122"/>
      <c r="B114" s="123"/>
      <c r="C114" s="538"/>
      <c r="D114" s="538"/>
      <c r="E114" s="490" t="s">
        <v>621</v>
      </c>
      <c r="F114" s="544" t="s">
        <v>72</v>
      </c>
      <c r="G114" s="545" t="s">
        <v>161</v>
      </c>
      <c r="H114" s="551" t="s">
        <v>162</v>
      </c>
      <c r="I114" s="547">
        <f t="shared" ref="I114:AV114" si="25">I102*(1-I113)</f>
        <v>0.005558304684</v>
      </c>
      <c r="J114" s="547">
        <f t="shared" si="25"/>
        <v>0.004693232942</v>
      </c>
      <c r="K114" s="547">
        <f t="shared" si="25"/>
        <v>0.005935542947</v>
      </c>
      <c r="L114" s="547">
        <f t="shared" si="25"/>
        <v>0.003083637146</v>
      </c>
      <c r="M114" s="547">
        <f t="shared" si="25"/>
        <v>0.004784966182</v>
      </c>
      <c r="N114" s="547">
        <f t="shared" si="25"/>
        <v>0.004285203097</v>
      </c>
      <c r="O114" s="547">
        <f t="shared" si="25"/>
        <v>0.00464884261</v>
      </c>
      <c r="P114" s="547">
        <f t="shared" si="25"/>
        <v>0.007221445312</v>
      </c>
      <c r="Q114" s="547">
        <f t="shared" si="25"/>
        <v>0.008497638083</v>
      </c>
      <c r="R114" s="547">
        <f t="shared" si="25"/>
        <v>0.001379340682</v>
      </c>
      <c r="S114" s="547">
        <f t="shared" si="25"/>
        <v>0.003741832029</v>
      </c>
      <c r="T114" s="547">
        <f t="shared" si="25"/>
        <v>0.0009723046684</v>
      </c>
      <c r="U114" s="547">
        <f t="shared" si="25"/>
        <v>0.0008760991046</v>
      </c>
      <c r="V114" s="547">
        <f t="shared" si="25"/>
        <v>0.001385678955</v>
      </c>
      <c r="W114" s="547">
        <f t="shared" si="25"/>
        <v>0.001689944137</v>
      </c>
      <c r="X114" s="547">
        <f t="shared" si="25"/>
        <v>0.001355783981</v>
      </c>
      <c r="Y114" s="547">
        <f t="shared" si="25"/>
        <v>0.001031080808</v>
      </c>
      <c r="Z114" s="547">
        <f t="shared" si="25"/>
        <v>0.00132352208</v>
      </c>
      <c r="AA114" s="547">
        <f t="shared" si="25"/>
        <v>0.001594965249</v>
      </c>
      <c r="AB114" s="547">
        <f t="shared" si="25"/>
        <v>0.001335977786</v>
      </c>
      <c r="AC114" s="547">
        <f t="shared" si="25"/>
        <v>0.0009725485882</v>
      </c>
      <c r="AD114" s="547">
        <f t="shared" si="25"/>
        <v>0.0006489593791</v>
      </c>
      <c r="AE114" s="547">
        <f t="shared" si="25"/>
        <v>0.001240626047</v>
      </c>
      <c r="AF114" s="547">
        <f t="shared" si="25"/>
        <v>0.0007384427334</v>
      </c>
      <c r="AG114" s="547">
        <f t="shared" si="25"/>
        <v>0.003083637146</v>
      </c>
      <c r="AH114" s="547">
        <f t="shared" si="25"/>
        <v>0.0009616406682</v>
      </c>
      <c r="AI114" s="547">
        <f t="shared" si="25"/>
        <v>0.0007150433154</v>
      </c>
      <c r="AJ114" s="547">
        <f t="shared" si="25"/>
        <v>0.0005560612896</v>
      </c>
      <c r="AK114" s="547">
        <f t="shared" si="25"/>
        <v>0.001715144799</v>
      </c>
      <c r="AL114" s="547">
        <f t="shared" si="25"/>
        <v>0.002581959344</v>
      </c>
      <c r="AM114" s="547">
        <f t="shared" si="25"/>
        <v>0.002581959344</v>
      </c>
      <c r="AN114" s="547">
        <f t="shared" si="25"/>
        <v>0.002581959344</v>
      </c>
      <c r="AO114" s="547">
        <f t="shared" si="25"/>
        <v>0.001016248</v>
      </c>
      <c r="AP114" s="547">
        <f t="shared" si="25"/>
        <v>0.001063971713</v>
      </c>
      <c r="AQ114" s="547">
        <f t="shared" si="25"/>
        <v>0.0004587145941</v>
      </c>
      <c r="AR114" s="547">
        <f t="shared" si="25"/>
        <v>0.0007135051306</v>
      </c>
      <c r="AS114" s="547">
        <f t="shared" si="25"/>
        <v>0.001254116789</v>
      </c>
      <c r="AT114" s="547">
        <f t="shared" si="25"/>
        <v>0.001267568875</v>
      </c>
      <c r="AU114" s="547">
        <f t="shared" si="25"/>
        <v>0.004053613671</v>
      </c>
      <c r="AV114" s="547">
        <f t="shared" si="25"/>
        <v>0.002888431317</v>
      </c>
      <c r="AW114" s="548"/>
    </row>
    <row r="115">
      <c r="A115" s="122"/>
      <c r="B115" s="123"/>
      <c r="C115" s="143"/>
      <c r="D115" s="143"/>
      <c r="E115" s="269"/>
      <c r="F115" s="533"/>
      <c r="G115" s="534"/>
      <c r="H115" s="127"/>
      <c r="I115" s="482"/>
      <c r="J115" s="482"/>
      <c r="K115" s="482"/>
      <c r="L115" s="482"/>
      <c r="M115" s="482"/>
      <c r="N115" s="482"/>
      <c r="O115" s="482"/>
      <c r="P115" s="482"/>
      <c r="Q115" s="482"/>
      <c r="R115" s="549"/>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132"/>
    </row>
    <row r="116">
      <c r="A116" s="122"/>
      <c r="B116" s="123"/>
      <c r="C116" s="143" t="s">
        <v>622</v>
      </c>
      <c r="F116" s="533"/>
      <c r="G116" s="534"/>
      <c r="H116" s="127"/>
      <c r="I116" s="482"/>
      <c r="J116" s="482"/>
      <c r="K116" s="482"/>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132"/>
    </row>
    <row r="117">
      <c r="A117" s="293"/>
      <c r="B117" s="294"/>
      <c r="C117" s="24"/>
      <c r="D117" s="578" t="s">
        <v>623</v>
      </c>
      <c r="E117" s="42"/>
      <c r="F117" s="27"/>
      <c r="G117" s="579"/>
      <c r="H117" s="580"/>
      <c r="I117" s="581"/>
      <c r="J117" s="581"/>
      <c r="K117" s="581"/>
      <c r="L117" s="581"/>
      <c r="M117" s="581"/>
      <c r="N117" s="581"/>
      <c r="O117" s="581"/>
      <c r="P117" s="581"/>
      <c r="Q117" s="581"/>
      <c r="R117" s="581"/>
      <c r="S117" s="581"/>
      <c r="T117" s="581"/>
      <c r="U117" s="581"/>
      <c r="V117" s="581"/>
      <c r="W117" s="581"/>
      <c r="X117" s="581"/>
      <c r="Y117" s="581"/>
      <c r="Z117" s="581"/>
      <c r="AA117" s="581"/>
      <c r="AB117" s="581"/>
      <c r="AC117" s="581"/>
      <c r="AD117" s="581"/>
      <c r="AE117" s="581"/>
      <c r="AF117" s="581"/>
      <c r="AG117" s="581"/>
      <c r="AH117" s="581"/>
      <c r="AI117" s="581"/>
      <c r="AJ117" s="581"/>
      <c r="AK117" s="581"/>
      <c r="AL117" s="581"/>
      <c r="AM117" s="581"/>
      <c r="AN117" s="581"/>
      <c r="AO117" s="581"/>
      <c r="AP117" s="581"/>
      <c r="AQ117" s="581"/>
      <c r="AR117" s="581"/>
      <c r="AS117" s="581"/>
      <c r="AT117" s="581"/>
      <c r="AU117" s="581"/>
      <c r="AV117" s="581"/>
      <c r="AW117" s="582"/>
    </row>
    <row r="118">
      <c r="A118" s="122"/>
      <c r="B118" s="123"/>
      <c r="C118" s="538"/>
      <c r="D118" s="538"/>
      <c r="E118" s="257" t="s">
        <v>624</v>
      </c>
      <c r="F118" s="554" t="s">
        <v>72</v>
      </c>
      <c r="G118" s="555" t="s">
        <v>165</v>
      </c>
      <c r="H118" s="568">
        <f>Inputs!H167</f>
        <v>0.2189</v>
      </c>
      <c r="I118" s="310" t="str">
        <f>Inputs!I167</f>
        <v>-</v>
      </c>
      <c r="J118" s="310" t="str">
        <f>Inputs!J167</f>
        <v>-</v>
      </c>
      <c r="K118" s="310" t="str">
        <f>Inputs!K167</f>
        <v>-</v>
      </c>
      <c r="L118" s="310" t="str">
        <f>Inputs!L167</f>
        <v>-</v>
      </c>
      <c r="M118" s="310" t="str">
        <f>Inputs!M167</f>
        <v>-</v>
      </c>
      <c r="N118" s="310" t="str">
        <f>Inputs!N167</f>
        <v>-</v>
      </c>
      <c r="O118" s="310" t="str">
        <f>Inputs!O167</f>
        <v>-</v>
      </c>
      <c r="P118" s="310" t="str">
        <f>Inputs!P167</f>
        <v>-</v>
      </c>
      <c r="Q118" s="310" t="str">
        <f>Inputs!Q167</f>
        <v>-</v>
      </c>
      <c r="R118" s="310" t="str">
        <f>Inputs!R167</f>
        <v>-</v>
      </c>
      <c r="S118" s="310" t="str">
        <f>Inputs!S167</f>
        <v>-</v>
      </c>
      <c r="T118" s="310" t="str">
        <f>Inputs!T167</f>
        <v>-</v>
      </c>
      <c r="U118" s="310" t="str">
        <f>Inputs!U167</f>
        <v>-</v>
      </c>
      <c r="V118" s="310" t="str">
        <f>Inputs!V167</f>
        <v>-</v>
      </c>
      <c r="W118" s="310" t="str">
        <f>Inputs!W167</f>
        <v>-</v>
      </c>
      <c r="X118" s="310" t="str">
        <f>Inputs!X167</f>
        <v>-</v>
      </c>
      <c r="Y118" s="310" t="str">
        <f>Inputs!Y167</f>
        <v>-</v>
      </c>
      <c r="Z118" s="310" t="str">
        <f>Inputs!Z167</f>
        <v>-</v>
      </c>
      <c r="AA118" s="310" t="str">
        <f>Inputs!AA167</f>
        <v>-</v>
      </c>
      <c r="AB118" s="310" t="str">
        <f>Inputs!AB167</f>
        <v>-</v>
      </c>
      <c r="AC118" s="310" t="str">
        <f>Inputs!AC167</f>
        <v>-</v>
      </c>
      <c r="AD118" s="310" t="str">
        <f>Inputs!AD167</f>
        <v>-</v>
      </c>
      <c r="AE118" s="310" t="str">
        <f>Inputs!AE167</f>
        <v>-</v>
      </c>
      <c r="AF118" s="310" t="str">
        <f>Inputs!AF167</f>
        <v>-</v>
      </c>
      <c r="AG118" s="310" t="str">
        <f>Inputs!AG167</f>
        <v>-</v>
      </c>
      <c r="AH118" s="310" t="str">
        <f>Inputs!AH167</f>
        <v>-</v>
      </c>
      <c r="AI118" s="310" t="str">
        <f>Inputs!AI167</f>
        <v>-</v>
      </c>
      <c r="AJ118" s="310" t="str">
        <f>Inputs!AJ167</f>
        <v>-</v>
      </c>
      <c r="AK118" s="310" t="str">
        <f>Inputs!AK167</f>
        <v>-</v>
      </c>
      <c r="AL118" s="310" t="str">
        <f>Inputs!AL167</f>
        <v>-</v>
      </c>
      <c r="AM118" s="310" t="str">
        <f>Inputs!AM167</f>
        <v>-</v>
      </c>
      <c r="AN118" s="310" t="str">
        <f>Inputs!AN167</f>
        <v>-</v>
      </c>
      <c r="AO118" s="310" t="str">
        <f>Inputs!AO167</f>
        <v>-</v>
      </c>
      <c r="AP118" s="310" t="str">
        <f>Inputs!AP167</f>
        <v>-</v>
      </c>
      <c r="AQ118" s="310" t="str">
        <f>Inputs!AQ167</f>
        <v>-</v>
      </c>
      <c r="AR118" s="310" t="str">
        <f>Inputs!AR167</f>
        <v>-</v>
      </c>
      <c r="AS118" s="310" t="str">
        <f>Inputs!AS167</f>
        <v>-</v>
      </c>
      <c r="AT118" s="310" t="str">
        <f>Inputs!AT167</f>
        <v>-</v>
      </c>
      <c r="AU118" s="310" t="str">
        <f>Inputs!AU167</f>
        <v>-</v>
      </c>
      <c r="AV118" s="310" t="str">
        <f>Inputs!AV167</f>
        <v>-</v>
      </c>
      <c r="AW118" s="251"/>
    </row>
    <row r="119">
      <c r="A119" s="122"/>
      <c r="B119" s="123"/>
      <c r="C119" s="538"/>
      <c r="D119" s="538"/>
      <c r="E119" s="254" t="s">
        <v>625</v>
      </c>
      <c r="F119" s="539" t="str">
        <f>Inputs!F168</f>
        <v>%</v>
      </c>
      <c r="G119" s="540" t="str">
        <f>Inputs!G168</f>
        <v>input</v>
      </c>
      <c r="H119" s="575">
        <f>Inputs!H168</f>
        <v>0.11261</v>
      </c>
      <c r="I119" s="564" t="str">
        <f>Inputs!I168</f>
        <v>-</v>
      </c>
      <c r="J119" s="564" t="str">
        <f>Inputs!J168</f>
        <v>-</v>
      </c>
      <c r="K119" s="564" t="str">
        <f>Inputs!K168</f>
        <v>-</v>
      </c>
      <c r="L119" s="564" t="str">
        <f>Inputs!L168</f>
        <v>-</v>
      </c>
      <c r="M119" s="564" t="str">
        <f>Inputs!M168</f>
        <v>-</v>
      </c>
      <c r="N119" s="564" t="str">
        <f>Inputs!N168</f>
        <v>-</v>
      </c>
      <c r="O119" s="564" t="str">
        <f>Inputs!O168</f>
        <v>-</v>
      </c>
      <c r="P119" s="564" t="str">
        <f>Inputs!P168</f>
        <v>-</v>
      </c>
      <c r="Q119" s="564" t="str">
        <f>Inputs!Q168</f>
        <v>-</v>
      </c>
      <c r="R119" s="564" t="str">
        <f>Inputs!R168</f>
        <v>-</v>
      </c>
      <c r="S119" s="564" t="str">
        <f>Inputs!S168</f>
        <v>-</v>
      </c>
      <c r="T119" s="564" t="str">
        <f>Inputs!T168</f>
        <v>-</v>
      </c>
      <c r="U119" s="564" t="str">
        <f>Inputs!U168</f>
        <v>-</v>
      </c>
      <c r="V119" s="564" t="str">
        <f>Inputs!V168</f>
        <v>-</v>
      </c>
      <c r="W119" s="564" t="str">
        <f>Inputs!W168</f>
        <v>-</v>
      </c>
      <c r="X119" s="564" t="str">
        <f>Inputs!X168</f>
        <v>-</v>
      </c>
      <c r="Y119" s="564" t="str">
        <f>Inputs!Y168</f>
        <v>-</v>
      </c>
      <c r="Z119" s="564" t="str">
        <f>Inputs!Z168</f>
        <v>-</v>
      </c>
      <c r="AA119" s="564" t="str">
        <f>Inputs!AA168</f>
        <v>-</v>
      </c>
      <c r="AB119" s="564" t="str">
        <f>Inputs!AB168</f>
        <v>-</v>
      </c>
      <c r="AC119" s="564" t="str">
        <f>Inputs!AC168</f>
        <v>-</v>
      </c>
      <c r="AD119" s="564" t="str">
        <f>Inputs!AD168</f>
        <v>-</v>
      </c>
      <c r="AE119" s="564" t="str">
        <f>Inputs!AE168</f>
        <v>-</v>
      </c>
      <c r="AF119" s="564" t="str">
        <f>Inputs!AF168</f>
        <v>-</v>
      </c>
      <c r="AG119" s="564" t="str">
        <f>Inputs!AG168</f>
        <v>-</v>
      </c>
      <c r="AH119" s="564" t="str">
        <f>Inputs!AH168</f>
        <v>-</v>
      </c>
      <c r="AI119" s="564" t="str">
        <f>Inputs!AI168</f>
        <v>-</v>
      </c>
      <c r="AJ119" s="564" t="str">
        <f>Inputs!AJ168</f>
        <v>-</v>
      </c>
      <c r="AK119" s="564" t="str">
        <f>Inputs!AK168</f>
        <v>-</v>
      </c>
      <c r="AL119" s="564" t="str">
        <f>Inputs!AL168</f>
        <v>-</v>
      </c>
      <c r="AM119" s="564" t="str">
        <f>Inputs!AM168</f>
        <v>-</v>
      </c>
      <c r="AN119" s="564" t="str">
        <f>Inputs!AN168</f>
        <v>-</v>
      </c>
      <c r="AO119" s="564" t="str">
        <f>Inputs!AO168</f>
        <v>-</v>
      </c>
      <c r="AP119" s="564" t="str">
        <f>Inputs!AP168</f>
        <v>-</v>
      </c>
      <c r="AQ119" s="564" t="str">
        <f>Inputs!AQ168</f>
        <v>-</v>
      </c>
      <c r="AR119" s="564" t="str">
        <f>Inputs!AR168</f>
        <v>-</v>
      </c>
      <c r="AS119" s="564" t="str">
        <f>Inputs!AS168</f>
        <v>-</v>
      </c>
      <c r="AT119" s="564" t="str">
        <f>Inputs!AT168</f>
        <v>-</v>
      </c>
      <c r="AU119" s="564" t="str">
        <f>Inputs!AU168</f>
        <v>-</v>
      </c>
      <c r="AV119" s="564" t="str">
        <f>Inputs!AV168</f>
        <v>-</v>
      </c>
      <c r="AW119" s="565"/>
    </row>
    <row r="120">
      <c r="A120" s="122"/>
      <c r="B120" s="123"/>
      <c r="C120" s="538"/>
      <c r="D120" s="538"/>
      <c r="E120" s="254" t="s">
        <v>626</v>
      </c>
      <c r="F120" s="539" t="s">
        <v>72</v>
      </c>
      <c r="G120" s="540" t="s">
        <v>161</v>
      </c>
      <c r="H120" s="575">
        <f>H118*H119</f>
        <v>0.024650329</v>
      </c>
      <c r="I120" s="564" t="s">
        <v>162</v>
      </c>
      <c r="J120" s="564" t="s">
        <v>162</v>
      </c>
      <c r="K120" s="564" t="s">
        <v>162</v>
      </c>
      <c r="L120" s="564" t="s">
        <v>162</v>
      </c>
      <c r="M120" s="564" t="s">
        <v>162</v>
      </c>
      <c r="N120" s="564" t="s">
        <v>162</v>
      </c>
      <c r="O120" s="564" t="s">
        <v>162</v>
      </c>
      <c r="P120" s="564" t="s">
        <v>162</v>
      </c>
      <c r="Q120" s="564" t="s">
        <v>162</v>
      </c>
      <c r="R120" s="564" t="s">
        <v>162</v>
      </c>
      <c r="S120" s="564" t="s">
        <v>162</v>
      </c>
      <c r="T120" s="564" t="s">
        <v>162</v>
      </c>
      <c r="U120" s="564" t="s">
        <v>162</v>
      </c>
      <c r="V120" s="564" t="s">
        <v>162</v>
      </c>
      <c r="W120" s="564" t="s">
        <v>162</v>
      </c>
      <c r="X120" s="564" t="s">
        <v>162</v>
      </c>
      <c r="Y120" s="564" t="s">
        <v>162</v>
      </c>
      <c r="Z120" s="564" t="s">
        <v>162</v>
      </c>
      <c r="AA120" s="564" t="s">
        <v>162</v>
      </c>
      <c r="AB120" s="564" t="s">
        <v>162</v>
      </c>
      <c r="AC120" s="564" t="s">
        <v>162</v>
      </c>
      <c r="AD120" s="564" t="s">
        <v>162</v>
      </c>
      <c r="AE120" s="564" t="s">
        <v>162</v>
      </c>
      <c r="AF120" s="564" t="s">
        <v>162</v>
      </c>
      <c r="AG120" s="564" t="s">
        <v>162</v>
      </c>
      <c r="AH120" s="564" t="s">
        <v>162</v>
      </c>
      <c r="AI120" s="564" t="s">
        <v>162</v>
      </c>
      <c r="AJ120" s="564" t="s">
        <v>162</v>
      </c>
      <c r="AK120" s="564" t="s">
        <v>162</v>
      </c>
      <c r="AL120" s="564" t="s">
        <v>162</v>
      </c>
      <c r="AM120" s="564" t="s">
        <v>162</v>
      </c>
      <c r="AN120" s="564" t="s">
        <v>162</v>
      </c>
      <c r="AO120" s="564" t="s">
        <v>162</v>
      </c>
      <c r="AP120" s="564" t="s">
        <v>162</v>
      </c>
      <c r="AQ120" s="564" t="s">
        <v>162</v>
      </c>
      <c r="AR120" s="564" t="s">
        <v>162</v>
      </c>
      <c r="AS120" s="564" t="s">
        <v>162</v>
      </c>
      <c r="AT120" s="564" t="s">
        <v>162</v>
      </c>
      <c r="AU120" s="564" t="s">
        <v>162</v>
      </c>
      <c r="AV120" s="564" t="s">
        <v>162</v>
      </c>
      <c r="AW120" s="565"/>
    </row>
    <row r="121">
      <c r="A121" s="122"/>
      <c r="B121" s="123"/>
      <c r="C121" s="538"/>
      <c r="D121" s="538"/>
      <c r="E121" s="254" t="s">
        <v>627</v>
      </c>
      <c r="F121" s="539" t="s">
        <v>72</v>
      </c>
      <c r="G121" s="540" t="s">
        <v>161</v>
      </c>
      <c r="H121" s="576" t="s">
        <v>162</v>
      </c>
      <c r="I121" s="542">
        <f t="shared" ref="I121:AV121" si="26">I114*$H$120</f>
        <v>0.0001370140391</v>
      </c>
      <c r="J121" s="542">
        <f t="shared" si="26"/>
        <v>0.0001156897361</v>
      </c>
      <c r="K121" s="542">
        <f t="shared" si="26"/>
        <v>0.0001463130864</v>
      </c>
      <c r="L121" s="542">
        <f t="shared" si="26"/>
        <v>0.00007601267016</v>
      </c>
      <c r="M121" s="542">
        <f t="shared" si="26"/>
        <v>0.0001179509906</v>
      </c>
      <c r="N121" s="542">
        <f t="shared" si="26"/>
        <v>0.0001056316662</v>
      </c>
      <c r="O121" s="542">
        <f t="shared" si="26"/>
        <v>0.0001145954998</v>
      </c>
      <c r="P121" s="542">
        <f t="shared" si="26"/>
        <v>0.0001780110028</v>
      </c>
      <c r="Q121" s="542">
        <f t="shared" si="26"/>
        <v>0.0002094695745</v>
      </c>
      <c r="R121" s="542">
        <f t="shared" si="26"/>
        <v>0.00003400120162</v>
      </c>
      <c r="S121" s="542">
        <f t="shared" si="26"/>
        <v>0.00009223739059</v>
      </c>
      <c r="T121" s="542">
        <f t="shared" si="26"/>
        <v>0.00002396762996</v>
      </c>
      <c r="U121" s="542">
        <f t="shared" si="26"/>
        <v>0.00002159613116</v>
      </c>
      <c r="V121" s="542">
        <f t="shared" si="26"/>
        <v>0.00003415744214</v>
      </c>
      <c r="W121" s="542">
        <f t="shared" si="26"/>
        <v>0.00004165767897</v>
      </c>
      <c r="X121" s="542">
        <f t="shared" si="26"/>
        <v>0.00003342052118</v>
      </c>
      <c r="Y121" s="542">
        <f t="shared" si="26"/>
        <v>0.00002541648115</v>
      </c>
      <c r="Z121" s="542">
        <f t="shared" si="26"/>
        <v>0.00003262525472</v>
      </c>
      <c r="AA121" s="542">
        <f t="shared" si="26"/>
        <v>0.00003931641813</v>
      </c>
      <c r="AB121" s="542">
        <f t="shared" si="26"/>
        <v>0.00003293229196</v>
      </c>
      <c r="AC121" s="542">
        <f t="shared" si="26"/>
        <v>0.00002397364267</v>
      </c>
      <c r="AD121" s="542">
        <f t="shared" si="26"/>
        <v>0.0000159970622</v>
      </c>
      <c r="AE121" s="542">
        <f t="shared" si="26"/>
        <v>0.00003058184022</v>
      </c>
      <c r="AF121" s="542">
        <f t="shared" si="26"/>
        <v>0.00001820285633</v>
      </c>
      <c r="AG121" s="542">
        <f t="shared" si="26"/>
        <v>0.00007601267016</v>
      </c>
      <c r="AH121" s="542">
        <f t="shared" si="26"/>
        <v>0.00002370475885</v>
      </c>
      <c r="AI121" s="542">
        <f t="shared" si="26"/>
        <v>0.00001762605297</v>
      </c>
      <c r="AJ121" s="542">
        <f t="shared" si="26"/>
        <v>0.00001370709373</v>
      </c>
      <c r="AK121" s="542">
        <f t="shared" si="26"/>
        <v>0.00004227888359</v>
      </c>
      <c r="AL121" s="542">
        <f t="shared" si="26"/>
        <v>0.0000636461473</v>
      </c>
      <c r="AM121" s="542">
        <f t="shared" si="26"/>
        <v>0.0000636461473</v>
      </c>
      <c r="AN121" s="542">
        <f t="shared" si="26"/>
        <v>0.0000636461473</v>
      </c>
      <c r="AO121" s="542">
        <f t="shared" si="26"/>
        <v>0.00002505084756</v>
      </c>
      <c r="AP121" s="542">
        <f t="shared" si="26"/>
        <v>0.00002622725276</v>
      </c>
      <c r="AQ121" s="542">
        <f t="shared" si="26"/>
        <v>0.00001130746566</v>
      </c>
      <c r="AR121" s="542">
        <f t="shared" si="26"/>
        <v>0.00001758813621</v>
      </c>
      <c r="AS121" s="542">
        <f t="shared" si="26"/>
        <v>0.00003091439145</v>
      </c>
      <c r="AT121" s="542">
        <f t="shared" si="26"/>
        <v>0.00003124598981</v>
      </c>
      <c r="AU121" s="542">
        <f t="shared" si="26"/>
        <v>0.00009992291063</v>
      </c>
      <c r="AV121" s="542">
        <f t="shared" si="26"/>
        <v>0.00007120078225</v>
      </c>
      <c r="AW121" s="565"/>
    </row>
    <row r="122">
      <c r="A122" s="122"/>
      <c r="B122" s="123"/>
      <c r="C122" s="538"/>
      <c r="D122" s="538"/>
      <c r="E122" s="254" t="s">
        <v>628</v>
      </c>
      <c r="F122" s="539" t="s">
        <v>72</v>
      </c>
      <c r="G122" s="540" t="s">
        <v>161</v>
      </c>
      <c r="H122" s="576" t="s">
        <v>162</v>
      </c>
      <c r="I122" s="542">
        <f t="shared" ref="I122:AV122" si="27">I103*$H$120</f>
        <v>0.00002268448991</v>
      </c>
      <c r="J122" s="542">
        <f t="shared" si="27"/>
        <v>0.00001929479852</v>
      </c>
      <c r="K122" s="542">
        <f t="shared" si="27"/>
        <v>0.00002405719278</v>
      </c>
      <c r="L122" s="542">
        <f t="shared" si="27"/>
        <v>0.00001339138983</v>
      </c>
      <c r="M122" s="542">
        <f t="shared" si="27"/>
        <v>0.00002102500511</v>
      </c>
      <c r="N122" s="542">
        <f t="shared" si="27"/>
        <v>0.00001834632781</v>
      </c>
      <c r="O122" s="542">
        <f t="shared" si="27"/>
        <v>0.00002090870486</v>
      </c>
      <c r="P122" s="542">
        <f t="shared" si="27"/>
        <v>0.00002914159429</v>
      </c>
      <c r="Q122" s="542">
        <f t="shared" si="27"/>
        <v>0.00002998401929</v>
      </c>
      <c r="R122" s="542">
        <f t="shared" si="27"/>
        <v>0.000006981564781</v>
      </c>
      <c r="S122" s="542">
        <f t="shared" si="27"/>
        <v>0.00001711077937</v>
      </c>
      <c r="T122" s="542">
        <f t="shared" si="27"/>
        <v>0.000005918617944</v>
      </c>
      <c r="U122" s="542">
        <f t="shared" si="27"/>
        <v>0.000006008912099</v>
      </c>
      <c r="V122" s="542">
        <f t="shared" si="27"/>
        <v>0.000006666706128</v>
      </c>
      <c r="W122" s="542">
        <f t="shared" si="27"/>
        <v>0.00001166396873</v>
      </c>
      <c r="X122" s="542">
        <f t="shared" si="27"/>
        <v>0.000009905488205</v>
      </c>
      <c r="Y122" s="542">
        <f t="shared" si="27"/>
        <v>0.000006140027199</v>
      </c>
      <c r="Z122" s="542">
        <f t="shared" si="27"/>
        <v>0.000008019639436</v>
      </c>
      <c r="AA122" s="542">
        <f t="shared" si="27"/>
        <v>0.00001098127786</v>
      </c>
      <c r="AB122" s="542">
        <f t="shared" si="27"/>
        <v>0.00000638588958</v>
      </c>
      <c r="AC122" s="542">
        <f t="shared" si="27"/>
        <v>0.000005866211344</v>
      </c>
      <c r="AD122" s="542">
        <f t="shared" si="27"/>
        <v>0.000005542700427</v>
      </c>
      <c r="AE122" s="542">
        <f t="shared" si="27"/>
        <v>0.000007948449285</v>
      </c>
      <c r="AF122" s="542">
        <f t="shared" si="27"/>
        <v>0.000005545288711</v>
      </c>
      <c r="AG122" s="542">
        <f t="shared" si="27"/>
        <v>0.00001339138983</v>
      </c>
      <c r="AH122" s="542">
        <f t="shared" si="27"/>
        <v>0.000005882653114</v>
      </c>
      <c r="AI122" s="542">
        <f t="shared" si="27"/>
        <v>0.000005597054402</v>
      </c>
      <c r="AJ122" s="542">
        <f t="shared" si="27"/>
        <v>0.000005567350756</v>
      </c>
      <c r="AK122" s="542">
        <f t="shared" si="27"/>
        <v>0.00001055869727</v>
      </c>
      <c r="AL122" s="542">
        <f t="shared" si="27"/>
        <v>0.00001402988265</v>
      </c>
      <c r="AM122" s="542">
        <f t="shared" si="27"/>
        <v>0.00001402988265</v>
      </c>
      <c r="AN122" s="542">
        <f t="shared" si="27"/>
        <v>0.00001402988265</v>
      </c>
      <c r="AO122" s="542">
        <f t="shared" si="27"/>
        <v>0.000007633985038</v>
      </c>
      <c r="AP122" s="542">
        <f t="shared" si="27"/>
        <v>0.000007536024631</v>
      </c>
      <c r="AQ122" s="542">
        <f t="shared" si="27"/>
        <v>0.000004073023161</v>
      </c>
      <c r="AR122" s="542">
        <f t="shared" si="27"/>
        <v>0.000004397174988</v>
      </c>
      <c r="AS122" s="542">
        <f t="shared" si="27"/>
        <v>0.000009834519908</v>
      </c>
      <c r="AT122" s="542">
        <f t="shared" si="27"/>
        <v>0.000006889495802</v>
      </c>
      <c r="AU122" s="542">
        <f t="shared" si="27"/>
        <v>0.00001836131521</v>
      </c>
      <c r="AV122" s="542">
        <f t="shared" si="27"/>
        <v>0.00001671738477</v>
      </c>
      <c r="AW122" s="565"/>
    </row>
    <row r="123">
      <c r="A123" s="122"/>
      <c r="B123" s="123"/>
      <c r="C123" s="538"/>
      <c r="D123" s="538"/>
      <c r="E123" s="254" t="s">
        <v>629</v>
      </c>
      <c r="F123" s="539" t="s">
        <v>72</v>
      </c>
      <c r="G123" s="540" t="s">
        <v>161</v>
      </c>
      <c r="H123" s="576" t="s">
        <v>162</v>
      </c>
      <c r="I123" s="542">
        <f t="shared" ref="I123:AV123" si="28">I104*$H$120</f>
        <v>0.00004611191609</v>
      </c>
      <c r="J123" s="542">
        <f t="shared" si="28"/>
        <v>0.00003442921312</v>
      </c>
      <c r="K123" s="542">
        <f t="shared" si="28"/>
        <v>0.00005828821725</v>
      </c>
      <c r="L123" s="542">
        <f t="shared" si="28"/>
        <v>0.000030962662</v>
      </c>
      <c r="M123" s="542">
        <f t="shared" si="28"/>
        <v>0.00003537359187</v>
      </c>
      <c r="N123" s="542">
        <f t="shared" si="28"/>
        <v>0.00004469540959</v>
      </c>
      <c r="O123" s="542">
        <f t="shared" si="28"/>
        <v>0.00004813307052</v>
      </c>
      <c r="P123" s="542">
        <f t="shared" si="28"/>
        <v>0.00006640985975</v>
      </c>
      <c r="Q123" s="542">
        <f t="shared" si="28"/>
        <v>0.00005934334994</v>
      </c>
      <c r="R123" s="542">
        <f t="shared" si="28"/>
        <v>0.00002007734787</v>
      </c>
      <c r="S123" s="542">
        <f t="shared" si="28"/>
        <v>0.00003664187595</v>
      </c>
      <c r="T123" s="542">
        <f t="shared" si="28"/>
        <v>0.0000211703188</v>
      </c>
      <c r="U123" s="542">
        <f t="shared" si="28"/>
        <v>0.00002100235146</v>
      </c>
      <c r="V123" s="542">
        <f t="shared" si="28"/>
        <v>0.00002543738935</v>
      </c>
      <c r="W123" s="542">
        <f t="shared" si="28"/>
        <v>0.00003241183019</v>
      </c>
      <c r="X123" s="542">
        <f t="shared" si="28"/>
        <v>0.00002919759984</v>
      </c>
      <c r="Y123" s="542">
        <f t="shared" si="28"/>
        <v>0.00002209677677</v>
      </c>
      <c r="Z123" s="542">
        <f t="shared" si="28"/>
        <v>0.00002425979384</v>
      </c>
      <c r="AA123" s="542">
        <f t="shared" si="28"/>
        <v>0.00002857357676</v>
      </c>
      <c r="AB123" s="542">
        <f t="shared" si="28"/>
        <v>0.00002165124672</v>
      </c>
      <c r="AC123" s="542">
        <f t="shared" si="28"/>
        <v>0.00001900892866</v>
      </c>
      <c r="AD123" s="542">
        <f t="shared" si="28"/>
        <v>0.00002137449748</v>
      </c>
      <c r="AE123" s="542">
        <f t="shared" si="28"/>
        <v>0.00002185017488</v>
      </c>
      <c r="AF123" s="542">
        <f t="shared" si="28"/>
        <v>0.00001886876689</v>
      </c>
      <c r="AG123" s="542">
        <f t="shared" si="28"/>
        <v>0.000030962662</v>
      </c>
      <c r="AH123" s="542">
        <f t="shared" si="28"/>
        <v>0.00002220659398</v>
      </c>
      <c r="AI123" s="542">
        <f t="shared" si="28"/>
        <v>0.0000245976266</v>
      </c>
      <c r="AJ123" s="542">
        <f t="shared" si="28"/>
        <v>0.00001702861983</v>
      </c>
      <c r="AK123" s="542">
        <f t="shared" si="28"/>
        <v>0.00003183422368</v>
      </c>
      <c r="AL123" s="542">
        <f t="shared" si="28"/>
        <v>0.00003990264612</v>
      </c>
      <c r="AM123" s="542">
        <f t="shared" si="28"/>
        <v>0.00003990264612</v>
      </c>
      <c r="AN123" s="542">
        <f t="shared" si="28"/>
        <v>0.00003990264612</v>
      </c>
      <c r="AO123" s="542">
        <f t="shared" si="28"/>
        <v>0.00002759310993</v>
      </c>
      <c r="AP123" s="542">
        <f t="shared" si="28"/>
        <v>0.00002256634089</v>
      </c>
      <c r="AQ123" s="542">
        <f t="shared" si="28"/>
        <v>0.00001505883669</v>
      </c>
      <c r="AR123" s="542">
        <f t="shared" si="28"/>
        <v>0.00001913780058</v>
      </c>
      <c r="AS123" s="542">
        <f t="shared" si="28"/>
        <v>0.00003240344908</v>
      </c>
      <c r="AT123" s="542">
        <f t="shared" si="28"/>
        <v>0.00002163044184</v>
      </c>
      <c r="AU123" s="542">
        <f t="shared" si="28"/>
        <v>0.00004071571257</v>
      </c>
      <c r="AV123" s="542">
        <f t="shared" si="28"/>
        <v>0.00004765453368</v>
      </c>
      <c r="AW123" s="565"/>
    </row>
    <row r="124">
      <c r="A124" s="122"/>
      <c r="B124" s="123"/>
      <c r="C124" s="538"/>
      <c r="D124" s="538"/>
      <c r="E124" s="254" t="s">
        <v>630</v>
      </c>
      <c r="F124" s="539" t="s">
        <v>72</v>
      </c>
      <c r="G124" s="540" t="s">
        <v>161</v>
      </c>
      <c r="H124" s="576" t="s">
        <v>162</v>
      </c>
      <c r="I124" s="542">
        <f t="shared" ref="I124:AV124" si="29">I105*$H$120</f>
        <v>0.0001217583774</v>
      </c>
      <c r="J124" s="542">
        <f t="shared" si="29"/>
        <v>0.0001156800499</v>
      </c>
      <c r="K124" s="542">
        <f t="shared" si="29"/>
        <v>0.0001275610402</v>
      </c>
      <c r="L124" s="542">
        <f t="shared" si="29"/>
        <v>0.00007832427582</v>
      </c>
      <c r="M124" s="542">
        <f t="shared" si="29"/>
        <v>0.00009029906054</v>
      </c>
      <c r="N124" s="542">
        <f t="shared" si="29"/>
        <v>0.0001095444352</v>
      </c>
      <c r="O124" s="542">
        <f t="shared" si="29"/>
        <v>0.0001395089067</v>
      </c>
      <c r="P124" s="542">
        <f t="shared" si="29"/>
        <v>0.0001442509398</v>
      </c>
      <c r="Q124" s="542">
        <f t="shared" si="29"/>
        <v>0.000164803546</v>
      </c>
      <c r="R124" s="542">
        <f t="shared" si="29"/>
        <v>0.0000569051859</v>
      </c>
      <c r="S124" s="542">
        <f t="shared" si="29"/>
        <v>0.00009536694633</v>
      </c>
      <c r="T124" s="542">
        <f t="shared" si="29"/>
        <v>0.00006435643804</v>
      </c>
      <c r="U124" s="542">
        <f t="shared" si="29"/>
        <v>0.00005450988878</v>
      </c>
      <c r="V124" s="542">
        <f t="shared" si="29"/>
        <v>0.00007660067551</v>
      </c>
      <c r="W124" s="542">
        <f t="shared" si="29"/>
        <v>0.00008324107974</v>
      </c>
      <c r="X124" s="542">
        <f t="shared" si="29"/>
        <v>0.00008550969882</v>
      </c>
      <c r="Y124" s="542">
        <f t="shared" si="29"/>
        <v>0.0000657429944</v>
      </c>
      <c r="Z124" s="542">
        <f t="shared" si="29"/>
        <v>0.00005834131406</v>
      </c>
      <c r="AA124" s="542">
        <f t="shared" si="29"/>
        <v>0.00007386527781</v>
      </c>
      <c r="AB124" s="542">
        <f t="shared" si="29"/>
        <v>0.00005156851292</v>
      </c>
      <c r="AC124" s="542">
        <f t="shared" si="29"/>
        <v>0.00005482763152</v>
      </c>
      <c r="AD124" s="542">
        <f t="shared" si="29"/>
        <v>0.00006123200884</v>
      </c>
      <c r="AE124" s="542">
        <f t="shared" si="29"/>
        <v>0.00004353617856</v>
      </c>
      <c r="AF124" s="542">
        <f t="shared" si="29"/>
        <v>0.00005073094404</v>
      </c>
      <c r="AG124" s="542">
        <f t="shared" si="29"/>
        <v>0.00007832427582</v>
      </c>
      <c r="AH124" s="542">
        <f t="shared" si="29"/>
        <v>0.00006673793098</v>
      </c>
      <c r="AI124" s="542">
        <f t="shared" si="29"/>
        <v>0.00006477169749</v>
      </c>
      <c r="AJ124" s="542">
        <f t="shared" si="29"/>
        <v>0.00004187997226</v>
      </c>
      <c r="AK124" s="542">
        <f t="shared" si="29"/>
        <v>0.00006386192779</v>
      </c>
      <c r="AL124" s="542">
        <f t="shared" si="29"/>
        <v>0.00009529112192</v>
      </c>
      <c r="AM124" s="542">
        <f t="shared" si="29"/>
        <v>0.00009529112192</v>
      </c>
      <c r="AN124" s="542">
        <f t="shared" si="29"/>
        <v>0.00009529112192</v>
      </c>
      <c r="AO124" s="542">
        <f t="shared" si="29"/>
        <v>0.00007386411924</v>
      </c>
      <c r="AP124" s="542">
        <f t="shared" si="29"/>
        <v>0.00006414681165</v>
      </c>
      <c r="AQ124" s="542">
        <f t="shared" si="29"/>
        <v>0.00005122136234</v>
      </c>
      <c r="AR124" s="542">
        <f t="shared" si="29"/>
        <v>0.0000552497191</v>
      </c>
      <c r="AS124" s="542">
        <f t="shared" si="29"/>
        <v>0.00006366561257</v>
      </c>
      <c r="AT124" s="542">
        <f t="shared" si="29"/>
        <v>0.00005790315446</v>
      </c>
      <c r="AU124" s="542">
        <f t="shared" si="29"/>
        <v>0.00008226712059</v>
      </c>
      <c r="AV124" s="542">
        <f t="shared" si="29"/>
        <v>0.0001154338178</v>
      </c>
      <c r="AW124" s="565"/>
    </row>
    <row r="125">
      <c r="A125" s="122"/>
      <c r="B125" s="123"/>
      <c r="C125" s="538"/>
      <c r="D125" s="574" t="s">
        <v>631</v>
      </c>
      <c r="E125" s="42"/>
      <c r="F125" s="539"/>
      <c r="G125" s="540"/>
      <c r="H125" s="575"/>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5"/>
    </row>
    <row r="126">
      <c r="A126" s="122"/>
      <c r="B126" s="123"/>
      <c r="C126" s="538"/>
      <c r="D126" s="538"/>
      <c r="E126" s="257" t="s">
        <v>632</v>
      </c>
      <c r="F126" s="554" t="s">
        <v>72</v>
      </c>
      <c r="G126" s="555" t="s">
        <v>165</v>
      </c>
      <c r="H126" s="568">
        <f>Inputs!H169</f>
        <v>0.2672</v>
      </c>
      <c r="I126" s="310" t="str">
        <f>Inputs!I169</f>
        <v>-</v>
      </c>
      <c r="J126" s="310" t="str">
        <f>Inputs!J169</f>
        <v>-</v>
      </c>
      <c r="K126" s="310" t="str">
        <f>Inputs!K169</f>
        <v>-</v>
      </c>
      <c r="L126" s="310" t="str">
        <f>Inputs!L169</f>
        <v>-</v>
      </c>
      <c r="M126" s="310" t="str">
        <f>Inputs!M169</f>
        <v>-</v>
      </c>
      <c r="N126" s="310" t="str">
        <f>Inputs!N169</f>
        <v>-</v>
      </c>
      <c r="O126" s="310" t="str">
        <f>Inputs!O169</f>
        <v>-</v>
      </c>
      <c r="P126" s="310" t="str">
        <f>Inputs!P169</f>
        <v>-</v>
      </c>
      <c r="Q126" s="310" t="str">
        <f>Inputs!Q169</f>
        <v>-</v>
      </c>
      <c r="R126" s="310" t="str">
        <f>Inputs!R169</f>
        <v>-</v>
      </c>
      <c r="S126" s="310" t="str">
        <f>Inputs!S169</f>
        <v>-</v>
      </c>
      <c r="T126" s="310" t="str">
        <f>Inputs!T169</f>
        <v>-</v>
      </c>
      <c r="U126" s="310" t="str">
        <f>Inputs!U169</f>
        <v>-</v>
      </c>
      <c r="V126" s="310" t="str">
        <f>Inputs!V169</f>
        <v>-</v>
      </c>
      <c r="W126" s="310" t="str">
        <f>Inputs!W169</f>
        <v>-</v>
      </c>
      <c r="X126" s="310" t="str">
        <f>Inputs!X169</f>
        <v>-</v>
      </c>
      <c r="Y126" s="310" t="str">
        <f>Inputs!Y169</f>
        <v>-</v>
      </c>
      <c r="Z126" s="310" t="str">
        <f>Inputs!Z169</f>
        <v>-</v>
      </c>
      <c r="AA126" s="310" t="str">
        <f>Inputs!AA169</f>
        <v>-</v>
      </c>
      <c r="AB126" s="310" t="str">
        <f>Inputs!AB169</f>
        <v>-</v>
      </c>
      <c r="AC126" s="310" t="str">
        <f>Inputs!AC169</f>
        <v>-</v>
      </c>
      <c r="AD126" s="310" t="str">
        <f>Inputs!AD169</f>
        <v>-</v>
      </c>
      <c r="AE126" s="310" t="str">
        <f>Inputs!AE169</f>
        <v>-</v>
      </c>
      <c r="AF126" s="310" t="str">
        <f>Inputs!AF169</f>
        <v>-</v>
      </c>
      <c r="AG126" s="310" t="str">
        <f>Inputs!AG169</f>
        <v>-</v>
      </c>
      <c r="AH126" s="310" t="str">
        <f>Inputs!AH169</f>
        <v>-</v>
      </c>
      <c r="AI126" s="310" t="str">
        <f>Inputs!AI169</f>
        <v>-</v>
      </c>
      <c r="AJ126" s="310" t="str">
        <f>Inputs!AJ169</f>
        <v>-</v>
      </c>
      <c r="AK126" s="310" t="str">
        <f>Inputs!AK169</f>
        <v>-</v>
      </c>
      <c r="AL126" s="310" t="str">
        <f>Inputs!AL169</f>
        <v>-</v>
      </c>
      <c r="AM126" s="310" t="str">
        <f>Inputs!AM169</f>
        <v>-</v>
      </c>
      <c r="AN126" s="310" t="str">
        <f>Inputs!AN169</f>
        <v>-</v>
      </c>
      <c r="AO126" s="310" t="str">
        <f>Inputs!AO169</f>
        <v>-</v>
      </c>
      <c r="AP126" s="310" t="str">
        <f>Inputs!AP169</f>
        <v>-</v>
      </c>
      <c r="AQ126" s="310" t="str">
        <f>Inputs!AQ169</f>
        <v>-</v>
      </c>
      <c r="AR126" s="310" t="str">
        <f>Inputs!AR169</f>
        <v>-</v>
      </c>
      <c r="AS126" s="310" t="str">
        <f>Inputs!AS169</f>
        <v>-</v>
      </c>
      <c r="AT126" s="310" t="str">
        <f>Inputs!AT169</f>
        <v>-</v>
      </c>
      <c r="AU126" s="310" t="str">
        <f>Inputs!AU169</f>
        <v>-</v>
      </c>
      <c r="AV126" s="310" t="str">
        <f>Inputs!AV169</f>
        <v>-</v>
      </c>
      <c r="AW126" s="251"/>
    </row>
    <row r="127">
      <c r="A127" s="122"/>
      <c r="B127" s="123"/>
      <c r="C127" s="538"/>
      <c r="D127" s="538"/>
      <c r="E127" s="254" t="s">
        <v>633</v>
      </c>
      <c r="F127" s="539" t="str">
        <f>Inputs!F170</f>
        <v>%</v>
      </c>
      <c r="G127" s="540" t="str">
        <f>Inputs!G170</f>
        <v>input</v>
      </c>
      <c r="H127" s="575">
        <f>Inputs!H170</f>
        <v>1.00085</v>
      </c>
      <c r="I127" s="564" t="str">
        <f>Inputs!I170</f>
        <v>-</v>
      </c>
      <c r="J127" s="564" t="str">
        <f>Inputs!J170</f>
        <v>-</v>
      </c>
      <c r="K127" s="564" t="str">
        <f>Inputs!K170</f>
        <v>-</v>
      </c>
      <c r="L127" s="564" t="str">
        <f>Inputs!L170</f>
        <v>-</v>
      </c>
      <c r="M127" s="564" t="str">
        <f>Inputs!M170</f>
        <v>-</v>
      </c>
      <c r="N127" s="564" t="str">
        <f>Inputs!N170</f>
        <v>-</v>
      </c>
      <c r="O127" s="564" t="str">
        <f>Inputs!O170</f>
        <v>-</v>
      </c>
      <c r="P127" s="564" t="str">
        <f>Inputs!P170</f>
        <v>-</v>
      </c>
      <c r="Q127" s="564" t="str">
        <f>Inputs!Q170</f>
        <v>-</v>
      </c>
      <c r="R127" s="564" t="str">
        <f>Inputs!R170</f>
        <v>-</v>
      </c>
      <c r="S127" s="564" t="str">
        <f>Inputs!S170</f>
        <v>-</v>
      </c>
      <c r="T127" s="564" t="str">
        <f>Inputs!T170</f>
        <v>-</v>
      </c>
      <c r="U127" s="564" t="str">
        <f>Inputs!U170</f>
        <v>-</v>
      </c>
      <c r="V127" s="564" t="str">
        <f>Inputs!V170</f>
        <v>-</v>
      </c>
      <c r="W127" s="564" t="str">
        <f>Inputs!W170</f>
        <v>-</v>
      </c>
      <c r="X127" s="564" t="str">
        <f>Inputs!X170</f>
        <v>-</v>
      </c>
      <c r="Y127" s="564" t="str">
        <f>Inputs!Y170</f>
        <v>-</v>
      </c>
      <c r="Z127" s="564" t="str">
        <f>Inputs!Z170</f>
        <v>-</v>
      </c>
      <c r="AA127" s="564" t="str">
        <f>Inputs!AA170</f>
        <v>-</v>
      </c>
      <c r="AB127" s="564" t="str">
        <f>Inputs!AB170</f>
        <v>-</v>
      </c>
      <c r="AC127" s="564" t="str">
        <f>Inputs!AC170</f>
        <v>-</v>
      </c>
      <c r="AD127" s="564" t="str">
        <f>Inputs!AD170</f>
        <v>-</v>
      </c>
      <c r="AE127" s="564" t="str">
        <f>Inputs!AE170</f>
        <v>-</v>
      </c>
      <c r="AF127" s="564" t="str">
        <f>Inputs!AF170</f>
        <v>-</v>
      </c>
      <c r="AG127" s="564" t="str">
        <f>Inputs!AG170</f>
        <v>-</v>
      </c>
      <c r="AH127" s="564" t="str">
        <f>Inputs!AH170</f>
        <v>-</v>
      </c>
      <c r="AI127" s="564" t="str">
        <f>Inputs!AI170</f>
        <v>-</v>
      </c>
      <c r="AJ127" s="564" t="str">
        <f>Inputs!AJ170</f>
        <v>-</v>
      </c>
      <c r="AK127" s="564" t="str">
        <f>Inputs!AK170</f>
        <v>-</v>
      </c>
      <c r="AL127" s="564" t="str">
        <f>Inputs!AL170</f>
        <v>-</v>
      </c>
      <c r="AM127" s="564" t="str">
        <f>Inputs!AM170</f>
        <v>-</v>
      </c>
      <c r="AN127" s="564" t="str">
        <f>Inputs!AN170</f>
        <v>-</v>
      </c>
      <c r="AO127" s="564" t="str">
        <f>Inputs!AO170</f>
        <v>-</v>
      </c>
      <c r="AP127" s="564" t="str">
        <f>Inputs!AP170</f>
        <v>-</v>
      </c>
      <c r="AQ127" s="564" t="str">
        <f>Inputs!AQ170</f>
        <v>-</v>
      </c>
      <c r="AR127" s="564" t="str">
        <f>Inputs!AR170</f>
        <v>-</v>
      </c>
      <c r="AS127" s="564" t="str">
        <f>Inputs!AS170</f>
        <v>-</v>
      </c>
      <c r="AT127" s="564" t="str">
        <f>Inputs!AT170</f>
        <v>-</v>
      </c>
      <c r="AU127" s="564" t="str">
        <f>Inputs!AU170</f>
        <v>-</v>
      </c>
      <c r="AV127" s="564" t="str">
        <f>Inputs!AV170</f>
        <v>-</v>
      </c>
      <c r="AW127" s="565"/>
    </row>
    <row r="128">
      <c r="A128" s="122"/>
      <c r="B128" s="123"/>
      <c r="C128" s="538"/>
      <c r="D128" s="538"/>
      <c r="E128" s="254" t="s">
        <v>634</v>
      </c>
      <c r="F128" s="539" t="s">
        <v>72</v>
      </c>
      <c r="G128" s="540" t="s">
        <v>161</v>
      </c>
      <c r="H128" s="575">
        <f>H126*H127</f>
        <v>0.26742712</v>
      </c>
      <c r="I128" s="564" t="s">
        <v>162</v>
      </c>
      <c r="J128" s="564" t="s">
        <v>162</v>
      </c>
      <c r="K128" s="564" t="s">
        <v>162</v>
      </c>
      <c r="L128" s="564" t="s">
        <v>162</v>
      </c>
      <c r="M128" s="564" t="s">
        <v>162</v>
      </c>
      <c r="N128" s="564" t="s">
        <v>162</v>
      </c>
      <c r="O128" s="564" t="s">
        <v>162</v>
      </c>
      <c r="P128" s="564" t="s">
        <v>162</v>
      </c>
      <c r="Q128" s="564" t="s">
        <v>162</v>
      </c>
      <c r="R128" s="564" t="s">
        <v>162</v>
      </c>
      <c r="S128" s="564" t="s">
        <v>162</v>
      </c>
      <c r="T128" s="564" t="s">
        <v>162</v>
      </c>
      <c r="U128" s="564" t="s">
        <v>162</v>
      </c>
      <c r="V128" s="564" t="s">
        <v>162</v>
      </c>
      <c r="W128" s="564" t="s">
        <v>162</v>
      </c>
      <c r="X128" s="564" t="s">
        <v>162</v>
      </c>
      <c r="Y128" s="564" t="s">
        <v>162</v>
      </c>
      <c r="Z128" s="564" t="s">
        <v>162</v>
      </c>
      <c r="AA128" s="564" t="s">
        <v>162</v>
      </c>
      <c r="AB128" s="564" t="s">
        <v>162</v>
      </c>
      <c r="AC128" s="564" t="s">
        <v>162</v>
      </c>
      <c r="AD128" s="564" t="s">
        <v>162</v>
      </c>
      <c r="AE128" s="564" t="s">
        <v>162</v>
      </c>
      <c r="AF128" s="564" t="s">
        <v>162</v>
      </c>
      <c r="AG128" s="564" t="s">
        <v>162</v>
      </c>
      <c r="AH128" s="564" t="s">
        <v>162</v>
      </c>
      <c r="AI128" s="564" t="s">
        <v>162</v>
      </c>
      <c r="AJ128" s="564" t="s">
        <v>162</v>
      </c>
      <c r="AK128" s="564" t="s">
        <v>162</v>
      </c>
      <c r="AL128" s="564" t="s">
        <v>162</v>
      </c>
      <c r="AM128" s="564" t="s">
        <v>162</v>
      </c>
      <c r="AN128" s="564" t="s">
        <v>162</v>
      </c>
      <c r="AO128" s="564" t="s">
        <v>162</v>
      </c>
      <c r="AP128" s="564" t="s">
        <v>162</v>
      </c>
      <c r="AQ128" s="564" t="s">
        <v>162</v>
      </c>
      <c r="AR128" s="564" t="s">
        <v>162</v>
      </c>
      <c r="AS128" s="564" t="s">
        <v>162</v>
      </c>
      <c r="AT128" s="564" t="s">
        <v>162</v>
      </c>
      <c r="AU128" s="564" t="s">
        <v>162</v>
      </c>
      <c r="AV128" s="564" t="s">
        <v>162</v>
      </c>
      <c r="AW128" s="565"/>
    </row>
    <row r="129">
      <c r="A129" s="122"/>
      <c r="B129" s="123"/>
      <c r="C129" s="538"/>
      <c r="D129" s="538"/>
      <c r="E129" s="254" t="s">
        <v>635</v>
      </c>
      <c r="F129" s="539" t="s">
        <v>72</v>
      </c>
      <c r="G129" s="540" t="s">
        <v>161</v>
      </c>
      <c r="H129" s="576" t="s">
        <v>162</v>
      </c>
      <c r="I129" s="542">
        <f t="shared" ref="I129:AV129" si="30">I114*$H$128</f>
        <v>0.001486441414</v>
      </c>
      <c r="J129" s="542">
        <f t="shared" si="30"/>
        <v>0.001255097769</v>
      </c>
      <c r="K129" s="542">
        <f t="shared" si="30"/>
        <v>0.001587325156</v>
      </c>
      <c r="L129" s="542">
        <f t="shared" si="30"/>
        <v>0.000824648201</v>
      </c>
      <c r="M129" s="542">
        <f t="shared" si="30"/>
        <v>0.001279629725</v>
      </c>
      <c r="N129" s="542">
        <f t="shared" si="30"/>
        <v>0.001145979523</v>
      </c>
      <c r="O129" s="542">
        <f t="shared" si="30"/>
        <v>0.00124322659</v>
      </c>
      <c r="P129" s="542">
        <f t="shared" si="30"/>
        <v>0.001931210322</v>
      </c>
      <c r="Q129" s="542">
        <f t="shared" si="30"/>
        <v>0.002272498879</v>
      </c>
      <c r="R129" s="542">
        <f t="shared" si="30"/>
        <v>0.0003688731062</v>
      </c>
      <c r="S129" s="542">
        <f t="shared" si="30"/>
        <v>0.001000667363</v>
      </c>
      <c r="T129" s="542">
        <f t="shared" si="30"/>
        <v>0.0002600206372</v>
      </c>
      <c r="U129" s="542">
        <f t="shared" si="30"/>
        <v>0.0002342926604</v>
      </c>
      <c r="V129" s="542">
        <f t="shared" si="30"/>
        <v>0.0003705681323</v>
      </c>
      <c r="W129" s="542">
        <f t="shared" si="30"/>
        <v>0.0004519368935</v>
      </c>
      <c r="X129" s="542">
        <f t="shared" si="30"/>
        <v>0.0003625734054</v>
      </c>
      <c r="Y129" s="542">
        <f t="shared" si="30"/>
        <v>0.000275738971</v>
      </c>
      <c r="Z129" s="542">
        <f t="shared" si="30"/>
        <v>0.0003539456982</v>
      </c>
      <c r="AA129" s="542">
        <f t="shared" si="30"/>
        <v>0.000426536963</v>
      </c>
      <c r="AB129" s="542">
        <f t="shared" si="30"/>
        <v>0.0003572766917</v>
      </c>
      <c r="AC129" s="542">
        <f t="shared" si="30"/>
        <v>0.000260085868</v>
      </c>
      <c r="AD129" s="542">
        <f t="shared" si="30"/>
        <v>0.0001735493377</v>
      </c>
      <c r="AE129" s="542">
        <f t="shared" si="30"/>
        <v>0.0003317770507</v>
      </c>
      <c r="AF129" s="542">
        <f t="shared" si="30"/>
        <v>0.0001974796135</v>
      </c>
      <c r="AG129" s="542">
        <f t="shared" si="30"/>
        <v>0.000824648201</v>
      </c>
      <c r="AH129" s="542">
        <f t="shared" si="30"/>
        <v>0.0002571687944</v>
      </c>
      <c r="AI129" s="542">
        <f t="shared" si="30"/>
        <v>0.0001912219745</v>
      </c>
      <c r="AJ129" s="542">
        <f t="shared" si="30"/>
        <v>0.0001487058692</v>
      </c>
      <c r="AK129" s="542">
        <f t="shared" si="30"/>
        <v>0.0004586762341</v>
      </c>
      <c r="AL129" s="542">
        <f t="shared" si="30"/>
        <v>0.0006904859514</v>
      </c>
      <c r="AM129" s="542">
        <f t="shared" si="30"/>
        <v>0.0006904859514</v>
      </c>
      <c r="AN129" s="542">
        <f t="shared" si="30"/>
        <v>0.0006904859514</v>
      </c>
      <c r="AO129" s="542">
        <f t="shared" si="30"/>
        <v>0.000271772276</v>
      </c>
      <c r="AP129" s="542">
        <f t="shared" si="30"/>
        <v>0.0002845348908</v>
      </c>
      <c r="AQ129" s="542">
        <f t="shared" si="30"/>
        <v>0.0001226727228</v>
      </c>
      <c r="AR129" s="542">
        <f t="shared" si="30"/>
        <v>0.0001908106222</v>
      </c>
      <c r="AS129" s="542">
        <f t="shared" si="30"/>
        <v>0.000335384841</v>
      </c>
      <c r="AT129" s="542">
        <f t="shared" si="30"/>
        <v>0.0003389822937</v>
      </c>
      <c r="AU129" s="542">
        <f t="shared" si="30"/>
        <v>0.00108404623</v>
      </c>
      <c r="AV129" s="542">
        <f t="shared" si="30"/>
        <v>0.0007724448684</v>
      </c>
      <c r="AW129" s="565"/>
    </row>
    <row r="130">
      <c r="A130" s="122"/>
      <c r="B130" s="123"/>
      <c r="C130" s="538"/>
      <c r="D130" s="538"/>
      <c r="E130" s="254" t="s">
        <v>636</v>
      </c>
      <c r="F130" s="539" t="s">
        <v>72</v>
      </c>
      <c r="G130" s="540" t="s">
        <v>161</v>
      </c>
      <c r="H130" s="576" t="s">
        <v>162</v>
      </c>
      <c r="I130" s="542">
        <f t="shared" ref="I130:AV130" si="31">I103*$H$128</f>
        <v>0.0002461000746</v>
      </c>
      <c r="J130" s="542">
        <f t="shared" si="31"/>
        <v>0.0002093259039</v>
      </c>
      <c r="K130" s="542">
        <f t="shared" si="31"/>
        <v>0.0002609922886</v>
      </c>
      <c r="L130" s="542">
        <f t="shared" si="31"/>
        <v>0.0001452808526</v>
      </c>
      <c r="M130" s="542">
        <f t="shared" si="31"/>
        <v>0.0002280966135</v>
      </c>
      <c r="N130" s="542">
        <f t="shared" si="31"/>
        <v>0.0001990361106</v>
      </c>
      <c r="O130" s="542">
        <f t="shared" si="31"/>
        <v>0.0002268348923</v>
      </c>
      <c r="P130" s="542">
        <f t="shared" si="31"/>
        <v>0.0003161520738</v>
      </c>
      <c r="Q130" s="542">
        <f t="shared" si="31"/>
        <v>0.0003252913957</v>
      </c>
      <c r="R130" s="542">
        <f t="shared" si="31"/>
        <v>0.00007574177863</v>
      </c>
      <c r="S130" s="542">
        <f t="shared" si="31"/>
        <v>0.0001856318611</v>
      </c>
      <c r="T130" s="542">
        <f t="shared" si="31"/>
        <v>0.00006421005379</v>
      </c>
      <c r="U130" s="542">
        <f t="shared" si="31"/>
        <v>0.00006518963933</v>
      </c>
      <c r="V130" s="542">
        <f t="shared" si="31"/>
        <v>0.00007232593203</v>
      </c>
      <c r="W130" s="542">
        <f t="shared" si="31"/>
        <v>0.0001265403624</v>
      </c>
      <c r="X130" s="542">
        <f t="shared" si="31"/>
        <v>0.0001074629139</v>
      </c>
      <c r="Y130" s="542">
        <f t="shared" si="31"/>
        <v>0.00006661208419</v>
      </c>
      <c r="Z130" s="542">
        <f t="shared" si="31"/>
        <v>0.00008700366951</v>
      </c>
      <c r="AA130" s="542">
        <f t="shared" si="31"/>
        <v>0.0001191339683</v>
      </c>
      <c r="AB130" s="542">
        <f t="shared" si="31"/>
        <v>0.00006927940228</v>
      </c>
      <c r="AC130" s="542">
        <f t="shared" si="31"/>
        <v>0.00006364150374</v>
      </c>
      <c r="AD130" s="542">
        <f t="shared" si="31"/>
        <v>0.00006013179021</v>
      </c>
      <c r="AE130" s="542">
        <f t="shared" si="31"/>
        <v>0.00008623133999</v>
      </c>
      <c r="AF130" s="542">
        <f t="shared" si="31"/>
        <v>0.00006015987006</v>
      </c>
      <c r="AG130" s="542">
        <f t="shared" si="31"/>
        <v>0.0001452808526</v>
      </c>
      <c r="AH130" s="542">
        <f t="shared" si="31"/>
        <v>0.00006381987763</v>
      </c>
      <c r="AI130" s="542">
        <f t="shared" si="31"/>
        <v>0.00006072146701</v>
      </c>
      <c r="AJ130" s="542">
        <f t="shared" si="31"/>
        <v>0.00006039921733</v>
      </c>
      <c r="AK130" s="542">
        <f t="shared" si="31"/>
        <v>0.0001145494652</v>
      </c>
      <c r="AL130" s="542">
        <f t="shared" si="31"/>
        <v>0.0001522077499</v>
      </c>
      <c r="AM130" s="542">
        <f t="shared" si="31"/>
        <v>0.0001522077499</v>
      </c>
      <c r="AN130" s="542">
        <f t="shared" si="31"/>
        <v>0.0001522077499</v>
      </c>
      <c r="AO130" s="542">
        <f t="shared" si="31"/>
        <v>0.00008281977222</v>
      </c>
      <c r="AP130" s="542">
        <f t="shared" si="31"/>
        <v>0.00008175701685</v>
      </c>
      <c r="AQ130" s="542">
        <f t="shared" si="31"/>
        <v>0.00004418751789</v>
      </c>
      <c r="AR130" s="542">
        <f t="shared" si="31"/>
        <v>0.00004770418452</v>
      </c>
      <c r="AS130" s="542">
        <f t="shared" si="31"/>
        <v>0.0001066929912</v>
      </c>
      <c r="AT130" s="542">
        <f t="shared" si="31"/>
        <v>0.00007474293834</v>
      </c>
      <c r="AU130" s="542">
        <f t="shared" si="31"/>
        <v>0.0001991987063</v>
      </c>
      <c r="AV130" s="542">
        <f t="shared" si="31"/>
        <v>0.0001813639917</v>
      </c>
      <c r="AW130" s="565"/>
    </row>
    <row r="131">
      <c r="A131" s="122"/>
      <c r="B131" s="123"/>
      <c r="C131" s="538"/>
      <c r="D131" s="538"/>
      <c r="E131" s="254" t="s">
        <v>637</v>
      </c>
      <c r="F131" s="539" t="s">
        <v>72</v>
      </c>
      <c r="G131" s="540" t="s">
        <v>161</v>
      </c>
      <c r="H131" s="576" t="s">
        <v>162</v>
      </c>
      <c r="I131" s="542">
        <f t="shared" ref="I131:AV131" si="32">I104*$H$128</f>
        <v>0.0005002601352</v>
      </c>
      <c r="J131" s="542">
        <f t="shared" si="32"/>
        <v>0.0003735165282</v>
      </c>
      <c r="K131" s="542">
        <f t="shared" si="32"/>
        <v>0.0006323587028</v>
      </c>
      <c r="L131" s="542">
        <f t="shared" si="32"/>
        <v>0.0003359085198</v>
      </c>
      <c r="M131" s="542">
        <f t="shared" si="32"/>
        <v>0.0003837619286</v>
      </c>
      <c r="N131" s="542">
        <f t="shared" si="32"/>
        <v>0.0004848927032</v>
      </c>
      <c r="O131" s="542">
        <f t="shared" si="32"/>
        <v>0.000522187287</v>
      </c>
      <c r="P131" s="542">
        <f t="shared" si="32"/>
        <v>0.0007204689857</v>
      </c>
      <c r="Q131" s="542">
        <f t="shared" si="32"/>
        <v>0.0006438056533</v>
      </c>
      <c r="R131" s="542">
        <f t="shared" si="32"/>
        <v>0.0002178156453</v>
      </c>
      <c r="S131" s="542">
        <f t="shared" si="32"/>
        <v>0.0003975213214</v>
      </c>
      <c r="T131" s="542">
        <f t="shared" si="32"/>
        <v>0.0002296730963</v>
      </c>
      <c r="U131" s="542">
        <f t="shared" si="32"/>
        <v>0.0002278508479</v>
      </c>
      <c r="V131" s="542">
        <f t="shared" si="32"/>
        <v>0.0002759658005</v>
      </c>
      <c r="W131" s="542">
        <f t="shared" si="32"/>
        <v>0.0003516302927</v>
      </c>
      <c r="X131" s="542">
        <f t="shared" si="32"/>
        <v>0.0003167596683</v>
      </c>
      <c r="Y131" s="542">
        <f t="shared" si="32"/>
        <v>0.0002397240772</v>
      </c>
      <c r="Z131" s="542">
        <f t="shared" si="32"/>
        <v>0.0002631902721</v>
      </c>
      <c r="AA131" s="542">
        <f t="shared" si="32"/>
        <v>0.0003099897507</v>
      </c>
      <c r="AB131" s="542">
        <f t="shared" si="32"/>
        <v>0.0002348905994</v>
      </c>
      <c r="AC131" s="542">
        <f t="shared" si="32"/>
        <v>0.0002062245516</v>
      </c>
      <c r="AD131" s="542">
        <f t="shared" si="32"/>
        <v>0.0002318881952</v>
      </c>
      <c r="AE131" s="542">
        <f t="shared" si="32"/>
        <v>0.0002370487363</v>
      </c>
      <c r="AF131" s="542">
        <f t="shared" si="32"/>
        <v>0.000204703961</v>
      </c>
      <c r="AG131" s="542">
        <f t="shared" si="32"/>
        <v>0.0003359085198</v>
      </c>
      <c r="AH131" s="542">
        <f t="shared" si="32"/>
        <v>0.000240915465</v>
      </c>
      <c r="AI131" s="542">
        <f t="shared" si="32"/>
        <v>0.0002668553608</v>
      </c>
      <c r="AJ131" s="542">
        <f t="shared" si="32"/>
        <v>0.0001847405265</v>
      </c>
      <c r="AK131" s="542">
        <f t="shared" si="32"/>
        <v>0.0003453639404</v>
      </c>
      <c r="AL131" s="542">
        <f t="shared" si="32"/>
        <v>0.0004328968482</v>
      </c>
      <c r="AM131" s="542">
        <f t="shared" si="32"/>
        <v>0.0004328968482</v>
      </c>
      <c r="AN131" s="542">
        <f t="shared" si="32"/>
        <v>0.0004328968482</v>
      </c>
      <c r="AO131" s="542">
        <f t="shared" si="32"/>
        <v>0.000299352837</v>
      </c>
      <c r="AP131" s="542">
        <f t="shared" si="32"/>
        <v>0.0002448182964</v>
      </c>
      <c r="AQ131" s="542">
        <f t="shared" si="32"/>
        <v>0.0001633706928</v>
      </c>
      <c r="AR131" s="542">
        <f t="shared" si="32"/>
        <v>0.0002076226606</v>
      </c>
      <c r="AS131" s="542">
        <f t="shared" si="32"/>
        <v>0.0003515393675</v>
      </c>
      <c r="AT131" s="542">
        <f t="shared" si="32"/>
        <v>0.000234664891</v>
      </c>
      <c r="AU131" s="542">
        <f t="shared" si="32"/>
        <v>0.0004417176643</v>
      </c>
      <c r="AV131" s="542">
        <f t="shared" si="32"/>
        <v>0.0005169957244</v>
      </c>
      <c r="AW131" s="565"/>
    </row>
    <row r="132">
      <c r="A132" s="122"/>
      <c r="B132" s="123"/>
      <c r="C132" s="538"/>
      <c r="D132" s="538"/>
      <c r="E132" s="490" t="s">
        <v>638</v>
      </c>
      <c r="F132" s="544" t="s">
        <v>72</v>
      </c>
      <c r="G132" s="545" t="s">
        <v>161</v>
      </c>
      <c r="H132" s="551" t="s">
        <v>162</v>
      </c>
      <c r="I132" s="547">
        <f t="shared" ref="I132:AV132" si="33">I105*$H$128</f>
        <v>0.0013209354</v>
      </c>
      <c r="J132" s="547">
        <f t="shared" si="33"/>
        <v>0.001254992686</v>
      </c>
      <c r="K132" s="547">
        <f t="shared" si="33"/>
        <v>0.001383887477</v>
      </c>
      <c r="L132" s="547">
        <f t="shared" si="33"/>
        <v>0.0008497264076</v>
      </c>
      <c r="M132" s="547">
        <f t="shared" si="33"/>
        <v>0.0009796387586</v>
      </c>
      <c r="N132" s="547">
        <f t="shared" si="33"/>
        <v>0.001188428471</v>
      </c>
      <c r="O132" s="547">
        <f t="shared" si="33"/>
        <v>0.001513507797</v>
      </c>
      <c r="P132" s="547">
        <f t="shared" si="33"/>
        <v>0.001564953287</v>
      </c>
      <c r="Q132" s="547">
        <f t="shared" si="33"/>
        <v>0.001787924927</v>
      </c>
      <c r="R132" s="547">
        <f t="shared" si="33"/>
        <v>0.0006173544368</v>
      </c>
      <c r="S132" s="547">
        <f t="shared" si="33"/>
        <v>0.001034619368</v>
      </c>
      <c r="T132" s="547">
        <f t="shared" si="33"/>
        <v>0.0006981917718</v>
      </c>
      <c r="U132" s="547">
        <f t="shared" si="33"/>
        <v>0.0005913682761</v>
      </c>
      <c r="V132" s="547">
        <f t="shared" si="33"/>
        <v>0.0008310273686</v>
      </c>
      <c r="W132" s="547">
        <f t="shared" si="33"/>
        <v>0.0009030679559</v>
      </c>
      <c r="X132" s="547">
        <f t="shared" si="33"/>
        <v>0.0009276798086</v>
      </c>
      <c r="Y132" s="547">
        <f t="shared" si="33"/>
        <v>0.0007132342799</v>
      </c>
      <c r="Z132" s="547">
        <f t="shared" si="33"/>
        <v>0.0006329347408</v>
      </c>
      <c r="AA132" s="547">
        <f t="shared" si="33"/>
        <v>0.0008013515159</v>
      </c>
      <c r="AB132" s="547">
        <f t="shared" si="33"/>
        <v>0.0005594578025</v>
      </c>
      <c r="AC132" s="547">
        <f t="shared" si="33"/>
        <v>0.0005948154117</v>
      </c>
      <c r="AD132" s="547">
        <f t="shared" si="33"/>
        <v>0.0006642953843</v>
      </c>
      <c r="AE132" s="547">
        <f t="shared" si="33"/>
        <v>0.000472316408</v>
      </c>
      <c r="AF132" s="547">
        <f t="shared" si="33"/>
        <v>0.0005503711638</v>
      </c>
      <c r="AG132" s="547">
        <f t="shared" si="33"/>
        <v>0.0008497264076</v>
      </c>
      <c r="AH132" s="547">
        <f t="shared" si="33"/>
        <v>0.0007240281733</v>
      </c>
      <c r="AI132" s="547">
        <f t="shared" si="33"/>
        <v>0.0007026968491</v>
      </c>
      <c r="AJ132" s="547">
        <f t="shared" si="33"/>
        <v>0.0004543485146</v>
      </c>
      <c r="AK132" s="547">
        <f t="shared" si="33"/>
        <v>0.0006928269163</v>
      </c>
      <c r="AL132" s="547">
        <f t="shared" si="33"/>
        <v>0.001033796762</v>
      </c>
      <c r="AM132" s="547">
        <f t="shared" si="33"/>
        <v>0.001033796762</v>
      </c>
      <c r="AN132" s="547">
        <f t="shared" si="33"/>
        <v>0.001033796762</v>
      </c>
      <c r="AO132" s="547">
        <f t="shared" si="33"/>
        <v>0.0008013389468</v>
      </c>
      <c r="AP132" s="547">
        <f t="shared" si="33"/>
        <v>0.0006959175716</v>
      </c>
      <c r="AQ132" s="547">
        <f t="shared" si="33"/>
        <v>0.0005556916263</v>
      </c>
      <c r="AR132" s="547">
        <f t="shared" si="33"/>
        <v>0.0005993945663</v>
      </c>
      <c r="AS132" s="547">
        <f t="shared" si="33"/>
        <v>0.0006906971268</v>
      </c>
      <c r="AT132" s="547">
        <f t="shared" si="33"/>
        <v>0.0006281812238</v>
      </c>
      <c r="AU132" s="547">
        <f t="shared" si="33"/>
        <v>0.0008925016429</v>
      </c>
      <c r="AV132" s="547">
        <f t="shared" si="33"/>
        <v>0.001252321356</v>
      </c>
      <c r="AW132" s="577"/>
    </row>
    <row r="133">
      <c r="A133" s="122"/>
      <c r="B133" s="123"/>
      <c r="C133" s="143"/>
      <c r="D133" s="143"/>
      <c r="E133" s="269"/>
      <c r="F133" s="533"/>
      <c r="G133" s="534"/>
      <c r="H133" s="127"/>
      <c r="I133" s="482"/>
      <c r="J133" s="482"/>
      <c r="K133" s="482"/>
      <c r="L133" s="482"/>
      <c r="M133" s="482"/>
      <c r="N133" s="482"/>
      <c r="O133" s="482"/>
      <c r="P133" s="482"/>
      <c r="Q133" s="482"/>
      <c r="R133" s="482"/>
      <c r="S133" s="482"/>
      <c r="T133" s="482"/>
      <c r="U133" s="482"/>
      <c r="V133" s="482"/>
      <c r="W133" s="482"/>
      <c r="X133" s="482"/>
      <c r="Y133" s="482"/>
      <c r="Z133" s="482"/>
      <c r="AA133" s="482"/>
      <c r="AB133" s="482"/>
      <c r="AC133" s="482"/>
      <c r="AD133" s="482"/>
      <c r="AE133" s="482"/>
      <c r="AF133" s="482"/>
      <c r="AG133" s="482"/>
      <c r="AH133" s="482"/>
      <c r="AI133" s="482"/>
      <c r="AJ133" s="482"/>
      <c r="AK133" s="482"/>
      <c r="AL133" s="482"/>
      <c r="AM133" s="482"/>
      <c r="AN133" s="482"/>
      <c r="AO133" s="482"/>
      <c r="AP133" s="482"/>
      <c r="AQ133" s="482"/>
      <c r="AR133" s="482"/>
      <c r="AS133" s="482"/>
      <c r="AT133" s="482"/>
      <c r="AU133" s="482"/>
      <c r="AV133" s="482"/>
      <c r="AW133" s="132"/>
    </row>
    <row r="134">
      <c r="A134" s="117" t="s">
        <v>639</v>
      </c>
      <c r="B134" s="7"/>
      <c r="C134" s="7"/>
      <c r="D134" s="7"/>
      <c r="E134" s="7"/>
      <c r="F134" s="7"/>
      <c r="G134" s="7"/>
      <c r="H134" s="118"/>
      <c r="I134" s="340"/>
      <c r="J134" s="340"/>
      <c r="K134" s="340"/>
      <c r="L134" s="340"/>
      <c r="M134" s="340"/>
      <c r="N134" s="340"/>
      <c r="O134" s="340"/>
      <c r="P134" s="340"/>
      <c r="Q134" s="340"/>
      <c r="R134" s="340"/>
      <c r="S134" s="340"/>
      <c r="T134" s="340"/>
      <c r="U134" s="340"/>
      <c r="V134" s="340"/>
      <c r="W134" s="340"/>
      <c r="X134" s="340"/>
      <c r="Y134" s="340"/>
      <c r="Z134" s="340"/>
      <c r="AA134" s="340"/>
      <c r="AB134" s="340"/>
      <c r="AC134" s="340"/>
      <c r="AD134" s="340"/>
      <c r="AE134" s="340"/>
      <c r="AF134" s="340"/>
      <c r="AG134" s="340"/>
      <c r="AH134" s="340"/>
      <c r="AI134" s="340"/>
      <c r="AJ134" s="340"/>
      <c r="AK134" s="340"/>
      <c r="AL134" s="340"/>
      <c r="AM134" s="340"/>
      <c r="AN134" s="340"/>
      <c r="AO134" s="340"/>
      <c r="AP134" s="340"/>
      <c r="AQ134" s="340"/>
      <c r="AR134" s="340"/>
      <c r="AS134" s="340"/>
      <c r="AT134" s="340"/>
      <c r="AU134" s="340"/>
      <c r="AV134" s="340"/>
      <c r="AW134" s="121"/>
    </row>
    <row r="135">
      <c r="A135" s="122"/>
      <c r="B135" s="123"/>
      <c r="C135" s="538"/>
      <c r="D135" s="538"/>
      <c r="E135" s="269"/>
      <c r="F135" s="533"/>
      <c r="G135" s="534"/>
      <c r="H135" s="127"/>
      <c r="I135" s="552"/>
      <c r="J135" s="552"/>
      <c r="K135" s="552"/>
      <c r="L135" s="552"/>
      <c r="M135" s="552"/>
      <c r="N135" s="552"/>
      <c r="O135" s="552"/>
      <c r="P135" s="552"/>
      <c r="Q135" s="552"/>
      <c r="R135" s="552"/>
      <c r="S135" s="552"/>
      <c r="T135" s="552"/>
      <c r="U135" s="552"/>
      <c r="V135" s="552"/>
      <c r="W135" s="552"/>
      <c r="X135" s="552"/>
      <c r="Y135" s="552"/>
      <c r="Z135" s="552"/>
      <c r="AA135" s="552"/>
      <c r="AB135" s="552"/>
      <c r="AC135" s="552"/>
      <c r="AD135" s="552"/>
      <c r="AE135" s="552"/>
      <c r="AF135" s="552"/>
      <c r="AG135" s="552"/>
      <c r="AH135" s="552"/>
      <c r="AI135" s="552"/>
      <c r="AJ135" s="552"/>
      <c r="AK135" s="552"/>
      <c r="AL135" s="552"/>
      <c r="AM135" s="552"/>
      <c r="AN135" s="552"/>
      <c r="AO135" s="552"/>
      <c r="AP135" s="552"/>
      <c r="AQ135" s="552"/>
      <c r="AR135" s="552"/>
      <c r="AS135" s="552"/>
      <c r="AT135" s="552"/>
      <c r="AU135" s="552"/>
      <c r="AV135" s="552"/>
      <c r="AW135" s="553"/>
    </row>
    <row r="136">
      <c r="A136" s="123"/>
      <c r="B136" s="123"/>
      <c r="C136" s="143" t="s">
        <v>640</v>
      </c>
      <c r="F136" s="533"/>
      <c r="G136" s="533"/>
      <c r="H136" s="127"/>
      <c r="I136" s="552"/>
      <c r="J136" s="552"/>
      <c r="K136" s="552"/>
      <c r="L136" s="552"/>
      <c r="M136" s="552"/>
      <c r="N136" s="552"/>
      <c r="O136" s="552"/>
      <c r="P136" s="552"/>
      <c r="Q136" s="552"/>
      <c r="R136" s="552"/>
      <c r="S136" s="552"/>
      <c r="T136" s="552"/>
      <c r="U136" s="552"/>
      <c r="V136" s="552"/>
      <c r="W136" s="552"/>
      <c r="X136" s="552"/>
      <c r="Y136" s="552"/>
      <c r="Z136" s="552"/>
      <c r="AA136" s="552"/>
      <c r="AB136" s="552"/>
      <c r="AC136" s="552"/>
      <c r="AD136" s="552"/>
      <c r="AE136" s="552"/>
      <c r="AF136" s="552"/>
      <c r="AG136" s="552"/>
      <c r="AH136" s="552"/>
      <c r="AI136" s="552"/>
      <c r="AJ136" s="552"/>
      <c r="AK136" s="552"/>
      <c r="AL136" s="552"/>
      <c r="AM136" s="552"/>
      <c r="AN136" s="552"/>
      <c r="AO136" s="552"/>
      <c r="AP136" s="552"/>
      <c r="AQ136" s="552"/>
      <c r="AR136" s="552"/>
      <c r="AS136" s="552"/>
      <c r="AT136" s="552"/>
      <c r="AU136" s="552"/>
      <c r="AV136" s="552"/>
      <c r="AW136" s="553"/>
    </row>
    <row r="137">
      <c r="A137" s="122"/>
      <c r="B137" s="123"/>
      <c r="C137" s="538"/>
      <c r="D137" s="538"/>
      <c r="E137" s="254" t="s">
        <v>641</v>
      </c>
      <c r="F137" s="539" t="s">
        <v>72</v>
      </c>
      <c r="G137" s="540" t="s">
        <v>165</v>
      </c>
      <c r="H137" s="541" t="str">
        <f>Inputs!H173</f>
        <v>-</v>
      </c>
      <c r="I137" s="542">
        <f>Inputs!I173</f>
        <v>0.028953826</v>
      </c>
      <c r="J137" s="542">
        <f>Inputs!J173</f>
        <v>0.019935049</v>
      </c>
      <c r="K137" s="542">
        <f>Inputs!K173</f>
        <v>0.023778119</v>
      </c>
      <c r="L137" s="542">
        <f>Inputs!L173</f>
        <v>0.01066086</v>
      </c>
      <c r="M137" s="542">
        <f>Inputs!M173</f>
        <v>0.019142781</v>
      </c>
      <c r="N137" s="542">
        <f>Inputs!N173</f>
        <v>0.020195653</v>
      </c>
      <c r="O137" s="542">
        <f>Inputs!O173</f>
        <v>0.022145719</v>
      </c>
      <c r="P137" s="542">
        <f>Inputs!P173</f>
        <v>0.03220683</v>
      </c>
      <c r="Q137" s="542">
        <f>Inputs!Q173</f>
        <v>0.038689546</v>
      </c>
      <c r="R137" s="542">
        <f>Inputs!R173</f>
        <v>0.008317334</v>
      </c>
      <c r="S137" s="542">
        <f>Inputs!S173</f>
        <v>0.017929219</v>
      </c>
      <c r="T137" s="542">
        <f>Inputs!T173</f>
        <v>0.003771386</v>
      </c>
      <c r="U137" s="542">
        <f>Inputs!U173</f>
        <v>0.003005545</v>
      </c>
      <c r="V137" s="542">
        <f>Inputs!V173</f>
        <v>0.008466792</v>
      </c>
      <c r="W137" s="542">
        <f>Inputs!W173</f>
        <v>0.011690826</v>
      </c>
      <c r="X137" s="542">
        <f>Inputs!X173</f>
        <v>0.009844375</v>
      </c>
      <c r="Y137" s="542">
        <f>Inputs!Y173</f>
        <v>0.004539302</v>
      </c>
      <c r="Z137" s="542">
        <f>Inputs!Z173</f>
        <v>0.00495511</v>
      </c>
      <c r="AA137" s="542">
        <f>Inputs!AA173</f>
        <v>0.007927072</v>
      </c>
      <c r="AB137" s="542">
        <f>Inputs!AB173</f>
        <v>0.004365989</v>
      </c>
      <c r="AC137" s="542">
        <f>Inputs!AC173</f>
        <v>0.004120486</v>
      </c>
      <c r="AD137" s="542">
        <f>Inputs!AD173</f>
        <v>0.00271251</v>
      </c>
      <c r="AE137" s="542">
        <f>Inputs!AE173</f>
        <v>0.004333639</v>
      </c>
      <c r="AF137" s="542">
        <f>Inputs!AF173</f>
        <v>0.002607964</v>
      </c>
      <c r="AG137" s="542">
        <f>Inputs!AG173</f>
        <v>0.01066086</v>
      </c>
      <c r="AH137" s="542">
        <f>Inputs!AH173</f>
        <v>0.003592045</v>
      </c>
      <c r="AI137" s="542">
        <f>Inputs!AI173</f>
        <v>0.002748778</v>
      </c>
      <c r="AJ137" s="542">
        <f>Inputs!AJ173</f>
        <v>0.002528933</v>
      </c>
      <c r="AK137" s="542">
        <f>Inputs!AK173</f>
        <v>0.006564346</v>
      </c>
      <c r="AL137" s="542">
        <f>Inputs!AL173</f>
        <v>0.011935639</v>
      </c>
      <c r="AM137" s="542">
        <f>Inputs!AM173</f>
        <v>0.011935639</v>
      </c>
      <c r="AN137" s="542">
        <f>Inputs!AN173</f>
        <v>0.011935639</v>
      </c>
      <c r="AO137" s="542">
        <f>Inputs!AO173</f>
        <v>0.00391545</v>
      </c>
      <c r="AP137" s="542">
        <f>Inputs!AP173</f>
        <v>0.004007555</v>
      </c>
      <c r="AQ137" s="542">
        <f>Inputs!AQ173</f>
        <v>0.002237864</v>
      </c>
      <c r="AR137" s="542">
        <f>Inputs!AR173</f>
        <v>0.002368033</v>
      </c>
      <c r="AS137" s="542">
        <f>Inputs!AS173</f>
        <v>0.005945687</v>
      </c>
      <c r="AT137" s="542">
        <f>Inputs!AT173</f>
        <v>0.004619085</v>
      </c>
      <c r="AU137" s="542">
        <f>Inputs!AU173</f>
        <v>0.019506681</v>
      </c>
      <c r="AV137" s="542">
        <f>Inputs!AV173</f>
        <v>0.014523595</v>
      </c>
      <c r="AW137" s="543"/>
    </row>
    <row r="138">
      <c r="A138" s="122"/>
      <c r="B138" s="123"/>
      <c r="C138" s="538"/>
      <c r="D138" s="538"/>
      <c r="E138" s="257" t="s">
        <v>642</v>
      </c>
      <c r="F138" s="554" t="s">
        <v>72</v>
      </c>
      <c r="G138" s="555" t="s">
        <v>165</v>
      </c>
      <c r="H138" s="556" t="str">
        <f>Inputs!H174</f>
        <v>-</v>
      </c>
      <c r="I138" s="557">
        <f>Inputs!I174</f>
        <v>0.001404528</v>
      </c>
      <c r="J138" s="557">
        <f>Inputs!J174</f>
        <v>0.000853859</v>
      </c>
      <c r="K138" s="557">
        <f>Inputs!K174</f>
        <v>0.000897047</v>
      </c>
      <c r="L138" s="557">
        <f>Inputs!L174</f>
        <v>0.000336525</v>
      </c>
      <c r="M138" s="557">
        <f>Inputs!M174</f>
        <v>0.000638931</v>
      </c>
      <c r="N138" s="557">
        <f>Inputs!N174</f>
        <v>0.000930212</v>
      </c>
      <c r="O138" s="557">
        <f>Inputs!O174</f>
        <v>0.001073511</v>
      </c>
      <c r="P138" s="557">
        <f>Inputs!P174</f>
        <v>0.001322957</v>
      </c>
      <c r="Q138" s="557">
        <f>Inputs!Q174</f>
        <v>0.001353697</v>
      </c>
      <c r="R138" s="557">
        <f>Inputs!R174</f>
        <v>0.000323519</v>
      </c>
      <c r="S138" s="557">
        <f>Inputs!S174</f>
        <v>0.000724649</v>
      </c>
      <c r="T138" s="557">
        <f>Inputs!T174</f>
        <v>0.000154387</v>
      </c>
      <c r="U138" s="557">
        <f>Inputs!U174</f>
        <v>0.000131084</v>
      </c>
      <c r="V138" s="557">
        <f>Inputs!V174</f>
        <v>0.000489032</v>
      </c>
      <c r="W138" s="557">
        <f>Inputs!W174</f>
        <v>0.000711628</v>
      </c>
      <c r="X138" s="557">
        <f>Inputs!X174</f>
        <v>0.00064437</v>
      </c>
      <c r="Y138" s="557">
        <f>Inputs!Y174</f>
        <v>0.000305489</v>
      </c>
      <c r="Z138" s="557">
        <f>Inputs!Z174</f>
        <v>0.000176048</v>
      </c>
      <c r="AA138" s="557">
        <f>Inputs!AA174</f>
        <v>0.000381868</v>
      </c>
      <c r="AB138" s="557">
        <f>Inputs!AB174</f>
        <v>0.000147834</v>
      </c>
      <c r="AC138" s="557">
        <f>Inputs!AC174</f>
        <v>0.000148033</v>
      </c>
      <c r="AD138" s="557">
        <f>Inputs!AD174</f>
        <v>0.000181021</v>
      </c>
      <c r="AE138" s="557">
        <f>Inputs!AE174</f>
        <v>0.000143824</v>
      </c>
      <c r="AF138" s="557">
        <f>Inputs!AF174</f>
        <v>0.000119542</v>
      </c>
      <c r="AG138" s="557">
        <f>Inputs!AG174</f>
        <v>0.000336525</v>
      </c>
      <c r="AH138" s="557">
        <f>Inputs!AH174</f>
        <v>0.000220572</v>
      </c>
      <c r="AI138" s="557">
        <f>Inputs!AI174</f>
        <v>0.000188882</v>
      </c>
      <c r="AJ138" s="557">
        <f>Inputs!AJ174</f>
        <v>0.0000757</v>
      </c>
      <c r="AK138" s="557">
        <f>Inputs!AK174</f>
        <v>0.000365466</v>
      </c>
      <c r="AL138" s="557">
        <f>Inputs!AL174</f>
        <v>0.000588147</v>
      </c>
      <c r="AM138" s="557">
        <f>Inputs!AM174</f>
        <v>0.000588147</v>
      </c>
      <c r="AN138" s="557">
        <f>Inputs!AN174</f>
        <v>0.000588147</v>
      </c>
      <c r="AO138" s="557">
        <f>Inputs!AO174</f>
        <v>0.000172906</v>
      </c>
      <c r="AP138" s="557">
        <f>Inputs!AP174</f>
        <v>0.000221703</v>
      </c>
      <c r="AQ138" s="557">
        <f>Inputs!AQ174</f>
        <v>0.000105538</v>
      </c>
      <c r="AR138" s="557">
        <f>Inputs!AR174</f>
        <v>0.000168951</v>
      </c>
      <c r="AS138" s="557">
        <f>Inputs!AS174</f>
        <v>0.000418418</v>
      </c>
      <c r="AT138" s="557">
        <f>Inputs!AT174</f>
        <v>0.000142167</v>
      </c>
      <c r="AU138" s="557">
        <f>Inputs!AU174</f>
        <v>0.000845421</v>
      </c>
      <c r="AV138" s="557">
        <f>Inputs!AV174</f>
        <v>0.000959022</v>
      </c>
      <c r="AW138" s="558"/>
    </row>
    <row r="139">
      <c r="A139" s="122"/>
      <c r="B139" s="123"/>
      <c r="C139" s="538"/>
      <c r="D139" s="538"/>
      <c r="E139" s="257" t="s">
        <v>643</v>
      </c>
      <c r="F139" s="554" t="s">
        <v>72</v>
      </c>
      <c r="G139" s="555" t="s">
        <v>165</v>
      </c>
      <c r="H139" s="556" t="str">
        <f>Inputs!H175</f>
        <v>-</v>
      </c>
      <c r="I139" s="557">
        <f>Inputs!I175</f>
        <v>0.004800212</v>
      </c>
      <c r="J139" s="557">
        <f>Inputs!J175</f>
        <v>0.002629884</v>
      </c>
      <c r="K139" s="557">
        <f>Inputs!K175</f>
        <v>0.003693331</v>
      </c>
      <c r="L139" s="557">
        <f>Inputs!L175</f>
        <v>0.001387744</v>
      </c>
      <c r="M139" s="557">
        <f>Inputs!M175</f>
        <v>0.002059414</v>
      </c>
      <c r="N139" s="557">
        <f>Inputs!N175</f>
        <v>0.003840535</v>
      </c>
      <c r="O139" s="557">
        <f>Inputs!O175</f>
        <v>0.004186265</v>
      </c>
      <c r="P139" s="557">
        <f>Inputs!P175</f>
        <v>0.005418147</v>
      </c>
      <c r="Q139" s="557">
        <f>Inputs!Q175</f>
        <v>0.004713418</v>
      </c>
      <c r="R139" s="557">
        <f>Inputs!R175</f>
        <v>0.0009358</v>
      </c>
      <c r="S139" s="557">
        <f>Inputs!S175</f>
        <v>0.002464247</v>
      </c>
      <c r="T139" s="557">
        <f>Inputs!T175</f>
        <v>0.000956354</v>
      </c>
      <c r="U139" s="557">
        <f>Inputs!U175</f>
        <v>0.000762501</v>
      </c>
      <c r="V139" s="557">
        <f>Inputs!V175</f>
        <v>0.002117225</v>
      </c>
      <c r="W139" s="557">
        <f>Inputs!W175</f>
        <v>0.002781602</v>
      </c>
      <c r="X139" s="557">
        <f>Inputs!X175</f>
        <v>0.002375827</v>
      </c>
      <c r="Y139" s="557">
        <f>Inputs!Y175</f>
        <v>0.001715319</v>
      </c>
      <c r="Z139" s="557">
        <f>Inputs!Z175</f>
        <v>0.000967394</v>
      </c>
      <c r="AA139" s="557">
        <f>Inputs!AA175</f>
        <v>0.001784197</v>
      </c>
      <c r="AB139" s="557">
        <f>Inputs!AB175</f>
        <v>0.000891718</v>
      </c>
      <c r="AC139" s="557">
        <f>Inputs!AC175</f>
        <v>0.000905281</v>
      </c>
      <c r="AD139" s="557">
        <f>Inputs!AD175</f>
        <v>0.001086224</v>
      </c>
      <c r="AE139" s="557">
        <f>Inputs!AE175</f>
        <v>0.000710434</v>
      </c>
      <c r="AF139" s="557">
        <f>Inputs!AF175</f>
        <v>0.000683345</v>
      </c>
      <c r="AG139" s="557">
        <f>Inputs!AG175</f>
        <v>0.001387744</v>
      </c>
      <c r="AH139" s="557">
        <f>Inputs!AH175</f>
        <v>0.001335379</v>
      </c>
      <c r="AI139" s="557">
        <f>Inputs!AI175</f>
        <v>0.001365595</v>
      </c>
      <c r="AJ139" s="557">
        <f>Inputs!AJ175</f>
        <v>0.000435125</v>
      </c>
      <c r="AK139" s="557">
        <f>Inputs!AK175</f>
        <v>0.00190647</v>
      </c>
      <c r="AL139" s="557">
        <f>Inputs!AL175</f>
        <v>0.002810532</v>
      </c>
      <c r="AM139" s="557">
        <f>Inputs!AM175</f>
        <v>0.002810532</v>
      </c>
      <c r="AN139" s="557">
        <f>Inputs!AN175</f>
        <v>0.002810532</v>
      </c>
      <c r="AO139" s="557">
        <f>Inputs!AO175</f>
        <v>0.001056943</v>
      </c>
      <c r="AP139" s="557">
        <f>Inputs!AP175</f>
        <v>0.001194849</v>
      </c>
      <c r="AQ139" s="557">
        <f>Inputs!AQ175</f>
        <v>0.000674307</v>
      </c>
      <c r="AR139" s="557">
        <f>Inputs!AR175</f>
        <v>0.001094594</v>
      </c>
      <c r="AS139" s="557">
        <f>Inputs!AS175</f>
        <v>0.002257257</v>
      </c>
      <c r="AT139" s="557">
        <f>Inputs!AT175</f>
        <v>0.000824424</v>
      </c>
      <c r="AU139" s="557">
        <f>Inputs!AU175</f>
        <v>0.003444727</v>
      </c>
      <c r="AV139" s="557">
        <f>Inputs!AV175</f>
        <v>0.004175441</v>
      </c>
      <c r="AW139" s="558"/>
    </row>
    <row r="140">
      <c r="A140" s="122"/>
      <c r="B140" s="123"/>
      <c r="C140" s="538"/>
      <c r="D140" s="538"/>
      <c r="E140" s="272" t="s">
        <v>644</v>
      </c>
      <c r="F140" s="559" t="s">
        <v>72</v>
      </c>
      <c r="G140" s="560" t="s">
        <v>165</v>
      </c>
      <c r="H140" s="561" t="str">
        <f>Inputs!H176</f>
        <v>-</v>
      </c>
      <c r="I140" s="562">
        <f>Inputs!I176</f>
        <v>0.036211497</v>
      </c>
      <c r="J140" s="562">
        <f>Inputs!J176</f>
        <v>0.026063001</v>
      </c>
      <c r="K140" s="562">
        <f>Inputs!K176</f>
        <v>0.025191224</v>
      </c>
      <c r="L140" s="562">
        <f>Inputs!L176</f>
        <v>0.009476781</v>
      </c>
      <c r="M140" s="562">
        <f>Inputs!M176</f>
        <v>0.01495977</v>
      </c>
      <c r="N140" s="562">
        <f>Inputs!N176</f>
        <v>0.026991937</v>
      </c>
      <c r="O140" s="562">
        <f>Inputs!O176</f>
        <v>0.035335125</v>
      </c>
      <c r="P140" s="562">
        <f>Inputs!P176</f>
        <v>0.033801047</v>
      </c>
      <c r="Q140" s="562">
        <f>Inputs!Q176</f>
        <v>0.040274929</v>
      </c>
      <c r="R140" s="562">
        <f>Inputs!R176</f>
        <v>0.005661203</v>
      </c>
      <c r="S140" s="562">
        <f>Inputs!S176</f>
        <v>0.018103953</v>
      </c>
      <c r="T140" s="562">
        <f>Inputs!T176</f>
        <v>0.006871675</v>
      </c>
      <c r="U140" s="562">
        <f>Inputs!U176</f>
        <v>0.004802819</v>
      </c>
      <c r="V140" s="562">
        <f>Inputs!V176</f>
        <v>0.013675997</v>
      </c>
      <c r="W140" s="562">
        <f>Inputs!W176</f>
        <v>0.018155837</v>
      </c>
      <c r="X140" s="562">
        <f>Inputs!X176</f>
        <v>0.019158209</v>
      </c>
      <c r="Y140" s="562">
        <f>Inputs!Y176</f>
        <v>0.011142639</v>
      </c>
      <c r="Z140" s="562">
        <f>Inputs!Z176</f>
        <v>0.005654098</v>
      </c>
      <c r="AA140" s="562">
        <f>Inputs!AA176</f>
        <v>0.012145436</v>
      </c>
      <c r="AB140" s="562">
        <f>Inputs!AB176</f>
        <v>0.004878092</v>
      </c>
      <c r="AC140" s="562">
        <f>Inputs!AC176</f>
        <v>0.005995222</v>
      </c>
      <c r="AD140" s="562">
        <f>Inputs!AD176</f>
        <v>0.007440561</v>
      </c>
      <c r="AE140" s="562">
        <f>Inputs!AE176</f>
        <v>0.003652784</v>
      </c>
      <c r="AF140" s="562">
        <f>Inputs!AF176</f>
        <v>0.004392525</v>
      </c>
      <c r="AG140" s="562">
        <f>Inputs!AG176</f>
        <v>0.009476781</v>
      </c>
      <c r="AH140" s="562">
        <f>Inputs!AH176</f>
        <v>0.009759322</v>
      </c>
      <c r="AI140" s="562">
        <f>Inputs!AI176</f>
        <v>0.008120277</v>
      </c>
      <c r="AJ140" s="562">
        <f>Inputs!AJ176</f>
        <v>0.002439656</v>
      </c>
      <c r="AK140" s="562">
        <f>Inputs!AK176</f>
        <v>0.00992103</v>
      </c>
      <c r="AL140" s="562">
        <f>Inputs!AL176</f>
        <v>0.019015231</v>
      </c>
      <c r="AM140" s="562">
        <f>Inputs!AM176</f>
        <v>0.019015231</v>
      </c>
      <c r="AN140" s="562">
        <f>Inputs!AN176</f>
        <v>0.019015231</v>
      </c>
      <c r="AO140" s="562">
        <f>Inputs!AO176</f>
        <v>0.007177345</v>
      </c>
      <c r="AP140" s="562">
        <f>Inputs!AP176</f>
        <v>0.008441165</v>
      </c>
      <c r="AQ140" s="562">
        <f>Inputs!AQ176</f>
        <v>0.0051643</v>
      </c>
      <c r="AR140" s="562">
        <f>Inputs!AR176</f>
        <v>0.007085762</v>
      </c>
      <c r="AS140" s="562">
        <f>Inputs!AS176</f>
        <v>0.011590778</v>
      </c>
      <c r="AT140" s="562">
        <f>Inputs!AT176</f>
        <v>0.005148075</v>
      </c>
      <c r="AU140" s="562">
        <f>Inputs!AU176</f>
        <v>0.018454295</v>
      </c>
      <c r="AV140" s="562">
        <f>Inputs!AV176</f>
        <v>0.030197009</v>
      </c>
      <c r="AW140" s="563"/>
    </row>
    <row r="141">
      <c r="A141" s="122"/>
      <c r="B141" s="123"/>
      <c r="C141" s="538"/>
      <c r="D141" s="538"/>
      <c r="E141" s="269"/>
      <c r="F141" s="533"/>
      <c r="G141" s="534"/>
      <c r="H141" s="127"/>
      <c r="I141" s="552"/>
      <c r="J141" s="552"/>
      <c r="K141" s="552"/>
      <c r="L141" s="552"/>
      <c r="M141" s="552"/>
      <c r="N141" s="552"/>
      <c r="O141" s="552"/>
      <c r="P141" s="552"/>
      <c r="Q141" s="552"/>
      <c r="R141" s="552"/>
      <c r="S141" s="552"/>
      <c r="T141" s="552"/>
      <c r="U141" s="552"/>
      <c r="V141" s="552"/>
      <c r="W141" s="552"/>
      <c r="X141" s="552"/>
      <c r="Y141" s="552"/>
      <c r="Z141" s="552"/>
      <c r="AA141" s="552"/>
      <c r="AB141" s="552"/>
      <c r="AC141" s="552"/>
      <c r="AD141" s="552"/>
      <c r="AE141" s="552"/>
      <c r="AF141" s="552"/>
      <c r="AG141" s="552"/>
      <c r="AH141" s="552"/>
      <c r="AI141" s="552"/>
      <c r="AJ141" s="552"/>
      <c r="AK141" s="552"/>
      <c r="AL141" s="552"/>
      <c r="AM141" s="552"/>
      <c r="AN141" s="552"/>
      <c r="AO141" s="552"/>
      <c r="AP141" s="552"/>
      <c r="AQ141" s="552"/>
      <c r="AR141" s="552"/>
      <c r="AS141" s="552"/>
      <c r="AT141" s="552"/>
      <c r="AU141" s="552"/>
      <c r="AV141" s="552"/>
      <c r="AW141" s="553"/>
    </row>
    <row r="142">
      <c r="A142" s="122"/>
      <c r="B142" s="123"/>
      <c r="C142" s="143" t="s">
        <v>645</v>
      </c>
      <c r="F142" s="533"/>
      <c r="G142" s="534"/>
      <c r="H142" s="127"/>
      <c r="I142" s="552"/>
      <c r="J142" s="552"/>
      <c r="K142" s="552"/>
      <c r="L142" s="552"/>
      <c r="M142" s="552"/>
      <c r="N142" s="552"/>
      <c r="O142" s="552"/>
      <c r="P142" s="552"/>
      <c r="Q142" s="552"/>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c r="AR142" s="552"/>
      <c r="AS142" s="552"/>
      <c r="AT142" s="552"/>
      <c r="AU142" s="552"/>
      <c r="AV142" s="552"/>
      <c r="AW142" s="553"/>
    </row>
    <row r="143">
      <c r="A143" s="122"/>
      <c r="B143" s="123"/>
      <c r="C143" s="538"/>
      <c r="D143" s="538"/>
      <c r="E143" s="254" t="s">
        <v>646</v>
      </c>
      <c r="F143" s="539" t="s">
        <v>62</v>
      </c>
      <c r="G143" s="540" t="s">
        <v>165</v>
      </c>
      <c r="H143" s="575" t="str">
        <f>Inputs!H177</f>
        <v>-</v>
      </c>
      <c r="I143" s="564">
        <f>Inputs!I177</f>
        <v>8284.409952</v>
      </c>
      <c r="J143" s="564">
        <f>Inputs!J177</f>
        <v>2640.339554</v>
      </c>
      <c r="K143" s="564">
        <f>Inputs!K177</f>
        <v>5560.070956</v>
      </c>
      <c r="L143" s="564">
        <f>Inputs!L177</f>
        <v>4192.868343</v>
      </c>
      <c r="M143" s="564">
        <f>Inputs!M177</f>
        <v>13242.14664</v>
      </c>
      <c r="N143" s="564">
        <f>Inputs!N177</f>
        <v>8617.388016</v>
      </c>
      <c r="O143" s="564">
        <f>Inputs!O177</f>
        <v>4482.685739</v>
      </c>
      <c r="P143" s="564">
        <f>Inputs!P177</f>
        <v>9779.802062</v>
      </c>
      <c r="Q143" s="564">
        <f>Inputs!Q177</f>
        <v>6371.181551</v>
      </c>
      <c r="R143" s="564">
        <f>Inputs!R177</f>
        <v>1158.951025</v>
      </c>
      <c r="S143" s="564">
        <f>Inputs!S177</f>
        <v>2039.447727</v>
      </c>
      <c r="T143" s="564">
        <f>Inputs!T177</f>
        <v>226.7086025</v>
      </c>
      <c r="U143" s="564">
        <f>Inputs!U177</f>
        <v>568.4169959</v>
      </c>
      <c r="V143" s="564">
        <f>Inputs!V177</f>
        <v>184.6330508</v>
      </c>
      <c r="W143" s="564">
        <f>Inputs!W177</f>
        <v>3569.77128</v>
      </c>
      <c r="X143" s="564">
        <f>Inputs!X177</f>
        <v>1648.8014</v>
      </c>
      <c r="Y143" s="564">
        <f>Inputs!Y177</f>
        <v>288.6730333</v>
      </c>
      <c r="Z143" s="564">
        <f>Inputs!Z177</f>
        <v>595.7234079</v>
      </c>
      <c r="AA143" s="564">
        <f>Inputs!AA177</f>
        <v>828.3284596</v>
      </c>
      <c r="AB143" s="564">
        <f>Inputs!AB177</f>
        <v>443.4822393</v>
      </c>
      <c r="AC143" s="564">
        <f>Inputs!AC177</f>
        <v>187.053837</v>
      </c>
      <c r="AD143" s="564">
        <f>Inputs!AD177</f>
        <v>342.7345588</v>
      </c>
      <c r="AE143" s="564">
        <f>Inputs!AE177</f>
        <v>805.0707054</v>
      </c>
      <c r="AF143" s="564">
        <f>Inputs!AF177</f>
        <v>805.4659353</v>
      </c>
      <c r="AG143" s="564">
        <f>Inputs!AG177</f>
        <v>4192.868343</v>
      </c>
      <c r="AH143" s="564">
        <f>Inputs!AH177</f>
        <v>301.2737867</v>
      </c>
      <c r="AI143" s="564">
        <f>Inputs!AI177</f>
        <v>252.0689133</v>
      </c>
      <c r="AJ143" s="564">
        <f>Inputs!AJ177</f>
        <v>338.9915872</v>
      </c>
      <c r="AK143" s="564">
        <f>Inputs!AK177</f>
        <v>1286.590325</v>
      </c>
      <c r="AL143" s="564">
        <f>Inputs!AL177</f>
        <v>5074.362776</v>
      </c>
      <c r="AM143" s="564">
        <f>Inputs!AM177</f>
        <v>5074.362776</v>
      </c>
      <c r="AN143" s="564">
        <f>Inputs!AN177</f>
        <v>5074.362776</v>
      </c>
      <c r="AO143" s="564">
        <f>Inputs!AO177</f>
        <v>1353.408118</v>
      </c>
      <c r="AP143" s="564">
        <f>Inputs!AP177</f>
        <v>394.033726</v>
      </c>
      <c r="AQ143" s="564">
        <f>Inputs!AQ177</f>
        <v>253.304712</v>
      </c>
      <c r="AR143" s="564">
        <f>Inputs!AR177</f>
        <v>375.5448951</v>
      </c>
      <c r="AS143" s="564">
        <f>Inputs!AS177</f>
        <v>2313.872491</v>
      </c>
      <c r="AT143" s="564">
        <f>Inputs!AT177</f>
        <v>446.675248</v>
      </c>
      <c r="AU143" s="564">
        <f>Inputs!AU177</f>
        <v>5842.760068</v>
      </c>
      <c r="AV143" s="564">
        <f>Inputs!AV177</f>
        <v>2495.721895</v>
      </c>
      <c r="AW143" s="565"/>
    </row>
    <row r="144">
      <c r="A144" s="122"/>
      <c r="B144" s="123"/>
      <c r="C144" s="538"/>
      <c r="D144" s="538"/>
      <c r="E144" s="254" t="s">
        <v>647</v>
      </c>
      <c r="F144" s="539" t="s">
        <v>62</v>
      </c>
      <c r="G144" s="540" t="s">
        <v>165</v>
      </c>
      <c r="H144" s="575" t="str">
        <f>Inputs!H178</f>
        <v>-</v>
      </c>
      <c r="I144" s="564">
        <f>Inputs!I178</f>
        <v>3625.84195</v>
      </c>
      <c r="J144" s="564">
        <f>Inputs!J178</f>
        <v>1137.834685</v>
      </c>
      <c r="K144" s="564">
        <f>Inputs!K178</f>
        <v>2410.60305</v>
      </c>
      <c r="L144" s="564">
        <f>Inputs!L178</f>
        <v>1273.448484</v>
      </c>
      <c r="M144" s="564">
        <f>Inputs!M178</f>
        <v>5377.093494</v>
      </c>
      <c r="N144" s="564">
        <f>Inputs!N178</f>
        <v>3786.844637</v>
      </c>
      <c r="O144" s="564">
        <f>Inputs!O178</f>
        <v>2091.245025</v>
      </c>
      <c r="P144" s="564">
        <f>Inputs!P178</f>
        <v>4572.028262</v>
      </c>
      <c r="Q144" s="564">
        <f>Inputs!Q178</f>
        <v>2970.120621</v>
      </c>
      <c r="R144" s="564">
        <f>Inputs!R178</f>
        <v>345.3519197</v>
      </c>
      <c r="S144" s="564">
        <f>Inputs!S178</f>
        <v>739.4865851</v>
      </c>
      <c r="T144" s="564">
        <f>Inputs!T178</f>
        <v>71.41582122</v>
      </c>
      <c r="U144" s="564">
        <f>Inputs!U178</f>
        <v>150.2886761</v>
      </c>
      <c r="V144" s="564">
        <f>Inputs!V178</f>
        <v>66.14280564</v>
      </c>
      <c r="W144" s="564">
        <f>Inputs!W178</f>
        <v>1294.586663</v>
      </c>
      <c r="X144" s="564">
        <f>Inputs!X178</f>
        <v>690.0244535</v>
      </c>
      <c r="Y144" s="564">
        <f>Inputs!Y178</f>
        <v>93.3782931</v>
      </c>
      <c r="Z144" s="564">
        <f>Inputs!Z178</f>
        <v>177.9011811</v>
      </c>
      <c r="AA144" s="564">
        <f>Inputs!AA178</f>
        <v>263.2212521</v>
      </c>
      <c r="AB144" s="564">
        <f>Inputs!AB178</f>
        <v>74.54850696</v>
      </c>
      <c r="AC144" s="564">
        <f>Inputs!AC178</f>
        <v>48.08834941</v>
      </c>
      <c r="AD144" s="564">
        <f>Inputs!AD178</f>
        <v>99.83601953</v>
      </c>
      <c r="AE144" s="564">
        <f>Inputs!AE178</f>
        <v>239.3896887</v>
      </c>
      <c r="AF144" s="564">
        <f>Inputs!AF178</f>
        <v>223.1192041</v>
      </c>
      <c r="AG144" s="564">
        <f>Inputs!AG178</f>
        <v>1273.448484</v>
      </c>
      <c r="AH144" s="564">
        <f>Inputs!AH178</f>
        <v>102.1907455</v>
      </c>
      <c r="AI144" s="564">
        <f>Inputs!AI178</f>
        <v>107.931083</v>
      </c>
      <c r="AJ144" s="564">
        <f>Inputs!AJ178</f>
        <v>85.10946315</v>
      </c>
      <c r="AK144" s="564">
        <f>Inputs!AK178</f>
        <v>476.5676973</v>
      </c>
      <c r="AL144" s="564">
        <f>Inputs!AL178</f>
        <v>2177.328018</v>
      </c>
      <c r="AM144" s="564">
        <f>Inputs!AM178</f>
        <v>2177.328018</v>
      </c>
      <c r="AN144" s="564">
        <f>Inputs!AN178</f>
        <v>2177.328018</v>
      </c>
      <c r="AO144" s="564">
        <f>Inputs!AO178</f>
        <v>488.6068849</v>
      </c>
      <c r="AP144" s="564">
        <f>Inputs!AP178</f>
        <v>115.2410781</v>
      </c>
      <c r="AQ144" s="564">
        <f>Inputs!AQ178</f>
        <v>74.45673938</v>
      </c>
      <c r="AR144" s="564">
        <f>Inputs!AR178</f>
        <v>134.9534832</v>
      </c>
      <c r="AS144" s="564">
        <f>Inputs!AS178</f>
        <v>807.2348061</v>
      </c>
      <c r="AT144" s="564">
        <f>Inputs!AT178</f>
        <v>123.9583812</v>
      </c>
      <c r="AU144" s="564">
        <f>Inputs!AU178</f>
        <v>2380.243036</v>
      </c>
      <c r="AV144" s="564">
        <f>Inputs!AV178</f>
        <v>1117.05</v>
      </c>
      <c r="AW144" s="565"/>
    </row>
    <row r="145">
      <c r="A145" s="122"/>
      <c r="B145" s="123"/>
      <c r="C145" s="538"/>
      <c r="D145" s="538"/>
      <c r="E145" s="257" t="s">
        <v>648</v>
      </c>
      <c r="F145" s="554" t="s">
        <v>62</v>
      </c>
      <c r="G145" s="555" t="s">
        <v>165</v>
      </c>
      <c r="H145" s="556" t="str">
        <f>Inputs!H179</f>
        <v>-</v>
      </c>
      <c r="I145" s="310">
        <f>Inputs!I179</f>
        <v>96.03063654</v>
      </c>
      <c r="J145" s="310">
        <f>Inputs!J179</f>
        <v>28.65677424</v>
      </c>
      <c r="K145" s="310">
        <f>Inputs!K179</f>
        <v>50.36035612</v>
      </c>
      <c r="L145" s="310">
        <f>Inputs!L179</f>
        <v>30.22220588</v>
      </c>
      <c r="M145" s="310">
        <f>Inputs!M179</f>
        <v>144.822164</v>
      </c>
      <c r="N145" s="310">
        <f>Inputs!N179</f>
        <v>88.0938199</v>
      </c>
      <c r="O145" s="310">
        <f>Inputs!O179</f>
        <v>62.04717829</v>
      </c>
      <c r="P145" s="310">
        <f>Inputs!P179</f>
        <v>100.3682836</v>
      </c>
      <c r="Q145" s="310">
        <f>Inputs!Q179</f>
        <v>45.55628334</v>
      </c>
      <c r="R145" s="310">
        <f>Inputs!R179</f>
        <v>13.63670803</v>
      </c>
      <c r="S145" s="310">
        <f>Inputs!S179</f>
        <v>19.9199481</v>
      </c>
      <c r="T145" s="310">
        <f>Inputs!T179</f>
        <v>4.026044539</v>
      </c>
      <c r="U145" s="310">
        <f>Inputs!U179</f>
        <v>9.323578194</v>
      </c>
      <c r="V145" s="310">
        <f>Inputs!V179</f>
        <v>2.258670114</v>
      </c>
      <c r="W145" s="310">
        <f>Inputs!W179</f>
        <v>54.1284809</v>
      </c>
      <c r="X145" s="310">
        <f>Inputs!X179</f>
        <v>23.56598928</v>
      </c>
      <c r="Y145" s="310">
        <f>Inputs!Y179</f>
        <v>4.107578218</v>
      </c>
      <c r="Z145" s="310">
        <f>Inputs!Z179</f>
        <v>9.718463401</v>
      </c>
      <c r="AA145" s="310">
        <f>Inputs!AA179</f>
        <v>14.37802528</v>
      </c>
      <c r="AB145" s="310">
        <f>Inputs!AB179</f>
        <v>4.227489024</v>
      </c>
      <c r="AC145" s="310">
        <f>Inputs!AC179</f>
        <v>3.622453428</v>
      </c>
      <c r="AD145" s="310">
        <f>Inputs!AD179</f>
        <v>6.25564421</v>
      </c>
      <c r="AE145" s="310">
        <f>Inputs!AE179</f>
        <v>14.38416767</v>
      </c>
      <c r="AF145" s="310">
        <f>Inputs!AF179</f>
        <v>16.91253031</v>
      </c>
      <c r="AG145" s="310">
        <f>Inputs!AG179</f>
        <v>30.22220588</v>
      </c>
      <c r="AH145" s="310">
        <f>Inputs!AH179</f>
        <v>5.643334207</v>
      </c>
      <c r="AI145" s="310">
        <f>Inputs!AI179</f>
        <v>6.095884171</v>
      </c>
      <c r="AJ145" s="310">
        <f>Inputs!AJ179</f>
        <v>8.754156649</v>
      </c>
      <c r="AK145" s="310">
        <f>Inputs!AK179</f>
        <v>20.66530714</v>
      </c>
      <c r="AL145" s="310">
        <f>Inputs!AL179</f>
        <v>60.25987435</v>
      </c>
      <c r="AM145" s="310">
        <f>Inputs!AM179</f>
        <v>60.25987435</v>
      </c>
      <c r="AN145" s="310">
        <f>Inputs!AN179</f>
        <v>60.25987435</v>
      </c>
      <c r="AO145" s="310">
        <f>Inputs!AO179</f>
        <v>27.97002503</v>
      </c>
      <c r="AP145" s="310">
        <f>Inputs!AP179</f>
        <v>7.69293674</v>
      </c>
      <c r="AQ145" s="310">
        <f>Inputs!AQ179</f>
        <v>6.283501683</v>
      </c>
      <c r="AR145" s="310">
        <f>Inputs!AR179</f>
        <v>8.293630658</v>
      </c>
      <c r="AS145" s="310">
        <f>Inputs!AS179</f>
        <v>37.95574115</v>
      </c>
      <c r="AT145" s="310">
        <f>Inputs!AT179</f>
        <v>7.313247348</v>
      </c>
      <c r="AU145" s="310">
        <f>Inputs!AU179</f>
        <v>53.52855002</v>
      </c>
      <c r="AV145" s="310">
        <f>Inputs!AV179</f>
        <v>44.82340316</v>
      </c>
      <c r="AW145" s="251"/>
    </row>
    <row r="146">
      <c r="A146" s="122"/>
      <c r="B146" s="123"/>
      <c r="C146" s="538"/>
      <c r="D146" s="538"/>
      <c r="E146" s="257" t="s">
        <v>649</v>
      </c>
      <c r="F146" s="554" t="s">
        <v>62</v>
      </c>
      <c r="G146" s="555" t="s">
        <v>165</v>
      </c>
      <c r="H146" s="556" t="str">
        <f>Inputs!H180</f>
        <v>-</v>
      </c>
      <c r="I146" s="310">
        <f>Inputs!I180</f>
        <v>98.96516718</v>
      </c>
      <c r="J146" s="310">
        <f>Inputs!J180</f>
        <v>26.23729569</v>
      </c>
      <c r="K146" s="310">
        <f>Inputs!K180</f>
        <v>48.78350373</v>
      </c>
      <c r="L146" s="310">
        <f>Inputs!L180</f>
        <v>36.54373339</v>
      </c>
      <c r="M146" s="310">
        <f>Inputs!M180</f>
        <v>170.2882011</v>
      </c>
      <c r="N146" s="310">
        <f>Inputs!N180</f>
        <v>132.9720289</v>
      </c>
      <c r="O146" s="310">
        <f>Inputs!O180</f>
        <v>53.28450667</v>
      </c>
      <c r="P146" s="310">
        <f>Inputs!P180</f>
        <v>124.715188</v>
      </c>
      <c r="Q146" s="310">
        <f>Inputs!Q180</f>
        <v>70.13753585</v>
      </c>
      <c r="R146" s="310">
        <f>Inputs!R180</f>
        <v>21.61580495</v>
      </c>
      <c r="S146" s="310">
        <f>Inputs!S180</f>
        <v>27.37456524</v>
      </c>
      <c r="T146" s="310">
        <f>Inputs!T180</f>
        <v>3.634324906</v>
      </c>
      <c r="U146" s="310">
        <f>Inputs!U180</f>
        <v>8.425251297</v>
      </c>
      <c r="V146" s="310">
        <f>Inputs!V180</f>
        <v>3.594939414</v>
      </c>
      <c r="W146" s="310">
        <f>Inputs!W180</f>
        <v>70.28343001</v>
      </c>
      <c r="X146" s="310">
        <f>Inputs!X180</f>
        <v>32.90400786</v>
      </c>
      <c r="Y146" s="310">
        <f>Inputs!Y180</f>
        <v>4.058509018</v>
      </c>
      <c r="Z146" s="310">
        <f>Inputs!Z180</f>
        <v>10.68371767</v>
      </c>
      <c r="AA146" s="310">
        <f>Inputs!AA180</f>
        <v>12.83494185</v>
      </c>
      <c r="AB146" s="310">
        <f>Inputs!AB180</f>
        <v>4.108390579</v>
      </c>
      <c r="AC146" s="310">
        <f>Inputs!AC180</f>
        <v>2.740234995</v>
      </c>
      <c r="AD146" s="310">
        <f>Inputs!AD180</f>
        <v>7.777543056</v>
      </c>
      <c r="AE146" s="310">
        <f>Inputs!AE180</f>
        <v>12.46753535</v>
      </c>
      <c r="AF146" s="310">
        <f>Inputs!AF180</f>
        <v>9.218298886</v>
      </c>
      <c r="AG146" s="310">
        <f>Inputs!AG180</f>
        <v>36.54373339</v>
      </c>
      <c r="AH146" s="310">
        <f>Inputs!AH180</f>
        <v>4.688631751</v>
      </c>
      <c r="AI146" s="310">
        <f>Inputs!AI180</f>
        <v>6.915606089</v>
      </c>
      <c r="AJ146" s="310">
        <f>Inputs!AJ180</f>
        <v>8.469825947</v>
      </c>
      <c r="AK146" s="310">
        <f>Inputs!AK180</f>
        <v>21.54317609</v>
      </c>
      <c r="AL146" s="310">
        <f>Inputs!AL180</f>
        <v>86.34534535</v>
      </c>
      <c r="AM146" s="310">
        <f>Inputs!AM180</f>
        <v>86.34534535</v>
      </c>
      <c r="AN146" s="310">
        <f>Inputs!AN180</f>
        <v>86.34534535</v>
      </c>
      <c r="AO146" s="310">
        <f>Inputs!AO180</f>
        <v>34.02095421</v>
      </c>
      <c r="AP146" s="310">
        <f>Inputs!AP180</f>
        <v>6.59126176</v>
      </c>
      <c r="AQ146" s="310">
        <f>Inputs!AQ180</f>
        <v>6.517577825</v>
      </c>
      <c r="AR146" s="310">
        <f>Inputs!AR180</f>
        <v>3.348123559</v>
      </c>
      <c r="AS146" s="310">
        <f>Inputs!AS180</f>
        <v>46.4290133</v>
      </c>
      <c r="AT146" s="310">
        <f>Inputs!AT180</f>
        <v>5.946327088</v>
      </c>
      <c r="AU146" s="310">
        <f>Inputs!AU180</f>
        <v>56.00350404</v>
      </c>
      <c r="AV146" s="310">
        <f>Inputs!AV180</f>
        <v>33.0291859</v>
      </c>
      <c r="AW146" s="251"/>
    </row>
    <row r="147">
      <c r="A147" s="122"/>
      <c r="B147" s="123"/>
      <c r="C147" s="538"/>
      <c r="D147" s="538"/>
      <c r="E147" s="257" t="s">
        <v>650</v>
      </c>
      <c r="F147" s="554" t="s">
        <v>72</v>
      </c>
      <c r="G147" s="555" t="s">
        <v>161</v>
      </c>
      <c r="H147" s="566" t="s">
        <v>162</v>
      </c>
      <c r="I147" s="567">
        <f t="shared" ref="I147:AV147" si="34">SUM(I145:I146)/I144</f>
        <v>0.05377945493</v>
      </c>
      <c r="J147" s="567">
        <f t="shared" si="34"/>
        <v>0.04824432816</v>
      </c>
      <c r="K147" s="567">
        <f t="shared" si="34"/>
        <v>0.04112823961</v>
      </c>
      <c r="L147" s="567">
        <f t="shared" si="34"/>
        <v>0.05242924241</v>
      </c>
      <c r="M147" s="567">
        <f t="shared" si="34"/>
        <v>0.05860235933</v>
      </c>
      <c r="N147" s="567">
        <f t="shared" si="34"/>
        <v>0.05837732202</v>
      </c>
      <c r="O147" s="567">
        <f t="shared" si="34"/>
        <v>0.05514977135</v>
      </c>
      <c r="P147" s="567">
        <f t="shared" si="34"/>
        <v>0.04923055123</v>
      </c>
      <c r="Q147" s="567">
        <f t="shared" si="34"/>
        <v>0.03895256589</v>
      </c>
      <c r="R147" s="567">
        <f t="shared" si="34"/>
        <v>0.1020770726</v>
      </c>
      <c r="S147" s="567">
        <f t="shared" si="34"/>
        <v>0.06395587735</v>
      </c>
      <c r="T147" s="567">
        <f t="shared" si="34"/>
        <v>0.1072643192</v>
      </c>
      <c r="U147" s="567">
        <f t="shared" si="34"/>
        <v>0.118098249</v>
      </c>
      <c r="V147" s="567">
        <f t="shared" si="34"/>
        <v>0.08849956501</v>
      </c>
      <c r="W147" s="567">
        <f t="shared" si="34"/>
        <v>0.09610164732</v>
      </c>
      <c r="X147" s="567">
        <f t="shared" si="34"/>
        <v>0.08183767525</v>
      </c>
      <c r="Y147" s="567">
        <f t="shared" si="34"/>
        <v>0.08745166532</v>
      </c>
      <c r="Z147" s="567">
        <f t="shared" si="34"/>
        <v>0.1146826623</v>
      </c>
      <c r="AA147" s="567">
        <f t="shared" si="34"/>
        <v>0.1033843845</v>
      </c>
      <c r="AB147" s="567">
        <f t="shared" si="34"/>
        <v>0.1118181965</v>
      </c>
      <c r="AC147" s="567">
        <f t="shared" si="34"/>
        <v>0.1323124728</v>
      </c>
      <c r="AD147" s="567">
        <f t="shared" si="34"/>
        <v>0.1405623675</v>
      </c>
      <c r="AE147" s="567">
        <f t="shared" si="34"/>
        <v>0.1121673334</v>
      </c>
      <c r="AF147" s="567">
        <f t="shared" si="34"/>
        <v>0.1171160022</v>
      </c>
      <c r="AG147" s="567">
        <f t="shared" si="34"/>
        <v>0.05242924241</v>
      </c>
      <c r="AH147" s="567">
        <f t="shared" si="34"/>
        <v>0.1011047126</v>
      </c>
      <c r="AI147" s="567">
        <f t="shared" si="34"/>
        <v>0.1205536894</v>
      </c>
      <c r="AJ147" s="567">
        <f t="shared" si="34"/>
        <v>0.2023744712</v>
      </c>
      <c r="AK147" s="567">
        <f t="shared" si="34"/>
        <v>0.08856765465</v>
      </c>
      <c r="AL147" s="567">
        <f t="shared" si="34"/>
        <v>0.06733262902</v>
      </c>
      <c r="AM147" s="567">
        <f t="shared" si="34"/>
        <v>0.06733262902</v>
      </c>
      <c r="AN147" s="567">
        <f t="shared" si="34"/>
        <v>0.06733262902</v>
      </c>
      <c r="AO147" s="567">
        <f t="shared" si="34"/>
        <v>0.1268729139</v>
      </c>
      <c r="AP147" s="567">
        <f t="shared" si="34"/>
        <v>0.1239505803</v>
      </c>
      <c r="AQ147" s="567">
        <f t="shared" si="34"/>
        <v>0.1719264047</v>
      </c>
      <c r="AR147" s="567">
        <f t="shared" si="34"/>
        <v>0.08626494064</v>
      </c>
      <c r="AS147" s="567">
        <f t="shared" si="34"/>
        <v>0.1045355748</v>
      </c>
      <c r="AT147" s="567">
        <f t="shared" si="34"/>
        <v>0.1069679541</v>
      </c>
      <c r="AU147" s="567">
        <f t="shared" si="34"/>
        <v>0.04601717237</v>
      </c>
      <c r="AV147" s="567">
        <f t="shared" si="34"/>
        <v>0.06969481139</v>
      </c>
      <c r="AW147" s="251"/>
    </row>
    <row r="148">
      <c r="A148" s="122"/>
      <c r="B148" s="123"/>
      <c r="C148" s="538"/>
      <c r="D148" s="538"/>
      <c r="E148" s="257" t="s">
        <v>651</v>
      </c>
      <c r="F148" s="554" t="s">
        <v>72</v>
      </c>
      <c r="G148" s="555" t="s">
        <v>165</v>
      </c>
      <c r="H148" s="568">
        <f>Inputs!H181</f>
        <v>0.1</v>
      </c>
      <c r="I148" s="310" t="str">
        <f>Inputs!I181</f>
        <v>-</v>
      </c>
      <c r="J148" s="310" t="str">
        <f>Inputs!J181</f>
        <v>-</v>
      </c>
      <c r="K148" s="310" t="str">
        <f>Inputs!K181</f>
        <v>-</v>
      </c>
      <c r="L148" s="310" t="str">
        <f>Inputs!L181</f>
        <v>-</v>
      </c>
      <c r="M148" s="310" t="str">
        <f>Inputs!M181</f>
        <v>-</v>
      </c>
      <c r="N148" s="310" t="str">
        <f>Inputs!N181</f>
        <v>-</v>
      </c>
      <c r="O148" s="310" t="str">
        <f>Inputs!O181</f>
        <v>-</v>
      </c>
      <c r="P148" s="310" t="str">
        <f>Inputs!P181</f>
        <v>-</v>
      </c>
      <c r="Q148" s="310" t="str">
        <f>Inputs!Q181</f>
        <v>-</v>
      </c>
      <c r="R148" s="310" t="str">
        <f>Inputs!R181</f>
        <v>-</v>
      </c>
      <c r="S148" s="310" t="str">
        <f>Inputs!S181</f>
        <v>-</v>
      </c>
      <c r="T148" s="310" t="str">
        <f>Inputs!T181</f>
        <v>-</v>
      </c>
      <c r="U148" s="310" t="str">
        <f>Inputs!U181</f>
        <v>-</v>
      </c>
      <c r="V148" s="310" t="str">
        <f>Inputs!V181</f>
        <v>-</v>
      </c>
      <c r="W148" s="310" t="str">
        <f>Inputs!W181</f>
        <v>-</v>
      </c>
      <c r="X148" s="310" t="str">
        <f>Inputs!X181</f>
        <v>-</v>
      </c>
      <c r="Y148" s="310" t="str">
        <f>Inputs!Y181</f>
        <v>-</v>
      </c>
      <c r="Z148" s="310" t="str">
        <f>Inputs!Z181</f>
        <v>-</v>
      </c>
      <c r="AA148" s="310" t="str">
        <f>Inputs!AA181</f>
        <v>-</v>
      </c>
      <c r="AB148" s="310" t="str">
        <f>Inputs!AB181</f>
        <v>-</v>
      </c>
      <c r="AC148" s="310" t="str">
        <f>Inputs!AC181</f>
        <v>-</v>
      </c>
      <c r="AD148" s="310" t="str">
        <f>Inputs!AD181</f>
        <v>-</v>
      </c>
      <c r="AE148" s="310" t="str">
        <f>Inputs!AE181</f>
        <v>-</v>
      </c>
      <c r="AF148" s="310" t="str">
        <f>Inputs!AF181</f>
        <v>-</v>
      </c>
      <c r="AG148" s="310" t="str">
        <f>Inputs!AG181</f>
        <v>-</v>
      </c>
      <c r="AH148" s="310" t="str">
        <f>Inputs!AH181</f>
        <v>-</v>
      </c>
      <c r="AI148" s="310" t="str">
        <f>Inputs!AI181</f>
        <v>-</v>
      </c>
      <c r="AJ148" s="310" t="str">
        <f>Inputs!AJ181</f>
        <v>-</v>
      </c>
      <c r="AK148" s="310" t="str">
        <f>Inputs!AK181</f>
        <v>-</v>
      </c>
      <c r="AL148" s="310" t="str">
        <f>Inputs!AL181</f>
        <v>-</v>
      </c>
      <c r="AM148" s="310" t="str">
        <f>Inputs!AM181</f>
        <v>-</v>
      </c>
      <c r="AN148" s="310" t="str">
        <f>Inputs!AN181</f>
        <v>-</v>
      </c>
      <c r="AO148" s="310" t="str">
        <f>Inputs!AO181</f>
        <v>-</v>
      </c>
      <c r="AP148" s="310" t="str">
        <f>Inputs!AP181</f>
        <v>-</v>
      </c>
      <c r="AQ148" s="310" t="str">
        <f>Inputs!AQ181</f>
        <v>-</v>
      </c>
      <c r="AR148" s="310" t="str">
        <f>Inputs!AR181</f>
        <v>-</v>
      </c>
      <c r="AS148" s="310" t="str">
        <f>Inputs!AS181</f>
        <v>-</v>
      </c>
      <c r="AT148" s="310" t="str">
        <f>Inputs!AT181</f>
        <v>-</v>
      </c>
      <c r="AU148" s="310" t="str">
        <f>Inputs!AU181</f>
        <v>-</v>
      </c>
      <c r="AV148" s="310" t="str">
        <f>Inputs!AV181</f>
        <v>-</v>
      </c>
      <c r="AW148" s="251"/>
    </row>
    <row r="149">
      <c r="A149" s="122"/>
      <c r="B149" s="123"/>
      <c r="C149" s="538"/>
      <c r="D149" s="538"/>
      <c r="E149" s="257" t="s">
        <v>652</v>
      </c>
      <c r="F149" s="554" t="s">
        <v>72</v>
      </c>
      <c r="G149" s="555" t="s">
        <v>161</v>
      </c>
      <c r="H149" s="566" t="s">
        <v>162</v>
      </c>
      <c r="I149" s="567">
        <f t="shared" ref="I149:AV149" si="35">I147*(1+$H148)</f>
        <v>0.05915740042</v>
      </c>
      <c r="J149" s="567">
        <f t="shared" si="35"/>
        <v>0.05306876097</v>
      </c>
      <c r="K149" s="567">
        <f t="shared" si="35"/>
        <v>0.04524106357</v>
      </c>
      <c r="L149" s="567">
        <f t="shared" si="35"/>
        <v>0.05767216666</v>
      </c>
      <c r="M149" s="567">
        <f t="shared" si="35"/>
        <v>0.06446259527</v>
      </c>
      <c r="N149" s="567">
        <f t="shared" si="35"/>
        <v>0.06421505422</v>
      </c>
      <c r="O149" s="567">
        <f t="shared" si="35"/>
        <v>0.06066474848</v>
      </c>
      <c r="P149" s="567">
        <f t="shared" si="35"/>
        <v>0.05415360636</v>
      </c>
      <c r="Q149" s="567">
        <f t="shared" si="35"/>
        <v>0.04284782248</v>
      </c>
      <c r="R149" s="567">
        <f t="shared" si="35"/>
        <v>0.1122847799</v>
      </c>
      <c r="S149" s="567">
        <f t="shared" si="35"/>
        <v>0.07035146509</v>
      </c>
      <c r="T149" s="567">
        <f t="shared" si="35"/>
        <v>0.1179907511</v>
      </c>
      <c r="U149" s="567">
        <f t="shared" si="35"/>
        <v>0.1299080739</v>
      </c>
      <c r="V149" s="567">
        <f t="shared" si="35"/>
        <v>0.09734952152</v>
      </c>
      <c r="W149" s="567">
        <f t="shared" si="35"/>
        <v>0.105711812</v>
      </c>
      <c r="X149" s="567">
        <f t="shared" si="35"/>
        <v>0.09002144277</v>
      </c>
      <c r="Y149" s="567">
        <f t="shared" si="35"/>
        <v>0.09619683185</v>
      </c>
      <c r="Z149" s="567">
        <f t="shared" si="35"/>
        <v>0.1261509285</v>
      </c>
      <c r="AA149" s="567">
        <f t="shared" si="35"/>
        <v>0.1137228229</v>
      </c>
      <c r="AB149" s="567">
        <f t="shared" si="35"/>
        <v>0.1230000162</v>
      </c>
      <c r="AC149" s="567">
        <f t="shared" si="35"/>
        <v>0.1455437201</v>
      </c>
      <c r="AD149" s="567">
        <f t="shared" si="35"/>
        <v>0.1546186042</v>
      </c>
      <c r="AE149" s="567">
        <f t="shared" si="35"/>
        <v>0.1233840667</v>
      </c>
      <c r="AF149" s="567">
        <f t="shared" si="35"/>
        <v>0.1288276024</v>
      </c>
      <c r="AG149" s="567">
        <f t="shared" si="35"/>
        <v>0.05767216666</v>
      </c>
      <c r="AH149" s="567">
        <f t="shared" si="35"/>
        <v>0.1112151839</v>
      </c>
      <c r="AI149" s="567">
        <f t="shared" si="35"/>
        <v>0.1326090584</v>
      </c>
      <c r="AJ149" s="567">
        <f t="shared" si="35"/>
        <v>0.2226119183</v>
      </c>
      <c r="AK149" s="567">
        <f t="shared" si="35"/>
        <v>0.09742442011</v>
      </c>
      <c r="AL149" s="567">
        <f t="shared" si="35"/>
        <v>0.07406589193</v>
      </c>
      <c r="AM149" s="567">
        <f t="shared" si="35"/>
        <v>0.07406589193</v>
      </c>
      <c r="AN149" s="567">
        <f t="shared" si="35"/>
        <v>0.07406589193</v>
      </c>
      <c r="AO149" s="567">
        <f t="shared" si="35"/>
        <v>0.1395602053</v>
      </c>
      <c r="AP149" s="567">
        <f t="shared" si="35"/>
        <v>0.1363456383</v>
      </c>
      <c r="AQ149" s="567">
        <f t="shared" si="35"/>
        <v>0.1891190452</v>
      </c>
      <c r="AR149" s="567">
        <f t="shared" si="35"/>
        <v>0.0948914347</v>
      </c>
      <c r="AS149" s="567">
        <f t="shared" si="35"/>
        <v>0.1149891323</v>
      </c>
      <c r="AT149" s="567">
        <f t="shared" si="35"/>
        <v>0.1176647496</v>
      </c>
      <c r="AU149" s="567">
        <f t="shared" si="35"/>
        <v>0.0506188896</v>
      </c>
      <c r="AV149" s="567">
        <f t="shared" si="35"/>
        <v>0.07666429253</v>
      </c>
      <c r="AW149" s="251"/>
    </row>
    <row r="150">
      <c r="A150" s="122"/>
      <c r="B150" s="123"/>
      <c r="C150" s="538"/>
      <c r="D150" s="538"/>
      <c r="E150" s="490" t="s">
        <v>653</v>
      </c>
      <c r="F150" s="544" t="s">
        <v>72</v>
      </c>
      <c r="G150" s="545" t="s">
        <v>161</v>
      </c>
      <c r="H150" s="551" t="s">
        <v>162</v>
      </c>
      <c r="I150" s="547">
        <f t="shared" ref="I150:AV150" si="36">I137*(1-I149)</f>
        <v>0.02724099292</v>
      </c>
      <c r="J150" s="547">
        <f t="shared" si="36"/>
        <v>0.01887712065</v>
      </c>
      <c r="K150" s="547">
        <f t="shared" si="36"/>
        <v>0.02270237161</v>
      </c>
      <c r="L150" s="547">
        <f t="shared" si="36"/>
        <v>0.01004602511</v>
      </c>
      <c r="M150" s="547">
        <f t="shared" si="36"/>
        <v>0.01790878766</v>
      </c>
      <c r="N150" s="547">
        <f t="shared" si="36"/>
        <v>0.01889878805</v>
      </c>
      <c r="O150" s="547">
        <f t="shared" si="36"/>
        <v>0.02080225453</v>
      </c>
      <c r="P150" s="547">
        <f t="shared" si="36"/>
        <v>0.03046271401</v>
      </c>
      <c r="Q150" s="547">
        <f t="shared" si="36"/>
        <v>0.0370317832</v>
      </c>
      <c r="R150" s="547">
        <f t="shared" si="36"/>
        <v>0.007383423983</v>
      </c>
      <c r="S150" s="547">
        <f t="shared" si="36"/>
        <v>0.01666787218</v>
      </c>
      <c r="T150" s="547">
        <f t="shared" si="36"/>
        <v>0.003326397333</v>
      </c>
      <c r="U150" s="547">
        <f t="shared" si="36"/>
        <v>0.002615100438</v>
      </c>
      <c r="V150" s="547">
        <f t="shared" si="36"/>
        <v>0.00764255385</v>
      </c>
      <c r="W150" s="547">
        <f t="shared" si="36"/>
        <v>0.0104549676</v>
      </c>
      <c r="X150" s="547">
        <f t="shared" si="36"/>
        <v>0.008958170159</v>
      </c>
      <c r="Y150" s="547">
        <f t="shared" si="36"/>
        <v>0.004102635529</v>
      </c>
      <c r="Z150" s="547">
        <f t="shared" si="36"/>
        <v>0.004330018273</v>
      </c>
      <c r="AA150" s="547">
        <f t="shared" si="36"/>
        <v>0.007025582995</v>
      </c>
      <c r="AB150" s="547">
        <f t="shared" si="36"/>
        <v>0.003828972282</v>
      </c>
      <c r="AC150" s="547">
        <f t="shared" si="36"/>
        <v>0.003520775139</v>
      </c>
      <c r="AD150" s="547">
        <f t="shared" si="36"/>
        <v>0.00229310549</v>
      </c>
      <c r="AE150" s="547">
        <f t="shared" si="36"/>
        <v>0.003798936996</v>
      </c>
      <c r="AF150" s="547">
        <f t="shared" si="36"/>
        <v>0.002271986251</v>
      </c>
      <c r="AG150" s="547">
        <f t="shared" si="36"/>
        <v>0.01004602511</v>
      </c>
      <c r="AH150" s="547">
        <f t="shared" si="36"/>
        <v>0.003192555055</v>
      </c>
      <c r="AI150" s="547">
        <f t="shared" si="36"/>
        <v>0.002384265138</v>
      </c>
      <c r="AJ150" s="547">
        <f t="shared" si="36"/>
        <v>0.001965962374</v>
      </c>
      <c r="AK150" s="547">
        <f t="shared" si="36"/>
        <v>0.005924818398</v>
      </c>
      <c r="AL150" s="547">
        <f t="shared" si="36"/>
        <v>0.01105161525</v>
      </c>
      <c r="AM150" s="547">
        <f t="shared" si="36"/>
        <v>0.01105161525</v>
      </c>
      <c r="AN150" s="547">
        <f t="shared" si="36"/>
        <v>0.01105161525</v>
      </c>
      <c r="AO150" s="547">
        <f t="shared" si="36"/>
        <v>0.003369008994</v>
      </c>
      <c r="AP150" s="547">
        <f t="shared" si="36"/>
        <v>0.003461142356</v>
      </c>
      <c r="AQ150" s="547">
        <f t="shared" si="36"/>
        <v>0.001814641297</v>
      </c>
      <c r="AR150" s="547">
        <f t="shared" si="36"/>
        <v>0.002143326951</v>
      </c>
      <c r="AS150" s="547">
        <f t="shared" si="36"/>
        <v>0.005261997611</v>
      </c>
      <c r="AT150" s="547">
        <f t="shared" si="36"/>
        <v>0.00407558152</v>
      </c>
      <c r="AU150" s="547">
        <f t="shared" si="36"/>
        <v>0.01851927447</v>
      </c>
      <c r="AV150" s="547">
        <f t="shared" si="36"/>
        <v>0.01341015386</v>
      </c>
      <c r="AW150" s="548"/>
    </row>
    <row r="151">
      <c r="A151" s="122"/>
      <c r="B151" s="123"/>
      <c r="C151" s="538"/>
      <c r="D151" s="538"/>
      <c r="E151" s="269"/>
      <c r="F151" s="533"/>
      <c r="G151" s="534"/>
      <c r="H151" s="127"/>
      <c r="I151" s="552"/>
      <c r="J151" s="552"/>
      <c r="K151" s="552"/>
      <c r="L151" s="552"/>
      <c r="M151" s="552"/>
      <c r="N151" s="552"/>
      <c r="O151" s="552"/>
      <c r="P151" s="552"/>
      <c r="Q151" s="552"/>
      <c r="R151" s="552"/>
      <c r="S151" s="552"/>
      <c r="T151" s="552"/>
      <c r="U151" s="552"/>
      <c r="V151" s="552"/>
      <c r="W151" s="552"/>
      <c r="X151" s="552"/>
      <c r="Y151" s="552"/>
      <c r="Z151" s="552"/>
      <c r="AA151" s="552"/>
      <c r="AB151" s="552"/>
      <c r="AC151" s="552"/>
      <c r="AD151" s="552"/>
      <c r="AE151" s="552"/>
      <c r="AF151" s="552"/>
      <c r="AG151" s="552"/>
      <c r="AH151" s="552"/>
      <c r="AI151" s="552"/>
      <c r="AJ151" s="552"/>
      <c r="AK151" s="552"/>
      <c r="AL151" s="552"/>
      <c r="AM151" s="552"/>
      <c r="AN151" s="552"/>
      <c r="AO151" s="552"/>
      <c r="AP151" s="552"/>
      <c r="AQ151" s="552"/>
      <c r="AR151" s="552"/>
      <c r="AS151" s="552"/>
      <c r="AT151" s="552"/>
      <c r="AU151" s="552"/>
      <c r="AV151" s="552"/>
      <c r="AW151" s="553"/>
    </row>
    <row r="152">
      <c r="A152" s="122"/>
      <c r="B152" s="123"/>
      <c r="C152" s="143" t="s">
        <v>654</v>
      </c>
      <c r="F152" s="533"/>
      <c r="G152" s="534"/>
      <c r="H152" s="253"/>
      <c r="I152" s="552"/>
      <c r="J152" s="552"/>
      <c r="K152" s="552"/>
      <c r="L152" s="552"/>
      <c r="M152" s="552"/>
      <c r="N152" s="552"/>
      <c r="O152" s="552"/>
      <c r="P152" s="552"/>
      <c r="Q152" s="552"/>
      <c r="R152" s="552"/>
      <c r="S152" s="552"/>
      <c r="T152" s="552"/>
      <c r="U152" s="552"/>
      <c r="V152" s="552"/>
      <c r="W152" s="552"/>
      <c r="X152" s="552"/>
      <c r="Y152" s="552"/>
      <c r="Z152" s="552"/>
      <c r="AA152" s="552"/>
      <c r="AB152" s="552"/>
      <c r="AC152" s="552"/>
      <c r="AD152" s="552"/>
      <c r="AE152" s="552"/>
      <c r="AF152" s="552"/>
      <c r="AG152" s="552"/>
      <c r="AH152" s="552"/>
      <c r="AI152" s="552"/>
      <c r="AJ152" s="552"/>
      <c r="AK152" s="552"/>
      <c r="AL152" s="552"/>
      <c r="AM152" s="552"/>
      <c r="AN152" s="552"/>
      <c r="AO152" s="552"/>
      <c r="AP152" s="552"/>
      <c r="AQ152" s="552"/>
      <c r="AR152" s="552"/>
      <c r="AS152" s="552"/>
      <c r="AT152" s="552"/>
      <c r="AU152" s="552"/>
      <c r="AV152" s="552"/>
      <c r="AW152" s="553"/>
    </row>
    <row r="153">
      <c r="A153" s="122"/>
      <c r="B153" s="123"/>
      <c r="C153" s="538"/>
      <c r="D153" s="538"/>
      <c r="E153" s="269" t="s">
        <v>655</v>
      </c>
      <c r="F153" s="533" t="s">
        <v>72</v>
      </c>
      <c r="G153" s="534" t="s">
        <v>161</v>
      </c>
      <c r="H153" s="583">
        <v>0.4099967001869905</v>
      </c>
      <c r="I153" s="141" t="s">
        <v>162</v>
      </c>
      <c r="J153" s="141" t="s">
        <v>162</v>
      </c>
      <c r="K153" s="141" t="s">
        <v>162</v>
      </c>
      <c r="L153" s="141" t="s">
        <v>162</v>
      </c>
      <c r="M153" s="141" t="s">
        <v>162</v>
      </c>
      <c r="N153" s="141" t="s">
        <v>162</v>
      </c>
      <c r="O153" s="141" t="s">
        <v>162</v>
      </c>
      <c r="P153" s="141" t="s">
        <v>162</v>
      </c>
      <c r="Q153" s="141" t="s">
        <v>162</v>
      </c>
      <c r="R153" s="141" t="s">
        <v>162</v>
      </c>
      <c r="S153" s="141" t="s">
        <v>162</v>
      </c>
      <c r="T153" s="141" t="s">
        <v>162</v>
      </c>
      <c r="U153" s="141" t="s">
        <v>162</v>
      </c>
      <c r="V153" s="141" t="s">
        <v>162</v>
      </c>
      <c r="W153" s="141" t="s">
        <v>162</v>
      </c>
      <c r="X153" s="141" t="s">
        <v>162</v>
      </c>
      <c r="Y153" s="141" t="s">
        <v>162</v>
      </c>
      <c r="Z153" s="141" t="s">
        <v>162</v>
      </c>
      <c r="AA153" s="141" t="s">
        <v>162</v>
      </c>
      <c r="AB153" s="141" t="s">
        <v>162</v>
      </c>
      <c r="AC153" s="141" t="s">
        <v>162</v>
      </c>
      <c r="AD153" s="141" t="s">
        <v>162</v>
      </c>
      <c r="AE153" s="141" t="s">
        <v>162</v>
      </c>
      <c r="AF153" s="141" t="s">
        <v>162</v>
      </c>
      <c r="AG153" s="141" t="s">
        <v>162</v>
      </c>
      <c r="AH153" s="141" t="s">
        <v>162</v>
      </c>
      <c r="AI153" s="141" t="s">
        <v>162</v>
      </c>
      <c r="AJ153" s="141" t="s">
        <v>162</v>
      </c>
      <c r="AK153" s="141" t="s">
        <v>162</v>
      </c>
      <c r="AL153" s="141" t="s">
        <v>162</v>
      </c>
      <c r="AM153" s="141" t="s">
        <v>162</v>
      </c>
      <c r="AN153" s="141" t="s">
        <v>162</v>
      </c>
      <c r="AO153" s="141" t="s">
        <v>162</v>
      </c>
      <c r="AP153" s="141" t="s">
        <v>162</v>
      </c>
      <c r="AQ153" s="141" t="s">
        <v>162</v>
      </c>
      <c r="AR153" s="141" t="s">
        <v>162</v>
      </c>
      <c r="AS153" s="141" t="s">
        <v>162</v>
      </c>
      <c r="AT153" s="141" t="s">
        <v>162</v>
      </c>
      <c r="AU153" s="141" t="s">
        <v>162</v>
      </c>
      <c r="AV153" s="141" t="s">
        <v>162</v>
      </c>
      <c r="AW153" s="553"/>
    </row>
    <row r="154">
      <c r="A154" s="122"/>
      <c r="B154" s="123"/>
      <c r="C154" s="143"/>
      <c r="D154" s="143"/>
      <c r="E154" s="257" t="s">
        <v>656</v>
      </c>
      <c r="F154" s="554" t="s">
        <v>72</v>
      </c>
      <c r="G154" s="555" t="s">
        <v>161</v>
      </c>
      <c r="H154" s="240" t="s">
        <v>162</v>
      </c>
      <c r="I154" s="584">
        <f t="shared" ref="I154:AV154" si="37">I150*$H$153</f>
        <v>0.01116871721</v>
      </c>
      <c r="J154" s="584">
        <f t="shared" si="37"/>
        <v>0.007739557175</v>
      </c>
      <c r="K154" s="584">
        <f t="shared" si="37"/>
        <v>0.009307897445</v>
      </c>
      <c r="L154" s="584">
        <f t="shared" si="37"/>
        <v>0.004118837143</v>
      </c>
      <c r="M154" s="584">
        <f t="shared" si="37"/>
        <v>0.007342543843</v>
      </c>
      <c r="N154" s="584">
        <f t="shared" si="37"/>
        <v>0.007748440737</v>
      </c>
      <c r="O154" s="584">
        <f t="shared" si="37"/>
        <v>0.008528855712</v>
      </c>
      <c r="P154" s="584">
        <f t="shared" si="37"/>
        <v>0.01248961222</v>
      </c>
      <c r="Q154" s="584">
        <f t="shared" si="37"/>
        <v>0.01518290891</v>
      </c>
      <c r="R154" s="584">
        <f t="shared" si="37"/>
        <v>0.003027179469</v>
      </c>
      <c r="S154" s="584">
        <f t="shared" si="37"/>
        <v>0.006833772591</v>
      </c>
      <c r="T154" s="584">
        <f t="shared" si="37"/>
        <v>0.00136381193</v>
      </c>
      <c r="U154" s="584">
        <f t="shared" si="37"/>
        <v>0.00107218255</v>
      </c>
      <c r="V154" s="584">
        <f t="shared" si="37"/>
        <v>0.00313342186</v>
      </c>
      <c r="W154" s="584">
        <f t="shared" si="37"/>
        <v>0.004286502216</v>
      </c>
      <c r="X154" s="584">
        <f t="shared" si="37"/>
        <v>0.003672820205</v>
      </c>
      <c r="Y154" s="584">
        <f t="shared" si="37"/>
        <v>0.001682067029</v>
      </c>
      <c r="Z154" s="584">
        <f t="shared" si="37"/>
        <v>0.001775293204</v>
      </c>
      <c r="AA154" s="584">
        <f t="shared" si="37"/>
        <v>0.002880465845</v>
      </c>
      <c r="AB154" s="584">
        <f t="shared" si="37"/>
        <v>0.001569866001</v>
      </c>
      <c r="AC154" s="584">
        <f t="shared" si="37"/>
        <v>0.001443506189</v>
      </c>
      <c r="AD154" s="584">
        <f t="shared" si="37"/>
        <v>0.000940165684</v>
      </c>
      <c r="AE154" s="584">
        <f t="shared" si="37"/>
        <v>0.001557551633</v>
      </c>
      <c r="AF154" s="584">
        <f t="shared" si="37"/>
        <v>0.0009315068657</v>
      </c>
      <c r="AG154" s="584">
        <f t="shared" si="37"/>
        <v>0.004118837143</v>
      </c>
      <c r="AH154" s="584">
        <f t="shared" si="37"/>
        <v>0.001308937038</v>
      </c>
      <c r="AI154" s="584">
        <f t="shared" si="37"/>
        <v>0.0009775408388</v>
      </c>
      <c r="AJ154" s="584">
        <f t="shared" si="37"/>
        <v>0.0008060380859</v>
      </c>
      <c r="AK154" s="584">
        <f t="shared" si="37"/>
        <v>0.002429155992</v>
      </c>
      <c r="AL154" s="584">
        <f t="shared" si="37"/>
        <v>0.004531125785</v>
      </c>
      <c r="AM154" s="584">
        <f t="shared" si="37"/>
        <v>0.004531125785</v>
      </c>
      <c r="AN154" s="584">
        <f t="shared" si="37"/>
        <v>0.004531125785</v>
      </c>
      <c r="AO154" s="584">
        <f t="shared" si="37"/>
        <v>0.001381282571</v>
      </c>
      <c r="AP154" s="584">
        <f t="shared" si="37"/>
        <v>0.001419056945</v>
      </c>
      <c r="AQ154" s="584">
        <f t="shared" si="37"/>
        <v>0.0007439969438</v>
      </c>
      <c r="AR154" s="584">
        <f t="shared" si="37"/>
        <v>0.0008787569774</v>
      </c>
      <c r="AS154" s="584">
        <f t="shared" si="37"/>
        <v>0.002157401657</v>
      </c>
      <c r="AT154" s="584">
        <f t="shared" si="37"/>
        <v>0.001670974975</v>
      </c>
      <c r="AU154" s="584">
        <f t="shared" si="37"/>
        <v>0.007592841422</v>
      </c>
      <c r="AV154" s="584">
        <f t="shared" si="37"/>
        <v>0.005498118833</v>
      </c>
      <c r="AW154" s="585"/>
    </row>
    <row r="155">
      <c r="A155" s="122"/>
      <c r="B155" s="123"/>
      <c r="C155" s="143"/>
      <c r="D155" s="143"/>
      <c r="E155" s="257" t="s">
        <v>657</v>
      </c>
      <c r="F155" s="554" t="s">
        <v>72</v>
      </c>
      <c r="G155" s="555" t="s">
        <v>161</v>
      </c>
      <c r="H155" s="240" t="s">
        <v>162</v>
      </c>
      <c r="I155" s="584">
        <f t="shared" ref="I155:AV155" si="38">I138*$H$153</f>
        <v>0.0005758518453</v>
      </c>
      <c r="J155" s="584">
        <f t="shared" si="38"/>
        <v>0.0003500793724</v>
      </c>
      <c r="K155" s="584">
        <f t="shared" si="38"/>
        <v>0.0003677863099</v>
      </c>
      <c r="L155" s="584">
        <f t="shared" si="38"/>
        <v>0.0001379741395</v>
      </c>
      <c r="M155" s="584">
        <f t="shared" si="38"/>
        <v>0.0002619596016</v>
      </c>
      <c r="N155" s="584">
        <f t="shared" si="38"/>
        <v>0.0003813838505</v>
      </c>
      <c r="O155" s="584">
        <f t="shared" si="38"/>
        <v>0.0004401359676</v>
      </c>
      <c r="P155" s="584">
        <f t="shared" si="38"/>
        <v>0.0005424080045</v>
      </c>
      <c r="Q155" s="584">
        <f t="shared" si="38"/>
        <v>0.0005550113031</v>
      </c>
      <c r="R155" s="584">
        <f t="shared" si="38"/>
        <v>0.0001326417224</v>
      </c>
      <c r="S155" s="584">
        <f t="shared" si="38"/>
        <v>0.0002971036988</v>
      </c>
      <c r="T155" s="584">
        <f t="shared" si="38"/>
        <v>0.00006329816055</v>
      </c>
      <c r="U155" s="584">
        <f t="shared" si="38"/>
        <v>0.00005374400745</v>
      </c>
      <c r="V155" s="584">
        <f t="shared" si="38"/>
        <v>0.0002005015063</v>
      </c>
      <c r="W155" s="584">
        <f t="shared" si="38"/>
        <v>0.0002917651318</v>
      </c>
      <c r="X155" s="584">
        <f t="shared" si="38"/>
        <v>0.0002641895737</v>
      </c>
      <c r="Y155" s="584">
        <f t="shared" si="38"/>
        <v>0.0001252494819</v>
      </c>
      <c r="Z155" s="584">
        <f t="shared" si="38"/>
        <v>0.00007217909907</v>
      </c>
      <c r="AA155" s="584">
        <f t="shared" si="38"/>
        <v>0.0001565646199</v>
      </c>
      <c r="AB155" s="584">
        <f t="shared" si="38"/>
        <v>0.00006061145218</v>
      </c>
      <c r="AC155" s="584">
        <f t="shared" si="38"/>
        <v>0.00006069304152</v>
      </c>
      <c r="AD155" s="584">
        <f t="shared" si="38"/>
        <v>0.00007421801266</v>
      </c>
      <c r="AE155" s="584">
        <f t="shared" si="38"/>
        <v>0.00005896736541</v>
      </c>
      <c r="AF155" s="584">
        <f t="shared" si="38"/>
        <v>0.00004901182553</v>
      </c>
      <c r="AG155" s="584">
        <f t="shared" si="38"/>
        <v>0.0001379741395</v>
      </c>
      <c r="AH155" s="584">
        <f t="shared" si="38"/>
        <v>0.00009043379215</v>
      </c>
      <c r="AI155" s="584">
        <f t="shared" si="38"/>
        <v>0.00007744099672</v>
      </c>
      <c r="AJ155" s="584">
        <f t="shared" si="38"/>
        <v>0.0000310367502</v>
      </c>
      <c r="AK155" s="584">
        <f t="shared" si="38"/>
        <v>0.000149839854</v>
      </c>
      <c r="AL155" s="584">
        <f t="shared" si="38"/>
        <v>0.0002411383292</v>
      </c>
      <c r="AM155" s="584">
        <f t="shared" si="38"/>
        <v>0.0002411383292</v>
      </c>
      <c r="AN155" s="584">
        <f t="shared" si="38"/>
        <v>0.0002411383292</v>
      </c>
      <c r="AO155" s="584">
        <f t="shared" si="38"/>
        <v>0.00007089088944</v>
      </c>
      <c r="AP155" s="584">
        <f t="shared" si="38"/>
        <v>0.00009089749842</v>
      </c>
      <c r="AQ155" s="584">
        <f t="shared" si="38"/>
        <v>0.00004327023174</v>
      </c>
      <c r="AR155" s="584">
        <f t="shared" si="38"/>
        <v>0.00006926935249</v>
      </c>
      <c r="AS155" s="584">
        <f t="shared" si="38"/>
        <v>0.0001715499993</v>
      </c>
      <c r="AT155" s="584">
        <f t="shared" si="38"/>
        <v>0.00005828800088</v>
      </c>
      <c r="AU155" s="584">
        <f t="shared" si="38"/>
        <v>0.0003466198203</v>
      </c>
      <c r="AV155" s="584">
        <f t="shared" si="38"/>
        <v>0.0003931958554</v>
      </c>
      <c r="AW155" s="585"/>
    </row>
    <row r="156">
      <c r="A156" s="122"/>
      <c r="B156" s="123"/>
      <c r="C156" s="143"/>
      <c r="D156" s="143"/>
      <c r="E156" s="257" t="s">
        <v>658</v>
      </c>
      <c r="F156" s="554" t="s">
        <v>72</v>
      </c>
      <c r="G156" s="555" t="s">
        <v>161</v>
      </c>
      <c r="H156" s="240" t="s">
        <v>162</v>
      </c>
      <c r="I156" s="584">
        <f t="shared" ref="I156:AV156" si="39">I139*$H$153</f>
        <v>0.00196807108</v>
      </c>
      <c r="J156" s="584">
        <f t="shared" si="39"/>
        <v>0.001078243762</v>
      </c>
      <c r="K156" s="584">
        <f t="shared" si="39"/>
        <v>0.001514253523</v>
      </c>
      <c r="L156" s="584">
        <f t="shared" si="39"/>
        <v>0.0005689704607</v>
      </c>
      <c r="M156" s="584">
        <f t="shared" si="39"/>
        <v>0.0008443529443</v>
      </c>
      <c r="N156" s="584">
        <f t="shared" si="39"/>
        <v>0.001574606677</v>
      </c>
      <c r="O156" s="584">
        <f t="shared" si="39"/>
        <v>0.001716354836</v>
      </c>
      <c r="P156" s="584">
        <f t="shared" si="39"/>
        <v>0.002221422391</v>
      </c>
      <c r="Q156" s="584">
        <f t="shared" si="39"/>
        <v>0.001932485827</v>
      </c>
      <c r="R156" s="584">
        <f t="shared" si="39"/>
        <v>0.000383674912</v>
      </c>
      <c r="S156" s="584">
        <f t="shared" si="39"/>
        <v>0.001010333138</v>
      </c>
      <c r="T156" s="584">
        <f t="shared" si="39"/>
        <v>0.0003921019842</v>
      </c>
      <c r="U156" s="584">
        <f t="shared" si="39"/>
        <v>0.0003126228939</v>
      </c>
      <c r="V156" s="584">
        <f t="shared" si="39"/>
        <v>0.0008680552636</v>
      </c>
      <c r="W156" s="584">
        <f t="shared" si="39"/>
        <v>0.001140447641</v>
      </c>
      <c r="X156" s="584">
        <f t="shared" si="39"/>
        <v>0.0009740812302</v>
      </c>
      <c r="Y156" s="584">
        <f t="shared" si="39"/>
        <v>0.0007032751298</v>
      </c>
      <c r="Z156" s="584">
        <f t="shared" si="39"/>
        <v>0.0003966283478</v>
      </c>
      <c r="AA156" s="584">
        <f t="shared" si="39"/>
        <v>0.0007315148825</v>
      </c>
      <c r="AB156" s="584">
        <f t="shared" si="39"/>
        <v>0.0003656014375</v>
      </c>
      <c r="AC156" s="584">
        <f t="shared" si="39"/>
        <v>0.0003711622227</v>
      </c>
      <c r="AD156" s="584">
        <f t="shared" si="39"/>
        <v>0.0004453482557</v>
      </c>
      <c r="AE156" s="584">
        <f t="shared" si="39"/>
        <v>0.0002912755957</v>
      </c>
      <c r="AF156" s="584">
        <f t="shared" si="39"/>
        <v>0.0002801691951</v>
      </c>
      <c r="AG156" s="584">
        <f t="shared" si="39"/>
        <v>0.0005689704607</v>
      </c>
      <c r="AH156" s="584">
        <f t="shared" si="39"/>
        <v>0.0005475009835</v>
      </c>
      <c r="AI156" s="584">
        <f t="shared" si="39"/>
        <v>0.0005598894438</v>
      </c>
      <c r="AJ156" s="584">
        <f t="shared" si="39"/>
        <v>0.0001783998142</v>
      </c>
      <c r="AK156" s="584">
        <f t="shared" si="39"/>
        <v>0.000781646409</v>
      </c>
      <c r="AL156" s="584">
        <f t="shared" si="39"/>
        <v>0.001152308846</v>
      </c>
      <c r="AM156" s="584">
        <f t="shared" si="39"/>
        <v>0.001152308846</v>
      </c>
      <c r="AN156" s="584">
        <f t="shared" si="39"/>
        <v>0.001152308846</v>
      </c>
      <c r="AO156" s="584">
        <f t="shared" si="39"/>
        <v>0.0004333431423</v>
      </c>
      <c r="AP156" s="584">
        <f t="shared" si="39"/>
        <v>0.0004898841472</v>
      </c>
      <c r="AQ156" s="584">
        <f t="shared" si="39"/>
        <v>0.0002764636449</v>
      </c>
      <c r="AR156" s="584">
        <f t="shared" si="39"/>
        <v>0.000448779928</v>
      </c>
      <c r="AS156" s="584">
        <f t="shared" si="39"/>
        <v>0.0009254679215</v>
      </c>
      <c r="AT156" s="584">
        <f t="shared" si="39"/>
        <v>0.0003380111196</v>
      </c>
      <c r="AU156" s="584">
        <f t="shared" si="39"/>
        <v>0.001412326703</v>
      </c>
      <c r="AV156" s="584">
        <f t="shared" si="39"/>
        <v>0.001711917032</v>
      </c>
      <c r="AW156" s="585"/>
    </row>
    <row r="157">
      <c r="A157" s="122"/>
      <c r="B157" s="123"/>
      <c r="C157" s="143"/>
      <c r="D157" s="143"/>
      <c r="E157" s="272" t="s">
        <v>659</v>
      </c>
      <c r="F157" s="559" t="s">
        <v>72</v>
      </c>
      <c r="G157" s="560" t="s">
        <v>161</v>
      </c>
      <c r="H157" s="228" t="s">
        <v>162</v>
      </c>
      <c r="I157" s="586">
        <f t="shared" ref="I157:AV157" si="40">I140*$H$153</f>
        <v>0.01484659428</v>
      </c>
      <c r="J157" s="586">
        <f t="shared" si="40"/>
        <v>0.01068574441</v>
      </c>
      <c r="K157" s="586">
        <f t="shared" si="40"/>
        <v>0.01032831871</v>
      </c>
      <c r="L157" s="586">
        <f t="shared" si="40"/>
        <v>0.003885448938</v>
      </c>
      <c r="M157" s="586">
        <f t="shared" si="40"/>
        <v>0.006133456336</v>
      </c>
      <c r="N157" s="586">
        <f t="shared" si="40"/>
        <v>0.0110666051</v>
      </c>
      <c r="O157" s="586">
        <f t="shared" si="40"/>
        <v>0.01448728465</v>
      </c>
      <c r="P157" s="586">
        <f t="shared" si="40"/>
        <v>0.01385831773</v>
      </c>
      <c r="Q157" s="586">
        <f t="shared" si="40"/>
        <v>0.01651258799</v>
      </c>
      <c r="R157" s="586">
        <f t="shared" si="40"/>
        <v>0.002321074549</v>
      </c>
      <c r="S157" s="586">
        <f t="shared" si="40"/>
        <v>0.00742256099</v>
      </c>
      <c r="T157" s="586">
        <f t="shared" si="40"/>
        <v>0.002817364075</v>
      </c>
      <c r="U157" s="586">
        <f t="shared" si="40"/>
        <v>0.001969139942</v>
      </c>
      <c r="V157" s="586">
        <f t="shared" si="40"/>
        <v>0.005607113642</v>
      </c>
      <c r="W157" s="586">
        <f t="shared" si="40"/>
        <v>0.007443833259</v>
      </c>
      <c r="X157" s="586">
        <f t="shared" si="40"/>
        <v>0.007854802471</v>
      </c>
      <c r="Y157" s="586">
        <f t="shared" si="40"/>
        <v>0.004568445221</v>
      </c>
      <c r="Z157" s="586">
        <f t="shared" si="40"/>
        <v>0.002318161523</v>
      </c>
      <c r="AA157" s="586">
        <f t="shared" si="40"/>
        <v>0.004979588682</v>
      </c>
      <c r="AB157" s="586">
        <f t="shared" si="40"/>
        <v>0.002000001623</v>
      </c>
      <c r="AC157" s="586">
        <f t="shared" si="40"/>
        <v>0.002458021237</v>
      </c>
      <c r="AD157" s="586">
        <f t="shared" si="40"/>
        <v>0.003050605458</v>
      </c>
      <c r="AE157" s="586">
        <f t="shared" si="40"/>
        <v>0.001497629386</v>
      </c>
      <c r="AF157" s="586">
        <f t="shared" si="40"/>
        <v>0.001800920755</v>
      </c>
      <c r="AG157" s="586">
        <f t="shared" si="40"/>
        <v>0.003885448938</v>
      </c>
      <c r="AH157" s="586">
        <f t="shared" si="40"/>
        <v>0.004001289816</v>
      </c>
      <c r="AI157" s="586">
        <f t="shared" si="40"/>
        <v>0.003329286775</v>
      </c>
      <c r="AJ157" s="586">
        <f t="shared" si="40"/>
        <v>0.00100025091</v>
      </c>
      <c r="AK157" s="586">
        <f t="shared" si="40"/>
        <v>0.004067589562</v>
      </c>
      <c r="AL157" s="586">
        <f t="shared" si="40"/>
        <v>0.007796181963</v>
      </c>
      <c r="AM157" s="586">
        <f t="shared" si="40"/>
        <v>0.007796181963</v>
      </c>
      <c r="AN157" s="586">
        <f t="shared" si="40"/>
        <v>0.007796181963</v>
      </c>
      <c r="AO157" s="586">
        <f t="shared" si="40"/>
        <v>0.002942687766</v>
      </c>
      <c r="AP157" s="586">
        <f t="shared" si="40"/>
        <v>0.003460849796</v>
      </c>
      <c r="AQ157" s="586">
        <f t="shared" si="40"/>
        <v>0.002117345959</v>
      </c>
      <c r="AR157" s="586">
        <f t="shared" si="40"/>
        <v>0.002905139038</v>
      </c>
      <c r="AS157" s="586">
        <f t="shared" si="40"/>
        <v>0.004752180733</v>
      </c>
      <c r="AT157" s="586">
        <f t="shared" si="40"/>
        <v>0.002110693762</v>
      </c>
      <c r="AU157" s="586">
        <f t="shared" si="40"/>
        <v>0.007566200054</v>
      </c>
      <c r="AV157" s="586">
        <f t="shared" si="40"/>
        <v>0.01238067405</v>
      </c>
      <c r="AW157" s="587"/>
    </row>
    <row r="158">
      <c r="A158" s="122"/>
      <c r="B158" s="123"/>
      <c r="C158" s="538"/>
      <c r="D158" s="538"/>
      <c r="E158" s="269"/>
      <c r="F158" s="533"/>
      <c r="G158" s="534"/>
      <c r="H158" s="127"/>
      <c r="I158" s="552"/>
      <c r="J158" s="552"/>
      <c r="K158" s="552"/>
      <c r="L158" s="552"/>
      <c r="M158" s="552"/>
      <c r="N158" s="552"/>
      <c r="O158" s="552"/>
      <c r="P158" s="552"/>
      <c r="Q158" s="552"/>
      <c r="R158" s="552"/>
      <c r="S158" s="552"/>
      <c r="T158" s="552"/>
      <c r="U158" s="552"/>
      <c r="V158" s="552"/>
      <c r="W158" s="552"/>
      <c r="X158" s="552"/>
      <c r="Y158" s="552"/>
      <c r="Z158" s="552"/>
      <c r="AA158" s="552"/>
      <c r="AB158" s="552"/>
      <c r="AC158" s="552"/>
      <c r="AD158" s="552"/>
      <c r="AE158" s="552"/>
      <c r="AF158" s="552"/>
      <c r="AG158" s="552"/>
      <c r="AH158" s="552"/>
      <c r="AI158" s="552"/>
      <c r="AJ158" s="552"/>
      <c r="AK158" s="552"/>
      <c r="AL158" s="552"/>
      <c r="AM158" s="552"/>
      <c r="AN158" s="552"/>
      <c r="AO158" s="552"/>
      <c r="AP158" s="552"/>
      <c r="AQ158" s="552"/>
      <c r="AR158" s="552"/>
      <c r="AS158" s="552"/>
      <c r="AT158" s="552"/>
      <c r="AU158" s="552"/>
      <c r="AV158" s="552"/>
      <c r="AW158" s="553"/>
    </row>
    <row r="159">
      <c r="A159" s="117" t="s">
        <v>660</v>
      </c>
      <c r="B159" s="7"/>
      <c r="C159" s="7"/>
      <c r="D159" s="7"/>
      <c r="E159" s="7"/>
      <c r="F159" s="7"/>
      <c r="G159" s="7"/>
      <c r="H159" s="118"/>
      <c r="I159" s="340"/>
      <c r="J159" s="340"/>
      <c r="K159" s="340"/>
      <c r="L159" s="340"/>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c r="AH159" s="340"/>
      <c r="AI159" s="340"/>
      <c r="AJ159" s="340"/>
      <c r="AK159" s="340"/>
      <c r="AL159" s="340"/>
      <c r="AM159" s="340"/>
      <c r="AN159" s="340"/>
      <c r="AO159" s="340"/>
      <c r="AP159" s="340"/>
      <c r="AQ159" s="340"/>
      <c r="AR159" s="340"/>
      <c r="AS159" s="340"/>
      <c r="AT159" s="340"/>
      <c r="AU159" s="340"/>
      <c r="AV159" s="340"/>
      <c r="AW159" s="121"/>
    </row>
    <row r="160">
      <c r="A160" s="122"/>
      <c r="B160" s="123"/>
      <c r="C160" s="538"/>
      <c r="D160" s="538"/>
      <c r="E160" s="269"/>
      <c r="F160" s="533"/>
      <c r="G160" s="534"/>
      <c r="H160" s="127"/>
      <c r="I160" s="552"/>
      <c r="J160" s="552"/>
      <c r="K160" s="552"/>
      <c r="L160" s="552"/>
      <c r="M160" s="552"/>
      <c r="N160" s="552"/>
      <c r="O160" s="552"/>
      <c r="P160" s="552"/>
      <c r="Q160" s="552"/>
      <c r="R160" s="552"/>
      <c r="S160" s="552"/>
      <c r="T160" s="552"/>
      <c r="U160" s="552"/>
      <c r="V160" s="552"/>
      <c r="W160" s="552"/>
      <c r="X160" s="552"/>
      <c r="Y160" s="552"/>
      <c r="Z160" s="552"/>
      <c r="AA160" s="552"/>
      <c r="AB160" s="552"/>
      <c r="AC160" s="552"/>
      <c r="AD160" s="552"/>
      <c r="AE160" s="552"/>
      <c r="AF160" s="552"/>
      <c r="AG160" s="552"/>
      <c r="AH160" s="552"/>
      <c r="AI160" s="552"/>
      <c r="AJ160" s="552"/>
      <c r="AK160" s="552"/>
      <c r="AL160" s="552"/>
      <c r="AM160" s="552"/>
      <c r="AN160" s="552"/>
      <c r="AO160" s="552"/>
      <c r="AP160" s="552"/>
      <c r="AQ160" s="552"/>
      <c r="AR160" s="552"/>
      <c r="AS160" s="552"/>
      <c r="AT160" s="552"/>
      <c r="AU160" s="552"/>
      <c r="AV160" s="552"/>
      <c r="AW160" s="553"/>
    </row>
    <row r="161">
      <c r="A161" s="123"/>
      <c r="B161" s="123"/>
      <c r="C161" s="143" t="s">
        <v>661</v>
      </c>
      <c r="F161" s="533"/>
      <c r="G161" s="533"/>
      <c r="H161" s="127"/>
      <c r="I161" s="552"/>
      <c r="J161" s="552"/>
      <c r="K161" s="552"/>
      <c r="L161" s="552"/>
      <c r="M161" s="552"/>
      <c r="N161" s="552"/>
      <c r="O161" s="552"/>
      <c r="P161" s="552"/>
      <c r="Q161" s="552"/>
      <c r="R161" s="552"/>
      <c r="S161" s="552"/>
      <c r="T161" s="552"/>
      <c r="U161" s="552"/>
      <c r="V161" s="552"/>
      <c r="W161" s="552"/>
      <c r="X161" s="552"/>
      <c r="Y161" s="552"/>
      <c r="Z161" s="552"/>
      <c r="AA161" s="552"/>
      <c r="AB161" s="552"/>
      <c r="AC161" s="552"/>
      <c r="AD161" s="552"/>
      <c r="AE161" s="552"/>
      <c r="AF161" s="552"/>
      <c r="AG161" s="552"/>
      <c r="AH161" s="552"/>
      <c r="AI161" s="552"/>
      <c r="AJ161" s="552"/>
      <c r="AK161" s="552"/>
      <c r="AL161" s="552"/>
      <c r="AM161" s="552"/>
      <c r="AN161" s="552"/>
      <c r="AO161" s="552"/>
      <c r="AP161" s="552"/>
      <c r="AQ161" s="552"/>
      <c r="AR161" s="552"/>
      <c r="AS161" s="552"/>
      <c r="AT161" s="552"/>
      <c r="AU161" s="552"/>
      <c r="AV161" s="552"/>
      <c r="AW161" s="553"/>
    </row>
    <row r="162">
      <c r="A162" s="122"/>
      <c r="B162" s="123"/>
      <c r="C162" s="538"/>
      <c r="D162" s="538"/>
      <c r="E162" s="254" t="s">
        <v>662</v>
      </c>
      <c r="F162" s="539" t="s">
        <v>72</v>
      </c>
      <c r="G162" s="540" t="s">
        <v>165</v>
      </c>
      <c r="H162" s="541" t="str">
        <f>Inputs!H184</f>
        <v>-</v>
      </c>
      <c r="I162" s="542">
        <f>Inputs!I184</f>
        <v>0.001684193</v>
      </c>
      <c r="J162" s="542">
        <f>Inputs!J184</f>
        <v>0.000921641</v>
      </c>
      <c r="K162" s="542">
        <f>Inputs!K184</f>
        <v>0.001855196</v>
      </c>
      <c r="L162" s="542">
        <f>Inputs!L184</f>
        <v>0.000622002</v>
      </c>
      <c r="M162" s="542">
        <f>Inputs!M184</f>
        <v>0.000637374</v>
      </c>
      <c r="N162" s="542">
        <f>Inputs!N184</f>
        <v>0.001680384</v>
      </c>
      <c r="O162" s="542">
        <f>Inputs!O184</f>
        <v>0.001550532</v>
      </c>
      <c r="P162" s="542">
        <f>Inputs!P184</f>
        <v>0.002217853</v>
      </c>
      <c r="Q162" s="542">
        <f>Inputs!Q184</f>
        <v>0.00256188</v>
      </c>
      <c r="R162" s="542">
        <f>Inputs!R184</f>
        <v>0.000141832</v>
      </c>
      <c r="S162" s="542">
        <f>Inputs!S184</f>
        <v>0.000508638</v>
      </c>
      <c r="T162" s="542">
        <f>Inputs!T184</f>
        <v>0.000189306</v>
      </c>
      <c r="U162" s="542">
        <f>Inputs!U184</f>
        <v>0.000145828</v>
      </c>
      <c r="V162" s="542">
        <f>Inputs!V184</f>
        <v>0.000356325</v>
      </c>
      <c r="W162" s="542">
        <f>Inputs!W184</f>
        <v>0.000284489</v>
      </c>
      <c r="X162" s="542">
        <f>Inputs!X184</f>
        <v>0.000585515</v>
      </c>
      <c r="Y162" s="542">
        <f>Inputs!Y184</f>
        <v>0.000227998</v>
      </c>
      <c r="Z162" s="542">
        <f>Inputs!Z184</f>
        <v>0.00020488</v>
      </c>
      <c r="AA162" s="542">
        <f>Inputs!AA184</f>
        <v>0.000259696</v>
      </c>
      <c r="AB162" s="542">
        <f>Inputs!AB184</f>
        <v>0.000180419</v>
      </c>
      <c r="AC162" s="542">
        <f>Inputs!AC184</f>
        <v>0.000173715</v>
      </c>
      <c r="AD162" s="542">
        <f>Inputs!AD184</f>
        <v>0.000122419</v>
      </c>
      <c r="AE162" s="542">
        <f>Inputs!AE184</f>
        <v>0.000135426</v>
      </c>
      <c r="AF162" s="542">
        <f>Inputs!AF184</f>
        <v>0.000101351</v>
      </c>
      <c r="AG162" s="542">
        <f>Inputs!AG184</f>
        <v>0.000622002</v>
      </c>
      <c r="AH162" s="542">
        <f>Inputs!AH184</f>
        <v>0.000245612</v>
      </c>
      <c r="AI162" s="542">
        <f>Inputs!AI184</f>
        <v>0.000251249</v>
      </c>
      <c r="AJ162" s="542">
        <f>Inputs!AJ184</f>
        <v>0.0000871</v>
      </c>
      <c r="AK162" s="542">
        <f>Inputs!AK184</f>
        <v>0.000346226</v>
      </c>
      <c r="AL162" s="542">
        <f>Inputs!AL184</f>
        <v>0.000547186</v>
      </c>
      <c r="AM162" s="542">
        <f>Inputs!AM184</f>
        <v>0.000547186</v>
      </c>
      <c r="AN162" s="542">
        <f>Inputs!AN184</f>
        <v>0.000547186</v>
      </c>
      <c r="AO162" s="542">
        <f>Inputs!AO184</f>
        <v>0.000183463</v>
      </c>
      <c r="AP162" s="542">
        <f>Inputs!AP184</f>
        <v>0.00017625</v>
      </c>
      <c r="AQ162" s="542">
        <f>Inputs!AQ184</f>
        <v>0.00010284</v>
      </c>
      <c r="AR162" s="542">
        <f>Inputs!AR184</f>
        <v>0.00017111</v>
      </c>
      <c r="AS162" s="542">
        <f>Inputs!AS184</f>
        <v>0.00023164</v>
      </c>
      <c r="AT162" s="542">
        <f>Inputs!AT184</f>
        <v>0.000174496</v>
      </c>
      <c r="AU162" s="542">
        <f>Inputs!AU184</f>
        <v>0.000564633</v>
      </c>
      <c r="AV162" s="542">
        <f>Inputs!AV184</f>
        <v>0.001123738</v>
      </c>
      <c r="AW162" s="543"/>
    </row>
    <row r="163">
      <c r="A163" s="122"/>
      <c r="B163" s="123"/>
      <c r="C163" s="538"/>
      <c r="D163" s="538"/>
      <c r="E163" s="257" t="s">
        <v>663</v>
      </c>
      <c r="F163" s="554" t="s">
        <v>72</v>
      </c>
      <c r="G163" s="555" t="s">
        <v>165</v>
      </c>
      <c r="H163" s="556" t="str">
        <f>Inputs!H185</f>
        <v>-</v>
      </c>
      <c r="I163" s="557">
        <f>Inputs!I185</f>
        <v>0.000258566</v>
      </c>
      <c r="J163" s="557">
        <f>Inputs!J185</f>
        <v>0.000138837</v>
      </c>
      <c r="K163" s="557">
        <f>Inputs!K185</f>
        <v>0.000290386</v>
      </c>
      <c r="L163" s="557">
        <f>Inputs!L185</f>
        <v>0.000109043</v>
      </c>
      <c r="M163" s="557">
        <f>Inputs!M185</f>
        <v>0.000102012</v>
      </c>
      <c r="N163" s="557">
        <f>Inputs!N185</f>
        <v>0.000259127</v>
      </c>
      <c r="O163" s="557">
        <f>Inputs!O185</f>
        <v>0.000246282</v>
      </c>
      <c r="P163" s="557">
        <f>Inputs!P185</f>
        <v>0.000344136</v>
      </c>
      <c r="Q163" s="557">
        <f>Inputs!Q185</f>
        <v>0.000360388</v>
      </c>
      <c r="R163" s="557">
        <f>Inputs!R185</f>
        <v>0.0000244</v>
      </c>
      <c r="S163" s="557">
        <f>Inputs!S185</f>
        <v>0.00008</v>
      </c>
      <c r="T163" s="557">
        <f>Inputs!T185</f>
        <v>0.000034</v>
      </c>
      <c r="U163" s="557">
        <f>Inputs!U185</f>
        <v>0.0000265</v>
      </c>
      <c r="V163" s="557">
        <f>Inputs!V185</f>
        <v>0.0000556</v>
      </c>
      <c r="W163" s="557">
        <f>Inputs!W185</f>
        <v>0.0000497</v>
      </c>
      <c r="X163" s="557">
        <f>Inputs!X185</f>
        <v>0.0000923</v>
      </c>
      <c r="Y163" s="557">
        <f>Inputs!Y185</f>
        <v>0.0000392</v>
      </c>
      <c r="Z163" s="557">
        <f>Inputs!Z185</f>
        <v>0.0000387</v>
      </c>
      <c r="AA163" s="557">
        <f>Inputs!AA185</f>
        <v>0.0000507</v>
      </c>
      <c r="AB163" s="557">
        <f>Inputs!AB185</f>
        <v>0.0000272</v>
      </c>
      <c r="AC163" s="557">
        <f>Inputs!AC185</f>
        <v>0.0000307</v>
      </c>
      <c r="AD163" s="557">
        <f>Inputs!AD185</f>
        <v>0.0000235</v>
      </c>
      <c r="AE163" s="557">
        <f>Inputs!AE185</f>
        <v>0.0000246</v>
      </c>
      <c r="AF163" s="557">
        <f>Inputs!AF185</f>
        <v>0.0000198</v>
      </c>
      <c r="AG163" s="557">
        <f>Inputs!AG185</f>
        <v>0.000109043</v>
      </c>
      <c r="AH163" s="557">
        <f>Inputs!AH185</f>
        <v>0.0000442</v>
      </c>
      <c r="AI163" s="557">
        <f>Inputs!AI185</f>
        <v>0.0000489</v>
      </c>
      <c r="AJ163" s="557">
        <f>Inputs!AJ185</f>
        <v>0.0000183</v>
      </c>
      <c r="AK163" s="557">
        <f>Inputs!AK185</f>
        <v>0.0000595</v>
      </c>
      <c r="AL163" s="557">
        <f>Inputs!AL185</f>
        <v>0.0000868</v>
      </c>
      <c r="AM163" s="557">
        <f>Inputs!AM185</f>
        <v>0.0000868</v>
      </c>
      <c r="AN163" s="557">
        <f>Inputs!AN185</f>
        <v>0.0000868</v>
      </c>
      <c r="AO163" s="557">
        <f>Inputs!AO185</f>
        <v>0.0000322</v>
      </c>
      <c r="AP163" s="557">
        <f>Inputs!AP185</f>
        <v>0.0000334</v>
      </c>
      <c r="AQ163" s="557">
        <f>Inputs!AQ185</f>
        <v>0.0000193</v>
      </c>
      <c r="AR163" s="557">
        <f>Inputs!AR185</f>
        <v>0.0000284</v>
      </c>
      <c r="AS163" s="557">
        <f>Inputs!AS185</f>
        <v>0.0000482</v>
      </c>
      <c r="AT163" s="557">
        <f>Inputs!AT185</f>
        <v>0.0000297</v>
      </c>
      <c r="AU163" s="557">
        <f>Inputs!AU185</f>
        <v>0.0000921</v>
      </c>
      <c r="AV163" s="557">
        <f>Inputs!AV185</f>
        <v>0.000172181</v>
      </c>
      <c r="AW163" s="558"/>
    </row>
    <row r="164">
      <c r="A164" s="122"/>
      <c r="B164" s="123"/>
      <c r="C164" s="538"/>
      <c r="D164" s="538"/>
      <c r="E164" s="257" t="s">
        <v>664</v>
      </c>
      <c r="F164" s="554" t="s">
        <v>72</v>
      </c>
      <c r="G164" s="555" t="s">
        <v>165</v>
      </c>
      <c r="H164" s="556" t="str">
        <f>Inputs!H186</f>
        <v>-</v>
      </c>
      <c r="I164" s="557">
        <f>Inputs!I186</f>
        <v>0.0000531</v>
      </c>
      <c r="J164" s="557">
        <f>Inputs!J186</f>
        <v>0.000024</v>
      </c>
      <c r="K164" s="557">
        <f>Inputs!K186</f>
        <v>0.0000773</v>
      </c>
      <c r="L164" s="557">
        <f>Inputs!L186</f>
        <v>0.0000223</v>
      </c>
      <c r="M164" s="557">
        <f>Inputs!M186</f>
        <v>0.000019</v>
      </c>
      <c r="N164" s="557">
        <f>Inputs!N186</f>
        <v>0.0000592</v>
      </c>
      <c r="O164" s="557">
        <f>Inputs!O186</f>
        <v>0.000051</v>
      </c>
      <c r="P164" s="557">
        <f>Inputs!P186</f>
        <v>0.0000811</v>
      </c>
      <c r="Q164" s="557">
        <f>Inputs!Q186</f>
        <v>0.0000778</v>
      </c>
      <c r="R164" s="557">
        <f>Inputs!R186</f>
        <v>0.00000571</v>
      </c>
      <c r="S164" s="557">
        <f>Inputs!S186</f>
        <v>0.0000186</v>
      </c>
      <c r="T164" s="557">
        <f>Inputs!T186</f>
        <v>0.00000859</v>
      </c>
      <c r="U164" s="557">
        <f>Inputs!U186</f>
        <v>0.00000719</v>
      </c>
      <c r="V164" s="557">
        <f>Inputs!V186</f>
        <v>0.0000139</v>
      </c>
      <c r="W164" s="557">
        <f>Inputs!W186</f>
        <v>0.0000125</v>
      </c>
      <c r="X164" s="557">
        <f>Inputs!X186</f>
        <v>0.0000239</v>
      </c>
      <c r="Y164" s="557">
        <f>Inputs!Y186</f>
        <v>0.00000957</v>
      </c>
      <c r="Z164" s="557">
        <f>Inputs!Z186</f>
        <v>0.00000926</v>
      </c>
      <c r="AA164" s="557">
        <f>Inputs!AA186</f>
        <v>0.0000117</v>
      </c>
      <c r="AB164" s="557">
        <f>Inputs!AB186</f>
        <v>0.00000652</v>
      </c>
      <c r="AC164" s="557">
        <f>Inputs!AC186</f>
        <v>0.00000697</v>
      </c>
      <c r="AD164" s="557">
        <f>Inputs!AD186</f>
        <v>0.00000658</v>
      </c>
      <c r="AE164" s="557">
        <f>Inputs!AE186</f>
        <v>0.00000657</v>
      </c>
      <c r="AF164" s="557">
        <f>Inputs!AF186</f>
        <v>0.00000532</v>
      </c>
      <c r="AG164" s="557">
        <f>Inputs!AG186</f>
        <v>0.0000223</v>
      </c>
      <c r="AH164" s="557">
        <f>Inputs!AH186</f>
        <v>0.0000117</v>
      </c>
      <c r="AI164" s="557">
        <f>Inputs!AI186</f>
        <v>0.0000124</v>
      </c>
      <c r="AJ164" s="557">
        <f>Inputs!AJ186</f>
        <v>0.00000467</v>
      </c>
      <c r="AK164" s="557">
        <f>Inputs!AK186</f>
        <v>0.0000151</v>
      </c>
      <c r="AL164" s="557">
        <f>Inputs!AL186</f>
        <v>0.0000222</v>
      </c>
      <c r="AM164" s="557">
        <f>Inputs!AM186</f>
        <v>0.0000222</v>
      </c>
      <c r="AN164" s="557">
        <f>Inputs!AN186</f>
        <v>0.0000222</v>
      </c>
      <c r="AO164" s="557">
        <f>Inputs!AO186</f>
        <v>0.00000941</v>
      </c>
      <c r="AP164" s="557">
        <f>Inputs!AP186</f>
        <v>0.00000805</v>
      </c>
      <c r="AQ164" s="557">
        <f>Inputs!AQ186</f>
        <v>0.000005</v>
      </c>
      <c r="AR164" s="557">
        <f>Inputs!AR186</f>
        <v>0.00000749</v>
      </c>
      <c r="AS164" s="557">
        <f>Inputs!AS186</f>
        <v>0.0000134</v>
      </c>
      <c r="AT164" s="557">
        <f>Inputs!AT186</f>
        <v>0.00000671</v>
      </c>
      <c r="AU164" s="557">
        <f>Inputs!AU186</f>
        <v>0.00002</v>
      </c>
      <c r="AV164" s="557">
        <f>Inputs!AV186</f>
        <v>0.0000479</v>
      </c>
      <c r="AW164" s="558"/>
    </row>
    <row r="165">
      <c r="A165" s="122"/>
      <c r="B165" s="123"/>
      <c r="C165" s="538"/>
      <c r="D165" s="538"/>
      <c r="E165" s="272" t="s">
        <v>665</v>
      </c>
      <c r="F165" s="559" t="s">
        <v>72</v>
      </c>
      <c r="G165" s="560" t="s">
        <v>165</v>
      </c>
      <c r="H165" s="561" t="str">
        <f>Inputs!H187</f>
        <v>-</v>
      </c>
      <c r="I165" s="562">
        <f>Inputs!I187</f>
        <v>0.000013</v>
      </c>
      <c r="J165" s="562">
        <f>Inputs!J187</f>
        <v>0.00000697</v>
      </c>
      <c r="K165" s="562">
        <f>Inputs!K187</f>
        <v>0.0000136</v>
      </c>
      <c r="L165" s="562">
        <f>Inputs!L187</f>
        <v>0.00000524</v>
      </c>
      <c r="M165" s="562">
        <f>Inputs!M187</f>
        <v>0.0000051</v>
      </c>
      <c r="N165" s="562">
        <f>Inputs!N187</f>
        <v>0.0000135</v>
      </c>
      <c r="O165" s="562">
        <f>Inputs!O187</f>
        <v>0.0000128</v>
      </c>
      <c r="P165" s="562">
        <f>Inputs!P187</f>
        <v>0.0000172</v>
      </c>
      <c r="Q165" s="562">
        <f>Inputs!Q187</f>
        <v>0.0000178</v>
      </c>
      <c r="R165" s="562">
        <f>Inputs!R187</f>
        <v>0.00000128</v>
      </c>
      <c r="S165" s="562">
        <f>Inputs!S187</f>
        <v>0.00000365</v>
      </c>
      <c r="T165" s="562">
        <f>Inputs!T187</f>
        <v>0.00000207</v>
      </c>
      <c r="U165" s="562">
        <f>Inputs!U187</f>
        <v>0.00000149</v>
      </c>
      <c r="V165" s="562">
        <f>Inputs!V187</f>
        <v>0.00000287</v>
      </c>
      <c r="W165" s="562">
        <f>Inputs!W187</f>
        <v>0.00000253</v>
      </c>
      <c r="X165" s="562">
        <f>Inputs!X187</f>
        <v>0.00000537</v>
      </c>
      <c r="Y165" s="562">
        <f>Inputs!Y187</f>
        <v>0.00000215</v>
      </c>
      <c r="Z165" s="562">
        <f>Inputs!Z187</f>
        <v>0.00000187</v>
      </c>
      <c r="AA165" s="562">
        <f>Inputs!AA187</f>
        <v>0.0000024</v>
      </c>
      <c r="AB165" s="562">
        <f>Inputs!AB187</f>
        <v>0.00000149</v>
      </c>
      <c r="AC165" s="562">
        <f>Inputs!AC187</f>
        <v>0.00000167</v>
      </c>
      <c r="AD165" s="562">
        <f>Inputs!AD187</f>
        <v>0.0000013</v>
      </c>
      <c r="AE165" s="562">
        <f>Inputs!AE187</f>
        <v>0.00000137</v>
      </c>
      <c r="AF165" s="562">
        <f>Inputs!AF187</f>
        <v>0.00000118</v>
      </c>
      <c r="AG165" s="562">
        <f>Inputs!AG187</f>
        <v>0.00000524</v>
      </c>
      <c r="AH165" s="562">
        <f>Inputs!AH187</f>
        <v>0.00000243</v>
      </c>
      <c r="AI165" s="562">
        <f>Inputs!AI187</f>
        <v>0.0000031</v>
      </c>
      <c r="AJ165" s="562">
        <f>Inputs!AJ187</f>
        <v>0.00000108</v>
      </c>
      <c r="AK165" s="562">
        <f>Inputs!AK187</f>
        <v>0.00000303</v>
      </c>
      <c r="AL165" s="562">
        <f>Inputs!AL187</f>
        <v>0.00000511</v>
      </c>
      <c r="AM165" s="562">
        <f>Inputs!AM187</f>
        <v>0.00000511</v>
      </c>
      <c r="AN165" s="562">
        <f>Inputs!AN187</f>
        <v>0.00000511</v>
      </c>
      <c r="AO165" s="562">
        <f>Inputs!AO187</f>
        <v>0.00000199</v>
      </c>
      <c r="AP165" s="562">
        <f>Inputs!AP187</f>
        <v>0.00000167</v>
      </c>
      <c r="AQ165" s="562">
        <f>Inputs!AQ187</f>
        <v>0.0000012</v>
      </c>
      <c r="AR165" s="562">
        <f>Inputs!AR187</f>
        <v>0.00000174</v>
      </c>
      <c r="AS165" s="562">
        <f>Inputs!AS187</f>
        <v>0.00000255</v>
      </c>
      <c r="AT165" s="562">
        <f>Inputs!AT187</f>
        <v>0.00000161</v>
      </c>
      <c r="AU165" s="562">
        <f>Inputs!AU187</f>
        <v>0.00000487</v>
      </c>
      <c r="AV165" s="562">
        <f>Inputs!AV187</f>
        <v>0.00000988</v>
      </c>
      <c r="AW165" s="563"/>
    </row>
    <row r="166">
      <c r="A166" s="122"/>
      <c r="B166" s="123"/>
      <c r="C166" s="538"/>
      <c r="D166" s="538"/>
      <c r="E166" s="269"/>
      <c r="F166" s="533"/>
      <c r="G166" s="534"/>
      <c r="H166" s="127"/>
      <c r="I166" s="552"/>
      <c r="J166" s="552"/>
      <c r="K166" s="552"/>
      <c r="L166" s="552"/>
      <c r="M166" s="552"/>
      <c r="N166" s="552"/>
      <c r="O166" s="552"/>
      <c r="P166" s="552"/>
      <c r="Q166" s="552"/>
      <c r="R166" s="552"/>
      <c r="S166" s="552"/>
      <c r="T166" s="552"/>
      <c r="U166" s="552"/>
      <c r="V166" s="552"/>
      <c r="W166" s="552"/>
      <c r="X166" s="552"/>
      <c r="Y166" s="552"/>
      <c r="Z166" s="552"/>
      <c r="AA166" s="552"/>
      <c r="AB166" s="552"/>
      <c r="AC166" s="552"/>
      <c r="AD166" s="552"/>
      <c r="AE166" s="552"/>
      <c r="AF166" s="552"/>
      <c r="AG166" s="552"/>
      <c r="AH166" s="552"/>
      <c r="AI166" s="552"/>
      <c r="AJ166" s="552"/>
      <c r="AK166" s="552"/>
      <c r="AL166" s="552"/>
      <c r="AM166" s="552"/>
      <c r="AN166" s="552"/>
      <c r="AO166" s="552"/>
      <c r="AP166" s="552"/>
      <c r="AQ166" s="552"/>
      <c r="AR166" s="552"/>
      <c r="AS166" s="552"/>
      <c r="AT166" s="552"/>
      <c r="AU166" s="552"/>
      <c r="AV166" s="552"/>
      <c r="AW166" s="553"/>
    </row>
    <row r="167">
      <c r="A167" s="122"/>
      <c r="B167" s="123"/>
      <c r="C167" s="143" t="s">
        <v>666</v>
      </c>
      <c r="F167" s="533"/>
      <c r="G167" s="534"/>
      <c r="H167" s="127"/>
      <c r="I167" s="552"/>
      <c r="J167" s="552"/>
      <c r="K167" s="552"/>
      <c r="L167" s="552"/>
      <c r="M167" s="552"/>
      <c r="N167" s="552"/>
      <c r="O167" s="552"/>
      <c r="P167" s="552"/>
      <c r="Q167" s="552"/>
      <c r="R167" s="552"/>
      <c r="S167" s="552"/>
      <c r="T167" s="552"/>
      <c r="U167" s="552"/>
      <c r="V167" s="552"/>
      <c r="W167" s="552"/>
      <c r="X167" s="552"/>
      <c r="Y167" s="552"/>
      <c r="Z167" s="552"/>
      <c r="AA167" s="552"/>
      <c r="AB167" s="552"/>
      <c r="AC167" s="552"/>
      <c r="AD167" s="552"/>
      <c r="AE167" s="552"/>
      <c r="AF167" s="552"/>
      <c r="AG167" s="552"/>
      <c r="AH167" s="552"/>
      <c r="AI167" s="552"/>
      <c r="AJ167" s="552"/>
      <c r="AK167" s="552"/>
      <c r="AL167" s="552"/>
      <c r="AM167" s="552"/>
      <c r="AN167" s="552"/>
      <c r="AO167" s="552"/>
      <c r="AP167" s="552"/>
      <c r="AQ167" s="552"/>
      <c r="AR167" s="552"/>
      <c r="AS167" s="552"/>
      <c r="AT167" s="552"/>
      <c r="AU167" s="552"/>
      <c r="AV167" s="552"/>
      <c r="AW167" s="553"/>
    </row>
    <row r="168">
      <c r="A168" s="122"/>
      <c r="B168" s="123"/>
      <c r="C168" s="538"/>
      <c r="D168" s="538"/>
      <c r="E168" s="254" t="s">
        <v>667</v>
      </c>
      <c r="F168" s="539" t="s">
        <v>62</v>
      </c>
      <c r="G168" s="540" t="s">
        <v>165</v>
      </c>
      <c r="H168" s="541" t="str">
        <f>Inputs!H188</f>
        <v>-</v>
      </c>
      <c r="I168" s="564">
        <f>Inputs!I188</f>
        <v>472.6800099</v>
      </c>
      <c r="J168" s="564">
        <f>Inputs!J188</f>
        <v>120.4429596</v>
      </c>
      <c r="K168" s="564">
        <f>Inputs!K188</f>
        <v>427.1372344</v>
      </c>
      <c r="L168" s="564">
        <f>Inputs!L188</f>
        <v>242.91073</v>
      </c>
      <c r="M168" s="564">
        <f>Inputs!M188</f>
        <v>435.1934643</v>
      </c>
      <c r="N168" s="564">
        <f>Inputs!N188</f>
        <v>707.7079348</v>
      </c>
      <c r="O168" s="564">
        <f>Inputs!O188</f>
        <v>309.3255788</v>
      </c>
      <c r="P168" s="564">
        <f>Inputs!P188</f>
        <v>659.3052148</v>
      </c>
      <c r="Q168" s="564">
        <f>Inputs!Q188</f>
        <v>411.1880719</v>
      </c>
      <c r="R168" s="564">
        <f>Inputs!R188</f>
        <v>19.64992346</v>
      </c>
      <c r="S168" s="564">
        <f>Inputs!S188</f>
        <v>57.15170644</v>
      </c>
      <c r="T168" s="564">
        <f>Inputs!T188</f>
        <v>11.3511831</v>
      </c>
      <c r="U168" s="564">
        <f>Inputs!U188</f>
        <v>27.52427559</v>
      </c>
      <c r="V168" s="564">
        <f>Inputs!V188</f>
        <v>7.726148051</v>
      </c>
      <c r="W168" s="564">
        <f>Inputs!W188</f>
        <v>86.17436042</v>
      </c>
      <c r="X168" s="564">
        <f>Inputs!X188</f>
        <v>97.4300913</v>
      </c>
      <c r="Y168" s="564">
        <f>Inputs!Y188</f>
        <v>14.45558554</v>
      </c>
      <c r="Z168" s="564">
        <f>Inputs!Z188</f>
        <v>24.5496389</v>
      </c>
      <c r="AA168" s="564">
        <f>Inputs!AA188</f>
        <v>26.99088502</v>
      </c>
      <c r="AB168" s="564">
        <f>Inputs!AB188</f>
        <v>18.27260394</v>
      </c>
      <c r="AC168" s="564">
        <f>Inputs!AC188</f>
        <v>7.864191713</v>
      </c>
      <c r="AD168" s="564">
        <f>Inputs!AD188</f>
        <v>15.43996003</v>
      </c>
      <c r="AE168" s="564">
        <f>Inputs!AE188</f>
        <v>25.08451142</v>
      </c>
      <c r="AF168" s="564">
        <f>Inputs!AF188</f>
        <v>31.24723193</v>
      </c>
      <c r="AG168" s="564">
        <f>Inputs!AG188</f>
        <v>242.91073</v>
      </c>
      <c r="AH168" s="564">
        <f>Inputs!AH188</f>
        <v>20.55180154</v>
      </c>
      <c r="AI168" s="564">
        <f>Inputs!AI188</f>
        <v>22.99981667</v>
      </c>
      <c r="AJ168" s="564">
        <f>Inputs!AJ188</f>
        <v>11.65287169</v>
      </c>
      <c r="AK168" s="564">
        <f>Inputs!AK188</f>
        <v>67.56362384</v>
      </c>
      <c r="AL168" s="564">
        <f>Inputs!AL188</f>
        <v>230.7773845</v>
      </c>
      <c r="AM168" s="564">
        <f>Inputs!AM188</f>
        <v>230.7773845</v>
      </c>
      <c r="AN168" s="564">
        <f>Inputs!AN188</f>
        <v>230.7773845</v>
      </c>
      <c r="AO168" s="564">
        <f>Inputs!AO188</f>
        <v>63.24989724</v>
      </c>
      <c r="AP168" s="564">
        <f>Inputs!AP188</f>
        <v>17.2829085</v>
      </c>
      <c r="AQ168" s="564">
        <f>Inputs!AQ188</f>
        <v>11.62308299</v>
      </c>
      <c r="AR168" s="564">
        <f>Inputs!AR188</f>
        <v>27.09449686</v>
      </c>
      <c r="AS168" s="564">
        <f>Inputs!AS188</f>
        <v>89.78641677</v>
      </c>
      <c r="AT168" s="564">
        <f>Inputs!AT188</f>
        <v>16.82160947</v>
      </c>
      <c r="AU168" s="564">
        <f>Inputs!AU188</f>
        <v>166.8788999</v>
      </c>
      <c r="AV168" s="564">
        <f>Inputs!AV188</f>
        <v>191.2894986</v>
      </c>
      <c r="AW168" s="565"/>
    </row>
    <row r="169">
      <c r="A169" s="122"/>
      <c r="B169" s="123"/>
      <c r="C169" s="538"/>
      <c r="D169" s="538"/>
      <c r="E169" s="257" t="s">
        <v>668</v>
      </c>
      <c r="F169" s="554" t="s">
        <v>62</v>
      </c>
      <c r="G169" s="555" t="s">
        <v>165</v>
      </c>
      <c r="H169" s="556" t="str">
        <f>Inputs!H189</f>
        <v>-</v>
      </c>
      <c r="I169" s="310">
        <f>Inputs!I189</f>
        <v>123.6158501</v>
      </c>
      <c r="J169" s="310">
        <f>Inputs!J189</f>
        <v>32.77345624</v>
      </c>
      <c r="K169" s="310">
        <f>Inputs!K189</f>
        <v>116.0566233</v>
      </c>
      <c r="L169" s="310">
        <f>Inputs!L189</f>
        <v>74.96143679</v>
      </c>
      <c r="M169" s="310">
        <f>Inputs!M189</f>
        <v>116.1328452</v>
      </c>
      <c r="N169" s="310">
        <f>Inputs!N189</f>
        <v>209.1222026</v>
      </c>
      <c r="O169" s="310">
        <f>Inputs!O189</f>
        <v>86.07944075</v>
      </c>
      <c r="P169" s="310">
        <f>Inputs!P189</f>
        <v>175.7971347</v>
      </c>
      <c r="Q169" s="310">
        <f>Inputs!Q189</f>
        <v>110.6578518</v>
      </c>
      <c r="R169" s="310">
        <f>Inputs!R189</f>
        <v>6.245814071</v>
      </c>
      <c r="S169" s="310">
        <f>Inputs!S189</f>
        <v>16.75551183</v>
      </c>
      <c r="T169" s="310">
        <f>Inputs!T189</f>
        <v>3.128830425</v>
      </c>
      <c r="U169" s="310">
        <f>Inputs!U189</f>
        <v>8.324464269</v>
      </c>
      <c r="V169" s="310">
        <f>Inputs!V189</f>
        <v>2.099747283</v>
      </c>
      <c r="W169" s="310">
        <f>Inputs!W189</f>
        <v>28.50790177</v>
      </c>
      <c r="X169" s="310">
        <f>Inputs!X189</f>
        <v>29.56511455</v>
      </c>
      <c r="Y169" s="310">
        <f>Inputs!Y189</f>
        <v>3.708497067</v>
      </c>
      <c r="Z169" s="310">
        <f>Inputs!Z189</f>
        <v>7.372635941</v>
      </c>
      <c r="AA169" s="310">
        <f>Inputs!AA189</f>
        <v>9.30597901</v>
      </c>
      <c r="AB169" s="310">
        <f>Inputs!AB189</f>
        <v>4.691736835</v>
      </c>
      <c r="AC169" s="310">
        <f>Inputs!AC189</f>
        <v>2.190584213</v>
      </c>
      <c r="AD169" s="310">
        <f>Inputs!AD189</f>
        <v>4.65032017</v>
      </c>
      <c r="AE169" s="310">
        <f>Inputs!AE189</f>
        <v>8.222003395</v>
      </c>
      <c r="AF169" s="310">
        <f>Inputs!AF189</f>
        <v>9.336035784</v>
      </c>
      <c r="AG169" s="310">
        <f>Inputs!AG189</f>
        <v>74.96143679</v>
      </c>
      <c r="AH169" s="310">
        <f>Inputs!AH189</f>
        <v>5.181093854</v>
      </c>
      <c r="AI169" s="310">
        <f>Inputs!AI189</f>
        <v>6.943144129</v>
      </c>
      <c r="AJ169" s="310">
        <f>Inputs!AJ189</f>
        <v>3.804454448</v>
      </c>
      <c r="AK169" s="310">
        <f>Inputs!AK189</f>
        <v>21.01233846</v>
      </c>
      <c r="AL169" s="310">
        <f>Inputs!AL189</f>
        <v>69.09166579</v>
      </c>
      <c r="AM169" s="310">
        <f>Inputs!AM189</f>
        <v>69.09166579</v>
      </c>
      <c r="AN169" s="310">
        <f>Inputs!AN189</f>
        <v>69.09166579</v>
      </c>
      <c r="AO169" s="310">
        <f>Inputs!AO189</f>
        <v>18.58617067</v>
      </c>
      <c r="AP169" s="310">
        <f>Inputs!AP189</f>
        <v>3.664630471</v>
      </c>
      <c r="AQ169" s="310">
        <f>Inputs!AQ189</f>
        <v>3.407159141</v>
      </c>
      <c r="AR169" s="310">
        <f>Inputs!AR189</f>
        <v>7.295412577</v>
      </c>
      <c r="AS169" s="310">
        <f>Inputs!AS189</f>
        <v>29.76393726</v>
      </c>
      <c r="AT169" s="310">
        <f>Inputs!AT189</f>
        <v>4.950529953</v>
      </c>
      <c r="AU169" s="310">
        <f>Inputs!AU189</f>
        <v>48.29191406</v>
      </c>
      <c r="AV169" s="310">
        <f>Inputs!AV189</f>
        <v>53.76490975</v>
      </c>
      <c r="AW169" s="251"/>
    </row>
    <row r="170">
      <c r="A170" s="122"/>
      <c r="B170" s="123"/>
      <c r="C170" s="538"/>
      <c r="D170" s="538"/>
      <c r="E170" s="257" t="s">
        <v>669</v>
      </c>
      <c r="F170" s="554" t="s">
        <v>72</v>
      </c>
      <c r="G170" s="555" t="s">
        <v>161</v>
      </c>
      <c r="H170" s="566" t="s">
        <v>162</v>
      </c>
      <c r="I170" s="567">
        <f t="shared" ref="I170:AV170" si="41">I169/I168</f>
        <v>0.2615212142</v>
      </c>
      <c r="J170" s="567">
        <f t="shared" si="41"/>
        <v>0.272107696</v>
      </c>
      <c r="K170" s="567">
        <f t="shared" si="41"/>
        <v>0.2717080459</v>
      </c>
      <c r="L170" s="567">
        <f t="shared" si="41"/>
        <v>0.308596647</v>
      </c>
      <c r="M170" s="567">
        <f t="shared" si="41"/>
        <v>0.2668533761</v>
      </c>
      <c r="N170" s="567">
        <f t="shared" si="41"/>
        <v>0.2954922395</v>
      </c>
      <c r="O170" s="567">
        <f t="shared" si="41"/>
        <v>0.2782810302</v>
      </c>
      <c r="P170" s="567">
        <f t="shared" si="41"/>
        <v>0.2666399882</v>
      </c>
      <c r="Q170" s="567">
        <f t="shared" si="41"/>
        <v>0.2691173683</v>
      </c>
      <c r="R170" s="567">
        <f t="shared" si="41"/>
        <v>0.3178543715</v>
      </c>
      <c r="S170" s="567">
        <f t="shared" si="41"/>
        <v>0.293176055</v>
      </c>
      <c r="T170" s="567">
        <f t="shared" si="41"/>
        <v>0.2756391468</v>
      </c>
      <c r="U170" s="567">
        <f t="shared" si="41"/>
        <v>0.3024408124</v>
      </c>
      <c r="V170" s="567">
        <f t="shared" si="41"/>
        <v>0.2717715567</v>
      </c>
      <c r="W170" s="567">
        <f t="shared" si="41"/>
        <v>0.330816517</v>
      </c>
      <c r="X170" s="567">
        <f t="shared" si="41"/>
        <v>0.3034495211</v>
      </c>
      <c r="Y170" s="567">
        <f t="shared" si="41"/>
        <v>0.2565442304</v>
      </c>
      <c r="Z170" s="567">
        <f t="shared" si="41"/>
        <v>0.3003154536</v>
      </c>
      <c r="AA170" s="567">
        <f t="shared" si="41"/>
        <v>0.3447822849</v>
      </c>
      <c r="AB170" s="567">
        <f t="shared" si="41"/>
        <v>0.2567634504</v>
      </c>
      <c r="AC170" s="567">
        <f t="shared" si="41"/>
        <v>0.2785517308</v>
      </c>
      <c r="AD170" s="567">
        <f t="shared" si="41"/>
        <v>0.3011873192</v>
      </c>
      <c r="AE170" s="567">
        <f t="shared" si="41"/>
        <v>0.3277721163</v>
      </c>
      <c r="AF170" s="567">
        <f t="shared" si="41"/>
        <v>0.2987796105</v>
      </c>
      <c r="AG170" s="567">
        <f t="shared" si="41"/>
        <v>0.308596647</v>
      </c>
      <c r="AH170" s="567">
        <f t="shared" si="41"/>
        <v>0.2520992548</v>
      </c>
      <c r="AI170" s="567">
        <f t="shared" si="41"/>
        <v>0.3018782379</v>
      </c>
      <c r="AJ170" s="567">
        <f t="shared" si="41"/>
        <v>0.3264821367</v>
      </c>
      <c r="AK170" s="567">
        <f t="shared" si="41"/>
        <v>0.3110007614</v>
      </c>
      <c r="AL170" s="567">
        <f t="shared" si="41"/>
        <v>0.2993866402</v>
      </c>
      <c r="AM170" s="567">
        <f t="shared" si="41"/>
        <v>0.2993866402</v>
      </c>
      <c r="AN170" s="567">
        <f t="shared" si="41"/>
        <v>0.2993866402</v>
      </c>
      <c r="AO170" s="567">
        <f t="shared" si="41"/>
        <v>0.2938529781</v>
      </c>
      <c r="AP170" s="567">
        <f t="shared" si="41"/>
        <v>0.2120378333</v>
      </c>
      <c r="AQ170" s="567">
        <f t="shared" si="41"/>
        <v>0.2931372979</v>
      </c>
      <c r="AR170" s="567">
        <f t="shared" si="41"/>
        <v>0.2692580938</v>
      </c>
      <c r="AS170" s="567">
        <f t="shared" si="41"/>
        <v>0.3314971054</v>
      </c>
      <c r="AT170" s="567">
        <f t="shared" si="41"/>
        <v>0.2942958557</v>
      </c>
      <c r="AU170" s="567">
        <f t="shared" si="41"/>
        <v>0.2893829842</v>
      </c>
      <c r="AV170" s="567">
        <f t="shared" si="41"/>
        <v>0.281065663</v>
      </c>
      <c r="AW170" s="251"/>
    </row>
    <row r="171">
      <c r="A171" s="122"/>
      <c r="B171" s="123"/>
      <c r="C171" s="538"/>
      <c r="D171" s="538"/>
      <c r="E171" s="257" t="s">
        <v>670</v>
      </c>
      <c r="F171" s="554" t="s">
        <v>72</v>
      </c>
      <c r="G171" s="555" t="s">
        <v>165</v>
      </c>
      <c r="H171" s="568">
        <f>Inputs!H190</f>
        <v>0.75</v>
      </c>
      <c r="I171" s="310" t="str">
        <f>Inputs!I190</f>
        <v>-</v>
      </c>
      <c r="J171" s="310" t="str">
        <f>Inputs!J190</f>
        <v>-</v>
      </c>
      <c r="K171" s="310" t="str">
        <f>Inputs!K190</f>
        <v>-</v>
      </c>
      <c r="L171" s="310" t="str">
        <f>Inputs!L190</f>
        <v>-</v>
      </c>
      <c r="M171" s="310" t="str">
        <f>Inputs!M190</f>
        <v>-</v>
      </c>
      <c r="N171" s="310" t="str">
        <f>Inputs!N190</f>
        <v>-</v>
      </c>
      <c r="O171" s="310" t="str">
        <f>Inputs!O190</f>
        <v>-</v>
      </c>
      <c r="P171" s="310" t="str">
        <f>Inputs!P190</f>
        <v>-</v>
      </c>
      <c r="Q171" s="310" t="str">
        <f>Inputs!Q190</f>
        <v>-</v>
      </c>
      <c r="R171" s="310" t="str">
        <f>Inputs!R190</f>
        <v>-</v>
      </c>
      <c r="S171" s="310" t="str">
        <f>Inputs!S190</f>
        <v>-</v>
      </c>
      <c r="T171" s="310" t="str">
        <f>Inputs!T190</f>
        <v>-</v>
      </c>
      <c r="U171" s="310" t="str">
        <f>Inputs!U190</f>
        <v>-</v>
      </c>
      <c r="V171" s="310" t="str">
        <f>Inputs!V190</f>
        <v>-</v>
      </c>
      <c r="W171" s="310" t="str">
        <f>Inputs!W190</f>
        <v>-</v>
      </c>
      <c r="X171" s="310" t="str">
        <f>Inputs!X190</f>
        <v>-</v>
      </c>
      <c r="Y171" s="310" t="str">
        <f>Inputs!Y190</f>
        <v>-</v>
      </c>
      <c r="Z171" s="310" t="str">
        <f>Inputs!Z190</f>
        <v>-</v>
      </c>
      <c r="AA171" s="310" t="str">
        <f>Inputs!AA190</f>
        <v>-</v>
      </c>
      <c r="AB171" s="310" t="str">
        <f>Inputs!AB190</f>
        <v>-</v>
      </c>
      <c r="AC171" s="310" t="str">
        <f>Inputs!AC190</f>
        <v>-</v>
      </c>
      <c r="AD171" s="310" t="str">
        <f>Inputs!AD190</f>
        <v>-</v>
      </c>
      <c r="AE171" s="310" t="str">
        <f>Inputs!AE190</f>
        <v>-</v>
      </c>
      <c r="AF171" s="310" t="str">
        <f>Inputs!AF190</f>
        <v>-</v>
      </c>
      <c r="AG171" s="310" t="str">
        <f>Inputs!AG190</f>
        <v>-</v>
      </c>
      <c r="AH171" s="310" t="str">
        <f>Inputs!AH190</f>
        <v>-</v>
      </c>
      <c r="AI171" s="310" t="str">
        <f>Inputs!AI190</f>
        <v>-</v>
      </c>
      <c r="AJ171" s="310" t="str">
        <f>Inputs!AJ190</f>
        <v>-</v>
      </c>
      <c r="AK171" s="310" t="str">
        <f>Inputs!AK190</f>
        <v>-</v>
      </c>
      <c r="AL171" s="310" t="str">
        <f>Inputs!AL190</f>
        <v>-</v>
      </c>
      <c r="AM171" s="310" t="str">
        <f>Inputs!AM190</f>
        <v>-</v>
      </c>
      <c r="AN171" s="310" t="str">
        <f>Inputs!AN190</f>
        <v>-</v>
      </c>
      <c r="AO171" s="310" t="str">
        <f>Inputs!AO190</f>
        <v>-</v>
      </c>
      <c r="AP171" s="310" t="str">
        <f>Inputs!AP190</f>
        <v>-</v>
      </c>
      <c r="AQ171" s="310" t="str">
        <f>Inputs!AQ190</f>
        <v>-</v>
      </c>
      <c r="AR171" s="310" t="str">
        <f>Inputs!AR190</f>
        <v>-</v>
      </c>
      <c r="AS171" s="310" t="str">
        <f>Inputs!AS190</f>
        <v>-</v>
      </c>
      <c r="AT171" s="310" t="str">
        <f>Inputs!AT190</f>
        <v>-</v>
      </c>
      <c r="AU171" s="310" t="str">
        <f>Inputs!AU190</f>
        <v>-</v>
      </c>
      <c r="AV171" s="310" t="str">
        <f>Inputs!AV190</f>
        <v>-</v>
      </c>
      <c r="AW171" s="251"/>
    </row>
    <row r="172">
      <c r="A172" s="122"/>
      <c r="B172" s="123"/>
      <c r="C172" s="538"/>
      <c r="D172" s="538"/>
      <c r="E172" s="257" t="s">
        <v>671</v>
      </c>
      <c r="F172" s="554" t="s">
        <v>72</v>
      </c>
      <c r="G172" s="555" t="s">
        <v>161</v>
      </c>
      <c r="H172" s="566" t="s">
        <v>162</v>
      </c>
      <c r="I172" s="567">
        <f t="shared" ref="I172:AV172" si="42">I170*$H171</f>
        <v>0.1961409106</v>
      </c>
      <c r="J172" s="567">
        <f t="shared" si="42"/>
        <v>0.204080772</v>
      </c>
      <c r="K172" s="567">
        <f t="shared" si="42"/>
        <v>0.2037810344</v>
      </c>
      <c r="L172" s="567">
        <f t="shared" si="42"/>
        <v>0.2314474852</v>
      </c>
      <c r="M172" s="567">
        <f t="shared" si="42"/>
        <v>0.2001400321</v>
      </c>
      <c r="N172" s="567">
        <f t="shared" si="42"/>
        <v>0.2216191797</v>
      </c>
      <c r="O172" s="567">
        <f t="shared" si="42"/>
        <v>0.2087107727</v>
      </c>
      <c r="P172" s="567">
        <f t="shared" si="42"/>
        <v>0.1999799912</v>
      </c>
      <c r="Q172" s="567">
        <f t="shared" si="42"/>
        <v>0.2018380263</v>
      </c>
      <c r="R172" s="567">
        <f t="shared" si="42"/>
        <v>0.2383907786</v>
      </c>
      <c r="S172" s="567">
        <f t="shared" si="42"/>
        <v>0.2198820412</v>
      </c>
      <c r="T172" s="567">
        <f t="shared" si="42"/>
        <v>0.2067293601</v>
      </c>
      <c r="U172" s="567">
        <f t="shared" si="42"/>
        <v>0.2268306093</v>
      </c>
      <c r="V172" s="567">
        <f t="shared" si="42"/>
        <v>0.2038286675</v>
      </c>
      <c r="W172" s="567">
        <f t="shared" si="42"/>
        <v>0.2481123878</v>
      </c>
      <c r="X172" s="567">
        <f t="shared" si="42"/>
        <v>0.2275871409</v>
      </c>
      <c r="Y172" s="567">
        <f t="shared" si="42"/>
        <v>0.1924081728</v>
      </c>
      <c r="Z172" s="567">
        <f t="shared" si="42"/>
        <v>0.2252365902</v>
      </c>
      <c r="AA172" s="567">
        <f t="shared" si="42"/>
        <v>0.2585867137</v>
      </c>
      <c r="AB172" s="567">
        <f t="shared" si="42"/>
        <v>0.1925725878</v>
      </c>
      <c r="AC172" s="567">
        <f t="shared" si="42"/>
        <v>0.2089137981</v>
      </c>
      <c r="AD172" s="567">
        <f t="shared" si="42"/>
        <v>0.2258904894</v>
      </c>
      <c r="AE172" s="567">
        <f t="shared" si="42"/>
        <v>0.2458290872</v>
      </c>
      <c r="AF172" s="567">
        <f t="shared" si="42"/>
        <v>0.2240847078</v>
      </c>
      <c r="AG172" s="567">
        <f t="shared" si="42"/>
        <v>0.2314474852</v>
      </c>
      <c r="AH172" s="567">
        <f t="shared" si="42"/>
        <v>0.1890744411</v>
      </c>
      <c r="AI172" s="567">
        <f t="shared" si="42"/>
        <v>0.2264086784</v>
      </c>
      <c r="AJ172" s="567">
        <f t="shared" si="42"/>
        <v>0.2448616025</v>
      </c>
      <c r="AK172" s="567">
        <f t="shared" si="42"/>
        <v>0.2332505711</v>
      </c>
      <c r="AL172" s="567">
        <f t="shared" si="42"/>
        <v>0.2245399802</v>
      </c>
      <c r="AM172" s="567">
        <f t="shared" si="42"/>
        <v>0.2245399802</v>
      </c>
      <c r="AN172" s="567">
        <f t="shared" si="42"/>
        <v>0.2245399802</v>
      </c>
      <c r="AO172" s="567">
        <f t="shared" si="42"/>
        <v>0.2203897336</v>
      </c>
      <c r="AP172" s="567">
        <f t="shared" si="42"/>
        <v>0.159028375</v>
      </c>
      <c r="AQ172" s="567">
        <f t="shared" si="42"/>
        <v>0.2198529734</v>
      </c>
      <c r="AR172" s="567">
        <f t="shared" si="42"/>
        <v>0.2019435704</v>
      </c>
      <c r="AS172" s="567">
        <f t="shared" si="42"/>
        <v>0.248622829</v>
      </c>
      <c r="AT172" s="567">
        <f t="shared" si="42"/>
        <v>0.2207218918</v>
      </c>
      <c r="AU172" s="567">
        <f t="shared" si="42"/>
        <v>0.2170372382</v>
      </c>
      <c r="AV172" s="567">
        <f t="shared" si="42"/>
        <v>0.2107992473</v>
      </c>
      <c r="AW172" s="251"/>
    </row>
    <row r="173">
      <c r="A173" s="122"/>
      <c r="B173" s="123"/>
      <c r="C173" s="538"/>
      <c r="D173" s="538"/>
      <c r="E173" s="490" t="s">
        <v>672</v>
      </c>
      <c r="F173" s="544" t="s">
        <v>72</v>
      </c>
      <c r="G173" s="545" t="s">
        <v>161</v>
      </c>
      <c r="H173" s="551" t="s">
        <v>162</v>
      </c>
      <c r="I173" s="547">
        <f t="shared" ref="I173:AV173" si="43">I162*(1-I172)</f>
        <v>0.001353853851</v>
      </c>
      <c r="J173" s="547">
        <f t="shared" si="43"/>
        <v>0.0007335517932</v>
      </c>
      <c r="K173" s="547">
        <f t="shared" si="43"/>
        <v>0.00147714224</v>
      </c>
      <c r="L173" s="547">
        <f t="shared" si="43"/>
        <v>0.0004780412013</v>
      </c>
      <c r="M173" s="547">
        <f t="shared" si="43"/>
        <v>0.0005098099472</v>
      </c>
      <c r="N173" s="547">
        <f t="shared" si="43"/>
        <v>0.001307978676</v>
      </c>
      <c r="O173" s="547">
        <f t="shared" si="43"/>
        <v>0.001226919268</v>
      </c>
      <c r="P173" s="547">
        <f t="shared" si="43"/>
        <v>0.001774326777</v>
      </c>
      <c r="Q173" s="547">
        <f t="shared" si="43"/>
        <v>0.002044795197</v>
      </c>
      <c r="R173" s="547">
        <f t="shared" si="43"/>
        <v>0.0001080205591</v>
      </c>
      <c r="S173" s="547">
        <f t="shared" si="43"/>
        <v>0.0003967976383</v>
      </c>
      <c r="T173" s="547">
        <f t="shared" si="43"/>
        <v>0.0001501708918</v>
      </c>
      <c r="U173" s="547">
        <f t="shared" si="43"/>
        <v>0.0001127497459</v>
      </c>
      <c r="V173" s="547">
        <f t="shared" si="43"/>
        <v>0.00028369575</v>
      </c>
      <c r="W173" s="547">
        <f t="shared" si="43"/>
        <v>0.0002139037549</v>
      </c>
      <c r="X173" s="547">
        <f t="shared" si="43"/>
        <v>0.0004522593152</v>
      </c>
      <c r="Y173" s="547">
        <f t="shared" si="43"/>
        <v>0.0001841293214</v>
      </c>
      <c r="Z173" s="547">
        <f t="shared" si="43"/>
        <v>0.0001587335274</v>
      </c>
      <c r="AA173" s="547">
        <f t="shared" si="43"/>
        <v>0.0001925420648</v>
      </c>
      <c r="AB173" s="547">
        <f t="shared" si="43"/>
        <v>0.0001456752463</v>
      </c>
      <c r="AC173" s="547">
        <f t="shared" si="43"/>
        <v>0.0001374235396</v>
      </c>
      <c r="AD173" s="547">
        <f t="shared" si="43"/>
        <v>0.00009476571218</v>
      </c>
      <c r="AE173" s="547">
        <f t="shared" si="43"/>
        <v>0.00010213435</v>
      </c>
      <c r="AF173" s="547">
        <f t="shared" si="43"/>
        <v>0.00007863979078</v>
      </c>
      <c r="AG173" s="547">
        <f t="shared" si="43"/>
        <v>0.0004780412013</v>
      </c>
      <c r="AH173" s="547">
        <f t="shared" si="43"/>
        <v>0.0001991730484</v>
      </c>
      <c r="AI173" s="547">
        <f t="shared" si="43"/>
        <v>0.0001943640459</v>
      </c>
      <c r="AJ173" s="547">
        <f t="shared" si="43"/>
        <v>0.00006577255442</v>
      </c>
      <c r="AK173" s="547">
        <f t="shared" si="43"/>
        <v>0.0002654685878</v>
      </c>
      <c r="AL173" s="547">
        <f t="shared" si="43"/>
        <v>0.0004243208664</v>
      </c>
      <c r="AM173" s="547">
        <f t="shared" si="43"/>
        <v>0.0004243208664</v>
      </c>
      <c r="AN173" s="547">
        <f t="shared" si="43"/>
        <v>0.0004243208664</v>
      </c>
      <c r="AO173" s="547">
        <f t="shared" si="43"/>
        <v>0.0001430296383</v>
      </c>
      <c r="AP173" s="547">
        <f t="shared" si="43"/>
        <v>0.0001482212489</v>
      </c>
      <c r="AQ173" s="547">
        <f t="shared" si="43"/>
        <v>0.00008023032021</v>
      </c>
      <c r="AR173" s="547">
        <f t="shared" si="43"/>
        <v>0.0001365554357</v>
      </c>
      <c r="AS173" s="547">
        <f t="shared" si="43"/>
        <v>0.0001740490079</v>
      </c>
      <c r="AT173" s="547">
        <f t="shared" si="43"/>
        <v>0.0001359809128</v>
      </c>
      <c r="AU173" s="547">
        <f t="shared" si="43"/>
        <v>0.0004420866131</v>
      </c>
      <c r="AV173" s="547">
        <f t="shared" si="43"/>
        <v>0.0008868548755</v>
      </c>
      <c r="AW173" s="548"/>
    </row>
    <row r="174">
      <c r="A174" s="122"/>
      <c r="B174" s="123"/>
      <c r="C174" s="143"/>
      <c r="D174" s="143"/>
      <c r="E174" s="269"/>
      <c r="F174" s="125"/>
      <c r="G174" s="132"/>
      <c r="H174" s="127"/>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30"/>
    </row>
    <row r="175">
      <c r="A175" s="117" t="s">
        <v>673</v>
      </c>
      <c r="B175" s="7"/>
      <c r="C175" s="7"/>
      <c r="D175" s="7"/>
      <c r="E175" s="7"/>
      <c r="F175" s="7"/>
      <c r="G175" s="7"/>
      <c r="H175" s="172"/>
      <c r="I175" s="232"/>
      <c r="J175" s="232"/>
      <c r="K175" s="232"/>
      <c r="L175" s="232"/>
      <c r="M175" s="232"/>
      <c r="N175" s="232"/>
      <c r="O175" s="232"/>
      <c r="P175" s="232"/>
      <c r="Q175" s="588"/>
      <c r="R175" s="232"/>
      <c r="S175" s="232"/>
      <c r="T175" s="232"/>
      <c r="U175" s="232"/>
      <c r="V175" s="232"/>
      <c r="W175" s="232"/>
      <c r="X175" s="232"/>
      <c r="Y175" s="232"/>
      <c r="Z175" s="232"/>
      <c r="AA175" s="232"/>
      <c r="AB175" s="232"/>
      <c r="AC175" s="232"/>
      <c r="AD175" s="232"/>
      <c r="AE175" s="232"/>
      <c r="AF175" s="232"/>
      <c r="AG175" s="232"/>
      <c r="AH175" s="232"/>
      <c r="AI175" s="232"/>
      <c r="AJ175" s="232"/>
      <c r="AK175" s="232"/>
      <c r="AL175" s="232"/>
      <c r="AM175" s="232"/>
      <c r="AN175" s="232"/>
      <c r="AO175" s="232"/>
      <c r="AP175" s="232"/>
      <c r="AQ175" s="232"/>
      <c r="AR175" s="232"/>
      <c r="AS175" s="232"/>
      <c r="AT175" s="232"/>
      <c r="AU175" s="232"/>
      <c r="AV175" s="232"/>
      <c r="AW175" s="175"/>
    </row>
    <row r="176">
      <c r="A176" s="122"/>
      <c r="B176" s="123"/>
      <c r="C176" s="123"/>
      <c r="D176" s="123"/>
      <c r="E176" s="124"/>
      <c r="F176" s="125"/>
      <c r="G176" s="482"/>
      <c r="H176" s="127"/>
      <c r="I176" s="128"/>
      <c r="J176" s="128"/>
      <c r="K176" s="128"/>
      <c r="L176" s="128"/>
      <c r="M176" s="128"/>
      <c r="N176" s="128"/>
      <c r="O176" s="589"/>
      <c r="P176" s="589"/>
      <c r="Q176" s="589"/>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30"/>
    </row>
    <row r="177">
      <c r="A177" s="122"/>
      <c r="B177" s="123"/>
      <c r="C177" s="450" t="s">
        <v>674</v>
      </c>
      <c r="F177" s="125"/>
      <c r="G177" s="482"/>
      <c r="H177" s="127"/>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30"/>
    </row>
    <row r="178">
      <c r="A178" s="122"/>
      <c r="B178" s="123"/>
      <c r="C178" s="342"/>
      <c r="D178" s="342"/>
      <c r="E178" s="254" t="s">
        <v>675</v>
      </c>
      <c r="F178" s="193" t="s">
        <v>72</v>
      </c>
      <c r="G178" s="483" t="s">
        <v>161</v>
      </c>
      <c r="H178" s="236" t="s">
        <v>162</v>
      </c>
      <c r="I178" s="237">
        <f t="shared" ref="I178:AV178" si="44">I15</f>
        <v>0.003629763</v>
      </c>
      <c r="J178" s="237">
        <f t="shared" si="44"/>
        <v>0.001693533</v>
      </c>
      <c r="K178" s="237">
        <f t="shared" si="44"/>
        <v>0.004321809</v>
      </c>
      <c r="L178" s="237">
        <f t="shared" si="44"/>
        <v>0.000876042</v>
      </c>
      <c r="M178" s="237">
        <f t="shared" si="44"/>
        <v>0.001723095</v>
      </c>
      <c r="N178" s="237">
        <f t="shared" si="44"/>
        <v>0.002687563</v>
      </c>
      <c r="O178" s="237">
        <f t="shared" si="44"/>
        <v>0.002755632</v>
      </c>
      <c r="P178" s="237">
        <f t="shared" si="44"/>
        <v>0.004692335</v>
      </c>
      <c r="Q178" s="237">
        <f t="shared" si="44"/>
        <v>0.005920174</v>
      </c>
      <c r="R178" s="237">
        <f t="shared" si="44"/>
        <v>0.000340487</v>
      </c>
      <c r="S178" s="237">
        <f t="shared" si="44"/>
        <v>0.001242071</v>
      </c>
      <c r="T178" s="237">
        <f t="shared" si="44"/>
        <v>0.000232857</v>
      </c>
      <c r="U178" s="237">
        <f t="shared" si="44"/>
        <v>0.000236873</v>
      </c>
      <c r="V178" s="237">
        <f t="shared" si="44"/>
        <v>0.000342083</v>
      </c>
      <c r="W178" s="237">
        <f t="shared" si="44"/>
        <v>0.000561141</v>
      </c>
      <c r="X178" s="237">
        <f t="shared" si="44"/>
        <v>0.000540748</v>
      </c>
      <c r="Y178" s="237">
        <f t="shared" si="44"/>
        <v>0.000308884</v>
      </c>
      <c r="Z178" s="237">
        <f t="shared" si="44"/>
        <v>0.00034876</v>
      </c>
      <c r="AA178" s="237">
        <f t="shared" si="44"/>
        <v>0.000484387</v>
      </c>
      <c r="AB178" s="237">
        <f t="shared" si="44"/>
        <v>0.000327009</v>
      </c>
      <c r="AC178" s="237">
        <f t="shared" si="44"/>
        <v>0.000293915</v>
      </c>
      <c r="AD178" s="237">
        <f t="shared" si="44"/>
        <v>0.000173117</v>
      </c>
      <c r="AE178" s="237">
        <f t="shared" si="44"/>
        <v>0.000302269</v>
      </c>
      <c r="AF178" s="237">
        <f t="shared" si="44"/>
        <v>0.000186819</v>
      </c>
      <c r="AG178" s="237">
        <f t="shared" si="44"/>
        <v>0.000876042</v>
      </c>
      <c r="AH178" s="237">
        <f t="shared" si="44"/>
        <v>0.000243976</v>
      </c>
      <c r="AI178" s="237">
        <f t="shared" si="44"/>
        <v>0.000189327</v>
      </c>
      <c r="AJ178" s="237">
        <f t="shared" si="44"/>
        <v>0.000125611</v>
      </c>
      <c r="AK178" s="237">
        <f t="shared" si="44"/>
        <v>0.000519729</v>
      </c>
      <c r="AL178" s="237">
        <f t="shared" si="44"/>
        <v>0.000903152</v>
      </c>
      <c r="AM178" s="237">
        <f t="shared" si="44"/>
        <v>0.000903152</v>
      </c>
      <c r="AN178" s="237">
        <f t="shared" si="44"/>
        <v>0.000903152</v>
      </c>
      <c r="AO178" s="237">
        <f t="shared" si="44"/>
        <v>0.00024853</v>
      </c>
      <c r="AP178" s="237">
        <f t="shared" si="44"/>
        <v>0.000298102</v>
      </c>
      <c r="AQ178" s="237">
        <f t="shared" si="44"/>
        <v>0.000132551</v>
      </c>
      <c r="AR178" s="237">
        <f t="shared" si="44"/>
        <v>0.000138701</v>
      </c>
      <c r="AS178" s="237">
        <f t="shared" si="44"/>
        <v>0.000383821</v>
      </c>
      <c r="AT178" s="237">
        <f t="shared" si="44"/>
        <v>0.000322044</v>
      </c>
      <c r="AU178" s="237">
        <f t="shared" si="44"/>
        <v>0.001380717</v>
      </c>
      <c r="AV178" s="237">
        <f t="shared" si="44"/>
        <v>0.00187352</v>
      </c>
      <c r="AW178" s="256"/>
    </row>
    <row r="179">
      <c r="A179" s="122"/>
      <c r="B179" s="123"/>
      <c r="C179" s="342"/>
      <c r="D179" s="342"/>
      <c r="E179" s="257" t="s">
        <v>676</v>
      </c>
      <c r="F179" s="213" t="s">
        <v>72</v>
      </c>
      <c r="G179" s="485" t="s">
        <v>161</v>
      </c>
      <c r="H179" s="240" t="s">
        <v>162</v>
      </c>
      <c r="I179" s="260">
        <f t="shared" ref="I179:AV179" si="45">SUM(I31,I47,I66)</f>
        <v>0.002343861693</v>
      </c>
      <c r="J179" s="260">
        <f t="shared" si="45"/>
        <v>0.001989333001</v>
      </c>
      <c r="K179" s="260">
        <f t="shared" si="45"/>
        <v>0.002769340821</v>
      </c>
      <c r="L179" s="260">
        <f t="shared" si="45"/>
        <v>0.001235881755</v>
      </c>
      <c r="M179" s="260">
        <f t="shared" si="45"/>
        <v>0.001615677047</v>
      </c>
      <c r="N179" s="260">
        <f t="shared" si="45"/>
        <v>0.002151492374</v>
      </c>
      <c r="O179" s="260">
        <f t="shared" si="45"/>
        <v>0.002648285997</v>
      </c>
      <c r="P179" s="260">
        <f t="shared" si="45"/>
        <v>0.003642155715</v>
      </c>
      <c r="Q179" s="260">
        <f t="shared" si="45"/>
        <v>0.004237828843</v>
      </c>
      <c r="R179" s="260">
        <f t="shared" si="45"/>
        <v>0.0003206084153</v>
      </c>
      <c r="S179" s="260">
        <f t="shared" si="45"/>
        <v>0.001082453703</v>
      </c>
      <c r="T179" s="260">
        <f t="shared" si="45"/>
        <v>0.0003447474134</v>
      </c>
      <c r="U179" s="260">
        <f t="shared" si="45"/>
        <v>0.0004512819872</v>
      </c>
      <c r="V179" s="260">
        <f t="shared" si="45"/>
        <v>0.0007742750531</v>
      </c>
      <c r="W179" s="260">
        <f t="shared" si="45"/>
        <v>0.0006076966443</v>
      </c>
      <c r="X179" s="260">
        <f t="shared" si="45"/>
        <v>0.0009854916235</v>
      </c>
      <c r="Y179" s="260">
        <f t="shared" si="45"/>
        <v>0.000417706441</v>
      </c>
      <c r="Z179" s="260">
        <f t="shared" si="45"/>
        <v>0.000446376586</v>
      </c>
      <c r="AA179" s="260">
        <f t="shared" si="45"/>
        <v>0.0004479804213</v>
      </c>
      <c r="AB179" s="260">
        <f t="shared" si="45"/>
        <v>0.0003238117201</v>
      </c>
      <c r="AC179" s="260">
        <f t="shared" si="45"/>
        <v>0.0002100104229</v>
      </c>
      <c r="AD179" s="260">
        <f t="shared" si="45"/>
        <v>0.0002498286878</v>
      </c>
      <c r="AE179" s="260">
        <f t="shared" si="45"/>
        <v>0.0003218253163</v>
      </c>
      <c r="AF179" s="260">
        <f t="shared" si="45"/>
        <v>0.0001806972018</v>
      </c>
      <c r="AG179" s="260">
        <f t="shared" si="45"/>
        <v>0.001235881755</v>
      </c>
      <c r="AH179" s="260">
        <f t="shared" si="45"/>
        <v>0.001019605093</v>
      </c>
      <c r="AI179" s="260">
        <f t="shared" si="45"/>
        <v>0.0003820323127</v>
      </c>
      <c r="AJ179" s="260">
        <f t="shared" si="45"/>
        <v>0.000151214441</v>
      </c>
      <c r="AK179" s="260">
        <f t="shared" si="45"/>
        <v>0.0007434329561</v>
      </c>
      <c r="AL179" s="260">
        <f t="shared" si="45"/>
        <v>0.00117250695</v>
      </c>
      <c r="AM179" s="260">
        <f t="shared" si="45"/>
        <v>0.00117250695</v>
      </c>
      <c r="AN179" s="260">
        <f t="shared" si="45"/>
        <v>0.00117250695</v>
      </c>
      <c r="AO179" s="260">
        <f t="shared" si="45"/>
        <v>0.000457170788</v>
      </c>
      <c r="AP179" s="260">
        <f t="shared" si="45"/>
        <v>0.0003182487564</v>
      </c>
      <c r="AQ179" s="260">
        <f t="shared" si="45"/>
        <v>0.0001770907482</v>
      </c>
      <c r="AR179" s="260">
        <f t="shared" si="45"/>
        <v>0.0004181548746</v>
      </c>
      <c r="AS179" s="260">
        <f t="shared" si="45"/>
        <v>0.0004006915926</v>
      </c>
      <c r="AT179" s="260">
        <f t="shared" si="45"/>
        <v>0.0003476206098</v>
      </c>
      <c r="AU179" s="260">
        <f t="shared" si="45"/>
        <v>0.001283128663</v>
      </c>
      <c r="AV179" s="260">
        <f t="shared" si="45"/>
        <v>0.001744818779</v>
      </c>
      <c r="AW179" s="259"/>
    </row>
    <row r="180">
      <c r="A180" s="122"/>
      <c r="B180" s="123"/>
      <c r="C180" s="342"/>
      <c r="D180" s="342"/>
      <c r="E180" s="257" t="s">
        <v>677</v>
      </c>
      <c r="F180" s="213" t="s">
        <v>72</v>
      </c>
      <c r="G180" s="485" t="s">
        <v>161</v>
      </c>
      <c r="H180" s="240" t="s">
        <v>162</v>
      </c>
      <c r="I180" s="260">
        <f t="shared" ref="I180:AV180" si="46">SUM(I88,I121)</f>
        <v>0.0006365512472</v>
      </c>
      <c r="J180" s="260">
        <f t="shared" si="46"/>
        <v>0.0005153478876</v>
      </c>
      <c r="K180" s="260">
        <f t="shared" si="46"/>
        <v>0.0006538971766</v>
      </c>
      <c r="L180" s="260">
        <f t="shared" si="46"/>
        <v>0.0003456175657</v>
      </c>
      <c r="M180" s="260">
        <f t="shared" si="46"/>
        <v>0.0005233883278</v>
      </c>
      <c r="N180" s="260">
        <f t="shared" si="46"/>
        <v>0.0004436945395</v>
      </c>
      <c r="O180" s="260">
        <f t="shared" si="46"/>
        <v>0.0004783210741</v>
      </c>
      <c r="P180" s="260">
        <f t="shared" si="46"/>
        <v>0.0007519166394</v>
      </c>
      <c r="Q180" s="260">
        <f t="shared" si="46"/>
        <v>0.0006983090289</v>
      </c>
      <c r="R180" s="260">
        <f t="shared" si="46"/>
        <v>0.0001951185477</v>
      </c>
      <c r="S180" s="260">
        <f t="shared" si="46"/>
        <v>0.0004608739157</v>
      </c>
      <c r="T180" s="260">
        <f t="shared" si="46"/>
        <v>0.000126803834</v>
      </c>
      <c r="U180" s="260">
        <f t="shared" si="46"/>
        <v>0.0001461254755</v>
      </c>
      <c r="V180" s="260">
        <f t="shared" si="46"/>
        <v>0.0001723002118</v>
      </c>
      <c r="W180" s="260">
        <f t="shared" si="46"/>
        <v>0.0002205581448</v>
      </c>
      <c r="X180" s="260">
        <f t="shared" si="46"/>
        <v>0.000154132605</v>
      </c>
      <c r="Y180" s="260">
        <f t="shared" si="46"/>
        <v>0.0001451617157</v>
      </c>
      <c r="Z180" s="260">
        <f t="shared" si="46"/>
        <v>0.0001736227324</v>
      </c>
      <c r="AA180" s="260">
        <f t="shared" si="46"/>
        <v>0.0002244630448</v>
      </c>
      <c r="AB180" s="260">
        <f t="shared" si="46"/>
        <v>0.0001895934455</v>
      </c>
      <c r="AC180" s="260">
        <f t="shared" si="46"/>
        <v>0.0001401396636</v>
      </c>
      <c r="AD180" s="260">
        <f t="shared" si="46"/>
        <v>0.00008966420976</v>
      </c>
      <c r="AE180" s="260">
        <f t="shared" si="46"/>
        <v>0.000157966465</v>
      </c>
      <c r="AF180" s="260">
        <f t="shared" si="46"/>
        <v>0.0001046442692</v>
      </c>
      <c r="AG180" s="260">
        <f t="shared" si="46"/>
        <v>0.0003456175657</v>
      </c>
      <c r="AH180" s="260">
        <f t="shared" si="46"/>
        <v>0.0001341314147</v>
      </c>
      <c r="AI180" s="260">
        <f t="shared" si="46"/>
        <v>0.00009166061138</v>
      </c>
      <c r="AJ180" s="260">
        <f t="shared" si="46"/>
        <v>0.00007420205129</v>
      </c>
      <c r="AK180" s="260">
        <f t="shared" si="46"/>
        <v>0.0002064295837</v>
      </c>
      <c r="AL180" s="260">
        <f t="shared" si="46"/>
        <v>0.0002996315207</v>
      </c>
      <c r="AM180" s="260">
        <f t="shared" si="46"/>
        <v>0.0002996315207</v>
      </c>
      <c r="AN180" s="260">
        <f t="shared" si="46"/>
        <v>0.0002996315207</v>
      </c>
      <c r="AO180" s="260">
        <f t="shared" si="46"/>
        <v>0.0001263886433</v>
      </c>
      <c r="AP180" s="260">
        <f t="shared" si="46"/>
        <v>0.0001574362314</v>
      </c>
      <c r="AQ180" s="260">
        <f t="shared" si="46"/>
        <v>0.00006332206217</v>
      </c>
      <c r="AR180" s="260">
        <f t="shared" si="46"/>
        <v>0.00009052807008</v>
      </c>
      <c r="AS180" s="260">
        <f t="shared" si="46"/>
        <v>0.0001573283061</v>
      </c>
      <c r="AT180" s="260">
        <f t="shared" si="46"/>
        <v>0.0001668687662</v>
      </c>
      <c r="AU180" s="260">
        <f t="shared" si="46"/>
        <v>0.0004967057145</v>
      </c>
      <c r="AV180" s="260">
        <f t="shared" si="46"/>
        <v>0.0003229636961</v>
      </c>
      <c r="AW180" s="259"/>
    </row>
    <row r="181">
      <c r="A181" s="122"/>
      <c r="B181" s="123"/>
      <c r="C181" s="342"/>
      <c r="D181" s="342"/>
      <c r="E181" s="257" t="s">
        <v>678</v>
      </c>
      <c r="F181" s="213" t="s">
        <v>72</v>
      </c>
      <c r="G181" s="485" t="s">
        <v>161</v>
      </c>
      <c r="H181" s="240" t="s">
        <v>162</v>
      </c>
      <c r="I181" s="260">
        <f t="shared" ref="I181:AV181" si="47">SUM(I94,I129)</f>
        <v>0.008492818061</v>
      </c>
      <c r="J181" s="260">
        <f t="shared" si="47"/>
        <v>0.006860597208</v>
      </c>
      <c r="K181" s="260">
        <f t="shared" si="47"/>
        <v>0.008706565241</v>
      </c>
      <c r="L181" s="260">
        <f t="shared" si="47"/>
        <v>0.004606055098</v>
      </c>
      <c r="M181" s="260">
        <f t="shared" si="47"/>
        <v>0.006966186492</v>
      </c>
      <c r="N181" s="260">
        <f t="shared" si="47"/>
        <v>0.005887559895</v>
      </c>
      <c r="O181" s="260">
        <f t="shared" si="47"/>
        <v>0.006344745213</v>
      </c>
      <c r="P181" s="260">
        <f t="shared" si="47"/>
        <v>0.009980658862</v>
      </c>
      <c r="Q181" s="260">
        <f t="shared" si="47"/>
        <v>0.009128831665</v>
      </c>
      <c r="R181" s="260">
        <f t="shared" si="47"/>
        <v>0.002628662352</v>
      </c>
      <c r="S181" s="260">
        <f t="shared" si="47"/>
        <v>0.006171065682</v>
      </c>
      <c r="T181" s="260">
        <f t="shared" si="47"/>
        <v>0.001702374013</v>
      </c>
      <c r="U181" s="260">
        <f t="shared" si="47"/>
        <v>0.00198090828</v>
      </c>
      <c r="V181" s="260">
        <f t="shared" si="47"/>
        <v>0.002308122052</v>
      </c>
      <c r="W181" s="260">
        <f t="shared" si="47"/>
        <v>0.00296114747</v>
      </c>
      <c r="X181" s="260">
        <f t="shared" si="47"/>
        <v>0.002055649139</v>
      </c>
      <c r="Y181" s="260">
        <f t="shared" si="47"/>
        <v>0.001955253933</v>
      </c>
      <c r="Z181" s="260">
        <f t="shared" si="47"/>
        <v>0.002331538997</v>
      </c>
      <c r="AA181" s="260">
        <f t="shared" si="47"/>
        <v>0.003023354538</v>
      </c>
      <c r="AB181" s="260">
        <f t="shared" si="47"/>
        <v>0.002554564561</v>
      </c>
      <c r="AC181" s="260">
        <f t="shared" si="47"/>
        <v>0.001889399728</v>
      </c>
      <c r="AD181" s="260">
        <f t="shared" si="47"/>
        <v>0.001206785249</v>
      </c>
      <c r="AE181" s="260">
        <f t="shared" si="47"/>
        <v>0.002118440077</v>
      </c>
      <c r="AF181" s="260">
        <f t="shared" si="47"/>
        <v>0.001409883989</v>
      </c>
      <c r="AG181" s="260">
        <f t="shared" si="47"/>
        <v>0.004606055098</v>
      </c>
      <c r="AH181" s="260">
        <f t="shared" si="47"/>
        <v>0.001805983839</v>
      </c>
      <c r="AI181" s="260">
        <f t="shared" si="47"/>
        <v>0.001229611093</v>
      </c>
      <c r="AJ181" s="260">
        <f t="shared" si="47"/>
        <v>0.0009971921301</v>
      </c>
      <c r="AK181" s="260">
        <f t="shared" si="47"/>
        <v>0.002761010501</v>
      </c>
      <c r="AL181" s="260">
        <f t="shared" si="47"/>
        <v>0.004000354331</v>
      </c>
      <c r="AM181" s="260">
        <f t="shared" si="47"/>
        <v>0.004000354331</v>
      </c>
      <c r="AN181" s="260">
        <f t="shared" si="47"/>
        <v>0.004000354331</v>
      </c>
      <c r="AO181" s="260">
        <f t="shared" si="47"/>
        <v>0.001693109374</v>
      </c>
      <c r="AP181" s="260">
        <f t="shared" si="47"/>
        <v>0.002124837293</v>
      </c>
      <c r="AQ181" s="260">
        <f t="shared" si="47"/>
        <v>0.0008522156846</v>
      </c>
      <c r="AR181" s="260">
        <f t="shared" si="47"/>
        <v>0.001213846827</v>
      </c>
      <c r="AS181" s="260">
        <f t="shared" si="47"/>
        <v>0.002108432945</v>
      </c>
      <c r="AT181" s="260">
        <f t="shared" si="47"/>
        <v>0.002241191454</v>
      </c>
      <c r="AU181" s="260">
        <f t="shared" si="47"/>
        <v>0.006649216804</v>
      </c>
      <c r="AV181" s="260">
        <f t="shared" si="47"/>
        <v>0.004303604854</v>
      </c>
      <c r="AW181" s="259"/>
    </row>
    <row r="182">
      <c r="A182" s="122"/>
      <c r="B182" s="123"/>
      <c r="C182" s="342"/>
      <c r="D182" s="342"/>
      <c r="E182" s="257" t="s">
        <v>679</v>
      </c>
      <c r="F182" s="213" t="s">
        <v>72</v>
      </c>
      <c r="G182" s="485" t="s">
        <v>161</v>
      </c>
      <c r="H182" s="240" t="s">
        <v>162</v>
      </c>
      <c r="I182" s="260">
        <f t="shared" ref="I182:AV182" si="48">I154</f>
        <v>0.01116871721</v>
      </c>
      <c r="J182" s="260">
        <f t="shared" si="48"/>
        <v>0.007739557175</v>
      </c>
      <c r="K182" s="260">
        <f t="shared" si="48"/>
        <v>0.009307897445</v>
      </c>
      <c r="L182" s="260">
        <f t="shared" si="48"/>
        <v>0.004118837143</v>
      </c>
      <c r="M182" s="260">
        <f t="shared" si="48"/>
        <v>0.007342543843</v>
      </c>
      <c r="N182" s="260">
        <f t="shared" si="48"/>
        <v>0.007748440737</v>
      </c>
      <c r="O182" s="260">
        <f t="shared" si="48"/>
        <v>0.008528855712</v>
      </c>
      <c r="P182" s="260">
        <f t="shared" si="48"/>
        <v>0.01248961222</v>
      </c>
      <c r="Q182" s="260">
        <f t="shared" si="48"/>
        <v>0.01518290891</v>
      </c>
      <c r="R182" s="260">
        <f t="shared" si="48"/>
        <v>0.003027179469</v>
      </c>
      <c r="S182" s="260">
        <f t="shared" si="48"/>
        <v>0.006833772591</v>
      </c>
      <c r="T182" s="260">
        <f t="shared" si="48"/>
        <v>0.00136381193</v>
      </c>
      <c r="U182" s="260">
        <f t="shared" si="48"/>
        <v>0.00107218255</v>
      </c>
      <c r="V182" s="260">
        <f t="shared" si="48"/>
        <v>0.00313342186</v>
      </c>
      <c r="W182" s="260">
        <f t="shared" si="48"/>
        <v>0.004286502216</v>
      </c>
      <c r="X182" s="260">
        <f t="shared" si="48"/>
        <v>0.003672820205</v>
      </c>
      <c r="Y182" s="260">
        <f t="shared" si="48"/>
        <v>0.001682067029</v>
      </c>
      <c r="Z182" s="260">
        <f t="shared" si="48"/>
        <v>0.001775293204</v>
      </c>
      <c r="AA182" s="260">
        <f t="shared" si="48"/>
        <v>0.002880465845</v>
      </c>
      <c r="AB182" s="260">
        <f t="shared" si="48"/>
        <v>0.001569866001</v>
      </c>
      <c r="AC182" s="260">
        <f t="shared" si="48"/>
        <v>0.001443506189</v>
      </c>
      <c r="AD182" s="260">
        <f t="shared" si="48"/>
        <v>0.000940165684</v>
      </c>
      <c r="AE182" s="260">
        <f t="shared" si="48"/>
        <v>0.001557551633</v>
      </c>
      <c r="AF182" s="260">
        <f t="shared" si="48"/>
        <v>0.0009315068657</v>
      </c>
      <c r="AG182" s="260">
        <f t="shared" si="48"/>
        <v>0.004118837143</v>
      </c>
      <c r="AH182" s="260">
        <f t="shared" si="48"/>
        <v>0.001308937038</v>
      </c>
      <c r="AI182" s="260">
        <f t="shared" si="48"/>
        <v>0.0009775408388</v>
      </c>
      <c r="AJ182" s="260">
        <f t="shared" si="48"/>
        <v>0.0008060380859</v>
      </c>
      <c r="AK182" s="260">
        <f t="shared" si="48"/>
        <v>0.002429155992</v>
      </c>
      <c r="AL182" s="260">
        <f t="shared" si="48"/>
        <v>0.004531125785</v>
      </c>
      <c r="AM182" s="260">
        <f t="shared" si="48"/>
        <v>0.004531125785</v>
      </c>
      <c r="AN182" s="260">
        <f t="shared" si="48"/>
        <v>0.004531125785</v>
      </c>
      <c r="AO182" s="260">
        <f t="shared" si="48"/>
        <v>0.001381282571</v>
      </c>
      <c r="AP182" s="260">
        <f t="shared" si="48"/>
        <v>0.001419056945</v>
      </c>
      <c r="AQ182" s="260">
        <f t="shared" si="48"/>
        <v>0.0007439969438</v>
      </c>
      <c r="AR182" s="260">
        <f t="shared" si="48"/>
        <v>0.0008787569774</v>
      </c>
      <c r="AS182" s="260">
        <f t="shared" si="48"/>
        <v>0.002157401657</v>
      </c>
      <c r="AT182" s="260">
        <f t="shared" si="48"/>
        <v>0.001670974975</v>
      </c>
      <c r="AU182" s="260">
        <f t="shared" si="48"/>
        <v>0.007592841422</v>
      </c>
      <c r="AV182" s="260">
        <f t="shared" si="48"/>
        <v>0.005498118833</v>
      </c>
      <c r="AW182" s="259"/>
    </row>
    <row r="183">
      <c r="A183" s="122"/>
      <c r="B183" s="123"/>
      <c r="C183" s="342"/>
      <c r="D183" s="342"/>
      <c r="E183" s="257" t="s">
        <v>680</v>
      </c>
      <c r="F183" s="213" t="s">
        <v>72</v>
      </c>
      <c r="G183" s="485" t="s">
        <v>161</v>
      </c>
      <c r="H183" s="240" t="s">
        <v>162</v>
      </c>
      <c r="I183" s="260">
        <f t="shared" ref="I183:AV183" si="49">I173</f>
        <v>0.001353853851</v>
      </c>
      <c r="J183" s="260">
        <f t="shared" si="49"/>
        <v>0.0007335517932</v>
      </c>
      <c r="K183" s="260">
        <f t="shared" si="49"/>
        <v>0.00147714224</v>
      </c>
      <c r="L183" s="260">
        <f t="shared" si="49"/>
        <v>0.0004780412013</v>
      </c>
      <c r="M183" s="260">
        <f t="shared" si="49"/>
        <v>0.0005098099472</v>
      </c>
      <c r="N183" s="260">
        <f t="shared" si="49"/>
        <v>0.001307978676</v>
      </c>
      <c r="O183" s="260">
        <f t="shared" si="49"/>
        <v>0.001226919268</v>
      </c>
      <c r="P183" s="260">
        <f t="shared" si="49"/>
        <v>0.001774326777</v>
      </c>
      <c r="Q183" s="260">
        <f t="shared" si="49"/>
        <v>0.002044795197</v>
      </c>
      <c r="R183" s="260">
        <f t="shared" si="49"/>
        <v>0.0001080205591</v>
      </c>
      <c r="S183" s="260">
        <f t="shared" si="49"/>
        <v>0.0003967976383</v>
      </c>
      <c r="T183" s="260">
        <f t="shared" si="49"/>
        <v>0.0001501708918</v>
      </c>
      <c r="U183" s="260">
        <f t="shared" si="49"/>
        <v>0.0001127497459</v>
      </c>
      <c r="V183" s="260">
        <f t="shared" si="49"/>
        <v>0.00028369575</v>
      </c>
      <c r="W183" s="260">
        <f t="shared" si="49"/>
        <v>0.0002139037549</v>
      </c>
      <c r="X183" s="260">
        <f t="shared" si="49"/>
        <v>0.0004522593152</v>
      </c>
      <c r="Y183" s="260">
        <f t="shared" si="49"/>
        <v>0.0001841293214</v>
      </c>
      <c r="Z183" s="260">
        <f t="shared" si="49"/>
        <v>0.0001587335274</v>
      </c>
      <c r="AA183" s="260">
        <f t="shared" si="49"/>
        <v>0.0001925420648</v>
      </c>
      <c r="AB183" s="260">
        <f t="shared" si="49"/>
        <v>0.0001456752463</v>
      </c>
      <c r="AC183" s="260">
        <f t="shared" si="49"/>
        <v>0.0001374235396</v>
      </c>
      <c r="AD183" s="260">
        <f t="shared" si="49"/>
        <v>0.00009476571218</v>
      </c>
      <c r="AE183" s="260">
        <f t="shared" si="49"/>
        <v>0.00010213435</v>
      </c>
      <c r="AF183" s="260">
        <f t="shared" si="49"/>
        <v>0.00007863979078</v>
      </c>
      <c r="AG183" s="260">
        <f t="shared" si="49"/>
        <v>0.0004780412013</v>
      </c>
      <c r="AH183" s="260">
        <f t="shared" si="49"/>
        <v>0.0001991730484</v>
      </c>
      <c r="AI183" s="260">
        <f t="shared" si="49"/>
        <v>0.0001943640459</v>
      </c>
      <c r="AJ183" s="260">
        <f t="shared" si="49"/>
        <v>0.00006577255442</v>
      </c>
      <c r="AK183" s="260">
        <f t="shared" si="49"/>
        <v>0.0002654685878</v>
      </c>
      <c r="AL183" s="260">
        <f t="shared" si="49"/>
        <v>0.0004243208664</v>
      </c>
      <c r="AM183" s="260">
        <f t="shared" si="49"/>
        <v>0.0004243208664</v>
      </c>
      <c r="AN183" s="260">
        <f t="shared" si="49"/>
        <v>0.0004243208664</v>
      </c>
      <c r="AO183" s="260">
        <f t="shared" si="49"/>
        <v>0.0001430296383</v>
      </c>
      <c r="AP183" s="260">
        <f t="shared" si="49"/>
        <v>0.0001482212489</v>
      </c>
      <c r="AQ183" s="260">
        <f t="shared" si="49"/>
        <v>0.00008023032021</v>
      </c>
      <c r="AR183" s="260">
        <f t="shared" si="49"/>
        <v>0.0001365554357</v>
      </c>
      <c r="AS183" s="260">
        <f t="shared" si="49"/>
        <v>0.0001740490079</v>
      </c>
      <c r="AT183" s="260">
        <f t="shared" si="49"/>
        <v>0.0001359809128</v>
      </c>
      <c r="AU183" s="260">
        <f t="shared" si="49"/>
        <v>0.0004420866131</v>
      </c>
      <c r="AV183" s="260">
        <f t="shared" si="49"/>
        <v>0.0008868548755</v>
      </c>
      <c r="AW183" s="259"/>
    </row>
    <row r="184">
      <c r="A184" s="122"/>
      <c r="B184" s="123"/>
      <c r="C184" s="342"/>
      <c r="D184" s="342"/>
      <c r="E184" s="272" t="s">
        <v>186</v>
      </c>
      <c r="F184" s="200" t="s">
        <v>72</v>
      </c>
      <c r="G184" s="487" t="s">
        <v>161</v>
      </c>
      <c r="H184" s="228" t="s">
        <v>162</v>
      </c>
      <c r="I184" s="590">
        <f t="shared" ref="I184:AV184" si="50">SUM(I178:I183)</f>
        <v>0.02762556506</v>
      </c>
      <c r="J184" s="590">
        <f t="shared" si="50"/>
        <v>0.01953192006</v>
      </c>
      <c r="K184" s="590">
        <f t="shared" si="50"/>
        <v>0.02723665192</v>
      </c>
      <c r="L184" s="590">
        <f t="shared" si="50"/>
        <v>0.01166047476</v>
      </c>
      <c r="M184" s="590">
        <f t="shared" si="50"/>
        <v>0.01868070066</v>
      </c>
      <c r="N184" s="590">
        <f t="shared" si="50"/>
        <v>0.02022672922</v>
      </c>
      <c r="O184" s="590">
        <f t="shared" si="50"/>
        <v>0.02198275926</v>
      </c>
      <c r="P184" s="590">
        <f t="shared" si="50"/>
        <v>0.03333100521</v>
      </c>
      <c r="Q184" s="590">
        <f t="shared" si="50"/>
        <v>0.03721284765</v>
      </c>
      <c r="R184" s="590">
        <f t="shared" si="50"/>
        <v>0.006620076343</v>
      </c>
      <c r="S184" s="590">
        <f t="shared" si="50"/>
        <v>0.01618703453</v>
      </c>
      <c r="T184" s="590">
        <f t="shared" si="50"/>
        <v>0.003920765083</v>
      </c>
      <c r="U184" s="590">
        <f t="shared" si="50"/>
        <v>0.004000121039</v>
      </c>
      <c r="V184" s="590">
        <f t="shared" si="50"/>
        <v>0.007013897926</v>
      </c>
      <c r="W184" s="590">
        <f t="shared" si="50"/>
        <v>0.00885094923</v>
      </c>
      <c r="X184" s="590">
        <f t="shared" si="50"/>
        <v>0.007861100888</v>
      </c>
      <c r="Y184" s="590">
        <f t="shared" si="50"/>
        <v>0.00469320244</v>
      </c>
      <c r="Z184" s="590">
        <f t="shared" si="50"/>
        <v>0.005234325046</v>
      </c>
      <c r="AA184" s="590">
        <f t="shared" si="50"/>
        <v>0.007253192913</v>
      </c>
      <c r="AB184" s="590">
        <f t="shared" si="50"/>
        <v>0.005110519974</v>
      </c>
      <c r="AC184" s="590">
        <f t="shared" si="50"/>
        <v>0.004114394543</v>
      </c>
      <c r="AD184" s="590">
        <f t="shared" si="50"/>
        <v>0.002754326543</v>
      </c>
      <c r="AE184" s="590">
        <f t="shared" si="50"/>
        <v>0.004560186841</v>
      </c>
      <c r="AF184" s="590">
        <f t="shared" si="50"/>
        <v>0.002892191116</v>
      </c>
      <c r="AG184" s="590">
        <f t="shared" si="50"/>
        <v>0.01166047476</v>
      </c>
      <c r="AH184" s="590">
        <f t="shared" si="50"/>
        <v>0.004711806433</v>
      </c>
      <c r="AI184" s="590">
        <f t="shared" si="50"/>
        <v>0.003064535902</v>
      </c>
      <c r="AJ184" s="590">
        <f t="shared" si="50"/>
        <v>0.002220030263</v>
      </c>
      <c r="AK184" s="590">
        <f t="shared" si="50"/>
        <v>0.006925226621</v>
      </c>
      <c r="AL184" s="590">
        <f t="shared" si="50"/>
        <v>0.01133109145</v>
      </c>
      <c r="AM184" s="590">
        <f t="shared" si="50"/>
        <v>0.01133109145</v>
      </c>
      <c r="AN184" s="590">
        <f t="shared" si="50"/>
        <v>0.01133109145</v>
      </c>
      <c r="AO184" s="590">
        <f t="shared" si="50"/>
        <v>0.004049511014</v>
      </c>
      <c r="AP184" s="590">
        <f t="shared" si="50"/>
        <v>0.004465902474</v>
      </c>
      <c r="AQ184" s="590">
        <f t="shared" si="50"/>
        <v>0.002049406759</v>
      </c>
      <c r="AR184" s="590">
        <f t="shared" si="50"/>
        <v>0.002876543184</v>
      </c>
      <c r="AS184" s="590">
        <f t="shared" si="50"/>
        <v>0.005381724508</v>
      </c>
      <c r="AT184" s="590">
        <f t="shared" si="50"/>
        <v>0.004884680718</v>
      </c>
      <c r="AU184" s="590">
        <f t="shared" si="50"/>
        <v>0.01784469622</v>
      </c>
      <c r="AV184" s="590">
        <f t="shared" si="50"/>
        <v>0.01462988104</v>
      </c>
      <c r="AW184" s="274"/>
    </row>
    <row r="185">
      <c r="A185" s="122"/>
      <c r="B185" s="123"/>
      <c r="C185" s="342"/>
      <c r="D185" s="342"/>
      <c r="E185" s="269"/>
      <c r="F185" s="125"/>
      <c r="G185" s="482"/>
      <c r="H185" s="127"/>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30"/>
    </row>
    <row r="186">
      <c r="A186" s="122"/>
      <c r="B186" s="123"/>
      <c r="C186" s="342" t="s">
        <v>401</v>
      </c>
      <c r="F186" s="125"/>
      <c r="G186" s="482"/>
      <c r="H186" s="127"/>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30"/>
    </row>
    <row r="187">
      <c r="A187" s="122"/>
      <c r="B187" s="123"/>
      <c r="C187" s="123"/>
      <c r="D187" s="123"/>
      <c r="E187" s="591" t="s">
        <v>402</v>
      </c>
      <c r="F187" s="356" t="str">
        <f>'Vaccine coverage'!F163</f>
        <v>%</v>
      </c>
      <c r="G187" s="483" t="s">
        <v>173</v>
      </c>
      <c r="H187" s="389" t="str">
        <f>'Vaccine coverage'!H163</f>
        <v>-</v>
      </c>
      <c r="I187" s="383">
        <f>'Vaccine coverage'!I163</f>
        <v>0.4673758858</v>
      </c>
      <c r="J187" s="383">
        <f>'Vaccine coverage'!J163</f>
        <v>0.5616125715</v>
      </c>
      <c r="K187" s="383">
        <f>'Vaccine coverage'!K163</f>
        <v>0.6044474287</v>
      </c>
      <c r="L187" s="383">
        <f>'Vaccine coverage'!L163</f>
        <v>0.743422743</v>
      </c>
      <c r="M187" s="383">
        <f>'Vaccine coverage'!M163</f>
        <v>0.5739870858</v>
      </c>
      <c r="N187" s="383">
        <f>'Vaccine coverage'!N163</f>
        <v>0.5416229715</v>
      </c>
      <c r="O187" s="383">
        <f>'Vaccine coverage'!O163</f>
        <v>0.6053993144</v>
      </c>
      <c r="P187" s="383">
        <f>'Vaccine coverage'!P163</f>
        <v>0.3207854858</v>
      </c>
      <c r="Q187" s="383">
        <f>'Vaccine coverage'!Q163</f>
        <v>0.483557943</v>
      </c>
      <c r="R187" s="383">
        <f>'Vaccine coverage'!R163</f>
        <v>0.8614565716</v>
      </c>
      <c r="S187" s="383">
        <f>'Vaccine coverage'!S163</f>
        <v>0.7957764573</v>
      </c>
      <c r="T187" s="383">
        <f>'Vaccine coverage'!T163</f>
        <v>0.8148141716</v>
      </c>
      <c r="U187" s="383">
        <f>'Vaccine coverage'!U163</f>
        <v>0.803391543</v>
      </c>
      <c r="V187" s="383">
        <f>'Vaccine coverage'!V163</f>
        <v>0.7510378287</v>
      </c>
      <c r="W187" s="383">
        <f>'Vaccine coverage'!W163</f>
        <v>0.7776906287</v>
      </c>
      <c r="X187" s="383">
        <f>'Vaccine coverage'!X163</f>
        <v>0.616821943</v>
      </c>
      <c r="Y187" s="383">
        <f>'Vaccine coverage'!Y163</f>
        <v>0.8862056002</v>
      </c>
      <c r="Z187" s="383">
        <f>'Vaccine coverage'!Z163</f>
        <v>0.7948245716</v>
      </c>
      <c r="AA187" s="383">
        <f>'Vaccine coverage'!AA163</f>
        <v>0.9452225145</v>
      </c>
      <c r="AB187" s="383">
        <f>'Vaccine coverage'!AB163</f>
        <v>0.8785905145</v>
      </c>
      <c r="AC187" s="383">
        <f>'Vaccine coverage'!AC163</f>
        <v>0.9423668573</v>
      </c>
      <c r="AD187" s="383">
        <f>'Vaccine coverage'!AD163</f>
        <v>0.9433187431</v>
      </c>
      <c r="AE187" s="383">
        <f>'Vaccine coverage'!AE163</f>
        <v>0.9061952002</v>
      </c>
      <c r="AF187" s="383">
        <f>'Vaccine coverage'!AF163</f>
        <v>0.9014357716</v>
      </c>
      <c r="AG187" s="383">
        <f>'Vaccine coverage'!AG163</f>
        <v>0.743422743</v>
      </c>
      <c r="AH187" s="383">
        <f>'Vaccine coverage'!AH163</f>
        <v>0.8785905145</v>
      </c>
      <c r="AI187" s="383">
        <f>'Vaccine coverage'!AI163</f>
        <v>0.6882133716</v>
      </c>
      <c r="AJ187" s="383">
        <f>'Vaccine coverage'!AJ163</f>
        <v>0.8985801145</v>
      </c>
      <c r="AK187" s="383">
        <f>'Vaccine coverage'!AK163</f>
        <v>0.7538934859</v>
      </c>
      <c r="AL187" s="383">
        <f>'Vaccine coverage'!AL163</f>
        <v>0.6349077716</v>
      </c>
      <c r="AM187" s="383">
        <f>'Vaccine coverage'!AM163</f>
        <v>0.6349077716</v>
      </c>
      <c r="AN187" s="383">
        <f>'Vaccine coverage'!AN163</f>
        <v>0.6349077716</v>
      </c>
      <c r="AO187" s="383">
        <f>'Vaccine coverage'!AO163</f>
        <v>0.6882133716</v>
      </c>
      <c r="AP187" s="383">
        <f>'Vaccine coverage'!AP163</f>
        <v>0.7148661716</v>
      </c>
      <c r="AQ187" s="383">
        <f>'Vaccine coverage'!AQ163</f>
        <v>0.8852537145</v>
      </c>
      <c r="AR187" s="383">
        <f>'Vaccine coverage'!AR163</f>
        <v>0.7853057145</v>
      </c>
      <c r="AS187" s="383">
        <f>'Vaccine coverage'!AS163</f>
        <v>0.8348037716</v>
      </c>
      <c r="AT187" s="383">
        <f>'Vaccine coverage'!AT163</f>
        <v>0.8595528002</v>
      </c>
      <c r="AU187" s="383">
        <f>'Vaccine coverage'!AU163</f>
        <v>0.676790743</v>
      </c>
      <c r="AV187" s="383">
        <f>'Vaccine coverage'!AV163</f>
        <v>0.7158180573</v>
      </c>
      <c r="AW187" s="256"/>
    </row>
    <row r="188">
      <c r="A188" s="122"/>
      <c r="B188" s="123"/>
      <c r="C188" s="123"/>
      <c r="D188" s="123"/>
      <c r="E188" s="592" t="s">
        <v>403</v>
      </c>
      <c r="F188" s="395" t="str">
        <f>'Vaccine coverage'!F164</f>
        <v>%</v>
      </c>
      <c r="G188" s="485" t="s">
        <v>173</v>
      </c>
      <c r="H188" s="243" t="str">
        <f>'Vaccine coverage'!H164</f>
        <v>-</v>
      </c>
      <c r="I188" s="241">
        <f>'Vaccine coverage'!I164</f>
        <v>0.3675706686</v>
      </c>
      <c r="J188" s="241">
        <f>'Vaccine coverage'!J164</f>
        <v>0.4847953944</v>
      </c>
      <c r="K188" s="241">
        <f>'Vaccine coverage'!K164</f>
        <v>0.5462872115</v>
      </c>
      <c r="L188" s="241">
        <f>'Vaccine coverage'!L164</f>
        <v>0.6474250687</v>
      </c>
      <c r="M188" s="241">
        <f>'Vaccine coverage'!M164</f>
        <v>0.4693272515</v>
      </c>
      <c r="N188" s="241">
        <f>'Vaccine coverage'!N164</f>
        <v>0.4597608001</v>
      </c>
      <c r="O188" s="241">
        <f>'Vaccine coverage'!O164</f>
        <v>0.5564247944</v>
      </c>
      <c r="P188" s="241">
        <f>'Vaccine coverage'!P164</f>
        <v>0.2032276</v>
      </c>
      <c r="Q188" s="241">
        <f>'Vaccine coverage'!Q164</f>
        <v>0.3583373772</v>
      </c>
      <c r="R188" s="241">
        <f>'Vaccine coverage'!R164</f>
        <v>0.8154804916</v>
      </c>
      <c r="S188" s="241">
        <f>'Vaccine coverage'!S164</f>
        <v>0.6498523773</v>
      </c>
      <c r="T188" s="241">
        <f>'Vaccine coverage'!T164</f>
        <v>0.7876378345</v>
      </c>
      <c r="U188" s="241">
        <f>'Vaccine coverage'!U164</f>
        <v>0.7409954344</v>
      </c>
      <c r="V188" s="241">
        <f>'Vaccine coverage'!V164</f>
        <v>0.7229096059</v>
      </c>
      <c r="W188" s="241">
        <f>'Vaccine coverage'!W164</f>
        <v>0.7190068744</v>
      </c>
      <c r="X188" s="241">
        <f>'Vaccine coverage'!X164</f>
        <v>0.4587137258</v>
      </c>
      <c r="Y188" s="241">
        <f>'Vaccine coverage'!Y164</f>
        <v>0.8621704859</v>
      </c>
      <c r="Z188" s="241">
        <f>'Vaccine coverage'!Z164</f>
        <v>0.7316669544</v>
      </c>
      <c r="AA188" s="241">
        <f>'Vaccine coverage'!AA164</f>
        <v>0.9424144516</v>
      </c>
      <c r="AB188" s="241">
        <f>'Vaccine coverage'!AB164</f>
        <v>0.8612661945</v>
      </c>
      <c r="AC188" s="241">
        <f>'Vaccine coverage'!AC164</f>
        <v>0.889679983</v>
      </c>
      <c r="AD188" s="241">
        <f>'Vaccine coverage'!AD164</f>
        <v>0.9208542402</v>
      </c>
      <c r="AE188" s="241">
        <f>'Vaccine coverage'!AE164</f>
        <v>0.8338042916</v>
      </c>
      <c r="AF188" s="241">
        <f>'Vaccine coverage'!AF164</f>
        <v>0.8859676288</v>
      </c>
      <c r="AG188" s="241">
        <f>'Vaccine coverage'!AG164</f>
        <v>0.6474250687</v>
      </c>
      <c r="AH188" s="241">
        <f>'Vaccine coverage'!AH164</f>
        <v>0.734760583</v>
      </c>
      <c r="AI188" s="241">
        <f>'Vaccine coverage'!AI164</f>
        <v>0.6089212916</v>
      </c>
      <c r="AJ188" s="241">
        <f>'Vaccine coverage'!AJ164</f>
        <v>0.8601715259</v>
      </c>
      <c r="AK188" s="241">
        <f>'Vaccine coverage'!AK164</f>
        <v>0.6296724001</v>
      </c>
      <c r="AL188" s="241">
        <f>'Vaccine coverage'!AL164</f>
        <v>0.5045946173</v>
      </c>
      <c r="AM188" s="241">
        <f>'Vaccine coverage'!AM164</f>
        <v>0.5045946173</v>
      </c>
      <c r="AN188" s="241">
        <f>'Vaccine coverage'!AN164</f>
        <v>0.5045946173</v>
      </c>
      <c r="AO188" s="241">
        <f>'Vaccine coverage'!AO164</f>
        <v>0.565182143</v>
      </c>
      <c r="AP188" s="241">
        <f>'Vaccine coverage'!AP164</f>
        <v>0.6611798173</v>
      </c>
      <c r="AQ188" s="241">
        <f>'Vaccine coverage'!AQ164</f>
        <v>0.8438466859</v>
      </c>
      <c r="AR188" s="241">
        <f>'Vaccine coverage'!AR164</f>
        <v>0.642142103</v>
      </c>
      <c r="AS188" s="241">
        <f>'Vaccine coverage'!AS164</f>
        <v>0.7366167602</v>
      </c>
      <c r="AT188" s="241">
        <f>'Vaccine coverage'!AT164</f>
        <v>0.8288544859</v>
      </c>
      <c r="AU188" s="241">
        <f>'Vaccine coverage'!AU164</f>
        <v>0.6299579658</v>
      </c>
      <c r="AV188" s="241">
        <f>'Vaccine coverage'!AV164</f>
        <v>0.6797415887</v>
      </c>
      <c r="AW188" s="259"/>
    </row>
    <row r="189">
      <c r="A189" s="122"/>
      <c r="B189" s="123"/>
      <c r="C189" s="123"/>
      <c r="D189" s="123"/>
      <c r="E189" s="593" t="s">
        <v>404</v>
      </c>
      <c r="F189" s="594" t="s">
        <v>72</v>
      </c>
      <c r="G189" s="595" t="s">
        <v>161</v>
      </c>
      <c r="H189" s="596" t="s">
        <v>162</v>
      </c>
      <c r="I189" s="597">
        <v>0.3675706686494771</v>
      </c>
      <c r="J189" s="597">
        <v>0.48479539438865393</v>
      </c>
      <c r="K189" s="597">
        <v>0.5462872115445679</v>
      </c>
      <c r="L189" s="597">
        <v>0.6474250687089004</v>
      </c>
      <c r="M189" s="597">
        <v>0.46932725152822663</v>
      </c>
      <c r="N189" s="597">
        <v>0.4597608000976239</v>
      </c>
      <c r="O189" s="597">
        <v>0.5564247944038633</v>
      </c>
      <c r="P189" s="597">
        <v>0.20322760004315257</v>
      </c>
      <c r="Q189" s="597">
        <v>0.3583373772189451</v>
      </c>
      <c r="R189" s="597">
        <v>0.8154804916017274</v>
      </c>
      <c r="S189" s="597">
        <v>0.6498523772808443</v>
      </c>
      <c r="T189" s="597">
        <v>0.7876378344529583</v>
      </c>
      <c r="U189" s="597">
        <v>0.7409954344430544</v>
      </c>
      <c r="V189" s="597">
        <v>0.7229096058677856</v>
      </c>
      <c r="W189" s="597">
        <v>0.7190068744383855</v>
      </c>
      <c r="X189" s="597">
        <v>0.45871372581168723</v>
      </c>
      <c r="Y189" s="597">
        <v>0.8621704858973558</v>
      </c>
      <c r="Z189" s="597">
        <v>0.7316669544410737</v>
      </c>
      <c r="AA189" s="597">
        <v>0.9424144516286801</v>
      </c>
      <c r="AB189" s="597">
        <v>0.8612661944685924</v>
      </c>
      <c r="AC189" s="597">
        <v>0.8896799830460541</v>
      </c>
      <c r="AD189" s="597">
        <v>0.9208542401955307</v>
      </c>
      <c r="AE189" s="597">
        <v>0.8338042916056182</v>
      </c>
      <c r="AF189" s="597">
        <v>0.8859676287595515</v>
      </c>
      <c r="AG189" s="597">
        <v>0.6474250687089004</v>
      </c>
      <c r="AH189" s="597">
        <v>0.734760583013159</v>
      </c>
      <c r="AI189" s="597">
        <v>0.6089212915578675</v>
      </c>
      <c r="AJ189" s="597">
        <v>0.8601715258969312</v>
      </c>
      <c r="AK189" s="597">
        <v>0.6296724001337022</v>
      </c>
      <c r="AL189" s="597">
        <v>0.5045946172500009</v>
      </c>
      <c r="AM189" s="597">
        <v>0.5045946172500009</v>
      </c>
      <c r="AN189" s="597">
        <v>0.5045946172500009</v>
      </c>
      <c r="AO189" s="597">
        <v>0.5651821429771514</v>
      </c>
      <c r="AP189" s="597">
        <v>0.6611798172832495</v>
      </c>
      <c r="AQ189" s="597">
        <v>0.8438466858934649</v>
      </c>
      <c r="AR189" s="597">
        <v>0.6421421029934928</v>
      </c>
      <c r="AS189" s="597">
        <v>0.7366167601564104</v>
      </c>
      <c r="AT189" s="597">
        <v>0.8288544858902815</v>
      </c>
      <c r="AU189" s="597">
        <v>0.6299579658480486</v>
      </c>
      <c r="AV189" s="597">
        <v>0.6797415887157623</v>
      </c>
      <c r="AW189" s="259"/>
    </row>
    <row r="190">
      <c r="A190" s="122"/>
      <c r="B190" s="123"/>
      <c r="C190" s="123"/>
      <c r="D190" s="123"/>
      <c r="E190" s="592" t="s">
        <v>405</v>
      </c>
      <c r="F190" s="395" t="str">
        <f>'Vaccine coverage'!F166</f>
        <v>%</v>
      </c>
      <c r="G190" s="485" t="s">
        <v>173</v>
      </c>
      <c r="H190" s="243" t="str">
        <f>'Vaccine coverage'!H166</f>
        <v>-</v>
      </c>
      <c r="I190" s="241">
        <f>'Vaccine coverage'!I166</f>
        <v>0.3669995372</v>
      </c>
      <c r="J190" s="241">
        <f>'Vaccine coverage'!J166</f>
        <v>0.4535259487</v>
      </c>
      <c r="K190" s="241">
        <f>'Vaccine coverage'!K166</f>
        <v>0.5384341544</v>
      </c>
      <c r="L190" s="241">
        <f>'Vaccine coverage'!L166</f>
        <v>0.6347649887</v>
      </c>
      <c r="M190" s="241">
        <f>'Vaccine coverage'!M166</f>
        <v>0.4631875887</v>
      </c>
      <c r="N190" s="241">
        <f>'Vaccine coverage'!N166</f>
        <v>0.4396284172</v>
      </c>
      <c r="O190" s="241">
        <f>'Vaccine coverage'!O166</f>
        <v>0.5477626344</v>
      </c>
      <c r="P190" s="241">
        <f>'Vaccine coverage'!P166</f>
        <v>0.1564900115</v>
      </c>
      <c r="Q190" s="241">
        <f>'Vaccine coverage'!Q166</f>
        <v>0.3642866629</v>
      </c>
      <c r="R190" s="241">
        <f>'Vaccine coverage'!R166</f>
        <v>0.8046765887</v>
      </c>
      <c r="S190" s="241">
        <f>'Vaccine coverage'!S166</f>
        <v>0.6503283201</v>
      </c>
      <c r="T190" s="241">
        <f>'Vaccine coverage'!T166</f>
        <v>0.7751681316</v>
      </c>
      <c r="U190" s="241">
        <f>'Vaccine coverage'!U166</f>
        <v>0.7389012859</v>
      </c>
      <c r="V190" s="241">
        <f>'Vaccine coverage'!V166</f>
        <v>0.7133431544</v>
      </c>
      <c r="W190" s="241">
        <f>'Vaccine coverage'!W166</f>
        <v>0.6883561544</v>
      </c>
      <c r="X190" s="241">
        <f>'Vaccine coverage'!X166</f>
        <v>0.4065027944</v>
      </c>
      <c r="Y190" s="241">
        <f>'Vaccine coverage'!Y166</f>
        <v>0.8604570916</v>
      </c>
      <c r="Z190" s="241">
        <f>'Vaccine coverage'!Z166</f>
        <v>0.714104663</v>
      </c>
      <c r="AA190" s="241">
        <f>'Vaccine coverage'!AA166</f>
        <v>0.9427476116</v>
      </c>
      <c r="AB190" s="241">
        <f>'Vaccine coverage'!AB166</f>
        <v>0.8194784116</v>
      </c>
      <c r="AC190" s="241">
        <f>'Vaccine coverage'!AC166</f>
        <v>0.8660732173</v>
      </c>
      <c r="AD190" s="241">
        <f>'Vaccine coverage'!AD166</f>
        <v>0.9164755659</v>
      </c>
      <c r="AE190" s="241">
        <f>'Vaccine coverage'!AE166</f>
        <v>0.8364695716</v>
      </c>
      <c r="AF190" s="241">
        <f>'Vaccine coverage'!AF166</f>
        <v>0.870356703</v>
      </c>
      <c r="AG190" s="241">
        <f>'Vaccine coverage'!AG166</f>
        <v>0.6347649887</v>
      </c>
      <c r="AH190" s="241">
        <f>'Vaccine coverage'!AH166</f>
        <v>0.7177218287</v>
      </c>
      <c r="AI190" s="241">
        <f>'Vaccine coverage'!AI166</f>
        <v>0.5803171258</v>
      </c>
      <c r="AJ190" s="241">
        <f>'Vaccine coverage'!AJ166</f>
        <v>0.8477494173</v>
      </c>
      <c r="AK190" s="241">
        <f>'Vaccine coverage'!AK166</f>
        <v>0.6163935944</v>
      </c>
      <c r="AL190" s="241">
        <f>'Vaccine coverage'!AL166</f>
        <v>0.4899831715</v>
      </c>
      <c r="AM190" s="241">
        <f>'Vaccine coverage'!AM166</f>
        <v>0.4899831715</v>
      </c>
      <c r="AN190" s="241">
        <f>'Vaccine coverage'!AN166</f>
        <v>0.4899831715</v>
      </c>
      <c r="AO190" s="241">
        <f>'Vaccine coverage'!AO166</f>
        <v>0.5495712173</v>
      </c>
      <c r="AP190" s="241">
        <f>'Vaccine coverage'!AP166</f>
        <v>0.6417137544</v>
      </c>
      <c r="AQ190" s="241">
        <f>'Vaccine coverage'!AQ166</f>
        <v>0.8009166402</v>
      </c>
      <c r="AR190" s="241">
        <f>'Vaccine coverage'!AR166</f>
        <v>0.6321948973</v>
      </c>
      <c r="AS190" s="241">
        <f>'Vaccine coverage'!AS166</f>
        <v>0.6795988059</v>
      </c>
      <c r="AT190" s="241">
        <f>'Vaccine coverage'!AT166</f>
        <v>0.8198591659</v>
      </c>
      <c r="AU190" s="241">
        <f>'Vaccine coverage'!AU166</f>
        <v>0.6079218116</v>
      </c>
      <c r="AV190" s="241">
        <f>'Vaccine coverage'!AV166</f>
        <v>0.656467983</v>
      </c>
      <c r="AW190" s="259"/>
    </row>
    <row r="191">
      <c r="A191" s="122"/>
      <c r="B191" s="123"/>
      <c r="C191" s="123"/>
      <c r="D191" s="123"/>
      <c r="E191" s="592" t="s">
        <v>406</v>
      </c>
      <c r="F191" s="395" t="str">
        <f>'Vaccine coverage'!F167</f>
        <v>%</v>
      </c>
      <c r="G191" s="485" t="s">
        <v>173</v>
      </c>
      <c r="H191" s="243" t="str">
        <f>'Vaccine coverage'!H167</f>
        <v>-</v>
      </c>
      <c r="I191" s="241">
        <f>'Vaccine coverage'!I167</f>
        <v>0</v>
      </c>
      <c r="J191" s="241">
        <f>'Vaccine coverage'!J167</f>
        <v>0</v>
      </c>
      <c r="K191" s="241">
        <f>'Vaccine coverage'!K167</f>
        <v>0</v>
      </c>
      <c r="L191" s="241">
        <f>'Vaccine coverage'!L167</f>
        <v>0</v>
      </c>
      <c r="M191" s="241">
        <f>'Vaccine coverage'!M167</f>
        <v>0</v>
      </c>
      <c r="N191" s="241">
        <f>'Vaccine coverage'!N167</f>
        <v>0</v>
      </c>
      <c r="O191" s="241">
        <f>'Vaccine coverage'!O167</f>
        <v>0</v>
      </c>
      <c r="P191" s="241">
        <f>'Vaccine coverage'!P167</f>
        <v>0</v>
      </c>
      <c r="Q191" s="241">
        <f>'Vaccine coverage'!Q167</f>
        <v>0</v>
      </c>
      <c r="R191" s="241">
        <f>'Vaccine coverage'!R167</f>
        <v>0</v>
      </c>
      <c r="S191" s="241">
        <f>'Vaccine coverage'!S167</f>
        <v>0</v>
      </c>
      <c r="T191" s="241">
        <f>'Vaccine coverage'!T167</f>
        <v>0</v>
      </c>
      <c r="U191" s="241">
        <f>'Vaccine coverage'!U167</f>
        <v>0</v>
      </c>
      <c r="V191" s="241">
        <f>'Vaccine coverage'!V167</f>
        <v>0</v>
      </c>
      <c r="W191" s="241">
        <f>'Vaccine coverage'!W167</f>
        <v>0</v>
      </c>
      <c r="X191" s="241">
        <f>'Vaccine coverage'!X167</f>
        <v>0</v>
      </c>
      <c r="Y191" s="241">
        <f>'Vaccine coverage'!Y167</f>
        <v>0</v>
      </c>
      <c r="Z191" s="241">
        <f>'Vaccine coverage'!Z167</f>
        <v>0</v>
      </c>
      <c r="AA191" s="241">
        <f>'Vaccine coverage'!AA167</f>
        <v>0</v>
      </c>
      <c r="AB191" s="241">
        <f>'Vaccine coverage'!AB167</f>
        <v>0</v>
      </c>
      <c r="AC191" s="241">
        <f>'Vaccine coverage'!AC167</f>
        <v>0</v>
      </c>
      <c r="AD191" s="241">
        <f>'Vaccine coverage'!AD167</f>
        <v>0</v>
      </c>
      <c r="AE191" s="241">
        <f>'Vaccine coverage'!AE167</f>
        <v>0</v>
      </c>
      <c r="AF191" s="241">
        <f>'Vaccine coverage'!AF167</f>
        <v>0</v>
      </c>
      <c r="AG191" s="241">
        <f>'Vaccine coverage'!AG167</f>
        <v>0</v>
      </c>
      <c r="AH191" s="241">
        <f>'Vaccine coverage'!AH167</f>
        <v>0</v>
      </c>
      <c r="AI191" s="241">
        <f>'Vaccine coverage'!AI167</f>
        <v>0</v>
      </c>
      <c r="AJ191" s="241">
        <f>'Vaccine coverage'!AJ167</f>
        <v>0</v>
      </c>
      <c r="AK191" s="241">
        <f>'Vaccine coverage'!AK167</f>
        <v>0</v>
      </c>
      <c r="AL191" s="241">
        <f>'Vaccine coverage'!AL167</f>
        <v>0</v>
      </c>
      <c r="AM191" s="241">
        <f>'Vaccine coverage'!AM167</f>
        <v>0</v>
      </c>
      <c r="AN191" s="241">
        <f>'Vaccine coverage'!AN167</f>
        <v>0</v>
      </c>
      <c r="AO191" s="241">
        <f>'Vaccine coverage'!AO167</f>
        <v>0</v>
      </c>
      <c r="AP191" s="241">
        <f>'Vaccine coverage'!AP167</f>
        <v>0</v>
      </c>
      <c r="AQ191" s="241">
        <f>'Vaccine coverage'!AQ167</f>
        <v>0</v>
      </c>
      <c r="AR191" s="241">
        <f>'Vaccine coverage'!AR167</f>
        <v>0</v>
      </c>
      <c r="AS191" s="241">
        <f>'Vaccine coverage'!AS167</f>
        <v>0</v>
      </c>
      <c r="AT191" s="241">
        <f>'Vaccine coverage'!AT167</f>
        <v>0</v>
      </c>
      <c r="AU191" s="241">
        <f>'Vaccine coverage'!AU167</f>
        <v>0</v>
      </c>
      <c r="AV191" s="241">
        <f>'Vaccine coverage'!AV167</f>
        <v>0</v>
      </c>
      <c r="AW191" s="259"/>
    </row>
    <row r="192">
      <c r="A192" s="122"/>
      <c r="B192" s="123"/>
      <c r="C192" s="123"/>
      <c r="D192" s="123"/>
      <c r="E192" s="598" t="s">
        <v>407</v>
      </c>
      <c r="F192" s="489" t="str">
        <f>'Vaccine coverage'!F168</f>
        <v>%</v>
      </c>
      <c r="G192" s="487" t="s">
        <v>173</v>
      </c>
      <c r="H192" s="467" t="str">
        <f>'Vaccine coverage'!H168</f>
        <v>-</v>
      </c>
      <c r="I192" s="385">
        <f>'Vaccine coverage'!I168</f>
        <v>0.2826042921</v>
      </c>
      <c r="J192" s="385">
        <f>'Vaccine coverage'!J168</f>
        <v>0.3393472572</v>
      </c>
      <c r="K192" s="385">
        <f>'Vaccine coverage'!K168</f>
        <v>0.5198353652</v>
      </c>
      <c r="L192" s="385">
        <f>'Vaccine coverage'!L168</f>
        <v>0.5260755049</v>
      </c>
      <c r="M192" s="385">
        <f>'Vaccine coverage'!M168</f>
        <v>0.3716056064</v>
      </c>
      <c r="N192" s="385">
        <f>'Vaccine coverage'!N168</f>
        <v>0.4059263747</v>
      </c>
      <c r="O192" s="385">
        <f>'Vaccine coverage'!O168</f>
        <v>0.5972025208</v>
      </c>
      <c r="P192" s="385">
        <f>'Vaccine coverage'!P168</f>
        <v>0.1814928762</v>
      </c>
      <c r="Q192" s="385">
        <f>'Vaccine coverage'!Q168</f>
        <v>0.4307282858</v>
      </c>
      <c r="R192" s="385">
        <f>'Vaccine coverage'!R168</f>
        <v>0.7055588446</v>
      </c>
      <c r="S192" s="385">
        <f>'Vaccine coverage'!S168</f>
        <v>0.5672181208</v>
      </c>
      <c r="T192" s="385">
        <f>'Vaccine coverage'!T168</f>
        <v>0.6711323113</v>
      </c>
      <c r="U192" s="385">
        <f>'Vaccine coverage'!U168</f>
        <v>0.637499016</v>
      </c>
      <c r="V192" s="385">
        <f>'Vaccine coverage'!V168</f>
        <v>0.6269225081</v>
      </c>
      <c r="W192" s="385">
        <f>'Vaccine coverage'!W168</f>
        <v>0.6284561017</v>
      </c>
      <c r="X192" s="385">
        <f>'Vaccine coverage'!X168</f>
        <v>0.3571686731</v>
      </c>
      <c r="Y192" s="385">
        <f>'Vaccine coverage'!Y168</f>
        <v>0.7438458033</v>
      </c>
      <c r="Z192" s="385">
        <f>'Vaccine coverage'!Z168</f>
        <v>0.6850933017</v>
      </c>
      <c r="AA192" s="385">
        <f>'Vaccine coverage'!AA168</f>
        <v>0.8648939367</v>
      </c>
      <c r="AB192" s="385">
        <f>'Vaccine coverage'!AB168</f>
        <v>0.7433698605</v>
      </c>
      <c r="AC192" s="385">
        <f>'Vaccine coverage'!AC168</f>
        <v>0.8841960637</v>
      </c>
      <c r="AD192" s="385">
        <f>'Vaccine coverage'!AD168</f>
        <v>0.7502445906</v>
      </c>
      <c r="AE192" s="385">
        <f>'Vaccine coverage'!AE168</f>
        <v>0.8290924573</v>
      </c>
      <c r="AF192" s="385">
        <f>'Vaccine coverage'!AF168</f>
        <v>0.6983668192</v>
      </c>
      <c r="AG192" s="385">
        <f>'Vaccine coverage'!AG168</f>
        <v>0.5260755049</v>
      </c>
      <c r="AH192" s="385">
        <f>'Vaccine coverage'!AH168</f>
        <v>0.6801752255</v>
      </c>
      <c r="AI192" s="385">
        <f>'Vaccine coverage'!AI168</f>
        <v>0.5951401017</v>
      </c>
      <c r="AJ192" s="385">
        <f>'Vaccine coverage'!AJ168</f>
        <v>0.8115354541</v>
      </c>
      <c r="AK192" s="385">
        <f>'Vaccine coverage'!AK168</f>
        <v>0.5230083176</v>
      </c>
      <c r="AL192" s="385">
        <f>'Vaccine coverage'!AL168</f>
        <v>0.5014322414</v>
      </c>
      <c r="AM192" s="385">
        <f>'Vaccine coverage'!AM168</f>
        <v>0.5014322414</v>
      </c>
      <c r="AN192" s="385">
        <f>'Vaccine coverage'!AN168</f>
        <v>0.5014322414</v>
      </c>
      <c r="AO192" s="385">
        <f>'Vaccine coverage'!AO168</f>
        <v>0.5253880319</v>
      </c>
      <c r="AP192" s="385">
        <f>'Vaccine coverage'!AP168</f>
        <v>0.6196247176</v>
      </c>
      <c r="AQ192" s="385">
        <f>'Vaccine coverage'!AQ168</f>
        <v>0.751460889</v>
      </c>
      <c r="AR192" s="385">
        <f>'Vaccine coverage'!AR168</f>
        <v>0.5727179049</v>
      </c>
      <c r="AS192" s="385">
        <f>'Vaccine coverage'!AS168</f>
        <v>0.6457486922</v>
      </c>
      <c r="AT192" s="385">
        <f>'Vaccine coverage'!AT168</f>
        <v>0.7889017272</v>
      </c>
      <c r="AU192" s="385">
        <f>'Vaccine coverage'!AU168</f>
        <v>0.6083607366</v>
      </c>
      <c r="AV192" s="385">
        <f>'Vaccine coverage'!AV168</f>
        <v>0.6665844128</v>
      </c>
      <c r="AW192" s="274"/>
    </row>
    <row r="193">
      <c r="A193" s="122"/>
      <c r="B193" s="123"/>
      <c r="C193" s="123"/>
      <c r="D193" s="123"/>
      <c r="E193" s="124"/>
      <c r="F193" s="125"/>
      <c r="G193" s="482"/>
      <c r="H193" s="127"/>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30"/>
    </row>
    <row r="194">
      <c r="A194" s="122"/>
      <c r="B194" s="123"/>
      <c r="C194" s="131" t="s">
        <v>12</v>
      </c>
      <c r="F194" s="125"/>
      <c r="G194" s="482"/>
      <c r="H194" s="127"/>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30"/>
    </row>
    <row r="195">
      <c r="A195" s="122"/>
      <c r="B195" s="123"/>
      <c r="C195" s="123"/>
      <c r="D195" s="123"/>
      <c r="E195" s="591" t="s">
        <v>387</v>
      </c>
      <c r="F195" s="356" t="str">
        <f>'Vaccine efficacy'!F50</f>
        <v>%</v>
      </c>
      <c r="G195" s="483" t="s">
        <v>173</v>
      </c>
      <c r="H195" s="255">
        <f>'Vaccine efficacy'!H50</f>
        <v>0.5974696425</v>
      </c>
      <c r="I195" s="321" t="str">
        <f>'Vaccine efficacy'!I50</f>
        <v>-</v>
      </c>
      <c r="J195" s="321" t="str">
        <f>'Vaccine efficacy'!J50</f>
        <v>-</v>
      </c>
      <c r="K195" s="321" t="str">
        <f>'Vaccine efficacy'!K50</f>
        <v>-</v>
      </c>
      <c r="L195" s="321" t="str">
        <f>'Vaccine efficacy'!L50</f>
        <v>-</v>
      </c>
      <c r="M195" s="321" t="str">
        <f>'Vaccine efficacy'!M50</f>
        <v>-</v>
      </c>
      <c r="N195" s="321" t="str">
        <f>'Vaccine efficacy'!N50</f>
        <v>-</v>
      </c>
      <c r="O195" s="321" t="str">
        <f>'Vaccine efficacy'!O50</f>
        <v>-</v>
      </c>
      <c r="P195" s="321" t="str">
        <f>'Vaccine efficacy'!P50</f>
        <v>-</v>
      </c>
      <c r="Q195" s="321" t="str">
        <f>'Vaccine efficacy'!Q50</f>
        <v>-</v>
      </c>
      <c r="R195" s="321" t="str">
        <f>'Vaccine efficacy'!R50</f>
        <v>-</v>
      </c>
      <c r="S195" s="321" t="str">
        <f>'Vaccine efficacy'!S50</f>
        <v>-</v>
      </c>
      <c r="T195" s="321" t="str">
        <f>'Vaccine efficacy'!T50</f>
        <v>-</v>
      </c>
      <c r="U195" s="321" t="str">
        <f>'Vaccine efficacy'!U50</f>
        <v>-</v>
      </c>
      <c r="V195" s="321" t="str">
        <f>'Vaccine efficacy'!V50</f>
        <v>-</v>
      </c>
      <c r="W195" s="321" t="str">
        <f>'Vaccine efficacy'!W50</f>
        <v>-</v>
      </c>
      <c r="X195" s="321" t="str">
        <f>'Vaccine efficacy'!X50</f>
        <v>-</v>
      </c>
      <c r="Y195" s="321" t="str">
        <f>'Vaccine efficacy'!Y50</f>
        <v>-</v>
      </c>
      <c r="Z195" s="321" t="str">
        <f>'Vaccine efficacy'!Z50</f>
        <v>-</v>
      </c>
      <c r="AA195" s="321" t="str">
        <f>'Vaccine efficacy'!AA50</f>
        <v>-</v>
      </c>
      <c r="AB195" s="321" t="str">
        <f>'Vaccine efficacy'!AB50</f>
        <v>-</v>
      </c>
      <c r="AC195" s="321" t="str">
        <f>'Vaccine efficacy'!AC50</f>
        <v>-</v>
      </c>
      <c r="AD195" s="321" t="str">
        <f>'Vaccine efficacy'!AD50</f>
        <v>-</v>
      </c>
      <c r="AE195" s="321" t="str">
        <f>'Vaccine efficacy'!AE50</f>
        <v>-</v>
      </c>
      <c r="AF195" s="321" t="str">
        <f>'Vaccine efficacy'!AF50</f>
        <v>-</v>
      </c>
      <c r="AG195" s="321" t="str">
        <f>'Vaccine efficacy'!AG50</f>
        <v>-</v>
      </c>
      <c r="AH195" s="321" t="str">
        <f>'Vaccine efficacy'!AH50</f>
        <v>-</v>
      </c>
      <c r="AI195" s="321" t="str">
        <f>'Vaccine efficacy'!AI50</f>
        <v>-</v>
      </c>
      <c r="AJ195" s="321" t="str">
        <f>'Vaccine efficacy'!AJ50</f>
        <v>-</v>
      </c>
      <c r="AK195" s="321" t="str">
        <f>'Vaccine efficacy'!AK50</f>
        <v>-</v>
      </c>
      <c r="AL195" s="321" t="str">
        <f>'Vaccine efficacy'!AL50</f>
        <v>-</v>
      </c>
      <c r="AM195" s="321" t="str">
        <f>'Vaccine efficacy'!AM50</f>
        <v>-</v>
      </c>
      <c r="AN195" s="321" t="str">
        <f>'Vaccine efficacy'!AN50</f>
        <v>-</v>
      </c>
      <c r="AO195" s="321" t="str">
        <f>'Vaccine efficacy'!AO50</f>
        <v>-</v>
      </c>
      <c r="AP195" s="321" t="str">
        <f>'Vaccine efficacy'!AP50</f>
        <v>-</v>
      </c>
      <c r="AQ195" s="321" t="str">
        <f>'Vaccine efficacy'!AQ50</f>
        <v>-</v>
      </c>
      <c r="AR195" s="321" t="str">
        <f>'Vaccine efficacy'!AR50</f>
        <v>-</v>
      </c>
      <c r="AS195" s="321" t="str">
        <f>'Vaccine efficacy'!AS50</f>
        <v>-</v>
      </c>
      <c r="AT195" s="321" t="str">
        <f>'Vaccine efficacy'!AT50</f>
        <v>-</v>
      </c>
      <c r="AU195" s="321" t="str">
        <f>'Vaccine efficacy'!AU50</f>
        <v>-</v>
      </c>
      <c r="AV195" s="321" t="str">
        <f>'Vaccine efficacy'!AV50</f>
        <v>-</v>
      </c>
      <c r="AW195" s="256"/>
    </row>
    <row r="196">
      <c r="A196" s="122"/>
      <c r="B196" s="123"/>
      <c r="C196" s="123"/>
      <c r="D196" s="123"/>
      <c r="E196" s="592" t="s">
        <v>388</v>
      </c>
      <c r="F196" s="395" t="str">
        <f>'Vaccine efficacy'!F51</f>
        <v>%</v>
      </c>
      <c r="G196" s="485" t="s">
        <v>173</v>
      </c>
      <c r="H196" s="258">
        <f>'Vaccine efficacy'!H51</f>
        <v>0.850941612</v>
      </c>
      <c r="I196" s="326" t="str">
        <f>'Vaccine efficacy'!I51</f>
        <v>-</v>
      </c>
      <c r="J196" s="326" t="str">
        <f>'Vaccine efficacy'!J51</f>
        <v>-</v>
      </c>
      <c r="K196" s="326" t="str">
        <f>'Vaccine efficacy'!K51</f>
        <v>-</v>
      </c>
      <c r="L196" s="326" t="str">
        <f>'Vaccine efficacy'!L51</f>
        <v>-</v>
      </c>
      <c r="M196" s="326" t="str">
        <f>'Vaccine efficacy'!M51</f>
        <v>-</v>
      </c>
      <c r="N196" s="326" t="str">
        <f>'Vaccine efficacy'!N51</f>
        <v>-</v>
      </c>
      <c r="O196" s="326" t="str">
        <f>'Vaccine efficacy'!O51</f>
        <v>-</v>
      </c>
      <c r="P196" s="326" t="str">
        <f>'Vaccine efficacy'!P51</f>
        <v>-</v>
      </c>
      <c r="Q196" s="326" t="str">
        <f>'Vaccine efficacy'!Q51</f>
        <v>-</v>
      </c>
      <c r="R196" s="326" t="str">
        <f>'Vaccine efficacy'!R51</f>
        <v>-</v>
      </c>
      <c r="S196" s="326" t="str">
        <f>'Vaccine efficacy'!S51</f>
        <v>-</v>
      </c>
      <c r="T196" s="326" t="str">
        <f>'Vaccine efficacy'!T51</f>
        <v>-</v>
      </c>
      <c r="U196" s="326" t="str">
        <f>'Vaccine efficacy'!U51</f>
        <v>-</v>
      </c>
      <c r="V196" s="326" t="str">
        <f>'Vaccine efficacy'!V51</f>
        <v>-</v>
      </c>
      <c r="W196" s="326" t="str">
        <f>'Vaccine efficacy'!W51</f>
        <v>-</v>
      </c>
      <c r="X196" s="326" t="str">
        <f>'Vaccine efficacy'!X51</f>
        <v>-</v>
      </c>
      <c r="Y196" s="326" t="str">
        <f>'Vaccine efficacy'!Y51</f>
        <v>-</v>
      </c>
      <c r="Z196" s="326" t="str">
        <f>'Vaccine efficacy'!Z51</f>
        <v>-</v>
      </c>
      <c r="AA196" s="326" t="str">
        <f>'Vaccine efficacy'!AA51</f>
        <v>-</v>
      </c>
      <c r="AB196" s="326" t="str">
        <f>'Vaccine efficacy'!AB51</f>
        <v>-</v>
      </c>
      <c r="AC196" s="326" t="str">
        <f>'Vaccine efficacy'!AC51</f>
        <v>-</v>
      </c>
      <c r="AD196" s="326" t="str">
        <f>'Vaccine efficacy'!AD51</f>
        <v>-</v>
      </c>
      <c r="AE196" s="326" t="str">
        <f>'Vaccine efficacy'!AE51</f>
        <v>-</v>
      </c>
      <c r="AF196" s="326" t="str">
        <f>'Vaccine efficacy'!AF51</f>
        <v>-</v>
      </c>
      <c r="AG196" s="326" t="str">
        <f>'Vaccine efficacy'!AG51</f>
        <v>-</v>
      </c>
      <c r="AH196" s="326" t="str">
        <f>'Vaccine efficacy'!AH51</f>
        <v>-</v>
      </c>
      <c r="AI196" s="326" t="str">
        <f>'Vaccine efficacy'!AI51</f>
        <v>-</v>
      </c>
      <c r="AJ196" s="326" t="str">
        <f>'Vaccine efficacy'!AJ51</f>
        <v>-</v>
      </c>
      <c r="AK196" s="326" t="str">
        <f>'Vaccine efficacy'!AK51</f>
        <v>-</v>
      </c>
      <c r="AL196" s="326" t="str">
        <f>'Vaccine efficacy'!AL51</f>
        <v>-</v>
      </c>
      <c r="AM196" s="326" t="str">
        <f>'Vaccine efficacy'!AM51</f>
        <v>-</v>
      </c>
      <c r="AN196" s="326" t="str">
        <f>'Vaccine efficacy'!AN51</f>
        <v>-</v>
      </c>
      <c r="AO196" s="326" t="str">
        <f>'Vaccine efficacy'!AO51</f>
        <v>-</v>
      </c>
      <c r="AP196" s="326" t="str">
        <f>'Vaccine efficacy'!AP51</f>
        <v>-</v>
      </c>
      <c r="AQ196" s="326" t="str">
        <f>'Vaccine efficacy'!AQ51</f>
        <v>-</v>
      </c>
      <c r="AR196" s="326" t="str">
        <f>'Vaccine efficacy'!AR51</f>
        <v>-</v>
      </c>
      <c r="AS196" s="326" t="str">
        <f>'Vaccine efficacy'!AS51</f>
        <v>-</v>
      </c>
      <c r="AT196" s="326" t="str">
        <f>'Vaccine efficacy'!AT51</f>
        <v>-</v>
      </c>
      <c r="AU196" s="326" t="str">
        <f>'Vaccine efficacy'!AU51</f>
        <v>-</v>
      </c>
      <c r="AV196" s="326" t="str">
        <f>'Vaccine efficacy'!AV51</f>
        <v>-</v>
      </c>
      <c r="AW196" s="259"/>
    </row>
    <row r="197">
      <c r="A197" s="122"/>
      <c r="B197" s="123"/>
      <c r="C197" s="123"/>
      <c r="D197" s="123"/>
      <c r="E197" s="592" t="s">
        <v>389</v>
      </c>
      <c r="F197" s="395" t="str">
        <f>'Vaccine efficacy'!F52</f>
        <v>%</v>
      </c>
      <c r="G197" s="485" t="s">
        <v>173</v>
      </c>
      <c r="H197" s="258">
        <f>'Vaccine efficacy'!H52</f>
        <v>0.7423107679</v>
      </c>
      <c r="I197" s="326" t="str">
        <f>'Vaccine efficacy'!I52</f>
        <v>-</v>
      </c>
      <c r="J197" s="326" t="str">
        <f>'Vaccine efficacy'!J52</f>
        <v>-</v>
      </c>
      <c r="K197" s="326" t="str">
        <f>'Vaccine efficacy'!K52</f>
        <v>-</v>
      </c>
      <c r="L197" s="326" t="str">
        <f>'Vaccine efficacy'!L52</f>
        <v>-</v>
      </c>
      <c r="M197" s="326" t="str">
        <f>'Vaccine efficacy'!M52</f>
        <v>-</v>
      </c>
      <c r="N197" s="326" t="str">
        <f>'Vaccine efficacy'!N52</f>
        <v>-</v>
      </c>
      <c r="O197" s="326" t="str">
        <f>'Vaccine efficacy'!O52</f>
        <v>-</v>
      </c>
      <c r="P197" s="326" t="str">
        <f>'Vaccine efficacy'!P52</f>
        <v>-</v>
      </c>
      <c r="Q197" s="326" t="str">
        <f>'Vaccine efficacy'!Q52</f>
        <v>-</v>
      </c>
      <c r="R197" s="326" t="str">
        <f>'Vaccine efficacy'!R52</f>
        <v>-</v>
      </c>
      <c r="S197" s="326" t="str">
        <f>'Vaccine efficacy'!S52</f>
        <v>-</v>
      </c>
      <c r="T197" s="326" t="str">
        <f>'Vaccine efficacy'!T52</f>
        <v>-</v>
      </c>
      <c r="U197" s="326" t="str">
        <f>'Vaccine efficacy'!U52</f>
        <v>-</v>
      </c>
      <c r="V197" s="326" t="str">
        <f>'Vaccine efficacy'!V52</f>
        <v>-</v>
      </c>
      <c r="W197" s="326" t="str">
        <f>'Vaccine efficacy'!W52</f>
        <v>-</v>
      </c>
      <c r="X197" s="326" t="str">
        <f>'Vaccine efficacy'!X52</f>
        <v>-</v>
      </c>
      <c r="Y197" s="326" t="str">
        <f>'Vaccine efficacy'!Y52</f>
        <v>-</v>
      </c>
      <c r="Z197" s="326" t="str">
        <f>'Vaccine efficacy'!Z52</f>
        <v>-</v>
      </c>
      <c r="AA197" s="326" t="str">
        <f>'Vaccine efficacy'!AA52</f>
        <v>-</v>
      </c>
      <c r="AB197" s="326" t="str">
        <f>'Vaccine efficacy'!AB52</f>
        <v>-</v>
      </c>
      <c r="AC197" s="326" t="str">
        <f>'Vaccine efficacy'!AC52</f>
        <v>-</v>
      </c>
      <c r="AD197" s="326" t="str">
        <f>'Vaccine efficacy'!AD52</f>
        <v>-</v>
      </c>
      <c r="AE197" s="326" t="str">
        <f>'Vaccine efficacy'!AE52</f>
        <v>-</v>
      </c>
      <c r="AF197" s="326" t="str">
        <f>'Vaccine efficacy'!AF52</f>
        <v>-</v>
      </c>
      <c r="AG197" s="326" t="str">
        <f>'Vaccine efficacy'!AG52</f>
        <v>-</v>
      </c>
      <c r="AH197" s="326" t="str">
        <f>'Vaccine efficacy'!AH52</f>
        <v>-</v>
      </c>
      <c r="AI197" s="326" t="str">
        <f>'Vaccine efficacy'!AI52</f>
        <v>-</v>
      </c>
      <c r="AJ197" s="326" t="str">
        <f>'Vaccine efficacy'!AJ52</f>
        <v>-</v>
      </c>
      <c r="AK197" s="326" t="str">
        <f>'Vaccine efficacy'!AK52</f>
        <v>-</v>
      </c>
      <c r="AL197" s="326" t="str">
        <f>'Vaccine efficacy'!AL52</f>
        <v>-</v>
      </c>
      <c r="AM197" s="326" t="str">
        <f>'Vaccine efficacy'!AM52</f>
        <v>-</v>
      </c>
      <c r="AN197" s="326" t="str">
        <f>'Vaccine efficacy'!AN52</f>
        <v>-</v>
      </c>
      <c r="AO197" s="326" t="str">
        <f>'Vaccine efficacy'!AO52</f>
        <v>-</v>
      </c>
      <c r="AP197" s="326" t="str">
        <f>'Vaccine efficacy'!AP52</f>
        <v>-</v>
      </c>
      <c r="AQ197" s="326" t="str">
        <f>'Vaccine efficacy'!AQ52</f>
        <v>-</v>
      </c>
      <c r="AR197" s="326" t="str">
        <f>'Vaccine efficacy'!AR52</f>
        <v>-</v>
      </c>
      <c r="AS197" s="326" t="str">
        <f>'Vaccine efficacy'!AS52</f>
        <v>-</v>
      </c>
      <c r="AT197" s="326" t="str">
        <f>'Vaccine efficacy'!AT52</f>
        <v>-</v>
      </c>
      <c r="AU197" s="326" t="str">
        <f>'Vaccine efficacy'!AU52</f>
        <v>-</v>
      </c>
      <c r="AV197" s="326" t="str">
        <f>'Vaccine efficacy'!AV52</f>
        <v>-</v>
      </c>
      <c r="AW197" s="259"/>
    </row>
    <row r="198">
      <c r="A198" s="122"/>
      <c r="B198" s="123"/>
      <c r="C198" s="123"/>
      <c r="D198" s="123"/>
      <c r="E198" s="592" t="s">
        <v>390</v>
      </c>
      <c r="F198" s="395" t="str">
        <f>'Vaccine efficacy'!F53</f>
        <v>%</v>
      </c>
      <c r="G198" s="485" t="s">
        <v>173</v>
      </c>
      <c r="H198" s="258">
        <f>'Vaccine efficacy'!H53</f>
        <v>0.4299970912</v>
      </c>
      <c r="I198" s="326" t="str">
        <f>'Vaccine efficacy'!I53</f>
        <v>-</v>
      </c>
      <c r="J198" s="326" t="str">
        <f>'Vaccine efficacy'!J53</f>
        <v>-</v>
      </c>
      <c r="K198" s="326" t="str">
        <f>'Vaccine efficacy'!K53</f>
        <v>-</v>
      </c>
      <c r="L198" s="326" t="str">
        <f>'Vaccine efficacy'!L53</f>
        <v>-</v>
      </c>
      <c r="M198" s="326" t="str">
        <f>'Vaccine efficacy'!M53</f>
        <v>-</v>
      </c>
      <c r="N198" s="326" t="str">
        <f>'Vaccine efficacy'!N53</f>
        <v>-</v>
      </c>
      <c r="O198" s="326" t="str">
        <f>'Vaccine efficacy'!O53</f>
        <v>-</v>
      </c>
      <c r="P198" s="326" t="str">
        <f>'Vaccine efficacy'!P53</f>
        <v>-</v>
      </c>
      <c r="Q198" s="326" t="str">
        <f>'Vaccine efficacy'!Q53</f>
        <v>-</v>
      </c>
      <c r="R198" s="326" t="str">
        <f>'Vaccine efficacy'!R53</f>
        <v>-</v>
      </c>
      <c r="S198" s="326" t="str">
        <f>'Vaccine efficacy'!S53</f>
        <v>-</v>
      </c>
      <c r="T198" s="326" t="str">
        <f>'Vaccine efficacy'!T53</f>
        <v>-</v>
      </c>
      <c r="U198" s="326" t="str">
        <f>'Vaccine efficacy'!U53</f>
        <v>-</v>
      </c>
      <c r="V198" s="326" t="str">
        <f>'Vaccine efficacy'!V53</f>
        <v>-</v>
      </c>
      <c r="W198" s="326" t="str">
        <f>'Vaccine efficacy'!W53</f>
        <v>-</v>
      </c>
      <c r="X198" s="326" t="str">
        <f>'Vaccine efficacy'!X53</f>
        <v>-</v>
      </c>
      <c r="Y198" s="326" t="str">
        <f>'Vaccine efficacy'!Y53</f>
        <v>-</v>
      </c>
      <c r="Z198" s="326" t="str">
        <f>'Vaccine efficacy'!Z53</f>
        <v>-</v>
      </c>
      <c r="AA198" s="326" t="str">
        <f>'Vaccine efficacy'!AA53</f>
        <v>-</v>
      </c>
      <c r="AB198" s="326" t="str">
        <f>'Vaccine efficacy'!AB53</f>
        <v>-</v>
      </c>
      <c r="AC198" s="326" t="str">
        <f>'Vaccine efficacy'!AC53</f>
        <v>-</v>
      </c>
      <c r="AD198" s="326" t="str">
        <f>'Vaccine efficacy'!AD53</f>
        <v>-</v>
      </c>
      <c r="AE198" s="326" t="str">
        <f>'Vaccine efficacy'!AE53</f>
        <v>-</v>
      </c>
      <c r="AF198" s="326" t="str">
        <f>'Vaccine efficacy'!AF53</f>
        <v>-</v>
      </c>
      <c r="AG198" s="326" t="str">
        <f>'Vaccine efficacy'!AG53</f>
        <v>-</v>
      </c>
      <c r="AH198" s="326" t="str">
        <f>'Vaccine efficacy'!AH53</f>
        <v>-</v>
      </c>
      <c r="AI198" s="326" t="str">
        <f>'Vaccine efficacy'!AI53</f>
        <v>-</v>
      </c>
      <c r="AJ198" s="326" t="str">
        <f>'Vaccine efficacy'!AJ53</f>
        <v>-</v>
      </c>
      <c r="AK198" s="326" t="str">
        <f>'Vaccine efficacy'!AK53</f>
        <v>-</v>
      </c>
      <c r="AL198" s="326" t="str">
        <f>'Vaccine efficacy'!AL53</f>
        <v>-</v>
      </c>
      <c r="AM198" s="326" t="str">
        <f>'Vaccine efficacy'!AM53</f>
        <v>-</v>
      </c>
      <c r="AN198" s="326" t="str">
        <f>'Vaccine efficacy'!AN53</f>
        <v>-</v>
      </c>
      <c r="AO198" s="326" t="str">
        <f>'Vaccine efficacy'!AO53</f>
        <v>-</v>
      </c>
      <c r="AP198" s="326" t="str">
        <f>'Vaccine efficacy'!AP53</f>
        <v>-</v>
      </c>
      <c r="AQ198" s="326" t="str">
        <f>'Vaccine efficacy'!AQ53</f>
        <v>-</v>
      </c>
      <c r="AR198" s="326" t="str">
        <f>'Vaccine efficacy'!AR53</f>
        <v>-</v>
      </c>
      <c r="AS198" s="326" t="str">
        <f>'Vaccine efficacy'!AS53</f>
        <v>-</v>
      </c>
      <c r="AT198" s="326" t="str">
        <f>'Vaccine efficacy'!AT53</f>
        <v>-</v>
      </c>
      <c r="AU198" s="326" t="str">
        <f>'Vaccine efficacy'!AU53</f>
        <v>-</v>
      </c>
      <c r="AV198" s="326" t="str">
        <f>'Vaccine efficacy'!AV53</f>
        <v>-</v>
      </c>
      <c r="AW198" s="259"/>
    </row>
    <row r="199">
      <c r="A199" s="122"/>
      <c r="B199" s="123"/>
      <c r="C199" s="123"/>
      <c r="D199" s="123"/>
      <c r="E199" s="592" t="s">
        <v>391</v>
      </c>
      <c r="F199" s="395" t="str">
        <f>'Vaccine efficacy'!F54</f>
        <v>%</v>
      </c>
      <c r="G199" s="485" t="s">
        <v>173</v>
      </c>
      <c r="H199" s="258">
        <f>'Vaccine efficacy'!H54</f>
        <v>0.4164182357</v>
      </c>
      <c r="I199" s="326" t="str">
        <f>'Vaccine efficacy'!I54</f>
        <v>-</v>
      </c>
      <c r="J199" s="326" t="str">
        <f>'Vaccine efficacy'!J54</f>
        <v>-</v>
      </c>
      <c r="K199" s="326" t="str">
        <f>'Vaccine efficacy'!K54</f>
        <v>-</v>
      </c>
      <c r="L199" s="326" t="str">
        <f>'Vaccine efficacy'!L54</f>
        <v>-</v>
      </c>
      <c r="M199" s="326" t="str">
        <f>'Vaccine efficacy'!M54</f>
        <v>-</v>
      </c>
      <c r="N199" s="326" t="str">
        <f>'Vaccine efficacy'!N54</f>
        <v>-</v>
      </c>
      <c r="O199" s="326" t="str">
        <f>'Vaccine efficacy'!O54</f>
        <v>-</v>
      </c>
      <c r="P199" s="326" t="str">
        <f>'Vaccine efficacy'!P54</f>
        <v>-</v>
      </c>
      <c r="Q199" s="326" t="str">
        <f>'Vaccine efficacy'!Q54</f>
        <v>-</v>
      </c>
      <c r="R199" s="326" t="str">
        <f>'Vaccine efficacy'!R54</f>
        <v>-</v>
      </c>
      <c r="S199" s="326" t="str">
        <f>'Vaccine efficacy'!S54</f>
        <v>-</v>
      </c>
      <c r="T199" s="326" t="str">
        <f>'Vaccine efficacy'!T54</f>
        <v>-</v>
      </c>
      <c r="U199" s="326" t="str">
        <f>'Vaccine efficacy'!U54</f>
        <v>-</v>
      </c>
      <c r="V199" s="326" t="str">
        <f>'Vaccine efficacy'!V54</f>
        <v>-</v>
      </c>
      <c r="W199" s="326" t="str">
        <f>'Vaccine efficacy'!W54</f>
        <v>-</v>
      </c>
      <c r="X199" s="326" t="str">
        <f>'Vaccine efficacy'!X54</f>
        <v>-</v>
      </c>
      <c r="Y199" s="326" t="str">
        <f>'Vaccine efficacy'!Y54</f>
        <v>-</v>
      </c>
      <c r="Z199" s="326" t="str">
        <f>'Vaccine efficacy'!Z54</f>
        <v>-</v>
      </c>
      <c r="AA199" s="326" t="str">
        <f>'Vaccine efficacy'!AA54</f>
        <v>-</v>
      </c>
      <c r="AB199" s="326" t="str">
        <f>'Vaccine efficacy'!AB54</f>
        <v>-</v>
      </c>
      <c r="AC199" s="326" t="str">
        <f>'Vaccine efficacy'!AC54</f>
        <v>-</v>
      </c>
      <c r="AD199" s="326" t="str">
        <f>'Vaccine efficacy'!AD54</f>
        <v>-</v>
      </c>
      <c r="AE199" s="326" t="str">
        <f>'Vaccine efficacy'!AE54</f>
        <v>-</v>
      </c>
      <c r="AF199" s="326" t="str">
        <f>'Vaccine efficacy'!AF54</f>
        <v>-</v>
      </c>
      <c r="AG199" s="326" t="str">
        <f>'Vaccine efficacy'!AG54</f>
        <v>-</v>
      </c>
      <c r="AH199" s="326" t="str">
        <f>'Vaccine efficacy'!AH54</f>
        <v>-</v>
      </c>
      <c r="AI199" s="326" t="str">
        <f>'Vaccine efficacy'!AI54</f>
        <v>-</v>
      </c>
      <c r="AJ199" s="326" t="str">
        <f>'Vaccine efficacy'!AJ54</f>
        <v>-</v>
      </c>
      <c r="AK199" s="326" t="str">
        <f>'Vaccine efficacy'!AK54</f>
        <v>-</v>
      </c>
      <c r="AL199" s="326" t="str">
        <f>'Vaccine efficacy'!AL54</f>
        <v>-</v>
      </c>
      <c r="AM199" s="326" t="str">
        <f>'Vaccine efficacy'!AM54</f>
        <v>-</v>
      </c>
      <c r="AN199" s="326" t="str">
        <f>'Vaccine efficacy'!AN54</f>
        <v>-</v>
      </c>
      <c r="AO199" s="326" t="str">
        <f>'Vaccine efficacy'!AO54</f>
        <v>-</v>
      </c>
      <c r="AP199" s="326" t="str">
        <f>'Vaccine efficacy'!AP54</f>
        <v>-</v>
      </c>
      <c r="AQ199" s="326" t="str">
        <f>'Vaccine efficacy'!AQ54</f>
        <v>-</v>
      </c>
      <c r="AR199" s="326" t="str">
        <f>'Vaccine efficacy'!AR54</f>
        <v>-</v>
      </c>
      <c r="AS199" s="326" t="str">
        <f>'Vaccine efficacy'!AS54</f>
        <v>-</v>
      </c>
      <c r="AT199" s="326" t="str">
        <f>'Vaccine efficacy'!AT54</f>
        <v>-</v>
      </c>
      <c r="AU199" s="326" t="str">
        <f>'Vaccine efficacy'!AU54</f>
        <v>-</v>
      </c>
      <c r="AV199" s="326" t="str">
        <f>'Vaccine efficacy'!AV54</f>
        <v>-</v>
      </c>
      <c r="AW199" s="259"/>
    </row>
    <row r="200">
      <c r="A200" s="122"/>
      <c r="B200" s="123"/>
      <c r="C200" s="123"/>
      <c r="D200" s="123"/>
      <c r="E200" s="598" t="s">
        <v>392</v>
      </c>
      <c r="F200" s="489" t="str">
        <f>'Vaccine efficacy'!F55</f>
        <v>%</v>
      </c>
      <c r="G200" s="487" t="s">
        <v>173</v>
      </c>
      <c r="H200" s="498">
        <f>'Vaccine efficacy'!H55</f>
        <v>0.7705189672</v>
      </c>
      <c r="I200" s="499" t="str">
        <f>'Vaccine efficacy'!I55</f>
        <v>-</v>
      </c>
      <c r="J200" s="499" t="str">
        <f>'Vaccine efficacy'!J55</f>
        <v>-</v>
      </c>
      <c r="K200" s="499" t="str">
        <f>'Vaccine efficacy'!K55</f>
        <v>-</v>
      </c>
      <c r="L200" s="499" t="str">
        <f>'Vaccine efficacy'!L55</f>
        <v>-</v>
      </c>
      <c r="M200" s="499" t="str">
        <f>'Vaccine efficacy'!M55</f>
        <v>-</v>
      </c>
      <c r="N200" s="499" t="str">
        <f>'Vaccine efficacy'!N55</f>
        <v>-</v>
      </c>
      <c r="O200" s="499" t="str">
        <f>'Vaccine efficacy'!O55</f>
        <v>-</v>
      </c>
      <c r="P200" s="499" t="str">
        <f>'Vaccine efficacy'!P55</f>
        <v>-</v>
      </c>
      <c r="Q200" s="499" t="str">
        <f>'Vaccine efficacy'!Q55</f>
        <v>-</v>
      </c>
      <c r="R200" s="499" t="str">
        <f>'Vaccine efficacy'!R55</f>
        <v>-</v>
      </c>
      <c r="S200" s="499" t="str">
        <f>'Vaccine efficacy'!S55</f>
        <v>-</v>
      </c>
      <c r="T200" s="499" t="str">
        <f>'Vaccine efficacy'!T55</f>
        <v>-</v>
      </c>
      <c r="U200" s="499" t="str">
        <f>'Vaccine efficacy'!U55</f>
        <v>-</v>
      </c>
      <c r="V200" s="499" t="str">
        <f>'Vaccine efficacy'!V55</f>
        <v>-</v>
      </c>
      <c r="W200" s="499" t="str">
        <f>'Vaccine efficacy'!W55</f>
        <v>-</v>
      </c>
      <c r="X200" s="499" t="str">
        <f>'Vaccine efficacy'!X55</f>
        <v>-</v>
      </c>
      <c r="Y200" s="499" t="str">
        <f>'Vaccine efficacy'!Y55</f>
        <v>-</v>
      </c>
      <c r="Z200" s="499" t="str">
        <f>'Vaccine efficacy'!Z55</f>
        <v>-</v>
      </c>
      <c r="AA200" s="499" t="str">
        <f>'Vaccine efficacy'!AA55</f>
        <v>-</v>
      </c>
      <c r="AB200" s="499" t="str">
        <f>'Vaccine efficacy'!AB55</f>
        <v>-</v>
      </c>
      <c r="AC200" s="499" t="str">
        <f>'Vaccine efficacy'!AC55</f>
        <v>-</v>
      </c>
      <c r="AD200" s="499" t="str">
        <f>'Vaccine efficacy'!AD55</f>
        <v>-</v>
      </c>
      <c r="AE200" s="499" t="str">
        <f>'Vaccine efficacy'!AE55</f>
        <v>-</v>
      </c>
      <c r="AF200" s="499" t="str">
        <f>'Vaccine efficacy'!AF55</f>
        <v>-</v>
      </c>
      <c r="AG200" s="499" t="str">
        <f>'Vaccine efficacy'!AG55</f>
        <v>-</v>
      </c>
      <c r="AH200" s="499" t="str">
        <f>'Vaccine efficacy'!AH55</f>
        <v>-</v>
      </c>
      <c r="AI200" s="499" t="str">
        <f>'Vaccine efficacy'!AI55</f>
        <v>-</v>
      </c>
      <c r="AJ200" s="499" t="str">
        <f>'Vaccine efficacy'!AJ55</f>
        <v>-</v>
      </c>
      <c r="AK200" s="499" t="str">
        <f>'Vaccine efficacy'!AK55</f>
        <v>-</v>
      </c>
      <c r="AL200" s="499" t="str">
        <f>'Vaccine efficacy'!AL55</f>
        <v>-</v>
      </c>
      <c r="AM200" s="499" t="str">
        <f>'Vaccine efficacy'!AM55</f>
        <v>-</v>
      </c>
      <c r="AN200" s="499" t="str">
        <f>'Vaccine efficacy'!AN55</f>
        <v>-</v>
      </c>
      <c r="AO200" s="499" t="str">
        <f>'Vaccine efficacy'!AO55</f>
        <v>-</v>
      </c>
      <c r="AP200" s="499" t="str">
        <f>'Vaccine efficacy'!AP55</f>
        <v>-</v>
      </c>
      <c r="AQ200" s="499" t="str">
        <f>'Vaccine efficacy'!AQ55</f>
        <v>-</v>
      </c>
      <c r="AR200" s="499" t="str">
        <f>'Vaccine efficacy'!AR55</f>
        <v>-</v>
      </c>
      <c r="AS200" s="499" t="str">
        <f>'Vaccine efficacy'!AS55</f>
        <v>-</v>
      </c>
      <c r="AT200" s="499" t="str">
        <f>'Vaccine efficacy'!AT55</f>
        <v>-</v>
      </c>
      <c r="AU200" s="499" t="str">
        <f>'Vaccine efficacy'!AU55</f>
        <v>-</v>
      </c>
      <c r="AV200" s="499" t="str">
        <f>'Vaccine efficacy'!AV55</f>
        <v>-</v>
      </c>
      <c r="AW200" s="274"/>
    </row>
    <row r="201">
      <c r="A201" s="122"/>
      <c r="B201" s="123"/>
      <c r="C201" s="123"/>
      <c r="D201" s="123"/>
      <c r="E201" s="124"/>
      <c r="F201" s="125"/>
      <c r="G201" s="482"/>
      <c r="H201" s="127"/>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30"/>
    </row>
    <row r="202">
      <c r="A202" s="122"/>
      <c r="B202" s="123"/>
      <c r="C202" s="450" t="s">
        <v>681</v>
      </c>
      <c r="F202" s="125"/>
      <c r="G202" s="482"/>
      <c r="H202" s="127"/>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30"/>
    </row>
    <row r="203">
      <c r="A203" s="122"/>
      <c r="B203" s="123"/>
      <c r="C203" s="123"/>
      <c r="D203" s="123"/>
      <c r="E203" s="192" t="s">
        <v>682</v>
      </c>
      <c r="F203" s="193" t="s">
        <v>72</v>
      </c>
      <c r="G203" s="483" t="s">
        <v>161</v>
      </c>
      <c r="H203" s="236" t="s">
        <v>162</v>
      </c>
      <c r="I203" s="237">
        <f t="shared" ref="I203:AV203" si="51">I178/((I187*(1-$H195))+(1-I187))</f>
        <v>0.005036041986</v>
      </c>
      <c r="J203" s="237">
        <f t="shared" si="51"/>
        <v>0.002548760604</v>
      </c>
      <c r="K203" s="237">
        <f t="shared" si="51"/>
        <v>0.006764865795</v>
      </c>
      <c r="L203" s="237">
        <f t="shared" si="51"/>
        <v>0.001576104155</v>
      </c>
      <c r="M203" s="237">
        <f t="shared" si="51"/>
        <v>0.002622431178</v>
      </c>
      <c r="N203" s="237">
        <f t="shared" si="51"/>
        <v>0.003973353112</v>
      </c>
      <c r="O203" s="237">
        <f t="shared" si="51"/>
        <v>0.00431719457</v>
      </c>
      <c r="P203" s="237">
        <f t="shared" si="51"/>
        <v>0.005804899692</v>
      </c>
      <c r="Q203" s="237">
        <f t="shared" si="51"/>
        <v>0.008325505798</v>
      </c>
      <c r="R203" s="237">
        <f t="shared" si="51"/>
        <v>0.000701592614</v>
      </c>
      <c r="S203" s="237">
        <f t="shared" si="51"/>
        <v>0.002367889406</v>
      </c>
      <c r="T203" s="237">
        <f t="shared" si="51"/>
        <v>0.0004537590214</v>
      </c>
      <c r="U203" s="237">
        <f t="shared" si="51"/>
        <v>0.0004555268028</v>
      </c>
      <c r="V203" s="237">
        <f t="shared" si="51"/>
        <v>0.0006205275524</v>
      </c>
      <c r="W203" s="237">
        <f t="shared" si="51"/>
        <v>0.001048169189</v>
      </c>
      <c r="X203" s="237">
        <f t="shared" si="51"/>
        <v>0.0008563352859</v>
      </c>
      <c r="Y203" s="237">
        <f t="shared" si="51"/>
        <v>0.0006564750045</v>
      </c>
      <c r="Z203" s="237">
        <f t="shared" si="51"/>
        <v>0.0006641574488</v>
      </c>
      <c r="AA203" s="237">
        <f t="shared" si="51"/>
        <v>0.001112872665</v>
      </c>
      <c r="AB203" s="237">
        <f t="shared" si="51"/>
        <v>0.0006883402422</v>
      </c>
      <c r="AC203" s="237">
        <f t="shared" si="51"/>
        <v>0.0006726291497</v>
      </c>
      <c r="AD203" s="237">
        <f t="shared" si="51"/>
        <v>0.0003966973204</v>
      </c>
      <c r="AE203" s="237">
        <f t="shared" si="51"/>
        <v>0.0006591471874</v>
      </c>
      <c r="AF203" s="237">
        <f t="shared" si="51"/>
        <v>0.0004048788647</v>
      </c>
      <c r="AG203" s="237">
        <f t="shared" si="51"/>
        <v>0.001576104155</v>
      </c>
      <c r="AH203" s="237">
        <f t="shared" si="51"/>
        <v>0.0005135592566</v>
      </c>
      <c r="AI203" s="237">
        <f t="shared" si="51"/>
        <v>0.0003215398954</v>
      </c>
      <c r="AJ203" s="237">
        <f t="shared" si="51"/>
        <v>0.0002712244446</v>
      </c>
      <c r="AK203" s="237">
        <f t="shared" si="51"/>
        <v>0.0009456985543</v>
      </c>
      <c r="AL203" s="237">
        <f t="shared" si="51"/>
        <v>0.001455143337</v>
      </c>
      <c r="AM203" s="237">
        <f t="shared" si="51"/>
        <v>0.001455143337</v>
      </c>
      <c r="AN203" s="237">
        <f t="shared" si="51"/>
        <v>0.001455143337</v>
      </c>
      <c r="AO203" s="237">
        <f t="shared" si="51"/>
        <v>0.00042208618</v>
      </c>
      <c r="AP203" s="237">
        <f t="shared" si="51"/>
        <v>0.00052034847</v>
      </c>
      <c r="AQ203" s="237">
        <f t="shared" si="51"/>
        <v>0.0002813721894</v>
      </c>
      <c r="AR203" s="237">
        <f t="shared" si="51"/>
        <v>0.0002613037671</v>
      </c>
      <c r="AS203" s="237">
        <f t="shared" si="51"/>
        <v>0.0007657580987</v>
      </c>
      <c r="AT203" s="237">
        <f t="shared" si="51"/>
        <v>0.0006620381097</v>
      </c>
      <c r="AU203" s="237">
        <f t="shared" si="51"/>
        <v>0.002318046904</v>
      </c>
      <c r="AV203" s="237">
        <f t="shared" si="51"/>
        <v>0.003273550733</v>
      </c>
      <c r="AW203" s="256"/>
    </row>
    <row r="204">
      <c r="A204" s="122"/>
      <c r="B204" s="123"/>
      <c r="C204" s="123"/>
      <c r="D204" s="123"/>
      <c r="E204" s="212" t="s">
        <v>683</v>
      </c>
      <c r="F204" s="213" t="s">
        <v>72</v>
      </c>
      <c r="G204" s="485" t="s">
        <v>161</v>
      </c>
      <c r="H204" s="240" t="s">
        <v>162</v>
      </c>
      <c r="I204" s="260">
        <f t="shared" ref="I204:AV204" si="52">I179/((I188*(1-$H196))+(1-I188))</f>
        <v>0.003410648276</v>
      </c>
      <c r="J204" s="260">
        <f t="shared" si="52"/>
        <v>0.00338628648</v>
      </c>
      <c r="K204" s="260">
        <f t="shared" si="52"/>
        <v>0.005174969473</v>
      </c>
      <c r="L204" s="260">
        <f t="shared" si="52"/>
        <v>0.002752035981</v>
      </c>
      <c r="M204" s="260">
        <f t="shared" si="52"/>
        <v>0.002689971003</v>
      </c>
      <c r="N204" s="260">
        <f t="shared" si="52"/>
        <v>0.003534160598</v>
      </c>
      <c r="O204" s="260">
        <f t="shared" si="52"/>
        <v>0.00502983971</v>
      </c>
      <c r="P204" s="260">
        <f t="shared" si="52"/>
        <v>0.004403710626</v>
      </c>
      <c r="Q204" s="260">
        <f t="shared" si="52"/>
        <v>0.006096930369</v>
      </c>
      <c r="R204" s="260">
        <f t="shared" si="52"/>
        <v>0.001047487578</v>
      </c>
      <c r="S204" s="260">
        <f t="shared" si="52"/>
        <v>0.002421523136</v>
      </c>
      <c r="T204" s="260">
        <f t="shared" si="52"/>
        <v>0.00104542983</v>
      </c>
      <c r="U204" s="260">
        <f t="shared" si="52"/>
        <v>0.00122147645</v>
      </c>
      <c r="V204" s="260">
        <f t="shared" si="52"/>
        <v>0.002011908094</v>
      </c>
      <c r="W204" s="260">
        <f t="shared" si="52"/>
        <v>0.001565554101</v>
      </c>
      <c r="X204" s="260">
        <f t="shared" si="52"/>
        <v>0.001616457298</v>
      </c>
      <c r="Y204" s="260">
        <f t="shared" si="52"/>
        <v>0.001568301168</v>
      </c>
      <c r="Z204" s="260">
        <f t="shared" si="52"/>
        <v>0.001182786207</v>
      </c>
      <c r="AA204" s="260">
        <f t="shared" si="52"/>
        <v>0.002261838235</v>
      </c>
      <c r="AB204" s="260">
        <f t="shared" si="52"/>
        <v>0.001212266029</v>
      </c>
      <c r="AC204" s="260">
        <f t="shared" si="52"/>
        <v>0.0008644742191</v>
      </c>
      <c r="AD204" s="260">
        <f t="shared" si="52"/>
        <v>0.001154440055</v>
      </c>
      <c r="AE204" s="260">
        <f t="shared" si="52"/>
        <v>0.001107903991</v>
      </c>
      <c r="AF204" s="260">
        <f t="shared" si="52"/>
        <v>0.0007342630544</v>
      </c>
      <c r="AG204" s="260">
        <f t="shared" si="52"/>
        <v>0.002752035981</v>
      </c>
      <c r="AH204" s="260">
        <f t="shared" si="52"/>
        <v>0.002720676214</v>
      </c>
      <c r="AI204" s="260">
        <f t="shared" si="52"/>
        <v>0.0007928555336</v>
      </c>
      <c r="AJ204" s="260">
        <f t="shared" si="52"/>
        <v>0.0005641398317</v>
      </c>
      <c r="AK204" s="260">
        <f t="shared" si="52"/>
        <v>0.001601585727</v>
      </c>
      <c r="AL204" s="260">
        <f t="shared" si="52"/>
        <v>0.002054796702</v>
      </c>
      <c r="AM204" s="260">
        <f t="shared" si="52"/>
        <v>0.002054796702</v>
      </c>
      <c r="AN204" s="260">
        <f t="shared" si="52"/>
        <v>0.002054796702</v>
      </c>
      <c r="AO204" s="260">
        <f t="shared" si="52"/>
        <v>0.0008807616636</v>
      </c>
      <c r="AP204" s="260">
        <f t="shared" si="52"/>
        <v>0.0007276343222</v>
      </c>
      <c r="AQ204" s="260">
        <f t="shared" si="52"/>
        <v>0.0006281245071</v>
      </c>
      <c r="AR204" s="260">
        <f t="shared" si="52"/>
        <v>0.0009219098867</v>
      </c>
      <c r="AS204" s="260">
        <f t="shared" si="52"/>
        <v>0.001073715868</v>
      </c>
      <c r="AT204" s="260">
        <f t="shared" si="52"/>
        <v>0.001179601624</v>
      </c>
      <c r="AU204" s="260">
        <f t="shared" si="52"/>
        <v>0.002765705914</v>
      </c>
      <c r="AV204" s="260">
        <f t="shared" si="52"/>
        <v>0.004138764762</v>
      </c>
      <c r="AW204" s="259"/>
    </row>
    <row r="205">
      <c r="A205" s="122"/>
      <c r="B205" s="123"/>
      <c r="C205" s="123"/>
      <c r="D205" s="123"/>
      <c r="E205" s="212" t="s">
        <v>684</v>
      </c>
      <c r="F205" s="213" t="s">
        <v>72</v>
      </c>
      <c r="G205" s="485" t="s">
        <v>161</v>
      </c>
      <c r="H205" s="240" t="s">
        <v>162</v>
      </c>
      <c r="I205" s="260">
        <f t="shared" ref="I205:AV205" si="53">I180/((I189*(1-$H197))+(1-I189))</f>
        <v>0.0008754076945</v>
      </c>
      <c r="J205" s="260">
        <f t="shared" si="53"/>
        <v>0.000805066088</v>
      </c>
      <c r="K205" s="260">
        <f t="shared" si="53"/>
        <v>0.001099938676</v>
      </c>
      <c r="L205" s="260">
        <f t="shared" si="53"/>
        <v>0.0006654049112</v>
      </c>
      <c r="M205" s="260">
        <f t="shared" si="53"/>
        <v>0.0008032191879</v>
      </c>
      <c r="N205" s="260">
        <f t="shared" si="53"/>
        <v>0.000673576287</v>
      </c>
      <c r="O205" s="260">
        <f t="shared" si="53"/>
        <v>0.000814912718</v>
      </c>
      <c r="P205" s="260">
        <f t="shared" si="53"/>
        <v>0.0008855016843</v>
      </c>
      <c r="Q205" s="260">
        <f t="shared" si="53"/>
        <v>0.0009513717094</v>
      </c>
      <c r="R205" s="260">
        <f t="shared" si="53"/>
        <v>0.0004943965005</v>
      </c>
      <c r="S205" s="260">
        <f t="shared" si="53"/>
        <v>0.0008903925117</v>
      </c>
      <c r="T205" s="260">
        <f t="shared" si="53"/>
        <v>0.0003053101356</v>
      </c>
      <c r="U205" s="260">
        <f t="shared" si="53"/>
        <v>0.0003247585621</v>
      </c>
      <c r="V205" s="260">
        <f t="shared" si="53"/>
        <v>0.0003718363864</v>
      </c>
      <c r="W205" s="260">
        <f t="shared" si="53"/>
        <v>0.0004730231636</v>
      </c>
      <c r="X205" s="260">
        <f t="shared" si="53"/>
        <v>0.000233714188</v>
      </c>
      <c r="Y205" s="260">
        <f t="shared" si="53"/>
        <v>0.0004032252358</v>
      </c>
      <c r="Z205" s="260">
        <f t="shared" si="53"/>
        <v>0.0003800217801</v>
      </c>
      <c r="AA205" s="260">
        <f t="shared" si="53"/>
        <v>0.0007471253116</v>
      </c>
      <c r="AB205" s="260">
        <f t="shared" si="53"/>
        <v>0.0005256660048</v>
      </c>
      <c r="AC205" s="260">
        <f t="shared" si="53"/>
        <v>0.0004126840919</v>
      </c>
      <c r="AD205" s="260">
        <f t="shared" si="53"/>
        <v>0.0002833529734</v>
      </c>
      <c r="AE205" s="260">
        <f t="shared" si="53"/>
        <v>0.0004145469329</v>
      </c>
      <c r="AF205" s="260">
        <f t="shared" si="53"/>
        <v>0.0003056764657</v>
      </c>
      <c r="AG205" s="260">
        <f t="shared" si="53"/>
        <v>0.0006654049112</v>
      </c>
      <c r="AH205" s="260">
        <f t="shared" si="53"/>
        <v>0.000295067137</v>
      </c>
      <c r="AI205" s="260">
        <f t="shared" si="53"/>
        <v>0.000167266585</v>
      </c>
      <c r="AJ205" s="260">
        <f t="shared" si="53"/>
        <v>0.000205269835</v>
      </c>
      <c r="AK205" s="260">
        <f t="shared" si="53"/>
        <v>0.0003875975752</v>
      </c>
      <c r="AL205" s="260">
        <f t="shared" si="53"/>
        <v>0.0004790777752</v>
      </c>
      <c r="AM205" s="260">
        <f t="shared" si="53"/>
        <v>0.0004790777752</v>
      </c>
      <c r="AN205" s="260">
        <f t="shared" si="53"/>
        <v>0.0004790777752</v>
      </c>
      <c r="AO205" s="260">
        <f t="shared" si="53"/>
        <v>0.0002177390612</v>
      </c>
      <c r="AP205" s="260">
        <f t="shared" si="53"/>
        <v>0.0003091840319</v>
      </c>
      <c r="AQ205" s="260">
        <f t="shared" si="53"/>
        <v>0.0001694900048</v>
      </c>
      <c r="AR205" s="260">
        <f t="shared" si="53"/>
        <v>0.0001729843439</v>
      </c>
      <c r="AS205" s="260">
        <f t="shared" si="53"/>
        <v>0.0003471487285</v>
      </c>
      <c r="AT205" s="260">
        <f t="shared" si="53"/>
        <v>0.0004337268462</v>
      </c>
      <c r="AU205" s="260">
        <f t="shared" si="53"/>
        <v>0.0009329989649</v>
      </c>
      <c r="AV205" s="260">
        <f t="shared" si="53"/>
        <v>0.0006518981281</v>
      </c>
      <c r="AW205" s="259"/>
    </row>
    <row r="206">
      <c r="A206" s="122"/>
      <c r="B206" s="123"/>
      <c r="C206" s="123"/>
      <c r="D206" s="123"/>
      <c r="E206" s="212" t="s">
        <v>685</v>
      </c>
      <c r="F206" s="213" t="s">
        <v>72</v>
      </c>
      <c r="G206" s="485" t="s">
        <v>161</v>
      </c>
      <c r="H206" s="240" t="s">
        <v>162</v>
      </c>
      <c r="I206" s="260">
        <f t="shared" ref="I206:AV206" si="54">I181/((I190*(1-$H198))+(1-I190))</f>
        <v>0.01008419156</v>
      </c>
      <c r="J206" s="260">
        <f t="shared" si="54"/>
        <v>0.008522638103</v>
      </c>
      <c r="K206" s="260">
        <f t="shared" si="54"/>
        <v>0.01132966798</v>
      </c>
      <c r="L206" s="260">
        <f t="shared" si="54"/>
        <v>0.006335240655</v>
      </c>
      <c r="M206" s="260">
        <f t="shared" si="54"/>
        <v>0.008698700773</v>
      </c>
      <c r="N206" s="260">
        <f t="shared" si="54"/>
        <v>0.007259978548</v>
      </c>
      <c r="O206" s="260">
        <f t="shared" si="54"/>
        <v>0.008299603422</v>
      </c>
      <c r="P206" s="260">
        <f t="shared" si="54"/>
        <v>0.01070071248</v>
      </c>
      <c r="Q206" s="260">
        <f t="shared" si="54"/>
        <v>0.01082438761</v>
      </c>
      <c r="R206" s="260">
        <f t="shared" si="54"/>
        <v>0.004019414203</v>
      </c>
      <c r="S206" s="260">
        <f t="shared" si="54"/>
        <v>0.008566632747</v>
      </c>
      <c r="T206" s="260">
        <f t="shared" si="54"/>
        <v>0.00255351011</v>
      </c>
      <c r="U206" s="260">
        <f t="shared" si="54"/>
        <v>0.002903388592</v>
      </c>
      <c r="V206" s="260">
        <f t="shared" si="54"/>
        <v>0.003329352635</v>
      </c>
      <c r="W206" s="260">
        <f t="shared" si="54"/>
        <v>0.004206122472</v>
      </c>
      <c r="X206" s="260">
        <f t="shared" si="54"/>
        <v>0.002491076989</v>
      </c>
      <c r="Y206" s="260">
        <f t="shared" si="54"/>
        <v>0.003103548343</v>
      </c>
      <c r="Z206" s="260">
        <f t="shared" si="54"/>
        <v>0.003364719671</v>
      </c>
      <c r="AA206" s="260">
        <f t="shared" si="54"/>
        <v>0.005084504531</v>
      </c>
      <c r="AB206" s="260">
        <f t="shared" si="54"/>
        <v>0.003944501813</v>
      </c>
      <c r="AC206" s="260">
        <f t="shared" si="54"/>
        <v>0.003010558819</v>
      </c>
      <c r="AD206" s="260">
        <f t="shared" si="54"/>
        <v>0.001991663732</v>
      </c>
      <c r="AE206" s="260">
        <f t="shared" si="54"/>
        <v>0.003308405743</v>
      </c>
      <c r="AF206" s="260">
        <f t="shared" si="54"/>
        <v>0.002253113712</v>
      </c>
      <c r="AG206" s="260">
        <f t="shared" si="54"/>
        <v>0.006335240655</v>
      </c>
      <c r="AH206" s="260">
        <f t="shared" si="54"/>
        <v>0.002612137167</v>
      </c>
      <c r="AI206" s="260">
        <f t="shared" si="54"/>
        <v>0.001638464901</v>
      </c>
      <c r="AJ206" s="260">
        <f t="shared" si="54"/>
        <v>0.001569219303</v>
      </c>
      <c r="AK206" s="260">
        <f t="shared" si="54"/>
        <v>0.003756719412</v>
      </c>
      <c r="AL206" s="260">
        <f t="shared" si="54"/>
        <v>0.00506817488</v>
      </c>
      <c r="AM206" s="260">
        <f t="shared" si="54"/>
        <v>0.00506817488</v>
      </c>
      <c r="AN206" s="260">
        <f t="shared" si="54"/>
        <v>0.00506817488</v>
      </c>
      <c r="AO206" s="260">
        <f t="shared" si="54"/>
        <v>0.002217023003</v>
      </c>
      <c r="AP206" s="260">
        <f t="shared" si="54"/>
        <v>0.002934594868</v>
      </c>
      <c r="AQ206" s="260">
        <f t="shared" si="54"/>
        <v>0.001299885691</v>
      </c>
      <c r="AR206" s="260">
        <f t="shared" si="54"/>
        <v>0.001667010142</v>
      </c>
      <c r="AS206" s="260">
        <f t="shared" si="54"/>
        <v>0.002978961482</v>
      </c>
      <c r="AT206" s="260">
        <f t="shared" si="54"/>
        <v>0.003461497645</v>
      </c>
      <c r="AU206" s="260">
        <f t="shared" si="54"/>
        <v>0.009002515991</v>
      </c>
      <c r="AV206" s="260">
        <f t="shared" si="54"/>
        <v>0.005996211329</v>
      </c>
      <c r="AW206" s="259"/>
    </row>
    <row r="207">
      <c r="A207" s="122"/>
      <c r="B207" s="123"/>
      <c r="C207" s="123"/>
      <c r="D207" s="123"/>
      <c r="E207" s="212" t="s">
        <v>686</v>
      </c>
      <c r="F207" s="213" t="s">
        <v>72</v>
      </c>
      <c r="G207" s="485" t="s">
        <v>161</v>
      </c>
      <c r="H207" s="240" t="s">
        <v>162</v>
      </c>
      <c r="I207" s="260">
        <f t="shared" ref="I207:AV207" si="55">I182/((I191*(1-$H199))+(1-I191))</f>
        <v>0.01116871721</v>
      </c>
      <c r="J207" s="260">
        <f t="shared" si="55"/>
        <v>0.007739557175</v>
      </c>
      <c r="K207" s="260">
        <f t="shared" si="55"/>
        <v>0.009307897445</v>
      </c>
      <c r="L207" s="260">
        <f t="shared" si="55"/>
        <v>0.004118837143</v>
      </c>
      <c r="M207" s="260">
        <f t="shared" si="55"/>
        <v>0.007342543843</v>
      </c>
      <c r="N207" s="260">
        <f t="shared" si="55"/>
        <v>0.007748440737</v>
      </c>
      <c r="O207" s="260">
        <f t="shared" si="55"/>
        <v>0.008528855712</v>
      </c>
      <c r="P207" s="260">
        <f t="shared" si="55"/>
        <v>0.01248961222</v>
      </c>
      <c r="Q207" s="260">
        <f t="shared" si="55"/>
        <v>0.01518290891</v>
      </c>
      <c r="R207" s="260">
        <f t="shared" si="55"/>
        <v>0.003027179469</v>
      </c>
      <c r="S207" s="260">
        <f t="shared" si="55"/>
        <v>0.006833772591</v>
      </c>
      <c r="T207" s="260">
        <f t="shared" si="55"/>
        <v>0.00136381193</v>
      </c>
      <c r="U207" s="260">
        <f t="shared" si="55"/>
        <v>0.00107218255</v>
      </c>
      <c r="V207" s="260">
        <f t="shared" si="55"/>
        <v>0.00313342186</v>
      </c>
      <c r="W207" s="260">
        <f t="shared" si="55"/>
        <v>0.004286502216</v>
      </c>
      <c r="X207" s="260">
        <f t="shared" si="55"/>
        <v>0.003672820205</v>
      </c>
      <c r="Y207" s="260">
        <f t="shared" si="55"/>
        <v>0.001682067029</v>
      </c>
      <c r="Z207" s="260">
        <f t="shared" si="55"/>
        <v>0.001775293204</v>
      </c>
      <c r="AA207" s="260">
        <f t="shared" si="55"/>
        <v>0.002880465845</v>
      </c>
      <c r="AB207" s="260">
        <f t="shared" si="55"/>
        <v>0.001569866001</v>
      </c>
      <c r="AC207" s="260">
        <f t="shared" si="55"/>
        <v>0.001443506189</v>
      </c>
      <c r="AD207" s="260">
        <f t="shared" si="55"/>
        <v>0.000940165684</v>
      </c>
      <c r="AE207" s="260">
        <f t="shared" si="55"/>
        <v>0.001557551633</v>
      </c>
      <c r="AF207" s="260">
        <f t="shared" si="55"/>
        <v>0.0009315068657</v>
      </c>
      <c r="AG207" s="260">
        <f t="shared" si="55"/>
        <v>0.004118837143</v>
      </c>
      <c r="AH207" s="260">
        <f t="shared" si="55"/>
        <v>0.001308937038</v>
      </c>
      <c r="AI207" s="260">
        <f t="shared" si="55"/>
        <v>0.0009775408388</v>
      </c>
      <c r="AJ207" s="260">
        <f t="shared" si="55"/>
        <v>0.0008060380859</v>
      </c>
      <c r="AK207" s="260">
        <f t="shared" si="55"/>
        <v>0.002429155992</v>
      </c>
      <c r="AL207" s="260">
        <f t="shared" si="55"/>
        <v>0.004531125785</v>
      </c>
      <c r="AM207" s="260">
        <f t="shared" si="55"/>
        <v>0.004531125785</v>
      </c>
      <c r="AN207" s="260">
        <f t="shared" si="55"/>
        <v>0.004531125785</v>
      </c>
      <c r="AO207" s="260">
        <f t="shared" si="55"/>
        <v>0.001381282571</v>
      </c>
      <c r="AP207" s="260">
        <f t="shared" si="55"/>
        <v>0.001419056945</v>
      </c>
      <c r="AQ207" s="260">
        <f t="shared" si="55"/>
        <v>0.0007439969438</v>
      </c>
      <c r="AR207" s="260">
        <f t="shared" si="55"/>
        <v>0.0008787569774</v>
      </c>
      <c r="AS207" s="260">
        <f t="shared" si="55"/>
        <v>0.002157401657</v>
      </c>
      <c r="AT207" s="260">
        <f t="shared" si="55"/>
        <v>0.001670974975</v>
      </c>
      <c r="AU207" s="260">
        <f t="shared" si="55"/>
        <v>0.007592841422</v>
      </c>
      <c r="AV207" s="260">
        <f t="shared" si="55"/>
        <v>0.005498118833</v>
      </c>
      <c r="AW207" s="259"/>
    </row>
    <row r="208">
      <c r="A208" s="122"/>
      <c r="B208" s="123"/>
      <c r="C208" s="123"/>
      <c r="D208" s="123"/>
      <c r="E208" s="212" t="s">
        <v>687</v>
      </c>
      <c r="F208" s="213" t="s">
        <v>72</v>
      </c>
      <c r="G208" s="485" t="s">
        <v>161</v>
      </c>
      <c r="H208" s="240" t="s">
        <v>162</v>
      </c>
      <c r="I208" s="260">
        <f t="shared" ref="I208:AV208" si="56">I183/((I192*(1-$H200))+(1-I192))</f>
        <v>0.001730721964</v>
      </c>
      <c r="J208" s="260">
        <f t="shared" si="56"/>
        <v>0.0009932640079</v>
      </c>
      <c r="K208" s="260">
        <f t="shared" si="56"/>
        <v>0.00246413381</v>
      </c>
      <c r="L208" s="260">
        <f t="shared" si="56"/>
        <v>0.0008039050358</v>
      </c>
      <c r="M208" s="260">
        <f t="shared" si="56"/>
        <v>0.0007143488628</v>
      </c>
      <c r="N208" s="260">
        <f t="shared" si="56"/>
        <v>0.001903272899</v>
      </c>
      <c r="O208" s="260">
        <f t="shared" si="56"/>
        <v>0.002272728736</v>
      </c>
      <c r="P208" s="260">
        <f t="shared" si="56"/>
        <v>0.002062795778</v>
      </c>
      <c r="Q208" s="260">
        <f t="shared" si="56"/>
        <v>0.003060540622</v>
      </c>
      <c r="R208" s="260">
        <f t="shared" si="56"/>
        <v>0.0002367036793</v>
      </c>
      <c r="S208" s="260">
        <f t="shared" si="56"/>
        <v>0.0007048570459</v>
      </c>
      <c r="T208" s="260">
        <f t="shared" si="56"/>
        <v>0.0003109901969</v>
      </c>
      <c r="U208" s="260">
        <f t="shared" si="56"/>
        <v>0.0002216015574</v>
      </c>
      <c r="V208" s="260">
        <f t="shared" si="56"/>
        <v>0.000548793634</v>
      </c>
      <c r="W208" s="260">
        <f t="shared" si="56"/>
        <v>0.0004147329269</v>
      </c>
      <c r="X208" s="260">
        <f t="shared" si="56"/>
        <v>0.0006239825925</v>
      </c>
      <c r="Y208" s="260">
        <f t="shared" si="56"/>
        <v>0.0004313650153</v>
      </c>
      <c r="Z208" s="260">
        <f t="shared" si="56"/>
        <v>0.0003362125045</v>
      </c>
      <c r="AA208" s="260">
        <f t="shared" si="56"/>
        <v>0.0005771941925</v>
      </c>
      <c r="AB208" s="260">
        <f t="shared" si="56"/>
        <v>0.0003409846053</v>
      </c>
      <c r="AC208" s="260">
        <f t="shared" si="56"/>
        <v>0.0004311865634</v>
      </c>
      <c r="AD208" s="260">
        <f t="shared" si="56"/>
        <v>0.0002246046471</v>
      </c>
      <c r="AE208" s="260">
        <f t="shared" si="56"/>
        <v>0.0002827886148</v>
      </c>
      <c r="AF208" s="260">
        <f t="shared" si="56"/>
        <v>0.0001702546475</v>
      </c>
      <c r="AG208" s="260">
        <f t="shared" si="56"/>
        <v>0.0008039050358</v>
      </c>
      <c r="AH208" s="260">
        <f t="shared" si="56"/>
        <v>0.000418508068</v>
      </c>
      <c r="AI208" s="260">
        <f t="shared" si="56"/>
        <v>0.0003589806151</v>
      </c>
      <c r="AJ208" s="260">
        <f t="shared" si="56"/>
        <v>0.0001755355265</v>
      </c>
      <c r="AK208" s="260">
        <f t="shared" si="56"/>
        <v>0.0004446619358</v>
      </c>
      <c r="AL208" s="260">
        <f t="shared" si="56"/>
        <v>0.0006914851987</v>
      </c>
      <c r="AM208" s="260">
        <f t="shared" si="56"/>
        <v>0.0006914851987</v>
      </c>
      <c r="AN208" s="260">
        <f t="shared" si="56"/>
        <v>0.0006914851987</v>
      </c>
      <c r="AO208" s="260">
        <f t="shared" si="56"/>
        <v>0.0002403138298</v>
      </c>
      <c r="AP208" s="260">
        <f t="shared" si="56"/>
        <v>0.0002836404418</v>
      </c>
      <c r="AQ208" s="260">
        <f t="shared" si="56"/>
        <v>0.0001905775623</v>
      </c>
      <c r="AR208" s="260">
        <f t="shared" si="56"/>
        <v>0.0002444120166</v>
      </c>
      <c r="AS208" s="260">
        <f t="shared" si="56"/>
        <v>0.0003464086607</v>
      </c>
      <c r="AT208" s="260">
        <f t="shared" si="56"/>
        <v>0.0003467695494</v>
      </c>
      <c r="AU208" s="260">
        <f t="shared" si="56"/>
        <v>0.0008321684977</v>
      </c>
      <c r="AV208" s="260">
        <f t="shared" si="56"/>
        <v>0.001823363338</v>
      </c>
      <c r="AW208" s="259"/>
    </row>
    <row r="209">
      <c r="A209" s="122"/>
      <c r="B209" s="123"/>
      <c r="C209" s="123"/>
      <c r="D209" s="123"/>
      <c r="E209" s="199" t="s">
        <v>189</v>
      </c>
      <c r="F209" s="200" t="s">
        <v>72</v>
      </c>
      <c r="G209" s="487" t="s">
        <v>161</v>
      </c>
      <c r="H209" s="228" t="s">
        <v>162</v>
      </c>
      <c r="I209" s="590">
        <f t="shared" ref="I209:AV209" si="57">SUM(I203:I208)</f>
        <v>0.03230572869</v>
      </c>
      <c r="J209" s="590">
        <f t="shared" si="57"/>
        <v>0.02399557246</v>
      </c>
      <c r="K209" s="590">
        <f t="shared" si="57"/>
        <v>0.03614147318</v>
      </c>
      <c r="L209" s="590">
        <f t="shared" si="57"/>
        <v>0.01625152788</v>
      </c>
      <c r="M209" s="590">
        <f t="shared" si="57"/>
        <v>0.02287121485</v>
      </c>
      <c r="N209" s="590">
        <f t="shared" si="57"/>
        <v>0.02509278218</v>
      </c>
      <c r="O209" s="590">
        <f t="shared" si="57"/>
        <v>0.02926313487</v>
      </c>
      <c r="P209" s="590">
        <f t="shared" si="57"/>
        <v>0.03634723248</v>
      </c>
      <c r="Q209" s="590">
        <f t="shared" si="57"/>
        <v>0.04444164503</v>
      </c>
      <c r="R209" s="590">
        <f t="shared" si="57"/>
        <v>0.009526774044</v>
      </c>
      <c r="S209" s="590">
        <f t="shared" si="57"/>
        <v>0.02178506744</v>
      </c>
      <c r="T209" s="590">
        <f t="shared" si="57"/>
        <v>0.006032811223</v>
      </c>
      <c r="U209" s="590">
        <f t="shared" si="57"/>
        <v>0.006198934515</v>
      </c>
      <c r="V209" s="590">
        <f t="shared" si="57"/>
        <v>0.01001584016</v>
      </c>
      <c r="W209" s="590">
        <f t="shared" si="57"/>
        <v>0.01199410407</v>
      </c>
      <c r="X209" s="590">
        <f t="shared" si="57"/>
        <v>0.009494386558</v>
      </c>
      <c r="Y209" s="590">
        <f t="shared" si="57"/>
        <v>0.007844981796</v>
      </c>
      <c r="Z209" s="590">
        <f t="shared" si="57"/>
        <v>0.007703190814</v>
      </c>
      <c r="AA209" s="590">
        <f t="shared" si="57"/>
        <v>0.01266400078</v>
      </c>
      <c r="AB209" s="590">
        <f t="shared" si="57"/>
        <v>0.008281624695</v>
      </c>
      <c r="AC209" s="590">
        <f t="shared" si="57"/>
        <v>0.006835039032</v>
      </c>
      <c r="AD209" s="590">
        <f t="shared" si="57"/>
        <v>0.004990924412</v>
      </c>
      <c r="AE209" s="590">
        <f t="shared" si="57"/>
        <v>0.007330344102</v>
      </c>
      <c r="AF209" s="590">
        <f t="shared" si="57"/>
        <v>0.00479969361</v>
      </c>
      <c r="AG209" s="590">
        <f t="shared" si="57"/>
        <v>0.01625152788</v>
      </c>
      <c r="AH209" s="590">
        <f t="shared" si="57"/>
        <v>0.00786888488</v>
      </c>
      <c r="AI209" s="590">
        <f t="shared" si="57"/>
        <v>0.004256648369</v>
      </c>
      <c r="AJ209" s="590">
        <f t="shared" si="57"/>
        <v>0.003591427026</v>
      </c>
      <c r="AK209" s="590">
        <f t="shared" si="57"/>
        <v>0.009565419196</v>
      </c>
      <c r="AL209" s="590">
        <f t="shared" si="57"/>
        <v>0.01427980368</v>
      </c>
      <c r="AM209" s="590">
        <f t="shared" si="57"/>
        <v>0.01427980368</v>
      </c>
      <c r="AN209" s="590">
        <f t="shared" si="57"/>
        <v>0.01427980368</v>
      </c>
      <c r="AO209" s="590">
        <f t="shared" si="57"/>
        <v>0.005359206308</v>
      </c>
      <c r="AP209" s="590">
        <f t="shared" si="57"/>
        <v>0.006194459078</v>
      </c>
      <c r="AQ209" s="590">
        <f t="shared" si="57"/>
        <v>0.003313446898</v>
      </c>
      <c r="AR209" s="590">
        <f t="shared" si="57"/>
        <v>0.004146377134</v>
      </c>
      <c r="AS209" s="590">
        <f t="shared" si="57"/>
        <v>0.007669394495</v>
      </c>
      <c r="AT209" s="590">
        <f t="shared" si="57"/>
        <v>0.007754608748</v>
      </c>
      <c r="AU209" s="590">
        <f t="shared" si="57"/>
        <v>0.02344427769</v>
      </c>
      <c r="AV209" s="590">
        <f t="shared" si="57"/>
        <v>0.02138190712</v>
      </c>
      <c r="AW209" s="274"/>
    </row>
    <row r="210">
      <c r="A210" s="123"/>
      <c r="B210" s="123"/>
      <c r="C210" s="131"/>
      <c r="D210" s="131"/>
      <c r="E210" s="269"/>
      <c r="F210" s="141"/>
      <c r="G210" s="448"/>
      <c r="H210" s="599"/>
      <c r="I210" s="600"/>
      <c r="J210" s="600"/>
      <c r="K210" s="600"/>
      <c r="L210" s="600"/>
      <c r="M210" s="600"/>
      <c r="N210" s="600"/>
      <c r="O210" s="600"/>
      <c r="P210" s="600"/>
      <c r="Q210" s="600"/>
      <c r="R210" s="600"/>
      <c r="S210" s="600"/>
      <c r="T210" s="226"/>
      <c r="U210" s="600"/>
      <c r="V210" s="600"/>
      <c r="W210" s="600"/>
      <c r="X210" s="600"/>
      <c r="Y210" s="600"/>
      <c r="Z210" s="600"/>
      <c r="AA210" s="600"/>
      <c r="AB210" s="600"/>
      <c r="AC210" s="600"/>
      <c r="AD210" s="600"/>
      <c r="AE210" s="600"/>
      <c r="AF210" s="600"/>
      <c r="AG210" s="600"/>
      <c r="AH210" s="600"/>
      <c r="AI210" s="600"/>
      <c r="AJ210" s="600"/>
      <c r="AK210" s="600"/>
      <c r="AL210" s="600"/>
      <c r="AM210" s="600"/>
      <c r="AN210" s="600"/>
      <c r="AO210" s="600"/>
      <c r="AP210" s="600"/>
      <c r="AQ210" s="600"/>
      <c r="AR210" s="600"/>
      <c r="AS210" s="600"/>
      <c r="AT210" s="600"/>
      <c r="AU210" s="600"/>
      <c r="AV210" s="600"/>
      <c r="AW210" s="130"/>
    </row>
    <row r="211">
      <c r="A211" s="123"/>
      <c r="B211" s="123"/>
      <c r="C211" s="450" t="s">
        <v>393</v>
      </c>
      <c r="F211" s="141"/>
      <c r="G211" s="448"/>
      <c r="H211" s="599"/>
      <c r="I211" s="600"/>
      <c r="J211" s="600"/>
      <c r="K211" s="600"/>
      <c r="L211" s="600"/>
      <c r="M211" s="600"/>
      <c r="N211" s="600"/>
      <c r="O211" s="600"/>
      <c r="P211" s="600"/>
      <c r="Q211" s="600"/>
      <c r="R211" s="600"/>
      <c r="S211" s="600"/>
      <c r="T211" s="226"/>
      <c r="U211" s="600"/>
      <c r="V211" s="600"/>
      <c r="W211" s="600"/>
      <c r="X211" s="600"/>
      <c r="Y211" s="600"/>
      <c r="Z211" s="600"/>
      <c r="AA211" s="600"/>
      <c r="AB211" s="600"/>
      <c r="AC211" s="600"/>
      <c r="AD211" s="600"/>
      <c r="AE211" s="600"/>
      <c r="AF211" s="600"/>
      <c r="AG211" s="600"/>
      <c r="AH211" s="600"/>
      <c r="AI211" s="600"/>
      <c r="AJ211" s="600"/>
      <c r="AK211" s="600"/>
      <c r="AL211" s="600"/>
      <c r="AM211" s="600"/>
      <c r="AN211" s="600"/>
      <c r="AO211" s="600"/>
      <c r="AP211" s="600"/>
      <c r="AQ211" s="600"/>
      <c r="AR211" s="600"/>
      <c r="AS211" s="600"/>
      <c r="AT211" s="600"/>
      <c r="AU211" s="600"/>
      <c r="AV211" s="600"/>
      <c r="AW211" s="130"/>
    </row>
    <row r="212">
      <c r="A212" s="123"/>
      <c r="B212" s="123"/>
      <c r="C212" s="131"/>
      <c r="D212" s="131"/>
      <c r="E212" s="254" t="s">
        <v>394</v>
      </c>
      <c r="F212" s="193" t="s">
        <v>72</v>
      </c>
      <c r="G212" s="193" t="s">
        <v>161</v>
      </c>
      <c r="H212" s="236" t="s">
        <v>162</v>
      </c>
      <c r="I212" s="196">
        <f t="shared" ref="I212:AV212" si="58">I203/I$209</f>
        <v>0.1558869647</v>
      </c>
      <c r="J212" s="196">
        <f t="shared" si="58"/>
        <v>0.1062179537</v>
      </c>
      <c r="K212" s="196">
        <f t="shared" si="58"/>
        <v>0.1871773671</v>
      </c>
      <c r="L212" s="196">
        <f t="shared" si="58"/>
        <v>0.09698190635</v>
      </c>
      <c r="M212" s="196">
        <f t="shared" si="58"/>
        <v>0.1146607732</v>
      </c>
      <c r="N212" s="196">
        <f t="shared" si="58"/>
        <v>0.1583464553</v>
      </c>
      <c r="O212" s="196">
        <f t="shared" si="58"/>
        <v>0.1475301464</v>
      </c>
      <c r="P212" s="196">
        <f t="shared" si="58"/>
        <v>0.1597067864</v>
      </c>
      <c r="Q212" s="196">
        <f t="shared" si="58"/>
        <v>0.1873356802</v>
      </c>
      <c r="R212" s="196">
        <f t="shared" si="58"/>
        <v>0.07364430087</v>
      </c>
      <c r="S212" s="196">
        <f t="shared" si="58"/>
        <v>0.1086932328</v>
      </c>
      <c r="T212" s="196">
        <f t="shared" si="58"/>
        <v>0.07521518652</v>
      </c>
      <c r="U212" s="196">
        <f t="shared" si="58"/>
        <v>0.07348469349</v>
      </c>
      <c r="V212" s="196">
        <f t="shared" si="58"/>
        <v>0.06195461813</v>
      </c>
      <c r="W212" s="196">
        <f t="shared" si="58"/>
        <v>0.08739036971</v>
      </c>
      <c r="X212" s="196">
        <f t="shared" si="58"/>
        <v>0.09019385094</v>
      </c>
      <c r="Y212" s="196">
        <f t="shared" si="58"/>
        <v>0.08368088309</v>
      </c>
      <c r="Z212" s="196">
        <f t="shared" si="58"/>
        <v>0.08621848592</v>
      </c>
      <c r="AA212" s="196">
        <f t="shared" si="58"/>
        <v>0.08787686328</v>
      </c>
      <c r="AB212" s="196">
        <f t="shared" si="58"/>
        <v>0.08311657043</v>
      </c>
      <c r="AC212" s="196">
        <f t="shared" si="58"/>
        <v>0.0984089698</v>
      </c>
      <c r="AD212" s="196">
        <f t="shared" si="58"/>
        <v>0.07948373641</v>
      </c>
      <c r="AE212" s="196">
        <f t="shared" si="58"/>
        <v>0.08992036093</v>
      </c>
      <c r="AF212" s="196">
        <f t="shared" si="58"/>
        <v>0.08435514798</v>
      </c>
      <c r="AG212" s="196">
        <f t="shared" si="58"/>
        <v>0.09698190635</v>
      </c>
      <c r="AH212" s="196">
        <f t="shared" si="58"/>
        <v>0.06526455329</v>
      </c>
      <c r="AI212" s="196">
        <f t="shared" si="58"/>
        <v>0.07553827978</v>
      </c>
      <c r="AJ212" s="196">
        <f t="shared" si="58"/>
        <v>0.07551996536</v>
      </c>
      <c r="AK212" s="196">
        <f t="shared" si="58"/>
        <v>0.09886639936</v>
      </c>
      <c r="AL212" s="196">
        <f t="shared" si="58"/>
        <v>0.1019021948</v>
      </c>
      <c r="AM212" s="196">
        <f t="shared" si="58"/>
        <v>0.1019021948</v>
      </c>
      <c r="AN212" s="196">
        <f t="shared" si="58"/>
        <v>0.1019021948</v>
      </c>
      <c r="AO212" s="196">
        <f t="shared" si="58"/>
        <v>0.07875908405</v>
      </c>
      <c r="AP212" s="196">
        <f t="shared" si="58"/>
        <v>0.08400224514</v>
      </c>
      <c r="AQ212" s="196">
        <f t="shared" si="58"/>
        <v>0.08491827336</v>
      </c>
      <c r="AR212" s="196">
        <f t="shared" si="58"/>
        <v>0.06301977814</v>
      </c>
      <c r="AS212" s="196">
        <f t="shared" si="58"/>
        <v>0.09984596557</v>
      </c>
      <c r="AT212" s="196">
        <f t="shared" si="58"/>
        <v>0.08537350254</v>
      </c>
      <c r="AU212" s="196">
        <f t="shared" si="58"/>
        <v>0.09887474183</v>
      </c>
      <c r="AV212" s="196">
        <f t="shared" si="58"/>
        <v>0.1530990998</v>
      </c>
      <c r="AW212" s="256"/>
    </row>
    <row r="213">
      <c r="A213" s="123"/>
      <c r="B213" s="123"/>
      <c r="C213" s="131"/>
      <c r="D213" s="131"/>
      <c r="E213" s="257" t="s">
        <v>395</v>
      </c>
      <c r="F213" s="213" t="s">
        <v>72</v>
      </c>
      <c r="G213" s="213" t="s">
        <v>161</v>
      </c>
      <c r="H213" s="240" t="s">
        <v>162</v>
      </c>
      <c r="I213" s="217">
        <f t="shared" ref="I213:AV213" si="59">I204/I$209</f>
        <v>0.1055741014</v>
      </c>
      <c r="J213" s="217">
        <f t="shared" si="59"/>
        <v>0.1411213042</v>
      </c>
      <c r="K213" s="217">
        <f t="shared" si="59"/>
        <v>0.1431864564</v>
      </c>
      <c r="L213" s="217">
        <f t="shared" si="59"/>
        <v>0.1693401384</v>
      </c>
      <c r="M213" s="217">
        <f t="shared" si="59"/>
        <v>0.1176138225</v>
      </c>
      <c r="N213" s="217">
        <f t="shared" si="59"/>
        <v>0.1408437125</v>
      </c>
      <c r="O213" s="217">
        <f t="shared" si="59"/>
        <v>0.1718831469</v>
      </c>
      <c r="P213" s="217">
        <f t="shared" si="59"/>
        <v>0.1211566968</v>
      </c>
      <c r="Q213" s="217">
        <f t="shared" si="59"/>
        <v>0.1371895745</v>
      </c>
      <c r="R213" s="217">
        <f t="shared" si="59"/>
        <v>0.1099519704</v>
      </c>
      <c r="S213" s="217">
        <f t="shared" si="59"/>
        <v>0.111155182</v>
      </c>
      <c r="T213" s="217">
        <f t="shared" si="59"/>
        <v>0.1732906585</v>
      </c>
      <c r="U213" s="217">
        <f t="shared" si="59"/>
        <v>0.1970461935</v>
      </c>
      <c r="V213" s="217">
        <f t="shared" si="59"/>
        <v>0.2008726239</v>
      </c>
      <c r="W213" s="217">
        <f t="shared" si="59"/>
        <v>0.1305269733</v>
      </c>
      <c r="X213" s="217">
        <f t="shared" si="59"/>
        <v>0.1702540009</v>
      </c>
      <c r="Y213" s="217">
        <f t="shared" si="59"/>
        <v>0.199911384</v>
      </c>
      <c r="Z213" s="217">
        <f t="shared" si="59"/>
        <v>0.1535449705</v>
      </c>
      <c r="AA213" s="217">
        <f t="shared" si="59"/>
        <v>0.1786037663</v>
      </c>
      <c r="AB213" s="217">
        <f t="shared" si="59"/>
        <v>0.1463802181</v>
      </c>
      <c r="AC213" s="217">
        <f t="shared" si="59"/>
        <v>0.1264768519</v>
      </c>
      <c r="AD213" s="217">
        <f t="shared" si="59"/>
        <v>0.2313078619</v>
      </c>
      <c r="AE213" s="217">
        <f t="shared" si="59"/>
        <v>0.1511394248</v>
      </c>
      <c r="AF213" s="217">
        <f t="shared" si="59"/>
        <v>0.1529812347</v>
      </c>
      <c r="AG213" s="217">
        <f t="shared" si="59"/>
        <v>0.1693401384</v>
      </c>
      <c r="AH213" s="217">
        <f t="shared" si="59"/>
        <v>0.3457511776</v>
      </c>
      <c r="AI213" s="217">
        <f t="shared" si="59"/>
        <v>0.1862628681</v>
      </c>
      <c r="AJ213" s="217">
        <f t="shared" si="59"/>
        <v>0.1570795752</v>
      </c>
      <c r="AK213" s="217">
        <f t="shared" si="59"/>
        <v>0.1674349753</v>
      </c>
      <c r="AL213" s="217">
        <f t="shared" si="59"/>
        <v>0.1438953048</v>
      </c>
      <c r="AM213" s="217">
        <f t="shared" si="59"/>
        <v>0.1438953048</v>
      </c>
      <c r="AN213" s="217">
        <f t="shared" si="59"/>
        <v>0.1438953048</v>
      </c>
      <c r="AO213" s="217">
        <f t="shared" si="59"/>
        <v>0.1643455417</v>
      </c>
      <c r="AP213" s="217">
        <f t="shared" si="59"/>
        <v>0.117465353</v>
      </c>
      <c r="AQ213" s="217">
        <f t="shared" si="59"/>
        <v>0.1895683035</v>
      </c>
      <c r="AR213" s="217">
        <f t="shared" si="59"/>
        <v>0.2223410599</v>
      </c>
      <c r="AS213" s="217">
        <f t="shared" si="59"/>
        <v>0.1400000833</v>
      </c>
      <c r="AT213" s="217">
        <f t="shared" si="59"/>
        <v>0.1521162011</v>
      </c>
      <c r="AU213" s="217">
        <f t="shared" si="59"/>
        <v>0.1179693378</v>
      </c>
      <c r="AV213" s="217">
        <f t="shared" si="59"/>
        <v>0.1935638733</v>
      </c>
      <c r="AW213" s="259"/>
    </row>
    <row r="214">
      <c r="A214" s="123"/>
      <c r="B214" s="123"/>
      <c r="C214" s="131"/>
      <c r="D214" s="131"/>
      <c r="E214" s="257" t="s">
        <v>396</v>
      </c>
      <c r="F214" s="213" t="s">
        <v>72</v>
      </c>
      <c r="G214" s="213" t="s">
        <v>161</v>
      </c>
      <c r="H214" s="240" t="s">
        <v>162</v>
      </c>
      <c r="I214" s="217">
        <f t="shared" ref="I214:AV214" si="60">I205/I$209</f>
        <v>0.02709759941</v>
      </c>
      <c r="J214" s="217">
        <f t="shared" si="60"/>
        <v>0.03355060978</v>
      </c>
      <c r="K214" s="217">
        <f t="shared" si="60"/>
        <v>0.03043425128</v>
      </c>
      <c r="L214" s="217">
        <f t="shared" si="60"/>
        <v>0.04094414482</v>
      </c>
      <c r="M214" s="217">
        <f t="shared" si="60"/>
        <v>0.03511921834</v>
      </c>
      <c r="N214" s="217">
        <f t="shared" si="60"/>
        <v>0.02684342781</v>
      </c>
      <c r="O214" s="217">
        <f t="shared" si="60"/>
        <v>0.02784775868</v>
      </c>
      <c r="P214" s="217">
        <f t="shared" si="60"/>
        <v>0.02436228631</v>
      </c>
      <c r="Q214" s="217">
        <f t="shared" si="60"/>
        <v>0.02140721183</v>
      </c>
      <c r="R214" s="217">
        <f t="shared" si="60"/>
        <v>0.05189547881</v>
      </c>
      <c r="S214" s="217">
        <f t="shared" si="60"/>
        <v>0.04087168949</v>
      </c>
      <c r="T214" s="217">
        <f t="shared" si="60"/>
        <v>0.05060826939</v>
      </c>
      <c r="U214" s="217">
        <f t="shared" si="60"/>
        <v>0.0523894165</v>
      </c>
      <c r="V214" s="217">
        <f t="shared" si="60"/>
        <v>0.03712483231</v>
      </c>
      <c r="W214" s="217">
        <f t="shared" si="60"/>
        <v>0.03943797393</v>
      </c>
      <c r="X214" s="217">
        <f t="shared" si="60"/>
        <v>0.02461603881</v>
      </c>
      <c r="Y214" s="217">
        <f t="shared" si="60"/>
        <v>0.05139912956</v>
      </c>
      <c r="Z214" s="217">
        <f t="shared" si="60"/>
        <v>0.04933303475</v>
      </c>
      <c r="AA214" s="217">
        <f t="shared" si="60"/>
        <v>0.05899599381</v>
      </c>
      <c r="AB214" s="217">
        <f t="shared" si="60"/>
        <v>0.06347377769</v>
      </c>
      <c r="AC214" s="217">
        <f t="shared" si="60"/>
        <v>0.06037772278</v>
      </c>
      <c r="AD214" s="217">
        <f t="shared" si="60"/>
        <v>0.05677364553</v>
      </c>
      <c r="AE214" s="217">
        <f t="shared" si="60"/>
        <v>0.05655217915</v>
      </c>
      <c r="AF214" s="217">
        <f t="shared" si="60"/>
        <v>0.06368666223</v>
      </c>
      <c r="AG214" s="217">
        <f t="shared" si="60"/>
        <v>0.04094414482</v>
      </c>
      <c r="AH214" s="217">
        <f t="shared" si="60"/>
        <v>0.03749796082</v>
      </c>
      <c r="AI214" s="217">
        <f t="shared" si="60"/>
        <v>0.03929537291</v>
      </c>
      <c r="AJ214" s="217">
        <f t="shared" si="60"/>
        <v>0.05715550767</v>
      </c>
      <c r="AK214" s="217">
        <f t="shared" si="60"/>
        <v>0.04052070978</v>
      </c>
      <c r="AL214" s="217">
        <f t="shared" si="60"/>
        <v>0.03354932505</v>
      </c>
      <c r="AM214" s="217">
        <f t="shared" si="60"/>
        <v>0.03354932505</v>
      </c>
      <c r="AN214" s="217">
        <f t="shared" si="60"/>
        <v>0.03354932505</v>
      </c>
      <c r="AO214" s="217">
        <f t="shared" si="60"/>
        <v>0.04062897538</v>
      </c>
      <c r="AP214" s="217">
        <f t="shared" si="60"/>
        <v>0.04991299934</v>
      </c>
      <c r="AQ214" s="217">
        <f t="shared" si="60"/>
        <v>0.05115217176</v>
      </c>
      <c r="AR214" s="217">
        <f t="shared" si="60"/>
        <v>0.04171939461</v>
      </c>
      <c r="AS214" s="217">
        <f t="shared" si="60"/>
        <v>0.04526416378</v>
      </c>
      <c r="AT214" s="217">
        <f t="shared" si="60"/>
        <v>0.05593149316</v>
      </c>
      <c r="AU214" s="217">
        <f t="shared" si="60"/>
        <v>0.03979644744</v>
      </c>
      <c r="AV214" s="217">
        <f t="shared" si="60"/>
        <v>0.03048830604</v>
      </c>
      <c r="AW214" s="259"/>
    </row>
    <row r="215">
      <c r="A215" s="123"/>
      <c r="B215" s="123"/>
      <c r="C215" s="131"/>
      <c r="D215" s="131"/>
      <c r="E215" s="257" t="s">
        <v>397</v>
      </c>
      <c r="F215" s="213" t="s">
        <v>72</v>
      </c>
      <c r="G215" s="213" t="s">
        <v>161</v>
      </c>
      <c r="H215" s="240" t="s">
        <v>162</v>
      </c>
      <c r="I215" s="217">
        <f t="shared" ref="I215:AV215" si="61">I206/I$209</f>
        <v>0.3121487107</v>
      </c>
      <c r="J215" s="217">
        <f t="shared" si="61"/>
        <v>0.3551754441</v>
      </c>
      <c r="K215" s="217">
        <f t="shared" si="61"/>
        <v>0.3134810782</v>
      </c>
      <c r="L215" s="217">
        <f t="shared" si="61"/>
        <v>0.3898243107</v>
      </c>
      <c r="M215" s="217">
        <f t="shared" si="61"/>
        <v>0.3803340063</v>
      </c>
      <c r="N215" s="217">
        <f t="shared" si="61"/>
        <v>0.2893253724</v>
      </c>
      <c r="O215" s="217">
        <f t="shared" si="61"/>
        <v>0.2836197646</v>
      </c>
      <c r="P215" s="217">
        <f t="shared" si="61"/>
        <v>0.2944024</v>
      </c>
      <c r="Q215" s="217">
        <f t="shared" si="61"/>
        <v>0.2435640626</v>
      </c>
      <c r="R215" s="217">
        <f t="shared" si="61"/>
        <v>0.4219071623</v>
      </c>
      <c r="S215" s="217">
        <f t="shared" si="61"/>
        <v>0.3932341624</v>
      </c>
      <c r="T215" s="217">
        <f t="shared" si="61"/>
        <v>0.4232703486</v>
      </c>
      <c r="U215" s="217">
        <f t="shared" si="61"/>
        <v>0.468368973</v>
      </c>
      <c r="V215" s="217">
        <f t="shared" si="61"/>
        <v>0.3324087227</v>
      </c>
      <c r="W215" s="217">
        <f t="shared" si="61"/>
        <v>0.350682506</v>
      </c>
      <c r="X215" s="217">
        <f t="shared" si="61"/>
        <v>0.262373664</v>
      </c>
      <c r="Y215" s="217">
        <f t="shared" si="61"/>
        <v>0.3956093747</v>
      </c>
      <c r="Z215" s="217">
        <f t="shared" si="61"/>
        <v>0.4367955762</v>
      </c>
      <c r="AA215" s="217">
        <f t="shared" si="61"/>
        <v>0.4014927525</v>
      </c>
      <c r="AB215" s="217">
        <f t="shared" si="61"/>
        <v>0.4762956495</v>
      </c>
      <c r="AC215" s="217">
        <f t="shared" si="61"/>
        <v>0.4404596382</v>
      </c>
      <c r="AD215" s="217">
        <f t="shared" si="61"/>
        <v>0.399057082</v>
      </c>
      <c r="AE215" s="217">
        <f t="shared" si="61"/>
        <v>0.45133021</v>
      </c>
      <c r="AF215" s="217">
        <f t="shared" si="61"/>
        <v>0.4694286542</v>
      </c>
      <c r="AG215" s="217">
        <f t="shared" si="61"/>
        <v>0.3898243107</v>
      </c>
      <c r="AH215" s="217">
        <f t="shared" si="61"/>
        <v>0.3319577306</v>
      </c>
      <c r="AI215" s="217">
        <f t="shared" si="61"/>
        <v>0.3849190159</v>
      </c>
      <c r="AJ215" s="217">
        <f t="shared" si="61"/>
        <v>0.4369347592</v>
      </c>
      <c r="AK215" s="217">
        <f t="shared" si="61"/>
        <v>0.3927396525</v>
      </c>
      <c r="AL215" s="217">
        <f t="shared" si="61"/>
        <v>0.3549190867</v>
      </c>
      <c r="AM215" s="217">
        <f t="shared" si="61"/>
        <v>0.3549190867</v>
      </c>
      <c r="AN215" s="217">
        <f t="shared" si="61"/>
        <v>0.3549190867</v>
      </c>
      <c r="AO215" s="217">
        <f t="shared" si="61"/>
        <v>0.4136849517</v>
      </c>
      <c r="AP215" s="217">
        <f t="shared" si="61"/>
        <v>0.4737451375</v>
      </c>
      <c r="AQ215" s="217">
        <f t="shared" si="61"/>
        <v>0.3923061786</v>
      </c>
      <c r="AR215" s="217">
        <f t="shared" si="61"/>
        <v>0.4020401639</v>
      </c>
      <c r="AS215" s="217">
        <f t="shared" si="61"/>
        <v>0.3884219914</v>
      </c>
      <c r="AT215" s="217">
        <f t="shared" si="61"/>
        <v>0.4463794057</v>
      </c>
      <c r="AU215" s="217">
        <f t="shared" si="61"/>
        <v>0.3839963043</v>
      </c>
      <c r="AV215" s="217">
        <f t="shared" si="61"/>
        <v>0.2804338871</v>
      </c>
      <c r="AW215" s="259"/>
    </row>
    <row r="216">
      <c r="A216" s="123"/>
      <c r="B216" s="123"/>
      <c r="C216" s="131"/>
      <c r="D216" s="131"/>
      <c r="E216" s="257" t="s">
        <v>398</v>
      </c>
      <c r="F216" s="213" t="s">
        <v>72</v>
      </c>
      <c r="G216" s="213" t="s">
        <v>161</v>
      </c>
      <c r="H216" s="240" t="s">
        <v>162</v>
      </c>
      <c r="I216" s="217">
        <f t="shared" ref="I216:AV216" si="62">I207/I$209</f>
        <v>0.3457194022</v>
      </c>
      <c r="J216" s="217">
        <f t="shared" si="62"/>
        <v>0.3225410516</v>
      </c>
      <c r="K216" s="217">
        <f t="shared" si="62"/>
        <v>0.2575406209</v>
      </c>
      <c r="L216" s="217">
        <f t="shared" si="62"/>
        <v>0.2534430715</v>
      </c>
      <c r="M216" s="217">
        <f t="shared" si="62"/>
        <v>0.3210386458</v>
      </c>
      <c r="N216" s="217">
        <f t="shared" si="62"/>
        <v>0.3087916151</v>
      </c>
      <c r="O216" s="217">
        <f t="shared" si="62"/>
        <v>0.2914539317</v>
      </c>
      <c r="P216" s="217">
        <f t="shared" si="62"/>
        <v>0.3436193451</v>
      </c>
      <c r="Q216" s="217">
        <f t="shared" si="62"/>
        <v>0.3416369692</v>
      </c>
      <c r="R216" s="217">
        <f t="shared" si="62"/>
        <v>0.3177549352</v>
      </c>
      <c r="S216" s="217">
        <f t="shared" si="62"/>
        <v>0.3136906787</v>
      </c>
      <c r="T216" s="217">
        <f t="shared" si="62"/>
        <v>0.2260657394</v>
      </c>
      <c r="U216" s="217">
        <f t="shared" si="62"/>
        <v>0.1729623934</v>
      </c>
      <c r="V216" s="217">
        <f t="shared" si="62"/>
        <v>0.3128466319</v>
      </c>
      <c r="W216" s="217">
        <f t="shared" si="62"/>
        <v>0.3573841107</v>
      </c>
      <c r="X216" s="217">
        <f t="shared" si="62"/>
        <v>0.3868412333</v>
      </c>
      <c r="Y216" s="217">
        <f t="shared" si="62"/>
        <v>0.2144131207</v>
      </c>
      <c r="Z216" s="217">
        <f t="shared" si="62"/>
        <v>0.2304620574</v>
      </c>
      <c r="AA216" s="217">
        <f t="shared" si="62"/>
        <v>0.2274530691</v>
      </c>
      <c r="AB216" s="217">
        <f t="shared" si="62"/>
        <v>0.1895601478</v>
      </c>
      <c r="AC216" s="217">
        <f t="shared" si="62"/>
        <v>0.2111920916</v>
      </c>
      <c r="AD216" s="217">
        <f t="shared" si="62"/>
        <v>0.1883750597</v>
      </c>
      <c r="AE216" s="217">
        <f t="shared" si="62"/>
        <v>0.2124800161</v>
      </c>
      <c r="AF216" s="217">
        <f t="shared" si="62"/>
        <v>0.1940763185</v>
      </c>
      <c r="AG216" s="217">
        <f t="shared" si="62"/>
        <v>0.2534430715</v>
      </c>
      <c r="AH216" s="217">
        <f t="shared" si="62"/>
        <v>0.1663433965</v>
      </c>
      <c r="AI216" s="217">
        <f t="shared" si="62"/>
        <v>0.229650362</v>
      </c>
      <c r="AJ216" s="217">
        <f t="shared" si="62"/>
        <v>0.2244339311</v>
      </c>
      <c r="AK216" s="217">
        <f t="shared" si="62"/>
        <v>0.2539518595</v>
      </c>
      <c r="AL216" s="217">
        <f t="shared" si="62"/>
        <v>0.3173100896</v>
      </c>
      <c r="AM216" s="217">
        <f t="shared" si="62"/>
        <v>0.3173100896</v>
      </c>
      <c r="AN216" s="217">
        <f t="shared" si="62"/>
        <v>0.3173100896</v>
      </c>
      <c r="AO216" s="217">
        <f t="shared" si="62"/>
        <v>0.2577401375</v>
      </c>
      <c r="AP216" s="217">
        <f t="shared" si="62"/>
        <v>0.2290848849</v>
      </c>
      <c r="AQ216" s="217">
        <f t="shared" si="62"/>
        <v>0.2245386652</v>
      </c>
      <c r="AR216" s="217">
        <f t="shared" si="62"/>
        <v>0.2119336831</v>
      </c>
      <c r="AS216" s="217">
        <f t="shared" si="62"/>
        <v>0.2813001285</v>
      </c>
      <c r="AT216" s="217">
        <f t="shared" si="62"/>
        <v>0.2154815322</v>
      </c>
      <c r="AU216" s="217">
        <f t="shared" si="62"/>
        <v>0.3238675774</v>
      </c>
      <c r="AV216" s="217">
        <f t="shared" si="62"/>
        <v>0.2571388418</v>
      </c>
      <c r="AW216" s="259"/>
    </row>
    <row r="217">
      <c r="A217" s="123"/>
      <c r="B217" s="123"/>
      <c r="C217" s="131"/>
      <c r="D217" s="131"/>
      <c r="E217" s="272" t="s">
        <v>399</v>
      </c>
      <c r="F217" s="200" t="s">
        <v>72</v>
      </c>
      <c r="G217" s="200" t="s">
        <v>161</v>
      </c>
      <c r="H217" s="228" t="s">
        <v>162</v>
      </c>
      <c r="I217" s="203">
        <f t="shared" ref="I217:AV217" si="63">I208/I$209</f>
        <v>0.05357322166</v>
      </c>
      <c r="J217" s="203">
        <f t="shared" si="63"/>
        <v>0.04139363667</v>
      </c>
      <c r="K217" s="203">
        <f t="shared" si="63"/>
        <v>0.06818022602</v>
      </c>
      <c r="L217" s="203">
        <f t="shared" si="63"/>
        <v>0.04946642812</v>
      </c>
      <c r="M217" s="203">
        <f t="shared" si="63"/>
        <v>0.03123353383</v>
      </c>
      <c r="N217" s="203">
        <f t="shared" si="63"/>
        <v>0.07584941698</v>
      </c>
      <c r="O217" s="203">
        <f t="shared" si="63"/>
        <v>0.07766525172</v>
      </c>
      <c r="P217" s="203">
        <f t="shared" si="63"/>
        <v>0.05675248533</v>
      </c>
      <c r="Q217" s="203">
        <f t="shared" si="63"/>
        <v>0.06886650168</v>
      </c>
      <c r="R217" s="203">
        <f t="shared" si="63"/>
        <v>0.02484615235</v>
      </c>
      <c r="S217" s="203">
        <f t="shared" si="63"/>
        <v>0.03235505458</v>
      </c>
      <c r="T217" s="203">
        <f t="shared" si="63"/>
        <v>0.0515497975</v>
      </c>
      <c r="U217" s="203">
        <f t="shared" si="63"/>
        <v>0.03574833011</v>
      </c>
      <c r="V217" s="203">
        <f t="shared" si="63"/>
        <v>0.05479257108</v>
      </c>
      <c r="W217" s="203">
        <f t="shared" si="63"/>
        <v>0.0345780664</v>
      </c>
      <c r="X217" s="203">
        <f t="shared" si="63"/>
        <v>0.06572121208</v>
      </c>
      <c r="Y217" s="203">
        <f t="shared" si="63"/>
        <v>0.05498610788</v>
      </c>
      <c r="Z217" s="203">
        <f t="shared" si="63"/>
        <v>0.04364587515</v>
      </c>
      <c r="AA217" s="203">
        <f t="shared" si="63"/>
        <v>0.04557755503</v>
      </c>
      <c r="AB217" s="203">
        <f t="shared" si="63"/>
        <v>0.04117363656</v>
      </c>
      <c r="AC217" s="203">
        <f t="shared" si="63"/>
        <v>0.06308472583</v>
      </c>
      <c r="AD217" s="203">
        <f t="shared" si="63"/>
        <v>0.04500261445</v>
      </c>
      <c r="AE217" s="203">
        <f t="shared" si="63"/>
        <v>0.03857780902</v>
      </c>
      <c r="AF217" s="203">
        <f t="shared" si="63"/>
        <v>0.03547198244</v>
      </c>
      <c r="AG217" s="203">
        <f t="shared" si="63"/>
        <v>0.04946642812</v>
      </c>
      <c r="AH217" s="203">
        <f t="shared" si="63"/>
        <v>0.05318518118</v>
      </c>
      <c r="AI217" s="203">
        <f t="shared" si="63"/>
        <v>0.08433410137</v>
      </c>
      <c r="AJ217" s="203">
        <f t="shared" si="63"/>
        <v>0.04887626149</v>
      </c>
      <c r="AK217" s="203">
        <f t="shared" si="63"/>
        <v>0.04648640343</v>
      </c>
      <c r="AL217" s="203">
        <f t="shared" si="63"/>
        <v>0.04842399898</v>
      </c>
      <c r="AM217" s="203">
        <f t="shared" si="63"/>
        <v>0.04842399898</v>
      </c>
      <c r="AN217" s="203">
        <f t="shared" si="63"/>
        <v>0.04842399898</v>
      </c>
      <c r="AO217" s="203">
        <f t="shared" si="63"/>
        <v>0.04484130971</v>
      </c>
      <c r="AP217" s="203">
        <f t="shared" si="63"/>
        <v>0.04578938018</v>
      </c>
      <c r="AQ217" s="203">
        <f t="shared" si="63"/>
        <v>0.05751640759</v>
      </c>
      <c r="AR217" s="203">
        <f t="shared" si="63"/>
        <v>0.05894592042</v>
      </c>
      <c r="AS217" s="203">
        <f t="shared" si="63"/>
        <v>0.04516766752</v>
      </c>
      <c r="AT217" s="203">
        <f t="shared" si="63"/>
        <v>0.04471786529</v>
      </c>
      <c r="AU217" s="203">
        <f t="shared" si="63"/>
        <v>0.03549559123</v>
      </c>
      <c r="AV217" s="203">
        <f t="shared" si="63"/>
        <v>0.08527599188</v>
      </c>
      <c r="AW217" s="274"/>
    </row>
    <row r="218">
      <c r="A218" s="123"/>
      <c r="B218" s="123"/>
      <c r="C218" s="131"/>
      <c r="D218" s="131"/>
      <c r="E218" s="269"/>
      <c r="F218" s="141"/>
      <c r="G218" s="448"/>
      <c r="H218" s="599"/>
      <c r="I218" s="600"/>
      <c r="J218" s="600"/>
      <c r="K218" s="600"/>
      <c r="L218" s="600"/>
      <c r="M218" s="600"/>
      <c r="N218" s="600"/>
      <c r="O218" s="600"/>
      <c r="P218" s="600"/>
      <c r="Q218" s="600"/>
      <c r="R218" s="600"/>
      <c r="S218" s="600"/>
      <c r="T218" s="226"/>
      <c r="U218" s="600"/>
      <c r="V218" s="600"/>
      <c r="W218" s="600"/>
      <c r="X218" s="600"/>
      <c r="Y218" s="600"/>
      <c r="Z218" s="600"/>
      <c r="AA218" s="600"/>
      <c r="AB218" s="600"/>
      <c r="AC218" s="600"/>
      <c r="AD218" s="600"/>
      <c r="AE218" s="600"/>
      <c r="AF218" s="600"/>
      <c r="AG218" s="600"/>
      <c r="AH218" s="600"/>
      <c r="AI218" s="600"/>
      <c r="AJ218" s="600"/>
      <c r="AK218" s="600"/>
      <c r="AL218" s="600"/>
      <c r="AM218" s="600"/>
      <c r="AN218" s="600"/>
      <c r="AO218" s="600"/>
      <c r="AP218" s="600"/>
      <c r="AQ218" s="600"/>
      <c r="AR218" s="600"/>
      <c r="AS218" s="600"/>
      <c r="AT218" s="600"/>
      <c r="AU218" s="600"/>
      <c r="AV218" s="600"/>
      <c r="AW218" s="130"/>
    </row>
    <row r="219">
      <c r="A219" s="117" t="s">
        <v>688</v>
      </c>
      <c r="B219" s="7"/>
      <c r="C219" s="7"/>
      <c r="D219" s="7"/>
      <c r="E219" s="7"/>
      <c r="F219" s="7"/>
      <c r="G219" s="7"/>
      <c r="H219" s="172"/>
      <c r="I219" s="232"/>
      <c r="J219" s="232"/>
      <c r="K219" s="232"/>
      <c r="L219" s="232"/>
      <c r="M219" s="232"/>
      <c r="N219" s="232"/>
      <c r="O219" s="232"/>
      <c r="P219" s="232"/>
      <c r="Q219" s="232"/>
      <c r="R219" s="232"/>
      <c r="S219" s="232"/>
      <c r="T219" s="232"/>
      <c r="U219" s="232"/>
      <c r="V219" s="232"/>
      <c r="W219" s="232"/>
      <c r="X219" s="232"/>
      <c r="Y219" s="232"/>
      <c r="Z219" s="232"/>
      <c r="AA219" s="232"/>
      <c r="AB219" s="232"/>
      <c r="AC219" s="232"/>
      <c r="AD219" s="232"/>
      <c r="AE219" s="232"/>
      <c r="AF219" s="232"/>
      <c r="AG219" s="232"/>
      <c r="AH219" s="232"/>
      <c r="AI219" s="232"/>
      <c r="AJ219" s="232"/>
      <c r="AK219" s="232"/>
      <c r="AL219" s="232"/>
      <c r="AM219" s="232"/>
      <c r="AN219" s="232"/>
      <c r="AO219" s="232"/>
      <c r="AP219" s="232"/>
      <c r="AQ219" s="232"/>
      <c r="AR219" s="232"/>
      <c r="AS219" s="232"/>
      <c r="AT219" s="232"/>
      <c r="AU219" s="232"/>
      <c r="AV219" s="232"/>
      <c r="AW219" s="175"/>
    </row>
    <row r="220">
      <c r="A220" s="122"/>
      <c r="B220" s="123"/>
      <c r="C220" s="123"/>
      <c r="D220" s="123"/>
      <c r="E220" s="124"/>
      <c r="F220" s="125"/>
      <c r="G220" s="176"/>
      <c r="H220" s="127"/>
      <c r="I220" s="177"/>
      <c r="J220" s="177"/>
      <c r="K220" s="177"/>
      <c r="L220" s="177"/>
      <c r="M220" s="177"/>
      <c r="N220" s="177"/>
      <c r="O220" s="177"/>
      <c r="P220" s="177"/>
      <c r="Q220" s="177"/>
      <c r="R220" s="128"/>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7"/>
      <c r="AR220" s="177"/>
      <c r="AS220" s="177"/>
      <c r="AT220" s="177"/>
      <c r="AU220" s="177"/>
      <c r="AV220" s="177"/>
      <c r="AW220" s="130"/>
    </row>
    <row r="221">
      <c r="A221" s="122"/>
      <c r="B221" s="123"/>
      <c r="C221" s="450" t="s">
        <v>689</v>
      </c>
      <c r="F221" s="125"/>
      <c r="G221" s="132"/>
      <c r="H221" s="127"/>
      <c r="I221" s="128"/>
      <c r="J221" s="128"/>
      <c r="K221" s="128"/>
      <c r="L221" s="128"/>
      <c r="M221" s="128"/>
      <c r="N221" s="128"/>
      <c r="O221" s="128"/>
      <c r="P221" s="128"/>
      <c r="Q221" s="128"/>
      <c r="R221" s="128"/>
      <c r="S221" s="128"/>
      <c r="T221" s="317"/>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30"/>
    </row>
    <row r="222">
      <c r="A222" s="122"/>
      <c r="B222" s="123"/>
      <c r="C222" s="131"/>
      <c r="D222" s="131"/>
      <c r="E222" s="254" t="s">
        <v>690</v>
      </c>
      <c r="F222" s="193" t="str">
        <f>Inputs!F195</f>
        <v>%</v>
      </c>
      <c r="G222" s="194" t="str">
        <f>Inputs!G195</f>
        <v>input</v>
      </c>
      <c r="H222" s="255">
        <f>Inputs!H195</f>
        <v>-0.1</v>
      </c>
      <c r="I222" s="237" t="str">
        <f>Inputs!I195</f>
        <v>-</v>
      </c>
      <c r="J222" s="237" t="str">
        <f>Inputs!J195</f>
        <v>-</v>
      </c>
      <c r="K222" s="237" t="str">
        <f>Inputs!K195</f>
        <v>-</v>
      </c>
      <c r="L222" s="237" t="str">
        <f>Inputs!L195</f>
        <v>-</v>
      </c>
      <c r="M222" s="237" t="str">
        <f>Inputs!M195</f>
        <v>-</v>
      </c>
      <c r="N222" s="237" t="str">
        <f>Inputs!N195</f>
        <v>-</v>
      </c>
      <c r="O222" s="237" t="str">
        <f>Inputs!O195</f>
        <v>-</v>
      </c>
      <c r="P222" s="237" t="str">
        <f>Inputs!P195</f>
        <v>-</v>
      </c>
      <c r="Q222" s="237" t="str">
        <f>Inputs!Q195</f>
        <v>-</v>
      </c>
      <c r="R222" s="237" t="str">
        <f>Inputs!R195</f>
        <v>-</v>
      </c>
      <c r="S222" s="237" t="str">
        <f>Inputs!S195</f>
        <v>-</v>
      </c>
      <c r="T222" s="383" t="str">
        <f>Inputs!T195</f>
        <v>-</v>
      </c>
      <c r="U222" s="237" t="str">
        <f>Inputs!U195</f>
        <v>-</v>
      </c>
      <c r="V222" s="237" t="str">
        <f>Inputs!V195</f>
        <v>-</v>
      </c>
      <c r="W222" s="237" t="str">
        <f>Inputs!W195</f>
        <v>-</v>
      </c>
      <c r="X222" s="237" t="str">
        <f>Inputs!X195</f>
        <v>-</v>
      </c>
      <c r="Y222" s="237" t="str">
        <f>Inputs!Y195</f>
        <v>-</v>
      </c>
      <c r="Z222" s="237" t="str">
        <f>Inputs!Z195</f>
        <v>-</v>
      </c>
      <c r="AA222" s="237" t="str">
        <f>Inputs!AA195</f>
        <v>-</v>
      </c>
      <c r="AB222" s="237" t="str">
        <f>Inputs!AB195</f>
        <v>-</v>
      </c>
      <c r="AC222" s="237" t="str">
        <f>Inputs!AC195</f>
        <v>-</v>
      </c>
      <c r="AD222" s="237" t="str">
        <f>Inputs!AD195</f>
        <v>-</v>
      </c>
      <c r="AE222" s="237" t="str">
        <f>Inputs!AE195</f>
        <v>-</v>
      </c>
      <c r="AF222" s="237" t="str">
        <f>Inputs!AF195</f>
        <v>-</v>
      </c>
      <c r="AG222" s="237" t="str">
        <f>Inputs!AG195</f>
        <v>-</v>
      </c>
      <c r="AH222" s="237" t="str">
        <f>Inputs!AH195</f>
        <v>-</v>
      </c>
      <c r="AI222" s="237" t="str">
        <f>Inputs!AI195</f>
        <v>-</v>
      </c>
      <c r="AJ222" s="237" t="str">
        <f>Inputs!AJ195</f>
        <v>-</v>
      </c>
      <c r="AK222" s="237" t="str">
        <f>Inputs!AK195</f>
        <v>-</v>
      </c>
      <c r="AL222" s="237" t="str">
        <f>Inputs!AL195</f>
        <v>-</v>
      </c>
      <c r="AM222" s="237" t="str">
        <f>Inputs!AM195</f>
        <v>-</v>
      </c>
      <c r="AN222" s="237" t="str">
        <f>Inputs!AN195</f>
        <v>-</v>
      </c>
      <c r="AO222" s="237" t="str">
        <f>Inputs!AO195</f>
        <v>-</v>
      </c>
      <c r="AP222" s="237" t="str">
        <f>Inputs!AP195</f>
        <v>-</v>
      </c>
      <c r="AQ222" s="237" t="str">
        <f>Inputs!AQ195</f>
        <v>-</v>
      </c>
      <c r="AR222" s="237" t="str">
        <f>Inputs!AR195</f>
        <v>-</v>
      </c>
      <c r="AS222" s="237" t="str">
        <f>Inputs!AS195</f>
        <v>-</v>
      </c>
      <c r="AT222" s="237" t="str">
        <f>Inputs!AT195</f>
        <v>-</v>
      </c>
      <c r="AU222" s="237" t="str">
        <f>Inputs!AU195</f>
        <v>-</v>
      </c>
      <c r="AV222" s="237" t="str">
        <f>Inputs!AV195</f>
        <v>-</v>
      </c>
      <c r="AW222" s="256"/>
    </row>
    <row r="223">
      <c r="A223" s="122"/>
      <c r="B223" s="123"/>
      <c r="C223" s="342"/>
      <c r="D223" s="342"/>
      <c r="E223" s="254" t="s">
        <v>691</v>
      </c>
      <c r="F223" s="193" t="s">
        <v>72</v>
      </c>
      <c r="G223" s="194" t="s">
        <v>161</v>
      </c>
      <c r="H223" s="236" t="s">
        <v>162</v>
      </c>
      <c r="I223" s="237">
        <f t="shared" ref="I223:AV223" si="64">I9*(1+$H222)</f>
        <v>0.0004780314</v>
      </c>
      <c r="J223" s="237">
        <f t="shared" si="64"/>
        <v>0.0002347605</v>
      </c>
      <c r="K223" s="237">
        <f t="shared" si="64"/>
        <v>0.0005391981</v>
      </c>
      <c r="L223" s="237">
        <f t="shared" si="64"/>
        <v>0.0001255743</v>
      </c>
      <c r="M223" s="237">
        <f t="shared" si="64"/>
        <v>0.0002547027</v>
      </c>
      <c r="N223" s="237">
        <f t="shared" si="64"/>
        <v>0.0003703185</v>
      </c>
      <c r="O223" s="237">
        <f t="shared" si="64"/>
        <v>0.0004017366</v>
      </c>
      <c r="P223" s="237">
        <f t="shared" si="64"/>
        <v>0.0005958081</v>
      </c>
      <c r="Q223" s="237">
        <f t="shared" si="64"/>
        <v>0.0006688161</v>
      </c>
      <c r="R223" s="237">
        <f t="shared" si="64"/>
        <v>0.00005589</v>
      </c>
      <c r="S223" s="237">
        <f t="shared" si="64"/>
        <v>0.0001887534</v>
      </c>
      <c r="T223" s="237">
        <f t="shared" si="64"/>
        <v>0.00005013</v>
      </c>
      <c r="U223" s="237">
        <f t="shared" si="64"/>
        <v>0.00005481</v>
      </c>
      <c r="V223" s="237">
        <f t="shared" si="64"/>
        <v>0.00005679</v>
      </c>
      <c r="W223" s="237">
        <f t="shared" si="64"/>
        <v>0.0001360485</v>
      </c>
      <c r="X223" s="237">
        <f t="shared" si="64"/>
        <v>0.0001256211</v>
      </c>
      <c r="Y223" s="237">
        <f t="shared" si="64"/>
        <v>0.00005841</v>
      </c>
      <c r="Z223" s="237">
        <f t="shared" si="64"/>
        <v>0.0000684</v>
      </c>
      <c r="AA223" s="237">
        <f t="shared" si="64"/>
        <v>0.0001048689</v>
      </c>
      <c r="AB223" s="237">
        <f t="shared" si="64"/>
        <v>0.00005535</v>
      </c>
      <c r="AC223" s="237">
        <f t="shared" si="64"/>
        <v>0.00005076</v>
      </c>
      <c r="AD223" s="237">
        <f t="shared" si="64"/>
        <v>0.00005355</v>
      </c>
      <c r="AE223" s="237">
        <f t="shared" si="64"/>
        <v>0.00006912</v>
      </c>
      <c r="AF223" s="237">
        <f t="shared" si="64"/>
        <v>0.00004788</v>
      </c>
      <c r="AG223" s="237">
        <f t="shared" si="64"/>
        <v>0.0001255743</v>
      </c>
      <c r="AH223" s="237">
        <f t="shared" si="64"/>
        <v>0.00005211</v>
      </c>
      <c r="AI223" s="237">
        <f t="shared" si="64"/>
        <v>0.00004905</v>
      </c>
      <c r="AJ223" s="237">
        <f t="shared" si="64"/>
        <v>0.00004257</v>
      </c>
      <c r="AK223" s="237">
        <f t="shared" si="64"/>
        <v>0.0001044531</v>
      </c>
      <c r="AL223" s="237">
        <f t="shared" si="64"/>
        <v>0.0001617066</v>
      </c>
      <c r="AM223" s="237">
        <f t="shared" si="64"/>
        <v>0.0001617066</v>
      </c>
      <c r="AN223" s="237">
        <f t="shared" si="64"/>
        <v>0.0001617066</v>
      </c>
      <c r="AO223" s="237">
        <f t="shared" si="64"/>
        <v>0.00006687</v>
      </c>
      <c r="AP223" s="237">
        <f t="shared" si="64"/>
        <v>0.00006264</v>
      </c>
      <c r="AQ223" s="237">
        <f t="shared" si="64"/>
        <v>0.00003519</v>
      </c>
      <c r="AR223" s="237">
        <f t="shared" si="64"/>
        <v>0.00002961</v>
      </c>
      <c r="AS223" s="237">
        <f t="shared" si="64"/>
        <v>0.0001026756</v>
      </c>
      <c r="AT223" s="237">
        <f t="shared" si="64"/>
        <v>0.00005859</v>
      </c>
      <c r="AU223" s="237">
        <f t="shared" si="64"/>
        <v>0.0002116584</v>
      </c>
      <c r="AV223" s="237">
        <f t="shared" si="64"/>
        <v>0.0003497634</v>
      </c>
      <c r="AW223" s="256"/>
    </row>
    <row r="224">
      <c r="A224" s="122"/>
      <c r="B224" s="123"/>
      <c r="C224" s="342"/>
      <c r="D224" s="342"/>
      <c r="E224" s="257" t="s">
        <v>692</v>
      </c>
      <c r="F224" s="213" t="s">
        <v>72</v>
      </c>
      <c r="G224" s="214" t="s">
        <v>161</v>
      </c>
      <c r="H224" s="240" t="s">
        <v>162</v>
      </c>
      <c r="I224" s="260">
        <f t="shared" ref="I224:AV224" si="65">SUM(I21,I37,I53)*(1+$H222)</f>
        <v>0.0002972196</v>
      </c>
      <c r="J224" s="260">
        <f t="shared" si="65"/>
        <v>0.0002633085</v>
      </c>
      <c r="K224" s="260">
        <f t="shared" si="65"/>
        <v>0.0003588237</v>
      </c>
      <c r="L224" s="260">
        <f t="shared" si="65"/>
        <v>0.0001956933</v>
      </c>
      <c r="M224" s="260">
        <f t="shared" si="65"/>
        <v>0.0002183895</v>
      </c>
      <c r="N224" s="260">
        <f t="shared" si="65"/>
        <v>0.0002903364</v>
      </c>
      <c r="O224" s="260">
        <f t="shared" si="65"/>
        <v>0.0003911076</v>
      </c>
      <c r="P224" s="260">
        <f t="shared" si="65"/>
        <v>0.0005019732</v>
      </c>
      <c r="Q224" s="260">
        <f t="shared" si="65"/>
        <v>0.0005123646</v>
      </c>
      <c r="R224" s="260">
        <f t="shared" si="65"/>
        <v>0.000055638</v>
      </c>
      <c r="S224" s="260">
        <f t="shared" si="65"/>
        <v>0.0001468494</v>
      </c>
      <c r="T224" s="260">
        <f t="shared" si="65"/>
        <v>0.000058905</v>
      </c>
      <c r="U224" s="260">
        <f t="shared" si="65"/>
        <v>0.000090549</v>
      </c>
      <c r="V224" s="260">
        <f t="shared" si="65"/>
        <v>0.0001178379</v>
      </c>
      <c r="W224" s="260">
        <f t="shared" si="65"/>
        <v>0.000090009</v>
      </c>
      <c r="X224" s="260">
        <f t="shared" si="65"/>
        <v>0.0001336545</v>
      </c>
      <c r="Y224" s="260">
        <f t="shared" si="65"/>
        <v>0.000062046</v>
      </c>
      <c r="Z224" s="260">
        <f t="shared" si="65"/>
        <v>0.000080883</v>
      </c>
      <c r="AA224" s="260">
        <f t="shared" si="65"/>
        <v>0.000080109</v>
      </c>
      <c r="AB224" s="260">
        <f t="shared" si="65"/>
        <v>0.00005085</v>
      </c>
      <c r="AC224" s="260">
        <f t="shared" si="65"/>
        <v>0.0000389988</v>
      </c>
      <c r="AD224" s="260">
        <f t="shared" si="65"/>
        <v>0.000044001</v>
      </c>
      <c r="AE224" s="260">
        <f t="shared" si="65"/>
        <v>0.000056151</v>
      </c>
      <c r="AF224" s="260">
        <f t="shared" si="65"/>
        <v>0.000034533</v>
      </c>
      <c r="AG224" s="260">
        <f t="shared" si="65"/>
        <v>0.0001956933</v>
      </c>
      <c r="AH224" s="260">
        <f t="shared" si="65"/>
        <v>0.0001982511</v>
      </c>
      <c r="AI224" s="260">
        <f t="shared" si="65"/>
        <v>0.000078075</v>
      </c>
      <c r="AJ224" s="260">
        <f t="shared" si="65"/>
        <v>0.0000315567</v>
      </c>
      <c r="AK224" s="260">
        <f t="shared" si="65"/>
        <v>0.0001165995</v>
      </c>
      <c r="AL224" s="260">
        <f t="shared" si="65"/>
        <v>0.0001699596</v>
      </c>
      <c r="AM224" s="260">
        <f t="shared" si="65"/>
        <v>0.0001699596</v>
      </c>
      <c r="AN224" s="260">
        <f t="shared" si="65"/>
        <v>0.0001699596</v>
      </c>
      <c r="AO224" s="260">
        <f t="shared" si="65"/>
        <v>0.000072729</v>
      </c>
      <c r="AP224" s="260">
        <f t="shared" si="65"/>
        <v>0.000059535</v>
      </c>
      <c r="AQ224" s="260">
        <f t="shared" si="65"/>
        <v>0.0000322884</v>
      </c>
      <c r="AR224" s="260">
        <f t="shared" si="65"/>
        <v>0.000072351</v>
      </c>
      <c r="AS224" s="260">
        <f t="shared" si="65"/>
        <v>0.000076527</v>
      </c>
      <c r="AT224" s="260">
        <f t="shared" si="65"/>
        <v>0.000058743</v>
      </c>
      <c r="AU224" s="260">
        <f t="shared" si="65"/>
        <v>0.0001797417</v>
      </c>
      <c r="AV224" s="260">
        <f t="shared" si="65"/>
        <v>0.0002350899</v>
      </c>
      <c r="AW224" s="259"/>
    </row>
    <row r="225">
      <c r="A225" s="122"/>
      <c r="B225" s="123"/>
      <c r="C225" s="342"/>
      <c r="D225" s="342"/>
      <c r="E225" s="257" t="s">
        <v>693</v>
      </c>
      <c r="F225" s="213" t="s">
        <v>72</v>
      </c>
      <c r="G225" s="214" t="s">
        <v>161</v>
      </c>
      <c r="H225" s="240" t="s">
        <v>162</v>
      </c>
      <c r="I225" s="260">
        <f t="shared" ref="I225:AV225" si="66">SUM(I89,I122)*(1+$H222)</f>
        <v>0.00005333726991</v>
      </c>
      <c r="J225" s="260">
        <f t="shared" si="66"/>
        <v>0.00004619072989</v>
      </c>
      <c r="K225" s="260">
        <f t="shared" si="66"/>
        <v>0.0000561080098</v>
      </c>
      <c r="L225" s="260">
        <f t="shared" si="66"/>
        <v>0.00003356333777</v>
      </c>
      <c r="M225" s="260">
        <f t="shared" si="66"/>
        <v>0.00005253618624</v>
      </c>
      <c r="N225" s="260">
        <f t="shared" si="66"/>
        <v>0.0000431959314</v>
      </c>
      <c r="O225" s="260">
        <f t="shared" si="66"/>
        <v>0.0000462968282</v>
      </c>
      <c r="P225" s="260">
        <f t="shared" si="66"/>
        <v>0.00006393351143</v>
      </c>
      <c r="Q225" s="260">
        <f t="shared" si="66"/>
        <v>0.00006703017633</v>
      </c>
      <c r="R225" s="260">
        <f t="shared" si="66"/>
        <v>0.00002004549594</v>
      </c>
      <c r="S225" s="260">
        <f t="shared" si="66"/>
        <v>0.00004480075782</v>
      </c>
      <c r="T225" s="260">
        <f t="shared" si="66"/>
        <v>0.00001643989736</v>
      </c>
      <c r="U225" s="260">
        <f t="shared" si="66"/>
        <v>0.0000175029586</v>
      </c>
      <c r="V225" s="260">
        <f t="shared" si="66"/>
        <v>0.00001768973465</v>
      </c>
      <c r="W225" s="260">
        <f t="shared" si="66"/>
        <v>0.00003178242191</v>
      </c>
      <c r="X225" s="260">
        <f t="shared" si="66"/>
        <v>0.0000242322375</v>
      </c>
      <c r="Y225" s="260">
        <f t="shared" si="66"/>
        <v>0.0000238255773</v>
      </c>
      <c r="Z225" s="260">
        <f t="shared" si="66"/>
        <v>0.00002246073607</v>
      </c>
      <c r="AA225" s="260">
        <f t="shared" si="66"/>
        <v>0.00003063900697</v>
      </c>
      <c r="AB225" s="260">
        <f t="shared" si="66"/>
        <v>0.00001823467296</v>
      </c>
      <c r="AC225" s="260">
        <f t="shared" si="66"/>
        <v>0.00001707755242</v>
      </c>
      <c r="AD225" s="260">
        <f t="shared" si="66"/>
        <v>0.00001498887059</v>
      </c>
      <c r="AE225" s="260">
        <f t="shared" si="66"/>
        <v>0.0000225594145</v>
      </c>
      <c r="AF225" s="260">
        <f t="shared" si="66"/>
        <v>0.00001575063889</v>
      </c>
      <c r="AG225" s="260">
        <f t="shared" si="66"/>
        <v>0.00003356333777</v>
      </c>
      <c r="AH225" s="260">
        <f t="shared" si="66"/>
        <v>0.00001655060361</v>
      </c>
      <c r="AI225" s="260">
        <f t="shared" si="66"/>
        <v>0.00001489681898</v>
      </c>
      <c r="AJ225" s="260">
        <f t="shared" si="66"/>
        <v>0.00001566106536</v>
      </c>
      <c r="AK225" s="260">
        <f t="shared" si="66"/>
        <v>0.00002860294397</v>
      </c>
      <c r="AL225" s="260">
        <f t="shared" si="66"/>
        <v>0.00003437261046</v>
      </c>
      <c r="AM225" s="260">
        <f t="shared" si="66"/>
        <v>0.00003437261046</v>
      </c>
      <c r="AN225" s="260">
        <f t="shared" si="66"/>
        <v>0.00003437261046</v>
      </c>
      <c r="AO225" s="260">
        <f t="shared" si="66"/>
        <v>0.00001960919512</v>
      </c>
      <c r="AP225" s="260">
        <f t="shared" si="66"/>
        <v>0.00002150655526</v>
      </c>
      <c r="AQ225" s="260">
        <f t="shared" si="66"/>
        <v>0.00001135914339</v>
      </c>
      <c r="AR225" s="260">
        <f t="shared" si="66"/>
        <v>0.00001141774679</v>
      </c>
      <c r="AS225" s="260">
        <f t="shared" si="66"/>
        <v>0.0000262953678</v>
      </c>
      <c r="AT225" s="260">
        <f t="shared" si="66"/>
        <v>0.00001946548576</v>
      </c>
      <c r="AU225" s="260">
        <f t="shared" si="66"/>
        <v>0.0000472928649</v>
      </c>
      <c r="AV225" s="260">
        <f t="shared" si="66"/>
        <v>0.00003841977085</v>
      </c>
      <c r="AW225" s="259"/>
    </row>
    <row r="226">
      <c r="A226" s="122"/>
      <c r="B226" s="123"/>
      <c r="C226" s="342"/>
      <c r="D226" s="342"/>
      <c r="E226" s="257" t="s">
        <v>694</v>
      </c>
      <c r="F226" s="213" t="s">
        <v>72</v>
      </c>
      <c r="G226" s="214" t="s">
        <v>161</v>
      </c>
      <c r="H226" s="240" t="s">
        <v>162</v>
      </c>
      <c r="I226" s="260">
        <f t="shared" ref="I226:AV226" si="67">SUM(I95,I130)*(1+$H222)</f>
        <v>0.0006832345103</v>
      </c>
      <c r="J226" s="260">
        <f t="shared" si="67"/>
        <v>0.0005926909009</v>
      </c>
      <c r="K226" s="260">
        <f t="shared" si="67"/>
        <v>0.0007181713168</v>
      </c>
      <c r="L226" s="260">
        <f t="shared" si="67"/>
        <v>0.0004324615783</v>
      </c>
      <c r="M226" s="260">
        <f t="shared" si="67"/>
        <v>0.0006767435528</v>
      </c>
      <c r="N226" s="260">
        <f t="shared" si="67"/>
        <v>0.0005533985352</v>
      </c>
      <c r="O226" s="260">
        <f t="shared" si="67"/>
        <v>0.0005895644964</v>
      </c>
      <c r="P226" s="260">
        <f t="shared" si="67"/>
        <v>0.0008133923151</v>
      </c>
      <c r="Q226" s="260">
        <f t="shared" si="67"/>
        <v>0.00085441664</v>
      </c>
      <c r="R226" s="260">
        <f t="shared" si="67"/>
        <v>0.000261190999</v>
      </c>
      <c r="S226" s="260">
        <f t="shared" si="67"/>
        <v>0.000579440109</v>
      </c>
      <c r="T226" s="260">
        <f t="shared" si="67"/>
        <v>0.0002136590253</v>
      </c>
      <c r="U226" s="260">
        <f t="shared" si="67"/>
        <v>0.00022831107</v>
      </c>
      <c r="V226" s="260">
        <f t="shared" si="67"/>
        <v>0.0002290499644</v>
      </c>
      <c r="W226" s="260">
        <f t="shared" si="67"/>
        <v>0.0004124219986</v>
      </c>
      <c r="X226" s="260">
        <f t="shared" si="67"/>
        <v>0.0003115529911</v>
      </c>
      <c r="Y226" s="260">
        <f t="shared" si="67"/>
        <v>0.0003166155595</v>
      </c>
      <c r="Z226" s="260">
        <f t="shared" si="67"/>
        <v>0.0002920984352</v>
      </c>
      <c r="AA226" s="260">
        <f t="shared" si="67"/>
        <v>0.0003983367259</v>
      </c>
      <c r="AB226" s="260">
        <f t="shared" si="67"/>
        <v>0.0002374960409</v>
      </c>
      <c r="AC226" s="260">
        <f t="shared" si="67"/>
        <v>0.0002227524482</v>
      </c>
      <c r="AD226" s="260">
        <f t="shared" si="67"/>
        <v>0.0001943821383</v>
      </c>
      <c r="AE226" s="260">
        <f t="shared" si="67"/>
        <v>0.000293686021</v>
      </c>
      <c r="AF226" s="260">
        <f t="shared" si="67"/>
        <v>0.0002050590984</v>
      </c>
      <c r="AG226" s="260">
        <f t="shared" si="67"/>
        <v>0.0004324615783</v>
      </c>
      <c r="AH226" s="260">
        <f t="shared" si="67"/>
        <v>0.0002153145931</v>
      </c>
      <c r="AI226" s="260">
        <f t="shared" si="67"/>
        <v>0.0001929356369</v>
      </c>
      <c r="AJ226" s="260">
        <f t="shared" si="67"/>
        <v>0.0002037396835</v>
      </c>
      <c r="AK226" s="260">
        <f t="shared" si="67"/>
        <v>0.0003709876956</v>
      </c>
      <c r="AL226" s="260">
        <f t="shared" si="67"/>
        <v>0.0004419866322</v>
      </c>
      <c r="AM226" s="260">
        <f t="shared" si="67"/>
        <v>0.0004419866322</v>
      </c>
      <c r="AN226" s="260">
        <f t="shared" si="67"/>
        <v>0.0004419866322</v>
      </c>
      <c r="AO226" s="260">
        <f t="shared" si="67"/>
        <v>0.000253206147</v>
      </c>
      <c r="AP226" s="260">
        <f t="shared" si="67"/>
        <v>0.0002800981083</v>
      </c>
      <c r="AQ226" s="260">
        <f t="shared" si="67"/>
        <v>0.0001476746742</v>
      </c>
      <c r="AR226" s="260">
        <f t="shared" si="67"/>
        <v>0.0001475698089</v>
      </c>
      <c r="AS226" s="260">
        <f t="shared" si="67"/>
        <v>0.0003406928246</v>
      </c>
      <c r="AT226" s="260">
        <f t="shared" si="67"/>
        <v>0.0002533191751</v>
      </c>
      <c r="AU226" s="260">
        <f t="shared" si="67"/>
        <v>0.0006108181877</v>
      </c>
      <c r="AV226" s="260">
        <f t="shared" si="67"/>
        <v>0.0004910668761</v>
      </c>
      <c r="AW226" s="259"/>
    </row>
    <row r="227">
      <c r="A227" s="122"/>
      <c r="B227" s="123"/>
      <c r="C227" s="342"/>
      <c r="D227" s="342"/>
      <c r="E227" s="257" t="s">
        <v>695</v>
      </c>
      <c r="F227" s="213" t="s">
        <v>72</v>
      </c>
      <c r="G227" s="214" t="s">
        <v>161</v>
      </c>
      <c r="H227" s="240" t="s">
        <v>162</v>
      </c>
      <c r="I227" s="260">
        <f t="shared" ref="I227:AV227" si="68">I155*(1+$H222)</f>
        <v>0.0005182666608</v>
      </c>
      <c r="J227" s="260">
        <f t="shared" si="68"/>
        <v>0.0003150714352</v>
      </c>
      <c r="K227" s="260">
        <f t="shared" si="68"/>
        <v>0.0003310076789</v>
      </c>
      <c r="L227" s="260">
        <f t="shared" si="68"/>
        <v>0.0001241767256</v>
      </c>
      <c r="M227" s="260">
        <f t="shared" si="68"/>
        <v>0.0002357636415</v>
      </c>
      <c r="N227" s="260">
        <f t="shared" si="68"/>
        <v>0.0003432454654</v>
      </c>
      <c r="O227" s="260">
        <f t="shared" si="68"/>
        <v>0.0003961223709</v>
      </c>
      <c r="P227" s="260">
        <f t="shared" si="68"/>
        <v>0.000488167204</v>
      </c>
      <c r="Q227" s="260">
        <f t="shared" si="68"/>
        <v>0.0004995101727</v>
      </c>
      <c r="R227" s="260">
        <f t="shared" si="68"/>
        <v>0.0001193775502</v>
      </c>
      <c r="S227" s="260">
        <f t="shared" si="68"/>
        <v>0.0002673933289</v>
      </c>
      <c r="T227" s="260">
        <f t="shared" si="68"/>
        <v>0.0000569683445</v>
      </c>
      <c r="U227" s="260">
        <f t="shared" si="68"/>
        <v>0.0000483696067</v>
      </c>
      <c r="V227" s="260">
        <f t="shared" si="68"/>
        <v>0.0001804513557</v>
      </c>
      <c r="W227" s="260">
        <f t="shared" si="68"/>
        <v>0.0002625886186</v>
      </c>
      <c r="X227" s="260">
        <f t="shared" si="68"/>
        <v>0.0002377706163</v>
      </c>
      <c r="Y227" s="260">
        <f t="shared" si="68"/>
        <v>0.0001127245337</v>
      </c>
      <c r="Z227" s="260">
        <f t="shared" si="68"/>
        <v>0.00006496118917</v>
      </c>
      <c r="AA227" s="260">
        <f t="shared" si="68"/>
        <v>0.0001409081579</v>
      </c>
      <c r="AB227" s="260">
        <f t="shared" si="68"/>
        <v>0.00005455030696</v>
      </c>
      <c r="AC227" s="260">
        <f t="shared" si="68"/>
        <v>0.00005462373737</v>
      </c>
      <c r="AD227" s="260">
        <f t="shared" si="68"/>
        <v>0.0000667962114</v>
      </c>
      <c r="AE227" s="260">
        <f t="shared" si="68"/>
        <v>0.00005307062887</v>
      </c>
      <c r="AF227" s="260">
        <f t="shared" si="68"/>
        <v>0.00004411064298</v>
      </c>
      <c r="AG227" s="260">
        <f t="shared" si="68"/>
        <v>0.0001241767256</v>
      </c>
      <c r="AH227" s="260">
        <f t="shared" si="68"/>
        <v>0.00008139041294</v>
      </c>
      <c r="AI227" s="260">
        <f t="shared" si="68"/>
        <v>0.00006969689705</v>
      </c>
      <c r="AJ227" s="260">
        <f t="shared" si="68"/>
        <v>0.00002793307518</v>
      </c>
      <c r="AK227" s="260">
        <f t="shared" si="68"/>
        <v>0.0001348558686</v>
      </c>
      <c r="AL227" s="260">
        <f t="shared" si="68"/>
        <v>0.0002170244963</v>
      </c>
      <c r="AM227" s="260">
        <f t="shared" si="68"/>
        <v>0.0002170244963</v>
      </c>
      <c r="AN227" s="260">
        <f t="shared" si="68"/>
        <v>0.0002170244963</v>
      </c>
      <c r="AO227" s="260">
        <f t="shared" si="68"/>
        <v>0.0000638018005</v>
      </c>
      <c r="AP227" s="260">
        <f t="shared" si="68"/>
        <v>0.00008180774858</v>
      </c>
      <c r="AQ227" s="260">
        <f t="shared" si="68"/>
        <v>0.00003894320857</v>
      </c>
      <c r="AR227" s="260">
        <f t="shared" si="68"/>
        <v>0.00006234241724</v>
      </c>
      <c r="AS227" s="260">
        <f t="shared" si="68"/>
        <v>0.0001543949994</v>
      </c>
      <c r="AT227" s="260">
        <f t="shared" si="68"/>
        <v>0.00005245920079</v>
      </c>
      <c r="AU227" s="260">
        <f t="shared" si="68"/>
        <v>0.0003119578382</v>
      </c>
      <c r="AV227" s="260">
        <f t="shared" si="68"/>
        <v>0.0003538762699</v>
      </c>
      <c r="AW227" s="259"/>
    </row>
    <row r="228">
      <c r="A228" s="122"/>
      <c r="B228" s="123"/>
      <c r="C228" s="342"/>
      <c r="D228" s="342"/>
      <c r="E228" s="257" t="s">
        <v>696</v>
      </c>
      <c r="F228" s="213" t="s">
        <v>72</v>
      </c>
      <c r="G228" s="214" t="s">
        <v>161</v>
      </c>
      <c r="H228" s="240" t="s">
        <v>162</v>
      </c>
      <c r="I228" s="260">
        <f t="shared" ref="I228:AV228" si="69">I163*(1+$H222)</f>
        <v>0.0002327094</v>
      </c>
      <c r="J228" s="260">
        <f t="shared" si="69"/>
        <v>0.0001249533</v>
      </c>
      <c r="K228" s="260">
        <f t="shared" si="69"/>
        <v>0.0002613474</v>
      </c>
      <c r="L228" s="260">
        <f t="shared" si="69"/>
        <v>0.0000981387</v>
      </c>
      <c r="M228" s="260">
        <f t="shared" si="69"/>
        <v>0.0000918108</v>
      </c>
      <c r="N228" s="260">
        <f t="shared" si="69"/>
        <v>0.0002332143</v>
      </c>
      <c r="O228" s="260">
        <f t="shared" si="69"/>
        <v>0.0002216538</v>
      </c>
      <c r="P228" s="260">
        <f t="shared" si="69"/>
        <v>0.0003097224</v>
      </c>
      <c r="Q228" s="260">
        <f t="shared" si="69"/>
        <v>0.0003243492</v>
      </c>
      <c r="R228" s="260">
        <f t="shared" si="69"/>
        <v>0.00002196</v>
      </c>
      <c r="S228" s="260">
        <f t="shared" si="69"/>
        <v>0.000072</v>
      </c>
      <c r="T228" s="260">
        <f t="shared" si="69"/>
        <v>0.0000306</v>
      </c>
      <c r="U228" s="260">
        <f t="shared" si="69"/>
        <v>0.00002385</v>
      </c>
      <c r="V228" s="260">
        <f t="shared" si="69"/>
        <v>0.00005004</v>
      </c>
      <c r="W228" s="260">
        <f t="shared" si="69"/>
        <v>0.00004473</v>
      </c>
      <c r="X228" s="260">
        <f t="shared" si="69"/>
        <v>0.00008307</v>
      </c>
      <c r="Y228" s="260">
        <f t="shared" si="69"/>
        <v>0.00003528</v>
      </c>
      <c r="Z228" s="260">
        <f t="shared" si="69"/>
        <v>0.00003483</v>
      </c>
      <c r="AA228" s="260">
        <f t="shared" si="69"/>
        <v>0.00004563</v>
      </c>
      <c r="AB228" s="260">
        <f t="shared" si="69"/>
        <v>0.00002448</v>
      </c>
      <c r="AC228" s="260">
        <f t="shared" si="69"/>
        <v>0.00002763</v>
      </c>
      <c r="AD228" s="260">
        <f t="shared" si="69"/>
        <v>0.00002115</v>
      </c>
      <c r="AE228" s="260">
        <f t="shared" si="69"/>
        <v>0.00002214</v>
      </c>
      <c r="AF228" s="260">
        <f t="shared" si="69"/>
        <v>0.00001782</v>
      </c>
      <c r="AG228" s="260">
        <f t="shared" si="69"/>
        <v>0.0000981387</v>
      </c>
      <c r="AH228" s="260">
        <f t="shared" si="69"/>
        <v>0.00003978</v>
      </c>
      <c r="AI228" s="260">
        <f t="shared" si="69"/>
        <v>0.00004401</v>
      </c>
      <c r="AJ228" s="260">
        <f t="shared" si="69"/>
        <v>0.00001647</v>
      </c>
      <c r="AK228" s="260">
        <f t="shared" si="69"/>
        <v>0.00005355</v>
      </c>
      <c r="AL228" s="260">
        <f t="shared" si="69"/>
        <v>0.00007812</v>
      </c>
      <c r="AM228" s="260">
        <f t="shared" si="69"/>
        <v>0.00007812</v>
      </c>
      <c r="AN228" s="260">
        <f t="shared" si="69"/>
        <v>0.00007812</v>
      </c>
      <c r="AO228" s="260">
        <f t="shared" si="69"/>
        <v>0.00002898</v>
      </c>
      <c r="AP228" s="260">
        <f t="shared" si="69"/>
        <v>0.00003006</v>
      </c>
      <c r="AQ228" s="260">
        <f t="shared" si="69"/>
        <v>0.00001737</v>
      </c>
      <c r="AR228" s="260">
        <f t="shared" si="69"/>
        <v>0.00002556</v>
      </c>
      <c r="AS228" s="260">
        <f t="shared" si="69"/>
        <v>0.00004338</v>
      </c>
      <c r="AT228" s="260">
        <f t="shared" si="69"/>
        <v>0.00002673</v>
      </c>
      <c r="AU228" s="260">
        <f t="shared" si="69"/>
        <v>0.00008289</v>
      </c>
      <c r="AV228" s="260">
        <f t="shared" si="69"/>
        <v>0.0001549629</v>
      </c>
      <c r="AW228" s="259"/>
    </row>
    <row r="229">
      <c r="A229" s="122"/>
      <c r="B229" s="123"/>
      <c r="C229" s="342"/>
      <c r="D229" s="342"/>
      <c r="E229" s="272" t="s">
        <v>195</v>
      </c>
      <c r="F229" s="200" t="s">
        <v>72</v>
      </c>
      <c r="G229" s="201" t="s">
        <v>161</v>
      </c>
      <c r="H229" s="228" t="s">
        <v>162</v>
      </c>
      <c r="I229" s="590">
        <f t="shared" ref="I229:AV229" si="70">SUM(I223:I228)</f>
        <v>0.002262798841</v>
      </c>
      <c r="J229" s="590">
        <f t="shared" si="70"/>
        <v>0.001576975366</v>
      </c>
      <c r="K229" s="590">
        <f t="shared" si="70"/>
        <v>0.002264656206</v>
      </c>
      <c r="L229" s="590">
        <f t="shared" si="70"/>
        <v>0.001009607942</v>
      </c>
      <c r="M229" s="590">
        <f t="shared" si="70"/>
        <v>0.001529946381</v>
      </c>
      <c r="N229" s="590">
        <f t="shared" si="70"/>
        <v>0.001833709132</v>
      </c>
      <c r="O229" s="590">
        <f t="shared" si="70"/>
        <v>0.002046481695</v>
      </c>
      <c r="P229" s="590">
        <f t="shared" si="70"/>
        <v>0.002772996731</v>
      </c>
      <c r="Q229" s="590">
        <f t="shared" si="70"/>
        <v>0.002926486889</v>
      </c>
      <c r="R229" s="590">
        <f t="shared" si="70"/>
        <v>0.0005341020451</v>
      </c>
      <c r="S229" s="590">
        <f t="shared" si="70"/>
        <v>0.001299236996</v>
      </c>
      <c r="T229" s="590">
        <f t="shared" si="70"/>
        <v>0.0004267022671</v>
      </c>
      <c r="U229" s="590">
        <f t="shared" si="70"/>
        <v>0.0004633926353</v>
      </c>
      <c r="V229" s="590">
        <f t="shared" si="70"/>
        <v>0.0006518589547</v>
      </c>
      <c r="W229" s="590">
        <f t="shared" si="70"/>
        <v>0.0009775805391</v>
      </c>
      <c r="X229" s="590">
        <f t="shared" si="70"/>
        <v>0.000915901445</v>
      </c>
      <c r="Y229" s="590">
        <f t="shared" si="70"/>
        <v>0.0006089016706</v>
      </c>
      <c r="Z229" s="590">
        <f t="shared" si="70"/>
        <v>0.0005636333604</v>
      </c>
      <c r="AA229" s="590">
        <f t="shared" si="70"/>
        <v>0.0008004917908</v>
      </c>
      <c r="AB229" s="590">
        <f t="shared" si="70"/>
        <v>0.0004409610208</v>
      </c>
      <c r="AC229" s="590">
        <f t="shared" si="70"/>
        <v>0.000411842538</v>
      </c>
      <c r="AD229" s="590">
        <f t="shared" si="70"/>
        <v>0.0003948682203</v>
      </c>
      <c r="AE229" s="590">
        <f t="shared" si="70"/>
        <v>0.0005167270644</v>
      </c>
      <c r="AF229" s="590">
        <f t="shared" si="70"/>
        <v>0.0003651533803</v>
      </c>
      <c r="AG229" s="590">
        <f t="shared" si="70"/>
        <v>0.001009607942</v>
      </c>
      <c r="AH229" s="590">
        <f t="shared" si="70"/>
        <v>0.0006033967097</v>
      </c>
      <c r="AI229" s="590">
        <f t="shared" si="70"/>
        <v>0.0004486643529</v>
      </c>
      <c r="AJ229" s="590">
        <f t="shared" si="70"/>
        <v>0.000337930524</v>
      </c>
      <c r="AK229" s="590">
        <f t="shared" si="70"/>
        <v>0.0008090491081</v>
      </c>
      <c r="AL229" s="590">
        <f t="shared" si="70"/>
        <v>0.001103169939</v>
      </c>
      <c r="AM229" s="590">
        <f t="shared" si="70"/>
        <v>0.001103169939</v>
      </c>
      <c r="AN229" s="590">
        <f t="shared" si="70"/>
        <v>0.001103169939</v>
      </c>
      <c r="AO229" s="590">
        <f t="shared" si="70"/>
        <v>0.0005051961426</v>
      </c>
      <c r="AP229" s="590">
        <f t="shared" si="70"/>
        <v>0.0005356474121</v>
      </c>
      <c r="AQ229" s="590">
        <f t="shared" si="70"/>
        <v>0.0002828254262</v>
      </c>
      <c r="AR229" s="590">
        <f t="shared" si="70"/>
        <v>0.000348850973</v>
      </c>
      <c r="AS229" s="590">
        <f t="shared" si="70"/>
        <v>0.0007439657918</v>
      </c>
      <c r="AT229" s="590">
        <f t="shared" si="70"/>
        <v>0.0004693068617</v>
      </c>
      <c r="AU229" s="590">
        <f t="shared" si="70"/>
        <v>0.001444358991</v>
      </c>
      <c r="AV229" s="590">
        <f t="shared" si="70"/>
        <v>0.001623179117</v>
      </c>
      <c r="AW229" s="274"/>
    </row>
    <row r="230">
      <c r="A230" s="122"/>
      <c r="B230" s="123"/>
      <c r="C230" s="342"/>
      <c r="D230" s="342"/>
      <c r="E230" s="269"/>
      <c r="F230" s="125"/>
      <c r="G230" s="132"/>
      <c r="H230" s="127"/>
      <c r="I230" s="128"/>
      <c r="J230" s="128"/>
      <c r="K230" s="128"/>
      <c r="L230" s="128"/>
      <c r="M230" s="128"/>
      <c r="N230" s="128"/>
      <c r="O230" s="128"/>
      <c r="P230" s="128"/>
      <c r="Q230" s="128"/>
      <c r="R230" s="128"/>
      <c r="S230" s="128"/>
      <c r="T230" s="317"/>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342" t="s">
        <v>697</v>
      </c>
      <c r="F231" s="125"/>
      <c r="G231" s="132"/>
      <c r="H231" s="127"/>
      <c r="I231" s="128"/>
      <c r="J231" s="128"/>
      <c r="K231" s="128"/>
      <c r="L231" s="128"/>
      <c r="M231" s="128"/>
      <c r="N231" s="128"/>
      <c r="O231" s="128"/>
      <c r="P231" s="128"/>
      <c r="Q231" s="128"/>
      <c r="R231" s="128"/>
      <c r="S231" s="128"/>
      <c r="T231" s="317"/>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30"/>
    </row>
    <row r="232">
      <c r="A232" s="122"/>
      <c r="B232" s="123"/>
      <c r="C232" s="450"/>
      <c r="D232" s="450"/>
      <c r="E232" s="254" t="s">
        <v>426</v>
      </c>
      <c r="F232" s="356" t="str">
        <f>Inputs!F193</f>
        <v>%</v>
      </c>
      <c r="G232" s="550" t="str">
        <f>Inputs!G193</f>
        <v>input</v>
      </c>
      <c r="H232" s="255">
        <f>Inputs!H193</f>
        <v>-0.5</v>
      </c>
      <c r="I232" s="358" t="str">
        <f>Inputs!I193</f>
        <v>-</v>
      </c>
      <c r="J232" s="358" t="str">
        <f>Inputs!J193</f>
        <v>-</v>
      </c>
      <c r="K232" s="358" t="str">
        <f>Inputs!K193</f>
        <v>-</v>
      </c>
      <c r="L232" s="358" t="str">
        <f>Inputs!L193</f>
        <v>-</v>
      </c>
      <c r="M232" s="358" t="str">
        <f>Inputs!M193</f>
        <v>-</v>
      </c>
      <c r="N232" s="358" t="str">
        <f>Inputs!N193</f>
        <v>-</v>
      </c>
      <c r="O232" s="358" t="str">
        <f>Inputs!O193</f>
        <v>-</v>
      </c>
      <c r="P232" s="358" t="str">
        <f>Inputs!P193</f>
        <v>-</v>
      </c>
      <c r="Q232" s="358" t="str">
        <f>Inputs!Q193</f>
        <v>-</v>
      </c>
      <c r="R232" s="358" t="str">
        <f>Inputs!R193</f>
        <v>-</v>
      </c>
      <c r="S232" s="358" t="str">
        <f>Inputs!S193</f>
        <v>-</v>
      </c>
      <c r="T232" s="383" t="str">
        <f>Inputs!T193</f>
        <v>-</v>
      </c>
      <c r="U232" s="358" t="str">
        <f>Inputs!U193</f>
        <v>-</v>
      </c>
      <c r="V232" s="358" t="str">
        <f>Inputs!V193</f>
        <v>-</v>
      </c>
      <c r="W232" s="358" t="str">
        <f>Inputs!W193</f>
        <v>-</v>
      </c>
      <c r="X232" s="358" t="str">
        <f>Inputs!X193</f>
        <v>-</v>
      </c>
      <c r="Y232" s="358" t="str">
        <f>Inputs!Y193</f>
        <v>-</v>
      </c>
      <c r="Z232" s="358" t="str">
        <f>Inputs!Z193</f>
        <v>-</v>
      </c>
      <c r="AA232" s="358" t="str">
        <f>Inputs!AA193</f>
        <v>-</v>
      </c>
      <c r="AB232" s="358" t="str">
        <f>Inputs!AB193</f>
        <v>-</v>
      </c>
      <c r="AC232" s="358" t="str">
        <f>Inputs!AC193</f>
        <v>-</v>
      </c>
      <c r="AD232" s="358" t="str">
        <f>Inputs!AD193</f>
        <v>-</v>
      </c>
      <c r="AE232" s="358" t="str">
        <f>Inputs!AE193</f>
        <v>-</v>
      </c>
      <c r="AF232" s="358" t="str">
        <f>Inputs!AF193</f>
        <v>-</v>
      </c>
      <c r="AG232" s="358" t="str">
        <f>Inputs!AG193</f>
        <v>-</v>
      </c>
      <c r="AH232" s="358" t="str">
        <f>Inputs!AH193</f>
        <v>-</v>
      </c>
      <c r="AI232" s="358" t="str">
        <f>Inputs!AI193</f>
        <v>-</v>
      </c>
      <c r="AJ232" s="358" t="str">
        <f>Inputs!AJ193</f>
        <v>-</v>
      </c>
      <c r="AK232" s="358" t="str">
        <f>Inputs!AK193</f>
        <v>-</v>
      </c>
      <c r="AL232" s="358" t="str">
        <f>Inputs!AL193</f>
        <v>-</v>
      </c>
      <c r="AM232" s="358" t="str">
        <f>Inputs!AM193</f>
        <v>-</v>
      </c>
      <c r="AN232" s="358" t="str">
        <f>Inputs!AN193</f>
        <v>-</v>
      </c>
      <c r="AO232" s="358" t="str">
        <f>Inputs!AO193</f>
        <v>-</v>
      </c>
      <c r="AP232" s="358" t="str">
        <f>Inputs!AP193</f>
        <v>-</v>
      </c>
      <c r="AQ232" s="358" t="str">
        <f>Inputs!AQ193</f>
        <v>-</v>
      </c>
      <c r="AR232" s="358" t="str">
        <f>Inputs!AR193</f>
        <v>-</v>
      </c>
      <c r="AS232" s="358" t="str">
        <f>Inputs!AS193</f>
        <v>-</v>
      </c>
      <c r="AT232" s="358" t="str">
        <f>Inputs!AT193</f>
        <v>-</v>
      </c>
      <c r="AU232" s="358" t="str">
        <f>Inputs!AU193</f>
        <v>-</v>
      </c>
      <c r="AV232" s="358" t="str">
        <f>Inputs!AV193</f>
        <v>-</v>
      </c>
      <c r="AW232" s="256"/>
    </row>
    <row r="233">
      <c r="A233" s="122"/>
      <c r="B233" s="123"/>
      <c r="C233" s="450"/>
      <c r="D233" s="450"/>
      <c r="E233" s="257" t="s">
        <v>427</v>
      </c>
      <c r="F233" s="213" t="s">
        <v>72</v>
      </c>
      <c r="G233" s="214" t="s">
        <v>161</v>
      </c>
      <c r="H233" s="240" t="s">
        <v>162</v>
      </c>
      <c r="I233" s="217">
        <f t="shared" ref="I233:AV233" si="71">I187*(1+$H$232)</f>
        <v>0.2336879429</v>
      </c>
      <c r="J233" s="217">
        <f t="shared" si="71"/>
        <v>0.2808062858</v>
      </c>
      <c r="K233" s="217">
        <f t="shared" si="71"/>
        <v>0.3022237143</v>
      </c>
      <c r="L233" s="217">
        <f t="shared" si="71"/>
        <v>0.3717113715</v>
      </c>
      <c r="M233" s="217">
        <f t="shared" si="71"/>
        <v>0.2869935429</v>
      </c>
      <c r="N233" s="217">
        <f t="shared" si="71"/>
        <v>0.2708114858</v>
      </c>
      <c r="O233" s="217">
        <f t="shared" si="71"/>
        <v>0.3026996572</v>
      </c>
      <c r="P233" s="217">
        <f t="shared" si="71"/>
        <v>0.1603927429</v>
      </c>
      <c r="Q233" s="217">
        <f t="shared" si="71"/>
        <v>0.2417789715</v>
      </c>
      <c r="R233" s="217">
        <f t="shared" si="71"/>
        <v>0.4307282858</v>
      </c>
      <c r="S233" s="217">
        <f t="shared" si="71"/>
        <v>0.3978882287</v>
      </c>
      <c r="T233" s="217">
        <f t="shared" si="71"/>
        <v>0.4074070858</v>
      </c>
      <c r="U233" s="217">
        <f t="shared" si="71"/>
        <v>0.4016957715</v>
      </c>
      <c r="V233" s="217">
        <f t="shared" si="71"/>
        <v>0.3755189144</v>
      </c>
      <c r="W233" s="217">
        <f t="shared" si="71"/>
        <v>0.3888453144</v>
      </c>
      <c r="X233" s="217">
        <f t="shared" si="71"/>
        <v>0.3084109715</v>
      </c>
      <c r="Y233" s="217">
        <f t="shared" si="71"/>
        <v>0.4431028001</v>
      </c>
      <c r="Z233" s="217">
        <f t="shared" si="71"/>
        <v>0.3974122858</v>
      </c>
      <c r="AA233" s="217">
        <f t="shared" si="71"/>
        <v>0.4726112572</v>
      </c>
      <c r="AB233" s="217">
        <f t="shared" si="71"/>
        <v>0.4392952572</v>
      </c>
      <c r="AC233" s="217">
        <f t="shared" si="71"/>
        <v>0.4711834287</v>
      </c>
      <c r="AD233" s="217">
        <f t="shared" si="71"/>
        <v>0.4716593715</v>
      </c>
      <c r="AE233" s="217">
        <f t="shared" si="71"/>
        <v>0.4530976001</v>
      </c>
      <c r="AF233" s="217">
        <f t="shared" si="71"/>
        <v>0.4507178858</v>
      </c>
      <c r="AG233" s="217">
        <f t="shared" si="71"/>
        <v>0.3717113715</v>
      </c>
      <c r="AH233" s="217">
        <f t="shared" si="71"/>
        <v>0.4392952572</v>
      </c>
      <c r="AI233" s="217">
        <f t="shared" si="71"/>
        <v>0.3441066858</v>
      </c>
      <c r="AJ233" s="217">
        <f t="shared" si="71"/>
        <v>0.4492900572</v>
      </c>
      <c r="AK233" s="217">
        <f t="shared" si="71"/>
        <v>0.3769467429</v>
      </c>
      <c r="AL233" s="217">
        <f t="shared" si="71"/>
        <v>0.3174538858</v>
      </c>
      <c r="AM233" s="217">
        <f t="shared" si="71"/>
        <v>0.3174538858</v>
      </c>
      <c r="AN233" s="217">
        <f t="shared" si="71"/>
        <v>0.3174538858</v>
      </c>
      <c r="AO233" s="217">
        <f t="shared" si="71"/>
        <v>0.3441066858</v>
      </c>
      <c r="AP233" s="217">
        <f t="shared" si="71"/>
        <v>0.3574330858</v>
      </c>
      <c r="AQ233" s="217">
        <f t="shared" si="71"/>
        <v>0.4426268572</v>
      </c>
      <c r="AR233" s="217">
        <f t="shared" si="71"/>
        <v>0.3926528572</v>
      </c>
      <c r="AS233" s="217">
        <f t="shared" si="71"/>
        <v>0.4174018858</v>
      </c>
      <c r="AT233" s="217">
        <f t="shared" si="71"/>
        <v>0.4297764001</v>
      </c>
      <c r="AU233" s="217">
        <f t="shared" si="71"/>
        <v>0.3383953715</v>
      </c>
      <c r="AV233" s="217">
        <f t="shared" si="71"/>
        <v>0.3579090286</v>
      </c>
      <c r="AW233" s="259"/>
    </row>
    <row r="234">
      <c r="A234" s="122"/>
      <c r="B234" s="123"/>
      <c r="C234" s="450"/>
      <c r="D234" s="450"/>
      <c r="E234" s="257" t="s">
        <v>698</v>
      </c>
      <c r="F234" s="213" t="s">
        <v>72</v>
      </c>
      <c r="G234" s="214" t="s">
        <v>161</v>
      </c>
      <c r="H234" s="240" t="s">
        <v>162</v>
      </c>
      <c r="I234" s="217">
        <f t="shared" ref="I234:AV234" si="72">I188*(1+$H$232)</f>
        <v>0.1837853343</v>
      </c>
      <c r="J234" s="217">
        <f t="shared" si="72"/>
        <v>0.2423976972</v>
      </c>
      <c r="K234" s="217">
        <f t="shared" si="72"/>
        <v>0.2731436058</v>
      </c>
      <c r="L234" s="217">
        <f t="shared" si="72"/>
        <v>0.3237125344</v>
      </c>
      <c r="M234" s="217">
        <f t="shared" si="72"/>
        <v>0.2346636258</v>
      </c>
      <c r="N234" s="217">
        <f t="shared" si="72"/>
        <v>0.2298804</v>
      </c>
      <c r="O234" s="217">
        <f t="shared" si="72"/>
        <v>0.2782123972</v>
      </c>
      <c r="P234" s="217">
        <f t="shared" si="72"/>
        <v>0.1016138</v>
      </c>
      <c r="Q234" s="217">
        <f t="shared" si="72"/>
        <v>0.1791686886</v>
      </c>
      <c r="R234" s="217">
        <f t="shared" si="72"/>
        <v>0.4077402458</v>
      </c>
      <c r="S234" s="217">
        <f t="shared" si="72"/>
        <v>0.3249261886</v>
      </c>
      <c r="T234" s="217">
        <f t="shared" si="72"/>
        <v>0.3938189172</v>
      </c>
      <c r="U234" s="217">
        <f t="shared" si="72"/>
        <v>0.3704977172</v>
      </c>
      <c r="V234" s="217">
        <f t="shared" si="72"/>
        <v>0.3614548029</v>
      </c>
      <c r="W234" s="217">
        <f t="shared" si="72"/>
        <v>0.3595034372</v>
      </c>
      <c r="X234" s="217">
        <f t="shared" si="72"/>
        <v>0.2293568629</v>
      </c>
      <c r="Y234" s="217">
        <f t="shared" si="72"/>
        <v>0.4310852429</v>
      </c>
      <c r="Z234" s="217">
        <f t="shared" si="72"/>
        <v>0.3658334772</v>
      </c>
      <c r="AA234" s="217">
        <f t="shared" si="72"/>
        <v>0.4712072258</v>
      </c>
      <c r="AB234" s="217">
        <f t="shared" si="72"/>
        <v>0.4306330972</v>
      </c>
      <c r="AC234" s="217">
        <f t="shared" si="72"/>
        <v>0.4448399915</v>
      </c>
      <c r="AD234" s="217">
        <f t="shared" si="72"/>
        <v>0.4604271201</v>
      </c>
      <c r="AE234" s="217">
        <f t="shared" si="72"/>
        <v>0.4169021458</v>
      </c>
      <c r="AF234" s="217">
        <f t="shared" si="72"/>
        <v>0.4429838144</v>
      </c>
      <c r="AG234" s="217">
        <f t="shared" si="72"/>
        <v>0.3237125344</v>
      </c>
      <c r="AH234" s="217">
        <f t="shared" si="72"/>
        <v>0.3673802915</v>
      </c>
      <c r="AI234" s="217">
        <f t="shared" si="72"/>
        <v>0.3044606458</v>
      </c>
      <c r="AJ234" s="217">
        <f t="shared" si="72"/>
        <v>0.4300857629</v>
      </c>
      <c r="AK234" s="217">
        <f t="shared" si="72"/>
        <v>0.3148362001</v>
      </c>
      <c r="AL234" s="217">
        <f t="shared" si="72"/>
        <v>0.2522973086</v>
      </c>
      <c r="AM234" s="217">
        <f t="shared" si="72"/>
        <v>0.2522973086</v>
      </c>
      <c r="AN234" s="217">
        <f t="shared" si="72"/>
        <v>0.2522973086</v>
      </c>
      <c r="AO234" s="217">
        <f t="shared" si="72"/>
        <v>0.2825910715</v>
      </c>
      <c r="AP234" s="217">
        <f t="shared" si="72"/>
        <v>0.3305899086</v>
      </c>
      <c r="AQ234" s="217">
        <f t="shared" si="72"/>
        <v>0.4219233429</v>
      </c>
      <c r="AR234" s="217">
        <f t="shared" si="72"/>
        <v>0.3210710515</v>
      </c>
      <c r="AS234" s="217">
        <f t="shared" si="72"/>
        <v>0.3683083801</v>
      </c>
      <c r="AT234" s="217">
        <f t="shared" si="72"/>
        <v>0.4144272429</v>
      </c>
      <c r="AU234" s="217">
        <f t="shared" si="72"/>
        <v>0.3149789829</v>
      </c>
      <c r="AV234" s="217">
        <f t="shared" si="72"/>
        <v>0.3398707944</v>
      </c>
      <c r="AW234" s="259"/>
    </row>
    <row r="235">
      <c r="A235" s="122"/>
      <c r="B235" s="123"/>
      <c r="C235" s="450"/>
      <c r="D235" s="450"/>
      <c r="E235" s="257" t="s">
        <v>430</v>
      </c>
      <c r="F235" s="213" t="s">
        <v>72</v>
      </c>
      <c r="G235" s="214" t="s">
        <v>161</v>
      </c>
      <c r="H235" s="240" t="s">
        <v>162</v>
      </c>
      <c r="I235" s="217">
        <f t="shared" ref="I235:AV235" si="73">I190*(1+$H$232)</f>
        <v>0.1834997686</v>
      </c>
      <c r="J235" s="217">
        <f t="shared" si="73"/>
        <v>0.2267629743</v>
      </c>
      <c r="K235" s="217">
        <f t="shared" si="73"/>
        <v>0.2692170772</v>
      </c>
      <c r="L235" s="217">
        <f t="shared" si="73"/>
        <v>0.3173824944</v>
      </c>
      <c r="M235" s="217">
        <f t="shared" si="73"/>
        <v>0.2315937943</v>
      </c>
      <c r="N235" s="217">
        <f t="shared" si="73"/>
        <v>0.2198142086</v>
      </c>
      <c r="O235" s="217">
        <f t="shared" si="73"/>
        <v>0.2738813172</v>
      </c>
      <c r="P235" s="217">
        <f t="shared" si="73"/>
        <v>0.07824500573</v>
      </c>
      <c r="Q235" s="217">
        <f t="shared" si="73"/>
        <v>0.1821433315</v>
      </c>
      <c r="R235" s="217">
        <f t="shared" si="73"/>
        <v>0.4023382944</v>
      </c>
      <c r="S235" s="217">
        <f t="shared" si="73"/>
        <v>0.3251641601</v>
      </c>
      <c r="T235" s="217">
        <f t="shared" si="73"/>
        <v>0.3875840658</v>
      </c>
      <c r="U235" s="217">
        <f t="shared" si="73"/>
        <v>0.3694506429</v>
      </c>
      <c r="V235" s="217">
        <f t="shared" si="73"/>
        <v>0.3566715772</v>
      </c>
      <c r="W235" s="217">
        <f t="shared" si="73"/>
        <v>0.3441780772</v>
      </c>
      <c r="X235" s="217">
        <f t="shared" si="73"/>
        <v>0.2032513972</v>
      </c>
      <c r="Y235" s="217">
        <f t="shared" si="73"/>
        <v>0.4302285458</v>
      </c>
      <c r="Z235" s="217">
        <f t="shared" si="73"/>
        <v>0.3570523315</v>
      </c>
      <c r="AA235" s="217">
        <f t="shared" si="73"/>
        <v>0.4713738058</v>
      </c>
      <c r="AB235" s="217">
        <f t="shared" si="73"/>
        <v>0.4097392058</v>
      </c>
      <c r="AC235" s="217">
        <f t="shared" si="73"/>
        <v>0.4330366087</v>
      </c>
      <c r="AD235" s="217">
        <f t="shared" si="73"/>
        <v>0.458237783</v>
      </c>
      <c r="AE235" s="217">
        <f t="shared" si="73"/>
        <v>0.4182347858</v>
      </c>
      <c r="AF235" s="217">
        <f t="shared" si="73"/>
        <v>0.4351783515</v>
      </c>
      <c r="AG235" s="217">
        <f t="shared" si="73"/>
        <v>0.3173824944</v>
      </c>
      <c r="AH235" s="217">
        <f t="shared" si="73"/>
        <v>0.3588609144</v>
      </c>
      <c r="AI235" s="217">
        <f t="shared" si="73"/>
        <v>0.2901585629</v>
      </c>
      <c r="AJ235" s="217">
        <f t="shared" si="73"/>
        <v>0.4238747087</v>
      </c>
      <c r="AK235" s="217">
        <f t="shared" si="73"/>
        <v>0.3081967972</v>
      </c>
      <c r="AL235" s="217">
        <f t="shared" si="73"/>
        <v>0.2449915858</v>
      </c>
      <c r="AM235" s="217">
        <f t="shared" si="73"/>
        <v>0.2449915858</v>
      </c>
      <c r="AN235" s="217">
        <f t="shared" si="73"/>
        <v>0.2449915858</v>
      </c>
      <c r="AO235" s="217">
        <f t="shared" si="73"/>
        <v>0.2747856086</v>
      </c>
      <c r="AP235" s="217">
        <f t="shared" si="73"/>
        <v>0.3208568772</v>
      </c>
      <c r="AQ235" s="217">
        <f t="shared" si="73"/>
        <v>0.4004583201</v>
      </c>
      <c r="AR235" s="217">
        <f t="shared" si="73"/>
        <v>0.3160974486</v>
      </c>
      <c r="AS235" s="217">
        <f t="shared" si="73"/>
        <v>0.3397994029</v>
      </c>
      <c r="AT235" s="217">
        <f t="shared" si="73"/>
        <v>0.4099295829</v>
      </c>
      <c r="AU235" s="217">
        <f t="shared" si="73"/>
        <v>0.3039609058</v>
      </c>
      <c r="AV235" s="217">
        <f t="shared" si="73"/>
        <v>0.3282339915</v>
      </c>
      <c r="AW235" s="259"/>
    </row>
    <row r="236">
      <c r="A236" s="122"/>
      <c r="B236" s="123"/>
      <c r="C236" s="450"/>
      <c r="D236" s="450"/>
      <c r="E236" s="257" t="s">
        <v>431</v>
      </c>
      <c r="F236" s="213" t="s">
        <v>72</v>
      </c>
      <c r="G236" s="214" t="s">
        <v>161</v>
      </c>
      <c r="H236" s="240" t="s">
        <v>162</v>
      </c>
      <c r="I236" s="217">
        <f t="shared" ref="I236:AV236" si="74">I191*(1+$H$232)</f>
        <v>0</v>
      </c>
      <c r="J236" s="217">
        <f t="shared" si="74"/>
        <v>0</v>
      </c>
      <c r="K236" s="217">
        <f t="shared" si="74"/>
        <v>0</v>
      </c>
      <c r="L236" s="217">
        <f t="shared" si="74"/>
        <v>0</v>
      </c>
      <c r="M236" s="217">
        <f t="shared" si="74"/>
        <v>0</v>
      </c>
      <c r="N236" s="217">
        <f t="shared" si="74"/>
        <v>0</v>
      </c>
      <c r="O236" s="217">
        <f t="shared" si="74"/>
        <v>0</v>
      </c>
      <c r="P236" s="217">
        <f t="shared" si="74"/>
        <v>0</v>
      </c>
      <c r="Q236" s="217">
        <f t="shared" si="74"/>
        <v>0</v>
      </c>
      <c r="R236" s="217">
        <f t="shared" si="74"/>
        <v>0</v>
      </c>
      <c r="S236" s="217">
        <f t="shared" si="74"/>
        <v>0</v>
      </c>
      <c r="T236" s="217">
        <f t="shared" si="74"/>
        <v>0</v>
      </c>
      <c r="U236" s="217">
        <f t="shared" si="74"/>
        <v>0</v>
      </c>
      <c r="V236" s="217">
        <f t="shared" si="74"/>
        <v>0</v>
      </c>
      <c r="W236" s="217">
        <f t="shared" si="74"/>
        <v>0</v>
      </c>
      <c r="X236" s="217">
        <f t="shared" si="74"/>
        <v>0</v>
      </c>
      <c r="Y236" s="217">
        <f t="shared" si="74"/>
        <v>0</v>
      </c>
      <c r="Z236" s="217">
        <f t="shared" si="74"/>
        <v>0</v>
      </c>
      <c r="AA236" s="217">
        <f t="shared" si="74"/>
        <v>0</v>
      </c>
      <c r="AB236" s="217">
        <f t="shared" si="74"/>
        <v>0</v>
      </c>
      <c r="AC236" s="217">
        <f t="shared" si="74"/>
        <v>0</v>
      </c>
      <c r="AD236" s="217">
        <f t="shared" si="74"/>
        <v>0</v>
      </c>
      <c r="AE236" s="217">
        <f t="shared" si="74"/>
        <v>0</v>
      </c>
      <c r="AF236" s="217">
        <f t="shared" si="74"/>
        <v>0</v>
      </c>
      <c r="AG236" s="217">
        <f t="shared" si="74"/>
        <v>0</v>
      </c>
      <c r="AH236" s="217">
        <f t="shared" si="74"/>
        <v>0</v>
      </c>
      <c r="AI236" s="217">
        <f t="shared" si="74"/>
        <v>0</v>
      </c>
      <c r="AJ236" s="217">
        <f t="shared" si="74"/>
        <v>0</v>
      </c>
      <c r="AK236" s="217">
        <f t="shared" si="74"/>
        <v>0</v>
      </c>
      <c r="AL236" s="217">
        <f t="shared" si="74"/>
        <v>0</v>
      </c>
      <c r="AM236" s="217">
        <f t="shared" si="74"/>
        <v>0</v>
      </c>
      <c r="AN236" s="217">
        <f t="shared" si="74"/>
        <v>0</v>
      </c>
      <c r="AO236" s="217">
        <f t="shared" si="74"/>
        <v>0</v>
      </c>
      <c r="AP236" s="217">
        <f t="shared" si="74"/>
        <v>0</v>
      </c>
      <c r="AQ236" s="217">
        <f t="shared" si="74"/>
        <v>0</v>
      </c>
      <c r="AR236" s="217">
        <f t="shared" si="74"/>
        <v>0</v>
      </c>
      <c r="AS236" s="217">
        <f t="shared" si="74"/>
        <v>0</v>
      </c>
      <c r="AT236" s="217">
        <f t="shared" si="74"/>
        <v>0</v>
      </c>
      <c r="AU236" s="217">
        <f t="shared" si="74"/>
        <v>0</v>
      </c>
      <c r="AV236" s="217">
        <f t="shared" si="74"/>
        <v>0</v>
      </c>
      <c r="AW236" s="259"/>
    </row>
    <row r="237">
      <c r="A237" s="122"/>
      <c r="B237" s="123"/>
      <c r="C237" s="450"/>
      <c r="D237" s="450"/>
      <c r="E237" s="272" t="s">
        <v>432</v>
      </c>
      <c r="F237" s="200" t="s">
        <v>72</v>
      </c>
      <c r="G237" s="201" t="s">
        <v>161</v>
      </c>
      <c r="H237" s="228" t="s">
        <v>162</v>
      </c>
      <c r="I237" s="203">
        <f t="shared" ref="I237:AV237" si="75">I192*(1+$H$232)</f>
        <v>0.1413021461</v>
      </c>
      <c r="J237" s="203">
        <f t="shared" si="75"/>
        <v>0.1696736286</v>
      </c>
      <c r="K237" s="203">
        <f t="shared" si="75"/>
        <v>0.2599176826</v>
      </c>
      <c r="L237" s="203">
        <f t="shared" si="75"/>
        <v>0.2630377524</v>
      </c>
      <c r="M237" s="203">
        <f t="shared" si="75"/>
        <v>0.1858028032</v>
      </c>
      <c r="N237" s="203">
        <f t="shared" si="75"/>
        <v>0.2029631873</v>
      </c>
      <c r="O237" s="203">
        <f t="shared" si="75"/>
        <v>0.2986012604</v>
      </c>
      <c r="P237" s="203">
        <f t="shared" si="75"/>
        <v>0.09074643811</v>
      </c>
      <c r="Q237" s="203">
        <f t="shared" si="75"/>
        <v>0.2153641429</v>
      </c>
      <c r="R237" s="203">
        <f t="shared" si="75"/>
        <v>0.3527794223</v>
      </c>
      <c r="S237" s="203">
        <f t="shared" si="75"/>
        <v>0.2836090604</v>
      </c>
      <c r="T237" s="203">
        <f t="shared" si="75"/>
        <v>0.3355661556</v>
      </c>
      <c r="U237" s="203">
        <f t="shared" si="75"/>
        <v>0.318749508</v>
      </c>
      <c r="V237" s="203">
        <f t="shared" si="75"/>
        <v>0.313461254</v>
      </c>
      <c r="W237" s="203">
        <f t="shared" si="75"/>
        <v>0.3142280509</v>
      </c>
      <c r="X237" s="203">
        <f t="shared" si="75"/>
        <v>0.1785843365</v>
      </c>
      <c r="Y237" s="203">
        <f t="shared" si="75"/>
        <v>0.3719229017</v>
      </c>
      <c r="Z237" s="203">
        <f t="shared" si="75"/>
        <v>0.3425466509</v>
      </c>
      <c r="AA237" s="203">
        <f t="shared" si="75"/>
        <v>0.4324469683</v>
      </c>
      <c r="AB237" s="203">
        <f t="shared" si="75"/>
        <v>0.3716849302</v>
      </c>
      <c r="AC237" s="203">
        <f t="shared" si="75"/>
        <v>0.4420980318</v>
      </c>
      <c r="AD237" s="203">
        <f t="shared" si="75"/>
        <v>0.3751222953</v>
      </c>
      <c r="AE237" s="203">
        <f t="shared" si="75"/>
        <v>0.4145462287</v>
      </c>
      <c r="AF237" s="203">
        <f t="shared" si="75"/>
        <v>0.3491834096</v>
      </c>
      <c r="AG237" s="203">
        <f t="shared" si="75"/>
        <v>0.2630377524</v>
      </c>
      <c r="AH237" s="203">
        <f t="shared" si="75"/>
        <v>0.3400876128</v>
      </c>
      <c r="AI237" s="203">
        <f t="shared" si="75"/>
        <v>0.2975700509</v>
      </c>
      <c r="AJ237" s="203">
        <f t="shared" si="75"/>
        <v>0.4057677271</v>
      </c>
      <c r="AK237" s="203">
        <f t="shared" si="75"/>
        <v>0.2615041588</v>
      </c>
      <c r="AL237" s="203">
        <f t="shared" si="75"/>
        <v>0.2507161207</v>
      </c>
      <c r="AM237" s="203">
        <f t="shared" si="75"/>
        <v>0.2507161207</v>
      </c>
      <c r="AN237" s="203">
        <f t="shared" si="75"/>
        <v>0.2507161207</v>
      </c>
      <c r="AO237" s="203">
        <f t="shared" si="75"/>
        <v>0.2626940159</v>
      </c>
      <c r="AP237" s="203">
        <f t="shared" si="75"/>
        <v>0.3098123588</v>
      </c>
      <c r="AQ237" s="203">
        <f t="shared" si="75"/>
        <v>0.3757304445</v>
      </c>
      <c r="AR237" s="203">
        <f t="shared" si="75"/>
        <v>0.2863589524</v>
      </c>
      <c r="AS237" s="203">
        <f t="shared" si="75"/>
        <v>0.3228743461</v>
      </c>
      <c r="AT237" s="203">
        <f t="shared" si="75"/>
        <v>0.3944508636</v>
      </c>
      <c r="AU237" s="203">
        <f t="shared" si="75"/>
        <v>0.3041803683</v>
      </c>
      <c r="AV237" s="203">
        <f t="shared" si="75"/>
        <v>0.3332922064</v>
      </c>
      <c r="AW237" s="274"/>
    </row>
    <row r="238">
      <c r="A238" s="122"/>
      <c r="B238" s="123"/>
      <c r="C238" s="450"/>
      <c r="D238" s="450"/>
      <c r="E238" s="269"/>
      <c r="F238" s="125"/>
      <c r="G238" s="132"/>
      <c r="H238" s="127"/>
      <c r="I238" s="128"/>
      <c r="J238" s="128"/>
      <c r="K238" s="128"/>
      <c r="L238" s="128"/>
      <c r="M238" s="128"/>
      <c r="N238" s="128"/>
      <c r="O238" s="128"/>
      <c r="P238" s="128"/>
      <c r="Q238" s="128"/>
      <c r="R238" s="128"/>
      <c r="S238" s="128"/>
      <c r="T238" s="317"/>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30"/>
    </row>
    <row r="239">
      <c r="A239" s="122"/>
      <c r="B239" s="123"/>
      <c r="C239" s="131" t="s">
        <v>410</v>
      </c>
      <c r="F239" s="125"/>
      <c r="G239" s="132"/>
      <c r="H239" s="127"/>
      <c r="I239" s="128"/>
      <c r="J239" s="128"/>
      <c r="K239" s="128"/>
      <c r="L239" s="128"/>
      <c r="M239" s="128"/>
      <c r="N239" s="128"/>
      <c r="O239" s="128"/>
      <c r="P239" s="128"/>
      <c r="Q239" s="128"/>
      <c r="R239" s="128"/>
      <c r="S239" s="128"/>
      <c r="T239" s="317"/>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30"/>
    </row>
    <row r="240">
      <c r="A240" s="122"/>
      <c r="B240" s="123"/>
      <c r="C240" s="450"/>
      <c r="D240" s="450"/>
      <c r="E240" s="254" t="s">
        <v>699</v>
      </c>
      <c r="F240" s="193" t="str">
        <f>Inputs!F194</f>
        <v>%</v>
      </c>
      <c r="G240" s="550" t="str">
        <f>Inputs!G194</f>
        <v>input</v>
      </c>
      <c r="H240" s="255">
        <f>Inputs!H194</f>
        <v>-0.1</v>
      </c>
      <c r="I240" s="358" t="str">
        <f>Inputs!I194</f>
        <v>-</v>
      </c>
      <c r="J240" s="358" t="str">
        <f>Inputs!J194</f>
        <v>-</v>
      </c>
      <c r="K240" s="358" t="str">
        <f>Inputs!K194</f>
        <v>-</v>
      </c>
      <c r="L240" s="358" t="str">
        <f>Inputs!L194</f>
        <v>-</v>
      </c>
      <c r="M240" s="358" t="str">
        <f>Inputs!M194</f>
        <v>-</v>
      </c>
      <c r="N240" s="358" t="str">
        <f>Inputs!N194</f>
        <v>-</v>
      </c>
      <c r="O240" s="358" t="str">
        <f>Inputs!O194</f>
        <v>-</v>
      </c>
      <c r="P240" s="358" t="str">
        <f>Inputs!P194</f>
        <v>-</v>
      </c>
      <c r="Q240" s="358" t="str">
        <f>Inputs!Q194</f>
        <v>-</v>
      </c>
      <c r="R240" s="358" t="str">
        <f>Inputs!R194</f>
        <v>-</v>
      </c>
      <c r="S240" s="358" t="str">
        <f>Inputs!S194</f>
        <v>-</v>
      </c>
      <c r="T240" s="383" t="str">
        <f>Inputs!T194</f>
        <v>-</v>
      </c>
      <c r="U240" s="358" t="str">
        <f>Inputs!U194</f>
        <v>-</v>
      </c>
      <c r="V240" s="358" t="str">
        <f>Inputs!V194</f>
        <v>-</v>
      </c>
      <c r="W240" s="358" t="str">
        <f>Inputs!W194</f>
        <v>-</v>
      </c>
      <c r="X240" s="358" t="str">
        <f>Inputs!X194</f>
        <v>-</v>
      </c>
      <c r="Y240" s="358" t="str">
        <f>Inputs!Y194</f>
        <v>-</v>
      </c>
      <c r="Z240" s="358" t="str">
        <f>Inputs!Z194</f>
        <v>-</v>
      </c>
      <c r="AA240" s="358" t="str">
        <f>Inputs!AA194</f>
        <v>-</v>
      </c>
      <c r="AB240" s="358" t="str">
        <f>Inputs!AB194</f>
        <v>-</v>
      </c>
      <c r="AC240" s="358" t="str">
        <f>Inputs!AC194</f>
        <v>-</v>
      </c>
      <c r="AD240" s="358" t="str">
        <f>Inputs!AD194</f>
        <v>-</v>
      </c>
      <c r="AE240" s="358" t="str">
        <f>Inputs!AE194</f>
        <v>-</v>
      </c>
      <c r="AF240" s="358" t="str">
        <f>Inputs!AF194</f>
        <v>-</v>
      </c>
      <c r="AG240" s="358" t="str">
        <f>Inputs!AG194</f>
        <v>-</v>
      </c>
      <c r="AH240" s="358" t="str">
        <f>Inputs!AH194</f>
        <v>-</v>
      </c>
      <c r="AI240" s="358" t="str">
        <f>Inputs!AI194</f>
        <v>-</v>
      </c>
      <c r="AJ240" s="358" t="str">
        <f>Inputs!AJ194</f>
        <v>-</v>
      </c>
      <c r="AK240" s="358" t="str">
        <f>Inputs!AK194</f>
        <v>-</v>
      </c>
      <c r="AL240" s="358" t="str">
        <f>Inputs!AL194</f>
        <v>-</v>
      </c>
      <c r="AM240" s="358" t="str">
        <f>Inputs!AM194</f>
        <v>-</v>
      </c>
      <c r="AN240" s="358" t="str">
        <f>Inputs!AN194</f>
        <v>-</v>
      </c>
      <c r="AO240" s="358" t="str">
        <f>Inputs!AO194</f>
        <v>-</v>
      </c>
      <c r="AP240" s="358" t="str">
        <f>Inputs!AP194</f>
        <v>-</v>
      </c>
      <c r="AQ240" s="358" t="str">
        <f>Inputs!AQ194</f>
        <v>-</v>
      </c>
      <c r="AR240" s="358" t="str">
        <f>Inputs!AR194</f>
        <v>-</v>
      </c>
      <c r="AS240" s="358" t="str">
        <f>Inputs!AS194</f>
        <v>-</v>
      </c>
      <c r="AT240" s="358" t="str">
        <f>Inputs!AT194</f>
        <v>-</v>
      </c>
      <c r="AU240" s="358" t="str">
        <f>Inputs!AU194</f>
        <v>-</v>
      </c>
      <c r="AV240" s="358" t="str">
        <f>Inputs!AV194</f>
        <v>-</v>
      </c>
      <c r="AW240" s="256"/>
    </row>
    <row r="241">
      <c r="A241" s="122"/>
      <c r="B241" s="123"/>
      <c r="C241" s="450"/>
      <c r="D241" s="450"/>
      <c r="E241" s="257" t="s">
        <v>411</v>
      </c>
      <c r="F241" s="213" t="s">
        <v>72</v>
      </c>
      <c r="G241" s="214" t="s">
        <v>161</v>
      </c>
      <c r="H241" s="258">
        <f t="shared" ref="H241:H246" si="76">H195*(1+$H$240)</f>
        <v>0.5377226782</v>
      </c>
      <c r="I241" s="220" t="s">
        <v>162</v>
      </c>
      <c r="J241" s="220" t="s">
        <v>162</v>
      </c>
      <c r="K241" s="220" t="s">
        <v>162</v>
      </c>
      <c r="L241" s="220" t="s">
        <v>162</v>
      </c>
      <c r="M241" s="220" t="s">
        <v>162</v>
      </c>
      <c r="N241" s="220" t="s">
        <v>162</v>
      </c>
      <c r="O241" s="220" t="s">
        <v>162</v>
      </c>
      <c r="P241" s="220" t="s">
        <v>162</v>
      </c>
      <c r="Q241" s="220" t="s">
        <v>162</v>
      </c>
      <c r="R241" s="220" t="s">
        <v>162</v>
      </c>
      <c r="S241" s="220" t="s">
        <v>162</v>
      </c>
      <c r="T241" s="220" t="s">
        <v>162</v>
      </c>
      <c r="U241" s="220" t="s">
        <v>162</v>
      </c>
      <c r="V241" s="220" t="s">
        <v>162</v>
      </c>
      <c r="W241" s="220" t="s">
        <v>162</v>
      </c>
      <c r="X241" s="220" t="s">
        <v>162</v>
      </c>
      <c r="Y241" s="220" t="s">
        <v>162</v>
      </c>
      <c r="Z241" s="220" t="s">
        <v>162</v>
      </c>
      <c r="AA241" s="220" t="s">
        <v>162</v>
      </c>
      <c r="AB241" s="220" t="s">
        <v>162</v>
      </c>
      <c r="AC241" s="220" t="s">
        <v>162</v>
      </c>
      <c r="AD241" s="220" t="s">
        <v>162</v>
      </c>
      <c r="AE241" s="220" t="s">
        <v>162</v>
      </c>
      <c r="AF241" s="220" t="s">
        <v>162</v>
      </c>
      <c r="AG241" s="220" t="s">
        <v>162</v>
      </c>
      <c r="AH241" s="220" t="s">
        <v>162</v>
      </c>
      <c r="AI241" s="220" t="s">
        <v>162</v>
      </c>
      <c r="AJ241" s="220" t="s">
        <v>162</v>
      </c>
      <c r="AK241" s="220" t="s">
        <v>162</v>
      </c>
      <c r="AL241" s="220" t="s">
        <v>162</v>
      </c>
      <c r="AM241" s="220" t="s">
        <v>162</v>
      </c>
      <c r="AN241" s="220" t="s">
        <v>162</v>
      </c>
      <c r="AO241" s="220" t="s">
        <v>162</v>
      </c>
      <c r="AP241" s="220" t="s">
        <v>162</v>
      </c>
      <c r="AQ241" s="220" t="s">
        <v>162</v>
      </c>
      <c r="AR241" s="220" t="s">
        <v>162</v>
      </c>
      <c r="AS241" s="220" t="s">
        <v>162</v>
      </c>
      <c r="AT241" s="220" t="s">
        <v>162</v>
      </c>
      <c r="AU241" s="220" t="s">
        <v>162</v>
      </c>
      <c r="AV241" s="220" t="s">
        <v>162</v>
      </c>
      <c r="AW241" s="259"/>
    </row>
    <row r="242">
      <c r="A242" s="122"/>
      <c r="B242" s="123"/>
      <c r="C242" s="450"/>
      <c r="D242" s="450"/>
      <c r="E242" s="257" t="s">
        <v>412</v>
      </c>
      <c r="F242" s="213" t="s">
        <v>72</v>
      </c>
      <c r="G242" s="214" t="s">
        <v>161</v>
      </c>
      <c r="H242" s="258">
        <f t="shared" si="76"/>
        <v>0.7658474508</v>
      </c>
      <c r="I242" s="220" t="s">
        <v>162</v>
      </c>
      <c r="J242" s="220" t="s">
        <v>162</v>
      </c>
      <c r="K242" s="220" t="s">
        <v>162</v>
      </c>
      <c r="L242" s="220" t="s">
        <v>162</v>
      </c>
      <c r="M242" s="220" t="s">
        <v>162</v>
      </c>
      <c r="N242" s="220" t="s">
        <v>162</v>
      </c>
      <c r="O242" s="220" t="s">
        <v>162</v>
      </c>
      <c r="P242" s="220" t="s">
        <v>162</v>
      </c>
      <c r="Q242" s="220" t="s">
        <v>162</v>
      </c>
      <c r="R242" s="220" t="s">
        <v>162</v>
      </c>
      <c r="S242" s="220" t="s">
        <v>162</v>
      </c>
      <c r="T242" s="220" t="s">
        <v>162</v>
      </c>
      <c r="U242" s="220" t="s">
        <v>162</v>
      </c>
      <c r="V242" s="220" t="s">
        <v>162</v>
      </c>
      <c r="W242" s="220" t="s">
        <v>162</v>
      </c>
      <c r="X242" s="220" t="s">
        <v>162</v>
      </c>
      <c r="Y242" s="220" t="s">
        <v>162</v>
      </c>
      <c r="Z242" s="220" t="s">
        <v>162</v>
      </c>
      <c r="AA242" s="220" t="s">
        <v>162</v>
      </c>
      <c r="AB242" s="220" t="s">
        <v>162</v>
      </c>
      <c r="AC242" s="220" t="s">
        <v>162</v>
      </c>
      <c r="AD242" s="220" t="s">
        <v>162</v>
      </c>
      <c r="AE242" s="220" t="s">
        <v>162</v>
      </c>
      <c r="AF242" s="220" t="s">
        <v>162</v>
      </c>
      <c r="AG242" s="220" t="s">
        <v>162</v>
      </c>
      <c r="AH242" s="220" t="s">
        <v>162</v>
      </c>
      <c r="AI242" s="220" t="s">
        <v>162</v>
      </c>
      <c r="AJ242" s="220" t="s">
        <v>162</v>
      </c>
      <c r="AK242" s="220" t="s">
        <v>162</v>
      </c>
      <c r="AL242" s="220" t="s">
        <v>162</v>
      </c>
      <c r="AM242" s="220" t="s">
        <v>162</v>
      </c>
      <c r="AN242" s="220" t="s">
        <v>162</v>
      </c>
      <c r="AO242" s="220" t="s">
        <v>162</v>
      </c>
      <c r="AP242" s="220" t="s">
        <v>162</v>
      </c>
      <c r="AQ242" s="220" t="s">
        <v>162</v>
      </c>
      <c r="AR242" s="220" t="s">
        <v>162</v>
      </c>
      <c r="AS242" s="220" t="s">
        <v>162</v>
      </c>
      <c r="AT242" s="220" t="s">
        <v>162</v>
      </c>
      <c r="AU242" s="220" t="s">
        <v>162</v>
      </c>
      <c r="AV242" s="220" t="s">
        <v>162</v>
      </c>
      <c r="AW242" s="259"/>
    </row>
    <row r="243">
      <c r="A243" s="122"/>
      <c r="B243" s="123"/>
      <c r="C243" s="450"/>
      <c r="D243" s="450"/>
      <c r="E243" s="257" t="s">
        <v>413</v>
      </c>
      <c r="F243" s="213" t="s">
        <v>72</v>
      </c>
      <c r="G243" s="214" t="s">
        <v>161</v>
      </c>
      <c r="H243" s="258">
        <f t="shared" si="76"/>
        <v>0.6680796911</v>
      </c>
      <c r="I243" s="220" t="s">
        <v>162</v>
      </c>
      <c r="J243" s="220" t="s">
        <v>162</v>
      </c>
      <c r="K243" s="220" t="s">
        <v>162</v>
      </c>
      <c r="L243" s="220" t="s">
        <v>162</v>
      </c>
      <c r="M243" s="220" t="s">
        <v>162</v>
      </c>
      <c r="N243" s="220" t="s">
        <v>162</v>
      </c>
      <c r="O243" s="220" t="s">
        <v>162</v>
      </c>
      <c r="P243" s="220" t="s">
        <v>162</v>
      </c>
      <c r="Q243" s="220" t="s">
        <v>162</v>
      </c>
      <c r="R243" s="220" t="s">
        <v>162</v>
      </c>
      <c r="S243" s="220" t="s">
        <v>162</v>
      </c>
      <c r="T243" s="220" t="s">
        <v>162</v>
      </c>
      <c r="U243" s="220" t="s">
        <v>162</v>
      </c>
      <c r="V243" s="220" t="s">
        <v>162</v>
      </c>
      <c r="W243" s="220" t="s">
        <v>162</v>
      </c>
      <c r="X243" s="220" t="s">
        <v>162</v>
      </c>
      <c r="Y243" s="220" t="s">
        <v>162</v>
      </c>
      <c r="Z243" s="220" t="s">
        <v>162</v>
      </c>
      <c r="AA243" s="220" t="s">
        <v>162</v>
      </c>
      <c r="AB243" s="220" t="s">
        <v>162</v>
      </c>
      <c r="AC243" s="220" t="s">
        <v>162</v>
      </c>
      <c r="AD243" s="220" t="s">
        <v>162</v>
      </c>
      <c r="AE243" s="220" t="s">
        <v>162</v>
      </c>
      <c r="AF243" s="220" t="s">
        <v>162</v>
      </c>
      <c r="AG243" s="220" t="s">
        <v>162</v>
      </c>
      <c r="AH243" s="220" t="s">
        <v>162</v>
      </c>
      <c r="AI243" s="220" t="s">
        <v>162</v>
      </c>
      <c r="AJ243" s="220" t="s">
        <v>162</v>
      </c>
      <c r="AK243" s="220" t="s">
        <v>162</v>
      </c>
      <c r="AL243" s="220" t="s">
        <v>162</v>
      </c>
      <c r="AM243" s="220" t="s">
        <v>162</v>
      </c>
      <c r="AN243" s="220" t="s">
        <v>162</v>
      </c>
      <c r="AO243" s="220" t="s">
        <v>162</v>
      </c>
      <c r="AP243" s="220" t="s">
        <v>162</v>
      </c>
      <c r="AQ243" s="220" t="s">
        <v>162</v>
      </c>
      <c r="AR243" s="220" t="s">
        <v>162</v>
      </c>
      <c r="AS243" s="220" t="s">
        <v>162</v>
      </c>
      <c r="AT243" s="220" t="s">
        <v>162</v>
      </c>
      <c r="AU243" s="220" t="s">
        <v>162</v>
      </c>
      <c r="AV243" s="220" t="s">
        <v>162</v>
      </c>
      <c r="AW243" s="259"/>
    </row>
    <row r="244">
      <c r="A244" s="122"/>
      <c r="B244" s="123"/>
      <c r="C244" s="450"/>
      <c r="D244" s="450"/>
      <c r="E244" s="257" t="s">
        <v>414</v>
      </c>
      <c r="F244" s="213" t="s">
        <v>72</v>
      </c>
      <c r="G244" s="214" t="s">
        <v>161</v>
      </c>
      <c r="H244" s="258">
        <f t="shared" si="76"/>
        <v>0.3869973821</v>
      </c>
      <c r="I244" s="220" t="s">
        <v>162</v>
      </c>
      <c r="J244" s="220" t="s">
        <v>162</v>
      </c>
      <c r="K244" s="220" t="s">
        <v>162</v>
      </c>
      <c r="L244" s="220" t="s">
        <v>162</v>
      </c>
      <c r="M244" s="220" t="s">
        <v>162</v>
      </c>
      <c r="N244" s="220" t="s">
        <v>162</v>
      </c>
      <c r="O244" s="220" t="s">
        <v>162</v>
      </c>
      <c r="P244" s="220" t="s">
        <v>162</v>
      </c>
      <c r="Q244" s="220" t="s">
        <v>162</v>
      </c>
      <c r="R244" s="220" t="s">
        <v>162</v>
      </c>
      <c r="S244" s="220" t="s">
        <v>162</v>
      </c>
      <c r="T244" s="220" t="s">
        <v>162</v>
      </c>
      <c r="U244" s="220" t="s">
        <v>162</v>
      </c>
      <c r="V244" s="220" t="s">
        <v>162</v>
      </c>
      <c r="W244" s="220" t="s">
        <v>162</v>
      </c>
      <c r="X244" s="220" t="s">
        <v>162</v>
      </c>
      <c r="Y244" s="220" t="s">
        <v>162</v>
      </c>
      <c r="Z244" s="220" t="s">
        <v>162</v>
      </c>
      <c r="AA244" s="220" t="s">
        <v>162</v>
      </c>
      <c r="AB244" s="220" t="s">
        <v>162</v>
      </c>
      <c r="AC244" s="220" t="s">
        <v>162</v>
      </c>
      <c r="AD244" s="220" t="s">
        <v>162</v>
      </c>
      <c r="AE244" s="220" t="s">
        <v>162</v>
      </c>
      <c r="AF244" s="220" t="s">
        <v>162</v>
      </c>
      <c r="AG244" s="220" t="s">
        <v>162</v>
      </c>
      <c r="AH244" s="220" t="s">
        <v>162</v>
      </c>
      <c r="AI244" s="220" t="s">
        <v>162</v>
      </c>
      <c r="AJ244" s="220" t="s">
        <v>162</v>
      </c>
      <c r="AK244" s="220" t="s">
        <v>162</v>
      </c>
      <c r="AL244" s="220" t="s">
        <v>162</v>
      </c>
      <c r="AM244" s="220" t="s">
        <v>162</v>
      </c>
      <c r="AN244" s="220" t="s">
        <v>162</v>
      </c>
      <c r="AO244" s="220" t="s">
        <v>162</v>
      </c>
      <c r="AP244" s="220" t="s">
        <v>162</v>
      </c>
      <c r="AQ244" s="220" t="s">
        <v>162</v>
      </c>
      <c r="AR244" s="220" t="s">
        <v>162</v>
      </c>
      <c r="AS244" s="220" t="s">
        <v>162</v>
      </c>
      <c r="AT244" s="220" t="s">
        <v>162</v>
      </c>
      <c r="AU244" s="220" t="s">
        <v>162</v>
      </c>
      <c r="AV244" s="220" t="s">
        <v>162</v>
      </c>
      <c r="AW244" s="259"/>
    </row>
    <row r="245">
      <c r="A245" s="122"/>
      <c r="B245" s="123"/>
      <c r="C245" s="450"/>
      <c r="D245" s="450"/>
      <c r="E245" s="257" t="s">
        <v>415</v>
      </c>
      <c r="F245" s="213" t="s">
        <v>72</v>
      </c>
      <c r="G245" s="214" t="s">
        <v>161</v>
      </c>
      <c r="H245" s="258">
        <f t="shared" si="76"/>
        <v>0.3747764121</v>
      </c>
      <c r="I245" s="220" t="s">
        <v>162</v>
      </c>
      <c r="J245" s="220" t="s">
        <v>162</v>
      </c>
      <c r="K245" s="220" t="s">
        <v>162</v>
      </c>
      <c r="L245" s="220" t="s">
        <v>162</v>
      </c>
      <c r="M245" s="220" t="s">
        <v>162</v>
      </c>
      <c r="N245" s="220" t="s">
        <v>162</v>
      </c>
      <c r="O245" s="220" t="s">
        <v>162</v>
      </c>
      <c r="P245" s="220" t="s">
        <v>162</v>
      </c>
      <c r="Q245" s="220" t="s">
        <v>162</v>
      </c>
      <c r="R245" s="220" t="s">
        <v>162</v>
      </c>
      <c r="S245" s="220" t="s">
        <v>162</v>
      </c>
      <c r="T245" s="220" t="s">
        <v>162</v>
      </c>
      <c r="U245" s="220" t="s">
        <v>162</v>
      </c>
      <c r="V245" s="220" t="s">
        <v>162</v>
      </c>
      <c r="W245" s="220" t="s">
        <v>162</v>
      </c>
      <c r="X245" s="220" t="s">
        <v>162</v>
      </c>
      <c r="Y245" s="220" t="s">
        <v>162</v>
      </c>
      <c r="Z245" s="220" t="s">
        <v>162</v>
      </c>
      <c r="AA245" s="220" t="s">
        <v>162</v>
      </c>
      <c r="AB245" s="220" t="s">
        <v>162</v>
      </c>
      <c r="AC245" s="220" t="s">
        <v>162</v>
      </c>
      <c r="AD245" s="220" t="s">
        <v>162</v>
      </c>
      <c r="AE245" s="220" t="s">
        <v>162</v>
      </c>
      <c r="AF245" s="220" t="s">
        <v>162</v>
      </c>
      <c r="AG245" s="220" t="s">
        <v>162</v>
      </c>
      <c r="AH245" s="220" t="s">
        <v>162</v>
      </c>
      <c r="AI245" s="220" t="s">
        <v>162</v>
      </c>
      <c r="AJ245" s="220" t="s">
        <v>162</v>
      </c>
      <c r="AK245" s="220" t="s">
        <v>162</v>
      </c>
      <c r="AL245" s="220" t="s">
        <v>162</v>
      </c>
      <c r="AM245" s="220" t="s">
        <v>162</v>
      </c>
      <c r="AN245" s="220" t="s">
        <v>162</v>
      </c>
      <c r="AO245" s="220" t="s">
        <v>162</v>
      </c>
      <c r="AP245" s="220" t="s">
        <v>162</v>
      </c>
      <c r="AQ245" s="220" t="s">
        <v>162</v>
      </c>
      <c r="AR245" s="220" t="s">
        <v>162</v>
      </c>
      <c r="AS245" s="220" t="s">
        <v>162</v>
      </c>
      <c r="AT245" s="220" t="s">
        <v>162</v>
      </c>
      <c r="AU245" s="220" t="s">
        <v>162</v>
      </c>
      <c r="AV245" s="220" t="s">
        <v>162</v>
      </c>
      <c r="AW245" s="259"/>
    </row>
    <row r="246">
      <c r="A246" s="122"/>
      <c r="B246" s="123"/>
      <c r="C246" s="450"/>
      <c r="D246" s="450"/>
      <c r="E246" s="272" t="s">
        <v>416</v>
      </c>
      <c r="F246" s="200" t="s">
        <v>72</v>
      </c>
      <c r="G246" s="201" t="s">
        <v>161</v>
      </c>
      <c r="H246" s="498">
        <f t="shared" si="76"/>
        <v>0.6934670705</v>
      </c>
      <c r="I246" s="493" t="s">
        <v>162</v>
      </c>
      <c r="J246" s="493" t="s">
        <v>162</v>
      </c>
      <c r="K246" s="493" t="s">
        <v>162</v>
      </c>
      <c r="L246" s="493" t="s">
        <v>162</v>
      </c>
      <c r="M246" s="493" t="s">
        <v>162</v>
      </c>
      <c r="N246" s="493" t="s">
        <v>162</v>
      </c>
      <c r="O246" s="493" t="s">
        <v>162</v>
      </c>
      <c r="P246" s="493" t="s">
        <v>162</v>
      </c>
      <c r="Q246" s="493" t="s">
        <v>162</v>
      </c>
      <c r="R246" s="493" t="s">
        <v>162</v>
      </c>
      <c r="S246" s="493" t="s">
        <v>162</v>
      </c>
      <c r="T246" s="493" t="s">
        <v>162</v>
      </c>
      <c r="U246" s="493" t="s">
        <v>162</v>
      </c>
      <c r="V246" s="493" t="s">
        <v>162</v>
      </c>
      <c r="W246" s="493" t="s">
        <v>162</v>
      </c>
      <c r="X246" s="493" t="s">
        <v>162</v>
      </c>
      <c r="Y246" s="493" t="s">
        <v>162</v>
      </c>
      <c r="Z246" s="493" t="s">
        <v>162</v>
      </c>
      <c r="AA246" s="493" t="s">
        <v>162</v>
      </c>
      <c r="AB246" s="493" t="s">
        <v>162</v>
      </c>
      <c r="AC246" s="493" t="s">
        <v>162</v>
      </c>
      <c r="AD246" s="493" t="s">
        <v>162</v>
      </c>
      <c r="AE246" s="493" t="s">
        <v>162</v>
      </c>
      <c r="AF246" s="493" t="s">
        <v>162</v>
      </c>
      <c r="AG246" s="493" t="s">
        <v>162</v>
      </c>
      <c r="AH246" s="493" t="s">
        <v>162</v>
      </c>
      <c r="AI246" s="493" t="s">
        <v>162</v>
      </c>
      <c r="AJ246" s="493" t="s">
        <v>162</v>
      </c>
      <c r="AK246" s="493" t="s">
        <v>162</v>
      </c>
      <c r="AL246" s="493" t="s">
        <v>162</v>
      </c>
      <c r="AM246" s="493" t="s">
        <v>162</v>
      </c>
      <c r="AN246" s="493" t="s">
        <v>162</v>
      </c>
      <c r="AO246" s="493" t="s">
        <v>162</v>
      </c>
      <c r="AP246" s="493" t="s">
        <v>162</v>
      </c>
      <c r="AQ246" s="493" t="s">
        <v>162</v>
      </c>
      <c r="AR246" s="493" t="s">
        <v>162</v>
      </c>
      <c r="AS246" s="493" t="s">
        <v>162</v>
      </c>
      <c r="AT246" s="493" t="s">
        <v>162</v>
      </c>
      <c r="AU246" s="493" t="s">
        <v>162</v>
      </c>
      <c r="AV246" s="493" t="s">
        <v>162</v>
      </c>
      <c r="AW246" s="274"/>
    </row>
    <row r="247">
      <c r="A247" s="122"/>
      <c r="B247" s="123"/>
      <c r="C247" s="450"/>
      <c r="D247" s="450"/>
      <c r="E247" s="269"/>
      <c r="F247" s="125"/>
      <c r="G247" s="132"/>
      <c r="H247" s="127"/>
      <c r="I247" s="128"/>
      <c r="J247" s="128"/>
      <c r="K247" s="128"/>
      <c r="L247" s="128"/>
      <c r="M247" s="128"/>
      <c r="N247" s="128"/>
      <c r="O247" s="128"/>
      <c r="P247" s="128"/>
      <c r="Q247" s="128"/>
      <c r="R247" s="128"/>
      <c r="S247" s="128"/>
      <c r="T247" s="317"/>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30"/>
    </row>
    <row r="248">
      <c r="A248" s="122"/>
      <c r="B248" s="123"/>
      <c r="C248" s="450" t="s">
        <v>700</v>
      </c>
      <c r="F248" s="125"/>
      <c r="G248" s="132"/>
      <c r="H248" s="127"/>
      <c r="I248" s="128"/>
      <c r="J248" s="128"/>
      <c r="K248" s="128"/>
      <c r="L248" s="128"/>
      <c r="M248" s="128"/>
      <c r="N248" s="128"/>
      <c r="O248" s="128"/>
      <c r="P248" s="128"/>
      <c r="Q248" s="128"/>
      <c r="R248" s="128"/>
      <c r="S248" s="128"/>
      <c r="T248" s="317"/>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30"/>
    </row>
    <row r="249">
      <c r="A249" s="122"/>
      <c r="B249" s="123"/>
      <c r="C249" s="131"/>
      <c r="D249" s="131"/>
      <c r="E249" s="254" t="s">
        <v>701</v>
      </c>
      <c r="F249" s="193" t="s">
        <v>72</v>
      </c>
      <c r="G249" s="194" t="s">
        <v>161</v>
      </c>
      <c r="H249" s="236" t="s">
        <v>162</v>
      </c>
      <c r="I249" s="237">
        <f t="shared" ref="I249:AV249" si="77">(I223/((I233*(1-$H241))+(1-I233)))</f>
        <v>0.00054673356</v>
      </c>
      <c r="J249" s="237">
        <f t="shared" si="77"/>
        <v>0.0002765128016</v>
      </c>
      <c r="K249" s="237">
        <f t="shared" si="77"/>
        <v>0.0006438282709</v>
      </c>
      <c r="L249" s="237">
        <f t="shared" si="77"/>
        <v>0.0001569438693</v>
      </c>
      <c r="M249" s="237">
        <f t="shared" si="77"/>
        <v>0.000301181989</v>
      </c>
      <c r="N249" s="237">
        <f t="shared" si="77"/>
        <v>0.0004334361061</v>
      </c>
      <c r="O249" s="237">
        <f t="shared" si="77"/>
        <v>0.0004798393106</v>
      </c>
      <c r="P249" s="237">
        <f t="shared" si="77"/>
        <v>0.0006520448957</v>
      </c>
      <c r="Q249" s="237">
        <f t="shared" si="77"/>
        <v>0.0007687630062</v>
      </c>
      <c r="R249" s="237">
        <f t="shared" si="77"/>
        <v>0.0000727367251</v>
      </c>
      <c r="S249" s="237">
        <f t="shared" si="77"/>
        <v>0.000240130076</v>
      </c>
      <c r="T249" s="237">
        <f t="shared" si="77"/>
        <v>0.00006419286014</v>
      </c>
      <c r="U249" s="237">
        <f t="shared" si="77"/>
        <v>0.00006991079687</v>
      </c>
      <c r="V249" s="237">
        <f t="shared" si="77"/>
        <v>0.00007115872893</v>
      </c>
      <c r="W249" s="237">
        <f t="shared" si="77"/>
        <v>0.0001720153524</v>
      </c>
      <c r="X249" s="237">
        <f t="shared" si="77"/>
        <v>0.0001505958519</v>
      </c>
      <c r="Y249" s="237">
        <f t="shared" si="77"/>
        <v>0.0000766803537</v>
      </c>
      <c r="Z249" s="237">
        <f t="shared" si="77"/>
        <v>0.00008698943293</v>
      </c>
      <c r="AA249" s="237">
        <f t="shared" si="77"/>
        <v>0.0001406001488</v>
      </c>
      <c r="AB249" s="237">
        <f t="shared" si="77"/>
        <v>0.00007246841911</v>
      </c>
      <c r="AC249" s="237">
        <f t="shared" si="77"/>
        <v>0.00006798511859</v>
      </c>
      <c r="AD249" s="237">
        <f t="shared" si="77"/>
        <v>0.00007174648198</v>
      </c>
      <c r="AE249" s="237">
        <f t="shared" si="77"/>
        <v>0.00009138515804</v>
      </c>
      <c r="AF249" s="237">
        <f t="shared" si="77"/>
        <v>0.00006319634345</v>
      </c>
      <c r="AG249" s="237">
        <f t="shared" si="77"/>
        <v>0.0001569438693</v>
      </c>
      <c r="AH249" s="237">
        <f t="shared" si="77"/>
        <v>0.0000682263653</v>
      </c>
      <c r="AI249" s="237">
        <f t="shared" si="77"/>
        <v>0.00006018655762</v>
      </c>
      <c r="AJ249" s="237">
        <f t="shared" si="77"/>
        <v>0.00005613084455</v>
      </c>
      <c r="AK249" s="237">
        <f t="shared" si="77"/>
        <v>0.0001310073477</v>
      </c>
      <c r="AL249" s="237">
        <f t="shared" si="77"/>
        <v>0.0001949921861</v>
      </c>
      <c r="AM249" s="237">
        <f t="shared" si="77"/>
        <v>0.0001949921861</v>
      </c>
      <c r="AN249" s="237">
        <f t="shared" si="77"/>
        <v>0.0001949921861</v>
      </c>
      <c r="AO249" s="237">
        <f t="shared" si="77"/>
        <v>0.00008205249965</v>
      </c>
      <c r="AP249" s="237">
        <f t="shared" si="77"/>
        <v>0.00007754393464</v>
      </c>
      <c r="AQ249" s="237">
        <f t="shared" si="77"/>
        <v>0.00004618173867</v>
      </c>
      <c r="AR249" s="237">
        <f t="shared" si="77"/>
        <v>0.00003753509864</v>
      </c>
      <c r="AS249" s="237">
        <f t="shared" si="77"/>
        <v>0.0001323900862</v>
      </c>
      <c r="AT249" s="237">
        <f t="shared" si="77"/>
        <v>0.00007619981713</v>
      </c>
      <c r="AU249" s="237">
        <f t="shared" si="77"/>
        <v>0.0002587393543</v>
      </c>
      <c r="AV249" s="237">
        <f t="shared" si="77"/>
        <v>0.0004331198226</v>
      </c>
      <c r="AW249" s="256"/>
    </row>
    <row r="250">
      <c r="A250" s="122"/>
      <c r="B250" s="123"/>
      <c r="C250" s="131"/>
      <c r="D250" s="131"/>
      <c r="E250" s="254" t="s">
        <v>702</v>
      </c>
      <c r="F250" s="193" t="s">
        <v>72</v>
      </c>
      <c r="G250" s="194" t="s">
        <v>161</v>
      </c>
      <c r="H250" s="236" t="s">
        <v>162</v>
      </c>
      <c r="I250" s="237">
        <f t="shared" ref="I250:AV250" si="78">(I224/((I234*(1-$H242))+(1-I234)))</f>
        <v>0.000345906464</v>
      </c>
      <c r="J250" s="237">
        <f t="shared" si="78"/>
        <v>0.0003233316833</v>
      </c>
      <c r="K250" s="237">
        <f t="shared" si="78"/>
        <v>0.0004537398827</v>
      </c>
      <c r="L250" s="237">
        <f t="shared" si="78"/>
        <v>0.0002602008402</v>
      </c>
      <c r="M250" s="237">
        <f t="shared" si="78"/>
        <v>0.0002662366249</v>
      </c>
      <c r="N250" s="237">
        <f t="shared" si="78"/>
        <v>0.0003523728009</v>
      </c>
      <c r="O250" s="237">
        <f t="shared" si="78"/>
        <v>0.0004970032059</v>
      </c>
      <c r="P250" s="237">
        <f t="shared" si="78"/>
        <v>0.0005443336057</v>
      </c>
      <c r="Q250" s="237">
        <f t="shared" si="78"/>
        <v>0.0005938502925</v>
      </c>
      <c r="R250" s="237">
        <f t="shared" si="78"/>
        <v>0.00008090056181</v>
      </c>
      <c r="S250" s="237">
        <f t="shared" si="78"/>
        <v>0.0001954978448</v>
      </c>
      <c r="T250" s="237">
        <f t="shared" si="78"/>
        <v>0.00008434341316</v>
      </c>
      <c r="U250" s="237">
        <f t="shared" si="78"/>
        <v>0.0001264200126</v>
      </c>
      <c r="V250" s="237">
        <f t="shared" si="78"/>
        <v>0.0001629439089</v>
      </c>
      <c r="W250" s="237">
        <f t="shared" si="78"/>
        <v>0.0001242059876</v>
      </c>
      <c r="X250" s="237">
        <f t="shared" si="78"/>
        <v>0.0001621336617</v>
      </c>
      <c r="Y250" s="237">
        <f t="shared" si="78"/>
        <v>0.00009262608997</v>
      </c>
      <c r="Z250" s="237">
        <f t="shared" si="78"/>
        <v>0.0001123644419</v>
      </c>
      <c r="AA250" s="237">
        <f t="shared" si="78"/>
        <v>0.000125341257</v>
      </c>
      <c r="AB250" s="237">
        <f t="shared" si="78"/>
        <v>0.00007587278997</v>
      </c>
      <c r="AC250" s="237">
        <f t="shared" si="78"/>
        <v>0.00005914999511</v>
      </c>
      <c r="AD250" s="237">
        <f t="shared" si="78"/>
        <v>0.00006796748704</v>
      </c>
      <c r="AE250" s="237">
        <f t="shared" si="78"/>
        <v>0.00008248807765</v>
      </c>
      <c r="AF250" s="237">
        <f t="shared" si="78"/>
        <v>0.00005226397188</v>
      </c>
      <c r="AG250" s="237">
        <f t="shared" si="78"/>
        <v>0.0002602008402</v>
      </c>
      <c r="AH250" s="237">
        <f t="shared" si="78"/>
        <v>0.0002758687855</v>
      </c>
      <c r="AI250" s="237">
        <f t="shared" si="78"/>
        <v>0.0001018153198</v>
      </c>
      <c r="AJ250" s="237">
        <f t="shared" si="78"/>
        <v>0.00004705601385</v>
      </c>
      <c r="AK250" s="237">
        <f t="shared" si="78"/>
        <v>0.0001536461133</v>
      </c>
      <c r="AL250" s="237">
        <f t="shared" si="78"/>
        <v>0.0002106644481</v>
      </c>
      <c r="AM250" s="237">
        <f t="shared" si="78"/>
        <v>0.0002106644481</v>
      </c>
      <c r="AN250" s="237">
        <f t="shared" si="78"/>
        <v>0.0002106644481</v>
      </c>
      <c r="AO250" s="237">
        <f t="shared" si="78"/>
        <v>0.0000928165003</v>
      </c>
      <c r="AP250" s="237">
        <f t="shared" si="78"/>
        <v>0.00007971815792</v>
      </c>
      <c r="AQ250" s="237">
        <f t="shared" si="78"/>
        <v>0.00004770243669</v>
      </c>
      <c r="AR250" s="237">
        <f t="shared" si="78"/>
        <v>0.00009594242055</v>
      </c>
      <c r="AS250" s="237">
        <f t="shared" si="78"/>
        <v>0.0001065936657</v>
      </c>
      <c r="AT250" s="237">
        <f t="shared" si="78"/>
        <v>0.00008605621362</v>
      </c>
      <c r="AU250" s="237">
        <f t="shared" si="78"/>
        <v>0.0002368843223</v>
      </c>
      <c r="AV250" s="237">
        <f t="shared" si="78"/>
        <v>0.0003178132509</v>
      </c>
      <c r="AW250" s="256"/>
    </row>
    <row r="251">
      <c r="A251" s="122"/>
      <c r="B251" s="123"/>
      <c r="C251" s="131"/>
      <c r="D251" s="131"/>
      <c r="E251" s="254" t="s">
        <v>703</v>
      </c>
      <c r="F251" s="193" t="s">
        <v>72</v>
      </c>
      <c r="G251" s="194" t="s">
        <v>161</v>
      </c>
      <c r="H251" s="236" t="s">
        <v>162</v>
      </c>
      <c r="I251" s="237">
        <f t="shared" ref="I251:AV251" si="79">(I225/((I234*(1-$H243))+(1-I234)))</f>
        <v>0.0000608028402</v>
      </c>
      <c r="J251" s="237">
        <f t="shared" si="79"/>
        <v>0.00005511632083</v>
      </c>
      <c r="K251" s="237">
        <f t="shared" si="79"/>
        <v>0.00006863211443</v>
      </c>
      <c r="L251" s="237">
        <f t="shared" si="79"/>
        <v>0.00004282489711</v>
      </c>
      <c r="M251" s="237">
        <f t="shared" si="79"/>
        <v>0.00006230380278</v>
      </c>
      <c r="N251" s="237">
        <f t="shared" si="79"/>
        <v>0.00005103358983</v>
      </c>
      <c r="O251" s="237">
        <f t="shared" si="79"/>
        <v>0.00005686649238</v>
      </c>
      <c r="P251" s="237">
        <f t="shared" si="79"/>
        <v>0.00006858980703</v>
      </c>
      <c r="Q251" s="237">
        <f t="shared" si="79"/>
        <v>0.00007614460673</v>
      </c>
      <c r="R251" s="237">
        <f t="shared" si="79"/>
        <v>0.00002755027209</v>
      </c>
      <c r="S251" s="237">
        <f t="shared" si="79"/>
        <v>0.00005722240148</v>
      </c>
      <c r="T251" s="237">
        <f t="shared" si="79"/>
        <v>0.00002230960967</v>
      </c>
      <c r="U251" s="237">
        <f t="shared" si="79"/>
        <v>0.0000232604257</v>
      </c>
      <c r="V251" s="237">
        <f t="shared" si="79"/>
        <v>0.00002332140081</v>
      </c>
      <c r="W251" s="237">
        <f t="shared" si="79"/>
        <v>0.00004182871487</v>
      </c>
      <c r="X251" s="237">
        <f t="shared" si="79"/>
        <v>0.00002861721508</v>
      </c>
      <c r="Y251" s="237">
        <f t="shared" si="79"/>
        <v>0.00003346285638</v>
      </c>
      <c r="Z251" s="237">
        <f t="shared" si="79"/>
        <v>0.00002972592898</v>
      </c>
      <c r="AA251" s="237">
        <f t="shared" si="79"/>
        <v>0.00004471568133</v>
      </c>
      <c r="AB251" s="237">
        <f t="shared" si="79"/>
        <v>0.00002559960966</v>
      </c>
      <c r="AC251" s="237">
        <f t="shared" si="79"/>
        <v>0.00002429891084</v>
      </c>
      <c r="AD251" s="237">
        <f t="shared" si="79"/>
        <v>0.00002164776728</v>
      </c>
      <c r="AE251" s="237">
        <f t="shared" si="79"/>
        <v>0.00003126841368</v>
      </c>
      <c r="AF251" s="237">
        <f t="shared" si="79"/>
        <v>0.00002237142974</v>
      </c>
      <c r="AG251" s="237">
        <f t="shared" si="79"/>
        <v>0.00004282489711</v>
      </c>
      <c r="AH251" s="237">
        <f t="shared" si="79"/>
        <v>0.00002193409207</v>
      </c>
      <c r="AI251" s="237">
        <f t="shared" si="79"/>
        <v>0.00001870059415</v>
      </c>
      <c r="AJ251" s="237">
        <f t="shared" si="79"/>
        <v>0.00002197524762</v>
      </c>
      <c r="AK251" s="237">
        <f t="shared" si="79"/>
        <v>0.00003622164878</v>
      </c>
      <c r="AL251" s="237">
        <f t="shared" si="79"/>
        <v>0.00004134079631</v>
      </c>
      <c r="AM251" s="237">
        <f t="shared" si="79"/>
        <v>0.00004134079631</v>
      </c>
      <c r="AN251" s="237">
        <f t="shared" si="79"/>
        <v>0.00004134079631</v>
      </c>
      <c r="AO251" s="237">
        <f t="shared" si="79"/>
        <v>0.00002417287292</v>
      </c>
      <c r="AP251" s="237">
        <f t="shared" si="79"/>
        <v>0.00002760295507</v>
      </c>
      <c r="AQ251" s="237">
        <f t="shared" si="79"/>
        <v>0.00001581785544</v>
      </c>
      <c r="AR251" s="237">
        <f t="shared" si="79"/>
        <v>0.00001453566141</v>
      </c>
      <c r="AS251" s="237">
        <f t="shared" si="79"/>
        <v>0.00003487723836</v>
      </c>
      <c r="AT251" s="237">
        <f t="shared" si="79"/>
        <v>0.00002691839253</v>
      </c>
      <c r="AU251" s="237">
        <f t="shared" si="79"/>
        <v>0.00005989706864</v>
      </c>
      <c r="AV251" s="237">
        <f t="shared" si="79"/>
        <v>0.00004970606954</v>
      </c>
      <c r="AW251" s="256"/>
    </row>
    <row r="252">
      <c r="A252" s="122"/>
      <c r="B252" s="123"/>
      <c r="C252" s="131"/>
      <c r="D252" s="131"/>
      <c r="E252" s="254" t="s">
        <v>704</v>
      </c>
      <c r="F252" s="193" t="s">
        <v>72</v>
      </c>
      <c r="G252" s="194" t="s">
        <v>161</v>
      </c>
      <c r="H252" s="236" t="s">
        <v>162</v>
      </c>
      <c r="I252" s="237">
        <f t="shared" ref="I252:AV252" si="80">(I226/((I235*(1-$H244))+(1-I235)))</f>
        <v>0.0007354625999</v>
      </c>
      <c r="J252" s="237">
        <f t="shared" si="80"/>
        <v>0.0006497070313</v>
      </c>
      <c r="K252" s="237">
        <f t="shared" si="80"/>
        <v>0.0008016971833</v>
      </c>
      <c r="L252" s="237">
        <f t="shared" si="80"/>
        <v>0.0004930169774</v>
      </c>
      <c r="M252" s="237">
        <f t="shared" si="80"/>
        <v>0.0007433688744</v>
      </c>
      <c r="N252" s="237">
        <f t="shared" si="80"/>
        <v>0.0006048517779</v>
      </c>
      <c r="O252" s="237">
        <f t="shared" si="80"/>
        <v>0.0006594617381</v>
      </c>
      <c r="P252" s="237">
        <f t="shared" si="80"/>
        <v>0.0008387914333</v>
      </c>
      <c r="Q252" s="237">
        <f t="shared" si="80"/>
        <v>0.0009192108894</v>
      </c>
      <c r="R252" s="237">
        <f t="shared" si="80"/>
        <v>0.0003093594636</v>
      </c>
      <c r="S252" s="237">
        <f t="shared" si="80"/>
        <v>0.0006628518467</v>
      </c>
      <c r="T252" s="237">
        <f t="shared" si="80"/>
        <v>0.0002513617904</v>
      </c>
      <c r="U252" s="237">
        <f t="shared" si="80"/>
        <v>0.0002663999899</v>
      </c>
      <c r="V252" s="237">
        <f t="shared" si="80"/>
        <v>0.0002657287624</v>
      </c>
      <c r="W252" s="237">
        <f t="shared" si="80"/>
        <v>0.0004757961496</v>
      </c>
      <c r="X252" s="237">
        <f t="shared" si="80"/>
        <v>0.0003381512072</v>
      </c>
      <c r="Y252" s="237">
        <f t="shared" si="80"/>
        <v>0.0003798614779</v>
      </c>
      <c r="Z252" s="237">
        <f t="shared" si="80"/>
        <v>0.0003389314067</v>
      </c>
      <c r="AA252" s="237">
        <f t="shared" si="80"/>
        <v>0.0004872146271</v>
      </c>
      <c r="AB252" s="237">
        <f t="shared" si="80"/>
        <v>0.0002822522092</v>
      </c>
      <c r="AC252" s="237">
        <f t="shared" si="80"/>
        <v>0.0002675975201</v>
      </c>
      <c r="AD252" s="237">
        <f t="shared" si="80"/>
        <v>0.0002362839903</v>
      </c>
      <c r="AE252" s="237">
        <f t="shared" si="80"/>
        <v>0.0003504003363</v>
      </c>
      <c r="AF252" s="237">
        <f t="shared" si="80"/>
        <v>0.0002465876324</v>
      </c>
      <c r="AG252" s="237">
        <f t="shared" si="80"/>
        <v>0.0004930169774</v>
      </c>
      <c r="AH252" s="237">
        <f t="shared" si="80"/>
        <v>0.0002500396596</v>
      </c>
      <c r="AI252" s="237">
        <f t="shared" si="80"/>
        <v>0.0002173409878</v>
      </c>
      <c r="AJ252" s="237">
        <f t="shared" si="80"/>
        <v>0.0002437189509</v>
      </c>
      <c r="AK252" s="237">
        <f t="shared" si="80"/>
        <v>0.0004212281468</v>
      </c>
      <c r="AL252" s="237">
        <f t="shared" si="80"/>
        <v>0.0004882811017</v>
      </c>
      <c r="AM252" s="237">
        <f t="shared" si="80"/>
        <v>0.0004882811017</v>
      </c>
      <c r="AN252" s="237">
        <f t="shared" si="80"/>
        <v>0.0004882811017</v>
      </c>
      <c r="AO252" s="237">
        <f t="shared" si="80"/>
        <v>0.0002833365245</v>
      </c>
      <c r="AP252" s="237">
        <f t="shared" si="80"/>
        <v>0.000319809044</v>
      </c>
      <c r="AQ252" s="237">
        <f t="shared" si="80"/>
        <v>0.000174758031</v>
      </c>
      <c r="AR252" s="237">
        <f t="shared" si="80"/>
        <v>0.0001681379351</v>
      </c>
      <c r="AS252" s="237">
        <f t="shared" si="80"/>
        <v>0.0003922779562</v>
      </c>
      <c r="AT252" s="237">
        <f t="shared" si="80"/>
        <v>0.0003010835785</v>
      </c>
      <c r="AU252" s="237">
        <f t="shared" si="80"/>
        <v>0.000692248857</v>
      </c>
      <c r="AV252" s="237">
        <f t="shared" si="80"/>
        <v>0.0005625215697</v>
      </c>
      <c r="AW252" s="256"/>
    </row>
    <row r="253">
      <c r="A253" s="122"/>
      <c r="B253" s="123"/>
      <c r="C253" s="131"/>
      <c r="D253" s="131"/>
      <c r="E253" s="254" t="s">
        <v>705</v>
      </c>
      <c r="F253" s="213" t="s">
        <v>72</v>
      </c>
      <c r="G253" s="214" t="s">
        <v>161</v>
      </c>
      <c r="H253" s="240" t="s">
        <v>162</v>
      </c>
      <c r="I253" s="237">
        <f t="shared" ref="I253:AV253" si="81">(I227/((I236*(1-$H245))+(1-I236)))</f>
        <v>0.0005182666608</v>
      </c>
      <c r="J253" s="237">
        <f t="shared" si="81"/>
        <v>0.0003150714352</v>
      </c>
      <c r="K253" s="237">
        <f t="shared" si="81"/>
        <v>0.0003310076789</v>
      </c>
      <c r="L253" s="237">
        <f t="shared" si="81"/>
        <v>0.0001241767256</v>
      </c>
      <c r="M253" s="237">
        <f t="shared" si="81"/>
        <v>0.0002357636415</v>
      </c>
      <c r="N253" s="237">
        <f t="shared" si="81"/>
        <v>0.0003432454654</v>
      </c>
      <c r="O253" s="237">
        <f t="shared" si="81"/>
        <v>0.0003961223709</v>
      </c>
      <c r="P253" s="237">
        <f t="shared" si="81"/>
        <v>0.000488167204</v>
      </c>
      <c r="Q253" s="237">
        <f t="shared" si="81"/>
        <v>0.0004995101727</v>
      </c>
      <c r="R253" s="237">
        <f t="shared" si="81"/>
        <v>0.0001193775502</v>
      </c>
      <c r="S253" s="237">
        <f t="shared" si="81"/>
        <v>0.0002673933289</v>
      </c>
      <c r="T253" s="237">
        <f t="shared" si="81"/>
        <v>0.0000569683445</v>
      </c>
      <c r="U253" s="237">
        <f t="shared" si="81"/>
        <v>0.0000483696067</v>
      </c>
      <c r="V253" s="237">
        <f t="shared" si="81"/>
        <v>0.0001804513557</v>
      </c>
      <c r="W253" s="237">
        <f t="shared" si="81"/>
        <v>0.0002625886186</v>
      </c>
      <c r="X253" s="237">
        <f t="shared" si="81"/>
        <v>0.0002377706163</v>
      </c>
      <c r="Y253" s="237">
        <f t="shared" si="81"/>
        <v>0.0001127245337</v>
      </c>
      <c r="Z253" s="237">
        <f t="shared" si="81"/>
        <v>0.00006496118917</v>
      </c>
      <c r="AA253" s="237">
        <f t="shared" si="81"/>
        <v>0.0001409081579</v>
      </c>
      <c r="AB253" s="237">
        <f t="shared" si="81"/>
        <v>0.00005455030696</v>
      </c>
      <c r="AC253" s="237">
        <f t="shared" si="81"/>
        <v>0.00005462373737</v>
      </c>
      <c r="AD253" s="237">
        <f t="shared" si="81"/>
        <v>0.0000667962114</v>
      </c>
      <c r="AE253" s="237">
        <f t="shared" si="81"/>
        <v>0.00005307062887</v>
      </c>
      <c r="AF253" s="237">
        <f t="shared" si="81"/>
        <v>0.00004411064298</v>
      </c>
      <c r="AG253" s="237">
        <f t="shared" si="81"/>
        <v>0.0001241767256</v>
      </c>
      <c r="AH253" s="237">
        <f t="shared" si="81"/>
        <v>0.00008139041294</v>
      </c>
      <c r="AI253" s="237">
        <f t="shared" si="81"/>
        <v>0.00006969689705</v>
      </c>
      <c r="AJ253" s="237">
        <f t="shared" si="81"/>
        <v>0.00002793307518</v>
      </c>
      <c r="AK253" s="237">
        <f t="shared" si="81"/>
        <v>0.0001348558686</v>
      </c>
      <c r="AL253" s="237">
        <f t="shared" si="81"/>
        <v>0.0002170244963</v>
      </c>
      <c r="AM253" s="237">
        <f t="shared" si="81"/>
        <v>0.0002170244963</v>
      </c>
      <c r="AN253" s="237">
        <f t="shared" si="81"/>
        <v>0.0002170244963</v>
      </c>
      <c r="AO253" s="237">
        <f t="shared" si="81"/>
        <v>0.0000638018005</v>
      </c>
      <c r="AP253" s="237">
        <f t="shared" si="81"/>
        <v>0.00008180774858</v>
      </c>
      <c r="AQ253" s="237">
        <f t="shared" si="81"/>
        <v>0.00003894320857</v>
      </c>
      <c r="AR253" s="237">
        <f t="shared" si="81"/>
        <v>0.00006234241724</v>
      </c>
      <c r="AS253" s="237">
        <f t="shared" si="81"/>
        <v>0.0001543949994</v>
      </c>
      <c r="AT253" s="237">
        <f t="shared" si="81"/>
        <v>0.00005245920079</v>
      </c>
      <c r="AU253" s="237">
        <f t="shared" si="81"/>
        <v>0.0003119578382</v>
      </c>
      <c r="AV253" s="237">
        <f t="shared" si="81"/>
        <v>0.0003538762699</v>
      </c>
      <c r="AW253" s="259"/>
    </row>
    <row r="254">
      <c r="A254" s="122"/>
      <c r="B254" s="123"/>
      <c r="C254" s="131"/>
      <c r="D254" s="131"/>
      <c r="E254" s="257" t="s">
        <v>706</v>
      </c>
      <c r="F254" s="213" t="s">
        <v>72</v>
      </c>
      <c r="G254" s="214" t="s">
        <v>161</v>
      </c>
      <c r="H254" s="240" t="s">
        <v>162</v>
      </c>
      <c r="I254" s="237">
        <f t="shared" ref="I254:AV254" si="82">(I228/((I237*(1-$H246))+(1-I237)))</f>
        <v>0.0002579893609</v>
      </c>
      <c r="J254" s="237">
        <f t="shared" si="82"/>
        <v>0.0001416163104</v>
      </c>
      <c r="K254" s="237">
        <f t="shared" si="82"/>
        <v>0.0003188113449</v>
      </c>
      <c r="L254" s="237">
        <f t="shared" si="82"/>
        <v>0.0001200338339</v>
      </c>
      <c r="M254" s="237">
        <f t="shared" si="82"/>
        <v>0.0001053901193</v>
      </c>
      <c r="N254" s="237">
        <f t="shared" si="82"/>
        <v>0.0002714155776</v>
      </c>
      <c r="O254" s="237">
        <f t="shared" si="82"/>
        <v>0.0002795377139</v>
      </c>
      <c r="P254" s="237">
        <f t="shared" si="82"/>
        <v>0.0003305220419</v>
      </c>
      <c r="Q254" s="237">
        <f t="shared" si="82"/>
        <v>0.0003812947922</v>
      </c>
      <c r="R254" s="237">
        <f t="shared" si="82"/>
        <v>0.00002907226558</v>
      </c>
      <c r="S254" s="237">
        <f t="shared" si="82"/>
        <v>0.00008962732334</v>
      </c>
      <c r="T254" s="237">
        <f t="shared" si="82"/>
        <v>0.00003988031105</v>
      </c>
      <c r="U254" s="237">
        <f t="shared" si="82"/>
        <v>0.00003061783665</v>
      </c>
      <c r="V254" s="237">
        <f t="shared" si="82"/>
        <v>0.00006393867265</v>
      </c>
      <c r="W254" s="237">
        <f t="shared" si="82"/>
        <v>0.00005719267261</v>
      </c>
      <c r="X254" s="237">
        <f t="shared" si="82"/>
        <v>0.00009481170499</v>
      </c>
      <c r="Y254" s="237">
        <f t="shared" si="82"/>
        <v>0.00004754180598</v>
      </c>
      <c r="Z254" s="237">
        <f t="shared" si="82"/>
        <v>0.00004568137384</v>
      </c>
      <c r="AA254" s="237">
        <f t="shared" si="82"/>
        <v>0.00006517526132</v>
      </c>
      <c r="AB254" s="237">
        <f t="shared" si="82"/>
        <v>0.00003298085759</v>
      </c>
      <c r="AC254" s="237">
        <f t="shared" si="82"/>
        <v>0.00003984600533</v>
      </c>
      <c r="AD254" s="237">
        <f t="shared" si="82"/>
        <v>0.00002858629457</v>
      </c>
      <c r="AE254" s="237">
        <f t="shared" si="82"/>
        <v>0.00003107255726</v>
      </c>
      <c r="AF254" s="237">
        <f t="shared" si="82"/>
        <v>0.00002351380098</v>
      </c>
      <c r="AG254" s="237">
        <f t="shared" si="82"/>
        <v>0.0001200338339</v>
      </c>
      <c r="AH254" s="237">
        <f t="shared" si="82"/>
        <v>0.00005205713087</v>
      </c>
      <c r="AI254" s="237">
        <f t="shared" si="82"/>
        <v>0.000055453007</v>
      </c>
      <c r="AJ254" s="237">
        <f t="shared" si="82"/>
        <v>0.00002291913707</v>
      </c>
      <c r="AK254" s="237">
        <f t="shared" si="82"/>
        <v>0.00006541213184</v>
      </c>
      <c r="AL254" s="237">
        <f t="shared" si="82"/>
        <v>0.00009456063019</v>
      </c>
      <c r="AM254" s="237">
        <f t="shared" si="82"/>
        <v>0.00009456063019</v>
      </c>
      <c r="AN254" s="237">
        <f t="shared" si="82"/>
        <v>0.00009456063019</v>
      </c>
      <c r="AO254" s="237">
        <f t="shared" si="82"/>
        <v>0.00003543522197</v>
      </c>
      <c r="AP254" s="237">
        <f t="shared" si="82"/>
        <v>0.00003828541794</v>
      </c>
      <c r="AQ254" s="237">
        <f t="shared" si="82"/>
        <v>0.00002349064462</v>
      </c>
      <c r="AR254" s="237">
        <f t="shared" si="82"/>
        <v>0.00003189340929</v>
      </c>
      <c r="AS254" s="237">
        <f t="shared" si="82"/>
        <v>0.0000558950553</v>
      </c>
      <c r="AT254" s="237">
        <f t="shared" si="82"/>
        <v>0.00003679480165</v>
      </c>
      <c r="AU254" s="237">
        <f t="shared" si="82"/>
        <v>0.0001050489217</v>
      </c>
      <c r="AV254" s="237">
        <f t="shared" si="82"/>
        <v>0.0002015455534</v>
      </c>
      <c r="AW254" s="259"/>
    </row>
    <row r="255">
      <c r="A255" s="122"/>
      <c r="B255" s="123"/>
      <c r="C255" s="131"/>
      <c r="D255" s="131"/>
      <c r="E255" s="272" t="s">
        <v>198</v>
      </c>
      <c r="F255" s="200" t="s">
        <v>72</v>
      </c>
      <c r="G255" s="201" t="s">
        <v>161</v>
      </c>
      <c r="H255" s="228" t="s">
        <v>162</v>
      </c>
      <c r="I255" s="590">
        <f t="shared" ref="I255:AV255" si="83">SUM(I249:I254)</f>
        <v>0.002465161486</v>
      </c>
      <c r="J255" s="590">
        <f t="shared" si="83"/>
        <v>0.001761355583</v>
      </c>
      <c r="K255" s="590">
        <f t="shared" si="83"/>
        <v>0.002617716475</v>
      </c>
      <c r="L255" s="590">
        <f t="shared" si="83"/>
        <v>0.001197197143</v>
      </c>
      <c r="M255" s="590">
        <f t="shared" si="83"/>
        <v>0.001714245052</v>
      </c>
      <c r="N255" s="590">
        <f t="shared" si="83"/>
        <v>0.002056355318</v>
      </c>
      <c r="O255" s="590">
        <f t="shared" si="83"/>
        <v>0.002368830832</v>
      </c>
      <c r="P255" s="590">
        <f t="shared" si="83"/>
        <v>0.002922448988</v>
      </c>
      <c r="Q255" s="590">
        <f t="shared" si="83"/>
        <v>0.00323877376</v>
      </c>
      <c r="R255" s="590">
        <f t="shared" si="83"/>
        <v>0.0006389968384</v>
      </c>
      <c r="S255" s="590">
        <f t="shared" si="83"/>
        <v>0.001512722821</v>
      </c>
      <c r="T255" s="590">
        <f t="shared" si="83"/>
        <v>0.0005190563289</v>
      </c>
      <c r="U255" s="590">
        <f t="shared" si="83"/>
        <v>0.0005649786685</v>
      </c>
      <c r="V255" s="590">
        <f t="shared" si="83"/>
        <v>0.0007675428293</v>
      </c>
      <c r="W255" s="590">
        <f t="shared" si="83"/>
        <v>0.001133627496</v>
      </c>
      <c r="X255" s="590">
        <f t="shared" si="83"/>
        <v>0.001012080257</v>
      </c>
      <c r="Y255" s="590">
        <f t="shared" si="83"/>
        <v>0.0007428971177</v>
      </c>
      <c r="Z255" s="590">
        <f t="shared" si="83"/>
        <v>0.0006786537735</v>
      </c>
      <c r="AA255" s="590">
        <f t="shared" si="83"/>
        <v>0.001003955134</v>
      </c>
      <c r="AB255" s="590">
        <f t="shared" si="83"/>
        <v>0.0005437241925</v>
      </c>
      <c r="AC255" s="590">
        <f t="shared" si="83"/>
        <v>0.0005135012873</v>
      </c>
      <c r="AD255" s="590">
        <f t="shared" si="83"/>
        <v>0.0004930282326</v>
      </c>
      <c r="AE255" s="590">
        <f t="shared" si="83"/>
        <v>0.0006396851718</v>
      </c>
      <c r="AF255" s="590">
        <f t="shared" si="83"/>
        <v>0.0004520438214</v>
      </c>
      <c r="AG255" s="590">
        <f t="shared" si="83"/>
        <v>0.001197197143</v>
      </c>
      <c r="AH255" s="590">
        <f t="shared" si="83"/>
        <v>0.0007495164463</v>
      </c>
      <c r="AI255" s="590">
        <f t="shared" si="83"/>
        <v>0.0005231933634</v>
      </c>
      <c r="AJ255" s="590">
        <f t="shared" si="83"/>
        <v>0.0004197332691</v>
      </c>
      <c r="AK255" s="590">
        <f t="shared" si="83"/>
        <v>0.0009423712571</v>
      </c>
      <c r="AL255" s="590">
        <f t="shared" si="83"/>
        <v>0.001246863659</v>
      </c>
      <c r="AM255" s="590">
        <f t="shared" si="83"/>
        <v>0.001246863659</v>
      </c>
      <c r="AN255" s="590">
        <f t="shared" si="83"/>
        <v>0.001246863659</v>
      </c>
      <c r="AO255" s="590">
        <f t="shared" si="83"/>
        <v>0.0005816154199</v>
      </c>
      <c r="AP255" s="590">
        <f t="shared" si="83"/>
        <v>0.0006247672581</v>
      </c>
      <c r="AQ255" s="590">
        <f t="shared" si="83"/>
        <v>0.000346893915</v>
      </c>
      <c r="AR255" s="590">
        <f t="shared" si="83"/>
        <v>0.0004103869422</v>
      </c>
      <c r="AS255" s="590">
        <f t="shared" si="83"/>
        <v>0.0008764290011</v>
      </c>
      <c r="AT255" s="590">
        <f t="shared" si="83"/>
        <v>0.0005795120042</v>
      </c>
      <c r="AU255" s="590">
        <f t="shared" si="83"/>
        <v>0.001664776362</v>
      </c>
      <c r="AV255" s="590">
        <f t="shared" si="83"/>
        <v>0.001918582536</v>
      </c>
      <c r="AW255" s="601"/>
    </row>
    <row r="256">
      <c r="A256" s="122"/>
      <c r="B256" s="123"/>
      <c r="C256" s="131"/>
      <c r="D256" s="131"/>
      <c r="E256" s="269"/>
      <c r="F256" s="141"/>
      <c r="G256" s="142"/>
      <c r="H256" s="127"/>
      <c r="I256" s="317"/>
      <c r="J256" s="317"/>
      <c r="K256" s="317"/>
      <c r="L256" s="317"/>
      <c r="M256" s="317"/>
      <c r="N256" s="317"/>
      <c r="O256" s="317"/>
      <c r="P256" s="317"/>
      <c r="Q256" s="317"/>
      <c r="R256" s="317"/>
      <c r="S256" s="317"/>
      <c r="T256" s="317"/>
      <c r="U256" s="317"/>
      <c r="V256" s="317"/>
      <c r="W256" s="317"/>
      <c r="X256" s="317"/>
      <c r="Y256" s="317"/>
      <c r="Z256" s="317"/>
      <c r="AA256" s="317"/>
      <c r="AB256" s="317"/>
      <c r="AC256" s="317"/>
      <c r="AD256" s="317"/>
      <c r="AE256" s="317"/>
      <c r="AF256" s="317"/>
      <c r="AG256" s="317"/>
      <c r="AH256" s="317"/>
      <c r="AI256" s="317"/>
      <c r="AJ256" s="317"/>
      <c r="AK256" s="317"/>
      <c r="AL256" s="317"/>
      <c r="AM256" s="317"/>
      <c r="AN256" s="317"/>
      <c r="AO256" s="317"/>
      <c r="AP256" s="317"/>
      <c r="AQ256" s="317"/>
      <c r="AR256" s="317"/>
      <c r="AS256" s="317"/>
      <c r="AT256" s="317"/>
      <c r="AU256" s="317"/>
      <c r="AV256" s="317"/>
      <c r="AW256" s="130"/>
    </row>
    <row r="257">
      <c r="A257" s="122"/>
      <c r="B257" s="123"/>
      <c r="C257" s="450" t="s">
        <v>417</v>
      </c>
      <c r="F257" s="141"/>
      <c r="G257" s="142"/>
      <c r="H257" s="127"/>
      <c r="I257" s="317"/>
      <c r="J257" s="317"/>
      <c r="K257" s="317"/>
      <c r="L257" s="317"/>
      <c r="M257" s="317"/>
      <c r="N257" s="317"/>
      <c r="O257" s="317"/>
      <c r="P257" s="317"/>
      <c r="Q257" s="317"/>
      <c r="R257" s="317"/>
      <c r="S257" s="317"/>
      <c r="T257" s="317"/>
      <c r="U257" s="317"/>
      <c r="V257" s="317"/>
      <c r="W257" s="317"/>
      <c r="X257" s="317"/>
      <c r="Y257" s="317"/>
      <c r="Z257" s="317"/>
      <c r="AA257" s="317"/>
      <c r="AB257" s="317"/>
      <c r="AC257" s="317"/>
      <c r="AD257" s="317"/>
      <c r="AE257" s="317"/>
      <c r="AF257" s="317"/>
      <c r="AG257" s="317"/>
      <c r="AH257" s="317"/>
      <c r="AI257" s="317"/>
      <c r="AJ257" s="317"/>
      <c r="AK257" s="317"/>
      <c r="AL257" s="317"/>
      <c r="AM257" s="317"/>
      <c r="AN257" s="317"/>
      <c r="AO257" s="317"/>
      <c r="AP257" s="317"/>
      <c r="AQ257" s="317"/>
      <c r="AR257" s="317"/>
      <c r="AS257" s="317"/>
      <c r="AT257" s="317"/>
      <c r="AU257" s="317"/>
      <c r="AV257" s="317"/>
      <c r="AW257" s="130"/>
    </row>
    <row r="258">
      <c r="A258" s="122"/>
      <c r="B258" s="123"/>
      <c r="C258" s="131"/>
      <c r="D258" s="131"/>
      <c r="E258" s="254" t="s">
        <v>418</v>
      </c>
      <c r="F258" s="193" t="s">
        <v>72</v>
      </c>
      <c r="G258" s="194" t="s">
        <v>161</v>
      </c>
      <c r="H258" s="236" t="s">
        <v>162</v>
      </c>
      <c r="I258" s="383">
        <f t="shared" ref="I258:AV258" si="84">I249/I$255</f>
        <v>0.2217840751</v>
      </c>
      <c r="J258" s="383">
        <f t="shared" si="84"/>
        <v>0.156988631</v>
      </c>
      <c r="K258" s="383">
        <f t="shared" si="84"/>
        <v>0.2459503453</v>
      </c>
      <c r="L258" s="383">
        <f t="shared" si="84"/>
        <v>0.1310927529</v>
      </c>
      <c r="M258" s="383">
        <f t="shared" si="84"/>
        <v>0.175693661</v>
      </c>
      <c r="N258" s="383">
        <f t="shared" si="84"/>
        <v>0.2107787999</v>
      </c>
      <c r="O258" s="383">
        <f t="shared" si="84"/>
        <v>0.2025637729</v>
      </c>
      <c r="P258" s="383">
        <f t="shared" si="84"/>
        <v>0.2231159204</v>
      </c>
      <c r="Q258" s="383">
        <f t="shared" si="84"/>
        <v>0.2373623671</v>
      </c>
      <c r="R258" s="383">
        <f t="shared" si="84"/>
        <v>0.113829554</v>
      </c>
      <c r="S258" s="383">
        <f t="shared" si="84"/>
        <v>0.158740301</v>
      </c>
      <c r="T258" s="383">
        <f t="shared" si="84"/>
        <v>0.1236722424</v>
      </c>
      <c r="U258" s="383">
        <f t="shared" si="84"/>
        <v>0.1237405955</v>
      </c>
      <c r="V258" s="383">
        <f t="shared" si="84"/>
        <v>0.09270978271</v>
      </c>
      <c r="W258" s="383">
        <f t="shared" si="84"/>
        <v>0.1517388675</v>
      </c>
      <c r="X258" s="383">
        <f t="shared" si="84"/>
        <v>0.1487983298</v>
      </c>
      <c r="Y258" s="383">
        <f t="shared" si="84"/>
        <v>0.1032179987</v>
      </c>
      <c r="Z258" s="383">
        <f t="shared" si="84"/>
        <v>0.1281793992</v>
      </c>
      <c r="AA258" s="383">
        <f t="shared" si="84"/>
        <v>0.1400462472</v>
      </c>
      <c r="AB258" s="383">
        <f t="shared" si="84"/>
        <v>0.1332815794</v>
      </c>
      <c r="AC258" s="383">
        <f t="shared" si="84"/>
        <v>0.1323952252</v>
      </c>
      <c r="AD258" s="383">
        <f t="shared" si="84"/>
        <v>0.1455220558</v>
      </c>
      <c r="AE258" s="383">
        <f t="shared" si="84"/>
        <v>0.1428595848</v>
      </c>
      <c r="AF258" s="383">
        <f t="shared" si="84"/>
        <v>0.1398013654</v>
      </c>
      <c r="AG258" s="383">
        <f t="shared" si="84"/>
        <v>0.1310927529</v>
      </c>
      <c r="AH258" s="383">
        <f t="shared" si="84"/>
        <v>0.09102717577</v>
      </c>
      <c r="AI258" s="383">
        <f t="shared" si="84"/>
        <v>0.1150369287</v>
      </c>
      <c r="AJ258" s="383">
        <f t="shared" si="84"/>
        <v>0.1337297962</v>
      </c>
      <c r="AK258" s="383">
        <f t="shared" si="84"/>
        <v>0.139018828</v>
      </c>
      <c r="AL258" s="383">
        <f t="shared" si="84"/>
        <v>0.1563861331</v>
      </c>
      <c r="AM258" s="383">
        <f t="shared" si="84"/>
        <v>0.1563861331</v>
      </c>
      <c r="AN258" s="383">
        <f t="shared" si="84"/>
        <v>0.1563861331</v>
      </c>
      <c r="AO258" s="383">
        <f t="shared" si="84"/>
        <v>0.1410768987</v>
      </c>
      <c r="AP258" s="383">
        <f t="shared" si="84"/>
        <v>0.1241165148</v>
      </c>
      <c r="AQ258" s="383">
        <f t="shared" si="84"/>
        <v>0.1331292844</v>
      </c>
      <c r="AR258" s="383">
        <f t="shared" si="84"/>
        <v>0.09146270211</v>
      </c>
      <c r="AS258" s="383">
        <f t="shared" si="84"/>
        <v>0.151056259</v>
      </c>
      <c r="AT258" s="383">
        <f t="shared" si="84"/>
        <v>0.1314896267</v>
      </c>
      <c r="AU258" s="383">
        <f t="shared" si="84"/>
        <v>0.1554198871</v>
      </c>
      <c r="AV258" s="383">
        <f t="shared" si="84"/>
        <v>0.2257499036</v>
      </c>
      <c r="AW258" s="256"/>
    </row>
    <row r="259">
      <c r="A259" s="122"/>
      <c r="B259" s="123"/>
      <c r="C259" s="131"/>
      <c r="D259" s="131"/>
      <c r="E259" s="257" t="s">
        <v>419</v>
      </c>
      <c r="F259" s="213" t="s">
        <v>72</v>
      </c>
      <c r="G259" s="214" t="s">
        <v>161</v>
      </c>
      <c r="H259" s="240" t="s">
        <v>162</v>
      </c>
      <c r="I259" s="241">
        <f t="shared" ref="I259:AV259" si="85">I250/I$255</f>
        <v>0.1403179735</v>
      </c>
      <c r="J259" s="241">
        <f t="shared" si="85"/>
        <v>0.183569795</v>
      </c>
      <c r="K259" s="241">
        <f t="shared" si="85"/>
        <v>0.173334235</v>
      </c>
      <c r="L259" s="241">
        <f t="shared" si="85"/>
        <v>0.2173416814</v>
      </c>
      <c r="M259" s="241">
        <f t="shared" si="85"/>
        <v>0.1553083818</v>
      </c>
      <c r="N259" s="241">
        <f t="shared" si="85"/>
        <v>0.171357935</v>
      </c>
      <c r="O259" s="241">
        <f t="shared" si="85"/>
        <v>0.2098094973</v>
      </c>
      <c r="P259" s="241">
        <f t="shared" si="85"/>
        <v>0.1862594037</v>
      </c>
      <c r="Q259" s="241">
        <f t="shared" si="85"/>
        <v>0.1833565221</v>
      </c>
      <c r="R259" s="241">
        <f t="shared" si="85"/>
        <v>0.1266055745</v>
      </c>
      <c r="S259" s="241">
        <f t="shared" si="85"/>
        <v>0.1292357345</v>
      </c>
      <c r="T259" s="241">
        <f t="shared" si="85"/>
        <v>0.1624937574</v>
      </c>
      <c r="U259" s="241">
        <f t="shared" si="85"/>
        <v>0.2237606828</v>
      </c>
      <c r="V259" s="241">
        <f t="shared" si="85"/>
        <v>0.2122929206</v>
      </c>
      <c r="W259" s="241">
        <f t="shared" si="85"/>
        <v>0.1095650803</v>
      </c>
      <c r="X259" s="241">
        <f t="shared" si="85"/>
        <v>0.1601984236</v>
      </c>
      <c r="Y259" s="241">
        <f t="shared" si="85"/>
        <v>0.1246822578</v>
      </c>
      <c r="Z259" s="241">
        <f t="shared" si="85"/>
        <v>0.1655696119</v>
      </c>
      <c r="AA259" s="241">
        <f t="shared" si="85"/>
        <v>0.1248474686</v>
      </c>
      <c r="AB259" s="241">
        <f t="shared" si="85"/>
        <v>0.1395427885</v>
      </c>
      <c r="AC259" s="241">
        <f t="shared" si="85"/>
        <v>0.1151895751</v>
      </c>
      <c r="AD259" s="241">
        <f t="shared" si="85"/>
        <v>0.1378571906</v>
      </c>
      <c r="AE259" s="241">
        <f t="shared" si="85"/>
        <v>0.1289510548</v>
      </c>
      <c r="AF259" s="241">
        <f t="shared" si="85"/>
        <v>0.1156170473</v>
      </c>
      <c r="AG259" s="241">
        <f t="shared" si="85"/>
        <v>0.2173416814</v>
      </c>
      <c r="AH259" s="241">
        <f t="shared" si="85"/>
        <v>0.3680623513</v>
      </c>
      <c r="AI259" s="241">
        <f t="shared" si="85"/>
        <v>0.1946036149</v>
      </c>
      <c r="AJ259" s="241">
        <f t="shared" si="85"/>
        <v>0.1121093259</v>
      </c>
      <c r="AK259" s="241">
        <f t="shared" si="85"/>
        <v>0.1630420199</v>
      </c>
      <c r="AL259" s="241">
        <f t="shared" si="85"/>
        <v>0.1689554801</v>
      </c>
      <c r="AM259" s="383">
        <f t="shared" si="85"/>
        <v>0.1689554801</v>
      </c>
      <c r="AN259" s="383">
        <f t="shared" si="85"/>
        <v>0.1689554801</v>
      </c>
      <c r="AO259" s="241">
        <f t="shared" si="85"/>
        <v>0.1595839744</v>
      </c>
      <c r="AP259" s="241">
        <f t="shared" si="85"/>
        <v>0.127596568</v>
      </c>
      <c r="AQ259" s="241">
        <f t="shared" si="85"/>
        <v>0.1375130397</v>
      </c>
      <c r="AR259" s="241">
        <f t="shared" si="85"/>
        <v>0.2337852663</v>
      </c>
      <c r="AS259" s="241">
        <f t="shared" si="85"/>
        <v>0.1216227049</v>
      </c>
      <c r="AT259" s="241">
        <f t="shared" si="85"/>
        <v>0.1484977239</v>
      </c>
      <c r="AU259" s="241">
        <f t="shared" si="85"/>
        <v>0.1422919785</v>
      </c>
      <c r="AV259" s="241">
        <f t="shared" si="85"/>
        <v>0.1656500281</v>
      </c>
      <c r="AW259" s="259"/>
    </row>
    <row r="260">
      <c r="A260" s="122"/>
      <c r="B260" s="123"/>
      <c r="C260" s="131"/>
      <c r="D260" s="131"/>
      <c r="E260" s="257" t="s">
        <v>420</v>
      </c>
      <c r="F260" s="213" t="s">
        <v>72</v>
      </c>
      <c r="G260" s="214" t="s">
        <v>161</v>
      </c>
      <c r="H260" s="240" t="s">
        <v>162</v>
      </c>
      <c r="I260" s="241">
        <f t="shared" ref="I260:AV260" si="86">I251/I$255</f>
        <v>0.02466485078</v>
      </c>
      <c r="J260" s="241">
        <f t="shared" si="86"/>
        <v>0.03129198975</v>
      </c>
      <c r="K260" s="241">
        <f t="shared" si="86"/>
        <v>0.02621831473</v>
      </c>
      <c r="L260" s="241">
        <f t="shared" si="86"/>
        <v>0.035770965</v>
      </c>
      <c r="M260" s="241">
        <f t="shared" si="86"/>
        <v>0.03634474704</v>
      </c>
      <c r="N260" s="241">
        <f t="shared" si="86"/>
        <v>0.02481749598</v>
      </c>
      <c r="O260" s="241">
        <f t="shared" si="86"/>
        <v>0.02400614329</v>
      </c>
      <c r="P260" s="241">
        <f t="shared" si="86"/>
        <v>0.0234699758</v>
      </c>
      <c r="Q260" s="241">
        <f t="shared" si="86"/>
        <v>0.02351031976</v>
      </c>
      <c r="R260" s="241">
        <f t="shared" si="86"/>
        <v>0.04311488012</v>
      </c>
      <c r="S260" s="241">
        <f t="shared" si="86"/>
        <v>0.03782741998</v>
      </c>
      <c r="T260" s="241">
        <f t="shared" si="86"/>
        <v>0.04298109555</v>
      </c>
      <c r="U260" s="241">
        <f t="shared" si="86"/>
        <v>0.04117044942</v>
      </c>
      <c r="V260" s="241">
        <f t="shared" si="86"/>
        <v>0.03038449442</v>
      </c>
      <c r="W260" s="241">
        <f t="shared" si="86"/>
        <v>0.0368981125</v>
      </c>
      <c r="X260" s="241">
        <f t="shared" si="86"/>
        <v>0.0282756381</v>
      </c>
      <c r="Y260" s="241">
        <f t="shared" si="86"/>
        <v>0.04504372891</v>
      </c>
      <c r="Z260" s="241">
        <f t="shared" si="86"/>
        <v>0.04380131688</v>
      </c>
      <c r="AA260" s="241">
        <f t="shared" si="86"/>
        <v>0.04453952157</v>
      </c>
      <c r="AB260" s="241">
        <f t="shared" si="86"/>
        <v>0.04708197651</v>
      </c>
      <c r="AC260" s="241">
        <f t="shared" si="86"/>
        <v>0.04732005827</v>
      </c>
      <c r="AD260" s="241">
        <f t="shared" si="86"/>
        <v>0.04390776399</v>
      </c>
      <c r="AE260" s="241">
        <f t="shared" si="86"/>
        <v>0.04888094184</v>
      </c>
      <c r="AF260" s="241">
        <f t="shared" si="86"/>
        <v>0.04948951558</v>
      </c>
      <c r="AG260" s="241">
        <f t="shared" si="86"/>
        <v>0.035770965</v>
      </c>
      <c r="AH260" s="241">
        <f t="shared" si="86"/>
        <v>0.02926432392</v>
      </c>
      <c r="AI260" s="241">
        <f t="shared" si="86"/>
        <v>0.03574317922</v>
      </c>
      <c r="AJ260" s="241">
        <f t="shared" si="86"/>
        <v>0.05235526758</v>
      </c>
      <c r="AK260" s="241">
        <f t="shared" si="86"/>
        <v>0.03843670794</v>
      </c>
      <c r="AL260" s="241">
        <f t="shared" si="86"/>
        <v>0.03315582744</v>
      </c>
      <c r="AM260" s="383">
        <f t="shared" si="86"/>
        <v>0.03315582744</v>
      </c>
      <c r="AN260" s="383">
        <f t="shared" si="86"/>
        <v>0.03315582744</v>
      </c>
      <c r="AO260" s="241">
        <f t="shared" si="86"/>
        <v>0.04156160943</v>
      </c>
      <c r="AP260" s="241">
        <f t="shared" si="86"/>
        <v>0.04418118061</v>
      </c>
      <c r="AQ260" s="241">
        <f t="shared" si="86"/>
        <v>0.04559853821</v>
      </c>
      <c r="AR260" s="241">
        <f t="shared" si="86"/>
        <v>0.03541940523</v>
      </c>
      <c r="AS260" s="241">
        <f t="shared" si="86"/>
        <v>0.03979471049</v>
      </c>
      <c r="AT260" s="241">
        <f t="shared" si="86"/>
        <v>0.04645010342</v>
      </c>
      <c r="AU260" s="241">
        <f t="shared" si="86"/>
        <v>0.035979048</v>
      </c>
      <c r="AV260" s="241">
        <f t="shared" si="86"/>
        <v>0.02590770457</v>
      </c>
      <c r="AW260" s="259"/>
    </row>
    <row r="261">
      <c r="A261" s="122"/>
      <c r="B261" s="123"/>
      <c r="C261" s="131"/>
      <c r="D261" s="131"/>
      <c r="E261" s="257" t="s">
        <v>421</v>
      </c>
      <c r="F261" s="213" t="s">
        <v>72</v>
      </c>
      <c r="G261" s="214" t="s">
        <v>161</v>
      </c>
      <c r="H261" s="240" t="s">
        <v>162</v>
      </c>
      <c r="I261" s="241">
        <f t="shared" ref="I261:AV261" si="87">I252/I$255</f>
        <v>0.2983425646</v>
      </c>
      <c r="J261" s="241">
        <f t="shared" si="87"/>
        <v>0.3688676141</v>
      </c>
      <c r="K261" s="241">
        <f t="shared" si="87"/>
        <v>0.3062582182</v>
      </c>
      <c r="L261" s="241">
        <f t="shared" si="87"/>
        <v>0.4118093499</v>
      </c>
      <c r="M261" s="241">
        <f t="shared" si="87"/>
        <v>0.4336421293</v>
      </c>
      <c r="N261" s="241">
        <f t="shared" si="87"/>
        <v>0.294137775</v>
      </c>
      <c r="O261" s="241">
        <f t="shared" si="87"/>
        <v>0.2783912339</v>
      </c>
      <c r="P261" s="241">
        <f t="shared" si="87"/>
        <v>0.2870166209</v>
      </c>
      <c r="Q261" s="241">
        <f t="shared" si="87"/>
        <v>0.2838144797</v>
      </c>
      <c r="R261" s="241">
        <f t="shared" si="87"/>
        <v>0.4841330114</v>
      </c>
      <c r="S261" s="241">
        <f t="shared" si="87"/>
        <v>0.4381846016</v>
      </c>
      <c r="T261" s="241">
        <f t="shared" si="87"/>
        <v>0.4842668828</v>
      </c>
      <c r="U261" s="241">
        <f t="shared" si="87"/>
        <v>0.4715222092</v>
      </c>
      <c r="V261" s="241">
        <f t="shared" si="87"/>
        <v>0.3462070808</v>
      </c>
      <c r="W261" s="241">
        <f t="shared" si="87"/>
        <v>0.4197111939</v>
      </c>
      <c r="X261" s="241">
        <f t="shared" si="87"/>
        <v>0.3341150119</v>
      </c>
      <c r="Y261" s="241">
        <f t="shared" si="87"/>
        <v>0.511324474</v>
      </c>
      <c r="Z261" s="241">
        <f t="shared" si="87"/>
        <v>0.499417258</v>
      </c>
      <c r="AA261" s="241">
        <f t="shared" si="87"/>
        <v>0.4852952198</v>
      </c>
      <c r="AB261" s="241">
        <f t="shared" si="87"/>
        <v>0.5191091607</v>
      </c>
      <c r="AC261" s="241">
        <f t="shared" si="87"/>
        <v>0.5211233675</v>
      </c>
      <c r="AD261" s="241">
        <f t="shared" si="87"/>
        <v>0.4792504256</v>
      </c>
      <c r="AE261" s="241">
        <f t="shared" si="87"/>
        <v>0.5477699839</v>
      </c>
      <c r="AF261" s="241">
        <f t="shared" si="87"/>
        <v>0.5454949735</v>
      </c>
      <c r="AG261" s="241">
        <f t="shared" si="87"/>
        <v>0.4118093499</v>
      </c>
      <c r="AH261" s="241">
        <f t="shared" si="87"/>
        <v>0.3336012983</v>
      </c>
      <c r="AI261" s="241">
        <f t="shared" si="87"/>
        <v>0.415412356</v>
      </c>
      <c r="AJ261" s="241">
        <f t="shared" si="87"/>
        <v>0.580651973</v>
      </c>
      <c r="AK261" s="241">
        <f t="shared" si="87"/>
        <v>0.446987473</v>
      </c>
      <c r="AL261" s="241">
        <f t="shared" si="87"/>
        <v>0.391607453</v>
      </c>
      <c r="AM261" s="383">
        <f t="shared" si="87"/>
        <v>0.391607453</v>
      </c>
      <c r="AN261" s="383">
        <f t="shared" si="87"/>
        <v>0.391607453</v>
      </c>
      <c r="AO261" s="241">
        <f t="shared" si="87"/>
        <v>0.4871544234</v>
      </c>
      <c r="AP261" s="241">
        <f t="shared" si="87"/>
        <v>0.5118850897</v>
      </c>
      <c r="AQ261" s="241">
        <f t="shared" si="87"/>
        <v>0.5037794653</v>
      </c>
      <c r="AR261" s="241">
        <f t="shared" si="87"/>
        <v>0.40970586</v>
      </c>
      <c r="AS261" s="241">
        <f t="shared" si="87"/>
        <v>0.4475866906</v>
      </c>
      <c r="AT261" s="241">
        <f t="shared" si="87"/>
        <v>0.5195467502</v>
      </c>
      <c r="AU261" s="241">
        <f t="shared" si="87"/>
        <v>0.4158209311</v>
      </c>
      <c r="AV261" s="241">
        <f t="shared" si="87"/>
        <v>0.2931964402</v>
      </c>
      <c r="AW261" s="259"/>
    </row>
    <row r="262">
      <c r="A262" s="122"/>
      <c r="B262" s="123"/>
      <c r="C262" s="131"/>
      <c r="D262" s="131"/>
      <c r="E262" s="257" t="s">
        <v>422</v>
      </c>
      <c r="F262" s="213" t="s">
        <v>72</v>
      </c>
      <c r="G262" s="214" t="s">
        <v>161</v>
      </c>
      <c r="H262" s="240" t="s">
        <v>162</v>
      </c>
      <c r="I262" s="241">
        <f t="shared" ref="I262:AV262" si="88">I253/I$255</f>
        <v>0.2102363938</v>
      </c>
      <c r="J262" s="241">
        <f t="shared" si="88"/>
        <v>0.1788800844</v>
      </c>
      <c r="K262" s="241">
        <f t="shared" si="88"/>
        <v>0.1264490185</v>
      </c>
      <c r="L262" s="241">
        <f t="shared" si="88"/>
        <v>0.1037228716</v>
      </c>
      <c r="M262" s="241">
        <f t="shared" si="88"/>
        <v>0.1375320531</v>
      </c>
      <c r="N262" s="241">
        <f t="shared" si="88"/>
        <v>0.1669193366</v>
      </c>
      <c r="O262" s="241">
        <f t="shared" si="88"/>
        <v>0.1672227352</v>
      </c>
      <c r="P262" s="241">
        <f t="shared" si="88"/>
        <v>0.1670404534</v>
      </c>
      <c r="Q262" s="241">
        <f t="shared" si="88"/>
        <v>0.154228177</v>
      </c>
      <c r="R262" s="241">
        <f t="shared" si="88"/>
        <v>0.1868202517</v>
      </c>
      <c r="S262" s="241">
        <f t="shared" si="88"/>
        <v>0.1767629371</v>
      </c>
      <c r="T262" s="241">
        <f t="shared" si="88"/>
        <v>0.1097536844</v>
      </c>
      <c r="U262" s="241">
        <f t="shared" si="88"/>
        <v>0.08561315568</v>
      </c>
      <c r="V262" s="241">
        <f t="shared" si="88"/>
        <v>0.2351026532</v>
      </c>
      <c r="W262" s="241">
        <f t="shared" si="88"/>
        <v>0.2316357177</v>
      </c>
      <c r="X262" s="241">
        <f t="shared" si="88"/>
        <v>0.2349325705</v>
      </c>
      <c r="Y262" s="241">
        <f t="shared" si="88"/>
        <v>0.1517363994</v>
      </c>
      <c r="Z262" s="241">
        <f t="shared" si="88"/>
        <v>0.09572066303</v>
      </c>
      <c r="AA262" s="241">
        <f t="shared" si="88"/>
        <v>0.1403530429</v>
      </c>
      <c r="AB262" s="241">
        <f t="shared" si="88"/>
        <v>0.1003271653</v>
      </c>
      <c r="AC262" s="241">
        <f t="shared" si="88"/>
        <v>0.1063750739</v>
      </c>
      <c r="AD262" s="241">
        <f t="shared" si="88"/>
        <v>0.135481514</v>
      </c>
      <c r="AE262" s="241">
        <f t="shared" si="88"/>
        <v>0.08296366902</v>
      </c>
      <c r="AF262" s="241">
        <f t="shared" si="88"/>
        <v>0.09758045767</v>
      </c>
      <c r="AG262" s="241">
        <f t="shared" si="88"/>
        <v>0.1037228716</v>
      </c>
      <c r="AH262" s="241">
        <f t="shared" si="88"/>
        <v>0.1085905631</v>
      </c>
      <c r="AI262" s="241">
        <f t="shared" si="88"/>
        <v>0.1332144135</v>
      </c>
      <c r="AJ262" s="241">
        <f t="shared" si="88"/>
        <v>0.06654958574</v>
      </c>
      <c r="AK262" s="241">
        <f t="shared" si="88"/>
        <v>0.1431026972</v>
      </c>
      <c r="AL262" s="241">
        <f t="shared" si="88"/>
        <v>0.174056317</v>
      </c>
      <c r="AM262" s="383">
        <f t="shared" si="88"/>
        <v>0.174056317</v>
      </c>
      <c r="AN262" s="383">
        <f t="shared" si="88"/>
        <v>0.174056317</v>
      </c>
      <c r="AO262" s="241">
        <f t="shared" si="88"/>
        <v>0.1096975739</v>
      </c>
      <c r="AP262" s="241">
        <f t="shared" si="88"/>
        <v>0.1309411585</v>
      </c>
      <c r="AQ262" s="241">
        <f t="shared" si="88"/>
        <v>0.1122625877</v>
      </c>
      <c r="AR262" s="241">
        <f t="shared" si="88"/>
        <v>0.1519113082</v>
      </c>
      <c r="AS262" s="241">
        <f t="shared" si="88"/>
        <v>0.1761637271</v>
      </c>
      <c r="AT262" s="241">
        <f t="shared" si="88"/>
        <v>0.09052306149</v>
      </c>
      <c r="AU262" s="241">
        <f t="shared" si="88"/>
        <v>0.1873872343</v>
      </c>
      <c r="AV262" s="241">
        <f t="shared" si="88"/>
        <v>0.1844467273</v>
      </c>
      <c r="AW262" s="259"/>
    </row>
    <row r="263">
      <c r="A263" s="122"/>
      <c r="B263" s="123"/>
      <c r="C263" s="131"/>
      <c r="D263" s="131"/>
      <c r="E263" s="272" t="s">
        <v>423</v>
      </c>
      <c r="F263" s="200" t="s">
        <v>72</v>
      </c>
      <c r="G263" s="201" t="s">
        <v>161</v>
      </c>
      <c r="H263" s="228" t="s">
        <v>162</v>
      </c>
      <c r="I263" s="385">
        <f t="shared" ref="I263:AV263" si="89">I254/I$255</f>
        <v>0.1046541423</v>
      </c>
      <c r="J263" s="385">
        <f t="shared" si="89"/>
        <v>0.08040188582</v>
      </c>
      <c r="K263" s="385">
        <f t="shared" si="89"/>
        <v>0.1217898683</v>
      </c>
      <c r="L263" s="385">
        <f t="shared" si="89"/>
        <v>0.1002623792</v>
      </c>
      <c r="M263" s="385">
        <f t="shared" si="89"/>
        <v>0.06147902788</v>
      </c>
      <c r="N263" s="385">
        <f t="shared" si="89"/>
        <v>0.1319886574</v>
      </c>
      <c r="O263" s="385">
        <f t="shared" si="89"/>
        <v>0.1180066175</v>
      </c>
      <c r="P263" s="385">
        <f t="shared" si="89"/>
        <v>0.1130976258</v>
      </c>
      <c r="Q263" s="385">
        <f t="shared" si="89"/>
        <v>0.1177281343</v>
      </c>
      <c r="R263" s="385">
        <f t="shared" si="89"/>
        <v>0.04549672836</v>
      </c>
      <c r="S263" s="385">
        <f t="shared" si="89"/>
        <v>0.05924900589</v>
      </c>
      <c r="T263" s="385">
        <f t="shared" si="89"/>
        <v>0.07683233751</v>
      </c>
      <c r="U263" s="385">
        <f t="shared" si="89"/>
        <v>0.05419290738</v>
      </c>
      <c r="V263" s="385">
        <f t="shared" si="89"/>
        <v>0.08330306818</v>
      </c>
      <c r="W263" s="385">
        <f t="shared" si="89"/>
        <v>0.05045102807</v>
      </c>
      <c r="X263" s="385">
        <f t="shared" si="89"/>
        <v>0.09368002618</v>
      </c>
      <c r="Y263" s="385">
        <f t="shared" si="89"/>
        <v>0.06399514125</v>
      </c>
      <c r="Z263" s="385">
        <f t="shared" si="89"/>
        <v>0.06731175103</v>
      </c>
      <c r="AA263" s="385">
        <f t="shared" si="89"/>
        <v>0.06491849998</v>
      </c>
      <c r="AB263" s="385">
        <f t="shared" si="89"/>
        <v>0.06065732967</v>
      </c>
      <c r="AC263" s="385">
        <f t="shared" si="89"/>
        <v>0.07759669998</v>
      </c>
      <c r="AD263" s="385">
        <f t="shared" si="89"/>
        <v>0.05798104993</v>
      </c>
      <c r="AE263" s="385">
        <f t="shared" si="89"/>
        <v>0.04857476557</v>
      </c>
      <c r="AF263" s="385">
        <f t="shared" si="89"/>
        <v>0.05201664056</v>
      </c>
      <c r="AG263" s="385">
        <f t="shared" si="89"/>
        <v>0.1002623792</v>
      </c>
      <c r="AH263" s="385">
        <f t="shared" si="89"/>
        <v>0.06945428766</v>
      </c>
      <c r="AI263" s="385">
        <f t="shared" si="89"/>
        <v>0.1059895077</v>
      </c>
      <c r="AJ263" s="385">
        <f t="shared" si="89"/>
        <v>0.05460405156</v>
      </c>
      <c r="AK263" s="385">
        <f t="shared" si="89"/>
        <v>0.06941227393</v>
      </c>
      <c r="AL263" s="385">
        <f t="shared" si="89"/>
        <v>0.07583878921</v>
      </c>
      <c r="AM263" s="385">
        <f t="shared" si="89"/>
        <v>0.07583878921</v>
      </c>
      <c r="AN263" s="385">
        <f t="shared" si="89"/>
        <v>0.07583878921</v>
      </c>
      <c r="AO263" s="385">
        <f t="shared" si="89"/>
        <v>0.06092552013</v>
      </c>
      <c r="AP263" s="385">
        <f t="shared" si="89"/>
        <v>0.06127948839</v>
      </c>
      <c r="AQ263" s="385">
        <f t="shared" si="89"/>
        <v>0.0677170847</v>
      </c>
      <c r="AR263" s="385">
        <f t="shared" si="89"/>
        <v>0.07771545828</v>
      </c>
      <c r="AS263" s="385">
        <f t="shared" si="89"/>
        <v>0.06377590796</v>
      </c>
      <c r="AT263" s="385">
        <f t="shared" si="89"/>
        <v>0.06349273421</v>
      </c>
      <c r="AU263" s="385">
        <f t="shared" si="89"/>
        <v>0.06310092102</v>
      </c>
      <c r="AV263" s="385">
        <f t="shared" si="89"/>
        <v>0.1050491963</v>
      </c>
      <c r="AW263" s="274"/>
    </row>
    <row r="264">
      <c r="A264" s="122"/>
      <c r="B264" s="123"/>
      <c r="C264" s="131"/>
      <c r="D264" s="131"/>
      <c r="E264" s="269"/>
      <c r="F264" s="141"/>
      <c r="G264" s="142"/>
      <c r="H264" s="127"/>
      <c r="I264" s="317"/>
      <c r="J264" s="317"/>
      <c r="K264" s="317"/>
      <c r="L264" s="317"/>
      <c r="M264" s="317"/>
      <c r="N264" s="317"/>
      <c r="O264" s="317"/>
      <c r="P264" s="317"/>
      <c r="Q264" s="317"/>
      <c r="R264" s="317"/>
      <c r="S264" s="317"/>
      <c r="T264" s="317"/>
      <c r="U264" s="317"/>
      <c r="V264" s="317"/>
      <c r="W264" s="317"/>
      <c r="X264" s="317"/>
      <c r="Y264" s="317"/>
      <c r="Z264" s="317"/>
      <c r="AA264" s="317"/>
      <c r="AB264" s="317"/>
      <c r="AC264" s="317"/>
      <c r="AD264" s="317"/>
      <c r="AE264" s="317"/>
      <c r="AF264" s="317"/>
      <c r="AG264" s="317"/>
      <c r="AH264" s="317"/>
      <c r="AI264" s="317"/>
      <c r="AJ264" s="317"/>
      <c r="AK264" s="317"/>
      <c r="AL264" s="317"/>
      <c r="AM264" s="317"/>
      <c r="AN264" s="317"/>
      <c r="AO264" s="317"/>
      <c r="AP264" s="317"/>
      <c r="AQ264" s="317"/>
      <c r="AR264" s="317"/>
      <c r="AS264" s="317"/>
      <c r="AT264" s="317"/>
      <c r="AU264" s="317"/>
      <c r="AV264" s="317"/>
      <c r="AW264" s="130"/>
    </row>
    <row r="265">
      <c r="A265" s="122"/>
      <c r="B265" s="123"/>
      <c r="C265" s="450" t="s">
        <v>707</v>
      </c>
      <c r="F265" s="125"/>
      <c r="G265" s="132"/>
      <c r="H265" s="127"/>
      <c r="I265" s="128"/>
      <c r="J265" s="128"/>
      <c r="K265" s="128"/>
      <c r="L265" s="128"/>
      <c r="M265" s="128"/>
      <c r="N265" s="128"/>
      <c r="O265" s="128"/>
      <c r="P265" s="128"/>
      <c r="Q265" s="128"/>
      <c r="R265" s="128"/>
      <c r="S265" s="128"/>
      <c r="T265" s="317"/>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30"/>
    </row>
    <row r="266">
      <c r="A266" s="122"/>
      <c r="B266" s="123"/>
      <c r="C266" s="131"/>
      <c r="D266" s="131"/>
      <c r="E266" s="254" t="s">
        <v>708</v>
      </c>
      <c r="F266" s="193" t="str">
        <f>Inputs!F199</f>
        <v>%</v>
      </c>
      <c r="G266" s="194" t="str">
        <f>Inputs!G199</f>
        <v>input</v>
      </c>
      <c r="H266" s="255">
        <f>Inputs!H199</f>
        <v>-0.3</v>
      </c>
      <c r="I266" s="237" t="str">
        <f>Inputs!I199</f>
        <v>-</v>
      </c>
      <c r="J266" s="237" t="str">
        <f>Inputs!J199</f>
        <v>-</v>
      </c>
      <c r="K266" s="237" t="str">
        <f>Inputs!K199</f>
        <v>-</v>
      </c>
      <c r="L266" s="237" t="str">
        <f>Inputs!L199</f>
        <v>-</v>
      </c>
      <c r="M266" s="237" t="str">
        <f>Inputs!M199</f>
        <v>-</v>
      </c>
      <c r="N266" s="237" t="str">
        <f>Inputs!N199</f>
        <v>-</v>
      </c>
      <c r="O266" s="237" t="str">
        <f>Inputs!O199</f>
        <v>-</v>
      </c>
      <c r="P266" s="237" t="str">
        <f>Inputs!P199</f>
        <v>-</v>
      </c>
      <c r="Q266" s="237" t="str">
        <f>Inputs!Q199</f>
        <v>-</v>
      </c>
      <c r="R266" s="237" t="str">
        <f>Inputs!R199</f>
        <v>-</v>
      </c>
      <c r="S266" s="237" t="str">
        <f>Inputs!S199</f>
        <v>-</v>
      </c>
      <c r="T266" s="383" t="str">
        <f>Inputs!T199</f>
        <v>-</v>
      </c>
      <c r="U266" s="237" t="str">
        <f>Inputs!U199</f>
        <v>-</v>
      </c>
      <c r="V266" s="237" t="str">
        <f>Inputs!V199</f>
        <v>-</v>
      </c>
      <c r="W266" s="237" t="str">
        <f>Inputs!W199</f>
        <v>-</v>
      </c>
      <c r="X266" s="237" t="str">
        <f>Inputs!X199</f>
        <v>-</v>
      </c>
      <c r="Y266" s="237" t="str">
        <f>Inputs!Y199</f>
        <v>-</v>
      </c>
      <c r="Z266" s="237" t="str">
        <f>Inputs!Z199</f>
        <v>-</v>
      </c>
      <c r="AA266" s="237" t="str">
        <f>Inputs!AA199</f>
        <v>-</v>
      </c>
      <c r="AB266" s="237" t="str">
        <f>Inputs!AB199</f>
        <v>-</v>
      </c>
      <c r="AC266" s="237" t="str">
        <f>Inputs!AC199</f>
        <v>-</v>
      </c>
      <c r="AD266" s="237" t="str">
        <f>Inputs!AD199</f>
        <v>-</v>
      </c>
      <c r="AE266" s="237" t="str">
        <f>Inputs!AE199</f>
        <v>-</v>
      </c>
      <c r="AF266" s="237" t="str">
        <f>Inputs!AF199</f>
        <v>-</v>
      </c>
      <c r="AG266" s="237" t="str">
        <f>Inputs!AG199</f>
        <v>-</v>
      </c>
      <c r="AH266" s="237" t="str">
        <f>Inputs!AH199</f>
        <v>-</v>
      </c>
      <c r="AI266" s="237" t="str">
        <f>Inputs!AI199</f>
        <v>-</v>
      </c>
      <c r="AJ266" s="237" t="str">
        <f>Inputs!AJ199</f>
        <v>-</v>
      </c>
      <c r="AK266" s="237" t="str">
        <f>Inputs!AK199</f>
        <v>-</v>
      </c>
      <c r="AL266" s="237" t="str">
        <f>Inputs!AL199</f>
        <v>-</v>
      </c>
      <c r="AM266" s="237" t="str">
        <f>Inputs!AM199</f>
        <v>-</v>
      </c>
      <c r="AN266" s="237" t="str">
        <f>Inputs!AN199</f>
        <v>-</v>
      </c>
      <c r="AO266" s="237" t="str">
        <f>Inputs!AO199</f>
        <v>-</v>
      </c>
      <c r="AP266" s="237" t="str">
        <f>Inputs!AP199</f>
        <v>-</v>
      </c>
      <c r="AQ266" s="237" t="str">
        <f>Inputs!AQ199</f>
        <v>-</v>
      </c>
      <c r="AR266" s="237" t="str">
        <f>Inputs!AR199</f>
        <v>-</v>
      </c>
      <c r="AS266" s="237" t="str">
        <f>Inputs!AS199</f>
        <v>-</v>
      </c>
      <c r="AT266" s="237" t="str">
        <f>Inputs!AT199</f>
        <v>-</v>
      </c>
      <c r="AU266" s="237" t="str">
        <f>Inputs!AU199</f>
        <v>-</v>
      </c>
      <c r="AV266" s="237" t="str">
        <f>Inputs!AV199</f>
        <v>-</v>
      </c>
      <c r="AW266" s="256"/>
    </row>
    <row r="267">
      <c r="A267" s="122"/>
      <c r="B267" s="123"/>
      <c r="C267" s="342"/>
      <c r="D267" s="342"/>
      <c r="E267" s="254" t="s">
        <v>709</v>
      </c>
      <c r="F267" s="193" t="s">
        <v>72</v>
      </c>
      <c r="G267" s="194" t="s">
        <v>161</v>
      </c>
      <c r="H267" s="236" t="s">
        <v>162</v>
      </c>
      <c r="I267" s="237">
        <f t="shared" ref="I267:AV267" si="90">I10*(1+$H266)</f>
        <v>0.0050051771</v>
      </c>
      <c r="J267" s="237">
        <f t="shared" si="90"/>
        <v>0.0028054369</v>
      </c>
      <c r="K267" s="237">
        <f t="shared" si="90"/>
        <v>0.0060801636</v>
      </c>
      <c r="L267" s="237">
        <f t="shared" si="90"/>
        <v>0.0019904304</v>
      </c>
      <c r="M267" s="237">
        <f t="shared" si="90"/>
        <v>0.0026705315</v>
      </c>
      <c r="N267" s="237">
        <f t="shared" si="90"/>
        <v>0.0048071107</v>
      </c>
      <c r="O267" s="237">
        <f t="shared" si="90"/>
        <v>0.0051417758</v>
      </c>
      <c r="P267" s="237">
        <f t="shared" si="90"/>
        <v>0.0070728014</v>
      </c>
      <c r="Q267" s="237">
        <f t="shared" si="90"/>
        <v>0.0061760468</v>
      </c>
      <c r="R267" s="237">
        <f t="shared" si="90"/>
        <v>0.0011987108</v>
      </c>
      <c r="S267" s="237">
        <f t="shared" si="90"/>
        <v>0.0022782025</v>
      </c>
      <c r="T267" s="237">
        <f t="shared" si="90"/>
        <v>0.0013632969</v>
      </c>
      <c r="U267" s="237">
        <f t="shared" si="90"/>
        <v>0.0013241018</v>
      </c>
      <c r="V267" s="237">
        <f t="shared" si="90"/>
        <v>0.0015395331</v>
      </c>
      <c r="W267" s="237">
        <f t="shared" si="90"/>
        <v>0.002276512</v>
      </c>
      <c r="X267" s="237">
        <f t="shared" si="90"/>
        <v>0.0020475658</v>
      </c>
      <c r="Y267" s="237">
        <f t="shared" si="90"/>
        <v>0.0015074654</v>
      </c>
      <c r="Z267" s="237">
        <f t="shared" si="90"/>
        <v>0.0015036063</v>
      </c>
      <c r="AA267" s="237">
        <f t="shared" si="90"/>
        <v>0.0019440351</v>
      </c>
      <c r="AB267" s="237">
        <f t="shared" si="90"/>
        <v>0.0014125069</v>
      </c>
      <c r="AC267" s="237">
        <f t="shared" si="90"/>
        <v>0.0012745873</v>
      </c>
      <c r="AD267" s="237">
        <f t="shared" si="90"/>
        <v>0.001340759</v>
      </c>
      <c r="AE267" s="237">
        <f t="shared" si="90"/>
        <v>0.0012275522</v>
      </c>
      <c r="AF267" s="237">
        <f t="shared" si="90"/>
        <v>0.001174747</v>
      </c>
      <c r="AG267" s="237">
        <f t="shared" si="90"/>
        <v>0.0019904304</v>
      </c>
      <c r="AH267" s="237">
        <f t="shared" si="90"/>
        <v>0.0014021462</v>
      </c>
      <c r="AI267" s="237">
        <f t="shared" si="90"/>
        <v>0.0016822099</v>
      </c>
      <c r="AJ267" s="237">
        <f t="shared" si="90"/>
        <v>0.0008494171</v>
      </c>
      <c r="AK267" s="237">
        <f t="shared" si="90"/>
        <v>0.0021741265</v>
      </c>
      <c r="AL267" s="237">
        <f t="shared" si="90"/>
        <v>0.0027652779</v>
      </c>
      <c r="AM267" s="237">
        <f t="shared" si="90"/>
        <v>0.0027652779</v>
      </c>
      <c r="AN267" s="237">
        <f t="shared" si="90"/>
        <v>0.0027652779</v>
      </c>
      <c r="AO267" s="237">
        <f t="shared" si="90"/>
        <v>0.001648969</v>
      </c>
      <c r="AP267" s="237">
        <f t="shared" si="90"/>
        <v>0.0014628922</v>
      </c>
      <c r="AQ267" s="237">
        <f t="shared" si="90"/>
        <v>0.0009093231</v>
      </c>
      <c r="AR267" s="237">
        <f t="shared" si="90"/>
        <v>0.0010127404</v>
      </c>
      <c r="AS267" s="237">
        <f t="shared" si="90"/>
        <v>0.002174858</v>
      </c>
      <c r="AT267" s="237">
        <f t="shared" si="90"/>
        <v>0.0012993204</v>
      </c>
      <c r="AU267" s="237">
        <f t="shared" si="90"/>
        <v>0.0029914318</v>
      </c>
      <c r="AV267" s="237">
        <f t="shared" si="90"/>
        <v>0.0046956798</v>
      </c>
      <c r="AW267" s="256"/>
    </row>
    <row r="268">
      <c r="A268" s="122"/>
      <c r="B268" s="123"/>
      <c r="C268" s="342"/>
      <c r="D268" s="342"/>
      <c r="E268" s="257" t="s">
        <v>710</v>
      </c>
      <c r="F268" s="213" t="s">
        <v>72</v>
      </c>
      <c r="G268" s="214" t="s">
        <v>161</v>
      </c>
      <c r="H268" s="240" t="s">
        <v>162</v>
      </c>
      <c r="I268" s="260">
        <f t="shared" ref="I268:AV268" si="91">SUM(I22,I38,I54)*(1+$H266)</f>
        <v>0.00010829</v>
      </c>
      <c r="J268" s="260">
        <f t="shared" si="91"/>
        <v>0.00009177</v>
      </c>
      <c r="K268" s="260">
        <f t="shared" si="91"/>
        <v>0.00014084</v>
      </c>
      <c r="L268" s="260">
        <f t="shared" si="91"/>
        <v>0.00007056</v>
      </c>
      <c r="M268" s="260">
        <f t="shared" si="91"/>
        <v>0.0000672</v>
      </c>
      <c r="N268" s="260">
        <f t="shared" si="91"/>
        <v>0.00010661</v>
      </c>
      <c r="O268" s="260">
        <f t="shared" si="91"/>
        <v>0.0001591989</v>
      </c>
      <c r="P268" s="260">
        <f t="shared" si="91"/>
        <v>0.0002413537</v>
      </c>
      <c r="Q268" s="260">
        <f t="shared" si="91"/>
        <v>0.0002037728</v>
      </c>
      <c r="R268" s="260">
        <f t="shared" si="91"/>
        <v>0.000028931</v>
      </c>
      <c r="S268" s="260">
        <f t="shared" si="91"/>
        <v>0.000059829</v>
      </c>
      <c r="T268" s="260">
        <f t="shared" si="91"/>
        <v>0.000030527</v>
      </c>
      <c r="U268" s="260">
        <f t="shared" si="91"/>
        <v>0.0000314167</v>
      </c>
      <c r="V268" s="260">
        <f t="shared" si="91"/>
        <v>0.000051422</v>
      </c>
      <c r="W268" s="260">
        <f t="shared" si="91"/>
        <v>0.000042175</v>
      </c>
      <c r="X268" s="260">
        <f t="shared" si="91"/>
        <v>0.000050232</v>
      </c>
      <c r="Y268" s="260">
        <f t="shared" si="91"/>
        <v>0.000031185</v>
      </c>
      <c r="Z268" s="260">
        <f t="shared" si="91"/>
        <v>0.000033355</v>
      </c>
      <c r="AA268" s="260">
        <f t="shared" si="91"/>
        <v>0.000039928</v>
      </c>
      <c r="AB268" s="260">
        <f t="shared" si="91"/>
        <v>0.000029365</v>
      </c>
      <c r="AC268" s="260">
        <f t="shared" si="91"/>
        <v>0.0000242732</v>
      </c>
      <c r="AD268" s="260">
        <f t="shared" si="91"/>
        <v>0.000027839</v>
      </c>
      <c r="AE268" s="260">
        <f t="shared" si="91"/>
        <v>0.00002884</v>
      </c>
      <c r="AF268" s="260">
        <f t="shared" si="91"/>
        <v>0.000024563</v>
      </c>
      <c r="AG268" s="260">
        <f t="shared" si="91"/>
        <v>0.00007056</v>
      </c>
      <c r="AH268" s="260">
        <f t="shared" si="91"/>
        <v>0.000060564</v>
      </c>
      <c r="AI268" s="260">
        <f t="shared" si="91"/>
        <v>0.000041132</v>
      </c>
      <c r="AJ268" s="260">
        <f t="shared" si="91"/>
        <v>0.000017185</v>
      </c>
      <c r="AK268" s="260">
        <f t="shared" si="91"/>
        <v>0.000050729</v>
      </c>
      <c r="AL268" s="260">
        <f t="shared" si="91"/>
        <v>0.00008638</v>
      </c>
      <c r="AM268" s="260">
        <f t="shared" si="91"/>
        <v>0.00008638</v>
      </c>
      <c r="AN268" s="260">
        <f t="shared" si="91"/>
        <v>0.00008638</v>
      </c>
      <c r="AO268" s="260">
        <f t="shared" si="91"/>
        <v>0.000043456</v>
      </c>
      <c r="AP268" s="260">
        <f t="shared" si="91"/>
        <v>0.000030499</v>
      </c>
      <c r="AQ268" s="260">
        <f t="shared" si="91"/>
        <v>0.0000198401</v>
      </c>
      <c r="AR268" s="260">
        <f t="shared" si="91"/>
        <v>0.000036344</v>
      </c>
      <c r="AS268" s="260">
        <f t="shared" si="91"/>
        <v>0.000040495</v>
      </c>
      <c r="AT268" s="260">
        <f t="shared" si="91"/>
        <v>0.000029351</v>
      </c>
      <c r="AU268" s="260">
        <f t="shared" si="91"/>
        <v>0.0000763</v>
      </c>
      <c r="AV268" s="260">
        <f t="shared" si="91"/>
        <v>0.00011354</v>
      </c>
      <c r="AW268" s="259"/>
    </row>
    <row r="269">
      <c r="A269" s="122"/>
      <c r="B269" s="123"/>
      <c r="C269" s="342"/>
      <c r="D269" s="342"/>
      <c r="E269" s="257" t="s">
        <v>711</v>
      </c>
      <c r="F269" s="213" t="s">
        <v>72</v>
      </c>
      <c r="G269" s="214" t="s">
        <v>161</v>
      </c>
      <c r="H269" s="240" t="s">
        <v>162</v>
      </c>
      <c r="I269" s="260">
        <f t="shared" ref="I269:AV269" si="92">SUM(I90,I123)*(1+$H266)</f>
        <v>0.00008327448916</v>
      </c>
      <c r="J269" s="260">
        <f t="shared" si="92"/>
        <v>0.00006416882997</v>
      </c>
      <c r="K269" s="260">
        <f t="shared" si="92"/>
        <v>0.0001015766784</v>
      </c>
      <c r="L269" s="260">
        <f t="shared" si="92"/>
        <v>0.00006120059358</v>
      </c>
      <c r="M269" s="260">
        <f t="shared" si="92"/>
        <v>0.00006712943041</v>
      </c>
      <c r="N269" s="260">
        <f t="shared" si="92"/>
        <v>0.00008098697236</v>
      </c>
      <c r="O269" s="260">
        <f t="shared" si="92"/>
        <v>0.00008354872901</v>
      </c>
      <c r="P269" s="260">
        <f t="shared" si="92"/>
        <v>0.0001116930022</v>
      </c>
      <c r="Q269" s="260">
        <f t="shared" si="92"/>
        <v>0.00009993466681</v>
      </c>
      <c r="R269" s="260">
        <f t="shared" si="92"/>
        <v>0.00004884297391</v>
      </c>
      <c r="S269" s="260">
        <f t="shared" si="92"/>
        <v>0.00007385499511</v>
      </c>
      <c r="T269" s="260">
        <f t="shared" si="92"/>
        <v>0.0000518937454</v>
      </c>
      <c r="U269" s="260">
        <f t="shared" si="92"/>
        <v>0.00005331295176</v>
      </c>
      <c r="V269" s="260">
        <f t="shared" si="92"/>
        <v>0.00005886599858</v>
      </c>
      <c r="W269" s="260">
        <f t="shared" si="92"/>
        <v>0.00007218243171</v>
      </c>
      <c r="X269" s="260">
        <f t="shared" si="92"/>
        <v>0.00005626136832</v>
      </c>
      <c r="Y269" s="260">
        <f t="shared" si="92"/>
        <v>0.00008805348126</v>
      </c>
      <c r="Z269" s="260">
        <f t="shared" si="92"/>
        <v>0.00005783371407</v>
      </c>
      <c r="AA269" s="260">
        <f t="shared" si="92"/>
        <v>0.00006555274863</v>
      </c>
      <c r="AB269" s="260">
        <f t="shared" si="92"/>
        <v>0.00005474253212</v>
      </c>
      <c r="AC269" s="260">
        <f t="shared" si="92"/>
        <v>0.00004928078791</v>
      </c>
      <c r="AD269" s="260">
        <f t="shared" si="92"/>
        <v>0.00005101394924</v>
      </c>
      <c r="AE269" s="260">
        <f t="shared" si="92"/>
        <v>0.00004966377772</v>
      </c>
      <c r="AF269" s="260">
        <f t="shared" si="92"/>
        <v>0.00004751599521</v>
      </c>
      <c r="AG269" s="260">
        <f t="shared" si="92"/>
        <v>0.00006120059358</v>
      </c>
      <c r="AH269" s="260">
        <f t="shared" si="92"/>
        <v>0.00005421478588</v>
      </c>
      <c r="AI269" s="260">
        <f t="shared" si="92"/>
        <v>0.0000590875741</v>
      </c>
      <c r="AJ269" s="260">
        <f t="shared" si="92"/>
        <v>0.00004143810904</v>
      </c>
      <c r="AK269" s="260">
        <f t="shared" si="92"/>
        <v>0.00007027536046</v>
      </c>
      <c r="AL269" s="260">
        <f t="shared" si="92"/>
        <v>0.00007764260788</v>
      </c>
      <c r="AM269" s="260">
        <f t="shared" si="92"/>
        <v>0.00007764260788</v>
      </c>
      <c r="AN269" s="260">
        <f t="shared" si="92"/>
        <v>0.00007764260788</v>
      </c>
      <c r="AO269" s="260">
        <f t="shared" si="92"/>
        <v>0.00006027869025</v>
      </c>
      <c r="AP269" s="260">
        <f t="shared" si="92"/>
        <v>0.00005455852386</v>
      </c>
      <c r="AQ269" s="260">
        <f t="shared" si="92"/>
        <v>0.00003788033336</v>
      </c>
      <c r="AR269" s="260">
        <f t="shared" si="92"/>
        <v>0.00004466717473</v>
      </c>
      <c r="AS269" s="260">
        <f t="shared" si="92"/>
        <v>0.00007179545524</v>
      </c>
      <c r="AT269" s="260">
        <f t="shared" si="92"/>
        <v>0.00005345026722</v>
      </c>
      <c r="AU269" s="260">
        <f t="shared" si="92"/>
        <v>0.00008265489859</v>
      </c>
      <c r="AV269" s="260">
        <f t="shared" si="92"/>
        <v>0.00008454229299</v>
      </c>
      <c r="AW269" s="259"/>
    </row>
    <row r="270">
      <c r="A270" s="122"/>
      <c r="B270" s="123"/>
      <c r="C270" s="342"/>
      <c r="D270" s="342"/>
      <c r="E270" s="257" t="s">
        <v>712</v>
      </c>
      <c r="F270" s="213" t="s">
        <v>72</v>
      </c>
      <c r="G270" s="214" t="s">
        <v>161</v>
      </c>
      <c r="H270" s="240" t="s">
        <v>162</v>
      </c>
      <c r="I270" s="260">
        <f t="shared" ref="I270:AV270" si="93">SUM(I96,I131)*(1+$H266)</f>
        <v>0.001065440566</v>
      </c>
      <c r="J270" s="260">
        <f t="shared" si="93"/>
        <v>0.0008234500722</v>
      </c>
      <c r="K270" s="260">
        <f t="shared" si="93"/>
        <v>0.00129506412</v>
      </c>
      <c r="L270" s="260">
        <f t="shared" si="93"/>
        <v>0.0007895274181</v>
      </c>
      <c r="M270" s="260">
        <f t="shared" si="93"/>
        <v>0.000862874526</v>
      </c>
      <c r="N270" s="260">
        <f t="shared" si="93"/>
        <v>0.00103650654</v>
      </c>
      <c r="O270" s="260">
        <f t="shared" si="93"/>
        <v>0.001064792264</v>
      </c>
      <c r="P270" s="260">
        <f t="shared" si="93"/>
        <v>0.001418891794</v>
      </c>
      <c r="Q270" s="260">
        <f t="shared" si="93"/>
        <v>0.001269687258</v>
      </c>
      <c r="R270" s="260">
        <f t="shared" si="93"/>
        <v>0.000640409878</v>
      </c>
      <c r="S270" s="260">
        <f t="shared" si="93"/>
        <v>0.0009543850593</v>
      </c>
      <c r="T270" s="260">
        <f t="shared" si="93"/>
        <v>0.0006807686023</v>
      </c>
      <c r="U270" s="260">
        <f t="shared" si="93"/>
        <v>0.000701047547</v>
      </c>
      <c r="V270" s="260">
        <f t="shared" si="93"/>
        <v>0.0007690703112</v>
      </c>
      <c r="W270" s="260">
        <f t="shared" si="93"/>
        <v>0.0009403330591</v>
      </c>
      <c r="X270" s="260">
        <f t="shared" si="93"/>
        <v>0.0007241763623</v>
      </c>
      <c r="Y270" s="260">
        <f t="shared" si="93"/>
        <v>0.001185875194</v>
      </c>
      <c r="Z270" s="260">
        <f t="shared" si="93"/>
        <v>0.0007572105422</v>
      </c>
      <c r="AA270" s="260">
        <f t="shared" si="93"/>
        <v>0.0008558825284</v>
      </c>
      <c r="AB270" s="260">
        <f t="shared" si="93"/>
        <v>0.0007196554255</v>
      </c>
      <c r="AC270" s="260">
        <f t="shared" si="93"/>
        <v>0.0006489265312</v>
      </c>
      <c r="AD270" s="260">
        <f t="shared" si="93"/>
        <v>0.0006679747542</v>
      </c>
      <c r="AE270" s="260">
        <f t="shared" si="93"/>
        <v>0.0006479797769</v>
      </c>
      <c r="AF270" s="260">
        <f t="shared" si="93"/>
        <v>0.0006244857127</v>
      </c>
      <c r="AG270" s="260">
        <f t="shared" si="93"/>
        <v>0.0007895274181</v>
      </c>
      <c r="AH270" s="260">
        <f t="shared" si="93"/>
        <v>0.0007110183947</v>
      </c>
      <c r="AI270" s="260">
        <f t="shared" si="93"/>
        <v>0.0007740455661</v>
      </c>
      <c r="AJ270" s="260">
        <f t="shared" si="93"/>
        <v>0.000543331077</v>
      </c>
      <c r="AK270" s="260">
        <f t="shared" si="93"/>
        <v>0.0009148694853</v>
      </c>
      <c r="AL270" s="260">
        <f t="shared" si="93"/>
        <v>0.001000257693</v>
      </c>
      <c r="AM270" s="260">
        <f t="shared" si="93"/>
        <v>0.001000257693</v>
      </c>
      <c r="AN270" s="260">
        <f t="shared" si="93"/>
        <v>0.001000257693</v>
      </c>
      <c r="AO270" s="260">
        <f t="shared" si="93"/>
        <v>0.00078409038</v>
      </c>
      <c r="AP270" s="260">
        <f t="shared" si="93"/>
        <v>0.0007150395543</v>
      </c>
      <c r="AQ270" s="260">
        <f t="shared" si="93"/>
        <v>0.0004978111333</v>
      </c>
      <c r="AR270" s="260">
        <f t="shared" si="93"/>
        <v>0.0005839306238</v>
      </c>
      <c r="AS270" s="260">
        <f t="shared" si="93"/>
        <v>0.0009349240679</v>
      </c>
      <c r="AT270" s="260">
        <f t="shared" si="93"/>
        <v>0.0007015767268</v>
      </c>
      <c r="AU270" s="260">
        <f t="shared" si="93"/>
        <v>0.001068750628</v>
      </c>
      <c r="AV270" s="260">
        <f t="shared" si="93"/>
        <v>0.001079791917</v>
      </c>
      <c r="AW270" s="259"/>
    </row>
    <row r="271">
      <c r="A271" s="122"/>
      <c r="B271" s="123"/>
      <c r="C271" s="342"/>
      <c r="D271" s="342"/>
      <c r="E271" s="257" t="s">
        <v>713</v>
      </c>
      <c r="F271" s="213" t="s">
        <v>72</v>
      </c>
      <c r="G271" s="214" t="s">
        <v>161</v>
      </c>
      <c r="H271" s="240" t="s">
        <v>162</v>
      </c>
      <c r="I271" s="260">
        <f t="shared" ref="I271:AV271" si="94">I156*(1+$H266)</f>
        <v>0.001377649756</v>
      </c>
      <c r="J271" s="260">
        <f t="shared" si="94"/>
        <v>0.0007547706333</v>
      </c>
      <c r="K271" s="260">
        <f t="shared" si="94"/>
        <v>0.001059977466</v>
      </c>
      <c r="L271" s="260">
        <f t="shared" si="94"/>
        <v>0.0003982793225</v>
      </c>
      <c r="M271" s="260">
        <f t="shared" si="94"/>
        <v>0.000591047061</v>
      </c>
      <c r="N271" s="260">
        <f t="shared" si="94"/>
        <v>0.001102224674</v>
      </c>
      <c r="O271" s="260">
        <f t="shared" si="94"/>
        <v>0.001201448385</v>
      </c>
      <c r="P271" s="260">
        <f t="shared" si="94"/>
        <v>0.001554995674</v>
      </c>
      <c r="Q271" s="260">
        <f t="shared" si="94"/>
        <v>0.001352740079</v>
      </c>
      <c r="R271" s="260">
        <f t="shared" si="94"/>
        <v>0.0002685724384</v>
      </c>
      <c r="S271" s="260">
        <f t="shared" si="94"/>
        <v>0.0007072331969</v>
      </c>
      <c r="T271" s="260">
        <f t="shared" si="94"/>
        <v>0.0002744713889</v>
      </c>
      <c r="U271" s="260">
        <f t="shared" si="94"/>
        <v>0.0002188360257</v>
      </c>
      <c r="V271" s="260">
        <f t="shared" si="94"/>
        <v>0.0006076386845</v>
      </c>
      <c r="W271" s="260">
        <f t="shared" si="94"/>
        <v>0.0007983133489</v>
      </c>
      <c r="X271" s="260">
        <f t="shared" si="94"/>
        <v>0.0006818568612</v>
      </c>
      <c r="Y271" s="260">
        <f t="shared" si="94"/>
        <v>0.0004922925908</v>
      </c>
      <c r="Z271" s="260">
        <f t="shared" si="94"/>
        <v>0.0002776398434</v>
      </c>
      <c r="AA271" s="260">
        <f t="shared" si="94"/>
        <v>0.0005120604177</v>
      </c>
      <c r="AB271" s="260">
        <f t="shared" si="94"/>
        <v>0.0002559210062</v>
      </c>
      <c r="AC271" s="260">
        <f t="shared" si="94"/>
        <v>0.0002598135559</v>
      </c>
      <c r="AD271" s="260">
        <f t="shared" si="94"/>
        <v>0.000311743779</v>
      </c>
      <c r="AE271" s="260">
        <f t="shared" si="94"/>
        <v>0.000203892917</v>
      </c>
      <c r="AF271" s="260">
        <f t="shared" si="94"/>
        <v>0.0001961184366</v>
      </c>
      <c r="AG271" s="260">
        <f t="shared" si="94"/>
        <v>0.0003982793225</v>
      </c>
      <c r="AH271" s="260">
        <f t="shared" si="94"/>
        <v>0.0003832506884</v>
      </c>
      <c r="AI271" s="260">
        <f t="shared" si="94"/>
        <v>0.0003919226107</v>
      </c>
      <c r="AJ271" s="260">
        <f t="shared" si="94"/>
        <v>0.0001248798699</v>
      </c>
      <c r="AK271" s="260">
        <f t="shared" si="94"/>
        <v>0.0005471524863</v>
      </c>
      <c r="AL271" s="260">
        <f t="shared" si="94"/>
        <v>0.000806616192</v>
      </c>
      <c r="AM271" s="260">
        <f t="shared" si="94"/>
        <v>0.000806616192</v>
      </c>
      <c r="AN271" s="260">
        <f t="shared" si="94"/>
        <v>0.000806616192</v>
      </c>
      <c r="AO271" s="260">
        <f t="shared" si="94"/>
        <v>0.0003033401996</v>
      </c>
      <c r="AP271" s="260">
        <f t="shared" si="94"/>
        <v>0.0003429189031</v>
      </c>
      <c r="AQ271" s="260">
        <f t="shared" si="94"/>
        <v>0.0001935245514</v>
      </c>
      <c r="AR271" s="260">
        <f t="shared" si="94"/>
        <v>0.0003141459496</v>
      </c>
      <c r="AS271" s="260">
        <f t="shared" si="94"/>
        <v>0.000647827545</v>
      </c>
      <c r="AT271" s="260">
        <f t="shared" si="94"/>
        <v>0.0002366077837</v>
      </c>
      <c r="AU271" s="260">
        <f t="shared" si="94"/>
        <v>0.0009886286921</v>
      </c>
      <c r="AV271" s="260">
        <f t="shared" si="94"/>
        <v>0.001198341922</v>
      </c>
      <c r="AW271" s="259"/>
    </row>
    <row r="272">
      <c r="A272" s="122"/>
      <c r="B272" s="123"/>
      <c r="C272" s="342"/>
      <c r="D272" s="342"/>
      <c r="E272" s="257" t="s">
        <v>714</v>
      </c>
      <c r="F272" s="213" t="s">
        <v>72</v>
      </c>
      <c r="G272" s="214" t="s">
        <v>161</v>
      </c>
      <c r="H272" s="240" t="s">
        <v>162</v>
      </c>
      <c r="I272" s="260">
        <f t="shared" ref="I272:AV272" si="95">I164*(1+$H266)</f>
        <v>0.00003717</v>
      </c>
      <c r="J272" s="260">
        <f t="shared" si="95"/>
        <v>0.0000168</v>
      </c>
      <c r="K272" s="260">
        <f t="shared" si="95"/>
        <v>0.00005411</v>
      </c>
      <c r="L272" s="260">
        <f t="shared" si="95"/>
        <v>0.00001561</v>
      </c>
      <c r="M272" s="260">
        <f t="shared" si="95"/>
        <v>0.0000133</v>
      </c>
      <c r="N272" s="260">
        <f t="shared" si="95"/>
        <v>0.00004144</v>
      </c>
      <c r="O272" s="260">
        <f t="shared" si="95"/>
        <v>0.0000357</v>
      </c>
      <c r="P272" s="260">
        <f t="shared" si="95"/>
        <v>0.00005677</v>
      </c>
      <c r="Q272" s="260">
        <f t="shared" si="95"/>
        <v>0.00005446</v>
      </c>
      <c r="R272" s="260">
        <f t="shared" si="95"/>
        <v>0.000003997</v>
      </c>
      <c r="S272" s="260">
        <f t="shared" si="95"/>
        <v>0.00001302</v>
      </c>
      <c r="T272" s="260">
        <f t="shared" si="95"/>
        <v>0.000006013</v>
      </c>
      <c r="U272" s="260">
        <f t="shared" si="95"/>
        <v>0.000005033</v>
      </c>
      <c r="V272" s="260">
        <f t="shared" si="95"/>
        <v>0.00000973</v>
      </c>
      <c r="W272" s="260">
        <f t="shared" si="95"/>
        <v>0.00000875</v>
      </c>
      <c r="X272" s="260">
        <f t="shared" si="95"/>
        <v>0.00001673</v>
      </c>
      <c r="Y272" s="260">
        <f t="shared" si="95"/>
        <v>0.000006699</v>
      </c>
      <c r="Z272" s="260">
        <f t="shared" si="95"/>
        <v>0.000006482</v>
      </c>
      <c r="AA272" s="260">
        <f t="shared" si="95"/>
        <v>0.00000819</v>
      </c>
      <c r="AB272" s="260">
        <f t="shared" si="95"/>
        <v>0.000004564</v>
      </c>
      <c r="AC272" s="260">
        <f t="shared" si="95"/>
        <v>0.000004879</v>
      </c>
      <c r="AD272" s="260">
        <f t="shared" si="95"/>
        <v>0.000004606</v>
      </c>
      <c r="AE272" s="260">
        <f t="shared" si="95"/>
        <v>0.000004599</v>
      </c>
      <c r="AF272" s="260">
        <f t="shared" si="95"/>
        <v>0.000003724</v>
      </c>
      <c r="AG272" s="260">
        <f t="shared" si="95"/>
        <v>0.00001561</v>
      </c>
      <c r="AH272" s="260">
        <f t="shared" si="95"/>
        <v>0.00000819</v>
      </c>
      <c r="AI272" s="260">
        <f t="shared" si="95"/>
        <v>0.00000868</v>
      </c>
      <c r="AJ272" s="260">
        <f t="shared" si="95"/>
        <v>0.000003269</v>
      </c>
      <c r="AK272" s="260">
        <f t="shared" si="95"/>
        <v>0.00001057</v>
      </c>
      <c r="AL272" s="260">
        <f t="shared" si="95"/>
        <v>0.00001554</v>
      </c>
      <c r="AM272" s="260">
        <f t="shared" si="95"/>
        <v>0.00001554</v>
      </c>
      <c r="AN272" s="260">
        <f t="shared" si="95"/>
        <v>0.00001554</v>
      </c>
      <c r="AO272" s="260">
        <f t="shared" si="95"/>
        <v>0.000006587</v>
      </c>
      <c r="AP272" s="260">
        <f t="shared" si="95"/>
        <v>0.000005635</v>
      </c>
      <c r="AQ272" s="260">
        <f t="shared" si="95"/>
        <v>0.0000035</v>
      </c>
      <c r="AR272" s="260">
        <f t="shared" si="95"/>
        <v>0.000005243</v>
      </c>
      <c r="AS272" s="260">
        <f t="shared" si="95"/>
        <v>0.00000938</v>
      </c>
      <c r="AT272" s="260">
        <f t="shared" si="95"/>
        <v>0.000004697</v>
      </c>
      <c r="AU272" s="260">
        <f t="shared" si="95"/>
        <v>0.000014</v>
      </c>
      <c r="AV272" s="260">
        <f t="shared" si="95"/>
        <v>0.00003353</v>
      </c>
      <c r="AW272" s="259"/>
    </row>
    <row r="273">
      <c r="A273" s="122"/>
      <c r="B273" s="123"/>
      <c r="C273" s="342"/>
      <c r="D273" s="342"/>
      <c r="E273" s="272" t="s">
        <v>205</v>
      </c>
      <c r="F273" s="200" t="s">
        <v>72</v>
      </c>
      <c r="G273" s="201" t="s">
        <v>161</v>
      </c>
      <c r="H273" s="228" t="s">
        <v>162</v>
      </c>
      <c r="I273" s="590">
        <f t="shared" ref="I273:AV273" si="96">SUM(I267:I272)</f>
        <v>0.007677001911</v>
      </c>
      <c r="J273" s="590">
        <f t="shared" si="96"/>
        <v>0.004556396435</v>
      </c>
      <c r="K273" s="590">
        <f t="shared" si="96"/>
        <v>0.008731731865</v>
      </c>
      <c r="L273" s="590">
        <f t="shared" si="96"/>
        <v>0.003325607734</v>
      </c>
      <c r="M273" s="590">
        <f t="shared" si="96"/>
        <v>0.004272082517</v>
      </c>
      <c r="N273" s="590">
        <f t="shared" si="96"/>
        <v>0.007174878886</v>
      </c>
      <c r="O273" s="590">
        <f t="shared" si="96"/>
        <v>0.007686464078</v>
      </c>
      <c r="P273" s="590">
        <f t="shared" si="96"/>
        <v>0.01045650557</v>
      </c>
      <c r="Q273" s="590">
        <f t="shared" si="96"/>
        <v>0.009156641603</v>
      </c>
      <c r="R273" s="590">
        <f t="shared" si="96"/>
        <v>0.00218946409</v>
      </c>
      <c r="S273" s="590">
        <f t="shared" si="96"/>
        <v>0.004086524751</v>
      </c>
      <c r="T273" s="590">
        <f t="shared" si="96"/>
        <v>0.002406970637</v>
      </c>
      <c r="U273" s="590">
        <f t="shared" si="96"/>
        <v>0.002333748024</v>
      </c>
      <c r="V273" s="590">
        <f t="shared" si="96"/>
        <v>0.003036260094</v>
      </c>
      <c r="W273" s="590">
        <f t="shared" si="96"/>
        <v>0.00413826584</v>
      </c>
      <c r="X273" s="590">
        <f t="shared" si="96"/>
        <v>0.003576822392</v>
      </c>
      <c r="Y273" s="590">
        <f t="shared" si="96"/>
        <v>0.003311570666</v>
      </c>
      <c r="Z273" s="590">
        <f t="shared" si="96"/>
        <v>0.0026361274</v>
      </c>
      <c r="AA273" s="590">
        <f t="shared" si="96"/>
        <v>0.003425648795</v>
      </c>
      <c r="AB273" s="590">
        <f t="shared" si="96"/>
        <v>0.002476754864</v>
      </c>
      <c r="AC273" s="590">
        <f t="shared" si="96"/>
        <v>0.002261760375</v>
      </c>
      <c r="AD273" s="590">
        <f t="shared" si="96"/>
        <v>0.002403936482</v>
      </c>
      <c r="AE273" s="590">
        <f t="shared" si="96"/>
        <v>0.002162527672</v>
      </c>
      <c r="AF273" s="590">
        <f t="shared" si="96"/>
        <v>0.002071154145</v>
      </c>
      <c r="AG273" s="590">
        <f t="shared" si="96"/>
        <v>0.003325607734</v>
      </c>
      <c r="AH273" s="590">
        <f t="shared" si="96"/>
        <v>0.002619384069</v>
      </c>
      <c r="AI273" s="590">
        <f t="shared" si="96"/>
        <v>0.002957077651</v>
      </c>
      <c r="AJ273" s="590">
        <f t="shared" si="96"/>
        <v>0.001579520156</v>
      </c>
      <c r="AK273" s="590">
        <f t="shared" si="96"/>
        <v>0.003767722832</v>
      </c>
      <c r="AL273" s="590">
        <f t="shared" si="96"/>
        <v>0.004751714393</v>
      </c>
      <c r="AM273" s="590">
        <f t="shared" si="96"/>
        <v>0.004751714393</v>
      </c>
      <c r="AN273" s="590">
        <f t="shared" si="96"/>
        <v>0.004751714393</v>
      </c>
      <c r="AO273" s="590">
        <f t="shared" si="96"/>
        <v>0.00284672127</v>
      </c>
      <c r="AP273" s="590">
        <f t="shared" si="96"/>
        <v>0.002611543181</v>
      </c>
      <c r="AQ273" s="590">
        <f t="shared" si="96"/>
        <v>0.001661879218</v>
      </c>
      <c r="AR273" s="590">
        <f t="shared" si="96"/>
        <v>0.001997071148</v>
      </c>
      <c r="AS273" s="590">
        <f t="shared" si="96"/>
        <v>0.003879280068</v>
      </c>
      <c r="AT273" s="590">
        <f t="shared" si="96"/>
        <v>0.002325003178</v>
      </c>
      <c r="AU273" s="590">
        <f t="shared" si="96"/>
        <v>0.005221766019</v>
      </c>
      <c r="AV273" s="590">
        <f t="shared" si="96"/>
        <v>0.007205425932</v>
      </c>
      <c r="AW273" s="274"/>
    </row>
    <row r="274">
      <c r="A274" s="122"/>
      <c r="B274" s="123"/>
      <c r="C274" s="131"/>
      <c r="D274" s="131"/>
      <c r="E274" s="269"/>
      <c r="F274" s="141"/>
      <c r="G274" s="142"/>
      <c r="H274" s="127"/>
      <c r="I274" s="317"/>
      <c r="J274" s="317"/>
      <c r="K274" s="317"/>
      <c r="L274" s="317"/>
      <c r="M274" s="317"/>
      <c r="N274" s="317"/>
      <c r="O274" s="317"/>
      <c r="P274" s="317"/>
      <c r="Q274" s="317"/>
      <c r="R274" s="317"/>
      <c r="S274" s="317"/>
      <c r="T274" s="317"/>
      <c r="U274" s="317"/>
      <c r="V274" s="317"/>
      <c r="W274" s="317"/>
      <c r="X274" s="317"/>
      <c r="Y274" s="317"/>
      <c r="Z274" s="317"/>
      <c r="AA274" s="317"/>
      <c r="AB274" s="317"/>
      <c r="AC274" s="317"/>
      <c r="AD274" s="317"/>
      <c r="AE274" s="317"/>
      <c r="AF274" s="317"/>
      <c r="AG274" s="317"/>
      <c r="AH274" s="317"/>
      <c r="AI274" s="317"/>
      <c r="AJ274" s="317"/>
      <c r="AK274" s="317"/>
      <c r="AL274" s="317"/>
      <c r="AM274" s="317"/>
      <c r="AN274" s="317"/>
      <c r="AO274" s="317"/>
      <c r="AP274" s="317"/>
      <c r="AQ274" s="317"/>
      <c r="AR274" s="317"/>
      <c r="AS274" s="317"/>
      <c r="AT274" s="317"/>
      <c r="AU274" s="317"/>
      <c r="AV274" s="317"/>
      <c r="AW274" s="130"/>
    </row>
    <row r="275">
      <c r="A275" s="122"/>
      <c r="B275" s="123"/>
      <c r="C275" s="342" t="s">
        <v>715</v>
      </c>
      <c r="F275" s="125"/>
      <c r="G275" s="132"/>
      <c r="H275" s="127"/>
      <c r="I275" s="128"/>
      <c r="J275" s="128"/>
      <c r="K275" s="128"/>
      <c r="L275" s="128"/>
      <c r="M275" s="128"/>
      <c r="N275" s="128"/>
      <c r="O275" s="128"/>
      <c r="P275" s="128"/>
      <c r="Q275" s="128"/>
      <c r="R275" s="128"/>
      <c r="S275" s="128"/>
      <c r="T275" s="317"/>
      <c r="U275" s="128"/>
      <c r="V275" s="128"/>
      <c r="W275" s="128"/>
      <c r="X275" s="128"/>
      <c r="Y275" s="128"/>
      <c r="Z275" s="128"/>
      <c r="AA275" s="128"/>
      <c r="AB275" s="128"/>
      <c r="AC275" s="128"/>
      <c r="AD275" s="128"/>
      <c r="AE275" s="128"/>
      <c r="AF275" s="128"/>
      <c r="AG275" s="128"/>
      <c r="AH275" s="128"/>
      <c r="AI275" s="128"/>
      <c r="AJ275" s="128"/>
      <c r="AK275" s="128"/>
      <c r="AL275" s="128"/>
      <c r="AM275" s="128"/>
      <c r="AN275" s="128"/>
      <c r="AO275" s="128"/>
      <c r="AP275" s="128"/>
      <c r="AQ275" s="128"/>
      <c r="AR275" s="128"/>
      <c r="AS275" s="128"/>
      <c r="AT275" s="128"/>
      <c r="AU275" s="128"/>
      <c r="AV275" s="128"/>
      <c r="AW275" s="130"/>
    </row>
    <row r="276">
      <c r="A276" s="122"/>
      <c r="B276" s="123"/>
      <c r="C276" s="450"/>
      <c r="D276" s="450"/>
      <c r="E276" s="254" t="s">
        <v>449</v>
      </c>
      <c r="F276" s="356" t="str">
        <f>Inputs!F196</f>
        <v>%</v>
      </c>
      <c r="G276" s="550" t="str">
        <f>Inputs!G196</f>
        <v>input</v>
      </c>
      <c r="H276" s="255">
        <f>Inputs!H196</f>
        <v>-0.8</v>
      </c>
      <c r="I276" s="358" t="str">
        <f>Inputs!I196</f>
        <v>-</v>
      </c>
      <c r="J276" s="358" t="str">
        <f>Inputs!J196</f>
        <v>-</v>
      </c>
      <c r="K276" s="358" t="str">
        <f>Inputs!K196</f>
        <v>-</v>
      </c>
      <c r="L276" s="358" t="str">
        <f>Inputs!L196</f>
        <v>-</v>
      </c>
      <c r="M276" s="358" t="str">
        <f>Inputs!M196</f>
        <v>-</v>
      </c>
      <c r="N276" s="358" t="str">
        <f>Inputs!N196</f>
        <v>-</v>
      </c>
      <c r="O276" s="358" t="str">
        <f>Inputs!O196</f>
        <v>-</v>
      </c>
      <c r="P276" s="358" t="str">
        <f>Inputs!P196</f>
        <v>-</v>
      </c>
      <c r="Q276" s="358" t="str">
        <f>Inputs!Q196</f>
        <v>-</v>
      </c>
      <c r="R276" s="358" t="str">
        <f>Inputs!R196</f>
        <v>-</v>
      </c>
      <c r="S276" s="358" t="str">
        <f>Inputs!S196</f>
        <v>-</v>
      </c>
      <c r="T276" s="383" t="str">
        <f>Inputs!T196</f>
        <v>-</v>
      </c>
      <c r="U276" s="358" t="str">
        <f>Inputs!U196</f>
        <v>-</v>
      </c>
      <c r="V276" s="358" t="str">
        <f>Inputs!V196</f>
        <v>-</v>
      </c>
      <c r="W276" s="358" t="str">
        <f>Inputs!W196</f>
        <v>-</v>
      </c>
      <c r="X276" s="358" t="str">
        <f>Inputs!X196</f>
        <v>-</v>
      </c>
      <c r="Y276" s="358" t="str">
        <f>Inputs!Y196</f>
        <v>-</v>
      </c>
      <c r="Z276" s="358" t="str">
        <f>Inputs!Z196</f>
        <v>-</v>
      </c>
      <c r="AA276" s="358" t="str">
        <f>Inputs!AA196</f>
        <v>-</v>
      </c>
      <c r="AB276" s="358" t="str">
        <f>Inputs!AB196</f>
        <v>-</v>
      </c>
      <c r="AC276" s="358" t="str">
        <f>Inputs!AC196</f>
        <v>-</v>
      </c>
      <c r="AD276" s="358" t="str">
        <f>Inputs!AD196</f>
        <v>-</v>
      </c>
      <c r="AE276" s="358" t="str">
        <f>Inputs!AE196</f>
        <v>-</v>
      </c>
      <c r="AF276" s="358" t="str">
        <f>Inputs!AF196</f>
        <v>-</v>
      </c>
      <c r="AG276" s="358" t="str">
        <f>Inputs!AG196</f>
        <v>-</v>
      </c>
      <c r="AH276" s="358" t="str">
        <f>Inputs!AH196</f>
        <v>-</v>
      </c>
      <c r="AI276" s="358" t="str">
        <f>Inputs!AI196</f>
        <v>-</v>
      </c>
      <c r="AJ276" s="358" t="str">
        <f>Inputs!AJ196</f>
        <v>-</v>
      </c>
      <c r="AK276" s="358" t="str">
        <f>Inputs!AK196</f>
        <v>-</v>
      </c>
      <c r="AL276" s="358" t="str">
        <f>Inputs!AL196</f>
        <v>-</v>
      </c>
      <c r="AM276" s="358" t="str">
        <f>Inputs!AM196</f>
        <v>-</v>
      </c>
      <c r="AN276" s="358" t="str">
        <f>Inputs!AN196</f>
        <v>-</v>
      </c>
      <c r="AO276" s="358" t="str">
        <f>Inputs!AO196</f>
        <v>-</v>
      </c>
      <c r="AP276" s="358" t="str">
        <f>Inputs!AP196</f>
        <v>-</v>
      </c>
      <c r="AQ276" s="358" t="str">
        <f>Inputs!AQ196</f>
        <v>-</v>
      </c>
      <c r="AR276" s="358" t="str">
        <f>Inputs!AR196</f>
        <v>-</v>
      </c>
      <c r="AS276" s="358" t="str">
        <f>Inputs!AS196</f>
        <v>-</v>
      </c>
      <c r="AT276" s="358" t="str">
        <f>Inputs!AT196</f>
        <v>-</v>
      </c>
      <c r="AU276" s="358" t="str">
        <f>Inputs!AU196</f>
        <v>-</v>
      </c>
      <c r="AV276" s="358" t="str">
        <f>Inputs!AV196</f>
        <v>-</v>
      </c>
      <c r="AW276" s="256"/>
    </row>
    <row r="277">
      <c r="A277" s="122"/>
      <c r="B277" s="123"/>
      <c r="C277" s="450"/>
      <c r="D277" s="450"/>
      <c r="E277" s="257" t="s">
        <v>450</v>
      </c>
      <c r="F277" s="213" t="s">
        <v>72</v>
      </c>
      <c r="G277" s="214" t="s">
        <v>161</v>
      </c>
      <c r="H277" s="240" t="s">
        <v>162</v>
      </c>
      <c r="I277" s="217">
        <f t="shared" ref="I277:AV277" si="97">I187*(1+$H$276)</f>
        <v>0.09347517716</v>
      </c>
      <c r="J277" s="217">
        <f t="shared" si="97"/>
        <v>0.1123225143</v>
      </c>
      <c r="K277" s="217">
        <f t="shared" si="97"/>
        <v>0.1208894857</v>
      </c>
      <c r="L277" s="217">
        <f t="shared" si="97"/>
        <v>0.1486845486</v>
      </c>
      <c r="M277" s="217">
        <f t="shared" si="97"/>
        <v>0.1147974172</v>
      </c>
      <c r="N277" s="217">
        <f t="shared" si="97"/>
        <v>0.1083245943</v>
      </c>
      <c r="O277" s="217">
        <f t="shared" si="97"/>
        <v>0.1210798629</v>
      </c>
      <c r="P277" s="217">
        <f t="shared" si="97"/>
        <v>0.06415709716</v>
      </c>
      <c r="Q277" s="217">
        <f t="shared" si="97"/>
        <v>0.09671158859</v>
      </c>
      <c r="R277" s="217">
        <f t="shared" si="97"/>
        <v>0.1722913143</v>
      </c>
      <c r="S277" s="217">
        <f t="shared" si="97"/>
        <v>0.1591552915</v>
      </c>
      <c r="T277" s="217">
        <f t="shared" si="97"/>
        <v>0.1629628343</v>
      </c>
      <c r="U277" s="217">
        <f t="shared" si="97"/>
        <v>0.1606783086</v>
      </c>
      <c r="V277" s="217">
        <f t="shared" si="97"/>
        <v>0.1502075657</v>
      </c>
      <c r="W277" s="217">
        <f t="shared" si="97"/>
        <v>0.1555381257</v>
      </c>
      <c r="X277" s="217">
        <f t="shared" si="97"/>
        <v>0.1233643886</v>
      </c>
      <c r="Y277" s="217">
        <f t="shared" si="97"/>
        <v>0.17724112</v>
      </c>
      <c r="Z277" s="217">
        <f t="shared" si="97"/>
        <v>0.1589649143</v>
      </c>
      <c r="AA277" s="217">
        <f t="shared" si="97"/>
        <v>0.1890445029</v>
      </c>
      <c r="AB277" s="217">
        <f t="shared" si="97"/>
        <v>0.1757181029</v>
      </c>
      <c r="AC277" s="217">
        <f t="shared" si="97"/>
        <v>0.1884733715</v>
      </c>
      <c r="AD277" s="217">
        <f t="shared" si="97"/>
        <v>0.1886637486</v>
      </c>
      <c r="AE277" s="217">
        <f t="shared" si="97"/>
        <v>0.18123904</v>
      </c>
      <c r="AF277" s="217">
        <f t="shared" si="97"/>
        <v>0.1802871543</v>
      </c>
      <c r="AG277" s="217">
        <f t="shared" si="97"/>
        <v>0.1486845486</v>
      </c>
      <c r="AH277" s="217">
        <f t="shared" si="97"/>
        <v>0.1757181029</v>
      </c>
      <c r="AI277" s="217">
        <f t="shared" si="97"/>
        <v>0.1376426743</v>
      </c>
      <c r="AJ277" s="217">
        <f t="shared" si="97"/>
        <v>0.1797160229</v>
      </c>
      <c r="AK277" s="217">
        <f t="shared" si="97"/>
        <v>0.1507786972</v>
      </c>
      <c r="AL277" s="217">
        <f t="shared" si="97"/>
        <v>0.1269815543</v>
      </c>
      <c r="AM277" s="217">
        <f t="shared" si="97"/>
        <v>0.1269815543</v>
      </c>
      <c r="AN277" s="217">
        <f t="shared" si="97"/>
        <v>0.1269815543</v>
      </c>
      <c r="AO277" s="217">
        <f t="shared" si="97"/>
        <v>0.1376426743</v>
      </c>
      <c r="AP277" s="217">
        <f t="shared" si="97"/>
        <v>0.1429732343</v>
      </c>
      <c r="AQ277" s="217">
        <f t="shared" si="97"/>
        <v>0.1770507429</v>
      </c>
      <c r="AR277" s="217">
        <f t="shared" si="97"/>
        <v>0.1570611429</v>
      </c>
      <c r="AS277" s="217">
        <f t="shared" si="97"/>
        <v>0.1669607543</v>
      </c>
      <c r="AT277" s="217">
        <f t="shared" si="97"/>
        <v>0.17191056</v>
      </c>
      <c r="AU277" s="217">
        <f t="shared" si="97"/>
        <v>0.1353581486</v>
      </c>
      <c r="AV277" s="217">
        <f t="shared" si="97"/>
        <v>0.1431636115</v>
      </c>
      <c r="AW277" s="259"/>
    </row>
    <row r="278">
      <c r="A278" s="122"/>
      <c r="B278" s="123"/>
      <c r="C278" s="450"/>
      <c r="D278" s="450"/>
      <c r="E278" s="257" t="s">
        <v>716</v>
      </c>
      <c r="F278" s="213" t="s">
        <v>72</v>
      </c>
      <c r="G278" s="214" t="s">
        <v>161</v>
      </c>
      <c r="H278" s="240" t="s">
        <v>162</v>
      </c>
      <c r="I278" s="217">
        <f t="shared" ref="I278:AV278" si="98">I188*(1+$H$276)</f>
        <v>0.07351413373</v>
      </c>
      <c r="J278" s="217">
        <f t="shared" si="98"/>
        <v>0.09695907888</v>
      </c>
      <c r="K278" s="217">
        <f t="shared" si="98"/>
        <v>0.1092574423</v>
      </c>
      <c r="L278" s="217">
        <f t="shared" si="98"/>
        <v>0.1294850137</v>
      </c>
      <c r="M278" s="217">
        <f t="shared" si="98"/>
        <v>0.09386545031</v>
      </c>
      <c r="N278" s="217">
        <f t="shared" si="98"/>
        <v>0.09195216002</v>
      </c>
      <c r="O278" s="217">
        <f t="shared" si="98"/>
        <v>0.1112849589</v>
      </c>
      <c r="P278" s="217">
        <f t="shared" si="98"/>
        <v>0.04064552001</v>
      </c>
      <c r="Q278" s="217">
        <f t="shared" si="98"/>
        <v>0.07166747544</v>
      </c>
      <c r="R278" s="217">
        <f t="shared" si="98"/>
        <v>0.1630960983</v>
      </c>
      <c r="S278" s="217">
        <f t="shared" si="98"/>
        <v>0.1299704755</v>
      </c>
      <c r="T278" s="217">
        <f t="shared" si="98"/>
        <v>0.1575275669</v>
      </c>
      <c r="U278" s="217">
        <f t="shared" si="98"/>
        <v>0.1481990869</v>
      </c>
      <c r="V278" s="217">
        <f t="shared" si="98"/>
        <v>0.1445819212</v>
      </c>
      <c r="W278" s="217">
        <f t="shared" si="98"/>
        <v>0.1438013749</v>
      </c>
      <c r="X278" s="217">
        <f t="shared" si="98"/>
        <v>0.09174274516</v>
      </c>
      <c r="Y278" s="217">
        <f t="shared" si="98"/>
        <v>0.1724340972</v>
      </c>
      <c r="Z278" s="217">
        <f t="shared" si="98"/>
        <v>0.1463333909</v>
      </c>
      <c r="AA278" s="217">
        <f t="shared" si="98"/>
        <v>0.1884828903</v>
      </c>
      <c r="AB278" s="217">
        <f t="shared" si="98"/>
        <v>0.1722532389</v>
      </c>
      <c r="AC278" s="217">
        <f t="shared" si="98"/>
        <v>0.1779359966</v>
      </c>
      <c r="AD278" s="217">
        <f t="shared" si="98"/>
        <v>0.184170848</v>
      </c>
      <c r="AE278" s="217">
        <f t="shared" si="98"/>
        <v>0.1667608583</v>
      </c>
      <c r="AF278" s="217">
        <f t="shared" si="98"/>
        <v>0.1771935258</v>
      </c>
      <c r="AG278" s="217">
        <f t="shared" si="98"/>
        <v>0.1294850137</v>
      </c>
      <c r="AH278" s="217">
        <f t="shared" si="98"/>
        <v>0.1469521166</v>
      </c>
      <c r="AI278" s="217">
        <f t="shared" si="98"/>
        <v>0.1217842583</v>
      </c>
      <c r="AJ278" s="217">
        <f t="shared" si="98"/>
        <v>0.1720343052</v>
      </c>
      <c r="AK278" s="217">
        <f t="shared" si="98"/>
        <v>0.12593448</v>
      </c>
      <c r="AL278" s="217">
        <f t="shared" si="98"/>
        <v>0.1009189235</v>
      </c>
      <c r="AM278" s="217">
        <f t="shared" si="98"/>
        <v>0.1009189235</v>
      </c>
      <c r="AN278" s="217">
        <f t="shared" si="98"/>
        <v>0.1009189235</v>
      </c>
      <c r="AO278" s="217">
        <f t="shared" si="98"/>
        <v>0.1130364286</v>
      </c>
      <c r="AP278" s="217">
        <f t="shared" si="98"/>
        <v>0.1322359635</v>
      </c>
      <c r="AQ278" s="217">
        <f t="shared" si="98"/>
        <v>0.1687693372</v>
      </c>
      <c r="AR278" s="217">
        <f t="shared" si="98"/>
        <v>0.1284284206</v>
      </c>
      <c r="AS278" s="217">
        <f t="shared" si="98"/>
        <v>0.147323352</v>
      </c>
      <c r="AT278" s="217">
        <f t="shared" si="98"/>
        <v>0.1657708972</v>
      </c>
      <c r="AU278" s="217">
        <f t="shared" si="98"/>
        <v>0.1259915932</v>
      </c>
      <c r="AV278" s="217">
        <f t="shared" si="98"/>
        <v>0.1359483177</v>
      </c>
      <c r="AW278" s="259"/>
    </row>
    <row r="279">
      <c r="A279" s="122"/>
      <c r="B279" s="123"/>
      <c r="C279" s="450"/>
      <c r="D279" s="450"/>
      <c r="E279" s="257" t="s">
        <v>453</v>
      </c>
      <c r="F279" s="213" t="s">
        <v>72</v>
      </c>
      <c r="G279" s="214" t="s">
        <v>161</v>
      </c>
      <c r="H279" s="240" t="s">
        <v>162</v>
      </c>
      <c r="I279" s="217">
        <f t="shared" ref="I279:AV279" si="99">I190*(1+$H$276)</f>
        <v>0.07339990744</v>
      </c>
      <c r="J279" s="217">
        <f t="shared" si="99"/>
        <v>0.09070518973</v>
      </c>
      <c r="K279" s="217">
        <f t="shared" si="99"/>
        <v>0.1076868309</v>
      </c>
      <c r="L279" s="217">
        <f t="shared" si="99"/>
        <v>0.1269529977</v>
      </c>
      <c r="M279" s="217">
        <f t="shared" si="99"/>
        <v>0.09263751773</v>
      </c>
      <c r="N279" s="217">
        <f t="shared" si="99"/>
        <v>0.08792568345</v>
      </c>
      <c r="O279" s="217">
        <f t="shared" si="99"/>
        <v>0.1095525269</v>
      </c>
      <c r="P279" s="217">
        <f t="shared" si="99"/>
        <v>0.03129800229</v>
      </c>
      <c r="Q279" s="217">
        <f t="shared" si="99"/>
        <v>0.07285733259</v>
      </c>
      <c r="R279" s="217">
        <f t="shared" si="99"/>
        <v>0.1609353177</v>
      </c>
      <c r="S279" s="217">
        <f t="shared" si="99"/>
        <v>0.130065664</v>
      </c>
      <c r="T279" s="217">
        <f t="shared" si="99"/>
        <v>0.1550336263</v>
      </c>
      <c r="U279" s="217">
        <f t="shared" si="99"/>
        <v>0.1477802572</v>
      </c>
      <c r="V279" s="217">
        <f t="shared" si="99"/>
        <v>0.1426686309</v>
      </c>
      <c r="W279" s="217">
        <f t="shared" si="99"/>
        <v>0.1376712309</v>
      </c>
      <c r="X279" s="217">
        <f t="shared" si="99"/>
        <v>0.08130055887</v>
      </c>
      <c r="Y279" s="217">
        <f t="shared" si="99"/>
        <v>0.1720914183</v>
      </c>
      <c r="Z279" s="217">
        <f t="shared" si="99"/>
        <v>0.1428209326</v>
      </c>
      <c r="AA279" s="217">
        <f t="shared" si="99"/>
        <v>0.1885495223</v>
      </c>
      <c r="AB279" s="217">
        <f t="shared" si="99"/>
        <v>0.1638956823</v>
      </c>
      <c r="AC279" s="217">
        <f t="shared" si="99"/>
        <v>0.1732146435</v>
      </c>
      <c r="AD279" s="217">
        <f t="shared" si="99"/>
        <v>0.1832951132</v>
      </c>
      <c r="AE279" s="217">
        <f t="shared" si="99"/>
        <v>0.1672939143</v>
      </c>
      <c r="AF279" s="217">
        <f t="shared" si="99"/>
        <v>0.1740713406</v>
      </c>
      <c r="AG279" s="217">
        <f t="shared" si="99"/>
        <v>0.1269529977</v>
      </c>
      <c r="AH279" s="217">
        <f t="shared" si="99"/>
        <v>0.1435443657</v>
      </c>
      <c r="AI279" s="217">
        <f t="shared" si="99"/>
        <v>0.1160634252</v>
      </c>
      <c r="AJ279" s="217">
        <f t="shared" si="99"/>
        <v>0.1695498835</v>
      </c>
      <c r="AK279" s="217">
        <f t="shared" si="99"/>
        <v>0.1232787189</v>
      </c>
      <c r="AL279" s="217">
        <f t="shared" si="99"/>
        <v>0.09799663431</v>
      </c>
      <c r="AM279" s="217">
        <f t="shared" si="99"/>
        <v>0.09799663431</v>
      </c>
      <c r="AN279" s="217">
        <f t="shared" si="99"/>
        <v>0.09799663431</v>
      </c>
      <c r="AO279" s="217">
        <f t="shared" si="99"/>
        <v>0.1099142435</v>
      </c>
      <c r="AP279" s="217">
        <f t="shared" si="99"/>
        <v>0.1283427509</v>
      </c>
      <c r="AQ279" s="217">
        <f t="shared" si="99"/>
        <v>0.160183328</v>
      </c>
      <c r="AR279" s="217">
        <f t="shared" si="99"/>
        <v>0.1264389795</v>
      </c>
      <c r="AS279" s="217">
        <f t="shared" si="99"/>
        <v>0.1359197612</v>
      </c>
      <c r="AT279" s="217">
        <f t="shared" si="99"/>
        <v>0.1639718332</v>
      </c>
      <c r="AU279" s="217">
        <f t="shared" si="99"/>
        <v>0.1215843623</v>
      </c>
      <c r="AV279" s="217">
        <f t="shared" si="99"/>
        <v>0.1312935966</v>
      </c>
      <c r="AW279" s="259"/>
    </row>
    <row r="280">
      <c r="A280" s="122"/>
      <c r="B280" s="123"/>
      <c r="C280" s="450"/>
      <c r="D280" s="450"/>
      <c r="E280" s="257" t="s">
        <v>454</v>
      </c>
      <c r="F280" s="213" t="s">
        <v>72</v>
      </c>
      <c r="G280" s="214" t="s">
        <v>161</v>
      </c>
      <c r="H280" s="240" t="s">
        <v>162</v>
      </c>
      <c r="I280" s="217">
        <f t="shared" ref="I280:AV280" si="100">I191*(1+$H$276)</f>
        <v>0</v>
      </c>
      <c r="J280" s="217">
        <f t="shared" si="100"/>
        <v>0</v>
      </c>
      <c r="K280" s="217">
        <f t="shared" si="100"/>
        <v>0</v>
      </c>
      <c r="L280" s="217">
        <f t="shared" si="100"/>
        <v>0</v>
      </c>
      <c r="M280" s="217">
        <f t="shared" si="100"/>
        <v>0</v>
      </c>
      <c r="N280" s="217">
        <f t="shared" si="100"/>
        <v>0</v>
      </c>
      <c r="O280" s="217">
        <f t="shared" si="100"/>
        <v>0</v>
      </c>
      <c r="P280" s="217">
        <f t="shared" si="100"/>
        <v>0</v>
      </c>
      <c r="Q280" s="217">
        <f t="shared" si="100"/>
        <v>0</v>
      </c>
      <c r="R280" s="217">
        <f t="shared" si="100"/>
        <v>0</v>
      </c>
      <c r="S280" s="217">
        <f t="shared" si="100"/>
        <v>0</v>
      </c>
      <c r="T280" s="217">
        <f t="shared" si="100"/>
        <v>0</v>
      </c>
      <c r="U280" s="217">
        <f t="shared" si="100"/>
        <v>0</v>
      </c>
      <c r="V280" s="217">
        <f t="shared" si="100"/>
        <v>0</v>
      </c>
      <c r="W280" s="217">
        <f t="shared" si="100"/>
        <v>0</v>
      </c>
      <c r="X280" s="217">
        <f t="shared" si="100"/>
        <v>0</v>
      </c>
      <c r="Y280" s="217">
        <f t="shared" si="100"/>
        <v>0</v>
      </c>
      <c r="Z280" s="217">
        <f t="shared" si="100"/>
        <v>0</v>
      </c>
      <c r="AA280" s="217">
        <f t="shared" si="100"/>
        <v>0</v>
      </c>
      <c r="AB280" s="217">
        <f t="shared" si="100"/>
        <v>0</v>
      </c>
      <c r="AC280" s="217">
        <f t="shared" si="100"/>
        <v>0</v>
      </c>
      <c r="AD280" s="217">
        <f t="shared" si="100"/>
        <v>0</v>
      </c>
      <c r="AE280" s="217">
        <f t="shared" si="100"/>
        <v>0</v>
      </c>
      <c r="AF280" s="217">
        <f t="shared" si="100"/>
        <v>0</v>
      </c>
      <c r="AG280" s="217">
        <f t="shared" si="100"/>
        <v>0</v>
      </c>
      <c r="AH280" s="217">
        <f t="shared" si="100"/>
        <v>0</v>
      </c>
      <c r="AI280" s="217">
        <f t="shared" si="100"/>
        <v>0</v>
      </c>
      <c r="AJ280" s="217">
        <f t="shared" si="100"/>
        <v>0</v>
      </c>
      <c r="AK280" s="217">
        <f t="shared" si="100"/>
        <v>0</v>
      </c>
      <c r="AL280" s="217">
        <f t="shared" si="100"/>
        <v>0</v>
      </c>
      <c r="AM280" s="217">
        <f t="shared" si="100"/>
        <v>0</v>
      </c>
      <c r="AN280" s="217">
        <f t="shared" si="100"/>
        <v>0</v>
      </c>
      <c r="AO280" s="217">
        <f t="shared" si="100"/>
        <v>0</v>
      </c>
      <c r="AP280" s="217">
        <f t="shared" si="100"/>
        <v>0</v>
      </c>
      <c r="AQ280" s="217">
        <f t="shared" si="100"/>
        <v>0</v>
      </c>
      <c r="AR280" s="217">
        <f t="shared" si="100"/>
        <v>0</v>
      </c>
      <c r="AS280" s="217">
        <f t="shared" si="100"/>
        <v>0</v>
      </c>
      <c r="AT280" s="217">
        <f t="shared" si="100"/>
        <v>0</v>
      </c>
      <c r="AU280" s="217">
        <f t="shared" si="100"/>
        <v>0</v>
      </c>
      <c r="AV280" s="217">
        <f t="shared" si="100"/>
        <v>0</v>
      </c>
      <c r="AW280" s="259"/>
    </row>
    <row r="281">
      <c r="A281" s="122"/>
      <c r="B281" s="123"/>
      <c r="C281" s="450"/>
      <c r="D281" s="450"/>
      <c r="E281" s="272" t="s">
        <v>455</v>
      </c>
      <c r="F281" s="200" t="s">
        <v>72</v>
      </c>
      <c r="G281" s="201" t="s">
        <v>161</v>
      </c>
      <c r="H281" s="228" t="s">
        <v>162</v>
      </c>
      <c r="I281" s="203">
        <f t="shared" ref="I281:AV281" si="101">I192*(1+$H$276)</f>
        <v>0.05652085842</v>
      </c>
      <c r="J281" s="203">
        <f t="shared" si="101"/>
        <v>0.06786945144</v>
      </c>
      <c r="K281" s="203">
        <f t="shared" si="101"/>
        <v>0.103967073</v>
      </c>
      <c r="L281" s="203">
        <f t="shared" si="101"/>
        <v>0.105215101</v>
      </c>
      <c r="M281" s="203">
        <f t="shared" si="101"/>
        <v>0.07432112129</v>
      </c>
      <c r="N281" s="203">
        <f t="shared" si="101"/>
        <v>0.08118527494</v>
      </c>
      <c r="O281" s="203">
        <f t="shared" si="101"/>
        <v>0.1194405042</v>
      </c>
      <c r="P281" s="203">
        <f t="shared" si="101"/>
        <v>0.03629857525</v>
      </c>
      <c r="Q281" s="203">
        <f t="shared" si="101"/>
        <v>0.08614565716</v>
      </c>
      <c r="R281" s="203">
        <f t="shared" si="101"/>
        <v>0.1411117689</v>
      </c>
      <c r="S281" s="203">
        <f t="shared" si="101"/>
        <v>0.1134436242</v>
      </c>
      <c r="T281" s="203">
        <f t="shared" si="101"/>
        <v>0.1342264623</v>
      </c>
      <c r="U281" s="203">
        <f t="shared" si="101"/>
        <v>0.1274998032</v>
      </c>
      <c r="V281" s="203">
        <f t="shared" si="101"/>
        <v>0.1253845016</v>
      </c>
      <c r="W281" s="203">
        <f t="shared" si="101"/>
        <v>0.1256912203</v>
      </c>
      <c r="X281" s="203">
        <f t="shared" si="101"/>
        <v>0.07143373462</v>
      </c>
      <c r="Y281" s="203">
        <f t="shared" si="101"/>
        <v>0.1487691607</v>
      </c>
      <c r="Z281" s="203">
        <f t="shared" si="101"/>
        <v>0.1370186603</v>
      </c>
      <c r="AA281" s="203">
        <f t="shared" si="101"/>
        <v>0.1729787873</v>
      </c>
      <c r="AB281" s="203">
        <f t="shared" si="101"/>
        <v>0.1486739721</v>
      </c>
      <c r="AC281" s="203">
        <f t="shared" si="101"/>
        <v>0.1768392127</v>
      </c>
      <c r="AD281" s="203">
        <f t="shared" si="101"/>
        <v>0.1500489181</v>
      </c>
      <c r="AE281" s="203">
        <f t="shared" si="101"/>
        <v>0.1658184915</v>
      </c>
      <c r="AF281" s="203">
        <f t="shared" si="101"/>
        <v>0.1396733638</v>
      </c>
      <c r="AG281" s="203">
        <f t="shared" si="101"/>
        <v>0.105215101</v>
      </c>
      <c r="AH281" s="203">
        <f t="shared" si="101"/>
        <v>0.1360350451</v>
      </c>
      <c r="AI281" s="203">
        <f t="shared" si="101"/>
        <v>0.1190280203</v>
      </c>
      <c r="AJ281" s="203">
        <f t="shared" si="101"/>
        <v>0.1623070908</v>
      </c>
      <c r="AK281" s="203">
        <f t="shared" si="101"/>
        <v>0.1046016635</v>
      </c>
      <c r="AL281" s="203">
        <f t="shared" si="101"/>
        <v>0.1002864483</v>
      </c>
      <c r="AM281" s="203">
        <f t="shared" si="101"/>
        <v>0.1002864483</v>
      </c>
      <c r="AN281" s="203">
        <f t="shared" si="101"/>
        <v>0.1002864483</v>
      </c>
      <c r="AO281" s="203">
        <f t="shared" si="101"/>
        <v>0.1050776064</v>
      </c>
      <c r="AP281" s="203">
        <f t="shared" si="101"/>
        <v>0.1239249435</v>
      </c>
      <c r="AQ281" s="203">
        <f t="shared" si="101"/>
        <v>0.1502921778</v>
      </c>
      <c r="AR281" s="203">
        <f t="shared" si="101"/>
        <v>0.114543581</v>
      </c>
      <c r="AS281" s="203">
        <f t="shared" si="101"/>
        <v>0.1291497384</v>
      </c>
      <c r="AT281" s="203">
        <f t="shared" si="101"/>
        <v>0.1577803454</v>
      </c>
      <c r="AU281" s="203">
        <f t="shared" si="101"/>
        <v>0.1216721473</v>
      </c>
      <c r="AV281" s="203">
        <f t="shared" si="101"/>
        <v>0.1333168826</v>
      </c>
      <c r="AW281" s="274"/>
    </row>
    <row r="282">
      <c r="A282" s="122"/>
      <c r="B282" s="123"/>
      <c r="C282" s="450"/>
      <c r="D282" s="450"/>
      <c r="E282" s="269"/>
      <c r="F282" s="125"/>
      <c r="G282" s="132"/>
      <c r="H282" s="127"/>
      <c r="I282" s="128"/>
      <c r="J282" s="128"/>
      <c r="K282" s="128"/>
      <c r="L282" s="128"/>
      <c r="M282" s="128"/>
      <c r="N282" s="128"/>
      <c r="O282" s="128"/>
      <c r="P282" s="128"/>
      <c r="Q282" s="128"/>
      <c r="R282" s="128"/>
      <c r="S282" s="128"/>
      <c r="T282" s="317"/>
      <c r="U282" s="128"/>
      <c r="V282" s="128"/>
      <c r="W282" s="128"/>
      <c r="X282" s="128"/>
      <c r="Y282" s="128"/>
      <c r="Z282" s="128"/>
      <c r="AA282" s="128"/>
      <c r="AB282" s="128"/>
      <c r="AC282" s="128"/>
      <c r="AD282" s="128"/>
      <c r="AE282" s="128"/>
      <c r="AF282" s="128"/>
      <c r="AG282" s="128"/>
      <c r="AH282" s="128"/>
      <c r="AI282" s="128"/>
      <c r="AJ282" s="128"/>
      <c r="AK282" s="128"/>
      <c r="AL282" s="128"/>
      <c r="AM282" s="128"/>
      <c r="AN282" s="128"/>
      <c r="AO282" s="128"/>
      <c r="AP282" s="128"/>
      <c r="AQ282" s="128"/>
      <c r="AR282" s="128"/>
      <c r="AS282" s="128"/>
      <c r="AT282" s="128"/>
      <c r="AU282" s="128"/>
      <c r="AV282" s="128"/>
      <c r="AW282" s="130"/>
    </row>
    <row r="283">
      <c r="A283" s="122"/>
      <c r="B283" s="123"/>
      <c r="C283" s="131" t="s">
        <v>434</v>
      </c>
      <c r="F283" s="125"/>
      <c r="G283" s="132"/>
      <c r="H283" s="127"/>
      <c r="I283" s="128"/>
      <c r="J283" s="128"/>
      <c r="K283" s="128"/>
      <c r="L283" s="128"/>
      <c r="M283" s="128"/>
      <c r="N283" s="128"/>
      <c r="O283" s="128"/>
      <c r="P283" s="128"/>
      <c r="Q283" s="128"/>
      <c r="R283" s="128"/>
      <c r="S283" s="128"/>
      <c r="T283" s="317"/>
      <c r="U283" s="128"/>
      <c r="V283" s="128"/>
      <c r="W283" s="128"/>
      <c r="X283" s="128"/>
      <c r="Y283" s="128"/>
      <c r="Z283" s="128"/>
      <c r="AA283" s="128"/>
      <c r="AB283" s="128"/>
      <c r="AC283" s="128"/>
      <c r="AD283" s="128"/>
      <c r="AE283" s="128"/>
      <c r="AF283" s="128"/>
      <c r="AG283" s="128"/>
      <c r="AH283" s="128"/>
      <c r="AI283" s="128"/>
      <c r="AJ283" s="128"/>
      <c r="AK283" s="128"/>
      <c r="AL283" s="128"/>
      <c r="AM283" s="128"/>
      <c r="AN283" s="128"/>
      <c r="AO283" s="128"/>
      <c r="AP283" s="128"/>
      <c r="AQ283" s="128"/>
      <c r="AR283" s="128"/>
      <c r="AS283" s="128"/>
      <c r="AT283" s="128"/>
      <c r="AU283" s="128"/>
      <c r="AV283" s="128"/>
      <c r="AW283" s="130"/>
    </row>
    <row r="284">
      <c r="A284" s="122"/>
      <c r="B284" s="123"/>
      <c r="C284" s="450"/>
      <c r="D284" s="450"/>
      <c r="E284" s="254" t="s">
        <v>717</v>
      </c>
      <c r="F284" s="193" t="str">
        <f>Inputs!F197</f>
        <v>%</v>
      </c>
      <c r="G284" s="550" t="str">
        <f>Inputs!G197</f>
        <v>input</v>
      </c>
      <c r="H284" s="255">
        <f>Inputs!H197</f>
        <v>-0.4</v>
      </c>
      <c r="I284" s="358" t="str">
        <f>Inputs!I197</f>
        <v>-</v>
      </c>
      <c r="J284" s="358" t="str">
        <f>Inputs!J197</f>
        <v>-</v>
      </c>
      <c r="K284" s="358" t="str">
        <f>Inputs!K197</f>
        <v>-</v>
      </c>
      <c r="L284" s="358" t="str">
        <f>Inputs!L197</f>
        <v>-</v>
      </c>
      <c r="M284" s="358" t="str">
        <f>Inputs!M197</f>
        <v>-</v>
      </c>
      <c r="N284" s="358" t="str">
        <f>Inputs!N197</f>
        <v>-</v>
      </c>
      <c r="O284" s="358" t="str">
        <f>Inputs!O197</f>
        <v>-</v>
      </c>
      <c r="P284" s="358" t="str">
        <f>Inputs!P197</f>
        <v>-</v>
      </c>
      <c r="Q284" s="358" t="str">
        <f>Inputs!Q197</f>
        <v>-</v>
      </c>
      <c r="R284" s="358" t="str">
        <f>Inputs!R197</f>
        <v>-</v>
      </c>
      <c r="S284" s="358" t="str">
        <f>Inputs!S197</f>
        <v>-</v>
      </c>
      <c r="T284" s="383" t="str">
        <f>Inputs!T197</f>
        <v>-</v>
      </c>
      <c r="U284" s="358" t="str">
        <f>Inputs!U197</f>
        <v>-</v>
      </c>
      <c r="V284" s="358" t="str">
        <f>Inputs!V197</f>
        <v>-</v>
      </c>
      <c r="W284" s="358" t="str">
        <f>Inputs!W197</f>
        <v>-</v>
      </c>
      <c r="X284" s="358" t="str">
        <f>Inputs!X197</f>
        <v>-</v>
      </c>
      <c r="Y284" s="358" t="str">
        <f>Inputs!Y197</f>
        <v>-</v>
      </c>
      <c r="Z284" s="358" t="str">
        <f>Inputs!Z197</f>
        <v>-</v>
      </c>
      <c r="AA284" s="358" t="str">
        <f>Inputs!AA197</f>
        <v>-</v>
      </c>
      <c r="AB284" s="358" t="str">
        <f>Inputs!AB197</f>
        <v>-</v>
      </c>
      <c r="AC284" s="358" t="str">
        <f>Inputs!AC197</f>
        <v>-</v>
      </c>
      <c r="AD284" s="358" t="str">
        <f>Inputs!AD197</f>
        <v>-</v>
      </c>
      <c r="AE284" s="358" t="str">
        <f>Inputs!AE197</f>
        <v>-</v>
      </c>
      <c r="AF284" s="358" t="str">
        <f>Inputs!AF197</f>
        <v>-</v>
      </c>
      <c r="AG284" s="358" t="str">
        <f>Inputs!AG197</f>
        <v>-</v>
      </c>
      <c r="AH284" s="358" t="str">
        <f>Inputs!AH197</f>
        <v>-</v>
      </c>
      <c r="AI284" s="358" t="str">
        <f>Inputs!AI197</f>
        <v>-</v>
      </c>
      <c r="AJ284" s="358" t="str">
        <f>Inputs!AJ197</f>
        <v>-</v>
      </c>
      <c r="AK284" s="358" t="str">
        <f>Inputs!AK197</f>
        <v>-</v>
      </c>
      <c r="AL284" s="358" t="str">
        <f>Inputs!AL197</f>
        <v>-</v>
      </c>
      <c r="AM284" s="358" t="str">
        <f>Inputs!AM197</f>
        <v>-</v>
      </c>
      <c r="AN284" s="358" t="str">
        <f>Inputs!AN197</f>
        <v>-</v>
      </c>
      <c r="AO284" s="358" t="str">
        <f>Inputs!AO197</f>
        <v>-</v>
      </c>
      <c r="AP284" s="358" t="str">
        <f>Inputs!AP197</f>
        <v>-</v>
      </c>
      <c r="AQ284" s="358" t="str">
        <f>Inputs!AQ197</f>
        <v>-</v>
      </c>
      <c r="AR284" s="358" t="str">
        <f>Inputs!AR197</f>
        <v>-</v>
      </c>
      <c r="AS284" s="358" t="str">
        <f>Inputs!AS197</f>
        <v>-</v>
      </c>
      <c r="AT284" s="358" t="str">
        <f>Inputs!AT197</f>
        <v>-</v>
      </c>
      <c r="AU284" s="358" t="str">
        <f>Inputs!AU197</f>
        <v>-</v>
      </c>
      <c r="AV284" s="358" t="str">
        <f>Inputs!AV197</f>
        <v>-</v>
      </c>
      <c r="AW284" s="256"/>
    </row>
    <row r="285">
      <c r="A285" s="122"/>
      <c r="B285" s="123"/>
      <c r="C285" s="450"/>
      <c r="D285" s="450"/>
      <c r="E285" s="254" t="s">
        <v>718</v>
      </c>
      <c r="F285" s="193" t="str">
        <f>Inputs!F198</f>
        <v>%</v>
      </c>
      <c r="G285" s="550" t="str">
        <f>Inputs!G198</f>
        <v>input</v>
      </c>
      <c r="H285" s="255">
        <f>Inputs!H198</f>
        <v>-0.8</v>
      </c>
      <c r="I285" s="358" t="str">
        <f>Inputs!I198</f>
        <v>-</v>
      </c>
      <c r="J285" s="358" t="str">
        <f>Inputs!J198</f>
        <v>-</v>
      </c>
      <c r="K285" s="358" t="str">
        <f>Inputs!K198</f>
        <v>-</v>
      </c>
      <c r="L285" s="358" t="str">
        <f>Inputs!L198</f>
        <v>-</v>
      </c>
      <c r="M285" s="358" t="str">
        <f>Inputs!M198</f>
        <v>-</v>
      </c>
      <c r="N285" s="358" t="str">
        <f>Inputs!N198</f>
        <v>-</v>
      </c>
      <c r="O285" s="358" t="str">
        <f>Inputs!O198</f>
        <v>-</v>
      </c>
      <c r="P285" s="358" t="str">
        <f>Inputs!P198</f>
        <v>-</v>
      </c>
      <c r="Q285" s="358" t="str">
        <f>Inputs!Q198</f>
        <v>-</v>
      </c>
      <c r="R285" s="358" t="str">
        <f>Inputs!R198</f>
        <v>-</v>
      </c>
      <c r="S285" s="358" t="str">
        <f>Inputs!S198</f>
        <v>-</v>
      </c>
      <c r="T285" s="383" t="str">
        <f>Inputs!T198</f>
        <v>-</v>
      </c>
      <c r="U285" s="358" t="str">
        <f>Inputs!U198</f>
        <v>-</v>
      </c>
      <c r="V285" s="358" t="str">
        <f>Inputs!V198</f>
        <v>-</v>
      </c>
      <c r="W285" s="358" t="str">
        <f>Inputs!W198</f>
        <v>-</v>
      </c>
      <c r="X285" s="358" t="str">
        <f>Inputs!X198</f>
        <v>-</v>
      </c>
      <c r="Y285" s="358" t="str">
        <f>Inputs!Y198</f>
        <v>-</v>
      </c>
      <c r="Z285" s="358" t="str">
        <f>Inputs!Z198</f>
        <v>-</v>
      </c>
      <c r="AA285" s="358" t="str">
        <f>Inputs!AA198</f>
        <v>-</v>
      </c>
      <c r="AB285" s="358" t="str">
        <f>Inputs!AB198</f>
        <v>-</v>
      </c>
      <c r="AC285" s="358" t="str">
        <f>Inputs!AC198</f>
        <v>-</v>
      </c>
      <c r="AD285" s="358" t="str">
        <f>Inputs!AD198</f>
        <v>-</v>
      </c>
      <c r="AE285" s="358" t="str">
        <f>Inputs!AE198</f>
        <v>-</v>
      </c>
      <c r="AF285" s="358" t="str">
        <f>Inputs!AF198</f>
        <v>-</v>
      </c>
      <c r="AG285" s="358" t="str">
        <f>Inputs!AG198</f>
        <v>-</v>
      </c>
      <c r="AH285" s="358" t="str">
        <f>Inputs!AH198</f>
        <v>-</v>
      </c>
      <c r="AI285" s="358" t="str">
        <f>Inputs!AI198</f>
        <v>-</v>
      </c>
      <c r="AJ285" s="358" t="str">
        <f>Inputs!AJ198</f>
        <v>-</v>
      </c>
      <c r="AK285" s="358" t="str">
        <f>Inputs!AK198</f>
        <v>-</v>
      </c>
      <c r="AL285" s="358" t="str">
        <f>Inputs!AL198</f>
        <v>-</v>
      </c>
      <c r="AM285" s="358" t="str">
        <f>Inputs!AM198</f>
        <v>-</v>
      </c>
      <c r="AN285" s="358" t="str">
        <f>Inputs!AN198</f>
        <v>-</v>
      </c>
      <c r="AO285" s="358" t="str">
        <f>Inputs!AO198</f>
        <v>-</v>
      </c>
      <c r="AP285" s="358" t="str">
        <f>Inputs!AP198</f>
        <v>-</v>
      </c>
      <c r="AQ285" s="358" t="str">
        <f>Inputs!AQ198</f>
        <v>-</v>
      </c>
      <c r="AR285" s="358" t="str">
        <f>Inputs!AR198</f>
        <v>-</v>
      </c>
      <c r="AS285" s="358" t="str">
        <f>Inputs!AS198</f>
        <v>-</v>
      </c>
      <c r="AT285" s="358" t="str">
        <f>Inputs!AT198</f>
        <v>-</v>
      </c>
      <c r="AU285" s="358" t="str">
        <f>Inputs!AU198</f>
        <v>-</v>
      </c>
      <c r="AV285" s="358" t="str">
        <f>Inputs!AV198</f>
        <v>-</v>
      </c>
      <c r="AW285" s="256"/>
    </row>
    <row r="286">
      <c r="A286" s="122"/>
      <c r="B286" s="123"/>
      <c r="C286" s="450"/>
      <c r="D286" s="450"/>
      <c r="E286" s="257" t="s">
        <v>435</v>
      </c>
      <c r="F286" s="213" t="s">
        <v>72</v>
      </c>
      <c r="G286" s="214" t="s">
        <v>161</v>
      </c>
      <c r="H286" s="258">
        <f>H195*(1+H$285)</f>
        <v>0.1194939285</v>
      </c>
      <c r="I286" s="220" t="s">
        <v>162</v>
      </c>
      <c r="J286" s="220" t="s">
        <v>162</v>
      </c>
      <c r="K286" s="220" t="s">
        <v>162</v>
      </c>
      <c r="L286" s="220" t="s">
        <v>162</v>
      </c>
      <c r="M286" s="220" t="s">
        <v>162</v>
      </c>
      <c r="N286" s="220" t="s">
        <v>162</v>
      </c>
      <c r="O286" s="220" t="s">
        <v>162</v>
      </c>
      <c r="P286" s="220" t="s">
        <v>162</v>
      </c>
      <c r="Q286" s="220" t="s">
        <v>162</v>
      </c>
      <c r="R286" s="220" t="s">
        <v>162</v>
      </c>
      <c r="S286" s="220" t="s">
        <v>162</v>
      </c>
      <c r="T286" s="220" t="s">
        <v>162</v>
      </c>
      <c r="U286" s="220" t="s">
        <v>162</v>
      </c>
      <c r="V286" s="220" t="s">
        <v>162</v>
      </c>
      <c r="W286" s="220" t="s">
        <v>162</v>
      </c>
      <c r="X286" s="220" t="s">
        <v>162</v>
      </c>
      <c r="Y286" s="220" t="s">
        <v>162</v>
      </c>
      <c r="Z286" s="220" t="s">
        <v>162</v>
      </c>
      <c r="AA286" s="220" t="s">
        <v>162</v>
      </c>
      <c r="AB286" s="220" t="s">
        <v>162</v>
      </c>
      <c r="AC286" s="220" t="s">
        <v>162</v>
      </c>
      <c r="AD286" s="220" t="s">
        <v>162</v>
      </c>
      <c r="AE286" s="220" t="s">
        <v>162</v>
      </c>
      <c r="AF286" s="220" t="s">
        <v>162</v>
      </c>
      <c r="AG286" s="220" t="s">
        <v>162</v>
      </c>
      <c r="AH286" s="220" t="s">
        <v>162</v>
      </c>
      <c r="AI286" s="220" t="s">
        <v>162</v>
      </c>
      <c r="AJ286" s="220" t="s">
        <v>162</v>
      </c>
      <c r="AK286" s="220" t="s">
        <v>162</v>
      </c>
      <c r="AL286" s="220" t="s">
        <v>162</v>
      </c>
      <c r="AM286" s="220" t="s">
        <v>162</v>
      </c>
      <c r="AN286" s="220" t="s">
        <v>162</v>
      </c>
      <c r="AO286" s="220" t="s">
        <v>162</v>
      </c>
      <c r="AP286" s="220" t="s">
        <v>162</v>
      </c>
      <c r="AQ286" s="220" t="s">
        <v>162</v>
      </c>
      <c r="AR286" s="220" t="s">
        <v>162</v>
      </c>
      <c r="AS286" s="220" t="s">
        <v>162</v>
      </c>
      <c r="AT286" s="220" t="s">
        <v>162</v>
      </c>
      <c r="AU286" s="220" t="s">
        <v>162</v>
      </c>
      <c r="AV286" s="220" t="s">
        <v>162</v>
      </c>
      <c r="AW286" s="259"/>
    </row>
    <row r="287">
      <c r="A287" s="122"/>
      <c r="B287" s="123"/>
      <c r="C287" s="450"/>
      <c r="D287" s="450"/>
      <c r="E287" s="257" t="s">
        <v>436</v>
      </c>
      <c r="F287" s="213" t="s">
        <v>72</v>
      </c>
      <c r="G287" s="214" t="s">
        <v>161</v>
      </c>
      <c r="H287" s="258">
        <f t="shared" ref="H287:H291" si="102">H196*(1+H$284)</f>
        <v>0.5105649672</v>
      </c>
      <c r="I287" s="220" t="s">
        <v>162</v>
      </c>
      <c r="J287" s="220" t="s">
        <v>162</v>
      </c>
      <c r="K287" s="220" t="s">
        <v>162</v>
      </c>
      <c r="L287" s="220" t="s">
        <v>162</v>
      </c>
      <c r="M287" s="220" t="s">
        <v>162</v>
      </c>
      <c r="N287" s="220" t="s">
        <v>162</v>
      </c>
      <c r="O287" s="220" t="s">
        <v>162</v>
      </c>
      <c r="P287" s="220" t="s">
        <v>162</v>
      </c>
      <c r="Q287" s="220" t="s">
        <v>162</v>
      </c>
      <c r="R287" s="220" t="s">
        <v>162</v>
      </c>
      <c r="S287" s="220" t="s">
        <v>162</v>
      </c>
      <c r="T287" s="220" t="s">
        <v>162</v>
      </c>
      <c r="U287" s="220" t="s">
        <v>162</v>
      </c>
      <c r="V287" s="220" t="s">
        <v>162</v>
      </c>
      <c r="W287" s="220" t="s">
        <v>162</v>
      </c>
      <c r="X287" s="220" t="s">
        <v>162</v>
      </c>
      <c r="Y287" s="220" t="s">
        <v>162</v>
      </c>
      <c r="Z287" s="220" t="s">
        <v>162</v>
      </c>
      <c r="AA287" s="220" t="s">
        <v>162</v>
      </c>
      <c r="AB287" s="220" t="s">
        <v>162</v>
      </c>
      <c r="AC287" s="220" t="s">
        <v>162</v>
      </c>
      <c r="AD287" s="220" t="s">
        <v>162</v>
      </c>
      <c r="AE287" s="220" t="s">
        <v>162</v>
      </c>
      <c r="AF287" s="220" t="s">
        <v>162</v>
      </c>
      <c r="AG287" s="220" t="s">
        <v>162</v>
      </c>
      <c r="AH287" s="220" t="s">
        <v>162</v>
      </c>
      <c r="AI287" s="220" t="s">
        <v>162</v>
      </c>
      <c r="AJ287" s="220" t="s">
        <v>162</v>
      </c>
      <c r="AK287" s="220" t="s">
        <v>162</v>
      </c>
      <c r="AL287" s="220" t="s">
        <v>162</v>
      </c>
      <c r="AM287" s="220" t="s">
        <v>162</v>
      </c>
      <c r="AN287" s="220" t="s">
        <v>162</v>
      </c>
      <c r="AO287" s="220" t="s">
        <v>162</v>
      </c>
      <c r="AP287" s="220" t="s">
        <v>162</v>
      </c>
      <c r="AQ287" s="220" t="s">
        <v>162</v>
      </c>
      <c r="AR287" s="220" t="s">
        <v>162</v>
      </c>
      <c r="AS287" s="220" t="s">
        <v>162</v>
      </c>
      <c r="AT287" s="220" t="s">
        <v>162</v>
      </c>
      <c r="AU287" s="220" t="s">
        <v>162</v>
      </c>
      <c r="AV287" s="220" t="s">
        <v>162</v>
      </c>
      <c r="AW287" s="259"/>
    </row>
    <row r="288">
      <c r="A288" s="122"/>
      <c r="B288" s="123"/>
      <c r="C288" s="450"/>
      <c r="D288" s="450"/>
      <c r="E288" s="257" t="s">
        <v>437</v>
      </c>
      <c r="F288" s="213" t="s">
        <v>72</v>
      </c>
      <c r="G288" s="214" t="s">
        <v>161</v>
      </c>
      <c r="H288" s="258">
        <f t="shared" si="102"/>
        <v>0.4453864608</v>
      </c>
      <c r="I288" s="220" t="s">
        <v>162</v>
      </c>
      <c r="J288" s="220" t="s">
        <v>162</v>
      </c>
      <c r="K288" s="220" t="s">
        <v>162</v>
      </c>
      <c r="L288" s="220" t="s">
        <v>162</v>
      </c>
      <c r="M288" s="220" t="s">
        <v>162</v>
      </c>
      <c r="N288" s="220" t="s">
        <v>162</v>
      </c>
      <c r="O288" s="220" t="s">
        <v>162</v>
      </c>
      <c r="P288" s="220" t="s">
        <v>162</v>
      </c>
      <c r="Q288" s="220" t="s">
        <v>162</v>
      </c>
      <c r="R288" s="220" t="s">
        <v>162</v>
      </c>
      <c r="S288" s="220" t="s">
        <v>162</v>
      </c>
      <c r="T288" s="220" t="s">
        <v>162</v>
      </c>
      <c r="U288" s="220" t="s">
        <v>162</v>
      </c>
      <c r="V288" s="220" t="s">
        <v>162</v>
      </c>
      <c r="W288" s="220" t="s">
        <v>162</v>
      </c>
      <c r="X288" s="220" t="s">
        <v>162</v>
      </c>
      <c r="Y288" s="220" t="s">
        <v>162</v>
      </c>
      <c r="Z288" s="220" t="s">
        <v>162</v>
      </c>
      <c r="AA288" s="220" t="s">
        <v>162</v>
      </c>
      <c r="AB288" s="220" t="s">
        <v>162</v>
      </c>
      <c r="AC288" s="220" t="s">
        <v>162</v>
      </c>
      <c r="AD288" s="220" t="s">
        <v>162</v>
      </c>
      <c r="AE288" s="220" t="s">
        <v>162</v>
      </c>
      <c r="AF288" s="220" t="s">
        <v>162</v>
      </c>
      <c r="AG288" s="220" t="s">
        <v>162</v>
      </c>
      <c r="AH288" s="220" t="s">
        <v>162</v>
      </c>
      <c r="AI288" s="220" t="s">
        <v>162</v>
      </c>
      <c r="AJ288" s="220" t="s">
        <v>162</v>
      </c>
      <c r="AK288" s="220" t="s">
        <v>162</v>
      </c>
      <c r="AL288" s="220" t="s">
        <v>162</v>
      </c>
      <c r="AM288" s="220" t="s">
        <v>162</v>
      </c>
      <c r="AN288" s="220" t="s">
        <v>162</v>
      </c>
      <c r="AO288" s="220" t="s">
        <v>162</v>
      </c>
      <c r="AP288" s="220" t="s">
        <v>162</v>
      </c>
      <c r="AQ288" s="220" t="s">
        <v>162</v>
      </c>
      <c r="AR288" s="220" t="s">
        <v>162</v>
      </c>
      <c r="AS288" s="220" t="s">
        <v>162</v>
      </c>
      <c r="AT288" s="220" t="s">
        <v>162</v>
      </c>
      <c r="AU288" s="220" t="s">
        <v>162</v>
      </c>
      <c r="AV288" s="220" t="s">
        <v>162</v>
      </c>
      <c r="AW288" s="259"/>
    </row>
    <row r="289">
      <c r="A289" s="122"/>
      <c r="B289" s="123"/>
      <c r="C289" s="450"/>
      <c r="D289" s="450"/>
      <c r="E289" s="257" t="s">
        <v>438</v>
      </c>
      <c r="F289" s="213" t="s">
        <v>72</v>
      </c>
      <c r="G289" s="214" t="s">
        <v>161</v>
      </c>
      <c r="H289" s="258">
        <f t="shared" si="102"/>
        <v>0.2579982547</v>
      </c>
      <c r="I289" s="220" t="s">
        <v>162</v>
      </c>
      <c r="J289" s="220" t="s">
        <v>162</v>
      </c>
      <c r="K289" s="220" t="s">
        <v>162</v>
      </c>
      <c r="L289" s="220" t="s">
        <v>162</v>
      </c>
      <c r="M289" s="220" t="s">
        <v>162</v>
      </c>
      <c r="N289" s="220" t="s">
        <v>162</v>
      </c>
      <c r="O289" s="220" t="s">
        <v>162</v>
      </c>
      <c r="P289" s="220" t="s">
        <v>162</v>
      </c>
      <c r="Q289" s="220" t="s">
        <v>162</v>
      </c>
      <c r="R289" s="220" t="s">
        <v>162</v>
      </c>
      <c r="S289" s="220" t="s">
        <v>162</v>
      </c>
      <c r="T289" s="220" t="s">
        <v>162</v>
      </c>
      <c r="U289" s="220" t="s">
        <v>162</v>
      </c>
      <c r="V289" s="220" t="s">
        <v>162</v>
      </c>
      <c r="W289" s="220" t="s">
        <v>162</v>
      </c>
      <c r="X289" s="220" t="s">
        <v>162</v>
      </c>
      <c r="Y289" s="220" t="s">
        <v>162</v>
      </c>
      <c r="Z289" s="220" t="s">
        <v>162</v>
      </c>
      <c r="AA289" s="220" t="s">
        <v>162</v>
      </c>
      <c r="AB289" s="220" t="s">
        <v>162</v>
      </c>
      <c r="AC289" s="220" t="s">
        <v>162</v>
      </c>
      <c r="AD289" s="220" t="s">
        <v>162</v>
      </c>
      <c r="AE289" s="220" t="s">
        <v>162</v>
      </c>
      <c r="AF289" s="220" t="s">
        <v>162</v>
      </c>
      <c r="AG289" s="220" t="s">
        <v>162</v>
      </c>
      <c r="AH289" s="220" t="s">
        <v>162</v>
      </c>
      <c r="AI289" s="220" t="s">
        <v>162</v>
      </c>
      <c r="AJ289" s="220" t="s">
        <v>162</v>
      </c>
      <c r="AK289" s="220" t="s">
        <v>162</v>
      </c>
      <c r="AL289" s="220" t="s">
        <v>162</v>
      </c>
      <c r="AM289" s="220" t="s">
        <v>162</v>
      </c>
      <c r="AN289" s="220" t="s">
        <v>162</v>
      </c>
      <c r="AO289" s="220" t="s">
        <v>162</v>
      </c>
      <c r="AP289" s="220" t="s">
        <v>162</v>
      </c>
      <c r="AQ289" s="220" t="s">
        <v>162</v>
      </c>
      <c r="AR289" s="220" t="s">
        <v>162</v>
      </c>
      <c r="AS289" s="220" t="s">
        <v>162</v>
      </c>
      <c r="AT289" s="220" t="s">
        <v>162</v>
      </c>
      <c r="AU289" s="220" t="s">
        <v>162</v>
      </c>
      <c r="AV289" s="220" t="s">
        <v>162</v>
      </c>
      <c r="AW289" s="259"/>
    </row>
    <row r="290">
      <c r="A290" s="122"/>
      <c r="B290" s="123"/>
      <c r="C290" s="450"/>
      <c r="D290" s="450"/>
      <c r="E290" s="257" t="s">
        <v>439</v>
      </c>
      <c r="F290" s="213" t="s">
        <v>72</v>
      </c>
      <c r="G290" s="214" t="s">
        <v>161</v>
      </c>
      <c r="H290" s="258">
        <f t="shared" si="102"/>
        <v>0.2498509414</v>
      </c>
      <c r="I290" s="220" t="s">
        <v>162</v>
      </c>
      <c r="J290" s="220" t="s">
        <v>162</v>
      </c>
      <c r="K290" s="220" t="s">
        <v>162</v>
      </c>
      <c r="L290" s="220" t="s">
        <v>162</v>
      </c>
      <c r="M290" s="220" t="s">
        <v>162</v>
      </c>
      <c r="N290" s="220" t="s">
        <v>162</v>
      </c>
      <c r="O290" s="220" t="s">
        <v>162</v>
      </c>
      <c r="P290" s="220" t="s">
        <v>162</v>
      </c>
      <c r="Q290" s="220" t="s">
        <v>162</v>
      </c>
      <c r="R290" s="220" t="s">
        <v>162</v>
      </c>
      <c r="S290" s="220" t="s">
        <v>162</v>
      </c>
      <c r="T290" s="220" t="s">
        <v>162</v>
      </c>
      <c r="U290" s="220" t="s">
        <v>162</v>
      </c>
      <c r="V290" s="220" t="s">
        <v>162</v>
      </c>
      <c r="W290" s="220" t="s">
        <v>162</v>
      </c>
      <c r="X290" s="220" t="s">
        <v>162</v>
      </c>
      <c r="Y290" s="220" t="s">
        <v>162</v>
      </c>
      <c r="Z290" s="220" t="s">
        <v>162</v>
      </c>
      <c r="AA290" s="220" t="s">
        <v>162</v>
      </c>
      <c r="AB290" s="220" t="s">
        <v>162</v>
      </c>
      <c r="AC290" s="220" t="s">
        <v>162</v>
      </c>
      <c r="AD290" s="220" t="s">
        <v>162</v>
      </c>
      <c r="AE290" s="220" t="s">
        <v>162</v>
      </c>
      <c r="AF290" s="220" t="s">
        <v>162</v>
      </c>
      <c r="AG290" s="220" t="s">
        <v>162</v>
      </c>
      <c r="AH290" s="220" t="s">
        <v>162</v>
      </c>
      <c r="AI290" s="220" t="s">
        <v>162</v>
      </c>
      <c r="AJ290" s="220" t="s">
        <v>162</v>
      </c>
      <c r="AK290" s="220" t="s">
        <v>162</v>
      </c>
      <c r="AL290" s="220" t="s">
        <v>162</v>
      </c>
      <c r="AM290" s="220" t="s">
        <v>162</v>
      </c>
      <c r="AN290" s="220" t="s">
        <v>162</v>
      </c>
      <c r="AO290" s="220" t="s">
        <v>162</v>
      </c>
      <c r="AP290" s="220" t="s">
        <v>162</v>
      </c>
      <c r="AQ290" s="220" t="s">
        <v>162</v>
      </c>
      <c r="AR290" s="220" t="s">
        <v>162</v>
      </c>
      <c r="AS290" s="220" t="s">
        <v>162</v>
      </c>
      <c r="AT290" s="220" t="s">
        <v>162</v>
      </c>
      <c r="AU290" s="220" t="s">
        <v>162</v>
      </c>
      <c r="AV290" s="220" t="s">
        <v>162</v>
      </c>
      <c r="AW290" s="259"/>
    </row>
    <row r="291">
      <c r="A291" s="122"/>
      <c r="B291" s="123"/>
      <c r="C291" s="450"/>
      <c r="D291" s="450"/>
      <c r="E291" s="272" t="s">
        <v>440</v>
      </c>
      <c r="F291" s="200" t="s">
        <v>72</v>
      </c>
      <c r="G291" s="201" t="s">
        <v>161</v>
      </c>
      <c r="H291" s="498">
        <f t="shared" si="102"/>
        <v>0.4623113803</v>
      </c>
      <c r="I291" s="493" t="s">
        <v>162</v>
      </c>
      <c r="J291" s="493" t="s">
        <v>162</v>
      </c>
      <c r="K291" s="493" t="s">
        <v>162</v>
      </c>
      <c r="L291" s="493" t="s">
        <v>162</v>
      </c>
      <c r="M291" s="493" t="s">
        <v>162</v>
      </c>
      <c r="N291" s="493" t="s">
        <v>162</v>
      </c>
      <c r="O291" s="493" t="s">
        <v>162</v>
      </c>
      <c r="P291" s="493" t="s">
        <v>162</v>
      </c>
      <c r="Q291" s="493" t="s">
        <v>162</v>
      </c>
      <c r="R291" s="493" t="s">
        <v>162</v>
      </c>
      <c r="S291" s="493" t="s">
        <v>162</v>
      </c>
      <c r="T291" s="493" t="s">
        <v>162</v>
      </c>
      <c r="U291" s="493" t="s">
        <v>162</v>
      </c>
      <c r="V291" s="493" t="s">
        <v>162</v>
      </c>
      <c r="W291" s="493" t="s">
        <v>162</v>
      </c>
      <c r="X291" s="493" t="s">
        <v>162</v>
      </c>
      <c r="Y291" s="493" t="s">
        <v>162</v>
      </c>
      <c r="Z291" s="493" t="s">
        <v>162</v>
      </c>
      <c r="AA291" s="493" t="s">
        <v>162</v>
      </c>
      <c r="AB291" s="493" t="s">
        <v>162</v>
      </c>
      <c r="AC291" s="493" t="s">
        <v>162</v>
      </c>
      <c r="AD291" s="493" t="s">
        <v>162</v>
      </c>
      <c r="AE291" s="493" t="s">
        <v>162</v>
      </c>
      <c r="AF291" s="493" t="s">
        <v>162</v>
      </c>
      <c r="AG291" s="493" t="s">
        <v>162</v>
      </c>
      <c r="AH291" s="493" t="s">
        <v>162</v>
      </c>
      <c r="AI291" s="493" t="s">
        <v>162</v>
      </c>
      <c r="AJ291" s="493" t="s">
        <v>162</v>
      </c>
      <c r="AK291" s="493" t="s">
        <v>162</v>
      </c>
      <c r="AL291" s="493" t="s">
        <v>162</v>
      </c>
      <c r="AM291" s="493" t="s">
        <v>162</v>
      </c>
      <c r="AN291" s="493" t="s">
        <v>162</v>
      </c>
      <c r="AO291" s="493" t="s">
        <v>162</v>
      </c>
      <c r="AP291" s="493" t="s">
        <v>162</v>
      </c>
      <c r="AQ291" s="493" t="s">
        <v>162</v>
      </c>
      <c r="AR291" s="493" t="s">
        <v>162</v>
      </c>
      <c r="AS291" s="493" t="s">
        <v>162</v>
      </c>
      <c r="AT291" s="493" t="s">
        <v>162</v>
      </c>
      <c r="AU291" s="493" t="s">
        <v>162</v>
      </c>
      <c r="AV291" s="493" t="s">
        <v>162</v>
      </c>
      <c r="AW291" s="274"/>
    </row>
    <row r="292">
      <c r="A292" s="122"/>
      <c r="B292" s="123"/>
      <c r="C292" s="450"/>
      <c r="D292" s="450"/>
      <c r="E292" s="269"/>
      <c r="F292" s="125"/>
      <c r="G292" s="132"/>
      <c r="H292" s="127"/>
      <c r="I292" s="128"/>
      <c r="J292" s="128"/>
      <c r="K292" s="128"/>
      <c r="L292" s="128"/>
      <c r="M292" s="128"/>
      <c r="N292" s="128"/>
      <c r="O292" s="128"/>
      <c r="P292" s="128"/>
      <c r="Q292" s="128"/>
      <c r="R292" s="128"/>
      <c r="S292" s="128"/>
      <c r="T292" s="317"/>
      <c r="U292" s="128"/>
      <c r="V292" s="128"/>
      <c r="W292" s="128"/>
      <c r="X292" s="128"/>
      <c r="Y292" s="128"/>
      <c r="Z292" s="128"/>
      <c r="AA292" s="128"/>
      <c r="AB292" s="128"/>
      <c r="AC292" s="128"/>
      <c r="AD292" s="128"/>
      <c r="AE292" s="128"/>
      <c r="AF292" s="128"/>
      <c r="AG292" s="128"/>
      <c r="AH292" s="128"/>
      <c r="AI292" s="128"/>
      <c r="AJ292" s="128"/>
      <c r="AK292" s="128"/>
      <c r="AL292" s="128"/>
      <c r="AM292" s="128"/>
      <c r="AN292" s="128"/>
      <c r="AO292" s="128"/>
      <c r="AP292" s="128"/>
      <c r="AQ292" s="128"/>
      <c r="AR292" s="128"/>
      <c r="AS292" s="128"/>
      <c r="AT292" s="128"/>
      <c r="AU292" s="128"/>
      <c r="AV292" s="128"/>
      <c r="AW292" s="130"/>
    </row>
    <row r="293">
      <c r="A293" s="122"/>
      <c r="B293" s="123"/>
      <c r="C293" s="450" t="s">
        <v>719</v>
      </c>
      <c r="F293" s="125"/>
      <c r="G293" s="132"/>
      <c r="H293" s="127"/>
      <c r="I293" s="128"/>
      <c r="J293" s="128"/>
      <c r="K293" s="128"/>
      <c r="L293" s="128"/>
      <c r="M293" s="128"/>
      <c r="N293" s="128"/>
      <c r="O293" s="128"/>
      <c r="P293" s="128"/>
      <c r="Q293" s="128"/>
      <c r="R293" s="128"/>
      <c r="S293" s="128"/>
      <c r="T293" s="317"/>
      <c r="U293" s="128"/>
      <c r="V293" s="128"/>
      <c r="W293" s="128"/>
      <c r="X293" s="128"/>
      <c r="Y293" s="128"/>
      <c r="Z293" s="128"/>
      <c r="AA293" s="128"/>
      <c r="AB293" s="128"/>
      <c r="AC293" s="128"/>
      <c r="AD293" s="128"/>
      <c r="AE293" s="128"/>
      <c r="AF293" s="128"/>
      <c r="AG293" s="128"/>
      <c r="AH293" s="128"/>
      <c r="AI293" s="128"/>
      <c r="AJ293" s="128"/>
      <c r="AK293" s="128"/>
      <c r="AL293" s="128"/>
      <c r="AM293" s="128"/>
      <c r="AN293" s="128"/>
      <c r="AO293" s="128"/>
      <c r="AP293" s="128"/>
      <c r="AQ293" s="128"/>
      <c r="AR293" s="128"/>
      <c r="AS293" s="128"/>
      <c r="AT293" s="128"/>
      <c r="AU293" s="128"/>
      <c r="AV293" s="128"/>
      <c r="AW293" s="130"/>
    </row>
    <row r="294">
      <c r="A294" s="122"/>
      <c r="B294" s="123"/>
      <c r="C294" s="131"/>
      <c r="D294" s="131"/>
      <c r="E294" s="254" t="s">
        <v>720</v>
      </c>
      <c r="F294" s="193" t="s">
        <v>72</v>
      </c>
      <c r="G294" s="194" t="s">
        <v>161</v>
      </c>
      <c r="H294" s="236" t="s">
        <v>162</v>
      </c>
      <c r="I294" s="237">
        <f t="shared" ref="I294:AV294" si="103">(I10/((I277*(1-$H286))+(1-I277)))</f>
        <v>0.007231021457</v>
      </c>
      <c r="J294" s="237">
        <f t="shared" si="103"/>
        <v>0.004062290488</v>
      </c>
      <c r="K294" s="237">
        <f t="shared" si="103"/>
        <v>0.008813260479</v>
      </c>
      <c r="L294" s="237">
        <f t="shared" si="103"/>
        <v>0.002894905499</v>
      </c>
      <c r="M294" s="237">
        <f t="shared" si="103"/>
        <v>0.003868106111</v>
      </c>
      <c r="N294" s="237">
        <f t="shared" si="103"/>
        <v>0.006957357955</v>
      </c>
      <c r="O294" s="237">
        <f t="shared" si="103"/>
        <v>0.007453229625</v>
      </c>
      <c r="P294" s="237">
        <f t="shared" si="103"/>
        <v>0.01018206159</v>
      </c>
      <c r="Q294" s="237">
        <f t="shared" si="103"/>
        <v>0.00892607775</v>
      </c>
      <c r="R294" s="237">
        <f t="shared" si="103"/>
        <v>0.001748440484</v>
      </c>
      <c r="S294" s="237">
        <f t="shared" si="103"/>
        <v>0.003317670765</v>
      </c>
      <c r="T294" s="237">
        <f t="shared" si="103"/>
        <v>0.001986245292</v>
      </c>
      <c r="U294" s="237">
        <f t="shared" si="103"/>
        <v>0.001928603343</v>
      </c>
      <c r="V294" s="237">
        <f t="shared" si="103"/>
        <v>0.002239530084</v>
      </c>
      <c r="W294" s="237">
        <f t="shared" si="103"/>
        <v>0.003313748878</v>
      </c>
      <c r="X294" s="237">
        <f t="shared" si="103"/>
        <v>0.002968858825</v>
      </c>
      <c r="Y294" s="237">
        <f t="shared" si="103"/>
        <v>0.00220011884</v>
      </c>
      <c r="Z294" s="237">
        <f t="shared" si="103"/>
        <v>0.002189601224</v>
      </c>
      <c r="AA294" s="237">
        <f t="shared" si="103"/>
        <v>0.002841378811</v>
      </c>
      <c r="AB294" s="237">
        <f t="shared" si="103"/>
        <v>0.002061145377</v>
      </c>
      <c r="AC294" s="237">
        <f t="shared" si="103"/>
        <v>0.001862791721</v>
      </c>
      <c r="AD294" s="237">
        <f t="shared" si="103"/>
        <v>0.001959546351</v>
      </c>
      <c r="AE294" s="237">
        <f t="shared" si="103"/>
        <v>0.001792465359</v>
      </c>
      <c r="AF294" s="237">
        <f t="shared" si="103"/>
        <v>0.001715160071</v>
      </c>
      <c r="AG294" s="237">
        <f t="shared" si="103"/>
        <v>0.002894905499</v>
      </c>
      <c r="AH294" s="237">
        <f t="shared" si="103"/>
        <v>0.002046026932</v>
      </c>
      <c r="AI294" s="237">
        <f t="shared" si="103"/>
        <v>0.002443343809</v>
      </c>
      <c r="AJ294" s="237">
        <f t="shared" si="103"/>
        <v>0.001240083766</v>
      </c>
      <c r="AK294" s="237">
        <f t="shared" si="103"/>
        <v>0.003162881067</v>
      </c>
      <c r="AL294" s="237">
        <f t="shared" si="103"/>
        <v>0.004011261983</v>
      </c>
      <c r="AM294" s="237">
        <f t="shared" si="103"/>
        <v>0.004011261983</v>
      </c>
      <c r="AN294" s="237">
        <f t="shared" si="103"/>
        <v>0.004011261983</v>
      </c>
      <c r="AO294" s="237">
        <f t="shared" si="103"/>
        <v>0.002395062707</v>
      </c>
      <c r="AP294" s="237">
        <f t="shared" si="103"/>
        <v>0.002126170417</v>
      </c>
      <c r="AQ294" s="237">
        <f t="shared" si="103"/>
        <v>0.001327109988</v>
      </c>
      <c r="AR294" s="237">
        <f t="shared" si="103"/>
        <v>0.001474444151</v>
      </c>
      <c r="AS294" s="237">
        <f t="shared" si="103"/>
        <v>0.003170187771</v>
      </c>
      <c r="AT294" s="237">
        <f t="shared" si="103"/>
        <v>0.001895101687</v>
      </c>
      <c r="AU294" s="237">
        <f t="shared" si="103"/>
        <v>0.004343731586</v>
      </c>
      <c r="AV294" s="237">
        <f t="shared" si="103"/>
        <v>0.006824868266</v>
      </c>
      <c r="AW294" s="256"/>
    </row>
    <row r="295">
      <c r="A295" s="122"/>
      <c r="B295" s="123"/>
      <c r="C295" s="131"/>
      <c r="D295" s="131"/>
      <c r="E295" s="254" t="s">
        <v>721</v>
      </c>
      <c r="F295" s="193" t="s">
        <v>72</v>
      </c>
      <c r="G295" s="194" t="s">
        <v>161</v>
      </c>
      <c r="H295" s="236" t="s">
        <v>162</v>
      </c>
      <c r="I295" s="237">
        <f t="shared" ref="I295:AV295" si="104">(SUM(I22,I38,I54)/((I278*(1-$H287))+(1-I278)))</f>
        <v>0.0001607329074</v>
      </c>
      <c r="J295" s="237">
        <f t="shared" si="104"/>
        <v>0.0001379279739</v>
      </c>
      <c r="K295" s="237">
        <f t="shared" si="104"/>
        <v>0.0002130866155</v>
      </c>
      <c r="L295" s="237">
        <f t="shared" si="104"/>
        <v>0.0001079356833</v>
      </c>
      <c r="M295" s="237">
        <f t="shared" si="104"/>
        <v>0.00010083233</v>
      </c>
      <c r="N295" s="237">
        <f t="shared" si="104"/>
        <v>0.000159802328</v>
      </c>
      <c r="O295" s="237">
        <f t="shared" si="104"/>
        <v>0.0002411274267</v>
      </c>
      <c r="P295" s="237">
        <f t="shared" si="104"/>
        <v>0.0003520977964</v>
      </c>
      <c r="Q295" s="237">
        <f t="shared" si="104"/>
        <v>0.0003021603187</v>
      </c>
      <c r="R295" s="237">
        <f t="shared" si="104"/>
        <v>0.00004508421458</v>
      </c>
      <c r="S295" s="237">
        <f t="shared" si="104"/>
        <v>0.00009154476128</v>
      </c>
      <c r="T295" s="237">
        <f t="shared" si="104"/>
        <v>0.00004742423943</v>
      </c>
      <c r="U295" s="237">
        <f t="shared" si="104"/>
        <v>0.0000485549208</v>
      </c>
      <c r="V295" s="237">
        <f t="shared" si="104"/>
        <v>0.0000793149044</v>
      </c>
      <c r="W295" s="237">
        <f t="shared" si="104"/>
        <v>0.00006502406309</v>
      </c>
      <c r="X295" s="237">
        <f t="shared" si="104"/>
        <v>0.00007528646561</v>
      </c>
      <c r="Y295" s="237">
        <f t="shared" si="104"/>
        <v>0.000048850763</v>
      </c>
      <c r="Z295" s="237">
        <f t="shared" si="104"/>
        <v>0.00005149751883</v>
      </c>
      <c r="AA295" s="237">
        <f t="shared" si="104"/>
        <v>0.00006311359554</v>
      </c>
      <c r="AB295" s="237">
        <f t="shared" si="104"/>
        <v>0.00004599510729</v>
      </c>
      <c r="AC295" s="237">
        <f t="shared" si="104"/>
        <v>0.00003814103215</v>
      </c>
      <c r="AD295" s="237">
        <f t="shared" si="104"/>
        <v>0.00004389775813</v>
      </c>
      <c r="AE295" s="237">
        <f t="shared" si="104"/>
        <v>0.00004503432375</v>
      </c>
      <c r="AF295" s="237">
        <f t="shared" si="104"/>
        <v>0.00003858031506</v>
      </c>
      <c r="AG295" s="237">
        <f t="shared" si="104"/>
        <v>0.0001079356833</v>
      </c>
      <c r="AH295" s="237">
        <f t="shared" si="104"/>
        <v>0.00009353802749</v>
      </c>
      <c r="AI295" s="237">
        <f t="shared" si="104"/>
        <v>0.00006265586498</v>
      </c>
      <c r="AJ295" s="237">
        <f t="shared" si="104"/>
        <v>0.00002691398118</v>
      </c>
      <c r="AK295" s="237">
        <f t="shared" si="104"/>
        <v>0.00007744984982</v>
      </c>
      <c r="AL295" s="237">
        <f t="shared" si="104"/>
        <v>0.0001301036788</v>
      </c>
      <c r="AM295" s="237">
        <f t="shared" si="104"/>
        <v>0.0001301036788</v>
      </c>
      <c r="AN295" s="237">
        <f t="shared" si="104"/>
        <v>0.0001301036788</v>
      </c>
      <c r="AO295" s="237">
        <f t="shared" si="104"/>
        <v>0.00006588222393</v>
      </c>
      <c r="AP295" s="237">
        <f t="shared" si="104"/>
        <v>0.00004672461471</v>
      </c>
      <c r="AQ295" s="237">
        <f t="shared" si="104"/>
        <v>0.00003101553791</v>
      </c>
      <c r="AR295" s="237">
        <f t="shared" si="104"/>
        <v>0.00005556334714</v>
      </c>
      <c r="AS295" s="237">
        <f t="shared" si="104"/>
        <v>0.00006255529293</v>
      </c>
      <c r="AT295" s="237">
        <f t="shared" si="104"/>
        <v>0.00004580695464</v>
      </c>
      <c r="AU295" s="237">
        <f t="shared" si="104"/>
        <v>0.0001164936763</v>
      </c>
      <c r="AV295" s="237">
        <f t="shared" si="104"/>
        <v>0.00017429811</v>
      </c>
      <c r="AW295" s="256"/>
    </row>
    <row r="296">
      <c r="A296" s="122"/>
      <c r="B296" s="123"/>
      <c r="C296" s="131"/>
      <c r="D296" s="131"/>
      <c r="E296" s="254" t="s">
        <v>722</v>
      </c>
      <c r="F296" s="193" t="s">
        <v>72</v>
      </c>
      <c r="G296" s="194" t="s">
        <v>161</v>
      </c>
      <c r="H296" s="236" t="s">
        <v>162</v>
      </c>
      <c r="I296" s="237">
        <f t="shared" ref="I296:AV296" si="105">(SUM(I90,I123)/((I278*(1-$H288))+(1-I278)))</f>
        <v>0.0001229905367</v>
      </c>
      <c r="J296" s="237">
        <f t="shared" si="105"/>
        <v>0.00009580711663</v>
      </c>
      <c r="K296" s="237">
        <f t="shared" si="105"/>
        <v>0.000152532021</v>
      </c>
      <c r="L296" s="237">
        <f t="shared" si="105"/>
        <v>0.00009278013042</v>
      </c>
      <c r="M296" s="237">
        <f t="shared" si="105"/>
        <v>0.0001000833092</v>
      </c>
      <c r="N296" s="237">
        <f t="shared" si="105"/>
        <v>0.0001206362412</v>
      </c>
      <c r="O296" s="237">
        <f t="shared" si="105"/>
        <v>0.0001255796596</v>
      </c>
      <c r="P296" s="237">
        <f t="shared" si="105"/>
        <v>0.0001625032218</v>
      </c>
      <c r="Q296" s="237">
        <f t="shared" si="105"/>
        <v>0.0001474710447</v>
      </c>
      <c r="R296" s="237">
        <f t="shared" si="105"/>
        <v>0.00007524126203</v>
      </c>
      <c r="S296" s="237">
        <f t="shared" si="105"/>
        <v>0.0001119899056</v>
      </c>
      <c r="T296" s="237">
        <f t="shared" si="105"/>
        <v>0.00007972766656</v>
      </c>
      <c r="U296" s="237">
        <f t="shared" si="105"/>
        <v>0.00008154372383</v>
      </c>
      <c r="V296" s="237">
        <f t="shared" si="105"/>
        <v>0.00008988223493</v>
      </c>
      <c r="W296" s="237">
        <f t="shared" si="105"/>
        <v>0.0001101741006</v>
      </c>
      <c r="X296" s="237">
        <f t="shared" si="105"/>
        <v>0.00008379742806</v>
      </c>
      <c r="Y296" s="237">
        <f t="shared" si="105"/>
        <v>0.0001362550498</v>
      </c>
      <c r="Z296" s="237">
        <f t="shared" si="105"/>
        <v>0.00008837973274</v>
      </c>
      <c r="AA296" s="237">
        <f t="shared" si="105"/>
        <v>0.0001022286463</v>
      </c>
      <c r="AB296" s="237">
        <f t="shared" si="105"/>
        <v>0.00008470188314</v>
      </c>
      <c r="AC296" s="237">
        <f t="shared" si="105"/>
        <v>0.00007646065413</v>
      </c>
      <c r="AD296" s="237">
        <f t="shared" si="105"/>
        <v>0.00007938913933</v>
      </c>
      <c r="AE296" s="237">
        <f t="shared" si="105"/>
        <v>0.00007664058201</v>
      </c>
      <c r="AF296" s="237">
        <f t="shared" si="105"/>
        <v>0.00007369605623</v>
      </c>
      <c r="AG296" s="237">
        <f t="shared" si="105"/>
        <v>0.00009278013042</v>
      </c>
      <c r="AH296" s="237">
        <f t="shared" si="105"/>
        <v>0.00008287382606</v>
      </c>
      <c r="AI296" s="237">
        <f t="shared" si="105"/>
        <v>0.00008925193995</v>
      </c>
      <c r="AJ296" s="237">
        <f t="shared" si="105"/>
        <v>0.00006410947913</v>
      </c>
      <c r="AK296" s="237">
        <f t="shared" si="105"/>
        <v>0.0001063589963</v>
      </c>
      <c r="AL296" s="237">
        <f t="shared" si="105"/>
        <v>0.0001161381812</v>
      </c>
      <c r="AM296" s="237">
        <f t="shared" si="105"/>
        <v>0.0001161381812</v>
      </c>
      <c r="AN296" s="237">
        <f t="shared" si="105"/>
        <v>0.0001161381812</v>
      </c>
      <c r="AO296" s="237">
        <f t="shared" si="105"/>
        <v>0.00009067756723</v>
      </c>
      <c r="AP296" s="237">
        <f t="shared" si="105"/>
        <v>0.00008281843165</v>
      </c>
      <c r="AQ296" s="237">
        <f t="shared" si="105"/>
        <v>0.00005851304587</v>
      </c>
      <c r="AR296" s="237">
        <f t="shared" si="105"/>
        <v>0.00006768165947</v>
      </c>
      <c r="AS296" s="237">
        <f t="shared" si="105"/>
        <v>0.0001097674157</v>
      </c>
      <c r="AT296" s="237">
        <f t="shared" si="105"/>
        <v>0.00008244458234</v>
      </c>
      <c r="AU296" s="237">
        <f t="shared" si="105"/>
        <v>0.000125098312</v>
      </c>
      <c r="AV296" s="237">
        <f t="shared" si="105"/>
        <v>0.0001285588857</v>
      </c>
      <c r="AW296" s="256"/>
    </row>
    <row r="297">
      <c r="A297" s="122"/>
      <c r="B297" s="123"/>
      <c r="C297" s="131"/>
      <c r="D297" s="131"/>
      <c r="E297" s="254" t="s">
        <v>723</v>
      </c>
      <c r="F297" s="193" t="s">
        <v>72</v>
      </c>
      <c r="G297" s="194" t="s">
        <v>161</v>
      </c>
      <c r="H297" s="236" t="s">
        <v>162</v>
      </c>
      <c r="I297" s="237">
        <f t="shared" ref="I297:AV297" si="106">(SUM(I96,I131)/((I279*(1-$H289))+(1-I279)))</f>
        <v>0.001551437599</v>
      </c>
      <c r="J297" s="237">
        <f t="shared" si="106"/>
        <v>0.001204545762</v>
      </c>
      <c r="K297" s="237">
        <f t="shared" si="106"/>
        <v>0.00190296161</v>
      </c>
      <c r="L297" s="237">
        <f t="shared" si="106"/>
        <v>0.001166090018</v>
      </c>
      <c r="M297" s="237">
        <f t="shared" si="106"/>
        <v>0.001262860666</v>
      </c>
      <c r="N297" s="237">
        <f t="shared" si="106"/>
        <v>0.001515093018</v>
      </c>
      <c r="O297" s="237">
        <f t="shared" si="106"/>
        <v>0.001565376162</v>
      </c>
      <c r="P297" s="237">
        <f t="shared" si="106"/>
        <v>0.002043489104</v>
      </c>
      <c r="Q297" s="237">
        <f t="shared" si="106"/>
        <v>0.001848586948</v>
      </c>
      <c r="R297" s="237">
        <f t="shared" si="106"/>
        <v>0.0009545032118</v>
      </c>
      <c r="S297" s="237">
        <f t="shared" si="106"/>
        <v>0.001410747271</v>
      </c>
      <c r="T297" s="237">
        <f t="shared" si="106"/>
        <v>0.001013046832</v>
      </c>
      <c r="U297" s="237">
        <f t="shared" si="106"/>
        <v>0.001041194156</v>
      </c>
      <c r="V297" s="237">
        <f t="shared" si="106"/>
        <v>0.001140657488</v>
      </c>
      <c r="W297" s="237">
        <f t="shared" si="106"/>
        <v>0.001392803854</v>
      </c>
      <c r="X297" s="237">
        <f t="shared" si="106"/>
        <v>0.001056702419</v>
      </c>
      <c r="Y297" s="237">
        <f t="shared" si="106"/>
        <v>0.001772819332</v>
      </c>
      <c r="Z297" s="237">
        <f t="shared" si="106"/>
        <v>0.001123113322</v>
      </c>
      <c r="AA297" s="237">
        <f t="shared" si="106"/>
        <v>0.001285208888</v>
      </c>
      <c r="AB297" s="237">
        <f t="shared" si="106"/>
        <v>0.001073470672</v>
      </c>
      <c r="AC297" s="237">
        <f t="shared" si="106"/>
        <v>0.0009704043763</v>
      </c>
      <c r="AD297" s="237">
        <f t="shared" si="106"/>
        <v>0.001001615883</v>
      </c>
      <c r="AE297" s="237">
        <f t="shared" si="106"/>
        <v>0.0009674416657</v>
      </c>
      <c r="AF297" s="237">
        <f t="shared" si="106"/>
        <v>0.0009340717023</v>
      </c>
      <c r="AG297" s="237">
        <f t="shared" si="106"/>
        <v>0.001166090018</v>
      </c>
      <c r="AH297" s="237">
        <f t="shared" si="106"/>
        <v>0.001054804396</v>
      </c>
      <c r="AI297" s="237">
        <f t="shared" si="106"/>
        <v>0.001139913122</v>
      </c>
      <c r="AJ297" s="237">
        <f t="shared" si="106"/>
        <v>0.0008116936334</v>
      </c>
      <c r="AK297" s="237">
        <f t="shared" si="106"/>
        <v>0.001349890616</v>
      </c>
      <c r="AL297" s="237">
        <f t="shared" si="106"/>
        <v>0.001466004495</v>
      </c>
      <c r="AM297" s="237">
        <f t="shared" si="106"/>
        <v>0.001466004495</v>
      </c>
      <c r="AN297" s="237">
        <f t="shared" si="106"/>
        <v>0.001466004495</v>
      </c>
      <c r="AO297" s="237">
        <f t="shared" si="106"/>
        <v>0.001152820431</v>
      </c>
      <c r="AP297" s="237">
        <f t="shared" si="106"/>
        <v>0.001056467031</v>
      </c>
      <c r="AQ297" s="237">
        <f t="shared" si="106"/>
        <v>0.0007418157974</v>
      </c>
      <c r="AR297" s="237">
        <f t="shared" si="106"/>
        <v>0.0008623162551</v>
      </c>
      <c r="AS297" s="237">
        <f t="shared" si="106"/>
        <v>0.001384143662</v>
      </c>
      <c r="AT297" s="237">
        <f t="shared" si="106"/>
        <v>0.001046525134</v>
      </c>
      <c r="AU297" s="237">
        <f t="shared" si="106"/>
        <v>0.001576230688</v>
      </c>
      <c r="AV297" s="237">
        <f t="shared" si="106"/>
        <v>0.001596643826</v>
      </c>
      <c r="AW297" s="256"/>
    </row>
    <row r="298">
      <c r="A298" s="122"/>
      <c r="B298" s="123"/>
      <c r="C298" s="131"/>
      <c r="D298" s="131"/>
      <c r="E298" s="254" t="s">
        <v>724</v>
      </c>
      <c r="F298" s="213" t="s">
        <v>72</v>
      </c>
      <c r="G298" s="214" t="s">
        <v>161</v>
      </c>
      <c r="H298" s="240" t="s">
        <v>162</v>
      </c>
      <c r="I298" s="237">
        <f t="shared" ref="I298:AV298" si="107">(I156/((I280*(1-$H290))+(1-I280)))</f>
        <v>0.00196807108</v>
      </c>
      <c r="J298" s="237">
        <f t="shared" si="107"/>
        <v>0.001078243762</v>
      </c>
      <c r="K298" s="237">
        <f t="shared" si="107"/>
        <v>0.001514253523</v>
      </c>
      <c r="L298" s="237">
        <f t="shared" si="107"/>
        <v>0.0005689704607</v>
      </c>
      <c r="M298" s="237">
        <f t="shared" si="107"/>
        <v>0.0008443529443</v>
      </c>
      <c r="N298" s="237">
        <f t="shared" si="107"/>
        <v>0.001574606677</v>
      </c>
      <c r="O298" s="237">
        <f t="shared" si="107"/>
        <v>0.001716354836</v>
      </c>
      <c r="P298" s="237">
        <f t="shared" si="107"/>
        <v>0.002221422391</v>
      </c>
      <c r="Q298" s="237">
        <f t="shared" si="107"/>
        <v>0.001932485827</v>
      </c>
      <c r="R298" s="237">
        <f t="shared" si="107"/>
        <v>0.000383674912</v>
      </c>
      <c r="S298" s="237">
        <f t="shared" si="107"/>
        <v>0.001010333138</v>
      </c>
      <c r="T298" s="237">
        <f t="shared" si="107"/>
        <v>0.0003921019842</v>
      </c>
      <c r="U298" s="237">
        <f t="shared" si="107"/>
        <v>0.0003126228939</v>
      </c>
      <c r="V298" s="237">
        <f t="shared" si="107"/>
        <v>0.0008680552636</v>
      </c>
      <c r="W298" s="237">
        <f t="shared" si="107"/>
        <v>0.001140447641</v>
      </c>
      <c r="X298" s="237">
        <f t="shared" si="107"/>
        <v>0.0009740812302</v>
      </c>
      <c r="Y298" s="237">
        <f t="shared" si="107"/>
        <v>0.0007032751298</v>
      </c>
      <c r="Z298" s="237">
        <f t="shared" si="107"/>
        <v>0.0003966283478</v>
      </c>
      <c r="AA298" s="237">
        <f t="shared" si="107"/>
        <v>0.0007315148825</v>
      </c>
      <c r="AB298" s="237">
        <f t="shared" si="107"/>
        <v>0.0003656014375</v>
      </c>
      <c r="AC298" s="237">
        <f t="shared" si="107"/>
        <v>0.0003711622227</v>
      </c>
      <c r="AD298" s="237">
        <f t="shared" si="107"/>
        <v>0.0004453482557</v>
      </c>
      <c r="AE298" s="237">
        <f t="shared" si="107"/>
        <v>0.0002912755957</v>
      </c>
      <c r="AF298" s="237">
        <f t="shared" si="107"/>
        <v>0.0002801691951</v>
      </c>
      <c r="AG298" s="237">
        <f t="shared" si="107"/>
        <v>0.0005689704607</v>
      </c>
      <c r="AH298" s="237">
        <f t="shared" si="107"/>
        <v>0.0005475009835</v>
      </c>
      <c r="AI298" s="237">
        <f t="shared" si="107"/>
        <v>0.0005598894438</v>
      </c>
      <c r="AJ298" s="237">
        <f t="shared" si="107"/>
        <v>0.0001783998142</v>
      </c>
      <c r="AK298" s="237">
        <f t="shared" si="107"/>
        <v>0.000781646409</v>
      </c>
      <c r="AL298" s="237">
        <f t="shared" si="107"/>
        <v>0.001152308846</v>
      </c>
      <c r="AM298" s="237">
        <f t="shared" si="107"/>
        <v>0.001152308846</v>
      </c>
      <c r="AN298" s="237">
        <f t="shared" si="107"/>
        <v>0.001152308846</v>
      </c>
      <c r="AO298" s="237">
        <f t="shared" si="107"/>
        <v>0.0004333431423</v>
      </c>
      <c r="AP298" s="237">
        <f t="shared" si="107"/>
        <v>0.0004898841472</v>
      </c>
      <c r="AQ298" s="237">
        <f t="shared" si="107"/>
        <v>0.0002764636449</v>
      </c>
      <c r="AR298" s="237">
        <f t="shared" si="107"/>
        <v>0.000448779928</v>
      </c>
      <c r="AS298" s="237">
        <f t="shared" si="107"/>
        <v>0.0009254679215</v>
      </c>
      <c r="AT298" s="237">
        <f t="shared" si="107"/>
        <v>0.0003380111196</v>
      </c>
      <c r="AU298" s="237">
        <f t="shared" si="107"/>
        <v>0.001412326703</v>
      </c>
      <c r="AV298" s="237">
        <f t="shared" si="107"/>
        <v>0.001711917032</v>
      </c>
      <c r="AW298" s="259"/>
    </row>
    <row r="299">
      <c r="A299" s="122"/>
      <c r="B299" s="123"/>
      <c r="C299" s="131"/>
      <c r="D299" s="131"/>
      <c r="E299" s="257" t="s">
        <v>725</v>
      </c>
      <c r="F299" s="213" t="s">
        <v>72</v>
      </c>
      <c r="G299" s="214" t="s">
        <v>161</v>
      </c>
      <c r="H299" s="240" t="s">
        <v>162</v>
      </c>
      <c r="I299" s="237">
        <f t="shared" ref="I299:AV299" si="108">(I164/((I281*(1-$H291))+(1-I281)))</f>
        <v>0.00005452474444</v>
      </c>
      <c r="J299" s="237">
        <f t="shared" si="108"/>
        <v>0.00002477743718</v>
      </c>
      <c r="K299" s="237">
        <f t="shared" si="108"/>
        <v>0.00008120303705</v>
      </c>
      <c r="L299" s="237">
        <f t="shared" si="108"/>
        <v>0.00002344018051</v>
      </c>
      <c r="M299" s="237">
        <f t="shared" si="108"/>
        <v>0.00001967605957</v>
      </c>
      <c r="N299" s="237">
        <f t="shared" si="108"/>
        <v>0.00006150859448</v>
      </c>
      <c r="O299" s="237">
        <f t="shared" si="108"/>
        <v>0.0000539807469</v>
      </c>
      <c r="P299" s="237">
        <f t="shared" si="108"/>
        <v>0.00008248418731</v>
      </c>
      <c r="Q299" s="237">
        <f t="shared" si="108"/>
        <v>0.00008102699046</v>
      </c>
      <c r="R299" s="237">
        <f t="shared" si="108"/>
        <v>0.000006108503998</v>
      </c>
      <c r="S299" s="237">
        <f t="shared" si="108"/>
        <v>0.0000196294939</v>
      </c>
      <c r="T299" s="237">
        <f t="shared" si="108"/>
        <v>0.000009158313865</v>
      </c>
      <c r="U299" s="237">
        <f t="shared" si="108"/>
        <v>0.000007640357918</v>
      </c>
      <c r="V299" s="237">
        <f t="shared" si="108"/>
        <v>0.00001475531675</v>
      </c>
      <c r="W299" s="237">
        <f t="shared" si="108"/>
        <v>0.00001327116739</v>
      </c>
      <c r="X299" s="237">
        <f t="shared" si="108"/>
        <v>0.0000247162448</v>
      </c>
      <c r="Y299" s="237">
        <f t="shared" si="108"/>
        <v>0.00001027681549</v>
      </c>
      <c r="Z299" s="237">
        <f t="shared" si="108"/>
        <v>0.000009886247153</v>
      </c>
      <c r="AA299" s="237">
        <f t="shared" si="108"/>
        <v>0.00001271697748</v>
      </c>
      <c r="AB299" s="237">
        <f t="shared" si="108"/>
        <v>0.000007001219506</v>
      </c>
      <c r="AC299" s="237">
        <f t="shared" si="108"/>
        <v>0.000007590564974</v>
      </c>
      <c r="AD299" s="237">
        <f t="shared" si="108"/>
        <v>0.00000707047399</v>
      </c>
      <c r="AE299" s="237">
        <f t="shared" si="108"/>
        <v>0.000007115470362</v>
      </c>
      <c r="AF299" s="237">
        <f t="shared" si="108"/>
        <v>0.000005687239778</v>
      </c>
      <c r="AG299" s="237">
        <f t="shared" si="108"/>
        <v>0.00002344018051</v>
      </c>
      <c r="AH299" s="237">
        <f t="shared" si="108"/>
        <v>0.00001248520116</v>
      </c>
      <c r="AI299" s="237">
        <f t="shared" si="108"/>
        <v>0.00001312208204</v>
      </c>
      <c r="AJ299" s="237">
        <f t="shared" si="108"/>
        <v>0.000005048847411</v>
      </c>
      <c r="AK299" s="237">
        <f t="shared" si="108"/>
        <v>0.00001586732044</v>
      </c>
      <c r="AL299" s="237">
        <f t="shared" si="108"/>
        <v>0.00002327931192</v>
      </c>
      <c r="AM299" s="237">
        <f t="shared" si="108"/>
        <v>0.00002327931192</v>
      </c>
      <c r="AN299" s="237">
        <f t="shared" si="108"/>
        <v>0.00002327931192</v>
      </c>
      <c r="AO299" s="237">
        <f t="shared" si="108"/>
        <v>0.000009890464662</v>
      </c>
      <c r="AP299" s="237">
        <f t="shared" si="108"/>
        <v>0.000008539228739</v>
      </c>
      <c r="AQ299" s="237">
        <f t="shared" si="108"/>
        <v>0.000005373349941</v>
      </c>
      <c r="AR299" s="237">
        <f t="shared" si="108"/>
        <v>0.00000790880943</v>
      </c>
      <c r="AS299" s="237">
        <f t="shared" si="108"/>
        <v>0.00001425088309</v>
      </c>
      <c r="AT299" s="237">
        <f t="shared" si="108"/>
        <v>0.000007237963469</v>
      </c>
      <c r="AU299" s="237">
        <f t="shared" si="108"/>
        <v>0.00002119206237</v>
      </c>
      <c r="AV299" s="237">
        <f t="shared" si="108"/>
        <v>0.00005104617549</v>
      </c>
      <c r="AW299" s="259"/>
    </row>
    <row r="300">
      <c r="A300" s="122"/>
      <c r="B300" s="123"/>
      <c r="C300" s="131"/>
      <c r="D300" s="131"/>
      <c r="E300" s="272" t="s">
        <v>208</v>
      </c>
      <c r="F300" s="200" t="s">
        <v>72</v>
      </c>
      <c r="G300" s="201" t="s">
        <v>161</v>
      </c>
      <c r="H300" s="228" t="s">
        <v>162</v>
      </c>
      <c r="I300" s="590">
        <f t="shared" ref="I300:AV300" si="109">SUM(I294:I299)</f>
        <v>0.01108877833</v>
      </c>
      <c r="J300" s="590">
        <f t="shared" si="109"/>
        <v>0.006603592539</v>
      </c>
      <c r="K300" s="590">
        <f t="shared" si="109"/>
        <v>0.01267729729</v>
      </c>
      <c r="L300" s="590">
        <f t="shared" si="109"/>
        <v>0.004854121972</v>
      </c>
      <c r="M300" s="590">
        <f t="shared" si="109"/>
        <v>0.006195911419</v>
      </c>
      <c r="N300" s="590">
        <f t="shared" si="109"/>
        <v>0.01038900481</v>
      </c>
      <c r="O300" s="590">
        <f t="shared" si="109"/>
        <v>0.01115564846</v>
      </c>
      <c r="P300" s="590">
        <f t="shared" si="109"/>
        <v>0.01504405829</v>
      </c>
      <c r="Q300" s="590">
        <f t="shared" si="109"/>
        <v>0.01323780888</v>
      </c>
      <c r="R300" s="590">
        <f t="shared" si="109"/>
        <v>0.003213052588</v>
      </c>
      <c r="S300" s="590">
        <f t="shared" si="109"/>
        <v>0.005961915335</v>
      </c>
      <c r="T300" s="590">
        <f t="shared" si="109"/>
        <v>0.003527704328</v>
      </c>
      <c r="U300" s="590">
        <f t="shared" si="109"/>
        <v>0.003420159395</v>
      </c>
      <c r="V300" s="590">
        <f t="shared" si="109"/>
        <v>0.004432195291</v>
      </c>
      <c r="W300" s="590">
        <f t="shared" si="109"/>
        <v>0.006035469705</v>
      </c>
      <c r="X300" s="590">
        <f t="shared" si="109"/>
        <v>0.005183442612</v>
      </c>
      <c r="Y300" s="590">
        <f t="shared" si="109"/>
        <v>0.00487159593</v>
      </c>
      <c r="Z300" s="590">
        <f t="shared" si="109"/>
        <v>0.003859106393</v>
      </c>
      <c r="AA300" s="590">
        <f t="shared" si="109"/>
        <v>0.0050361618</v>
      </c>
      <c r="AB300" s="590">
        <f t="shared" si="109"/>
        <v>0.003637915697</v>
      </c>
      <c r="AC300" s="590">
        <f t="shared" si="109"/>
        <v>0.003326550572</v>
      </c>
      <c r="AD300" s="590">
        <f t="shared" si="109"/>
        <v>0.003536867861</v>
      </c>
      <c r="AE300" s="590">
        <f t="shared" si="109"/>
        <v>0.003179972997</v>
      </c>
      <c r="AF300" s="590">
        <f t="shared" si="109"/>
        <v>0.00304736458</v>
      </c>
      <c r="AG300" s="590">
        <f t="shared" si="109"/>
        <v>0.004854121972</v>
      </c>
      <c r="AH300" s="590">
        <f t="shared" si="109"/>
        <v>0.003837229366</v>
      </c>
      <c r="AI300" s="590">
        <f t="shared" si="109"/>
        <v>0.004308176262</v>
      </c>
      <c r="AJ300" s="590">
        <f t="shared" si="109"/>
        <v>0.002326249521</v>
      </c>
      <c r="AK300" s="590">
        <f t="shared" si="109"/>
        <v>0.005494094259</v>
      </c>
      <c r="AL300" s="590">
        <f t="shared" si="109"/>
        <v>0.006899096496</v>
      </c>
      <c r="AM300" s="590">
        <f t="shared" si="109"/>
        <v>0.006899096496</v>
      </c>
      <c r="AN300" s="590">
        <f t="shared" si="109"/>
        <v>0.006899096496</v>
      </c>
      <c r="AO300" s="590">
        <f t="shared" si="109"/>
        <v>0.004147676536</v>
      </c>
      <c r="AP300" s="590">
        <f t="shared" si="109"/>
        <v>0.003810603871</v>
      </c>
      <c r="AQ300" s="590">
        <f t="shared" si="109"/>
        <v>0.002440291364</v>
      </c>
      <c r="AR300" s="590">
        <f t="shared" si="109"/>
        <v>0.00291669415</v>
      </c>
      <c r="AS300" s="590">
        <f t="shared" si="109"/>
        <v>0.005666372946</v>
      </c>
      <c r="AT300" s="590">
        <f t="shared" si="109"/>
        <v>0.003415127441</v>
      </c>
      <c r="AU300" s="590">
        <f t="shared" si="109"/>
        <v>0.007595073028</v>
      </c>
      <c r="AV300" s="590">
        <f t="shared" si="109"/>
        <v>0.01048733229</v>
      </c>
      <c r="AW300" s="274"/>
    </row>
    <row r="301">
      <c r="A301" s="122"/>
      <c r="B301" s="123"/>
      <c r="C301" s="131"/>
      <c r="D301" s="131"/>
      <c r="E301" s="269"/>
      <c r="F301" s="141"/>
      <c r="G301" s="142"/>
      <c r="H301" s="127"/>
      <c r="I301" s="317"/>
      <c r="J301" s="317"/>
      <c r="K301" s="317"/>
      <c r="L301" s="317"/>
      <c r="M301" s="317"/>
      <c r="N301" s="317"/>
      <c r="O301" s="317"/>
      <c r="P301" s="317"/>
      <c r="Q301" s="317"/>
      <c r="R301" s="317"/>
      <c r="S301" s="317"/>
      <c r="T301" s="317"/>
      <c r="U301" s="317"/>
      <c r="V301" s="317"/>
      <c r="W301" s="317"/>
      <c r="X301" s="317"/>
      <c r="Y301" s="317"/>
      <c r="Z301" s="317"/>
      <c r="AA301" s="317"/>
      <c r="AB301" s="317"/>
      <c r="AC301" s="317"/>
      <c r="AD301" s="317"/>
      <c r="AE301" s="317"/>
      <c r="AF301" s="317"/>
      <c r="AG301" s="317"/>
      <c r="AH301" s="317"/>
      <c r="AI301" s="317"/>
      <c r="AJ301" s="317"/>
      <c r="AK301" s="317"/>
      <c r="AL301" s="317"/>
      <c r="AM301" s="317"/>
      <c r="AN301" s="317"/>
      <c r="AO301" s="317"/>
      <c r="AP301" s="317"/>
      <c r="AQ301" s="317"/>
      <c r="AR301" s="317"/>
      <c r="AS301" s="317"/>
      <c r="AT301" s="317"/>
      <c r="AU301" s="317"/>
      <c r="AV301" s="317"/>
      <c r="AW301" s="130"/>
    </row>
    <row r="302">
      <c r="A302" s="122"/>
      <c r="B302" s="123"/>
      <c r="C302" s="450" t="s">
        <v>441</v>
      </c>
      <c r="F302" s="141"/>
      <c r="G302" s="142"/>
      <c r="H302" s="127"/>
      <c r="I302" s="317"/>
      <c r="J302" s="317"/>
      <c r="K302" s="317"/>
      <c r="L302" s="317"/>
      <c r="M302" s="317"/>
      <c r="N302" s="317"/>
      <c r="O302" s="317"/>
      <c r="P302" s="317"/>
      <c r="Q302" s="317"/>
      <c r="R302" s="317"/>
      <c r="S302" s="317"/>
      <c r="T302" s="317"/>
      <c r="U302" s="317"/>
      <c r="V302" s="317"/>
      <c r="W302" s="317"/>
      <c r="X302" s="317"/>
      <c r="Y302" s="317"/>
      <c r="Z302" s="317"/>
      <c r="AA302" s="317"/>
      <c r="AB302" s="317"/>
      <c r="AC302" s="317"/>
      <c r="AD302" s="317"/>
      <c r="AE302" s="317"/>
      <c r="AF302" s="317"/>
      <c r="AG302" s="317"/>
      <c r="AH302" s="317"/>
      <c r="AI302" s="317"/>
      <c r="AJ302" s="317"/>
      <c r="AK302" s="317"/>
      <c r="AL302" s="317"/>
      <c r="AM302" s="317"/>
      <c r="AN302" s="317"/>
      <c r="AO302" s="317"/>
      <c r="AP302" s="317"/>
      <c r="AQ302" s="317"/>
      <c r="AR302" s="317"/>
      <c r="AS302" s="317"/>
      <c r="AT302" s="317"/>
      <c r="AU302" s="317"/>
      <c r="AV302" s="317"/>
      <c r="AW302" s="130"/>
    </row>
    <row r="303">
      <c r="A303" s="122"/>
      <c r="B303" s="123"/>
      <c r="C303" s="131"/>
      <c r="D303" s="131"/>
      <c r="E303" s="254" t="s">
        <v>442</v>
      </c>
      <c r="F303" s="193" t="s">
        <v>72</v>
      </c>
      <c r="G303" s="194" t="s">
        <v>161</v>
      </c>
      <c r="H303" s="236" t="s">
        <v>162</v>
      </c>
      <c r="I303" s="383">
        <f t="shared" ref="I303:AV303" si="110">I294/I$300</f>
        <v>0.6521026253</v>
      </c>
      <c r="J303" s="383">
        <f t="shared" si="110"/>
        <v>0.6151637103</v>
      </c>
      <c r="K303" s="383">
        <f t="shared" si="110"/>
        <v>0.6952002687</v>
      </c>
      <c r="L303" s="383">
        <f t="shared" si="110"/>
        <v>0.5963808729</v>
      </c>
      <c r="M303" s="383">
        <f t="shared" si="110"/>
        <v>0.6242997759</v>
      </c>
      <c r="N303" s="383">
        <f t="shared" si="110"/>
        <v>0.6696847369</v>
      </c>
      <c r="O303" s="383">
        <f t="shared" si="110"/>
        <v>0.6681126296</v>
      </c>
      <c r="P303" s="383">
        <f t="shared" si="110"/>
        <v>0.6768161485</v>
      </c>
      <c r="Q303" s="383">
        <f t="shared" si="110"/>
        <v>0.6742866461</v>
      </c>
      <c r="R303" s="383">
        <f t="shared" si="110"/>
        <v>0.5441680258</v>
      </c>
      <c r="S303" s="383">
        <f t="shared" si="110"/>
        <v>0.5564773363</v>
      </c>
      <c r="T303" s="383">
        <f t="shared" si="110"/>
        <v>0.5630418842</v>
      </c>
      <c r="U303" s="383">
        <f t="shared" si="110"/>
        <v>0.5638928249</v>
      </c>
      <c r="V303" s="383">
        <f t="shared" si="110"/>
        <v>0.5052868695</v>
      </c>
      <c r="W303" s="383">
        <f t="shared" si="110"/>
        <v>0.5490457314</v>
      </c>
      <c r="X303" s="383">
        <f t="shared" si="110"/>
        <v>0.572758116</v>
      </c>
      <c r="Y303" s="383">
        <f t="shared" si="110"/>
        <v>0.451621783</v>
      </c>
      <c r="Z303" s="383">
        <f t="shared" si="110"/>
        <v>0.5673855555</v>
      </c>
      <c r="AA303" s="383">
        <f t="shared" si="110"/>
        <v>0.5641952986</v>
      </c>
      <c r="AB303" s="383">
        <f t="shared" si="110"/>
        <v>0.566573156</v>
      </c>
      <c r="AC303" s="383">
        <f t="shared" si="110"/>
        <v>0.5599769735</v>
      </c>
      <c r="AD303" s="383">
        <f t="shared" si="110"/>
        <v>0.5540343682</v>
      </c>
      <c r="AE303" s="383">
        <f t="shared" si="110"/>
        <v>0.5636731385</v>
      </c>
      <c r="AF303" s="383">
        <f t="shared" si="110"/>
        <v>0.5628338935</v>
      </c>
      <c r="AG303" s="383">
        <f t="shared" si="110"/>
        <v>0.5963808729</v>
      </c>
      <c r="AH303" s="383">
        <f t="shared" si="110"/>
        <v>0.5332042305</v>
      </c>
      <c r="AI303" s="383">
        <f t="shared" si="110"/>
        <v>0.5671410965</v>
      </c>
      <c r="AJ303" s="383">
        <f t="shared" si="110"/>
        <v>0.5330828678</v>
      </c>
      <c r="AK303" s="383">
        <f t="shared" si="110"/>
        <v>0.5756874415</v>
      </c>
      <c r="AL303" s="383">
        <f t="shared" si="110"/>
        <v>0.5814184489</v>
      </c>
      <c r="AM303" s="383">
        <f t="shared" si="110"/>
        <v>0.5814184489</v>
      </c>
      <c r="AN303" s="383">
        <f t="shared" si="110"/>
        <v>0.5814184489</v>
      </c>
      <c r="AO303" s="383">
        <f t="shared" si="110"/>
        <v>0.5774468396</v>
      </c>
      <c r="AP303" s="383">
        <f t="shared" si="110"/>
        <v>0.5579615434</v>
      </c>
      <c r="AQ303" s="383">
        <f t="shared" si="110"/>
        <v>0.5438325961</v>
      </c>
      <c r="AR303" s="383">
        <f t="shared" si="110"/>
        <v>0.5055189455</v>
      </c>
      <c r="AS303" s="383">
        <f t="shared" si="110"/>
        <v>0.5594739</v>
      </c>
      <c r="AT303" s="383">
        <f t="shared" si="110"/>
        <v>0.5549139</v>
      </c>
      <c r="AU303" s="383">
        <f t="shared" si="110"/>
        <v>0.5719143937</v>
      </c>
      <c r="AV303" s="383">
        <f t="shared" si="110"/>
        <v>0.6507725772</v>
      </c>
      <c r="AW303" s="256"/>
    </row>
    <row r="304">
      <c r="A304" s="122"/>
      <c r="B304" s="123"/>
      <c r="C304" s="131"/>
      <c r="D304" s="131"/>
      <c r="E304" s="257" t="s">
        <v>443</v>
      </c>
      <c r="F304" s="213" t="s">
        <v>72</v>
      </c>
      <c r="G304" s="214" t="s">
        <v>161</v>
      </c>
      <c r="H304" s="240" t="s">
        <v>162</v>
      </c>
      <c r="I304" s="241">
        <f t="shared" ref="I304:AV304" si="111">I295/I$300</f>
        <v>0.01449509609</v>
      </c>
      <c r="J304" s="241">
        <f t="shared" si="111"/>
        <v>0.02088680866</v>
      </c>
      <c r="K304" s="241">
        <f t="shared" si="111"/>
        <v>0.01680852083</v>
      </c>
      <c r="L304" s="241">
        <f t="shared" si="111"/>
        <v>0.02223588198</v>
      </c>
      <c r="M304" s="241">
        <f t="shared" si="111"/>
        <v>0.0162740109</v>
      </c>
      <c r="N304" s="241">
        <f t="shared" si="111"/>
        <v>0.01538187063</v>
      </c>
      <c r="O304" s="241">
        <f t="shared" si="111"/>
        <v>0.02161482837</v>
      </c>
      <c r="P304" s="241">
        <f t="shared" si="111"/>
        <v>0.02340444244</v>
      </c>
      <c r="Q304" s="241">
        <f t="shared" si="111"/>
        <v>0.02282555379</v>
      </c>
      <c r="R304" s="241">
        <f t="shared" si="111"/>
        <v>0.01403158316</v>
      </c>
      <c r="S304" s="241">
        <f t="shared" si="111"/>
        <v>0.01535492474</v>
      </c>
      <c r="T304" s="241">
        <f t="shared" si="111"/>
        <v>0.01344337139</v>
      </c>
      <c r="U304" s="241">
        <f t="shared" si="111"/>
        <v>0.0141966836</v>
      </c>
      <c r="V304" s="241">
        <f t="shared" si="111"/>
        <v>0.01789517365</v>
      </c>
      <c r="W304" s="241">
        <f t="shared" si="111"/>
        <v>0.01077365413</v>
      </c>
      <c r="X304" s="241">
        <f t="shared" si="111"/>
        <v>0.01452441384</v>
      </c>
      <c r="Y304" s="241">
        <f t="shared" si="111"/>
        <v>0.01002767136</v>
      </c>
      <c r="Z304" s="241">
        <f t="shared" si="111"/>
        <v>0.01334441541</v>
      </c>
      <c r="AA304" s="241">
        <f t="shared" si="111"/>
        <v>0.01253208257</v>
      </c>
      <c r="AB304" s="241">
        <f t="shared" si="111"/>
        <v>0.01264325815</v>
      </c>
      <c r="AC304" s="241">
        <f t="shared" si="111"/>
        <v>0.01146564026</v>
      </c>
      <c r="AD304" s="241">
        <f t="shared" si="111"/>
        <v>0.01241147814</v>
      </c>
      <c r="AE304" s="241">
        <f t="shared" si="111"/>
        <v>0.01416185728</v>
      </c>
      <c r="AF304" s="241">
        <f t="shared" si="111"/>
        <v>0.01266022297</v>
      </c>
      <c r="AG304" s="241">
        <f t="shared" si="111"/>
        <v>0.02223588198</v>
      </c>
      <c r="AH304" s="241">
        <f t="shared" si="111"/>
        <v>0.0243764494</v>
      </c>
      <c r="AI304" s="241">
        <f t="shared" si="111"/>
        <v>0.0145434776</v>
      </c>
      <c r="AJ304" s="241">
        <f t="shared" si="111"/>
        <v>0.011569688</v>
      </c>
      <c r="AK304" s="241">
        <f t="shared" si="111"/>
        <v>0.01409692775</v>
      </c>
      <c r="AL304" s="241">
        <f t="shared" si="111"/>
        <v>0.01885807495</v>
      </c>
      <c r="AM304" s="241">
        <f t="shared" si="111"/>
        <v>0.01885807495</v>
      </c>
      <c r="AN304" s="241">
        <f t="shared" si="111"/>
        <v>0.01885807495</v>
      </c>
      <c r="AO304" s="241">
        <f t="shared" si="111"/>
        <v>0.01588412774</v>
      </c>
      <c r="AP304" s="241">
        <f t="shared" si="111"/>
        <v>0.01226173496</v>
      </c>
      <c r="AQ304" s="241">
        <f t="shared" si="111"/>
        <v>0.01270976834</v>
      </c>
      <c r="AR304" s="241">
        <f t="shared" si="111"/>
        <v>0.01905011094</v>
      </c>
      <c r="AS304" s="241">
        <f t="shared" si="111"/>
        <v>0.01103974156</v>
      </c>
      <c r="AT304" s="241">
        <f t="shared" si="111"/>
        <v>0.01341295616</v>
      </c>
      <c r="AU304" s="241">
        <f t="shared" si="111"/>
        <v>0.01533805875</v>
      </c>
      <c r="AV304" s="241">
        <f t="shared" si="111"/>
        <v>0.01661987101</v>
      </c>
      <c r="AW304" s="259"/>
    </row>
    <row r="305">
      <c r="A305" s="122"/>
      <c r="B305" s="123"/>
      <c r="C305" s="131"/>
      <c r="D305" s="131"/>
      <c r="E305" s="257" t="s">
        <v>444</v>
      </c>
      <c r="F305" s="213" t="s">
        <v>72</v>
      </c>
      <c r="G305" s="214" t="s">
        <v>161</v>
      </c>
      <c r="H305" s="240" t="s">
        <v>162</v>
      </c>
      <c r="I305" s="241">
        <f t="shared" ref="I305:AV305" si="112">I296/I$300</f>
        <v>0.01109144155</v>
      </c>
      <c r="J305" s="241">
        <f t="shared" si="112"/>
        <v>0.01450833256</v>
      </c>
      <c r="K305" s="241">
        <f t="shared" si="112"/>
        <v>0.01203190377</v>
      </c>
      <c r="L305" s="241">
        <f t="shared" si="112"/>
        <v>0.01911367925</v>
      </c>
      <c r="M305" s="241">
        <f t="shared" si="112"/>
        <v>0.01615312138</v>
      </c>
      <c r="N305" s="241">
        <f t="shared" si="112"/>
        <v>0.01161191504</v>
      </c>
      <c r="O305" s="241">
        <f t="shared" si="112"/>
        <v>0.01125704706</v>
      </c>
      <c r="P305" s="241">
        <f t="shared" si="112"/>
        <v>0.0108018208</v>
      </c>
      <c r="Q305" s="241">
        <f t="shared" si="112"/>
        <v>0.01114014003</v>
      </c>
      <c r="R305" s="241">
        <f t="shared" si="112"/>
        <v>0.02341737646</v>
      </c>
      <c r="S305" s="241">
        <f t="shared" si="112"/>
        <v>0.01878421603</v>
      </c>
      <c r="T305" s="241">
        <f t="shared" si="112"/>
        <v>0.02260043902</v>
      </c>
      <c r="U305" s="241">
        <f t="shared" si="112"/>
        <v>0.0238420829</v>
      </c>
      <c r="V305" s="241">
        <f t="shared" si="112"/>
        <v>0.02027939407</v>
      </c>
      <c r="W305" s="241">
        <f t="shared" si="112"/>
        <v>0.01825443686</v>
      </c>
      <c r="X305" s="241">
        <f t="shared" si="112"/>
        <v>0.01616636555</v>
      </c>
      <c r="Y305" s="241">
        <f t="shared" si="112"/>
        <v>0.02796928393</v>
      </c>
      <c r="Z305" s="241">
        <f t="shared" si="112"/>
        <v>0.02290160564</v>
      </c>
      <c r="AA305" s="241">
        <f t="shared" si="112"/>
        <v>0.02029892016</v>
      </c>
      <c r="AB305" s="241">
        <f t="shared" si="112"/>
        <v>0.02328308026</v>
      </c>
      <c r="AC305" s="241">
        <f t="shared" si="112"/>
        <v>0.0229849667</v>
      </c>
      <c r="AD305" s="241">
        <f t="shared" si="112"/>
        <v>0.02244617058</v>
      </c>
      <c r="AE305" s="241">
        <f t="shared" si="112"/>
        <v>0.02410101661</v>
      </c>
      <c r="AF305" s="241">
        <f t="shared" si="112"/>
        <v>0.02418353771</v>
      </c>
      <c r="AG305" s="241">
        <f t="shared" si="112"/>
        <v>0.01911367925</v>
      </c>
      <c r="AH305" s="241">
        <f t="shared" si="112"/>
        <v>0.02159730841</v>
      </c>
      <c r="AI305" s="241">
        <f t="shared" si="112"/>
        <v>0.02071687288</v>
      </c>
      <c r="AJ305" s="241">
        <f t="shared" si="112"/>
        <v>0.02755915844</v>
      </c>
      <c r="AK305" s="241">
        <f t="shared" si="112"/>
        <v>0.01935878624</v>
      </c>
      <c r="AL305" s="241">
        <f t="shared" si="112"/>
        <v>0.01683382473</v>
      </c>
      <c r="AM305" s="241">
        <f t="shared" si="112"/>
        <v>0.01683382473</v>
      </c>
      <c r="AN305" s="241">
        <f t="shared" si="112"/>
        <v>0.01683382473</v>
      </c>
      <c r="AO305" s="241">
        <f t="shared" si="112"/>
        <v>0.02186225624</v>
      </c>
      <c r="AP305" s="241">
        <f t="shared" si="112"/>
        <v>0.02173367646</v>
      </c>
      <c r="AQ305" s="241">
        <f t="shared" si="112"/>
        <v>0.02397789327</v>
      </c>
      <c r="AR305" s="241">
        <f t="shared" si="112"/>
        <v>0.02320492173</v>
      </c>
      <c r="AS305" s="241">
        <f t="shared" si="112"/>
        <v>0.01937172452</v>
      </c>
      <c r="AT305" s="241">
        <f t="shared" si="112"/>
        <v>0.0241409973</v>
      </c>
      <c r="AU305" s="241">
        <f t="shared" si="112"/>
        <v>0.01647098212</v>
      </c>
      <c r="AV305" s="241">
        <f t="shared" si="112"/>
        <v>0.01225849263</v>
      </c>
      <c r="AW305" s="259"/>
    </row>
    <row r="306">
      <c r="A306" s="122"/>
      <c r="B306" s="123"/>
      <c r="C306" s="131"/>
      <c r="D306" s="131"/>
      <c r="E306" s="257" t="s">
        <v>445</v>
      </c>
      <c r="F306" s="213" t="s">
        <v>72</v>
      </c>
      <c r="G306" s="214" t="s">
        <v>161</v>
      </c>
      <c r="H306" s="240" t="s">
        <v>162</v>
      </c>
      <c r="I306" s="241">
        <f t="shared" ref="I306:AV306" si="113">I297/I$300</f>
        <v>0.1399105974</v>
      </c>
      <c r="J306" s="241">
        <f t="shared" si="113"/>
        <v>0.1824076447</v>
      </c>
      <c r="K306" s="241">
        <f t="shared" si="113"/>
        <v>0.1501078319</v>
      </c>
      <c r="L306" s="241">
        <f t="shared" si="113"/>
        <v>0.240226765</v>
      </c>
      <c r="M306" s="241">
        <f t="shared" si="113"/>
        <v>0.203821614</v>
      </c>
      <c r="N306" s="241">
        <f t="shared" si="113"/>
        <v>0.1458362033</v>
      </c>
      <c r="O306" s="241">
        <f t="shared" si="113"/>
        <v>0.1403213957</v>
      </c>
      <c r="P306" s="241">
        <f t="shared" si="113"/>
        <v>0.1358336337</v>
      </c>
      <c r="Q306" s="241">
        <f t="shared" si="113"/>
        <v>0.1396444808</v>
      </c>
      <c r="R306" s="241">
        <f t="shared" si="113"/>
        <v>0.2970705227</v>
      </c>
      <c r="S306" s="241">
        <f t="shared" si="113"/>
        <v>0.2366265188</v>
      </c>
      <c r="T306" s="241">
        <f t="shared" si="113"/>
        <v>0.2871688605</v>
      </c>
      <c r="U306" s="241">
        <f t="shared" si="113"/>
        <v>0.3044285472</v>
      </c>
      <c r="V306" s="241">
        <f t="shared" si="113"/>
        <v>0.2573572266</v>
      </c>
      <c r="W306" s="241">
        <f t="shared" si="113"/>
        <v>0.2307697532</v>
      </c>
      <c r="X306" s="241">
        <f t="shared" si="113"/>
        <v>0.2038611204</v>
      </c>
      <c r="Y306" s="241">
        <f t="shared" si="113"/>
        <v>0.3639093549</v>
      </c>
      <c r="Z306" s="241">
        <f t="shared" si="113"/>
        <v>0.2910293751</v>
      </c>
      <c r="AA306" s="241">
        <f t="shared" si="113"/>
        <v>0.2551961075</v>
      </c>
      <c r="AB306" s="241">
        <f t="shared" si="113"/>
        <v>0.2950784904</v>
      </c>
      <c r="AC306" s="241">
        <f t="shared" si="113"/>
        <v>0.2917149027</v>
      </c>
      <c r="AD306" s="241">
        <f t="shared" si="113"/>
        <v>0.2831929047</v>
      </c>
      <c r="AE306" s="241">
        <f t="shared" si="113"/>
        <v>0.3042295223</v>
      </c>
      <c r="AF306" s="241">
        <f t="shared" si="113"/>
        <v>0.3065178707</v>
      </c>
      <c r="AG306" s="241">
        <f t="shared" si="113"/>
        <v>0.240226765</v>
      </c>
      <c r="AH306" s="241">
        <f t="shared" si="113"/>
        <v>0.2748869811</v>
      </c>
      <c r="AI306" s="241">
        <f t="shared" si="113"/>
        <v>0.264592963</v>
      </c>
      <c r="AJ306" s="241">
        <f t="shared" si="113"/>
        <v>0.3489280174</v>
      </c>
      <c r="AK306" s="241">
        <f t="shared" si="113"/>
        <v>0.2456984814</v>
      </c>
      <c r="AL306" s="241">
        <f t="shared" si="113"/>
        <v>0.2124922439</v>
      </c>
      <c r="AM306" s="241">
        <f t="shared" si="113"/>
        <v>0.2124922439</v>
      </c>
      <c r="AN306" s="241">
        <f t="shared" si="113"/>
        <v>0.2124922439</v>
      </c>
      <c r="AO306" s="241">
        <f t="shared" si="113"/>
        <v>0.2779436681</v>
      </c>
      <c r="AP306" s="241">
        <f t="shared" si="113"/>
        <v>0.2772439926</v>
      </c>
      <c r="AQ306" s="241">
        <f t="shared" si="113"/>
        <v>0.3039865684</v>
      </c>
      <c r="AR306" s="241">
        <f t="shared" si="113"/>
        <v>0.2956485016</v>
      </c>
      <c r="AS306" s="241">
        <f t="shared" si="113"/>
        <v>0.2442733076</v>
      </c>
      <c r="AT306" s="241">
        <f t="shared" si="113"/>
        <v>0.3064380911</v>
      </c>
      <c r="AU306" s="241">
        <f t="shared" si="113"/>
        <v>0.2075333156</v>
      </c>
      <c r="AV306" s="241">
        <f t="shared" si="113"/>
        <v>0.1522449924</v>
      </c>
      <c r="AW306" s="259"/>
    </row>
    <row r="307">
      <c r="A307" s="122"/>
      <c r="B307" s="123"/>
      <c r="C307" s="131"/>
      <c r="D307" s="131"/>
      <c r="E307" s="257" t="s">
        <v>446</v>
      </c>
      <c r="F307" s="213" t="s">
        <v>72</v>
      </c>
      <c r="G307" s="214" t="s">
        <v>161</v>
      </c>
      <c r="H307" s="240" t="s">
        <v>162</v>
      </c>
      <c r="I307" s="241">
        <f t="shared" ref="I307:AV307" si="114">I298/I$300</f>
        <v>0.1774831296</v>
      </c>
      <c r="J307" s="241">
        <f t="shared" si="114"/>
        <v>0.1632813889</v>
      </c>
      <c r="K307" s="241">
        <f t="shared" si="114"/>
        <v>0.1194460845</v>
      </c>
      <c r="L307" s="241">
        <f t="shared" si="114"/>
        <v>0.117213878</v>
      </c>
      <c r="M307" s="241">
        <f t="shared" si="114"/>
        <v>0.1362758256</v>
      </c>
      <c r="N307" s="241">
        <f t="shared" si="114"/>
        <v>0.1515647269</v>
      </c>
      <c r="O307" s="241">
        <f t="shared" si="114"/>
        <v>0.1538552279</v>
      </c>
      <c r="P307" s="241">
        <f t="shared" si="114"/>
        <v>0.147661113</v>
      </c>
      <c r="Q307" s="241">
        <f t="shared" si="114"/>
        <v>0.145982303</v>
      </c>
      <c r="R307" s="241">
        <f t="shared" si="114"/>
        <v>0.1194113391</v>
      </c>
      <c r="S307" s="241">
        <f t="shared" si="114"/>
        <v>0.169464523</v>
      </c>
      <c r="T307" s="241">
        <f t="shared" si="114"/>
        <v>0.1111493333</v>
      </c>
      <c r="U307" s="241">
        <f t="shared" si="114"/>
        <v>0.09140594276</v>
      </c>
      <c r="V307" s="241">
        <f t="shared" si="114"/>
        <v>0.1958522146</v>
      </c>
      <c r="W307" s="241">
        <f t="shared" si="114"/>
        <v>0.188957562</v>
      </c>
      <c r="X307" s="241">
        <f t="shared" si="114"/>
        <v>0.1879216774</v>
      </c>
      <c r="Y307" s="241">
        <f t="shared" si="114"/>
        <v>0.1443623691</v>
      </c>
      <c r="Z307" s="241">
        <f t="shared" si="114"/>
        <v>0.1027772514</v>
      </c>
      <c r="AA307" s="241">
        <f t="shared" si="114"/>
        <v>0.1452524584</v>
      </c>
      <c r="AB307" s="241">
        <f t="shared" si="114"/>
        <v>0.1004975013</v>
      </c>
      <c r="AC307" s="241">
        <f t="shared" si="114"/>
        <v>0.1115757042</v>
      </c>
      <c r="AD307" s="241">
        <f t="shared" si="114"/>
        <v>0.1259160006</v>
      </c>
      <c r="AE307" s="241">
        <f t="shared" si="114"/>
        <v>0.09159687708</v>
      </c>
      <c r="AF307" s="241">
        <f t="shared" si="114"/>
        <v>0.09193819373</v>
      </c>
      <c r="AG307" s="241">
        <f t="shared" si="114"/>
        <v>0.117213878</v>
      </c>
      <c r="AH307" s="241">
        <f t="shared" si="114"/>
        <v>0.1426813284</v>
      </c>
      <c r="AI307" s="241">
        <f t="shared" si="114"/>
        <v>0.1299597346</v>
      </c>
      <c r="AJ307" s="241">
        <f t="shared" si="114"/>
        <v>0.07668988753</v>
      </c>
      <c r="AK307" s="241">
        <f t="shared" si="114"/>
        <v>0.1422702946</v>
      </c>
      <c r="AL307" s="241">
        <f t="shared" si="114"/>
        <v>0.1670231524</v>
      </c>
      <c r="AM307" s="241">
        <f t="shared" si="114"/>
        <v>0.1670231524</v>
      </c>
      <c r="AN307" s="241">
        <f t="shared" si="114"/>
        <v>0.1670231524</v>
      </c>
      <c r="AO307" s="241">
        <f t="shared" si="114"/>
        <v>0.1044785288</v>
      </c>
      <c r="AP307" s="241">
        <f t="shared" si="114"/>
        <v>0.1285581404</v>
      </c>
      <c r="AQ307" s="241">
        <f t="shared" si="114"/>
        <v>0.1132912442</v>
      </c>
      <c r="AR307" s="241">
        <f t="shared" si="114"/>
        <v>0.153865954</v>
      </c>
      <c r="AS307" s="241">
        <f t="shared" si="114"/>
        <v>0.1633263342</v>
      </c>
      <c r="AT307" s="241">
        <f t="shared" si="114"/>
        <v>0.09897467237</v>
      </c>
      <c r="AU307" s="241">
        <f t="shared" si="114"/>
        <v>0.1859530116</v>
      </c>
      <c r="AV307" s="241">
        <f t="shared" si="114"/>
        <v>0.1632366539</v>
      </c>
      <c r="AW307" s="259"/>
    </row>
    <row r="308">
      <c r="A308" s="122"/>
      <c r="B308" s="123"/>
      <c r="C308" s="131"/>
      <c r="D308" s="131"/>
      <c r="E308" s="272" t="s">
        <v>447</v>
      </c>
      <c r="F308" s="200" t="s">
        <v>72</v>
      </c>
      <c r="G308" s="201" t="s">
        <v>161</v>
      </c>
      <c r="H308" s="228" t="s">
        <v>162</v>
      </c>
      <c r="I308" s="385">
        <f t="shared" ref="I308:AV308" si="115">I299/I$300</f>
        <v>0.004917110149</v>
      </c>
      <c r="J308" s="385">
        <f t="shared" si="115"/>
        <v>0.003752114782</v>
      </c>
      <c r="K308" s="385">
        <f t="shared" si="115"/>
        <v>0.006405390299</v>
      </c>
      <c r="L308" s="385">
        <f t="shared" si="115"/>
        <v>0.00482892285</v>
      </c>
      <c r="M308" s="385">
        <f t="shared" si="115"/>
        <v>0.003175652175</v>
      </c>
      <c r="N308" s="385">
        <f t="shared" si="115"/>
        <v>0.005920547308</v>
      </c>
      <c r="O308" s="385">
        <f t="shared" si="115"/>
        <v>0.004838871278</v>
      </c>
      <c r="P308" s="385">
        <f t="shared" si="115"/>
        <v>0.005482841513</v>
      </c>
      <c r="Q308" s="385">
        <f t="shared" si="115"/>
        <v>0.006120876287</v>
      </c>
      <c r="R308" s="385">
        <f t="shared" si="115"/>
        <v>0.001901152823</v>
      </c>
      <c r="S308" s="385">
        <f t="shared" si="115"/>
        <v>0.003292481158</v>
      </c>
      <c r="T308" s="385">
        <f t="shared" si="115"/>
        <v>0.002596111525</v>
      </c>
      <c r="U308" s="385">
        <f t="shared" si="115"/>
        <v>0.002233918667</v>
      </c>
      <c r="V308" s="385">
        <f t="shared" si="115"/>
        <v>0.003329121526</v>
      </c>
      <c r="W308" s="385">
        <f t="shared" si="115"/>
        <v>0.002198862397</v>
      </c>
      <c r="X308" s="385">
        <f t="shared" si="115"/>
        <v>0.004768306828</v>
      </c>
      <c r="Y308" s="385">
        <f t="shared" si="115"/>
        <v>0.002109537744</v>
      </c>
      <c r="Z308" s="385">
        <f t="shared" si="115"/>
        <v>0.002561796993</v>
      </c>
      <c r="AA308" s="385">
        <f t="shared" si="115"/>
        <v>0.002525132825</v>
      </c>
      <c r="AB308" s="385">
        <f t="shared" si="115"/>
        <v>0.00192451395</v>
      </c>
      <c r="AC308" s="385">
        <f t="shared" si="115"/>
        <v>0.002281812589</v>
      </c>
      <c r="AD308" s="385">
        <f t="shared" si="115"/>
        <v>0.001999077791</v>
      </c>
      <c r="AE308" s="385">
        <f t="shared" si="115"/>
        <v>0.002237588297</v>
      </c>
      <c r="AF308" s="385">
        <f t="shared" si="115"/>
        <v>0.001866281381</v>
      </c>
      <c r="AG308" s="385">
        <f t="shared" si="115"/>
        <v>0.00482892285</v>
      </c>
      <c r="AH308" s="385">
        <f t="shared" si="115"/>
        <v>0.003253702078</v>
      </c>
      <c r="AI308" s="385">
        <f t="shared" si="115"/>
        <v>0.003045855425</v>
      </c>
      <c r="AJ308" s="385">
        <f t="shared" si="115"/>
        <v>0.002170380849</v>
      </c>
      <c r="AK308" s="385">
        <f t="shared" si="115"/>
        <v>0.002888068478</v>
      </c>
      <c r="AL308" s="385">
        <f t="shared" si="115"/>
        <v>0.003374255156</v>
      </c>
      <c r="AM308" s="385">
        <f t="shared" si="115"/>
        <v>0.003374255156</v>
      </c>
      <c r="AN308" s="385">
        <f t="shared" si="115"/>
        <v>0.003374255156</v>
      </c>
      <c r="AO308" s="385">
        <f t="shared" si="115"/>
        <v>0.002384579553</v>
      </c>
      <c r="AP308" s="385">
        <f t="shared" si="115"/>
        <v>0.002240912209</v>
      </c>
      <c r="AQ308" s="385">
        <f t="shared" si="115"/>
        <v>0.002201929663</v>
      </c>
      <c r="AR308" s="385">
        <f t="shared" si="115"/>
        <v>0.002711566254</v>
      </c>
      <c r="AS308" s="385">
        <f t="shared" si="115"/>
        <v>0.002514992081</v>
      </c>
      <c r="AT308" s="385">
        <f t="shared" si="115"/>
        <v>0.002119383125</v>
      </c>
      <c r="AU308" s="385">
        <f t="shared" si="115"/>
        <v>0.002790238131</v>
      </c>
      <c r="AV308" s="385">
        <f t="shared" si="115"/>
        <v>0.004867412804</v>
      </c>
      <c r="AW308" s="274"/>
    </row>
    <row r="309">
      <c r="A309" s="122"/>
      <c r="B309" s="123"/>
      <c r="C309" s="131"/>
      <c r="D309" s="131"/>
      <c r="E309" s="269"/>
      <c r="F309" s="141"/>
      <c r="G309" s="142"/>
      <c r="H309" s="127"/>
      <c r="I309" s="317"/>
      <c r="J309" s="317"/>
      <c r="K309" s="317"/>
      <c r="L309" s="317"/>
      <c r="M309" s="317"/>
      <c r="N309" s="317"/>
      <c r="O309" s="317"/>
      <c r="P309" s="317"/>
      <c r="Q309" s="317"/>
      <c r="R309" s="317"/>
      <c r="S309" s="317"/>
      <c r="T309" s="317"/>
      <c r="U309" s="317"/>
      <c r="V309" s="317"/>
      <c r="W309" s="317"/>
      <c r="X309" s="317"/>
      <c r="Y309" s="317"/>
      <c r="Z309" s="317"/>
      <c r="AA309" s="317"/>
      <c r="AB309" s="317"/>
      <c r="AC309" s="317"/>
      <c r="AD309" s="317"/>
      <c r="AE309" s="317"/>
      <c r="AF309" s="317"/>
      <c r="AG309" s="317"/>
      <c r="AH309" s="317"/>
      <c r="AI309" s="317"/>
      <c r="AJ309" s="317"/>
      <c r="AK309" s="317"/>
      <c r="AL309" s="317"/>
      <c r="AM309" s="317"/>
      <c r="AN309" s="317"/>
      <c r="AO309" s="317"/>
      <c r="AP309" s="317"/>
      <c r="AQ309" s="317"/>
      <c r="AR309" s="317"/>
      <c r="AS309" s="317"/>
      <c r="AT309" s="317"/>
      <c r="AU309" s="317"/>
      <c r="AV309" s="317"/>
      <c r="AW309" s="130"/>
    </row>
    <row r="310">
      <c r="A310" s="122"/>
      <c r="B310" s="123"/>
      <c r="C310" s="450" t="s">
        <v>726</v>
      </c>
      <c r="F310" s="125"/>
      <c r="G310" s="132"/>
      <c r="H310" s="127"/>
      <c r="I310" s="128"/>
      <c r="J310" s="128"/>
      <c r="K310" s="128"/>
      <c r="L310" s="128"/>
      <c r="M310" s="128"/>
      <c r="N310" s="128"/>
      <c r="O310" s="128"/>
      <c r="P310" s="128"/>
      <c r="Q310" s="128"/>
      <c r="R310" s="128"/>
      <c r="S310" s="128"/>
      <c r="T310" s="317"/>
      <c r="U310" s="128"/>
      <c r="V310" s="128"/>
      <c r="W310" s="128"/>
      <c r="X310" s="128"/>
      <c r="Y310" s="128"/>
      <c r="Z310" s="128"/>
      <c r="AA310" s="128"/>
      <c r="AB310" s="128"/>
      <c r="AC310" s="128"/>
      <c r="AD310" s="128"/>
      <c r="AE310" s="128"/>
      <c r="AF310" s="128"/>
      <c r="AG310" s="128"/>
      <c r="AH310" s="128"/>
      <c r="AI310" s="128"/>
      <c r="AJ310" s="128"/>
      <c r="AK310" s="128"/>
      <c r="AL310" s="128"/>
      <c r="AM310" s="128"/>
      <c r="AN310" s="128"/>
      <c r="AO310" s="128"/>
      <c r="AP310" s="128"/>
      <c r="AQ310" s="128"/>
      <c r="AR310" s="128"/>
      <c r="AS310" s="128"/>
      <c r="AT310" s="128"/>
      <c r="AU310" s="128"/>
      <c r="AV310" s="128"/>
      <c r="AW310" s="130"/>
    </row>
    <row r="311">
      <c r="A311" s="122"/>
      <c r="B311" s="123"/>
      <c r="C311" s="131"/>
      <c r="D311" s="131"/>
      <c r="E311" s="254" t="s">
        <v>727</v>
      </c>
      <c r="F311" s="193" t="str">
        <f>Inputs!F203</f>
        <v>%</v>
      </c>
      <c r="G311" s="194" t="str">
        <f>Inputs!G203</f>
        <v>input</v>
      </c>
      <c r="H311" s="255">
        <f>Inputs!H203</f>
        <v>-0.6</v>
      </c>
      <c r="I311" s="237" t="str">
        <f>Inputs!I203</f>
        <v>-</v>
      </c>
      <c r="J311" s="237" t="str">
        <f>Inputs!J203</f>
        <v>-</v>
      </c>
      <c r="K311" s="237" t="str">
        <f>Inputs!K203</f>
        <v>-</v>
      </c>
      <c r="L311" s="237" t="str">
        <f>Inputs!L203</f>
        <v>-</v>
      </c>
      <c r="M311" s="237" t="str">
        <f>Inputs!M203</f>
        <v>-</v>
      </c>
      <c r="N311" s="237" t="str">
        <f>Inputs!N203</f>
        <v>-</v>
      </c>
      <c r="O311" s="237" t="str">
        <f>Inputs!O203</f>
        <v>-</v>
      </c>
      <c r="P311" s="237" t="str">
        <f>Inputs!P203</f>
        <v>-</v>
      </c>
      <c r="Q311" s="237" t="str">
        <f>Inputs!Q203</f>
        <v>-</v>
      </c>
      <c r="R311" s="237" t="str">
        <f>Inputs!R203</f>
        <v>-</v>
      </c>
      <c r="S311" s="237" t="str">
        <f>Inputs!S203</f>
        <v>-</v>
      </c>
      <c r="T311" s="383" t="str">
        <f>Inputs!T203</f>
        <v>-</v>
      </c>
      <c r="U311" s="237" t="str">
        <f>Inputs!U203</f>
        <v>-</v>
      </c>
      <c r="V311" s="237" t="str">
        <f>Inputs!V203</f>
        <v>-</v>
      </c>
      <c r="W311" s="237" t="str">
        <f>Inputs!W203</f>
        <v>-</v>
      </c>
      <c r="X311" s="237" t="str">
        <f>Inputs!X203</f>
        <v>-</v>
      </c>
      <c r="Y311" s="237" t="str">
        <f>Inputs!Y203</f>
        <v>-</v>
      </c>
      <c r="Z311" s="237" t="str">
        <f>Inputs!Z203</f>
        <v>-</v>
      </c>
      <c r="AA311" s="237" t="str">
        <f>Inputs!AA203</f>
        <v>-</v>
      </c>
      <c r="AB311" s="237" t="str">
        <f>Inputs!AB203</f>
        <v>-</v>
      </c>
      <c r="AC311" s="237" t="str">
        <f>Inputs!AC203</f>
        <v>-</v>
      </c>
      <c r="AD311" s="237" t="str">
        <f>Inputs!AD203</f>
        <v>-</v>
      </c>
      <c r="AE311" s="237" t="str">
        <f>Inputs!AE203</f>
        <v>-</v>
      </c>
      <c r="AF311" s="237" t="str">
        <f>Inputs!AF203</f>
        <v>-</v>
      </c>
      <c r="AG311" s="237" t="str">
        <f>Inputs!AG203</f>
        <v>-</v>
      </c>
      <c r="AH311" s="237" t="str">
        <f>Inputs!AH203</f>
        <v>-</v>
      </c>
      <c r="AI311" s="237" t="str">
        <f>Inputs!AI203</f>
        <v>-</v>
      </c>
      <c r="AJ311" s="237" t="str">
        <f>Inputs!AJ203</f>
        <v>-</v>
      </c>
      <c r="AK311" s="237" t="str">
        <f>Inputs!AK203</f>
        <v>-</v>
      </c>
      <c r="AL311" s="237" t="str">
        <f>Inputs!AL203</f>
        <v>-</v>
      </c>
      <c r="AM311" s="237" t="str">
        <f>Inputs!AM203</f>
        <v>-</v>
      </c>
      <c r="AN311" s="237" t="str">
        <f>Inputs!AN203</f>
        <v>-</v>
      </c>
      <c r="AO311" s="237" t="str">
        <f>Inputs!AO203</f>
        <v>-</v>
      </c>
      <c r="AP311" s="237" t="str">
        <f>Inputs!AP203</f>
        <v>-</v>
      </c>
      <c r="AQ311" s="237" t="str">
        <f>Inputs!AQ203</f>
        <v>-</v>
      </c>
      <c r="AR311" s="237" t="str">
        <f>Inputs!AR203</f>
        <v>-</v>
      </c>
      <c r="AS311" s="237" t="str">
        <f>Inputs!AS203</f>
        <v>-</v>
      </c>
      <c r="AT311" s="237" t="str">
        <f>Inputs!AT203</f>
        <v>-</v>
      </c>
      <c r="AU311" s="237" t="str">
        <f>Inputs!AU203</f>
        <v>-</v>
      </c>
      <c r="AV311" s="237" t="str">
        <f>Inputs!AV203</f>
        <v>-</v>
      </c>
      <c r="AW311" s="256"/>
    </row>
    <row r="312">
      <c r="A312" s="122"/>
      <c r="B312" s="123"/>
      <c r="C312" s="131"/>
      <c r="D312" s="131"/>
      <c r="E312" s="254" t="s">
        <v>728</v>
      </c>
      <c r="F312" s="193" t="s">
        <v>72</v>
      </c>
      <c r="G312" s="194" t="s">
        <v>161</v>
      </c>
      <c r="H312" s="236" t="s">
        <v>162</v>
      </c>
      <c r="I312" s="237">
        <f t="shared" ref="I312:AV312" si="116">I11*(1+$H311)</f>
        <v>0.0197447248</v>
      </c>
      <c r="J312" s="237">
        <f t="shared" si="116"/>
        <v>0.0120969272</v>
      </c>
      <c r="K312" s="237">
        <f t="shared" si="116"/>
        <v>0.0209349408</v>
      </c>
      <c r="L312" s="237">
        <f t="shared" si="116"/>
        <v>0.0069874588</v>
      </c>
      <c r="M312" s="237">
        <f t="shared" si="116"/>
        <v>0.0098190092</v>
      </c>
      <c r="N312" s="237">
        <f t="shared" si="116"/>
        <v>0.0172369948</v>
      </c>
      <c r="O312" s="237">
        <f t="shared" si="116"/>
        <v>0.0211514848</v>
      </c>
      <c r="P312" s="237">
        <f t="shared" si="116"/>
        <v>0.0223718856</v>
      </c>
      <c r="Q312" s="237">
        <f t="shared" si="116"/>
        <v>0.0261108888</v>
      </c>
      <c r="R312" s="237">
        <f t="shared" si="116"/>
        <v>0.0050399516</v>
      </c>
      <c r="S312" s="237">
        <f t="shared" si="116"/>
        <v>0.0092019052</v>
      </c>
      <c r="T312" s="237">
        <f t="shared" si="116"/>
        <v>0.0052116544</v>
      </c>
      <c r="U312" s="237">
        <f t="shared" si="116"/>
        <v>0.0049339784</v>
      </c>
      <c r="V312" s="237">
        <f t="shared" si="116"/>
        <v>0.0058623708</v>
      </c>
      <c r="W312" s="237">
        <f t="shared" si="116"/>
        <v>0.0084037008</v>
      </c>
      <c r="X312" s="237">
        <f t="shared" si="116"/>
        <v>0.0088671624</v>
      </c>
      <c r="Y312" s="237">
        <f t="shared" si="116"/>
        <v>0.0057767056</v>
      </c>
      <c r="Z312" s="237">
        <f t="shared" si="116"/>
        <v>0.0047778404</v>
      </c>
      <c r="AA312" s="237">
        <f t="shared" si="116"/>
        <v>0.007150308</v>
      </c>
      <c r="AB312" s="237">
        <f t="shared" si="116"/>
        <v>0.004366236</v>
      </c>
      <c r="AC312" s="237">
        <f t="shared" si="116"/>
        <v>0.0048194784</v>
      </c>
      <c r="AD312" s="237">
        <f t="shared" si="116"/>
        <v>0.0054699584</v>
      </c>
      <c r="AE312" s="237">
        <f t="shared" si="116"/>
        <v>0.003917148</v>
      </c>
      <c r="AF312" s="237">
        <f t="shared" si="116"/>
        <v>0.0046441324</v>
      </c>
      <c r="AG312" s="237">
        <f t="shared" si="116"/>
        <v>0.0069874588</v>
      </c>
      <c r="AH312" s="237">
        <f t="shared" si="116"/>
        <v>0.0060341872</v>
      </c>
      <c r="AI312" s="237">
        <f t="shared" si="116"/>
        <v>0.0055867408</v>
      </c>
      <c r="AJ312" s="237">
        <f t="shared" si="116"/>
        <v>0.002957082</v>
      </c>
      <c r="AK312" s="237">
        <f t="shared" si="116"/>
        <v>0.0061639896</v>
      </c>
      <c r="AL312" s="237">
        <f t="shared" si="116"/>
        <v>0.009929406</v>
      </c>
      <c r="AM312" s="237">
        <f t="shared" si="116"/>
        <v>0.009929406</v>
      </c>
      <c r="AN312" s="237">
        <f t="shared" si="116"/>
        <v>0.009929406</v>
      </c>
      <c r="AO312" s="237">
        <f t="shared" si="116"/>
        <v>0.0063466676</v>
      </c>
      <c r="AP312" s="237">
        <f t="shared" si="116"/>
        <v>0.00566302</v>
      </c>
      <c r="AQ312" s="237">
        <f t="shared" si="116"/>
        <v>0.0046344004</v>
      </c>
      <c r="AR312" s="237">
        <f t="shared" si="116"/>
        <v>0.0034198728</v>
      </c>
      <c r="AS312" s="237">
        <f t="shared" si="116"/>
        <v>0.0061028748</v>
      </c>
      <c r="AT312" s="237">
        <f t="shared" si="116"/>
        <v>0.0047476688</v>
      </c>
      <c r="AU312" s="237">
        <f t="shared" si="116"/>
        <v>0.0083404424</v>
      </c>
      <c r="AV312" s="237">
        <f t="shared" si="116"/>
        <v>0.0175083776</v>
      </c>
      <c r="AW312" s="256"/>
    </row>
    <row r="313">
      <c r="A313" s="122"/>
      <c r="B313" s="123"/>
      <c r="C313" s="131"/>
      <c r="D313" s="131"/>
      <c r="E313" s="254" t="s">
        <v>729</v>
      </c>
      <c r="F313" s="193" t="s">
        <v>72</v>
      </c>
      <c r="G313" s="194" t="s">
        <v>161</v>
      </c>
      <c r="H313" s="236" t="s">
        <v>162</v>
      </c>
      <c r="I313" s="237">
        <f t="shared" ref="I313:AV313" si="117">SUM(I23,I39,I55)*(1+$H311)</f>
        <v>0.0001493064</v>
      </c>
      <c r="J313" s="237">
        <f t="shared" si="117"/>
        <v>0.0001640912</v>
      </c>
      <c r="K313" s="237">
        <f t="shared" si="117"/>
        <v>0.0001477192</v>
      </c>
      <c r="L313" s="237">
        <f t="shared" si="117"/>
        <v>0.000097816</v>
      </c>
      <c r="M313" s="237">
        <f t="shared" si="117"/>
        <v>0.0000934748</v>
      </c>
      <c r="N313" s="237">
        <f t="shared" si="117"/>
        <v>0.0001282652</v>
      </c>
      <c r="O313" s="237">
        <f t="shared" si="117"/>
        <v>0.0002189976</v>
      </c>
      <c r="P313" s="237">
        <f t="shared" si="117"/>
        <v>0.000267298</v>
      </c>
      <c r="Q313" s="237">
        <f t="shared" si="117"/>
        <v>0.0002701688</v>
      </c>
      <c r="R313" s="237">
        <f t="shared" si="117"/>
        <v>0.00004411</v>
      </c>
      <c r="S313" s="237">
        <f t="shared" si="117"/>
        <v>0.000081218</v>
      </c>
      <c r="T313" s="237">
        <f t="shared" si="117"/>
        <v>0.000043548</v>
      </c>
      <c r="U313" s="237">
        <f t="shared" si="117"/>
        <v>0.000035088</v>
      </c>
      <c r="V313" s="237">
        <f t="shared" si="117"/>
        <v>0.000064642</v>
      </c>
      <c r="W313" s="237">
        <f t="shared" si="117"/>
        <v>0.00005253</v>
      </c>
      <c r="X313" s="237">
        <f t="shared" si="117"/>
        <v>0.0000650772</v>
      </c>
      <c r="Y313" s="237">
        <f t="shared" si="117"/>
        <v>0.000045098</v>
      </c>
      <c r="Z313" s="237">
        <f t="shared" si="117"/>
        <v>0.000039364</v>
      </c>
      <c r="AA313" s="237">
        <f t="shared" si="117"/>
        <v>0.0000604284</v>
      </c>
      <c r="AB313" s="237">
        <f t="shared" si="117"/>
        <v>0.000038628</v>
      </c>
      <c r="AC313" s="237">
        <f t="shared" si="117"/>
        <v>0.0000393716</v>
      </c>
      <c r="AD313" s="237">
        <f t="shared" si="117"/>
        <v>0.0000440156</v>
      </c>
      <c r="AE313" s="237">
        <f t="shared" si="117"/>
        <v>0.000032004</v>
      </c>
      <c r="AF313" s="237">
        <f t="shared" si="117"/>
        <v>0.000037144</v>
      </c>
      <c r="AG313" s="237">
        <f t="shared" si="117"/>
        <v>0.000097816</v>
      </c>
      <c r="AH313" s="237">
        <f t="shared" si="117"/>
        <v>0.0000710564</v>
      </c>
      <c r="AI313" s="237">
        <f t="shared" si="117"/>
        <v>0.0000536316</v>
      </c>
      <c r="AJ313" s="237">
        <f t="shared" si="117"/>
        <v>0.0000211628</v>
      </c>
      <c r="AK313" s="237">
        <f t="shared" si="117"/>
        <v>0.0000549688</v>
      </c>
      <c r="AL313" s="237">
        <f t="shared" si="117"/>
        <v>0.000105546</v>
      </c>
      <c r="AM313" s="237">
        <f t="shared" si="117"/>
        <v>0.000105546</v>
      </c>
      <c r="AN313" s="237">
        <f t="shared" si="117"/>
        <v>0.000105546</v>
      </c>
      <c r="AO313" s="237">
        <f t="shared" si="117"/>
        <v>0.0000590868</v>
      </c>
      <c r="AP313" s="237">
        <f t="shared" si="117"/>
        <v>0.0000452292</v>
      </c>
      <c r="AQ313" s="237">
        <f t="shared" si="117"/>
        <v>0.0000343264</v>
      </c>
      <c r="AR313" s="237">
        <f t="shared" si="117"/>
        <v>0.0000478012</v>
      </c>
      <c r="AS313" s="237">
        <f t="shared" si="117"/>
        <v>0.00004414</v>
      </c>
      <c r="AT313" s="237">
        <f t="shared" si="117"/>
        <v>0.000041988</v>
      </c>
      <c r="AU313" s="237">
        <f t="shared" si="117"/>
        <v>0.0000914788</v>
      </c>
      <c r="AV313" s="237">
        <f t="shared" si="117"/>
        <v>0.0001321852</v>
      </c>
      <c r="AW313" s="256"/>
    </row>
    <row r="314">
      <c r="A314" s="122"/>
      <c r="B314" s="123"/>
      <c r="C314" s="131"/>
      <c r="D314" s="131"/>
      <c r="E314" s="254" t="s">
        <v>730</v>
      </c>
      <c r="F314" s="193" t="s">
        <v>72</v>
      </c>
      <c r="G314" s="194" t="s">
        <v>161</v>
      </c>
      <c r="H314" s="236" t="s">
        <v>162</v>
      </c>
      <c r="I314" s="237">
        <f t="shared" ref="I314:AV314" si="118">SUM(I91,I124)*(1+$H311)</f>
        <v>0.0003174539619</v>
      </c>
      <c r="J314" s="237">
        <f t="shared" si="118"/>
        <v>0.0003114100079</v>
      </c>
      <c r="K314" s="237">
        <f t="shared" si="118"/>
        <v>0.0003270416851</v>
      </c>
      <c r="L314" s="237">
        <f t="shared" si="118"/>
        <v>0.0002206809092</v>
      </c>
      <c r="M314" s="237">
        <f t="shared" si="118"/>
        <v>0.0002446105177</v>
      </c>
      <c r="N314" s="237">
        <f t="shared" si="118"/>
        <v>0.0002814843801</v>
      </c>
      <c r="O314" s="237">
        <f t="shared" si="118"/>
        <v>0.0003387555845</v>
      </c>
      <c r="P314" s="237">
        <f t="shared" si="118"/>
        <v>0.0003298406493</v>
      </c>
      <c r="Q314" s="237">
        <f t="shared" si="118"/>
        <v>0.0004007285175</v>
      </c>
      <c r="R314" s="237">
        <f t="shared" si="118"/>
        <v>0.0002006092609</v>
      </c>
      <c r="S314" s="237">
        <f t="shared" si="118"/>
        <v>0.0003012811643</v>
      </c>
      <c r="T314" s="237">
        <f t="shared" si="118"/>
        <v>0.0002223460986</v>
      </c>
      <c r="U314" s="237">
        <f t="shared" si="118"/>
        <v>0.0002066666457</v>
      </c>
      <c r="V314" s="237">
        <f t="shared" si="118"/>
        <v>0.0002486911059</v>
      </c>
      <c r="W314" s="237">
        <f t="shared" si="118"/>
        <v>0.0002782436015</v>
      </c>
      <c r="X314" s="237">
        <f t="shared" si="118"/>
        <v>0.000253618182</v>
      </c>
      <c r="Y314" s="237">
        <f t="shared" si="118"/>
        <v>0.0003976598268</v>
      </c>
      <c r="Z314" s="237">
        <f t="shared" si="118"/>
        <v>0.0002012726327</v>
      </c>
      <c r="AA314" s="237">
        <f t="shared" si="118"/>
        <v>0.0002535107531</v>
      </c>
      <c r="AB314" s="237">
        <f t="shared" si="118"/>
        <v>0.0001820745418</v>
      </c>
      <c r="AC314" s="237">
        <f t="shared" si="118"/>
        <v>0.000201866153</v>
      </c>
      <c r="AD314" s="237">
        <f t="shared" si="118"/>
        <v>0.0002180349075</v>
      </c>
      <c r="AE314" s="237">
        <f t="shared" si="118"/>
        <v>0.0001455546013</v>
      </c>
      <c r="AF314" s="237">
        <f t="shared" si="118"/>
        <v>0.0001854363475</v>
      </c>
      <c r="AG314" s="237">
        <f t="shared" si="118"/>
        <v>0.0002206809092</v>
      </c>
      <c r="AH314" s="237">
        <f t="shared" si="118"/>
        <v>0.0002448679343</v>
      </c>
      <c r="AI314" s="237">
        <f t="shared" si="118"/>
        <v>0.0002171409228</v>
      </c>
      <c r="AJ314" s="237">
        <f t="shared" si="118"/>
        <v>0.0001468946843</v>
      </c>
      <c r="AK314" s="237">
        <f t="shared" si="118"/>
        <v>0.0002019322233</v>
      </c>
      <c r="AL314" s="237">
        <f t="shared" si="118"/>
        <v>0.000268235155</v>
      </c>
      <c r="AM314" s="237">
        <f t="shared" si="118"/>
        <v>0.000268235155</v>
      </c>
      <c r="AN314" s="237">
        <f t="shared" si="118"/>
        <v>0.000268235155</v>
      </c>
      <c r="AO314" s="237">
        <f t="shared" si="118"/>
        <v>0.0002338348183</v>
      </c>
      <c r="AP314" s="237">
        <f t="shared" si="118"/>
        <v>0.0002300403766</v>
      </c>
      <c r="AQ314" s="237">
        <f t="shared" si="118"/>
        <v>0.0001865121868</v>
      </c>
      <c r="AR314" s="237">
        <f t="shared" si="118"/>
        <v>0.0001819128857</v>
      </c>
      <c r="AS314" s="237">
        <f t="shared" si="118"/>
        <v>0.0002035894785</v>
      </c>
      <c r="AT314" s="237">
        <f t="shared" si="118"/>
        <v>0.0002000317312</v>
      </c>
      <c r="AU314" s="237">
        <f t="shared" si="118"/>
        <v>0.0002272011087</v>
      </c>
      <c r="AV314" s="237">
        <f t="shared" si="118"/>
        <v>0.0002990283692</v>
      </c>
      <c r="AW314" s="256"/>
    </row>
    <row r="315">
      <c r="A315" s="122"/>
      <c r="B315" s="123"/>
      <c r="C315" s="131"/>
      <c r="D315" s="131"/>
      <c r="E315" s="254" t="s">
        <v>731</v>
      </c>
      <c r="F315" s="193" t="s">
        <v>72</v>
      </c>
      <c r="G315" s="194" t="s">
        <v>161</v>
      </c>
      <c r="H315" s="236" t="s">
        <v>162</v>
      </c>
      <c r="I315" s="237">
        <f t="shared" ref="I315:AV315" si="119">SUM(I97,I132)*(1+$H311)</f>
        <v>0.004297799087</v>
      </c>
      <c r="J315" s="237">
        <f t="shared" si="119"/>
        <v>0.004220752308</v>
      </c>
      <c r="K315" s="237">
        <f t="shared" si="119"/>
        <v>0.004424900141</v>
      </c>
      <c r="L315" s="237">
        <f t="shared" si="119"/>
        <v>0.002995680355</v>
      </c>
      <c r="M315" s="237">
        <f t="shared" si="119"/>
        <v>0.003316093585</v>
      </c>
      <c r="N315" s="237">
        <f t="shared" si="119"/>
        <v>0.003808820291</v>
      </c>
      <c r="O315" s="237">
        <f t="shared" si="119"/>
        <v>0.004574013276</v>
      </c>
      <c r="P315" s="237">
        <f t="shared" si="119"/>
        <v>0.004442948751</v>
      </c>
      <c r="Q315" s="237">
        <f t="shared" si="119"/>
        <v>0.005411085715</v>
      </c>
      <c r="R315" s="237">
        <f t="shared" si="119"/>
        <v>0.002741379336</v>
      </c>
      <c r="S315" s="237">
        <f t="shared" si="119"/>
        <v>0.004104500987</v>
      </c>
      <c r="T315" s="237">
        <f t="shared" si="119"/>
        <v>0.003036785684</v>
      </c>
      <c r="U315" s="237">
        <f t="shared" si="119"/>
        <v>0.002829382467</v>
      </c>
      <c r="V315" s="237">
        <f t="shared" si="119"/>
        <v>0.003390734248</v>
      </c>
      <c r="W315" s="237">
        <f t="shared" si="119"/>
        <v>0.003796791343</v>
      </c>
      <c r="X315" s="237">
        <f t="shared" si="119"/>
        <v>0.003448518848</v>
      </c>
      <c r="Y315" s="237">
        <f t="shared" si="119"/>
        <v>0.005493927642</v>
      </c>
      <c r="Z315" s="237">
        <f t="shared" si="119"/>
        <v>0.002748858633</v>
      </c>
      <c r="AA315" s="237">
        <f t="shared" si="119"/>
        <v>0.003461809389</v>
      </c>
      <c r="AB315" s="237">
        <f t="shared" si="119"/>
        <v>0.002488197922</v>
      </c>
      <c r="AC315" s="237">
        <f t="shared" si="119"/>
        <v>0.002761648252</v>
      </c>
      <c r="AD315" s="237">
        <f t="shared" si="119"/>
        <v>0.002980288471</v>
      </c>
      <c r="AE315" s="237">
        <f t="shared" si="119"/>
        <v>0.001986186105</v>
      </c>
      <c r="AF315" s="237">
        <f t="shared" si="119"/>
        <v>0.002536414071</v>
      </c>
      <c r="AG315" s="237">
        <f t="shared" si="119"/>
        <v>0.002995680355</v>
      </c>
      <c r="AH315" s="237">
        <f t="shared" si="119"/>
        <v>0.003349644675</v>
      </c>
      <c r="AI315" s="237">
        <f t="shared" si="119"/>
        <v>0.002963251569</v>
      </c>
      <c r="AJ315" s="237">
        <f t="shared" si="119"/>
        <v>0.0020070864</v>
      </c>
      <c r="AK315" s="237">
        <f t="shared" si="119"/>
        <v>0.002751094478</v>
      </c>
      <c r="AL315" s="237">
        <f t="shared" si="119"/>
        <v>0.003641102762</v>
      </c>
      <c r="AM315" s="237">
        <f t="shared" si="119"/>
        <v>0.003641102762</v>
      </c>
      <c r="AN315" s="237">
        <f t="shared" si="119"/>
        <v>0.003641102762</v>
      </c>
      <c r="AO315" s="237">
        <f t="shared" si="119"/>
        <v>0.003185841408</v>
      </c>
      <c r="AP315" s="237">
        <f t="shared" si="119"/>
        <v>0.003144969977</v>
      </c>
      <c r="AQ315" s="237">
        <f t="shared" si="119"/>
        <v>0.002550880303</v>
      </c>
      <c r="AR315" s="237">
        <f t="shared" si="119"/>
        <v>0.002481252632</v>
      </c>
      <c r="AS315" s="237">
        <f t="shared" si="119"/>
        <v>0.002774588172</v>
      </c>
      <c r="AT315" s="237">
        <f t="shared" si="119"/>
        <v>0.002732010874</v>
      </c>
      <c r="AU315" s="237">
        <f t="shared" si="119"/>
        <v>0.003082120522</v>
      </c>
      <c r="AV315" s="237">
        <f t="shared" si="119"/>
        <v>0.004047403623</v>
      </c>
      <c r="AW315" s="256"/>
    </row>
    <row r="316">
      <c r="A316" s="122"/>
      <c r="B316" s="123"/>
      <c r="C316" s="131"/>
      <c r="D316" s="131"/>
      <c r="E316" s="254" t="s">
        <v>732</v>
      </c>
      <c r="F316" s="213" t="s">
        <v>72</v>
      </c>
      <c r="G316" s="214" t="s">
        <v>161</v>
      </c>
      <c r="H316" s="240" t="s">
        <v>162</v>
      </c>
      <c r="I316" s="237">
        <f t="shared" ref="I316:AV316" si="120">I157*(1+$H311)</f>
        <v>0.005938637712</v>
      </c>
      <c r="J316" s="237">
        <f t="shared" si="120"/>
        <v>0.004274297763</v>
      </c>
      <c r="K316" s="237">
        <f t="shared" si="120"/>
        <v>0.004131327485</v>
      </c>
      <c r="L316" s="237">
        <f t="shared" si="120"/>
        <v>0.001554179575</v>
      </c>
      <c r="M316" s="237">
        <f t="shared" si="120"/>
        <v>0.002453382534</v>
      </c>
      <c r="N316" s="237">
        <f t="shared" si="120"/>
        <v>0.004426642041</v>
      </c>
      <c r="O316" s="237">
        <f t="shared" si="120"/>
        <v>0.00579491386</v>
      </c>
      <c r="P316" s="237">
        <f t="shared" si="120"/>
        <v>0.005543327093</v>
      </c>
      <c r="Q316" s="237">
        <f t="shared" si="120"/>
        <v>0.006605035196</v>
      </c>
      <c r="R316" s="237">
        <f t="shared" si="120"/>
        <v>0.0009284298196</v>
      </c>
      <c r="S316" s="237">
        <f t="shared" si="120"/>
        <v>0.002969024396</v>
      </c>
      <c r="T316" s="237">
        <f t="shared" si="120"/>
        <v>0.00112694563</v>
      </c>
      <c r="U316" s="237">
        <f t="shared" si="120"/>
        <v>0.0007876559766</v>
      </c>
      <c r="V316" s="237">
        <f t="shared" si="120"/>
        <v>0.002242845457</v>
      </c>
      <c r="W316" s="237">
        <f t="shared" si="120"/>
        <v>0.002977533304</v>
      </c>
      <c r="X316" s="237">
        <f t="shared" si="120"/>
        <v>0.003141920989</v>
      </c>
      <c r="Y316" s="237">
        <f t="shared" si="120"/>
        <v>0.001827378089</v>
      </c>
      <c r="Z316" s="237">
        <f t="shared" si="120"/>
        <v>0.000927264609</v>
      </c>
      <c r="AA316" s="237">
        <f t="shared" si="120"/>
        <v>0.001991835473</v>
      </c>
      <c r="AB316" s="237">
        <f t="shared" si="120"/>
        <v>0.0008000006493</v>
      </c>
      <c r="AC316" s="237">
        <f t="shared" si="120"/>
        <v>0.0009832084948</v>
      </c>
      <c r="AD316" s="237">
        <f t="shared" si="120"/>
        <v>0.001220242183</v>
      </c>
      <c r="AE316" s="237">
        <f t="shared" si="120"/>
        <v>0.0005990517546</v>
      </c>
      <c r="AF316" s="237">
        <f t="shared" si="120"/>
        <v>0.0007203683022</v>
      </c>
      <c r="AG316" s="237">
        <f t="shared" si="120"/>
        <v>0.001554179575</v>
      </c>
      <c r="AH316" s="237">
        <f t="shared" si="120"/>
        <v>0.001600515926</v>
      </c>
      <c r="AI316" s="237">
        <f t="shared" si="120"/>
        <v>0.00133171471</v>
      </c>
      <c r="AJ316" s="237">
        <f t="shared" si="120"/>
        <v>0.0004001003638</v>
      </c>
      <c r="AK316" s="237">
        <f t="shared" si="120"/>
        <v>0.001627035825</v>
      </c>
      <c r="AL316" s="237">
        <f t="shared" si="120"/>
        <v>0.003118472785</v>
      </c>
      <c r="AM316" s="237">
        <f t="shared" si="120"/>
        <v>0.003118472785</v>
      </c>
      <c r="AN316" s="237">
        <f t="shared" si="120"/>
        <v>0.003118472785</v>
      </c>
      <c r="AO316" s="237">
        <f t="shared" si="120"/>
        <v>0.001177075106</v>
      </c>
      <c r="AP316" s="237">
        <f t="shared" si="120"/>
        <v>0.001384339918</v>
      </c>
      <c r="AQ316" s="237">
        <f t="shared" si="120"/>
        <v>0.0008469383835</v>
      </c>
      <c r="AR316" s="237">
        <f t="shared" si="120"/>
        <v>0.001162055615</v>
      </c>
      <c r="AS316" s="237">
        <f t="shared" si="120"/>
        <v>0.001900872293</v>
      </c>
      <c r="AT316" s="237">
        <f t="shared" si="120"/>
        <v>0.0008442775049</v>
      </c>
      <c r="AU316" s="237">
        <f t="shared" si="120"/>
        <v>0.003026480022</v>
      </c>
      <c r="AV316" s="237">
        <f t="shared" si="120"/>
        <v>0.004952269618</v>
      </c>
      <c r="AW316" s="259"/>
    </row>
    <row r="317">
      <c r="A317" s="122"/>
      <c r="B317" s="123"/>
      <c r="C317" s="131"/>
      <c r="D317" s="131"/>
      <c r="E317" s="257" t="s">
        <v>733</v>
      </c>
      <c r="F317" s="213" t="s">
        <v>72</v>
      </c>
      <c r="G317" s="214" t="s">
        <v>161</v>
      </c>
      <c r="H317" s="240" t="s">
        <v>162</v>
      </c>
      <c r="I317" s="237">
        <f t="shared" ref="I317:AV317" si="121">I165*(1+$H311)</f>
        <v>0.0000052</v>
      </c>
      <c r="J317" s="237">
        <f t="shared" si="121"/>
        <v>0.000002788</v>
      </c>
      <c r="K317" s="237">
        <f t="shared" si="121"/>
        <v>0.00000544</v>
      </c>
      <c r="L317" s="237">
        <f t="shared" si="121"/>
        <v>0.000002096</v>
      </c>
      <c r="M317" s="237">
        <f t="shared" si="121"/>
        <v>0.00000204</v>
      </c>
      <c r="N317" s="237">
        <f t="shared" si="121"/>
        <v>0.0000054</v>
      </c>
      <c r="O317" s="237">
        <f t="shared" si="121"/>
        <v>0.00000512</v>
      </c>
      <c r="P317" s="237">
        <f t="shared" si="121"/>
        <v>0.00000688</v>
      </c>
      <c r="Q317" s="237">
        <f t="shared" si="121"/>
        <v>0.00000712</v>
      </c>
      <c r="R317" s="237">
        <f t="shared" si="121"/>
        <v>0.000000512</v>
      </c>
      <c r="S317" s="237">
        <f t="shared" si="121"/>
        <v>0.00000146</v>
      </c>
      <c r="T317" s="237">
        <f t="shared" si="121"/>
        <v>0.000000828</v>
      </c>
      <c r="U317" s="237">
        <f t="shared" si="121"/>
        <v>0.000000596</v>
      </c>
      <c r="V317" s="237">
        <f t="shared" si="121"/>
        <v>0.000001148</v>
      </c>
      <c r="W317" s="237">
        <f t="shared" si="121"/>
        <v>0.000001012</v>
      </c>
      <c r="X317" s="237">
        <f t="shared" si="121"/>
        <v>0.000002148</v>
      </c>
      <c r="Y317" s="237">
        <f t="shared" si="121"/>
        <v>0.00000086</v>
      </c>
      <c r="Z317" s="237">
        <f t="shared" si="121"/>
        <v>0.000000748</v>
      </c>
      <c r="AA317" s="237">
        <f t="shared" si="121"/>
        <v>0.00000096</v>
      </c>
      <c r="AB317" s="237">
        <f t="shared" si="121"/>
        <v>0.000000596</v>
      </c>
      <c r="AC317" s="237">
        <f t="shared" si="121"/>
        <v>0.000000668</v>
      </c>
      <c r="AD317" s="237">
        <f t="shared" si="121"/>
        <v>0.00000052</v>
      </c>
      <c r="AE317" s="237">
        <f t="shared" si="121"/>
        <v>0.000000548</v>
      </c>
      <c r="AF317" s="237">
        <f t="shared" si="121"/>
        <v>0.000000472</v>
      </c>
      <c r="AG317" s="237">
        <f t="shared" si="121"/>
        <v>0.000002096</v>
      </c>
      <c r="AH317" s="237">
        <f t="shared" si="121"/>
        <v>0.000000972</v>
      </c>
      <c r="AI317" s="237">
        <f t="shared" si="121"/>
        <v>0.00000124</v>
      </c>
      <c r="AJ317" s="237">
        <f t="shared" si="121"/>
        <v>0.000000432</v>
      </c>
      <c r="AK317" s="237">
        <f t="shared" si="121"/>
        <v>0.000001212</v>
      </c>
      <c r="AL317" s="237">
        <f t="shared" si="121"/>
        <v>0.000002044</v>
      </c>
      <c r="AM317" s="237">
        <f t="shared" si="121"/>
        <v>0.000002044</v>
      </c>
      <c r="AN317" s="237">
        <f t="shared" si="121"/>
        <v>0.000002044</v>
      </c>
      <c r="AO317" s="237">
        <f t="shared" si="121"/>
        <v>0.000000796</v>
      </c>
      <c r="AP317" s="237">
        <f t="shared" si="121"/>
        <v>0.000000668</v>
      </c>
      <c r="AQ317" s="237">
        <f t="shared" si="121"/>
        <v>0.00000048</v>
      </c>
      <c r="AR317" s="237">
        <f t="shared" si="121"/>
        <v>0.000000696</v>
      </c>
      <c r="AS317" s="237">
        <f t="shared" si="121"/>
        <v>0.00000102</v>
      </c>
      <c r="AT317" s="237">
        <f t="shared" si="121"/>
        <v>0.000000644</v>
      </c>
      <c r="AU317" s="237">
        <f t="shared" si="121"/>
        <v>0.000001948</v>
      </c>
      <c r="AV317" s="237">
        <f t="shared" si="121"/>
        <v>0.000003952</v>
      </c>
      <c r="AW317" s="259"/>
    </row>
    <row r="318">
      <c r="A318" s="122"/>
      <c r="B318" s="123"/>
      <c r="C318" s="131"/>
      <c r="D318" s="131"/>
      <c r="E318" s="272" t="s">
        <v>214</v>
      </c>
      <c r="F318" s="200" t="s">
        <v>72</v>
      </c>
      <c r="G318" s="201" t="s">
        <v>161</v>
      </c>
      <c r="H318" s="228" t="s">
        <v>162</v>
      </c>
      <c r="I318" s="590">
        <f t="shared" ref="I318:AV318" si="122">SUM(I312:I317)</f>
        <v>0.03045312196</v>
      </c>
      <c r="J318" s="590">
        <f t="shared" si="122"/>
        <v>0.02107026648</v>
      </c>
      <c r="K318" s="590">
        <f t="shared" si="122"/>
        <v>0.02997136931</v>
      </c>
      <c r="L318" s="590">
        <f t="shared" si="122"/>
        <v>0.01185791164</v>
      </c>
      <c r="M318" s="590">
        <f t="shared" si="122"/>
        <v>0.01592861064</v>
      </c>
      <c r="N318" s="590">
        <f t="shared" si="122"/>
        <v>0.02588760671</v>
      </c>
      <c r="O318" s="590">
        <f t="shared" si="122"/>
        <v>0.03208328512</v>
      </c>
      <c r="P318" s="590">
        <f t="shared" si="122"/>
        <v>0.03296218009</v>
      </c>
      <c r="Q318" s="590">
        <f t="shared" si="122"/>
        <v>0.03880502703</v>
      </c>
      <c r="R318" s="590">
        <f t="shared" si="122"/>
        <v>0.008954992016</v>
      </c>
      <c r="S318" s="590">
        <f t="shared" si="122"/>
        <v>0.01665938975</v>
      </c>
      <c r="T318" s="590">
        <f t="shared" si="122"/>
        <v>0.009642107813</v>
      </c>
      <c r="U318" s="590">
        <f t="shared" si="122"/>
        <v>0.00879336749</v>
      </c>
      <c r="V318" s="590">
        <f t="shared" si="122"/>
        <v>0.01181043161</v>
      </c>
      <c r="W318" s="590">
        <f t="shared" si="122"/>
        <v>0.01550981105</v>
      </c>
      <c r="X318" s="590">
        <f t="shared" si="122"/>
        <v>0.01577844562</v>
      </c>
      <c r="Y318" s="590">
        <f t="shared" si="122"/>
        <v>0.01354162916</v>
      </c>
      <c r="Z318" s="590">
        <f t="shared" si="122"/>
        <v>0.008695348275</v>
      </c>
      <c r="AA318" s="590">
        <f t="shared" si="122"/>
        <v>0.01291885202</v>
      </c>
      <c r="AB318" s="590">
        <f t="shared" si="122"/>
        <v>0.007875733113</v>
      </c>
      <c r="AC318" s="590">
        <f t="shared" si="122"/>
        <v>0.0088062409</v>
      </c>
      <c r="AD318" s="590">
        <f t="shared" si="122"/>
        <v>0.009933059561</v>
      </c>
      <c r="AE318" s="590">
        <f t="shared" si="122"/>
        <v>0.006680492461</v>
      </c>
      <c r="AF318" s="590">
        <f t="shared" si="122"/>
        <v>0.008123967121</v>
      </c>
      <c r="AG318" s="590">
        <f t="shared" si="122"/>
        <v>0.01185791164</v>
      </c>
      <c r="AH318" s="590">
        <f t="shared" si="122"/>
        <v>0.01130124414</v>
      </c>
      <c r="AI318" s="590">
        <f t="shared" si="122"/>
        <v>0.0101537196</v>
      </c>
      <c r="AJ318" s="590">
        <f t="shared" si="122"/>
        <v>0.005532758249</v>
      </c>
      <c r="AK318" s="590">
        <f t="shared" si="122"/>
        <v>0.01080023293</v>
      </c>
      <c r="AL318" s="590">
        <f t="shared" si="122"/>
        <v>0.0170648067</v>
      </c>
      <c r="AM318" s="590">
        <f t="shared" si="122"/>
        <v>0.0170648067</v>
      </c>
      <c r="AN318" s="590">
        <f t="shared" si="122"/>
        <v>0.0170648067</v>
      </c>
      <c r="AO318" s="590">
        <f t="shared" si="122"/>
        <v>0.01100330173</v>
      </c>
      <c r="AP318" s="590">
        <f t="shared" si="122"/>
        <v>0.01046826747</v>
      </c>
      <c r="AQ318" s="590">
        <f t="shared" si="122"/>
        <v>0.008253537673</v>
      </c>
      <c r="AR318" s="590">
        <f t="shared" si="122"/>
        <v>0.007293591133</v>
      </c>
      <c r="AS318" s="590">
        <f t="shared" si="122"/>
        <v>0.01102708474</v>
      </c>
      <c r="AT318" s="590">
        <f t="shared" si="122"/>
        <v>0.00856662091</v>
      </c>
      <c r="AU318" s="590">
        <f t="shared" si="122"/>
        <v>0.01476967085</v>
      </c>
      <c r="AV318" s="590">
        <f t="shared" si="122"/>
        <v>0.02694321641</v>
      </c>
      <c r="AW318" s="274"/>
    </row>
    <row r="319">
      <c r="A319" s="122"/>
      <c r="B319" s="123"/>
      <c r="C319" s="131"/>
      <c r="D319" s="131"/>
      <c r="E319" s="269"/>
      <c r="F319" s="141"/>
      <c r="G319" s="142"/>
      <c r="H319" s="12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H319" s="317"/>
      <c r="AI319" s="317"/>
      <c r="AJ319" s="317"/>
      <c r="AK319" s="317"/>
      <c r="AL319" s="317"/>
      <c r="AM319" s="317"/>
      <c r="AN319" s="317"/>
      <c r="AO319" s="317"/>
      <c r="AP319" s="317"/>
      <c r="AQ319" s="317"/>
      <c r="AR319" s="317"/>
      <c r="AS319" s="317"/>
      <c r="AT319" s="317"/>
      <c r="AU319" s="317"/>
      <c r="AV319" s="317"/>
      <c r="AW319" s="130"/>
    </row>
    <row r="320">
      <c r="A320" s="122"/>
      <c r="B320" s="123"/>
      <c r="C320" s="342" t="s">
        <v>734</v>
      </c>
      <c r="F320" s="125"/>
      <c r="G320" s="132"/>
      <c r="H320" s="127"/>
      <c r="I320" s="128"/>
      <c r="J320" s="128"/>
      <c r="K320" s="128"/>
      <c r="L320" s="128"/>
      <c r="M320" s="128"/>
      <c r="N320" s="128"/>
      <c r="O320" s="128"/>
      <c r="P320" s="128"/>
      <c r="Q320" s="128"/>
      <c r="R320" s="128"/>
      <c r="S320" s="128"/>
      <c r="T320" s="317"/>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30"/>
    </row>
    <row r="321">
      <c r="A321" s="122"/>
      <c r="B321" s="123"/>
      <c r="C321" s="450"/>
      <c r="D321" s="450"/>
      <c r="E321" s="254" t="s">
        <v>472</v>
      </c>
      <c r="F321" s="356" t="str">
        <f>Inputs!F200</f>
        <v>%</v>
      </c>
      <c r="G321" s="550" t="str">
        <f>Inputs!G200</f>
        <v>input</v>
      </c>
      <c r="H321" s="255">
        <f>Inputs!H200</f>
        <v>-0.9</v>
      </c>
      <c r="I321" s="358" t="str">
        <f>Inputs!I200</f>
        <v>-</v>
      </c>
      <c r="J321" s="358" t="str">
        <f>Inputs!J200</f>
        <v>-</v>
      </c>
      <c r="K321" s="358" t="str">
        <f>Inputs!K200</f>
        <v>-</v>
      </c>
      <c r="L321" s="358" t="str">
        <f>Inputs!L200</f>
        <v>-</v>
      </c>
      <c r="M321" s="358" t="str">
        <f>Inputs!M200</f>
        <v>-</v>
      </c>
      <c r="N321" s="358" t="str">
        <f>Inputs!N200</f>
        <v>-</v>
      </c>
      <c r="O321" s="358" t="str">
        <f>Inputs!O200</f>
        <v>-</v>
      </c>
      <c r="P321" s="358" t="str">
        <f>Inputs!P200</f>
        <v>-</v>
      </c>
      <c r="Q321" s="358" t="str">
        <f>Inputs!Q200</f>
        <v>-</v>
      </c>
      <c r="R321" s="358" t="str">
        <f>Inputs!R200</f>
        <v>-</v>
      </c>
      <c r="S321" s="358" t="str">
        <f>Inputs!S200</f>
        <v>-</v>
      </c>
      <c r="T321" s="383" t="str">
        <f>Inputs!T200</f>
        <v>-</v>
      </c>
      <c r="U321" s="358" t="str">
        <f>Inputs!U200</f>
        <v>-</v>
      </c>
      <c r="V321" s="358" t="str">
        <f>Inputs!V200</f>
        <v>-</v>
      </c>
      <c r="W321" s="358" t="str">
        <f>Inputs!W200</f>
        <v>-</v>
      </c>
      <c r="X321" s="358" t="str">
        <f>Inputs!X200</f>
        <v>-</v>
      </c>
      <c r="Y321" s="358" t="str">
        <f>Inputs!Y200</f>
        <v>-</v>
      </c>
      <c r="Z321" s="358" t="str">
        <f>Inputs!Z200</f>
        <v>-</v>
      </c>
      <c r="AA321" s="358" t="str">
        <f>Inputs!AA200</f>
        <v>-</v>
      </c>
      <c r="AB321" s="358" t="str">
        <f>Inputs!AB200</f>
        <v>-</v>
      </c>
      <c r="AC321" s="358" t="str">
        <f>Inputs!AC200</f>
        <v>-</v>
      </c>
      <c r="AD321" s="358" t="str">
        <f>Inputs!AD200</f>
        <v>-</v>
      </c>
      <c r="AE321" s="358" t="str">
        <f>Inputs!AE200</f>
        <v>-</v>
      </c>
      <c r="AF321" s="358" t="str">
        <f>Inputs!AF200</f>
        <v>-</v>
      </c>
      <c r="AG321" s="358" t="str">
        <f>Inputs!AG200</f>
        <v>-</v>
      </c>
      <c r="AH321" s="358" t="str">
        <f>Inputs!AH200</f>
        <v>-</v>
      </c>
      <c r="AI321" s="358" t="str">
        <f>Inputs!AI200</f>
        <v>-</v>
      </c>
      <c r="AJ321" s="358" t="str">
        <f>Inputs!AJ200</f>
        <v>-</v>
      </c>
      <c r="AK321" s="358" t="str">
        <f>Inputs!AK200</f>
        <v>-</v>
      </c>
      <c r="AL321" s="358" t="str">
        <f>Inputs!AL200</f>
        <v>-</v>
      </c>
      <c r="AM321" s="358" t="str">
        <f>Inputs!AM200</f>
        <v>-</v>
      </c>
      <c r="AN321" s="358" t="str">
        <f>Inputs!AN200</f>
        <v>-</v>
      </c>
      <c r="AO321" s="358" t="str">
        <f>Inputs!AO200</f>
        <v>-</v>
      </c>
      <c r="AP321" s="358" t="str">
        <f>Inputs!AP200</f>
        <v>-</v>
      </c>
      <c r="AQ321" s="358" t="str">
        <f>Inputs!AQ200</f>
        <v>-</v>
      </c>
      <c r="AR321" s="358" t="str">
        <f>Inputs!AR200</f>
        <v>-</v>
      </c>
      <c r="AS321" s="358" t="str">
        <f>Inputs!AS200</f>
        <v>-</v>
      </c>
      <c r="AT321" s="358" t="str">
        <f>Inputs!AT200</f>
        <v>-</v>
      </c>
      <c r="AU321" s="358" t="str">
        <f>Inputs!AU200</f>
        <v>-</v>
      </c>
      <c r="AV321" s="358" t="str">
        <f>Inputs!AV200</f>
        <v>-</v>
      </c>
      <c r="AW321" s="256"/>
    </row>
    <row r="322">
      <c r="A322" s="122"/>
      <c r="B322" s="123"/>
      <c r="C322" s="450"/>
      <c r="D322" s="450"/>
      <c r="E322" s="257" t="s">
        <v>473</v>
      </c>
      <c r="F322" s="213" t="s">
        <v>72</v>
      </c>
      <c r="G322" s="214" t="s">
        <v>161</v>
      </c>
      <c r="H322" s="240" t="s">
        <v>162</v>
      </c>
      <c r="I322" s="217">
        <f t="shared" ref="I322:AV322" si="123">I187*(1+$H$321)</f>
        <v>0.04673758858</v>
      </c>
      <c r="J322" s="217">
        <f t="shared" si="123"/>
        <v>0.05616125715</v>
      </c>
      <c r="K322" s="217">
        <f t="shared" si="123"/>
        <v>0.06044474287</v>
      </c>
      <c r="L322" s="217">
        <f t="shared" si="123"/>
        <v>0.0743422743</v>
      </c>
      <c r="M322" s="217">
        <f t="shared" si="123"/>
        <v>0.05739870858</v>
      </c>
      <c r="N322" s="217">
        <f t="shared" si="123"/>
        <v>0.05416229715</v>
      </c>
      <c r="O322" s="217">
        <f t="shared" si="123"/>
        <v>0.06053993144</v>
      </c>
      <c r="P322" s="217">
        <f t="shared" si="123"/>
        <v>0.03207854858</v>
      </c>
      <c r="Q322" s="217">
        <f t="shared" si="123"/>
        <v>0.0483557943</v>
      </c>
      <c r="R322" s="217">
        <f t="shared" si="123"/>
        <v>0.08614565716</v>
      </c>
      <c r="S322" s="217">
        <f t="shared" si="123"/>
        <v>0.07957764573</v>
      </c>
      <c r="T322" s="217">
        <f t="shared" si="123"/>
        <v>0.08148141716</v>
      </c>
      <c r="U322" s="217">
        <f t="shared" si="123"/>
        <v>0.0803391543</v>
      </c>
      <c r="V322" s="217">
        <f t="shared" si="123"/>
        <v>0.07510378287</v>
      </c>
      <c r="W322" s="217">
        <f t="shared" si="123"/>
        <v>0.07776906287</v>
      </c>
      <c r="X322" s="217">
        <f t="shared" si="123"/>
        <v>0.0616821943</v>
      </c>
      <c r="Y322" s="217">
        <f t="shared" si="123"/>
        <v>0.08862056002</v>
      </c>
      <c r="Z322" s="217">
        <f t="shared" si="123"/>
        <v>0.07948245716</v>
      </c>
      <c r="AA322" s="217">
        <f t="shared" si="123"/>
        <v>0.09452225145</v>
      </c>
      <c r="AB322" s="217">
        <f t="shared" si="123"/>
        <v>0.08785905145</v>
      </c>
      <c r="AC322" s="217">
        <f t="shared" si="123"/>
        <v>0.09423668573</v>
      </c>
      <c r="AD322" s="217">
        <f t="shared" si="123"/>
        <v>0.09433187431</v>
      </c>
      <c r="AE322" s="217">
        <f t="shared" si="123"/>
        <v>0.09061952002</v>
      </c>
      <c r="AF322" s="217">
        <f t="shared" si="123"/>
        <v>0.09014357716</v>
      </c>
      <c r="AG322" s="217">
        <f t="shared" si="123"/>
        <v>0.0743422743</v>
      </c>
      <c r="AH322" s="217">
        <f t="shared" si="123"/>
        <v>0.08785905145</v>
      </c>
      <c r="AI322" s="217">
        <f t="shared" si="123"/>
        <v>0.06882133716</v>
      </c>
      <c r="AJ322" s="217">
        <f t="shared" si="123"/>
        <v>0.08985801145</v>
      </c>
      <c r="AK322" s="217">
        <f t="shared" si="123"/>
        <v>0.07538934859</v>
      </c>
      <c r="AL322" s="217">
        <f t="shared" si="123"/>
        <v>0.06349077716</v>
      </c>
      <c r="AM322" s="217">
        <f t="shared" si="123"/>
        <v>0.06349077716</v>
      </c>
      <c r="AN322" s="217">
        <f t="shared" si="123"/>
        <v>0.06349077716</v>
      </c>
      <c r="AO322" s="217">
        <f t="shared" si="123"/>
        <v>0.06882133716</v>
      </c>
      <c r="AP322" s="217">
        <f t="shared" si="123"/>
        <v>0.07148661716</v>
      </c>
      <c r="AQ322" s="217">
        <f t="shared" si="123"/>
        <v>0.08852537145</v>
      </c>
      <c r="AR322" s="217">
        <f t="shared" si="123"/>
        <v>0.07853057145</v>
      </c>
      <c r="AS322" s="217">
        <f t="shared" si="123"/>
        <v>0.08348037716</v>
      </c>
      <c r="AT322" s="217">
        <f t="shared" si="123"/>
        <v>0.08595528002</v>
      </c>
      <c r="AU322" s="217">
        <f t="shared" si="123"/>
        <v>0.0676790743</v>
      </c>
      <c r="AV322" s="217">
        <f t="shared" si="123"/>
        <v>0.07158180573</v>
      </c>
      <c r="AW322" s="259"/>
    </row>
    <row r="323">
      <c r="A323" s="122"/>
      <c r="B323" s="123"/>
      <c r="C323" s="450"/>
      <c r="D323" s="450"/>
      <c r="E323" s="257" t="s">
        <v>735</v>
      </c>
      <c r="F323" s="213" t="s">
        <v>72</v>
      </c>
      <c r="G323" s="214" t="s">
        <v>161</v>
      </c>
      <c r="H323" s="240" t="s">
        <v>162</v>
      </c>
      <c r="I323" s="217">
        <f t="shared" ref="I323:AV323" si="124">I188*(1+$H$321)</f>
        <v>0.03675706686</v>
      </c>
      <c r="J323" s="217">
        <f t="shared" si="124"/>
        <v>0.04847953944</v>
      </c>
      <c r="K323" s="217">
        <f t="shared" si="124"/>
        <v>0.05462872115</v>
      </c>
      <c r="L323" s="217">
        <f t="shared" si="124"/>
        <v>0.06474250687</v>
      </c>
      <c r="M323" s="217">
        <f t="shared" si="124"/>
        <v>0.04693272515</v>
      </c>
      <c r="N323" s="217">
        <f t="shared" si="124"/>
        <v>0.04597608001</v>
      </c>
      <c r="O323" s="217">
        <f t="shared" si="124"/>
        <v>0.05564247944</v>
      </c>
      <c r="P323" s="217">
        <f t="shared" si="124"/>
        <v>0.02032276</v>
      </c>
      <c r="Q323" s="217">
        <f t="shared" si="124"/>
        <v>0.03583373772</v>
      </c>
      <c r="R323" s="217">
        <f t="shared" si="124"/>
        <v>0.08154804916</v>
      </c>
      <c r="S323" s="217">
        <f t="shared" si="124"/>
        <v>0.06498523773</v>
      </c>
      <c r="T323" s="217">
        <f t="shared" si="124"/>
        <v>0.07876378345</v>
      </c>
      <c r="U323" s="217">
        <f t="shared" si="124"/>
        <v>0.07409954344</v>
      </c>
      <c r="V323" s="217">
        <f t="shared" si="124"/>
        <v>0.07229096059</v>
      </c>
      <c r="W323" s="217">
        <f t="shared" si="124"/>
        <v>0.07190068744</v>
      </c>
      <c r="X323" s="217">
        <f t="shared" si="124"/>
        <v>0.04587137258</v>
      </c>
      <c r="Y323" s="217">
        <f t="shared" si="124"/>
        <v>0.08621704859</v>
      </c>
      <c r="Z323" s="217">
        <f t="shared" si="124"/>
        <v>0.07316669544</v>
      </c>
      <c r="AA323" s="217">
        <f t="shared" si="124"/>
        <v>0.09424144516</v>
      </c>
      <c r="AB323" s="217">
        <f t="shared" si="124"/>
        <v>0.08612661945</v>
      </c>
      <c r="AC323" s="217">
        <f t="shared" si="124"/>
        <v>0.0889679983</v>
      </c>
      <c r="AD323" s="217">
        <f t="shared" si="124"/>
        <v>0.09208542402</v>
      </c>
      <c r="AE323" s="217">
        <f t="shared" si="124"/>
        <v>0.08338042916</v>
      </c>
      <c r="AF323" s="217">
        <f t="shared" si="124"/>
        <v>0.08859676288</v>
      </c>
      <c r="AG323" s="217">
        <f t="shared" si="124"/>
        <v>0.06474250687</v>
      </c>
      <c r="AH323" s="217">
        <f t="shared" si="124"/>
        <v>0.0734760583</v>
      </c>
      <c r="AI323" s="217">
        <f t="shared" si="124"/>
        <v>0.06089212916</v>
      </c>
      <c r="AJ323" s="217">
        <f t="shared" si="124"/>
        <v>0.08601715259</v>
      </c>
      <c r="AK323" s="217">
        <f t="shared" si="124"/>
        <v>0.06296724001</v>
      </c>
      <c r="AL323" s="217">
        <f t="shared" si="124"/>
        <v>0.05045946173</v>
      </c>
      <c r="AM323" s="217">
        <f t="shared" si="124"/>
        <v>0.05045946173</v>
      </c>
      <c r="AN323" s="217">
        <f t="shared" si="124"/>
        <v>0.05045946173</v>
      </c>
      <c r="AO323" s="217">
        <f t="shared" si="124"/>
        <v>0.0565182143</v>
      </c>
      <c r="AP323" s="217">
        <f t="shared" si="124"/>
        <v>0.06611798173</v>
      </c>
      <c r="AQ323" s="217">
        <f t="shared" si="124"/>
        <v>0.08438466859</v>
      </c>
      <c r="AR323" s="217">
        <f t="shared" si="124"/>
        <v>0.0642142103</v>
      </c>
      <c r="AS323" s="217">
        <f t="shared" si="124"/>
        <v>0.07366167602</v>
      </c>
      <c r="AT323" s="217">
        <f t="shared" si="124"/>
        <v>0.08288544859</v>
      </c>
      <c r="AU323" s="217">
        <f t="shared" si="124"/>
        <v>0.06299579658</v>
      </c>
      <c r="AV323" s="217">
        <f t="shared" si="124"/>
        <v>0.06797415887</v>
      </c>
      <c r="AW323" s="259"/>
    </row>
    <row r="324">
      <c r="A324" s="122"/>
      <c r="B324" s="123"/>
      <c r="C324" s="450"/>
      <c r="D324" s="450"/>
      <c r="E324" s="257" t="s">
        <v>476</v>
      </c>
      <c r="F324" s="213" t="s">
        <v>72</v>
      </c>
      <c r="G324" s="214" t="s">
        <v>161</v>
      </c>
      <c r="H324" s="240" t="s">
        <v>162</v>
      </c>
      <c r="I324" s="217">
        <f t="shared" ref="I324:AV324" si="125">I190*(1+$H$321)</f>
        <v>0.03669995372</v>
      </c>
      <c r="J324" s="217">
        <f t="shared" si="125"/>
        <v>0.04535259487</v>
      </c>
      <c r="K324" s="217">
        <f t="shared" si="125"/>
        <v>0.05384341544</v>
      </c>
      <c r="L324" s="217">
        <f t="shared" si="125"/>
        <v>0.06347649887</v>
      </c>
      <c r="M324" s="217">
        <f t="shared" si="125"/>
        <v>0.04631875887</v>
      </c>
      <c r="N324" s="217">
        <f t="shared" si="125"/>
        <v>0.04396284172</v>
      </c>
      <c r="O324" s="217">
        <f t="shared" si="125"/>
        <v>0.05477626344</v>
      </c>
      <c r="P324" s="217">
        <f t="shared" si="125"/>
        <v>0.01564900115</v>
      </c>
      <c r="Q324" s="217">
        <f t="shared" si="125"/>
        <v>0.03642866629</v>
      </c>
      <c r="R324" s="217">
        <f t="shared" si="125"/>
        <v>0.08046765887</v>
      </c>
      <c r="S324" s="217">
        <f t="shared" si="125"/>
        <v>0.06503283201</v>
      </c>
      <c r="T324" s="217">
        <f t="shared" si="125"/>
        <v>0.07751681316</v>
      </c>
      <c r="U324" s="217">
        <f t="shared" si="125"/>
        <v>0.07389012859</v>
      </c>
      <c r="V324" s="217">
        <f t="shared" si="125"/>
        <v>0.07133431544</v>
      </c>
      <c r="W324" s="217">
        <f t="shared" si="125"/>
        <v>0.06883561544</v>
      </c>
      <c r="X324" s="217">
        <f t="shared" si="125"/>
        <v>0.04065027944</v>
      </c>
      <c r="Y324" s="217">
        <f t="shared" si="125"/>
        <v>0.08604570916</v>
      </c>
      <c r="Z324" s="217">
        <f t="shared" si="125"/>
        <v>0.0714104663</v>
      </c>
      <c r="AA324" s="217">
        <f t="shared" si="125"/>
        <v>0.09427476116</v>
      </c>
      <c r="AB324" s="217">
        <f t="shared" si="125"/>
        <v>0.08194784116</v>
      </c>
      <c r="AC324" s="217">
        <f t="shared" si="125"/>
        <v>0.08660732173</v>
      </c>
      <c r="AD324" s="217">
        <f t="shared" si="125"/>
        <v>0.09164755659</v>
      </c>
      <c r="AE324" s="217">
        <f t="shared" si="125"/>
        <v>0.08364695716</v>
      </c>
      <c r="AF324" s="217">
        <f t="shared" si="125"/>
        <v>0.0870356703</v>
      </c>
      <c r="AG324" s="217">
        <f t="shared" si="125"/>
        <v>0.06347649887</v>
      </c>
      <c r="AH324" s="217">
        <f t="shared" si="125"/>
        <v>0.07177218287</v>
      </c>
      <c r="AI324" s="217">
        <f t="shared" si="125"/>
        <v>0.05803171258</v>
      </c>
      <c r="AJ324" s="217">
        <f t="shared" si="125"/>
        <v>0.08477494173</v>
      </c>
      <c r="AK324" s="217">
        <f t="shared" si="125"/>
        <v>0.06163935944</v>
      </c>
      <c r="AL324" s="217">
        <f t="shared" si="125"/>
        <v>0.04899831715</v>
      </c>
      <c r="AM324" s="217">
        <f t="shared" si="125"/>
        <v>0.04899831715</v>
      </c>
      <c r="AN324" s="217">
        <f t="shared" si="125"/>
        <v>0.04899831715</v>
      </c>
      <c r="AO324" s="217">
        <f t="shared" si="125"/>
        <v>0.05495712173</v>
      </c>
      <c r="AP324" s="217">
        <f t="shared" si="125"/>
        <v>0.06417137544</v>
      </c>
      <c r="AQ324" s="217">
        <f t="shared" si="125"/>
        <v>0.08009166402</v>
      </c>
      <c r="AR324" s="217">
        <f t="shared" si="125"/>
        <v>0.06321948973</v>
      </c>
      <c r="AS324" s="217">
        <f t="shared" si="125"/>
        <v>0.06795988059</v>
      </c>
      <c r="AT324" s="217">
        <f t="shared" si="125"/>
        <v>0.08198591659</v>
      </c>
      <c r="AU324" s="217">
        <f t="shared" si="125"/>
        <v>0.06079218116</v>
      </c>
      <c r="AV324" s="217">
        <f t="shared" si="125"/>
        <v>0.0656467983</v>
      </c>
      <c r="AW324" s="259"/>
    </row>
    <row r="325">
      <c r="A325" s="122"/>
      <c r="B325" s="123"/>
      <c r="C325" s="450"/>
      <c r="D325" s="450"/>
      <c r="E325" s="257" t="s">
        <v>477</v>
      </c>
      <c r="F325" s="213" t="s">
        <v>72</v>
      </c>
      <c r="G325" s="214" t="s">
        <v>161</v>
      </c>
      <c r="H325" s="240" t="s">
        <v>162</v>
      </c>
      <c r="I325" s="217">
        <f t="shared" ref="I325:AV325" si="126">I191*(1+$H$321)</f>
        <v>0</v>
      </c>
      <c r="J325" s="217">
        <f t="shared" si="126"/>
        <v>0</v>
      </c>
      <c r="K325" s="217">
        <f t="shared" si="126"/>
        <v>0</v>
      </c>
      <c r="L325" s="217">
        <f t="shared" si="126"/>
        <v>0</v>
      </c>
      <c r="M325" s="217">
        <f t="shared" si="126"/>
        <v>0</v>
      </c>
      <c r="N325" s="217">
        <f t="shared" si="126"/>
        <v>0</v>
      </c>
      <c r="O325" s="217">
        <f t="shared" si="126"/>
        <v>0</v>
      </c>
      <c r="P325" s="217">
        <f t="shared" si="126"/>
        <v>0</v>
      </c>
      <c r="Q325" s="217">
        <f t="shared" si="126"/>
        <v>0</v>
      </c>
      <c r="R325" s="217">
        <f t="shared" si="126"/>
        <v>0</v>
      </c>
      <c r="S325" s="217">
        <f t="shared" si="126"/>
        <v>0</v>
      </c>
      <c r="T325" s="217">
        <f t="shared" si="126"/>
        <v>0</v>
      </c>
      <c r="U325" s="217">
        <f t="shared" si="126"/>
        <v>0</v>
      </c>
      <c r="V325" s="217">
        <f t="shared" si="126"/>
        <v>0</v>
      </c>
      <c r="W325" s="217">
        <f t="shared" si="126"/>
        <v>0</v>
      </c>
      <c r="X325" s="217">
        <f t="shared" si="126"/>
        <v>0</v>
      </c>
      <c r="Y325" s="217">
        <f t="shared" si="126"/>
        <v>0</v>
      </c>
      <c r="Z325" s="217">
        <f t="shared" si="126"/>
        <v>0</v>
      </c>
      <c r="AA325" s="217">
        <f t="shared" si="126"/>
        <v>0</v>
      </c>
      <c r="AB325" s="217">
        <f t="shared" si="126"/>
        <v>0</v>
      </c>
      <c r="AC325" s="217">
        <f t="shared" si="126"/>
        <v>0</v>
      </c>
      <c r="AD325" s="217">
        <f t="shared" si="126"/>
        <v>0</v>
      </c>
      <c r="AE325" s="217">
        <f t="shared" si="126"/>
        <v>0</v>
      </c>
      <c r="AF325" s="217">
        <f t="shared" si="126"/>
        <v>0</v>
      </c>
      <c r="AG325" s="217">
        <f t="shared" si="126"/>
        <v>0</v>
      </c>
      <c r="AH325" s="217">
        <f t="shared" si="126"/>
        <v>0</v>
      </c>
      <c r="AI325" s="217">
        <f t="shared" si="126"/>
        <v>0</v>
      </c>
      <c r="AJ325" s="217">
        <f t="shared" si="126"/>
        <v>0</v>
      </c>
      <c r="AK325" s="217">
        <f t="shared" si="126"/>
        <v>0</v>
      </c>
      <c r="AL325" s="217">
        <f t="shared" si="126"/>
        <v>0</v>
      </c>
      <c r="AM325" s="217">
        <f t="shared" si="126"/>
        <v>0</v>
      </c>
      <c r="AN325" s="217">
        <f t="shared" si="126"/>
        <v>0</v>
      </c>
      <c r="AO325" s="217">
        <f t="shared" si="126"/>
        <v>0</v>
      </c>
      <c r="AP325" s="217">
        <f t="shared" si="126"/>
        <v>0</v>
      </c>
      <c r="AQ325" s="217">
        <f t="shared" si="126"/>
        <v>0</v>
      </c>
      <c r="AR325" s="217">
        <f t="shared" si="126"/>
        <v>0</v>
      </c>
      <c r="AS325" s="217">
        <f t="shared" si="126"/>
        <v>0</v>
      </c>
      <c r="AT325" s="217">
        <f t="shared" si="126"/>
        <v>0</v>
      </c>
      <c r="AU325" s="217">
        <f t="shared" si="126"/>
        <v>0</v>
      </c>
      <c r="AV325" s="217">
        <f t="shared" si="126"/>
        <v>0</v>
      </c>
      <c r="AW325" s="259"/>
    </row>
    <row r="326">
      <c r="A326" s="122"/>
      <c r="B326" s="123"/>
      <c r="C326" s="450"/>
      <c r="D326" s="450"/>
      <c r="E326" s="272" t="s">
        <v>478</v>
      </c>
      <c r="F326" s="200" t="s">
        <v>72</v>
      </c>
      <c r="G326" s="201" t="s">
        <v>161</v>
      </c>
      <c r="H326" s="228" t="s">
        <v>162</v>
      </c>
      <c r="I326" s="203">
        <f t="shared" ref="I326:AV326" si="127">I192*(1+$H$321)</f>
        <v>0.02826042921</v>
      </c>
      <c r="J326" s="203">
        <f t="shared" si="127"/>
        <v>0.03393472572</v>
      </c>
      <c r="K326" s="203">
        <f t="shared" si="127"/>
        <v>0.05198353652</v>
      </c>
      <c r="L326" s="203">
        <f t="shared" si="127"/>
        <v>0.05260755049</v>
      </c>
      <c r="M326" s="203">
        <f t="shared" si="127"/>
        <v>0.03716056064</v>
      </c>
      <c r="N326" s="203">
        <f t="shared" si="127"/>
        <v>0.04059263747</v>
      </c>
      <c r="O326" s="203">
        <f t="shared" si="127"/>
        <v>0.05972025208</v>
      </c>
      <c r="P326" s="203">
        <f t="shared" si="127"/>
        <v>0.01814928762</v>
      </c>
      <c r="Q326" s="203">
        <f t="shared" si="127"/>
        <v>0.04307282858</v>
      </c>
      <c r="R326" s="203">
        <f t="shared" si="127"/>
        <v>0.07055588446</v>
      </c>
      <c r="S326" s="203">
        <f t="shared" si="127"/>
        <v>0.05672181208</v>
      </c>
      <c r="T326" s="203">
        <f t="shared" si="127"/>
        <v>0.06711323113</v>
      </c>
      <c r="U326" s="203">
        <f t="shared" si="127"/>
        <v>0.0637499016</v>
      </c>
      <c r="V326" s="203">
        <f t="shared" si="127"/>
        <v>0.06269225081</v>
      </c>
      <c r="W326" s="203">
        <f t="shared" si="127"/>
        <v>0.06284561017</v>
      </c>
      <c r="X326" s="203">
        <f t="shared" si="127"/>
        <v>0.03571686731</v>
      </c>
      <c r="Y326" s="203">
        <f t="shared" si="127"/>
        <v>0.07438458033</v>
      </c>
      <c r="Z326" s="203">
        <f t="shared" si="127"/>
        <v>0.06850933017</v>
      </c>
      <c r="AA326" s="203">
        <f t="shared" si="127"/>
        <v>0.08648939367</v>
      </c>
      <c r="AB326" s="203">
        <f t="shared" si="127"/>
        <v>0.07433698605</v>
      </c>
      <c r="AC326" s="203">
        <f t="shared" si="127"/>
        <v>0.08841960637</v>
      </c>
      <c r="AD326" s="203">
        <f t="shared" si="127"/>
        <v>0.07502445906</v>
      </c>
      <c r="AE326" s="203">
        <f t="shared" si="127"/>
        <v>0.08290924573</v>
      </c>
      <c r="AF326" s="203">
        <f t="shared" si="127"/>
        <v>0.06983668192</v>
      </c>
      <c r="AG326" s="203">
        <f t="shared" si="127"/>
        <v>0.05260755049</v>
      </c>
      <c r="AH326" s="203">
        <f t="shared" si="127"/>
        <v>0.06801752255</v>
      </c>
      <c r="AI326" s="203">
        <f t="shared" si="127"/>
        <v>0.05951401017</v>
      </c>
      <c r="AJ326" s="203">
        <f t="shared" si="127"/>
        <v>0.08115354541</v>
      </c>
      <c r="AK326" s="203">
        <f t="shared" si="127"/>
        <v>0.05230083176</v>
      </c>
      <c r="AL326" s="203">
        <f t="shared" si="127"/>
        <v>0.05014322414</v>
      </c>
      <c r="AM326" s="203">
        <f t="shared" si="127"/>
        <v>0.05014322414</v>
      </c>
      <c r="AN326" s="203">
        <f t="shared" si="127"/>
        <v>0.05014322414</v>
      </c>
      <c r="AO326" s="203">
        <f t="shared" si="127"/>
        <v>0.05253880319</v>
      </c>
      <c r="AP326" s="203">
        <f t="shared" si="127"/>
        <v>0.06196247176</v>
      </c>
      <c r="AQ326" s="203">
        <f t="shared" si="127"/>
        <v>0.0751460889</v>
      </c>
      <c r="AR326" s="203">
        <f t="shared" si="127"/>
        <v>0.05727179049</v>
      </c>
      <c r="AS326" s="203">
        <f t="shared" si="127"/>
        <v>0.06457486922</v>
      </c>
      <c r="AT326" s="203">
        <f t="shared" si="127"/>
        <v>0.07889017272</v>
      </c>
      <c r="AU326" s="203">
        <f t="shared" si="127"/>
        <v>0.06083607366</v>
      </c>
      <c r="AV326" s="203">
        <f t="shared" si="127"/>
        <v>0.06665844128</v>
      </c>
      <c r="AW326" s="274"/>
    </row>
    <row r="327">
      <c r="A327" s="122"/>
      <c r="B327" s="123"/>
      <c r="C327" s="450"/>
      <c r="D327" s="450"/>
      <c r="E327" s="269"/>
      <c r="F327" s="125"/>
      <c r="G327" s="132"/>
      <c r="H327" s="127"/>
      <c r="I327" s="128"/>
      <c r="J327" s="128"/>
      <c r="K327" s="128"/>
      <c r="L327" s="128"/>
      <c r="M327" s="128"/>
      <c r="N327" s="128"/>
      <c r="O327" s="128"/>
      <c r="P327" s="128"/>
      <c r="Q327" s="128"/>
      <c r="R327" s="128"/>
      <c r="S327" s="128"/>
      <c r="T327" s="317"/>
      <c r="U327" s="128"/>
      <c r="V327" s="128"/>
      <c r="W327" s="128"/>
      <c r="X327" s="128"/>
      <c r="Y327" s="128"/>
      <c r="Z327" s="128"/>
      <c r="AA327" s="128"/>
      <c r="AB327" s="128"/>
      <c r="AC327" s="128"/>
      <c r="AD327" s="128"/>
      <c r="AE327" s="128"/>
      <c r="AF327" s="128"/>
      <c r="AG327" s="128"/>
      <c r="AH327" s="128"/>
      <c r="AI327" s="128"/>
      <c r="AJ327" s="128"/>
      <c r="AK327" s="128"/>
      <c r="AL327" s="128"/>
      <c r="AM327" s="128"/>
      <c r="AN327" s="128"/>
      <c r="AO327" s="128"/>
      <c r="AP327" s="128"/>
      <c r="AQ327" s="128"/>
      <c r="AR327" s="128"/>
      <c r="AS327" s="128"/>
      <c r="AT327" s="128"/>
      <c r="AU327" s="128"/>
      <c r="AV327" s="128"/>
      <c r="AW327" s="130"/>
    </row>
    <row r="328">
      <c r="A328" s="122"/>
      <c r="B328" s="123"/>
      <c r="C328" s="131" t="s">
        <v>457</v>
      </c>
      <c r="F328" s="125"/>
      <c r="G328" s="132"/>
      <c r="H328" s="127"/>
      <c r="I328" s="128"/>
      <c r="J328" s="128"/>
      <c r="K328" s="128"/>
      <c r="L328" s="128"/>
      <c r="M328" s="128"/>
      <c r="N328" s="128"/>
      <c r="O328" s="128"/>
      <c r="P328" s="128"/>
      <c r="Q328" s="128"/>
      <c r="R328" s="128"/>
      <c r="S328" s="128"/>
      <c r="T328" s="317"/>
      <c r="U328" s="128"/>
      <c r="V328" s="128"/>
      <c r="W328" s="128"/>
      <c r="X328" s="128"/>
      <c r="Y328" s="128"/>
      <c r="Z328" s="128"/>
      <c r="AA328" s="128"/>
      <c r="AB328" s="128"/>
      <c r="AC328" s="128"/>
      <c r="AD328" s="128"/>
      <c r="AE328" s="128"/>
      <c r="AF328" s="128"/>
      <c r="AG328" s="128"/>
      <c r="AH328" s="128"/>
      <c r="AI328" s="128"/>
      <c r="AJ328" s="128"/>
      <c r="AK328" s="128"/>
      <c r="AL328" s="128"/>
      <c r="AM328" s="128"/>
      <c r="AN328" s="128"/>
      <c r="AO328" s="128"/>
      <c r="AP328" s="128"/>
      <c r="AQ328" s="128"/>
      <c r="AR328" s="128"/>
      <c r="AS328" s="128"/>
      <c r="AT328" s="128"/>
      <c r="AU328" s="128"/>
      <c r="AV328" s="128"/>
      <c r="AW328" s="130"/>
    </row>
    <row r="329">
      <c r="A329" s="122"/>
      <c r="B329" s="123"/>
      <c r="C329" s="450"/>
      <c r="D329" s="450"/>
      <c r="E329" s="254" t="s">
        <v>736</v>
      </c>
      <c r="F329" s="193" t="str">
        <f>Inputs!F201</f>
        <v>%</v>
      </c>
      <c r="G329" s="550" t="str">
        <f>Inputs!G201</f>
        <v>input</v>
      </c>
      <c r="H329" s="255">
        <f>Inputs!H201</f>
        <v>-0.7</v>
      </c>
      <c r="I329" s="358" t="str">
        <f>Inputs!I201</f>
        <v>-</v>
      </c>
      <c r="J329" s="358" t="str">
        <f>Inputs!J201</f>
        <v>-</v>
      </c>
      <c r="K329" s="358" t="str">
        <f>Inputs!K201</f>
        <v>-</v>
      </c>
      <c r="L329" s="358" t="str">
        <f>Inputs!L201</f>
        <v>-</v>
      </c>
      <c r="M329" s="358" t="str">
        <f>Inputs!M201</f>
        <v>-</v>
      </c>
      <c r="N329" s="358" t="str">
        <f>Inputs!N201</f>
        <v>-</v>
      </c>
      <c r="O329" s="358" t="str">
        <f>Inputs!O201</f>
        <v>-</v>
      </c>
      <c r="P329" s="358" t="str">
        <f>Inputs!P201</f>
        <v>-</v>
      </c>
      <c r="Q329" s="358" t="str">
        <f>Inputs!Q201</f>
        <v>-</v>
      </c>
      <c r="R329" s="358" t="str">
        <f>Inputs!R201</f>
        <v>-</v>
      </c>
      <c r="S329" s="358" t="str">
        <f>Inputs!S201</f>
        <v>-</v>
      </c>
      <c r="T329" s="383" t="str">
        <f>Inputs!T201</f>
        <v>-</v>
      </c>
      <c r="U329" s="358" t="str">
        <f>Inputs!U201</f>
        <v>-</v>
      </c>
      <c r="V329" s="358" t="str">
        <f>Inputs!V201</f>
        <v>-</v>
      </c>
      <c r="W329" s="358" t="str">
        <f>Inputs!W201</f>
        <v>-</v>
      </c>
      <c r="X329" s="358" t="str">
        <f>Inputs!X201</f>
        <v>-</v>
      </c>
      <c r="Y329" s="358" t="str">
        <f>Inputs!Y201</f>
        <v>-</v>
      </c>
      <c r="Z329" s="358" t="str">
        <f>Inputs!Z201</f>
        <v>-</v>
      </c>
      <c r="AA329" s="358" t="str">
        <f>Inputs!AA201</f>
        <v>-</v>
      </c>
      <c r="AB329" s="358" t="str">
        <f>Inputs!AB201</f>
        <v>-</v>
      </c>
      <c r="AC329" s="358" t="str">
        <f>Inputs!AC201</f>
        <v>-</v>
      </c>
      <c r="AD329" s="358" t="str">
        <f>Inputs!AD201</f>
        <v>-</v>
      </c>
      <c r="AE329" s="358" t="str">
        <f>Inputs!AE201</f>
        <v>-</v>
      </c>
      <c r="AF329" s="358" t="str">
        <f>Inputs!AF201</f>
        <v>-</v>
      </c>
      <c r="AG329" s="358" t="str">
        <f>Inputs!AG201</f>
        <v>-</v>
      </c>
      <c r="AH329" s="358" t="str">
        <f>Inputs!AH201</f>
        <v>-</v>
      </c>
      <c r="AI329" s="358" t="str">
        <f>Inputs!AI201</f>
        <v>-</v>
      </c>
      <c r="AJ329" s="358" t="str">
        <f>Inputs!AJ201</f>
        <v>-</v>
      </c>
      <c r="AK329" s="358" t="str">
        <f>Inputs!AK201</f>
        <v>-</v>
      </c>
      <c r="AL329" s="358" t="str">
        <f>Inputs!AL201</f>
        <v>-</v>
      </c>
      <c r="AM329" s="358" t="str">
        <f>Inputs!AM201</f>
        <v>-</v>
      </c>
      <c r="AN329" s="358" t="str">
        <f>Inputs!AN201</f>
        <v>-</v>
      </c>
      <c r="AO329" s="358" t="str">
        <f>Inputs!AO201</f>
        <v>-</v>
      </c>
      <c r="AP329" s="358" t="str">
        <f>Inputs!AP201</f>
        <v>-</v>
      </c>
      <c r="AQ329" s="358" t="str">
        <f>Inputs!AQ201</f>
        <v>-</v>
      </c>
      <c r="AR329" s="358" t="str">
        <f>Inputs!AR201</f>
        <v>-</v>
      </c>
      <c r="AS329" s="358" t="str">
        <f>Inputs!AS201</f>
        <v>-</v>
      </c>
      <c r="AT329" s="358" t="str">
        <f>Inputs!AT201</f>
        <v>-</v>
      </c>
      <c r="AU329" s="358" t="str">
        <f>Inputs!AU201</f>
        <v>-</v>
      </c>
      <c r="AV329" s="358" t="str">
        <f>Inputs!AV201</f>
        <v>-</v>
      </c>
      <c r="AW329" s="256"/>
    </row>
    <row r="330">
      <c r="A330" s="122"/>
      <c r="B330" s="123"/>
      <c r="C330" s="450"/>
      <c r="D330" s="450"/>
      <c r="E330" s="254" t="s">
        <v>737</v>
      </c>
      <c r="F330" s="193" t="str">
        <f>Inputs!F202</f>
        <v>%</v>
      </c>
      <c r="G330" s="550" t="str">
        <f>Inputs!G202</f>
        <v>input</v>
      </c>
      <c r="H330" s="255">
        <f>Inputs!H202</f>
        <v>-0.9</v>
      </c>
      <c r="I330" s="358" t="str">
        <f>Inputs!I202</f>
        <v>-</v>
      </c>
      <c r="J330" s="358" t="str">
        <f>Inputs!J202</f>
        <v>-</v>
      </c>
      <c r="K330" s="358" t="str">
        <f>Inputs!K202</f>
        <v>-</v>
      </c>
      <c r="L330" s="358" t="str">
        <f>Inputs!L202</f>
        <v>-</v>
      </c>
      <c r="M330" s="358" t="str">
        <f>Inputs!M202</f>
        <v>-</v>
      </c>
      <c r="N330" s="358" t="str">
        <f>Inputs!N202</f>
        <v>-</v>
      </c>
      <c r="O330" s="358" t="str">
        <f>Inputs!O202</f>
        <v>-</v>
      </c>
      <c r="P330" s="358" t="str">
        <f>Inputs!P202</f>
        <v>-</v>
      </c>
      <c r="Q330" s="358" t="str">
        <f>Inputs!Q202</f>
        <v>-</v>
      </c>
      <c r="R330" s="358" t="str">
        <f>Inputs!R202</f>
        <v>-</v>
      </c>
      <c r="S330" s="358" t="str">
        <f>Inputs!S202</f>
        <v>-</v>
      </c>
      <c r="T330" s="383" t="str">
        <f>Inputs!T202</f>
        <v>-</v>
      </c>
      <c r="U330" s="358" t="str">
        <f>Inputs!U202</f>
        <v>-</v>
      </c>
      <c r="V330" s="358" t="str">
        <f>Inputs!V202</f>
        <v>-</v>
      </c>
      <c r="W330" s="358" t="str">
        <f>Inputs!W202</f>
        <v>-</v>
      </c>
      <c r="X330" s="358" t="str">
        <f>Inputs!X202</f>
        <v>-</v>
      </c>
      <c r="Y330" s="358" t="str">
        <f>Inputs!Y202</f>
        <v>-</v>
      </c>
      <c r="Z330" s="358" t="str">
        <f>Inputs!Z202</f>
        <v>-</v>
      </c>
      <c r="AA330" s="358" t="str">
        <f>Inputs!AA202</f>
        <v>-</v>
      </c>
      <c r="AB330" s="358" t="str">
        <f>Inputs!AB202</f>
        <v>-</v>
      </c>
      <c r="AC330" s="358" t="str">
        <f>Inputs!AC202</f>
        <v>-</v>
      </c>
      <c r="AD330" s="358" t="str">
        <f>Inputs!AD202</f>
        <v>-</v>
      </c>
      <c r="AE330" s="358" t="str">
        <f>Inputs!AE202</f>
        <v>-</v>
      </c>
      <c r="AF330" s="358" t="str">
        <f>Inputs!AF202</f>
        <v>-</v>
      </c>
      <c r="AG330" s="358" t="str">
        <f>Inputs!AG202</f>
        <v>-</v>
      </c>
      <c r="AH330" s="358" t="str">
        <f>Inputs!AH202</f>
        <v>-</v>
      </c>
      <c r="AI330" s="358" t="str">
        <f>Inputs!AI202</f>
        <v>-</v>
      </c>
      <c r="AJ330" s="358" t="str">
        <f>Inputs!AJ202</f>
        <v>-</v>
      </c>
      <c r="AK330" s="358" t="str">
        <f>Inputs!AK202</f>
        <v>-</v>
      </c>
      <c r="AL330" s="358" t="str">
        <f>Inputs!AL202</f>
        <v>-</v>
      </c>
      <c r="AM330" s="358" t="str">
        <f>Inputs!AM202</f>
        <v>-</v>
      </c>
      <c r="AN330" s="358" t="str">
        <f>Inputs!AN202</f>
        <v>-</v>
      </c>
      <c r="AO330" s="358" t="str">
        <f>Inputs!AO202</f>
        <v>-</v>
      </c>
      <c r="AP330" s="358" t="str">
        <f>Inputs!AP202</f>
        <v>-</v>
      </c>
      <c r="AQ330" s="358" t="str">
        <f>Inputs!AQ202</f>
        <v>-</v>
      </c>
      <c r="AR330" s="358" t="str">
        <f>Inputs!AR202</f>
        <v>-</v>
      </c>
      <c r="AS330" s="358" t="str">
        <f>Inputs!AS202</f>
        <v>-</v>
      </c>
      <c r="AT330" s="358" t="str">
        <f>Inputs!AT202</f>
        <v>-</v>
      </c>
      <c r="AU330" s="358" t="str">
        <f>Inputs!AU202</f>
        <v>-</v>
      </c>
      <c r="AV330" s="358" t="str">
        <f>Inputs!AV202</f>
        <v>-</v>
      </c>
      <c r="AW330" s="256"/>
    </row>
    <row r="331">
      <c r="A331" s="122"/>
      <c r="B331" s="123"/>
      <c r="C331" s="450"/>
      <c r="D331" s="450"/>
      <c r="E331" s="257" t="s">
        <v>458</v>
      </c>
      <c r="F331" s="213" t="s">
        <v>72</v>
      </c>
      <c r="G331" s="214" t="s">
        <v>161</v>
      </c>
      <c r="H331" s="258">
        <f>H195*(1+H$330)</f>
        <v>0.05974696425</v>
      </c>
      <c r="I331" s="220" t="s">
        <v>162</v>
      </c>
      <c r="J331" s="220" t="s">
        <v>162</v>
      </c>
      <c r="K331" s="220" t="s">
        <v>162</v>
      </c>
      <c r="L331" s="220" t="s">
        <v>162</v>
      </c>
      <c r="M331" s="220" t="s">
        <v>162</v>
      </c>
      <c r="N331" s="220" t="s">
        <v>162</v>
      </c>
      <c r="O331" s="220" t="s">
        <v>162</v>
      </c>
      <c r="P331" s="220" t="s">
        <v>162</v>
      </c>
      <c r="Q331" s="220" t="s">
        <v>162</v>
      </c>
      <c r="R331" s="220" t="s">
        <v>162</v>
      </c>
      <c r="S331" s="220" t="s">
        <v>162</v>
      </c>
      <c r="T331" s="220" t="s">
        <v>162</v>
      </c>
      <c r="U331" s="220" t="s">
        <v>162</v>
      </c>
      <c r="V331" s="220" t="s">
        <v>162</v>
      </c>
      <c r="W331" s="220" t="s">
        <v>162</v>
      </c>
      <c r="X331" s="220" t="s">
        <v>162</v>
      </c>
      <c r="Y331" s="220" t="s">
        <v>162</v>
      </c>
      <c r="Z331" s="220" t="s">
        <v>162</v>
      </c>
      <c r="AA331" s="220" t="s">
        <v>162</v>
      </c>
      <c r="AB331" s="220" t="s">
        <v>162</v>
      </c>
      <c r="AC331" s="220" t="s">
        <v>162</v>
      </c>
      <c r="AD331" s="220" t="s">
        <v>162</v>
      </c>
      <c r="AE331" s="220" t="s">
        <v>162</v>
      </c>
      <c r="AF331" s="220" t="s">
        <v>162</v>
      </c>
      <c r="AG331" s="220" t="s">
        <v>162</v>
      </c>
      <c r="AH331" s="220" t="s">
        <v>162</v>
      </c>
      <c r="AI331" s="220" t="s">
        <v>162</v>
      </c>
      <c r="AJ331" s="220" t="s">
        <v>162</v>
      </c>
      <c r="AK331" s="220" t="s">
        <v>162</v>
      </c>
      <c r="AL331" s="220" t="s">
        <v>162</v>
      </c>
      <c r="AM331" s="220" t="s">
        <v>162</v>
      </c>
      <c r="AN331" s="220" t="s">
        <v>162</v>
      </c>
      <c r="AO331" s="220" t="s">
        <v>162</v>
      </c>
      <c r="AP331" s="220" t="s">
        <v>162</v>
      </c>
      <c r="AQ331" s="220" t="s">
        <v>162</v>
      </c>
      <c r="AR331" s="220" t="s">
        <v>162</v>
      </c>
      <c r="AS331" s="220" t="s">
        <v>162</v>
      </c>
      <c r="AT331" s="220" t="s">
        <v>162</v>
      </c>
      <c r="AU331" s="220" t="s">
        <v>162</v>
      </c>
      <c r="AV331" s="220" t="s">
        <v>162</v>
      </c>
      <c r="AW331" s="259"/>
    </row>
    <row r="332">
      <c r="A332" s="122"/>
      <c r="B332" s="123"/>
      <c r="C332" s="450"/>
      <c r="D332" s="450"/>
      <c r="E332" s="257" t="s">
        <v>459</v>
      </c>
      <c r="F332" s="213" t="s">
        <v>72</v>
      </c>
      <c r="G332" s="214" t="s">
        <v>161</v>
      </c>
      <c r="H332" s="258">
        <f t="shared" ref="H332:H336" si="128">H196*(1+H$329)</f>
        <v>0.2552824836</v>
      </c>
      <c r="I332" s="220" t="s">
        <v>162</v>
      </c>
      <c r="J332" s="220" t="s">
        <v>162</v>
      </c>
      <c r="K332" s="220" t="s">
        <v>162</v>
      </c>
      <c r="L332" s="220" t="s">
        <v>162</v>
      </c>
      <c r="M332" s="220" t="s">
        <v>162</v>
      </c>
      <c r="N332" s="220" t="s">
        <v>162</v>
      </c>
      <c r="O332" s="220" t="s">
        <v>162</v>
      </c>
      <c r="P332" s="220" t="s">
        <v>162</v>
      </c>
      <c r="Q332" s="220" t="s">
        <v>162</v>
      </c>
      <c r="R332" s="220" t="s">
        <v>162</v>
      </c>
      <c r="S332" s="220" t="s">
        <v>162</v>
      </c>
      <c r="T332" s="220" t="s">
        <v>162</v>
      </c>
      <c r="U332" s="220" t="s">
        <v>162</v>
      </c>
      <c r="V332" s="220" t="s">
        <v>162</v>
      </c>
      <c r="W332" s="220" t="s">
        <v>162</v>
      </c>
      <c r="X332" s="220" t="s">
        <v>162</v>
      </c>
      <c r="Y332" s="220" t="s">
        <v>162</v>
      </c>
      <c r="Z332" s="220" t="s">
        <v>162</v>
      </c>
      <c r="AA332" s="220" t="s">
        <v>162</v>
      </c>
      <c r="AB332" s="220" t="s">
        <v>162</v>
      </c>
      <c r="AC332" s="220" t="s">
        <v>162</v>
      </c>
      <c r="AD332" s="220" t="s">
        <v>162</v>
      </c>
      <c r="AE332" s="220" t="s">
        <v>162</v>
      </c>
      <c r="AF332" s="220" t="s">
        <v>162</v>
      </c>
      <c r="AG332" s="220" t="s">
        <v>162</v>
      </c>
      <c r="AH332" s="220" t="s">
        <v>162</v>
      </c>
      <c r="AI332" s="220" t="s">
        <v>162</v>
      </c>
      <c r="AJ332" s="220" t="s">
        <v>162</v>
      </c>
      <c r="AK332" s="220" t="s">
        <v>162</v>
      </c>
      <c r="AL332" s="220" t="s">
        <v>162</v>
      </c>
      <c r="AM332" s="220" t="s">
        <v>162</v>
      </c>
      <c r="AN332" s="220" t="s">
        <v>162</v>
      </c>
      <c r="AO332" s="220" t="s">
        <v>162</v>
      </c>
      <c r="AP332" s="220" t="s">
        <v>162</v>
      </c>
      <c r="AQ332" s="220" t="s">
        <v>162</v>
      </c>
      <c r="AR332" s="220" t="s">
        <v>162</v>
      </c>
      <c r="AS332" s="220" t="s">
        <v>162</v>
      </c>
      <c r="AT332" s="220" t="s">
        <v>162</v>
      </c>
      <c r="AU332" s="220" t="s">
        <v>162</v>
      </c>
      <c r="AV332" s="220" t="s">
        <v>162</v>
      </c>
      <c r="AW332" s="259"/>
    </row>
    <row r="333">
      <c r="A333" s="122"/>
      <c r="B333" s="123"/>
      <c r="C333" s="450"/>
      <c r="D333" s="450"/>
      <c r="E333" s="257" t="s">
        <v>460</v>
      </c>
      <c r="F333" s="213" t="s">
        <v>72</v>
      </c>
      <c r="G333" s="214" t="s">
        <v>161</v>
      </c>
      <c r="H333" s="258">
        <f t="shared" si="128"/>
        <v>0.2226932304</v>
      </c>
      <c r="I333" s="220" t="s">
        <v>162</v>
      </c>
      <c r="J333" s="220" t="s">
        <v>162</v>
      </c>
      <c r="K333" s="220" t="s">
        <v>162</v>
      </c>
      <c r="L333" s="220" t="s">
        <v>162</v>
      </c>
      <c r="M333" s="220" t="s">
        <v>162</v>
      </c>
      <c r="N333" s="220" t="s">
        <v>162</v>
      </c>
      <c r="O333" s="220" t="s">
        <v>162</v>
      </c>
      <c r="P333" s="220" t="s">
        <v>162</v>
      </c>
      <c r="Q333" s="220" t="s">
        <v>162</v>
      </c>
      <c r="R333" s="220" t="s">
        <v>162</v>
      </c>
      <c r="S333" s="220" t="s">
        <v>162</v>
      </c>
      <c r="T333" s="220" t="s">
        <v>162</v>
      </c>
      <c r="U333" s="220" t="s">
        <v>162</v>
      </c>
      <c r="V333" s="220" t="s">
        <v>162</v>
      </c>
      <c r="W333" s="220" t="s">
        <v>162</v>
      </c>
      <c r="X333" s="220" t="s">
        <v>162</v>
      </c>
      <c r="Y333" s="220" t="s">
        <v>162</v>
      </c>
      <c r="Z333" s="220" t="s">
        <v>162</v>
      </c>
      <c r="AA333" s="220" t="s">
        <v>162</v>
      </c>
      <c r="AB333" s="220" t="s">
        <v>162</v>
      </c>
      <c r="AC333" s="220" t="s">
        <v>162</v>
      </c>
      <c r="AD333" s="220" t="s">
        <v>162</v>
      </c>
      <c r="AE333" s="220" t="s">
        <v>162</v>
      </c>
      <c r="AF333" s="220" t="s">
        <v>162</v>
      </c>
      <c r="AG333" s="220" t="s">
        <v>162</v>
      </c>
      <c r="AH333" s="220" t="s">
        <v>162</v>
      </c>
      <c r="AI333" s="220" t="s">
        <v>162</v>
      </c>
      <c r="AJ333" s="220" t="s">
        <v>162</v>
      </c>
      <c r="AK333" s="220" t="s">
        <v>162</v>
      </c>
      <c r="AL333" s="220" t="s">
        <v>162</v>
      </c>
      <c r="AM333" s="220" t="s">
        <v>162</v>
      </c>
      <c r="AN333" s="220" t="s">
        <v>162</v>
      </c>
      <c r="AO333" s="220" t="s">
        <v>162</v>
      </c>
      <c r="AP333" s="220" t="s">
        <v>162</v>
      </c>
      <c r="AQ333" s="220" t="s">
        <v>162</v>
      </c>
      <c r="AR333" s="220" t="s">
        <v>162</v>
      </c>
      <c r="AS333" s="220" t="s">
        <v>162</v>
      </c>
      <c r="AT333" s="220" t="s">
        <v>162</v>
      </c>
      <c r="AU333" s="220" t="s">
        <v>162</v>
      </c>
      <c r="AV333" s="220" t="s">
        <v>162</v>
      </c>
      <c r="AW333" s="259"/>
    </row>
    <row r="334">
      <c r="A334" s="122"/>
      <c r="B334" s="123"/>
      <c r="C334" s="450"/>
      <c r="D334" s="450"/>
      <c r="E334" s="257" t="s">
        <v>461</v>
      </c>
      <c r="F334" s="213" t="s">
        <v>72</v>
      </c>
      <c r="G334" s="214" t="s">
        <v>161</v>
      </c>
      <c r="H334" s="258">
        <f t="shared" si="128"/>
        <v>0.1289991274</v>
      </c>
      <c r="I334" s="220" t="s">
        <v>162</v>
      </c>
      <c r="J334" s="220" t="s">
        <v>162</v>
      </c>
      <c r="K334" s="220" t="s">
        <v>162</v>
      </c>
      <c r="L334" s="220" t="s">
        <v>162</v>
      </c>
      <c r="M334" s="220" t="s">
        <v>162</v>
      </c>
      <c r="N334" s="220" t="s">
        <v>162</v>
      </c>
      <c r="O334" s="220" t="s">
        <v>162</v>
      </c>
      <c r="P334" s="220" t="s">
        <v>162</v>
      </c>
      <c r="Q334" s="220" t="s">
        <v>162</v>
      </c>
      <c r="R334" s="220" t="s">
        <v>162</v>
      </c>
      <c r="S334" s="220" t="s">
        <v>162</v>
      </c>
      <c r="T334" s="220" t="s">
        <v>162</v>
      </c>
      <c r="U334" s="220" t="s">
        <v>162</v>
      </c>
      <c r="V334" s="220" t="s">
        <v>162</v>
      </c>
      <c r="W334" s="220" t="s">
        <v>162</v>
      </c>
      <c r="X334" s="220" t="s">
        <v>162</v>
      </c>
      <c r="Y334" s="220" t="s">
        <v>162</v>
      </c>
      <c r="Z334" s="220" t="s">
        <v>162</v>
      </c>
      <c r="AA334" s="220" t="s">
        <v>162</v>
      </c>
      <c r="AB334" s="220" t="s">
        <v>162</v>
      </c>
      <c r="AC334" s="220" t="s">
        <v>162</v>
      </c>
      <c r="AD334" s="220" t="s">
        <v>162</v>
      </c>
      <c r="AE334" s="220" t="s">
        <v>162</v>
      </c>
      <c r="AF334" s="220" t="s">
        <v>162</v>
      </c>
      <c r="AG334" s="220" t="s">
        <v>162</v>
      </c>
      <c r="AH334" s="220" t="s">
        <v>162</v>
      </c>
      <c r="AI334" s="220" t="s">
        <v>162</v>
      </c>
      <c r="AJ334" s="220" t="s">
        <v>162</v>
      </c>
      <c r="AK334" s="220" t="s">
        <v>162</v>
      </c>
      <c r="AL334" s="220" t="s">
        <v>162</v>
      </c>
      <c r="AM334" s="220" t="s">
        <v>162</v>
      </c>
      <c r="AN334" s="220" t="s">
        <v>162</v>
      </c>
      <c r="AO334" s="220" t="s">
        <v>162</v>
      </c>
      <c r="AP334" s="220" t="s">
        <v>162</v>
      </c>
      <c r="AQ334" s="220" t="s">
        <v>162</v>
      </c>
      <c r="AR334" s="220" t="s">
        <v>162</v>
      </c>
      <c r="AS334" s="220" t="s">
        <v>162</v>
      </c>
      <c r="AT334" s="220" t="s">
        <v>162</v>
      </c>
      <c r="AU334" s="220" t="s">
        <v>162</v>
      </c>
      <c r="AV334" s="220" t="s">
        <v>162</v>
      </c>
      <c r="AW334" s="259"/>
    </row>
    <row r="335">
      <c r="A335" s="122"/>
      <c r="B335" s="123"/>
      <c r="C335" s="450"/>
      <c r="D335" s="450"/>
      <c r="E335" s="257" t="s">
        <v>462</v>
      </c>
      <c r="F335" s="213" t="s">
        <v>72</v>
      </c>
      <c r="G335" s="214" t="s">
        <v>161</v>
      </c>
      <c r="H335" s="258">
        <f t="shared" si="128"/>
        <v>0.1249254707</v>
      </c>
      <c r="I335" s="220" t="s">
        <v>162</v>
      </c>
      <c r="J335" s="220" t="s">
        <v>162</v>
      </c>
      <c r="K335" s="220" t="s">
        <v>162</v>
      </c>
      <c r="L335" s="220" t="s">
        <v>162</v>
      </c>
      <c r="M335" s="220" t="s">
        <v>162</v>
      </c>
      <c r="N335" s="220" t="s">
        <v>162</v>
      </c>
      <c r="O335" s="220" t="s">
        <v>162</v>
      </c>
      <c r="P335" s="220" t="s">
        <v>162</v>
      </c>
      <c r="Q335" s="220" t="s">
        <v>162</v>
      </c>
      <c r="R335" s="220" t="s">
        <v>162</v>
      </c>
      <c r="S335" s="220" t="s">
        <v>162</v>
      </c>
      <c r="T335" s="220" t="s">
        <v>162</v>
      </c>
      <c r="U335" s="220" t="s">
        <v>162</v>
      </c>
      <c r="V335" s="220" t="s">
        <v>162</v>
      </c>
      <c r="W335" s="220" t="s">
        <v>162</v>
      </c>
      <c r="X335" s="220" t="s">
        <v>162</v>
      </c>
      <c r="Y335" s="220" t="s">
        <v>162</v>
      </c>
      <c r="Z335" s="220" t="s">
        <v>162</v>
      </c>
      <c r="AA335" s="220" t="s">
        <v>162</v>
      </c>
      <c r="AB335" s="220" t="s">
        <v>162</v>
      </c>
      <c r="AC335" s="220" t="s">
        <v>162</v>
      </c>
      <c r="AD335" s="220" t="s">
        <v>162</v>
      </c>
      <c r="AE335" s="220" t="s">
        <v>162</v>
      </c>
      <c r="AF335" s="220" t="s">
        <v>162</v>
      </c>
      <c r="AG335" s="220" t="s">
        <v>162</v>
      </c>
      <c r="AH335" s="220" t="s">
        <v>162</v>
      </c>
      <c r="AI335" s="220" t="s">
        <v>162</v>
      </c>
      <c r="AJ335" s="220" t="s">
        <v>162</v>
      </c>
      <c r="AK335" s="220" t="s">
        <v>162</v>
      </c>
      <c r="AL335" s="220" t="s">
        <v>162</v>
      </c>
      <c r="AM335" s="220" t="s">
        <v>162</v>
      </c>
      <c r="AN335" s="220" t="s">
        <v>162</v>
      </c>
      <c r="AO335" s="220" t="s">
        <v>162</v>
      </c>
      <c r="AP335" s="220" t="s">
        <v>162</v>
      </c>
      <c r="AQ335" s="220" t="s">
        <v>162</v>
      </c>
      <c r="AR335" s="220" t="s">
        <v>162</v>
      </c>
      <c r="AS335" s="220" t="s">
        <v>162</v>
      </c>
      <c r="AT335" s="220" t="s">
        <v>162</v>
      </c>
      <c r="AU335" s="220" t="s">
        <v>162</v>
      </c>
      <c r="AV335" s="220" t="s">
        <v>162</v>
      </c>
      <c r="AW335" s="259"/>
    </row>
    <row r="336">
      <c r="A336" s="122"/>
      <c r="B336" s="123"/>
      <c r="C336" s="450"/>
      <c r="D336" s="450"/>
      <c r="E336" s="272" t="s">
        <v>463</v>
      </c>
      <c r="F336" s="200" t="s">
        <v>72</v>
      </c>
      <c r="G336" s="201" t="s">
        <v>161</v>
      </c>
      <c r="H336" s="498">
        <f t="shared" si="128"/>
        <v>0.2311556902</v>
      </c>
      <c r="I336" s="493" t="s">
        <v>162</v>
      </c>
      <c r="J336" s="493" t="s">
        <v>162</v>
      </c>
      <c r="K336" s="493" t="s">
        <v>162</v>
      </c>
      <c r="L336" s="493" t="s">
        <v>162</v>
      </c>
      <c r="M336" s="493" t="s">
        <v>162</v>
      </c>
      <c r="N336" s="493" t="s">
        <v>162</v>
      </c>
      <c r="O336" s="493" t="s">
        <v>162</v>
      </c>
      <c r="P336" s="493" t="s">
        <v>162</v>
      </c>
      <c r="Q336" s="493" t="s">
        <v>162</v>
      </c>
      <c r="R336" s="493" t="s">
        <v>162</v>
      </c>
      <c r="S336" s="493" t="s">
        <v>162</v>
      </c>
      <c r="T336" s="493" t="s">
        <v>162</v>
      </c>
      <c r="U336" s="493" t="s">
        <v>162</v>
      </c>
      <c r="V336" s="493" t="s">
        <v>162</v>
      </c>
      <c r="W336" s="493" t="s">
        <v>162</v>
      </c>
      <c r="X336" s="493" t="s">
        <v>162</v>
      </c>
      <c r="Y336" s="493" t="s">
        <v>162</v>
      </c>
      <c r="Z336" s="493" t="s">
        <v>162</v>
      </c>
      <c r="AA336" s="493" t="s">
        <v>162</v>
      </c>
      <c r="AB336" s="493" t="s">
        <v>162</v>
      </c>
      <c r="AC336" s="493" t="s">
        <v>162</v>
      </c>
      <c r="AD336" s="493" t="s">
        <v>162</v>
      </c>
      <c r="AE336" s="493" t="s">
        <v>162</v>
      </c>
      <c r="AF336" s="493" t="s">
        <v>162</v>
      </c>
      <c r="AG336" s="493" t="s">
        <v>162</v>
      </c>
      <c r="AH336" s="493" t="s">
        <v>162</v>
      </c>
      <c r="AI336" s="493" t="s">
        <v>162</v>
      </c>
      <c r="AJ336" s="493" t="s">
        <v>162</v>
      </c>
      <c r="AK336" s="493" t="s">
        <v>162</v>
      </c>
      <c r="AL336" s="493" t="s">
        <v>162</v>
      </c>
      <c r="AM336" s="493" t="s">
        <v>162</v>
      </c>
      <c r="AN336" s="493" t="s">
        <v>162</v>
      </c>
      <c r="AO336" s="493" t="s">
        <v>162</v>
      </c>
      <c r="AP336" s="493" t="s">
        <v>162</v>
      </c>
      <c r="AQ336" s="493" t="s">
        <v>162</v>
      </c>
      <c r="AR336" s="493" t="s">
        <v>162</v>
      </c>
      <c r="AS336" s="493" t="s">
        <v>162</v>
      </c>
      <c r="AT336" s="493" t="s">
        <v>162</v>
      </c>
      <c r="AU336" s="493" t="s">
        <v>162</v>
      </c>
      <c r="AV336" s="493" t="s">
        <v>162</v>
      </c>
      <c r="AW336" s="274"/>
    </row>
    <row r="337">
      <c r="A337" s="122"/>
      <c r="B337" s="123"/>
      <c r="C337" s="450"/>
      <c r="D337" s="450"/>
      <c r="E337" s="269"/>
      <c r="F337" s="125"/>
      <c r="G337" s="132"/>
      <c r="H337" s="127"/>
      <c r="I337" s="128"/>
      <c r="J337" s="128"/>
      <c r="K337" s="128"/>
      <c r="L337" s="128"/>
      <c r="M337" s="128"/>
      <c r="N337" s="128"/>
      <c r="O337" s="128"/>
      <c r="P337" s="128"/>
      <c r="Q337" s="128"/>
      <c r="R337" s="128"/>
      <c r="S337" s="128"/>
      <c r="T337" s="317"/>
      <c r="U337" s="128"/>
      <c r="V337" s="128"/>
      <c r="W337" s="128"/>
      <c r="X337" s="128"/>
      <c r="Y337" s="128"/>
      <c r="Z337" s="128"/>
      <c r="AA337" s="128"/>
      <c r="AB337" s="128"/>
      <c r="AC337" s="128"/>
      <c r="AD337" s="128"/>
      <c r="AE337" s="128"/>
      <c r="AF337" s="128"/>
      <c r="AG337" s="128"/>
      <c r="AH337" s="128"/>
      <c r="AI337" s="128"/>
      <c r="AJ337" s="128"/>
      <c r="AK337" s="128"/>
      <c r="AL337" s="128"/>
      <c r="AM337" s="128"/>
      <c r="AN337" s="128"/>
      <c r="AO337" s="128"/>
      <c r="AP337" s="128"/>
      <c r="AQ337" s="128"/>
      <c r="AR337" s="128"/>
      <c r="AS337" s="128"/>
      <c r="AT337" s="128"/>
      <c r="AU337" s="128"/>
      <c r="AV337" s="128"/>
      <c r="AW337" s="130"/>
    </row>
    <row r="338">
      <c r="A338" s="122"/>
      <c r="B338" s="123"/>
      <c r="C338" s="450" t="s">
        <v>738</v>
      </c>
      <c r="F338" s="125"/>
      <c r="G338" s="132"/>
      <c r="H338" s="127"/>
      <c r="I338" s="128"/>
      <c r="J338" s="128"/>
      <c r="K338" s="128"/>
      <c r="L338" s="128"/>
      <c r="M338" s="128"/>
      <c r="N338" s="128"/>
      <c r="O338" s="128"/>
      <c r="P338" s="128"/>
      <c r="Q338" s="128"/>
      <c r="R338" s="128"/>
      <c r="S338" s="128"/>
      <c r="T338" s="317"/>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30"/>
    </row>
    <row r="339">
      <c r="A339" s="122"/>
      <c r="B339" s="123"/>
      <c r="C339" s="131"/>
      <c r="D339" s="131"/>
      <c r="E339" s="254" t="s">
        <v>739</v>
      </c>
      <c r="F339" s="193" t="s">
        <v>72</v>
      </c>
      <c r="G339" s="194" t="s">
        <v>161</v>
      </c>
      <c r="H339" s="236" t="s">
        <v>162</v>
      </c>
      <c r="I339" s="237">
        <f t="shared" ref="I339:AV339" si="129">(I11/((I322*(1-$H331))+(1-I322)))</f>
        <v>0.04950003734</v>
      </c>
      <c r="J339" s="237">
        <f t="shared" si="129"/>
        <v>0.03034413668</v>
      </c>
      <c r="K339" s="237">
        <f t="shared" si="129"/>
        <v>0.05252704765</v>
      </c>
      <c r="L339" s="237">
        <f t="shared" si="129"/>
        <v>0.0175465841</v>
      </c>
      <c r="M339" s="237">
        <f t="shared" si="129"/>
        <v>0.02463199593</v>
      </c>
      <c r="N339" s="237">
        <f t="shared" si="129"/>
        <v>0.04323238843</v>
      </c>
      <c r="O339" s="237">
        <f t="shared" si="129"/>
        <v>0.05307067272</v>
      </c>
      <c r="P339" s="237">
        <f t="shared" si="129"/>
        <v>0.0560371145</v>
      </c>
      <c r="Q339" s="237">
        <f t="shared" si="129"/>
        <v>0.06546636165</v>
      </c>
      <c r="R339" s="237">
        <f t="shared" si="129"/>
        <v>0.01266506535</v>
      </c>
      <c r="S339" s="237">
        <f t="shared" si="129"/>
        <v>0.02311466219</v>
      </c>
      <c r="T339" s="237">
        <f t="shared" si="129"/>
        <v>0.01309287562</v>
      </c>
      <c r="U339" s="237">
        <f t="shared" si="129"/>
        <v>0.01239443956</v>
      </c>
      <c r="V339" s="237">
        <f t="shared" si="129"/>
        <v>0.01472198784</v>
      </c>
      <c r="W339" s="237">
        <f t="shared" si="129"/>
        <v>0.02110732646</v>
      </c>
      <c r="X339" s="237">
        <f t="shared" si="129"/>
        <v>0.0222499041</v>
      </c>
      <c r="Y339" s="237">
        <f t="shared" si="129"/>
        <v>0.01451863742</v>
      </c>
      <c r="Z339" s="237">
        <f t="shared" si="129"/>
        <v>0.0120015946</v>
      </c>
      <c r="AA339" s="237">
        <f t="shared" si="129"/>
        <v>0.01797729529</v>
      </c>
      <c r="AB339" s="237">
        <f t="shared" si="129"/>
        <v>0.0109731917</v>
      </c>
      <c r="AC339" s="237">
        <f t="shared" si="129"/>
        <v>0.01211691856</v>
      </c>
      <c r="AD339" s="237">
        <f t="shared" si="129"/>
        <v>0.01375240515</v>
      </c>
      <c r="AE339" s="237">
        <f t="shared" si="129"/>
        <v>0.009846179591</v>
      </c>
      <c r="AF339" s="237">
        <f t="shared" si="129"/>
        <v>0.01167320058</v>
      </c>
      <c r="AG339" s="237">
        <f t="shared" si="129"/>
        <v>0.0175465841</v>
      </c>
      <c r="AH339" s="237">
        <f t="shared" si="129"/>
        <v>0.0151650742</v>
      </c>
      <c r="AI339" s="237">
        <f t="shared" si="129"/>
        <v>0.01402451894</v>
      </c>
      <c r="AJ339" s="237">
        <f t="shared" si="129"/>
        <v>0.007432608769</v>
      </c>
      <c r="AK339" s="237">
        <f t="shared" si="129"/>
        <v>0.01547969897</v>
      </c>
      <c r="AL339" s="237">
        <f t="shared" si="129"/>
        <v>0.02491803862</v>
      </c>
      <c r="AM339" s="237">
        <f t="shared" si="129"/>
        <v>0.02491803862</v>
      </c>
      <c r="AN339" s="237">
        <f t="shared" si="129"/>
        <v>0.02491803862</v>
      </c>
      <c r="AO339" s="237">
        <f t="shared" si="129"/>
        <v>0.01593217999</v>
      </c>
      <c r="AP339" s="237">
        <f t="shared" si="129"/>
        <v>0.01421827781</v>
      </c>
      <c r="AQ339" s="237">
        <f t="shared" si="129"/>
        <v>0.01164760661</v>
      </c>
      <c r="AR339" s="237">
        <f t="shared" si="129"/>
        <v>0.008589985898</v>
      </c>
      <c r="AS339" s="237">
        <f t="shared" si="129"/>
        <v>0.01533366672</v>
      </c>
      <c r="AT339" s="237">
        <f t="shared" si="129"/>
        <v>0.01193044158</v>
      </c>
      <c r="AU339" s="237">
        <f t="shared" si="129"/>
        <v>0.02093576225</v>
      </c>
      <c r="AV339" s="237">
        <f t="shared" si="129"/>
        <v>0.04395894743</v>
      </c>
      <c r="AW339" s="256"/>
    </row>
    <row r="340">
      <c r="A340" s="122"/>
      <c r="B340" s="123"/>
      <c r="C340" s="131"/>
      <c r="D340" s="131"/>
      <c r="E340" s="254" t="s">
        <v>740</v>
      </c>
      <c r="F340" s="193" t="s">
        <v>72</v>
      </c>
      <c r="G340" s="194" t="s">
        <v>161</v>
      </c>
      <c r="H340" s="236" t="s">
        <v>162</v>
      </c>
      <c r="I340" s="237">
        <f t="shared" ref="I340:AV340" si="130">(SUM(I23,I39,I55)/((I323*(1-$H332))+(1-I323)))</f>
        <v>0.0003768016943</v>
      </c>
      <c r="J340" s="237">
        <f t="shared" si="130"/>
        <v>0.0004153685922</v>
      </c>
      <c r="K340" s="237">
        <f t="shared" si="130"/>
        <v>0.000374520978</v>
      </c>
      <c r="L340" s="237">
        <f t="shared" si="130"/>
        <v>0.0002486495879</v>
      </c>
      <c r="M340" s="237">
        <f t="shared" si="130"/>
        <v>0.0002365207797</v>
      </c>
      <c r="N340" s="237">
        <f t="shared" si="130"/>
        <v>0.0003244712831</v>
      </c>
      <c r="O340" s="237">
        <f t="shared" si="130"/>
        <v>0.0005553829653</v>
      </c>
      <c r="P340" s="237">
        <f t="shared" si="130"/>
        <v>0.000671729965</v>
      </c>
      <c r="Q340" s="237">
        <f t="shared" si="130"/>
        <v>0.0006816576168</v>
      </c>
      <c r="R340" s="237">
        <f t="shared" si="130"/>
        <v>0.0001126194887</v>
      </c>
      <c r="S340" s="237">
        <f t="shared" si="130"/>
        <v>0.0002064702575</v>
      </c>
      <c r="T340" s="237">
        <f t="shared" si="130"/>
        <v>0.0001111039691</v>
      </c>
      <c r="U340" s="237">
        <f t="shared" si="130"/>
        <v>0.00008941133298</v>
      </c>
      <c r="V340" s="237">
        <f t="shared" si="130"/>
        <v>0.0001646434313</v>
      </c>
      <c r="W340" s="237">
        <f t="shared" si="130"/>
        <v>0.0001337805399</v>
      </c>
      <c r="X340" s="237">
        <f t="shared" si="130"/>
        <v>0.0001646207348</v>
      </c>
      <c r="Y340" s="237">
        <f t="shared" si="130"/>
        <v>0.0001152823298</v>
      </c>
      <c r="Z340" s="237">
        <f t="shared" si="130"/>
        <v>0.0001002831055</v>
      </c>
      <c r="AA340" s="237">
        <f t="shared" si="130"/>
        <v>0.0001547950897</v>
      </c>
      <c r="AB340" s="237">
        <f t="shared" si="130"/>
        <v>0.00009874098014</v>
      </c>
      <c r="AC340" s="237">
        <f t="shared" si="130"/>
        <v>0.0001007164696</v>
      </c>
      <c r="AD340" s="237">
        <f t="shared" si="130"/>
        <v>0.0001126880476</v>
      </c>
      <c r="AE340" s="237">
        <f t="shared" si="130"/>
        <v>0.00008175009684</v>
      </c>
      <c r="AF340" s="237">
        <f t="shared" si="130"/>
        <v>0.00009500883396</v>
      </c>
      <c r="AG340" s="237">
        <f t="shared" si="130"/>
        <v>0.0002486495879</v>
      </c>
      <c r="AH340" s="237">
        <f t="shared" si="130"/>
        <v>0.0001810367333</v>
      </c>
      <c r="AI340" s="237">
        <f t="shared" si="130"/>
        <v>0.0001361961271</v>
      </c>
      <c r="AJ340" s="237">
        <f t="shared" si="130"/>
        <v>0.00005409485111</v>
      </c>
      <c r="AK340" s="237">
        <f t="shared" si="130"/>
        <v>0.000139667069</v>
      </c>
      <c r="AL340" s="237">
        <f t="shared" si="130"/>
        <v>0.0002673083097</v>
      </c>
      <c r="AM340" s="237">
        <f t="shared" si="130"/>
        <v>0.0002673083097</v>
      </c>
      <c r="AN340" s="237">
        <f t="shared" si="130"/>
        <v>0.0002673083097</v>
      </c>
      <c r="AO340" s="237">
        <f t="shared" si="130"/>
        <v>0.0001498794776</v>
      </c>
      <c r="AP340" s="237">
        <f t="shared" si="130"/>
        <v>0.000115014299</v>
      </c>
      <c r="AQ340" s="237">
        <f t="shared" si="130"/>
        <v>0.00008770534215</v>
      </c>
      <c r="AR340" s="237">
        <f t="shared" si="130"/>
        <v>0.0001214946327</v>
      </c>
      <c r="AS340" s="237">
        <f t="shared" si="130"/>
        <v>0.0001124648493</v>
      </c>
      <c r="AT340" s="237">
        <f t="shared" si="130"/>
        <v>0.0001072390938</v>
      </c>
      <c r="AU340" s="237">
        <f t="shared" si="130"/>
        <v>0.0002324349547</v>
      </c>
      <c r="AV340" s="237">
        <f t="shared" si="130"/>
        <v>0.0003362986602</v>
      </c>
      <c r="AW340" s="256"/>
    </row>
    <row r="341">
      <c r="A341" s="122"/>
      <c r="B341" s="123"/>
      <c r="C341" s="131"/>
      <c r="D341" s="131"/>
      <c r="E341" s="254" t="s">
        <v>741</v>
      </c>
      <c r="F341" s="193" t="s">
        <v>72</v>
      </c>
      <c r="G341" s="194" t="s">
        <v>161</v>
      </c>
      <c r="H341" s="236" t="s">
        <v>162</v>
      </c>
      <c r="I341" s="237">
        <f t="shared" ref="I341:AV341" si="131">(SUM(I91,I124)/((I323*(1-$H333))+(1-I323)))</f>
        <v>0.0008001848578</v>
      </c>
      <c r="J341" s="237">
        <f t="shared" si="131"/>
        <v>0.000787021758</v>
      </c>
      <c r="K341" s="237">
        <f t="shared" si="131"/>
        <v>0.0008276732271</v>
      </c>
      <c r="L341" s="237">
        <f t="shared" si="131"/>
        <v>0.0005597729212</v>
      </c>
      <c r="M341" s="237">
        <f t="shared" si="131"/>
        <v>0.0006179852287</v>
      </c>
      <c r="N341" s="237">
        <f t="shared" si="131"/>
        <v>0.0007109904701</v>
      </c>
      <c r="O341" s="237">
        <f t="shared" si="131"/>
        <v>0.0008575145992</v>
      </c>
      <c r="P341" s="237">
        <f t="shared" si="131"/>
        <v>0.0008283505233</v>
      </c>
      <c r="Q341" s="237">
        <f t="shared" si="131"/>
        <v>0.001009880067</v>
      </c>
      <c r="R341" s="237">
        <f t="shared" si="131"/>
        <v>0.0005107993703</v>
      </c>
      <c r="S341" s="237">
        <f t="shared" si="131"/>
        <v>0.0007642631532</v>
      </c>
      <c r="T341" s="237">
        <f t="shared" si="131"/>
        <v>0.0005657892818</v>
      </c>
      <c r="U341" s="237">
        <f t="shared" si="131"/>
        <v>0.0005253354191</v>
      </c>
      <c r="V341" s="237">
        <f t="shared" si="131"/>
        <v>0.0006319005467</v>
      </c>
      <c r="W341" s="237">
        <f t="shared" si="131"/>
        <v>0.000706928194</v>
      </c>
      <c r="X341" s="237">
        <f t="shared" si="131"/>
        <v>0.0006405892303</v>
      </c>
      <c r="Y341" s="237">
        <f t="shared" si="131"/>
        <v>0.001013610848</v>
      </c>
      <c r="Z341" s="237">
        <f t="shared" si="131"/>
        <v>0.0005115160857</v>
      </c>
      <c r="AA341" s="237">
        <f t="shared" si="131"/>
        <v>0.000647363047</v>
      </c>
      <c r="AB341" s="237">
        <f t="shared" si="131"/>
        <v>0.0004640874662</v>
      </c>
      <c r="AC341" s="237">
        <f t="shared" si="131"/>
        <v>0.0005148662058</v>
      </c>
      <c r="AD341" s="237">
        <f t="shared" si="131"/>
        <v>0.0005564992886</v>
      </c>
      <c r="AE341" s="237">
        <f t="shared" si="131"/>
        <v>0.000370771076</v>
      </c>
      <c r="AF341" s="237">
        <f t="shared" si="131"/>
        <v>0.0004729215635</v>
      </c>
      <c r="AG341" s="237">
        <f t="shared" si="131"/>
        <v>0.0005597729212</v>
      </c>
      <c r="AH341" s="237">
        <f t="shared" si="131"/>
        <v>0.0006223531646</v>
      </c>
      <c r="AI341" s="237">
        <f t="shared" si="131"/>
        <v>0.0005503147203</v>
      </c>
      <c r="AJ341" s="237">
        <f t="shared" si="131"/>
        <v>0.0003744086726</v>
      </c>
      <c r="AK341" s="237">
        <f t="shared" si="131"/>
        <v>0.0005120101582</v>
      </c>
      <c r="AL341" s="237">
        <f t="shared" si="131"/>
        <v>0.0006782089077</v>
      </c>
      <c r="AM341" s="237">
        <f t="shared" si="131"/>
        <v>0.0006782089077</v>
      </c>
      <c r="AN341" s="237">
        <f t="shared" si="131"/>
        <v>0.0006782089077</v>
      </c>
      <c r="AO341" s="237">
        <f t="shared" si="131"/>
        <v>0.0005920385757</v>
      </c>
      <c r="AP341" s="237">
        <f t="shared" si="131"/>
        <v>0.0005836952867</v>
      </c>
      <c r="AQ341" s="237">
        <f t="shared" si="131"/>
        <v>0.0004752105739</v>
      </c>
      <c r="AR341" s="237">
        <f t="shared" si="131"/>
        <v>0.0004613799801</v>
      </c>
      <c r="AS341" s="237">
        <f t="shared" si="131"/>
        <v>0.0005174621225</v>
      </c>
      <c r="AT341" s="237">
        <f t="shared" si="131"/>
        <v>0.0005094833868</v>
      </c>
      <c r="AU341" s="237">
        <f t="shared" si="131"/>
        <v>0.00057608451</v>
      </c>
      <c r="AV341" s="237">
        <f t="shared" si="131"/>
        <v>0.0007590611234</v>
      </c>
      <c r="AW341" s="256"/>
    </row>
    <row r="342">
      <c r="A342" s="122"/>
      <c r="B342" s="123"/>
      <c r="C342" s="131"/>
      <c r="D342" s="131"/>
      <c r="E342" s="254" t="s">
        <v>742</v>
      </c>
      <c r="F342" s="193" t="s">
        <v>72</v>
      </c>
      <c r="G342" s="194" t="s">
        <v>161</v>
      </c>
      <c r="H342" s="236" t="s">
        <v>162</v>
      </c>
      <c r="I342" s="237">
        <f t="shared" ref="I342:AV342" si="132">(SUM(I97,I132)/((I324*(1-$H334))+(1-I324)))</f>
        <v>0.01079560695</v>
      </c>
      <c r="J342" s="237">
        <f t="shared" si="132"/>
        <v>0.01061397726</v>
      </c>
      <c r="K342" s="237">
        <f t="shared" si="132"/>
        <v>0.01113962343</v>
      </c>
      <c r="L342" s="237">
        <f t="shared" si="132"/>
        <v>0.007551031856</v>
      </c>
      <c r="M342" s="237">
        <f t="shared" si="132"/>
        <v>0.008340066523</v>
      </c>
      <c r="N342" s="237">
        <f t="shared" si="132"/>
        <v>0.009576359876</v>
      </c>
      <c r="O342" s="237">
        <f t="shared" si="132"/>
        <v>0.01151640918</v>
      </c>
      <c r="P342" s="237">
        <f t="shared" si="132"/>
        <v>0.01112983977</v>
      </c>
      <c r="Q342" s="237">
        <f t="shared" si="132"/>
        <v>0.01359158476</v>
      </c>
      <c r="R342" s="237">
        <f t="shared" si="132"/>
        <v>0.006925335102</v>
      </c>
      <c r="S342" s="237">
        <f t="shared" si="132"/>
        <v>0.01034806423</v>
      </c>
      <c r="T342" s="237">
        <f t="shared" si="132"/>
        <v>0.007668647629</v>
      </c>
      <c r="U342" s="237">
        <f t="shared" si="132"/>
        <v>0.007141527509</v>
      </c>
      <c r="V342" s="237">
        <f t="shared" si="132"/>
        <v>0.008555564475</v>
      </c>
      <c r="W342" s="237">
        <f t="shared" si="132"/>
        <v>0.009577019748</v>
      </c>
      <c r="X342" s="237">
        <f t="shared" si="132"/>
        <v>0.008666744232</v>
      </c>
      <c r="Y342" s="237">
        <f t="shared" si="132"/>
        <v>0.01388898435</v>
      </c>
      <c r="Z342" s="237">
        <f t="shared" si="132"/>
        <v>0.00693604061</v>
      </c>
      <c r="AA342" s="237">
        <f t="shared" si="132"/>
        <v>0.008761070016</v>
      </c>
      <c r="AB342" s="237">
        <f t="shared" si="132"/>
        <v>0.006286955468</v>
      </c>
      <c r="AC342" s="237">
        <f t="shared" si="132"/>
        <v>0.006982126829</v>
      </c>
      <c r="AD342" s="237">
        <f t="shared" si="132"/>
        <v>0.007539860841</v>
      </c>
      <c r="AE342" s="237">
        <f t="shared" si="132"/>
        <v>0.005019628989</v>
      </c>
      <c r="AF342" s="237">
        <f t="shared" si="132"/>
        <v>0.006413037722</v>
      </c>
      <c r="AG342" s="237">
        <f t="shared" si="132"/>
        <v>0.007551031856</v>
      </c>
      <c r="AH342" s="237">
        <f t="shared" si="132"/>
        <v>0.008452368353</v>
      </c>
      <c r="AI342" s="237">
        <f t="shared" si="132"/>
        <v>0.007464004764</v>
      </c>
      <c r="AJ342" s="237">
        <f t="shared" si="132"/>
        <v>0.005073195932</v>
      </c>
      <c r="AK342" s="237">
        <f t="shared" si="132"/>
        <v>0.006932862321</v>
      </c>
      <c r="AL342" s="237">
        <f t="shared" si="132"/>
        <v>0.009160659052</v>
      </c>
      <c r="AM342" s="237">
        <f t="shared" si="132"/>
        <v>0.009160659052</v>
      </c>
      <c r="AN342" s="237">
        <f t="shared" si="132"/>
        <v>0.009160659052</v>
      </c>
      <c r="AO342" s="237">
        <f t="shared" si="132"/>
        <v>0.008021471103</v>
      </c>
      <c r="AP342" s="237">
        <f t="shared" si="132"/>
        <v>0.00792805378</v>
      </c>
      <c r="AQ342" s="237">
        <f t="shared" si="132"/>
        <v>0.006443776273</v>
      </c>
      <c r="AR342" s="237">
        <f t="shared" si="132"/>
        <v>0.006254135677</v>
      </c>
      <c r="AS342" s="237">
        <f t="shared" si="132"/>
        <v>0.006997818664</v>
      </c>
      <c r="AT342" s="237">
        <f t="shared" si="132"/>
        <v>0.006903034448</v>
      </c>
      <c r="AU342" s="237">
        <f t="shared" si="132"/>
        <v>0.007766204959</v>
      </c>
      <c r="AV342" s="237">
        <f t="shared" si="132"/>
        <v>0.01020492827</v>
      </c>
      <c r="AW342" s="256"/>
    </row>
    <row r="343">
      <c r="A343" s="122"/>
      <c r="B343" s="123"/>
      <c r="C343" s="131"/>
      <c r="D343" s="131"/>
      <c r="E343" s="254" t="s">
        <v>743</v>
      </c>
      <c r="F343" s="213" t="s">
        <v>72</v>
      </c>
      <c r="G343" s="214" t="s">
        <v>161</v>
      </c>
      <c r="H343" s="240" t="s">
        <v>162</v>
      </c>
      <c r="I343" s="237">
        <f t="shared" ref="I343:AV343" si="133">(I157/((I325*(1-$H335))+(1-I325)))</f>
        <v>0.01484659428</v>
      </c>
      <c r="J343" s="237">
        <f t="shared" si="133"/>
        <v>0.01068574441</v>
      </c>
      <c r="K343" s="237">
        <f t="shared" si="133"/>
        <v>0.01032831871</v>
      </c>
      <c r="L343" s="237">
        <f t="shared" si="133"/>
        <v>0.003885448938</v>
      </c>
      <c r="M343" s="237">
        <f t="shared" si="133"/>
        <v>0.006133456336</v>
      </c>
      <c r="N343" s="237">
        <f t="shared" si="133"/>
        <v>0.0110666051</v>
      </c>
      <c r="O343" s="237">
        <f t="shared" si="133"/>
        <v>0.01448728465</v>
      </c>
      <c r="P343" s="237">
        <f t="shared" si="133"/>
        <v>0.01385831773</v>
      </c>
      <c r="Q343" s="237">
        <f t="shared" si="133"/>
        <v>0.01651258799</v>
      </c>
      <c r="R343" s="237">
        <f t="shared" si="133"/>
        <v>0.002321074549</v>
      </c>
      <c r="S343" s="237">
        <f t="shared" si="133"/>
        <v>0.00742256099</v>
      </c>
      <c r="T343" s="237">
        <f t="shared" si="133"/>
        <v>0.002817364075</v>
      </c>
      <c r="U343" s="237">
        <f t="shared" si="133"/>
        <v>0.001969139942</v>
      </c>
      <c r="V343" s="237">
        <f t="shared" si="133"/>
        <v>0.005607113642</v>
      </c>
      <c r="W343" s="237">
        <f t="shared" si="133"/>
        <v>0.007443833259</v>
      </c>
      <c r="X343" s="237">
        <f t="shared" si="133"/>
        <v>0.007854802471</v>
      </c>
      <c r="Y343" s="237">
        <f t="shared" si="133"/>
        <v>0.004568445221</v>
      </c>
      <c r="Z343" s="237">
        <f t="shared" si="133"/>
        <v>0.002318161523</v>
      </c>
      <c r="AA343" s="237">
        <f t="shared" si="133"/>
        <v>0.004979588682</v>
      </c>
      <c r="AB343" s="237">
        <f t="shared" si="133"/>
        <v>0.002000001623</v>
      </c>
      <c r="AC343" s="237">
        <f t="shared" si="133"/>
        <v>0.002458021237</v>
      </c>
      <c r="AD343" s="237">
        <f t="shared" si="133"/>
        <v>0.003050605458</v>
      </c>
      <c r="AE343" s="237">
        <f t="shared" si="133"/>
        <v>0.001497629386</v>
      </c>
      <c r="AF343" s="237">
        <f t="shared" si="133"/>
        <v>0.001800920755</v>
      </c>
      <c r="AG343" s="237">
        <f t="shared" si="133"/>
        <v>0.003885448938</v>
      </c>
      <c r="AH343" s="237">
        <f t="shared" si="133"/>
        <v>0.004001289816</v>
      </c>
      <c r="AI343" s="237">
        <f t="shared" si="133"/>
        <v>0.003329286775</v>
      </c>
      <c r="AJ343" s="237">
        <f t="shared" si="133"/>
        <v>0.00100025091</v>
      </c>
      <c r="AK343" s="237">
        <f t="shared" si="133"/>
        <v>0.004067589562</v>
      </c>
      <c r="AL343" s="237">
        <f t="shared" si="133"/>
        <v>0.007796181963</v>
      </c>
      <c r="AM343" s="237">
        <f t="shared" si="133"/>
        <v>0.007796181963</v>
      </c>
      <c r="AN343" s="237">
        <f t="shared" si="133"/>
        <v>0.007796181963</v>
      </c>
      <c r="AO343" s="237">
        <f t="shared" si="133"/>
        <v>0.002942687766</v>
      </c>
      <c r="AP343" s="237">
        <f t="shared" si="133"/>
        <v>0.003460849796</v>
      </c>
      <c r="AQ343" s="237">
        <f t="shared" si="133"/>
        <v>0.002117345959</v>
      </c>
      <c r="AR343" s="237">
        <f t="shared" si="133"/>
        <v>0.002905139038</v>
      </c>
      <c r="AS343" s="237">
        <f t="shared" si="133"/>
        <v>0.004752180733</v>
      </c>
      <c r="AT343" s="237">
        <f t="shared" si="133"/>
        <v>0.002110693762</v>
      </c>
      <c r="AU343" s="237">
        <f t="shared" si="133"/>
        <v>0.007566200054</v>
      </c>
      <c r="AV343" s="237">
        <f t="shared" si="133"/>
        <v>0.01238067405</v>
      </c>
      <c r="AW343" s="259"/>
    </row>
    <row r="344">
      <c r="A344" s="122"/>
      <c r="B344" s="123"/>
      <c r="C344" s="131"/>
      <c r="D344" s="131"/>
      <c r="E344" s="257" t="s">
        <v>744</v>
      </c>
      <c r="F344" s="213" t="s">
        <v>72</v>
      </c>
      <c r="G344" s="214" t="s">
        <v>161</v>
      </c>
      <c r="H344" s="240" t="s">
        <v>162</v>
      </c>
      <c r="I344" s="237">
        <f t="shared" ref="I344:AV344" si="134">(I165/((I326*(1-$H336))+(1-I326)))</f>
        <v>0.00001308548168</v>
      </c>
      <c r="J344" s="237">
        <f t="shared" si="134"/>
        <v>0.000007025106374</v>
      </c>
      <c r="K344" s="237">
        <f t="shared" si="134"/>
        <v>0.00001376540915</v>
      </c>
      <c r="L344" s="237">
        <f t="shared" si="134"/>
        <v>0.000005304505624</v>
      </c>
      <c r="M344" s="237">
        <f t="shared" si="134"/>
        <v>0.000005144187932</v>
      </c>
      <c r="N344" s="237">
        <f t="shared" si="134"/>
        <v>0.00001362787332</v>
      </c>
      <c r="O344" s="237">
        <f t="shared" si="134"/>
        <v>0.00001297917328</v>
      </c>
      <c r="P344" s="237">
        <f t="shared" si="134"/>
        <v>0.00001727246336</v>
      </c>
      <c r="Q344" s="237">
        <f t="shared" si="134"/>
        <v>0.00001797900853</v>
      </c>
      <c r="R344" s="237">
        <f t="shared" si="134"/>
        <v>0.000001301222145</v>
      </c>
      <c r="S344" s="237">
        <f t="shared" si="134"/>
        <v>0.000003698493049</v>
      </c>
      <c r="T344" s="237">
        <f t="shared" si="134"/>
        <v>0.000002102619204</v>
      </c>
      <c r="U344" s="237">
        <f t="shared" si="134"/>
        <v>0.000001512285266</v>
      </c>
      <c r="V344" s="237">
        <f t="shared" si="134"/>
        <v>0.000002912202682</v>
      </c>
      <c r="W344" s="237">
        <f t="shared" si="134"/>
        <v>0.000002567295409</v>
      </c>
      <c r="X344" s="237">
        <f t="shared" si="134"/>
        <v>0.000005414704652</v>
      </c>
      <c r="Y344" s="237">
        <f t="shared" si="134"/>
        <v>0.000002187614765</v>
      </c>
      <c r="Z344" s="237">
        <f t="shared" si="134"/>
        <v>0.000001900090443</v>
      </c>
      <c r="AA344" s="237">
        <f t="shared" si="134"/>
        <v>0.000002448960888</v>
      </c>
      <c r="AB344" s="237">
        <f t="shared" si="134"/>
        <v>0.000001516050936</v>
      </c>
      <c r="AC344" s="237">
        <f t="shared" si="134"/>
        <v>0.000001704844803</v>
      </c>
      <c r="AD344" s="237">
        <f t="shared" si="134"/>
        <v>0.000001322942913</v>
      </c>
      <c r="AE344" s="237">
        <f t="shared" si="134"/>
        <v>0.000001396769</v>
      </c>
      <c r="AF344" s="237">
        <f t="shared" si="134"/>
        <v>0.000001199361468</v>
      </c>
      <c r="AG344" s="237">
        <f t="shared" si="134"/>
        <v>0.000005304505624</v>
      </c>
      <c r="AH344" s="237">
        <f t="shared" si="134"/>
        <v>0.000002468816303</v>
      </c>
      <c r="AI344" s="237">
        <f t="shared" si="134"/>
        <v>0.000003143241581</v>
      </c>
      <c r="AJ344" s="237">
        <f t="shared" si="134"/>
        <v>0.000001100647154</v>
      </c>
      <c r="AK344" s="237">
        <f t="shared" si="134"/>
        <v>0.000003067079876</v>
      </c>
      <c r="AL344" s="237">
        <f t="shared" si="134"/>
        <v>0.000005169924029</v>
      </c>
      <c r="AM344" s="237">
        <f t="shared" si="134"/>
        <v>0.000005169924029</v>
      </c>
      <c r="AN344" s="237">
        <f t="shared" si="134"/>
        <v>0.000005169924029</v>
      </c>
      <c r="AO344" s="237">
        <f t="shared" si="134"/>
        <v>0.000002014464958</v>
      </c>
      <c r="AP344" s="237">
        <f t="shared" si="134"/>
        <v>0.000001694266948</v>
      </c>
      <c r="AQ344" s="237">
        <f t="shared" si="134"/>
        <v>0.000001221213015</v>
      </c>
      <c r="AR344" s="237">
        <f t="shared" si="134"/>
        <v>0.000001763344388</v>
      </c>
      <c r="AS344" s="237">
        <f t="shared" si="134"/>
        <v>0.000002588640241</v>
      </c>
      <c r="AT344" s="237">
        <f t="shared" si="134"/>
        <v>0.000001639905167</v>
      </c>
      <c r="AU344" s="237">
        <f t="shared" si="134"/>
        <v>0.000004939461697</v>
      </c>
      <c r="AV344" s="237">
        <f t="shared" si="134"/>
        <v>0.00001003461819</v>
      </c>
      <c r="AW344" s="259"/>
    </row>
    <row r="345">
      <c r="A345" s="122"/>
      <c r="B345" s="123"/>
      <c r="C345" s="131"/>
      <c r="D345" s="131"/>
      <c r="E345" s="272" t="s">
        <v>217</v>
      </c>
      <c r="F345" s="200" t="s">
        <v>72</v>
      </c>
      <c r="G345" s="201" t="s">
        <v>161</v>
      </c>
      <c r="H345" s="228" t="s">
        <v>162</v>
      </c>
      <c r="I345" s="590">
        <f t="shared" ref="I345:AV345" si="135">SUM(I339:I344)</f>
        <v>0.0763323106</v>
      </c>
      <c r="J345" s="590">
        <f t="shared" si="135"/>
        <v>0.0528532738</v>
      </c>
      <c r="K345" s="590">
        <f t="shared" si="135"/>
        <v>0.07521094941</v>
      </c>
      <c r="L345" s="590">
        <f t="shared" si="135"/>
        <v>0.02979679191</v>
      </c>
      <c r="M345" s="590">
        <f t="shared" si="135"/>
        <v>0.03996516899</v>
      </c>
      <c r="N345" s="590">
        <f t="shared" si="135"/>
        <v>0.06492444303</v>
      </c>
      <c r="O345" s="590">
        <f t="shared" si="135"/>
        <v>0.08050024328</v>
      </c>
      <c r="P345" s="590">
        <f t="shared" si="135"/>
        <v>0.08254262496</v>
      </c>
      <c r="Q345" s="590">
        <f t="shared" si="135"/>
        <v>0.09728005109</v>
      </c>
      <c r="R345" s="590">
        <f t="shared" si="135"/>
        <v>0.02253619508</v>
      </c>
      <c r="S345" s="590">
        <f t="shared" si="135"/>
        <v>0.04185971931</v>
      </c>
      <c r="T345" s="590">
        <f t="shared" si="135"/>
        <v>0.02425788319</v>
      </c>
      <c r="U345" s="590">
        <f t="shared" si="135"/>
        <v>0.02212136605</v>
      </c>
      <c r="V345" s="590">
        <f t="shared" si="135"/>
        <v>0.02968412214</v>
      </c>
      <c r="W345" s="590">
        <f t="shared" si="135"/>
        <v>0.0389714555</v>
      </c>
      <c r="X345" s="590">
        <f t="shared" si="135"/>
        <v>0.03958207548</v>
      </c>
      <c r="Y345" s="590">
        <f t="shared" si="135"/>
        <v>0.03410714778</v>
      </c>
      <c r="Z345" s="590">
        <f t="shared" si="135"/>
        <v>0.02186949601</v>
      </c>
      <c r="AA345" s="590">
        <f t="shared" si="135"/>
        <v>0.03252256109</v>
      </c>
      <c r="AB345" s="590">
        <f t="shared" si="135"/>
        <v>0.01982449329</v>
      </c>
      <c r="AC345" s="590">
        <f t="shared" si="135"/>
        <v>0.02217435415</v>
      </c>
      <c r="AD345" s="590">
        <f t="shared" si="135"/>
        <v>0.02501338173</v>
      </c>
      <c r="AE345" s="590">
        <f t="shared" si="135"/>
        <v>0.01681735591</v>
      </c>
      <c r="AF345" s="590">
        <f t="shared" si="135"/>
        <v>0.02045628882</v>
      </c>
      <c r="AG345" s="590">
        <f t="shared" si="135"/>
        <v>0.02979679191</v>
      </c>
      <c r="AH345" s="590">
        <f t="shared" si="135"/>
        <v>0.02842459108</v>
      </c>
      <c r="AI345" s="590">
        <f t="shared" si="135"/>
        <v>0.02550746457</v>
      </c>
      <c r="AJ345" s="590">
        <f t="shared" si="135"/>
        <v>0.01393565978</v>
      </c>
      <c r="AK345" s="590">
        <f t="shared" si="135"/>
        <v>0.02713489516</v>
      </c>
      <c r="AL345" s="590">
        <f t="shared" si="135"/>
        <v>0.04282556678</v>
      </c>
      <c r="AM345" s="590">
        <f t="shared" si="135"/>
        <v>0.04282556678</v>
      </c>
      <c r="AN345" s="590">
        <f t="shared" si="135"/>
        <v>0.04282556678</v>
      </c>
      <c r="AO345" s="590">
        <f t="shared" si="135"/>
        <v>0.02764027138</v>
      </c>
      <c r="AP345" s="590">
        <f t="shared" si="135"/>
        <v>0.02630758523</v>
      </c>
      <c r="AQ345" s="590">
        <f t="shared" si="135"/>
        <v>0.02077286598</v>
      </c>
      <c r="AR345" s="590">
        <f t="shared" si="135"/>
        <v>0.01833389857</v>
      </c>
      <c r="AS345" s="590">
        <f t="shared" si="135"/>
        <v>0.02771618172</v>
      </c>
      <c r="AT345" s="590">
        <f t="shared" si="135"/>
        <v>0.02156253218</v>
      </c>
      <c r="AU345" s="590">
        <f t="shared" si="135"/>
        <v>0.03708162619</v>
      </c>
      <c r="AV345" s="590">
        <f t="shared" si="135"/>
        <v>0.06764994415</v>
      </c>
      <c r="AW345" s="274"/>
    </row>
    <row r="346">
      <c r="A346" s="122"/>
      <c r="B346" s="123"/>
      <c r="C346" s="131"/>
      <c r="D346" s="131"/>
      <c r="E346" s="269"/>
      <c r="F346" s="141"/>
      <c r="G346" s="142"/>
      <c r="H346" s="127"/>
      <c r="I346" s="317"/>
      <c r="J346" s="317"/>
      <c r="K346" s="317"/>
      <c r="L346" s="317"/>
      <c r="M346" s="317"/>
      <c r="N346" s="317"/>
      <c r="O346" s="317"/>
      <c r="P346" s="317"/>
      <c r="Q346" s="317"/>
      <c r="R346" s="317"/>
      <c r="S346" s="317"/>
      <c r="T346" s="317"/>
      <c r="U346" s="317"/>
      <c r="V346" s="317"/>
      <c r="W346" s="317"/>
      <c r="X346" s="317"/>
      <c r="Y346" s="317"/>
      <c r="Z346" s="317"/>
      <c r="AA346" s="317"/>
      <c r="AB346" s="317"/>
      <c r="AC346" s="317"/>
      <c r="AD346" s="317"/>
      <c r="AE346" s="317"/>
      <c r="AF346" s="317"/>
      <c r="AG346" s="317"/>
      <c r="AH346" s="317"/>
      <c r="AI346" s="317"/>
      <c r="AJ346" s="317"/>
      <c r="AK346" s="317"/>
      <c r="AL346" s="317"/>
      <c r="AM346" s="317"/>
      <c r="AN346" s="317"/>
      <c r="AO346" s="317"/>
      <c r="AP346" s="317"/>
      <c r="AQ346" s="317"/>
      <c r="AR346" s="317"/>
      <c r="AS346" s="317"/>
      <c r="AT346" s="317"/>
      <c r="AU346" s="317"/>
      <c r="AV346" s="317"/>
      <c r="AW346" s="130"/>
    </row>
    <row r="347">
      <c r="A347" s="122"/>
      <c r="B347" s="123"/>
      <c r="C347" s="450" t="s">
        <v>464</v>
      </c>
      <c r="F347" s="141"/>
      <c r="G347" s="142"/>
      <c r="H347" s="127"/>
      <c r="I347" s="317"/>
      <c r="J347" s="317"/>
      <c r="K347" s="317"/>
      <c r="L347" s="317"/>
      <c r="M347" s="317"/>
      <c r="N347" s="317"/>
      <c r="O347" s="317"/>
      <c r="P347" s="317"/>
      <c r="Q347" s="317"/>
      <c r="R347" s="317"/>
      <c r="S347" s="317"/>
      <c r="T347" s="317"/>
      <c r="U347" s="317"/>
      <c r="V347" s="317"/>
      <c r="W347" s="317"/>
      <c r="X347" s="317"/>
      <c r="Y347" s="317"/>
      <c r="Z347" s="317"/>
      <c r="AA347" s="317"/>
      <c r="AB347" s="317"/>
      <c r="AC347" s="317"/>
      <c r="AD347" s="317"/>
      <c r="AE347" s="317"/>
      <c r="AF347" s="317"/>
      <c r="AG347" s="317"/>
      <c r="AH347" s="317"/>
      <c r="AI347" s="317"/>
      <c r="AJ347" s="317"/>
      <c r="AK347" s="317"/>
      <c r="AL347" s="317"/>
      <c r="AM347" s="317"/>
      <c r="AN347" s="317"/>
      <c r="AO347" s="317"/>
      <c r="AP347" s="317"/>
      <c r="AQ347" s="317"/>
      <c r="AR347" s="317"/>
      <c r="AS347" s="317"/>
      <c r="AT347" s="317"/>
      <c r="AU347" s="317"/>
      <c r="AV347" s="317"/>
      <c r="AW347" s="130"/>
    </row>
    <row r="348">
      <c r="A348" s="122"/>
      <c r="B348" s="123"/>
      <c r="C348" s="131"/>
      <c r="D348" s="131"/>
      <c r="E348" s="254" t="s">
        <v>465</v>
      </c>
      <c r="F348" s="193" t="s">
        <v>72</v>
      </c>
      <c r="G348" s="194" t="s">
        <v>161</v>
      </c>
      <c r="H348" s="236" t="s">
        <v>162</v>
      </c>
      <c r="I348" s="383">
        <f t="shared" ref="I348:AV348" si="136">I339/I$345</f>
        <v>0.6484807934</v>
      </c>
      <c r="J348" s="383">
        <f t="shared" si="136"/>
        <v>0.5741202861</v>
      </c>
      <c r="K348" s="383">
        <f t="shared" si="136"/>
        <v>0.6983962849</v>
      </c>
      <c r="L348" s="383">
        <f t="shared" si="136"/>
        <v>0.5888749418</v>
      </c>
      <c r="M348" s="383">
        <f t="shared" si="136"/>
        <v>0.616336589</v>
      </c>
      <c r="N348" s="383">
        <f t="shared" si="136"/>
        <v>0.6658877059</v>
      </c>
      <c r="O348" s="383">
        <f t="shared" si="136"/>
        <v>0.6592610227</v>
      </c>
      <c r="P348" s="383">
        <f t="shared" si="136"/>
        <v>0.6788869936</v>
      </c>
      <c r="Q348" s="383">
        <f t="shared" si="136"/>
        <v>0.6729680023</v>
      </c>
      <c r="R348" s="383">
        <f t="shared" si="136"/>
        <v>0.5619877403</v>
      </c>
      <c r="S348" s="383">
        <f t="shared" si="136"/>
        <v>0.5521934349</v>
      </c>
      <c r="T348" s="383">
        <f t="shared" si="136"/>
        <v>0.5397369389</v>
      </c>
      <c r="U348" s="383">
        <f t="shared" si="136"/>
        <v>0.5602926842</v>
      </c>
      <c r="V348" s="383">
        <f t="shared" si="136"/>
        <v>0.4959549679</v>
      </c>
      <c r="W348" s="383">
        <f t="shared" si="136"/>
        <v>0.5416099089</v>
      </c>
      <c r="X348" s="383">
        <f t="shared" si="136"/>
        <v>0.5621207033</v>
      </c>
      <c r="Y348" s="383">
        <f t="shared" si="136"/>
        <v>0.425677266</v>
      </c>
      <c r="Z348" s="383">
        <f t="shared" si="136"/>
        <v>0.5487824041</v>
      </c>
      <c r="AA348" s="383">
        <f t="shared" si="136"/>
        <v>0.5527638258</v>
      </c>
      <c r="AB348" s="383">
        <f t="shared" si="136"/>
        <v>0.5535168814</v>
      </c>
      <c r="AC348" s="383">
        <f t="shared" si="136"/>
        <v>0.5464383983</v>
      </c>
      <c r="AD348" s="383">
        <f t="shared" si="136"/>
        <v>0.549801914</v>
      </c>
      <c r="AE348" s="383">
        <f t="shared" si="136"/>
        <v>0.5854772679</v>
      </c>
      <c r="AF348" s="383">
        <f t="shared" si="136"/>
        <v>0.5706411699</v>
      </c>
      <c r="AG348" s="383">
        <f t="shared" si="136"/>
        <v>0.5888749418</v>
      </c>
      <c r="AH348" s="383">
        <f t="shared" si="136"/>
        <v>0.5335195203</v>
      </c>
      <c r="AI348" s="383">
        <f t="shared" si="136"/>
        <v>0.5498201871</v>
      </c>
      <c r="AJ348" s="383">
        <f t="shared" si="136"/>
        <v>0.533351767</v>
      </c>
      <c r="AK348" s="383">
        <f t="shared" si="136"/>
        <v>0.570472039</v>
      </c>
      <c r="AL348" s="383">
        <f t="shared" si="136"/>
        <v>0.5818495935</v>
      </c>
      <c r="AM348" s="383">
        <f t="shared" si="136"/>
        <v>0.5818495935</v>
      </c>
      <c r="AN348" s="383">
        <f t="shared" si="136"/>
        <v>0.5818495935</v>
      </c>
      <c r="AO348" s="383">
        <f t="shared" si="136"/>
        <v>0.5764118511</v>
      </c>
      <c r="AP348" s="383">
        <f t="shared" si="136"/>
        <v>0.540463052</v>
      </c>
      <c r="AQ348" s="383">
        <f t="shared" si="136"/>
        <v>0.5607125482</v>
      </c>
      <c r="AR348" s="383">
        <f t="shared" si="136"/>
        <v>0.46853024</v>
      </c>
      <c r="AS348" s="383">
        <f t="shared" si="136"/>
        <v>0.5532387855</v>
      </c>
      <c r="AT348" s="383">
        <f t="shared" si="136"/>
        <v>0.5532950158</v>
      </c>
      <c r="AU348" s="383">
        <f t="shared" si="136"/>
        <v>0.5645858718</v>
      </c>
      <c r="AV348" s="383">
        <f t="shared" si="136"/>
        <v>0.6498002029</v>
      </c>
      <c r="AW348" s="256"/>
    </row>
    <row r="349">
      <c r="A349" s="122"/>
      <c r="B349" s="123"/>
      <c r="C349" s="131"/>
      <c r="D349" s="131"/>
      <c r="E349" s="257" t="s">
        <v>466</v>
      </c>
      <c r="F349" s="213" t="s">
        <v>72</v>
      </c>
      <c r="G349" s="214" t="s">
        <v>161</v>
      </c>
      <c r="H349" s="240" t="s">
        <v>162</v>
      </c>
      <c r="I349" s="241">
        <f t="shared" ref="I349:AV349" si="137">I340/I$345</f>
        <v>0.004936332876</v>
      </c>
      <c r="J349" s="241">
        <f t="shared" si="137"/>
        <v>0.007858899977</v>
      </c>
      <c r="K349" s="241">
        <f t="shared" si="137"/>
        <v>0.004979607105</v>
      </c>
      <c r="L349" s="241">
        <f t="shared" si="137"/>
        <v>0.008344844257</v>
      </c>
      <c r="M349" s="241">
        <f t="shared" si="137"/>
        <v>0.005918172892</v>
      </c>
      <c r="N349" s="241">
        <f t="shared" si="137"/>
        <v>0.004997675266</v>
      </c>
      <c r="O349" s="241">
        <f t="shared" si="137"/>
        <v>0.006899146421</v>
      </c>
      <c r="P349" s="241">
        <f t="shared" si="137"/>
        <v>0.008137976777</v>
      </c>
      <c r="Q349" s="241">
        <f t="shared" si="137"/>
        <v>0.007007167545</v>
      </c>
      <c r="R349" s="241">
        <f t="shared" si="137"/>
        <v>0.004997271646</v>
      </c>
      <c r="S349" s="241">
        <f t="shared" si="137"/>
        <v>0.00493243292</v>
      </c>
      <c r="T349" s="241">
        <f t="shared" si="137"/>
        <v>0.004580118068</v>
      </c>
      <c r="U349" s="241">
        <f t="shared" si="137"/>
        <v>0.00404185405</v>
      </c>
      <c r="V349" s="241">
        <f t="shared" si="137"/>
        <v>0.005546515087</v>
      </c>
      <c r="W349" s="241">
        <f t="shared" si="137"/>
        <v>0.003432782744</v>
      </c>
      <c r="X349" s="241">
        <f t="shared" si="137"/>
        <v>0.004158971778</v>
      </c>
      <c r="Y349" s="241">
        <f t="shared" si="137"/>
        <v>0.003380004992</v>
      </c>
      <c r="Z349" s="241">
        <f t="shared" si="137"/>
        <v>0.004585524303</v>
      </c>
      <c r="AA349" s="241">
        <f t="shared" si="137"/>
        <v>0.004759621768</v>
      </c>
      <c r="AB349" s="241">
        <f t="shared" si="137"/>
        <v>0.004980756819</v>
      </c>
      <c r="AC349" s="241">
        <f t="shared" si="137"/>
        <v>0.004542024941</v>
      </c>
      <c r="AD349" s="241">
        <f t="shared" si="137"/>
        <v>0.004505110458</v>
      </c>
      <c r="AE349" s="241">
        <f t="shared" si="137"/>
        <v>0.004861055286</v>
      </c>
      <c r="AF349" s="241">
        <f t="shared" si="137"/>
        <v>0.004644480472</v>
      </c>
      <c r="AG349" s="241">
        <f t="shared" si="137"/>
        <v>0.008344844257</v>
      </c>
      <c r="AH349" s="241">
        <f t="shared" si="137"/>
        <v>0.006369018036</v>
      </c>
      <c r="AI349" s="241">
        <f t="shared" si="137"/>
        <v>0.005339461582</v>
      </c>
      <c r="AJ349" s="241">
        <f t="shared" si="137"/>
        <v>0.003881757445</v>
      </c>
      <c r="AK349" s="241">
        <f t="shared" si="137"/>
        <v>0.0051471387</v>
      </c>
      <c r="AL349" s="241">
        <f t="shared" si="137"/>
        <v>0.006241792692</v>
      </c>
      <c r="AM349" s="241">
        <f t="shared" si="137"/>
        <v>0.006241792692</v>
      </c>
      <c r="AN349" s="241">
        <f t="shared" si="137"/>
        <v>0.006241792692</v>
      </c>
      <c r="AO349" s="241">
        <f t="shared" si="137"/>
        <v>0.005422503838</v>
      </c>
      <c r="AP349" s="241">
        <f t="shared" si="137"/>
        <v>0.004371906354</v>
      </c>
      <c r="AQ349" s="241">
        <f t="shared" si="137"/>
        <v>0.004222110818</v>
      </c>
      <c r="AR349" s="241">
        <f t="shared" si="137"/>
        <v>0.006626775656</v>
      </c>
      <c r="AS349" s="241">
        <f t="shared" si="137"/>
        <v>0.004057732424</v>
      </c>
      <c r="AT349" s="241">
        <f t="shared" si="137"/>
        <v>0.004973399825</v>
      </c>
      <c r="AU349" s="241">
        <f t="shared" si="137"/>
        <v>0.006268197448</v>
      </c>
      <c r="AV349" s="241">
        <f t="shared" si="137"/>
        <v>0.004971159466</v>
      </c>
      <c r="AW349" s="259"/>
    </row>
    <row r="350">
      <c r="A350" s="122"/>
      <c r="B350" s="123"/>
      <c r="C350" s="131"/>
      <c r="D350" s="131"/>
      <c r="E350" s="257" t="s">
        <v>467</v>
      </c>
      <c r="F350" s="213" t="s">
        <v>72</v>
      </c>
      <c r="G350" s="214" t="s">
        <v>161</v>
      </c>
      <c r="H350" s="240" t="s">
        <v>162</v>
      </c>
      <c r="I350" s="241">
        <f t="shared" ref="I350:AV350" si="138">I341/I$345</f>
        <v>0.01048291152</v>
      </c>
      <c r="J350" s="241">
        <f t="shared" si="138"/>
        <v>0.0148906908</v>
      </c>
      <c r="K350" s="241">
        <f t="shared" si="138"/>
        <v>0.01100469059</v>
      </c>
      <c r="L350" s="241">
        <f t="shared" si="138"/>
        <v>0.01878634864</v>
      </c>
      <c r="M350" s="241">
        <f t="shared" si="138"/>
        <v>0.0154630956</v>
      </c>
      <c r="N350" s="241">
        <f t="shared" si="138"/>
        <v>0.01095104458</v>
      </c>
      <c r="O350" s="241">
        <f t="shared" si="138"/>
        <v>0.01065232308</v>
      </c>
      <c r="P350" s="241">
        <f t="shared" si="138"/>
        <v>0.01003542744</v>
      </c>
      <c r="Q350" s="241">
        <f t="shared" si="138"/>
        <v>0.010381163</v>
      </c>
      <c r="R350" s="241">
        <f t="shared" si="138"/>
        <v>0.02266573254</v>
      </c>
      <c r="S350" s="241">
        <f t="shared" si="138"/>
        <v>0.01825772284</v>
      </c>
      <c r="T350" s="241">
        <f t="shared" si="138"/>
        <v>0.02332393463</v>
      </c>
      <c r="U350" s="241">
        <f t="shared" si="138"/>
        <v>0.02374787424</v>
      </c>
      <c r="V350" s="241">
        <f t="shared" si="138"/>
        <v>0.02128749315</v>
      </c>
      <c r="W350" s="241">
        <f t="shared" si="138"/>
        <v>0.01813964054</v>
      </c>
      <c r="X350" s="241">
        <f t="shared" si="138"/>
        <v>0.01618382115</v>
      </c>
      <c r="Y350" s="241">
        <f t="shared" si="138"/>
        <v>0.02971842894</v>
      </c>
      <c r="Z350" s="241">
        <f t="shared" si="138"/>
        <v>0.02338947753</v>
      </c>
      <c r="AA350" s="241">
        <f t="shared" si="138"/>
        <v>0.01990504515</v>
      </c>
      <c r="AB350" s="241">
        <f t="shared" si="138"/>
        <v>0.02340980218</v>
      </c>
      <c r="AC350" s="241">
        <f t="shared" si="138"/>
        <v>0.02321899444</v>
      </c>
      <c r="AD350" s="241">
        <f t="shared" si="138"/>
        <v>0.02224806284</v>
      </c>
      <c r="AE350" s="241">
        <f t="shared" si="138"/>
        <v>0.02204693044</v>
      </c>
      <c r="AF350" s="241">
        <f t="shared" si="138"/>
        <v>0.02311863934</v>
      </c>
      <c r="AG350" s="241">
        <f t="shared" si="138"/>
        <v>0.01878634864</v>
      </c>
      <c r="AH350" s="241">
        <f t="shared" si="138"/>
        <v>0.02189488541</v>
      </c>
      <c r="AI350" s="241">
        <f t="shared" si="138"/>
        <v>0.02157465391</v>
      </c>
      <c r="AJ350" s="241">
        <f t="shared" si="138"/>
        <v>0.02686694986</v>
      </c>
      <c r="AK350" s="241">
        <f t="shared" si="138"/>
        <v>0.01886906712</v>
      </c>
      <c r="AL350" s="241">
        <f t="shared" si="138"/>
        <v>0.01583654248</v>
      </c>
      <c r="AM350" s="241">
        <f t="shared" si="138"/>
        <v>0.01583654248</v>
      </c>
      <c r="AN350" s="241">
        <f t="shared" si="138"/>
        <v>0.01583654248</v>
      </c>
      <c r="AO350" s="241">
        <f t="shared" si="138"/>
        <v>0.02141941979</v>
      </c>
      <c r="AP350" s="241">
        <f t="shared" si="138"/>
        <v>0.02218733805</v>
      </c>
      <c r="AQ350" s="241">
        <f t="shared" si="138"/>
        <v>0.02287650507</v>
      </c>
      <c r="AR350" s="241">
        <f t="shared" si="138"/>
        <v>0.02516540486</v>
      </c>
      <c r="AS350" s="241">
        <f t="shared" si="138"/>
        <v>0.01867003643</v>
      </c>
      <c r="AT350" s="241">
        <f t="shared" si="138"/>
        <v>0.02362817978</v>
      </c>
      <c r="AU350" s="241">
        <f t="shared" si="138"/>
        <v>0.01553557838</v>
      </c>
      <c r="AV350" s="241">
        <f t="shared" si="138"/>
        <v>0.01122042498</v>
      </c>
      <c r="AW350" s="259"/>
    </row>
    <row r="351">
      <c r="A351" s="122"/>
      <c r="B351" s="123"/>
      <c r="C351" s="131"/>
      <c r="D351" s="131"/>
      <c r="E351" s="257" t="s">
        <v>468</v>
      </c>
      <c r="F351" s="213" t="s">
        <v>72</v>
      </c>
      <c r="G351" s="214" t="s">
        <v>161</v>
      </c>
      <c r="H351" s="240" t="s">
        <v>162</v>
      </c>
      <c r="I351" s="241">
        <f t="shared" ref="I351:AV351" si="139">I342/I$345</f>
        <v>0.1414290602</v>
      </c>
      <c r="J351" s="241">
        <f t="shared" si="139"/>
        <v>0.2008196749</v>
      </c>
      <c r="K351" s="241">
        <f t="shared" si="139"/>
        <v>0.1481117247</v>
      </c>
      <c r="L351" s="241">
        <f t="shared" si="139"/>
        <v>0.2534176121</v>
      </c>
      <c r="M351" s="241">
        <f t="shared" si="139"/>
        <v>0.2086833794</v>
      </c>
      <c r="N351" s="241">
        <f t="shared" si="139"/>
        <v>0.1475000698</v>
      </c>
      <c r="O351" s="241">
        <f t="shared" si="139"/>
        <v>0.1430605512</v>
      </c>
      <c r="P351" s="241">
        <f t="shared" si="139"/>
        <v>0.1348374827</v>
      </c>
      <c r="Q351" s="241">
        <f t="shared" si="139"/>
        <v>0.1397160529</v>
      </c>
      <c r="R351" s="241">
        <f t="shared" si="139"/>
        <v>0.3072983295</v>
      </c>
      <c r="S351" s="241">
        <f t="shared" si="139"/>
        <v>0.2472081609</v>
      </c>
      <c r="T351" s="241">
        <f t="shared" si="139"/>
        <v>0.3161301243</v>
      </c>
      <c r="U351" s="241">
        <f t="shared" si="139"/>
        <v>0.3228339286</v>
      </c>
      <c r="V351" s="241">
        <f t="shared" si="139"/>
        <v>0.2882202288</v>
      </c>
      <c r="W351" s="241">
        <f t="shared" si="139"/>
        <v>0.2457444718</v>
      </c>
      <c r="X351" s="241">
        <f t="shared" si="139"/>
        <v>0.2189562858</v>
      </c>
      <c r="Y351" s="241">
        <f t="shared" si="139"/>
        <v>0.4072162363</v>
      </c>
      <c r="Z351" s="241">
        <f t="shared" si="139"/>
        <v>0.3171559421</v>
      </c>
      <c r="AA351" s="241">
        <f t="shared" si="139"/>
        <v>0.2693843819</v>
      </c>
      <c r="AB351" s="241">
        <f t="shared" si="139"/>
        <v>0.3171307017</v>
      </c>
      <c r="AC351" s="241">
        <f t="shared" si="139"/>
        <v>0.3148739657</v>
      </c>
      <c r="AD351" s="241">
        <f t="shared" si="139"/>
        <v>0.3014330858</v>
      </c>
      <c r="AE351" s="241">
        <f t="shared" si="139"/>
        <v>0.2984790841</v>
      </c>
      <c r="AF351" s="241">
        <f t="shared" si="139"/>
        <v>0.3134995687</v>
      </c>
      <c r="AG351" s="241">
        <f t="shared" si="139"/>
        <v>0.2534176121</v>
      </c>
      <c r="AH351" s="241">
        <f t="shared" si="139"/>
        <v>0.297361124</v>
      </c>
      <c r="AI351" s="241">
        <f t="shared" si="139"/>
        <v>0.2926204109</v>
      </c>
      <c r="AJ351" s="241">
        <f t="shared" si="139"/>
        <v>0.3640441867</v>
      </c>
      <c r="AK351" s="241">
        <f t="shared" si="139"/>
        <v>0.2554961897</v>
      </c>
      <c r="AL351" s="241">
        <f t="shared" si="139"/>
        <v>0.2139063121</v>
      </c>
      <c r="AM351" s="241">
        <f t="shared" si="139"/>
        <v>0.2139063121</v>
      </c>
      <c r="AN351" s="241">
        <f t="shared" si="139"/>
        <v>0.2139063121</v>
      </c>
      <c r="AO351" s="241">
        <f t="shared" si="139"/>
        <v>0.2902095639</v>
      </c>
      <c r="AP351" s="241">
        <f t="shared" si="139"/>
        <v>0.301359996</v>
      </c>
      <c r="AQ351" s="241">
        <f t="shared" si="139"/>
        <v>0.3102016005</v>
      </c>
      <c r="AR351" s="241">
        <f t="shared" si="139"/>
        <v>0.3411241561</v>
      </c>
      <c r="AS351" s="241">
        <f t="shared" si="139"/>
        <v>0.2524813387</v>
      </c>
      <c r="AT351" s="241">
        <f t="shared" si="139"/>
        <v>0.3201402503</v>
      </c>
      <c r="AU351" s="241">
        <f t="shared" si="139"/>
        <v>0.2094353931</v>
      </c>
      <c r="AV351" s="241">
        <f t="shared" si="139"/>
        <v>0.1508490272</v>
      </c>
      <c r="AW351" s="259"/>
    </row>
    <row r="352">
      <c r="A352" s="122"/>
      <c r="B352" s="123"/>
      <c r="C352" s="131"/>
      <c r="D352" s="131"/>
      <c r="E352" s="257" t="s">
        <v>469</v>
      </c>
      <c r="F352" s="213" t="s">
        <v>72</v>
      </c>
      <c r="G352" s="214" t="s">
        <v>161</v>
      </c>
      <c r="H352" s="240" t="s">
        <v>162</v>
      </c>
      <c r="I352" s="241">
        <f t="shared" ref="I352:AV352" si="140">I343/I$345</f>
        <v>0.1944994742</v>
      </c>
      <c r="J352" s="241">
        <f t="shared" si="140"/>
        <v>0.2021775311</v>
      </c>
      <c r="K352" s="241">
        <f t="shared" si="140"/>
        <v>0.1373246687</v>
      </c>
      <c r="L352" s="241">
        <f t="shared" si="140"/>
        <v>0.1303982304</v>
      </c>
      <c r="M352" s="241">
        <f t="shared" si="140"/>
        <v>0.1534700463</v>
      </c>
      <c r="N352" s="241">
        <f t="shared" si="140"/>
        <v>0.1704536009</v>
      </c>
      <c r="O352" s="241">
        <f t="shared" si="140"/>
        <v>0.1799657251</v>
      </c>
      <c r="P352" s="241">
        <f t="shared" si="140"/>
        <v>0.1678928643</v>
      </c>
      <c r="Q352" s="241">
        <f t="shared" si="140"/>
        <v>0.1697427973</v>
      </c>
      <c r="R352" s="241">
        <f t="shared" si="140"/>
        <v>0.1029931868</v>
      </c>
      <c r="S352" s="241">
        <f t="shared" si="140"/>
        <v>0.177319894</v>
      </c>
      <c r="T352" s="241">
        <f t="shared" si="140"/>
        <v>0.1161422063</v>
      </c>
      <c r="U352" s="241">
        <f t="shared" si="140"/>
        <v>0.08901529575</v>
      </c>
      <c r="V352" s="241">
        <f t="shared" si="140"/>
        <v>0.1888926887</v>
      </c>
      <c r="W352" s="241">
        <f t="shared" si="140"/>
        <v>0.1910073197</v>
      </c>
      <c r="X352" s="241">
        <f t="shared" si="140"/>
        <v>0.1984434211</v>
      </c>
      <c r="Y352" s="241">
        <f t="shared" si="140"/>
        <v>0.1339439243</v>
      </c>
      <c r="Z352" s="241">
        <f t="shared" si="140"/>
        <v>0.1059997689</v>
      </c>
      <c r="AA352" s="241">
        <f t="shared" si="140"/>
        <v>0.153111825</v>
      </c>
      <c r="AB352" s="241">
        <f t="shared" si="140"/>
        <v>0.1008853842</v>
      </c>
      <c r="AC352" s="241">
        <f t="shared" si="140"/>
        <v>0.110849733</v>
      </c>
      <c r="AD352" s="241">
        <f t="shared" si="140"/>
        <v>0.1219589375</v>
      </c>
      <c r="AE352" s="241">
        <f t="shared" si="140"/>
        <v>0.089052607</v>
      </c>
      <c r="AF352" s="241">
        <f t="shared" si="140"/>
        <v>0.08803751117</v>
      </c>
      <c r="AG352" s="241">
        <f t="shared" si="140"/>
        <v>0.1303982304</v>
      </c>
      <c r="AH352" s="241">
        <f t="shared" si="140"/>
        <v>0.1407685973</v>
      </c>
      <c r="AI352" s="241">
        <f t="shared" si="140"/>
        <v>0.1305220582</v>
      </c>
      <c r="AJ352" s="241">
        <f t="shared" si="140"/>
        <v>0.0717763583</v>
      </c>
      <c r="AK352" s="241">
        <f t="shared" si="140"/>
        <v>0.1499025347</v>
      </c>
      <c r="AL352" s="241">
        <f t="shared" si="140"/>
        <v>0.1820450388</v>
      </c>
      <c r="AM352" s="241">
        <f t="shared" si="140"/>
        <v>0.1820450388</v>
      </c>
      <c r="AN352" s="241">
        <f t="shared" si="140"/>
        <v>0.1820450388</v>
      </c>
      <c r="AO352" s="241">
        <f t="shared" si="140"/>
        <v>0.1064637798</v>
      </c>
      <c r="AP352" s="241">
        <f t="shared" si="140"/>
        <v>0.1315533054</v>
      </c>
      <c r="AQ352" s="241">
        <f t="shared" si="140"/>
        <v>0.1019284465</v>
      </c>
      <c r="AR352" s="241">
        <f t="shared" si="140"/>
        <v>0.1584572439</v>
      </c>
      <c r="AS352" s="241">
        <f t="shared" si="140"/>
        <v>0.1714587088</v>
      </c>
      <c r="AT352" s="241">
        <f t="shared" si="140"/>
        <v>0.09788710087</v>
      </c>
      <c r="AU352" s="241">
        <f t="shared" si="140"/>
        <v>0.2040417541</v>
      </c>
      <c r="AV352" s="241">
        <f t="shared" si="140"/>
        <v>0.1830108539</v>
      </c>
      <c r="AW352" s="259"/>
    </row>
    <row r="353">
      <c r="A353" s="122"/>
      <c r="B353" s="123"/>
      <c r="C353" s="131"/>
      <c r="D353" s="131"/>
      <c r="E353" s="272" t="s">
        <v>470</v>
      </c>
      <c r="F353" s="200" t="s">
        <v>72</v>
      </c>
      <c r="G353" s="201" t="s">
        <v>161</v>
      </c>
      <c r="H353" s="228" t="s">
        <v>162</v>
      </c>
      <c r="I353" s="385">
        <f t="shared" ref="I353:AV353" si="141">I344/I$345</f>
        <v>0.000171427821</v>
      </c>
      <c r="J353" s="385">
        <f t="shared" si="141"/>
        <v>0.0001329171472</v>
      </c>
      <c r="K353" s="385">
        <f t="shared" si="141"/>
        <v>0.0001830240046</v>
      </c>
      <c r="L353" s="385">
        <f t="shared" si="141"/>
        <v>0.0001780227093</v>
      </c>
      <c r="M353" s="385">
        <f t="shared" si="141"/>
        <v>0.0001287167817</v>
      </c>
      <c r="N353" s="385">
        <f t="shared" si="141"/>
        <v>0.0002099035846</v>
      </c>
      <c r="O353" s="385">
        <f t="shared" si="141"/>
        <v>0.000161231479</v>
      </c>
      <c r="P353" s="385">
        <f t="shared" si="141"/>
        <v>0.0002092550772</v>
      </c>
      <c r="Q353" s="385">
        <f t="shared" si="141"/>
        <v>0.0001848170136</v>
      </c>
      <c r="R353" s="385">
        <f t="shared" si="141"/>
        <v>0.00005773921197</v>
      </c>
      <c r="S353" s="385">
        <f t="shared" si="141"/>
        <v>0.00008835446368</v>
      </c>
      <c r="T353" s="385">
        <f t="shared" si="141"/>
        <v>0.00008667776935</v>
      </c>
      <c r="U353" s="385">
        <f t="shared" si="141"/>
        <v>0.00006836310482</v>
      </c>
      <c r="V353" s="385">
        <f t="shared" si="141"/>
        <v>0.00009810641083</v>
      </c>
      <c r="W353" s="385">
        <f t="shared" si="141"/>
        <v>0.00006587630297</v>
      </c>
      <c r="X353" s="385">
        <f t="shared" si="141"/>
        <v>0.0001367968856</v>
      </c>
      <c r="Y353" s="385">
        <f t="shared" si="141"/>
        <v>0.00006413948122</v>
      </c>
      <c r="Z353" s="385">
        <f t="shared" si="141"/>
        <v>0.00008688313814</v>
      </c>
      <c r="AA353" s="385">
        <f t="shared" si="141"/>
        <v>0.00007530037016</v>
      </c>
      <c r="AB353" s="385">
        <f t="shared" si="141"/>
        <v>0.00007647362854</v>
      </c>
      <c r="AC353" s="385">
        <f t="shared" si="141"/>
        <v>0.00007688362834</v>
      </c>
      <c r="AD353" s="385">
        <f t="shared" si="141"/>
        <v>0.00005288940647</v>
      </c>
      <c r="AE353" s="385">
        <f t="shared" si="141"/>
        <v>0.00008305520839</v>
      </c>
      <c r="AF353" s="385">
        <f t="shared" si="141"/>
        <v>0.00005863045239</v>
      </c>
      <c r="AG353" s="385">
        <f t="shared" si="141"/>
        <v>0.0001780227093</v>
      </c>
      <c r="AH353" s="385">
        <f t="shared" si="141"/>
        <v>0.00008685494529</v>
      </c>
      <c r="AI353" s="385">
        <f t="shared" si="141"/>
        <v>0.0001232283033</v>
      </c>
      <c r="AJ353" s="385">
        <f t="shared" si="141"/>
        <v>0.0000789806275</v>
      </c>
      <c r="AK353" s="385">
        <f t="shared" si="141"/>
        <v>0.0001130308357</v>
      </c>
      <c r="AL353" s="385">
        <f t="shared" si="141"/>
        <v>0.0001207205046</v>
      </c>
      <c r="AM353" s="385">
        <f t="shared" si="141"/>
        <v>0.0001207205046</v>
      </c>
      <c r="AN353" s="385">
        <f t="shared" si="141"/>
        <v>0.0001207205046</v>
      </c>
      <c r="AO353" s="385">
        <f t="shared" si="141"/>
        <v>0.00007288151882</v>
      </c>
      <c r="AP353" s="385">
        <f t="shared" si="141"/>
        <v>0.00006440222214</v>
      </c>
      <c r="AQ353" s="385">
        <f t="shared" si="141"/>
        <v>0.00005878885543</v>
      </c>
      <c r="AR353" s="385">
        <f t="shared" si="141"/>
        <v>0.00009617945583</v>
      </c>
      <c r="AS353" s="385">
        <f t="shared" si="141"/>
        <v>0.00009339815514</v>
      </c>
      <c r="AT353" s="385">
        <f t="shared" si="141"/>
        <v>0.00007605345946</v>
      </c>
      <c r="AU353" s="385">
        <f t="shared" si="141"/>
        <v>0.0001332050992</v>
      </c>
      <c r="AV353" s="385">
        <f t="shared" si="141"/>
        <v>0.0001483315074</v>
      </c>
      <c r="AW353" s="274"/>
    </row>
    <row r="354">
      <c r="A354" s="122"/>
      <c r="B354" s="123"/>
      <c r="C354" s="131"/>
      <c r="D354" s="131"/>
      <c r="E354" s="269"/>
      <c r="F354" s="141"/>
      <c r="G354" s="448"/>
      <c r="H354" s="127"/>
      <c r="I354" s="317"/>
      <c r="J354" s="317"/>
      <c r="K354" s="317"/>
      <c r="L354" s="317"/>
      <c r="M354" s="317"/>
      <c r="N354" s="317"/>
      <c r="O354" s="317"/>
      <c r="P354" s="317"/>
      <c r="Q354" s="317"/>
      <c r="R354" s="317"/>
      <c r="S354" s="317"/>
      <c r="T354" s="317"/>
      <c r="U354" s="317"/>
      <c r="V354" s="317"/>
      <c r="W354" s="317"/>
      <c r="X354" s="317"/>
      <c r="Y354" s="317"/>
      <c r="Z354" s="317"/>
      <c r="AA354" s="317"/>
      <c r="AB354" s="317"/>
      <c r="AC354" s="317"/>
      <c r="AD354" s="317"/>
      <c r="AE354" s="317"/>
      <c r="AF354" s="317"/>
      <c r="AG354" s="317"/>
      <c r="AH354" s="317"/>
      <c r="AI354" s="317"/>
      <c r="AJ354" s="317"/>
      <c r="AK354" s="317"/>
      <c r="AL354" s="317"/>
      <c r="AM354" s="317"/>
      <c r="AN354" s="317"/>
      <c r="AO354" s="317"/>
      <c r="AP354" s="317"/>
      <c r="AQ354" s="317"/>
      <c r="AR354" s="317"/>
      <c r="AS354" s="317"/>
      <c r="AT354" s="317"/>
      <c r="AU354" s="317"/>
      <c r="AV354" s="317"/>
      <c r="AW354" s="130"/>
    </row>
    <row r="355">
      <c r="A355" s="117" t="s">
        <v>41</v>
      </c>
      <c r="B355" s="7"/>
      <c r="C355" s="7"/>
      <c r="D355" s="7"/>
      <c r="E355" s="7"/>
      <c r="F355" s="7"/>
      <c r="G355" s="7"/>
      <c r="H355" s="172"/>
      <c r="I355" s="232"/>
      <c r="J355" s="232"/>
      <c r="K355" s="232"/>
      <c r="L355" s="232"/>
      <c r="M355" s="232"/>
      <c r="N355" s="232"/>
      <c r="O355" s="232"/>
      <c r="P355" s="232"/>
      <c r="Q355" s="232"/>
      <c r="R355" s="232"/>
      <c r="S355" s="232"/>
      <c r="T355" s="232"/>
      <c r="U355" s="232"/>
      <c r="V355" s="232"/>
      <c r="W355" s="232"/>
      <c r="X355" s="232"/>
      <c r="Y355" s="232"/>
      <c r="Z355" s="232"/>
      <c r="AA355" s="232"/>
      <c r="AB355" s="232"/>
      <c r="AC355" s="232"/>
      <c r="AD355" s="232"/>
      <c r="AE355" s="232"/>
      <c r="AF355" s="232"/>
      <c r="AG355" s="232"/>
      <c r="AH355" s="232"/>
      <c r="AI355" s="232"/>
      <c r="AJ355" s="232"/>
      <c r="AK355" s="232"/>
      <c r="AL355" s="232"/>
      <c r="AM355" s="232"/>
      <c r="AN355" s="232"/>
      <c r="AO355" s="232"/>
      <c r="AP355" s="232"/>
      <c r="AQ355" s="232"/>
      <c r="AR355" s="232"/>
      <c r="AS355" s="232"/>
      <c r="AT355" s="232"/>
      <c r="AU355" s="232"/>
      <c r="AV355" s="232"/>
      <c r="AW355" s="175"/>
    </row>
    <row r="356">
      <c r="A356" s="123"/>
      <c r="B356" s="123"/>
      <c r="C356" s="131"/>
      <c r="D356" s="131"/>
      <c r="E356" s="269"/>
      <c r="F356" s="141"/>
      <c r="G356" s="448"/>
      <c r="H356" s="599"/>
      <c r="I356" s="600"/>
      <c r="J356" s="600"/>
      <c r="K356" s="600"/>
      <c r="L356" s="600"/>
      <c r="M356" s="600"/>
      <c r="N356" s="600"/>
      <c r="O356" s="600"/>
      <c r="P356" s="600"/>
      <c r="Q356" s="600"/>
      <c r="R356" s="600"/>
      <c r="S356" s="600"/>
      <c r="T356" s="226"/>
      <c r="U356" s="600"/>
      <c r="V356" s="600"/>
      <c r="W356" s="600"/>
      <c r="X356" s="600"/>
      <c r="Y356" s="600"/>
      <c r="Z356" s="600"/>
      <c r="AA356" s="600"/>
      <c r="AB356" s="600"/>
      <c r="AC356" s="600"/>
      <c r="AD356" s="600"/>
      <c r="AE356" s="600"/>
      <c r="AF356" s="600"/>
      <c r="AG356" s="600"/>
      <c r="AH356" s="600"/>
      <c r="AI356" s="600"/>
      <c r="AJ356" s="600"/>
      <c r="AK356" s="600"/>
      <c r="AL356" s="600"/>
      <c r="AM356" s="600"/>
      <c r="AN356" s="600"/>
      <c r="AO356" s="600"/>
      <c r="AP356" s="600"/>
      <c r="AQ356" s="600"/>
      <c r="AR356" s="600"/>
      <c r="AS356" s="600"/>
      <c r="AT356" s="600"/>
      <c r="AU356" s="600"/>
      <c r="AV356" s="600"/>
      <c r="AW356" s="130"/>
    </row>
    <row r="357">
      <c r="A357" s="122"/>
      <c r="B357" s="123"/>
      <c r="C357" s="447" t="s">
        <v>745</v>
      </c>
      <c r="F357" s="125"/>
      <c r="G357" s="126"/>
      <c r="H357" s="127"/>
      <c r="I357" s="128"/>
      <c r="J357" s="128"/>
      <c r="K357" s="128"/>
      <c r="L357" s="128"/>
      <c r="M357" s="128"/>
      <c r="N357" s="128"/>
      <c r="O357" s="128"/>
      <c r="P357" s="128"/>
      <c r="Q357" s="128"/>
      <c r="R357" s="128"/>
      <c r="S357" s="128"/>
      <c r="T357" s="128"/>
      <c r="U357" s="128"/>
      <c r="V357" s="128"/>
      <c r="W357" s="128"/>
      <c r="X357" s="128"/>
      <c r="Y357" s="128"/>
      <c r="Z357" s="128"/>
      <c r="AA357" s="128"/>
      <c r="AB357" s="128"/>
      <c r="AC357" s="128"/>
      <c r="AD357" s="128"/>
      <c r="AE357" s="128"/>
      <c r="AF357" s="128"/>
      <c r="AG357" s="128"/>
      <c r="AH357" s="128"/>
      <c r="AI357" s="128"/>
      <c r="AJ357" s="128"/>
      <c r="AK357" s="128"/>
      <c r="AL357" s="128"/>
      <c r="AM357" s="128"/>
      <c r="AN357" s="128"/>
      <c r="AO357" s="128"/>
      <c r="AP357" s="128"/>
      <c r="AQ357" s="128"/>
      <c r="AR357" s="128"/>
      <c r="AS357" s="128"/>
      <c r="AT357" s="128"/>
      <c r="AU357" s="128"/>
      <c r="AV357" s="128"/>
      <c r="AW357" s="130"/>
    </row>
    <row r="358">
      <c r="A358" s="123"/>
      <c r="B358" s="123"/>
      <c r="C358" s="131"/>
      <c r="D358" s="131"/>
      <c r="E358" s="254" t="s">
        <v>746</v>
      </c>
      <c r="F358" s="193" t="s">
        <v>72</v>
      </c>
      <c r="G358" s="483" t="s">
        <v>161</v>
      </c>
      <c r="H358" s="236" t="s">
        <v>162</v>
      </c>
      <c r="I358" s="237">
        <f t="shared" ref="I358:AV358" si="142">$H195*I203</f>
        <v>0.003008882205</v>
      </c>
      <c r="J358" s="237">
        <f t="shared" si="142"/>
        <v>0.001522807087</v>
      </c>
      <c r="K358" s="237">
        <f t="shared" si="142"/>
        <v>0.004041801948</v>
      </c>
      <c r="L358" s="237">
        <f t="shared" si="142"/>
        <v>0.0009416743861</v>
      </c>
      <c r="M358" s="237">
        <f t="shared" si="142"/>
        <v>0.001566823019</v>
      </c>
      <c r="N358" s="237">
        <f t="shared" si="142"/>
        <v>0.002373957863</v>
      </c>
      <c r="O358" s="237">
        <f t="shared" si="142"/>
        <v>0.002579392696</v>
      </c>
      <c r="P358" s="237">
        <f t="shared" si="142"/>
        <v>0.003468251344</v>
      </c>
      <c r="Q358" s="237">
        <f t="shared" si="142"/>
        <v>0.004974236973</v>
      </c>
      <c r="R358" s="237">
        <f t="shared" si="142"/>
        <v>0.0004191802883</v>
      </c>
      <c r="S358" s="237">
        <f t="shared" si="142"/>
        <v>0.001414742037</v>
      </c>
      <c r="T358" s="237">
        <f t="shared" si="142"/>
        <v>0.0002711072403</v>
      </c>
      <c r="U358" s="237">
        <f t="shared" si="142"/>
        <v>0.000272163436</v>
      </c>
      <c r="V358" s="237">
        <f t="shared" si="142"/>
        <v>0.0003707463749</v>
      </c>
      <c r="W358" s="237">
        <f t="shared" si="142"/>
        <v>0.0006262492706</v>
      </c>
      <c r="X358" s="237">
        <f t="shared" si="142"/>
        <v>0.0005116343371</v>
      </c>
      <c r="Y358" s="237">
        <f t="shared" si="142"/>
        <v>0.0003922238862</v>
      </c>
      <c r="Z358" s="237">
        <f t="shared" si="142"/>
        <v>0.0003968139135</v>
      </c>
      <c r="AA358" s="237">
        <f t="shared" si="142"/>
        <v>0.0006649076333</v>
      </c>
      <c r="AB358" s="237">
        <f t="shared" si="142"/>
        <v>0.0004112623984</v>
      </c>
      <c r="AC358" s="237">
        <f t="shared" si="142"/>
        <v>0.0004018754976</v>
      </c>
      <c r="AD358" s="237">
        <f t="shared" si="142"/>
        <v>0.0002370146062</v>
      </c>
      <c r="AE358" s="237">
        <f t="shared" si="142"/>
        <v>0.0003938204344</v>
      </c>
      <c r="AF358" s="237">
        <f t="shared" si="142"/>
        <v>0.0002419028305</v>
      </c>
      <c r="AG358" s="237">
        <f t="shared" si="142"/>
        <v>0.0009416743861</v>
      </c>
      <c r="AH358" s="237">
        <f t="shared" si="142"/>
        <v>0.0003068360654</v>
      </c>
      <c r="AI358" s="237">
        <f t="shared" si="142"/>
        <v>0.0001921103264</v>
      </c>
      <c r="AJ358" s="237">
        <f t="shared" si="142"/>
        <v>0.000162048372</v>
      </c>
      <c r="AK358" s="237">
        <f t="shared" si="142"/>
        <v>0.0005650261771</v>
      </c>
      <c r="AL358" s="237">
        <f t="shared" si="142"/>
        <v>0.0008694039691</v>
      </c>
      <c r="AM358" s="237">
        <f t="shared" si="142"/>
        <v>0.0008694039691</v>
      </c>
      <c r="AN358" s="237">
        <f t="shared" si="142"/>
        <v>0.0008694039691</v>
      </c>
      <c r="AO358" s="237">
        <f t="shared" si="142"/>
        <v>0.0002521836791</v>
      </c>
      <c r="AP358" s="237">
        <f t="shared" si="142"/>
        <v>0.0003108924143</v>
      </c>
      <c r="AQ358" s="237">
        <f t="shared" si="142"/>
        <v>0.0001681113414</v>
      </c>
      <c r="AR358" s="237">
        <f t="shared" si="142"/>
        <v>0.0001561210683</v>
      </c>
      <c r="AS358" s="237">
        <f t="shared" si="142"/>
        <v>0.0004575172175</v>
      </c>
      <c r="AT358" s="237">
        <f t="shared" si="142"/>
        <v>0.0003955476727</v>
      </c>
      <c r="AU358" s="237">
        <f t="shared" si="142"/>
        <v>0.001384962655</v>
      </c>
      <c r="AV358" s="237">
        <f t="shared" si="142"/>
        <v>0.001955847186</v>
      </c>
      <c r="AW358" s="256"/>
    </row>
    <row r="359">
      <c r="A359" s="123"/>
      <c r="B359" s="123"/>
      <c r="C359" s="131"/>
      <c r="D359" s="131"/>
      <c r="E359" s="257" t="s">
        <v>747</v>
      </c>
      <c r="F359" s="213" t="s">
        <v>72</v>
      </c>
      <c r="G359" s="485" t="s">
        <v>161</v>
      </c>
      <c r="H359" s="240" t="s">
        <v>162</v>
      </c>
      <c r="I359" s="260">
        <f t="shared" ref="I359:AV359" si="143">$H196*I204</f>
        <v>0.002902262542</v>
      </c>
      <c r="J359" s="260">
        <f t="shared" si="143"/>
        <v>0.002881532076</v>
      </c>
      <c r="K359" s="260">
        <f t="shared" si="143"/>
        <v>0.004403596866</v>
      </c>
      <c r="L359" s="260">
        <f t="shared" si="143"/>
        <v>0.002341821934</v>
      </c>
      <c r="M359" s="260">
        <f t="shared" si="143"/>
        <v>0.002289008261</v>
      </c>
      <c r="N359" s="260">
        <f t="shared" si="143"/>
        <v>0.003007364317</v>
      </c>
      <c r="O359" s="260">
        <f t="shared" si="143"/>
        <v>0.004280099911</v>
      </c>
      <c r="P359" s="260">
        <f t="shared" si="143"/>
        <v>0.003747300619</v>
      </c>
      <c r="Q359" s="260">
        <f t="shared" si="143"/>
        <v>0.005188131757</v>
      </c>
      <c r="R359" s="260">
        <f t="shared" si="143"/>
        <v>0.000891350768</v>
      </c>
      <c r="S359" s="260">
        <f t="shared" si="143"/>
        <v>0.002060574801</v>
      </c>
      <c r="T359" s="260">
        <f t="shared" si="143"/>
        <v>0.0008895997446</v>
      </c>
      <c r="U359" s="260">
        <f t="shared" si="143"/>
        <v>0.00103940514</v>
      </c>
      <c r="V359" s="260">
        <f t="shared" si="143"/>
        <v>0.001712016316</v>
      </c>
      <c r="W359" s="260">
        <f t="shared" si="143"/>
        <v>0.001332195131</v>
      </c>
      <c r="X359" s="260">
        <f t="shared" si="143"/>
        <v>0.001375510779</v>
      </c>
      <c r="Y359" s="260">
        <f t="shared" si="143"/>
        <v>0.001334532724</v>
      </c>
      <c r="Z359" s="260">
        <f t="shared" si="143"/>
        <v>0.001006482001</v>
      </c>
      <c r="AA359" s="260">
        <f t="shared" si="143"/>
        <v>0.001924692274</v>
      </c>
      <c r="AB359" s="260">
        <f t="shared" si="143"/>
        <v>0.001031567609</v>
      </c>
      <c r="AC359" s="260">
        <f t="shared" si="143"/>
        <v>0.0007356170856</v>
      </c>
      <c r="AD359" s="260">
        <f t="shared" si="143"/>
        <v>0.0009823610812</v>
      </c>
      <c r="AE359" s="260">
        <f t="shared" si="143"/>
        <v>0.0009427616083</v>
      </c>
      <c r="AF359" s="260">
        <f t="shared" si="143"/>
        <v>0.0006248149872</v>
      </c>
      <c r="AG359" s="260">
        <f t="shared" si="143"/>
        <v>0.002341821934</v>
      </c>
      <c r="AH359" s="260">
        <f t="shared" si="143"/>
        <v>0.002315136603</v>
      </c>
      <c r="AI359" s="260">
        <f t="shared" si="143"/>
        <v>0.0006746737658</v>
      </c>
      <c r="AJ359" s="260">
        <f t="shared" si="143"/>
        <v>0.0004800500578</v>
      </c>
      <c r="AK359" s="260">
        <f t="shared" si="143"/>
        <v>0.00136285594</v>
      </c>
      <c r="AL359" s="260">
        <f t="shared" si="143"/>
        <v>0.001748512018</v>
      </c>
      <c r="AM359" s="260">
        <f t="shared" si="143"/>
        <v>0.001748512018</v>
      </c>
      <c r="AN359" s="260">
        <f t="shared" si="143"/>
        <v>0.001748512018</v>
      </c>
      <c r="AO359" s="260">
        <f t="shared" si="143"/>
        <v>0.0007494767498</v>
      </c>
      <c r="AP359" s="260">
        <f t="shared" si="143"/>
        <v>0.0006191743231</v>
      </c>
      <c r="AQ359" s="260">
        <f t="shared" si="143"/>
        <v>0.0005344972806</v>
      </c>
      <c r="AR359" s="260">
        <f t="shared" si="143"/>
        <v>0.0007844914851</v>
      </c>
      <c r="AS359" s="260">
        <f t="shared" si="143"/>
        <v>0.0009136695117</v>
      </c>
      <c r="AT359" s="260">
        <f t="shared" si="143"/>
        <v>0.001003772107</v>
      </c>
      <c r="AU359" s="260">
        <f t="shared" si="143"/>
        <v>0.002353454249</v>
      </c>
      <c r="AV359" s="260">
        <f t="shared" si="143"/>
        <v>0.003521847158</v>
      </c>
      <c r="AW359" s="259"/>
    </row>
    <row r="360">
      <c r="A360" s="123"/>
      <c r="B360" s="123"/>
      <c r="C360" s="131"/>
      <c r="D360" s="131"/>
      <c r="E360" s="257" t="s">
        <v>748</v>
      </c>
      <c r="F360" s="213" t="s">
        <v>72</v>
      </c>
      <c r="G360" s="485" t="s">
        <v>161</v>
      </c>
      <c r="H360" s="240" t="s">
        <v>162</v>
      </c>
      <c r="I360" s="260">
        <f t="shared" ref="I360:AV360" si="144">$H197*I205</f>
        <v>0.0006498245579</v>
      </c>
      <c r="J360" s="260">
        <f t="shared" si="144"/>
        <v>0.000597609226</v>
      </c>
      <c r="K360" s="260">
        <f t="shared" si="144"/>
        <v>0.0008164963236</v>
      </c>
      <c r="L360" s="260">
        <f t="shared" si="144"/>
        <v>0.0004939372306</v>
      </c>
      <c r="M360" s="260">
        <f t="shared" si="144"/>
        <v>0.0005962382522</v>
      </c>
      <c r="N360" s="260">
        <f t="shared" si="144"/>
        <v>0.0005000029309</v>
      </c>
      <c r="O360" s="260">
        <f t="shared" si="144"/>
        <v>0.0006049184855</v>
      </c>
      <c r="P360" s="260">
        <f t="shared" si="144"/>
        <v>0.0006573174352</v>
      </c>
      <c r="Q360" s="260">
        <f t="shared" si="144"/>
        <v>0.0007062134642</v>
      </c>
      <c r="R360" s="260">
        <f t="shared" si="144"/>
        <v>0.000366995846</v>
      </c>
      <c r="S360" s="260">
        <f t="shared" si="144"/>
        <v>0.0006609479491</v>
      </c>
      <c r="T360" s="260">
        <f t="shared" si="144"/>
        <v>0.0002266350012</v>
      </c>
      <c r="U360" s="260">
        <f t="shared" si="144"/>
        <v>0.0002410717777</v>
      </c>
      <c r="V360" s="260">
        <f t="shared" si="144"/>
        <v>0.0002760181535</v>
      </c>
      <c r="W360" s="260">
        <f t="shared" si="144"/>
        <v>0.0003511301878</v>
      </c>
      <c r="X360" s="260">
        <f t="shared" si="144"/>
        <v>0.0001734885583</v>
      </c>
      <c r="Y360" s="260">
        <f t="shared" si="144"/>
        <v>0.0002993184344</v>
      </c>
      <c r="Z360" s="260">
        <f t="shared" si="144"/>
        <v>0.0002820942594</v>
      </c>
      <c r="AA360" s="260">
        <f t="shared" si="144"/>
        <v>0.0005545991638</v>
      </c>
      <c r="AB360" s="260">
        <f t="shared" si="144"/>
        <v>0.0003902075357</v>
      </c>
      <c r="AC360" s="260">
        <f t="shared" si="144"/>
        <v>0.0003063398452</v>
      </c>
      <c r="AD360" s="260">
        <f t="shared" si="144"/>
        <v>0.0002103359633</v>
      </c>
      <c r="AE360" s="260">
        <f t="shared" si="144"/>
        <v>0.0003077226521</v>
      </c>
      <c r="AF360" s="260">
        <f t="shared" si="144"/>
        <v>0.000226906932</v>
      </c>
      <c r="AG360" s="260">
        <f t="shared" si="144"/>
        <v>0.0004939372306</v>
      </c>
      <c r="AH360" s="260">
        <f t="shared" si="144"/>
        <v>0.000219031513</v>
      </c>
      <c r="AI360" s="260">
        <f t="shared" si="144"/>
        <v>0.0001241637872</v>
      </c>
      <c r="AJ360" s="260">
        <f t="shared" si="144"/>
        <v>0.0001523740088</v>
      </c>
      <c r="AK360" s="260">
        <f t="shared" si="144"/>
        <v>0.0002877178537</v>
      </c>
      <c r="AL360" s="260">
        <f t="shared" si="144"/>
        <v>0.0003556245912</v>
      </c>
      <c r="AM360" s="260">
        <f t="shared" si="144"/>
        <v>0.0003556245912</v>
      </c>
      <c r="AN360" s="260">
        <f t="shared" si="144"/>
        <v>0.0003556245912</v>
      </c>
      <c r="AO360" s="260">
        <f t="shared" si="144"/>
        <v>0.0001616300497</v>
      </c>
      <c r="AP360" s="260">
        <f t="shared" si="144"/>
        <v>0.0002295106361</v>
      </c>
      <c r="AQ360" s="260">
        <f t="shared" si="144"/>
        <v>0.0001258142556</v>
      </c>
      <c r="AR360" s="260">
        <f t="shared" si="144"/>
        <v>0.0001284081411</v>
      </c>
      <c r="AS360" s="260">
        <f t="shared" si="144"/>
        <v>0.0002576922392</v>
      </c>
      <c r="AT360" s="260">
        <f t="shared" si="144"/>
        <v>0.0003219601083</v>
      </c>
      <c r="AU360" s="260">
        <f t="shared" si="144"/>
        <v>0.0006925751781</v>
      </c>
      <c r="AV360" s="260">
        <f t="shared" si="144"/>
        <v>0.0004839110001</v>
      </c>
      <c r="AW360" s="259"/>
    </row>
    <row r="361">
      <c r="A361" s="123"/>
      <c r="B361" s="123"/>
      <c r="C361" s="131"/>
      <c r="D361" s="131"/>
      <c r="E361" s="257" t="s">
        <v>749</v>
      </c>
      <c r="F361" s="213" t="s">
        <v>72</v>
      </c>
      <c r="G361" s="485" t="s">
        <v>161</v>
      </c>
      <c r="H361" s="240" t="s">
        <v>162</v>
      </c>
      <c r="I361" s="260">
        <f t="shared" ref="I361:AV361" si="145">$H198*I206</f>
        <v>0.004336173037</v>
      </c>
      <c r="J361" s="260">
        <f t="shared" si="145"/>
        <v>0.003664709593</v>
      </c>
      <c r="K361" s="260">
        <f t="shared" si="145"/>
        <v>0.004871724276</v>
      </c>
      <c r="L361" s="260">
        <f t="shared" si="145"/>
        <v>0.002724135054</v>
      </c>
      <c r="M361" s="260">
        <f t="shared" si="145"/>
        <v>0.003740416029</v>
      </c>
      <c r="N361" s="260">
        <f t="shared" si="145"/>
        <v>0.003121769658</v>
      </c>
      <c r="O361" s="260">
        <f t="shared" si="145"/>
        <v>0.003568805329</v>
      </c>
      <c r="P361" s="260">
        <f t="shared" si="145"/>
        <v>0.004601275238</v>
      </c>
      <c r="Q361" s="260">
        <f t="shared" si="145"/>
        <v>0.004654455187</v>
      </c>
      <c r="R361" s="260">
        <f t="shared" si="145"/>
        <v>0.001728336415</v>
      </c>
      <c r="S361" s="260">
        <f t="shared" si="145"/>
        <v>0.003683627162</v>
      </c>
      <c r="T361" s="260">
        <f t="shared" si="145"/>
        <v>0.001098001919</v>
      </c>
      <c r="U361" s="260">
        <f t="shared" si="145"/>
        <v>0.001248448649</v>
      </c>
      <c r="V361" s="260">
        <f t="shared" si="145"/>
        <v>0.001431611949</v>
      </c>
      <c r="W361" s="260">
        <f t="shared" si="145"/>
        <v>0.001808620428</v>
      </c>
      <c r="X361" s="260">
        <f t="shared" si="145"/>
        <v>0.001071155859</v>
      </c>
      <c r="Y361" s="260">
        <f t="shared" si="145"/>
        <v>0.00133451676</v>
      </c>
      <c r="Z361" s="260">
        <f t="shared" si="145"/>
        <v>0.001446819671</v>
      </c>
      <c r="AA361" s="260">
        <f t="shared" si="145"/>
        <v>0.002186322158</v>
      </c>
      <c r="AB361" s="260">
        <f t="shared" si="145"/>
        <v>0.001696124306</v>
      </c>
      <c r="AC361" s="260">
        <f t="shared" si="145"/>
        <v>0.001294531535</v>
      </c>
      <c r="AD361" s="260">
        <f t="shared" si="145"/>
        <v>0.0008564096114</v>
      </c>
      <c r="AE361" s="260">
        <f t="shared" si="145"/>
        <v>0.001422604846</v>
      </c>
      <c r="AF361" s="260">
        <f t="shared" si="145"/>
        <v>0.0009688323422</v>
      </c>
      <c r="AG361" s="260">
        <f t="shared" si="145"/>
        <v>0.002724135054</v>
      </c>
      <c r="AH361" s="260">
        <f t="shared" si="145"/>
        <v>0.001123211384</v>
      </c>
      <c r="AI361" s="260">
        <f t="shared" si="145"/>
        <v>0.0007045351415</v>
      </c>
      <c r="AJ361" s="260">
        <f t="shared" si="145"/>
        <v>0.0006747597356</v>
      </c>
      <c r="AK361" s="260">
        <f t="shared" si="145"/>
        <v>0.001615378419</v>
      </c>
      <c r="AL361" s="260">
        <f t="shared" si="145"/>
        <v>0.002179300456</v>
      </c>
      <c r="AM361" s="260">
        <f t="shared" si="145"/>
        <v>0.002179300456</v>
      </c>
      <c r="AN361" s="260">
        <f t="shared" si="145"/>
        <v>0.002179300456</v>
      </c>
      <c r="AO361" s="260">
        <f t="shared" si="145"/>
        <v>0.0009533134422</v>
      </c>
      <c r="AP361" s="260">
        <f t="shared" si="145"/>
        <v>0.001261867257</v>
      </c>
      <c r="AQ361" s="260">
        <f t="shared" si="145"/>
        <v>0.0005589470658</v>
      </c>
      <c r="AR361" s="260">
        <f t="shared" si="145"/>
        <v>0.0007168095122</v>
      </c>
      <c r="AS361" s="260">
        <f t="shared" si="145"/>
        <v>0.001280944772</v>
      </c>
      <c r="AT361" s="260">
        <f t="shared" si="145"/>
        <v>0.001488433918</v>
      </c>
      <c r="AU361" s="260">
        <f t="shared" si="145"/>
        <v>0.003871055689</v>
      </c>
      <c r="AV361" s="260">
        <f t="shared" si="145"/>
        <v>0.002578353429</v>
      </c>
      <c r="AW361" s="259"/>
    </row>
    <row r="362">
      <c r="A362" s="123"/>
      <c r="B362" s="123"/>
      <c r="C362" s="131"/>
      <c r="D362" s="131"/>
      <c r="E362" s="257" t="s">
        <v>750</v>
      </c>
      <c r="F362" s="213" t="s">
        <v>72</v>
      </c>
      <c r="G362" s="485" t="s">
        <v>161</v>
      </c>
      <c r="H362" s="240" t="s">
        <v>162</v>
      </c>
      <c r="I362" s="260">
        <f t="shared" ref="I362:AV362" si="146">$H199*I207</f>
        <v>0.004650857514</v>
      </c>
      <c r="J362" s="260">
        <f t="shared" si="146"/>
        <v>0.003222892744</v>
      </c>
      <c r="K362" s="260">
        <f t="shared" si="146"/>
        <v>0.003875978232</v>
      </c>
      <c r="L362" s="260">
        <f t="shared" si="146"/>
        <v>0.001715158896</v>
      </c>
      <c r="M362" s="260">
        <f t="shared" si="146"/>
        <v>0.003057569153</v>
      </c>
      <c r="N362" s="260">
        <f t="shared" si="146"/>
        <v>0.003226592021</v>
      </c>
      <c r="O362" s="260">
        <f t="shared" si="146"/>
        <v>0.003551571048</v>
      </c>
      <c r="P362" s="260">
        <f t="shared" si="146"/>
        <v>0.005200902285</v>
      </c>
      <c r="Q362" s="260">
        <f t="shared" si="146"/>
        <v>0.006322440142</v>
      </c>
      <c r="R362" s="260">
        <f t="shared" si="146"/>
        <v>0.001260572734</v>
      </c>
      <c r="S362" s="260">
        <f t="shared" si="146"/>
        <v>0.002845707525</v>
      </c>
      <c r="T362" s="260">
        <f t="shared" si="146"/>
        <v>0.0005679161577</v>
      </c>
      <c r="U362" s="260">
        <f t="shared" si="146"/>
        <v>0.0004464763659</v>
      </c>
      <c r="V362" s="260">
        <f t="shared" si="146"/>
        <v>0.001304814002</v>
      </c>
      <c r="W362" s="260">
        <f t="shared" si="146"/>
        <v>0.00178497769</v>
      </c>
      <c r="X362" s="260">
        <f t="shared" si="146"/>
        <v>0.00152942931</v>
      </c>
      <c r="Y362" s="260">
        <f t="shared" si="146"/>
        <v>0.0007004433844</v>
      </c>
      <c r="Z362" s="260">
        <f t="shared" si="146"/>
        <v>0.0007392644636</v>
      </c>
      <c r="AA362" s="260">
        <f t="shared" si="146"/>
        <v>0.001199478505</v>
      </c>
      <c r="AB362" s="260">
        <f t="shared" si="146"/>
        <v>0.0006537208303</v>
      </c>
      <c r="AC362" s="260">
        <f t="shared" si="146"/>
        <v>0.0006011023004</v>
      </c>
      <c r="AD362" s="260">
        <f t="shared" si="146"/>
        <v>0.0003915021354</v>
      </c>
      <c r="AE362" s="260">
        <f t="shared" si="146"/>
        <v>0.0006485929029</v>
      </c>
      <c r="AF362" s="260">
        <f t="shared" si="146"/>
        <v>0.0003878964455</v>
      </c>
      <c r="AG362" s="260">
        <f t="shared" si="146"/>
        <v>0.001715158896</v>
      </c>
      <c r="AH362" s="260">
        <f t="shared" si="146"/>
        <v>0.0005450652518</v>
      </c>
      <c r="AI362" s="260">
        <f t="shared" si="146"/>
        <v>0.0004070658314</v>
      </c>
      <c r="AJ362" s="260">
        <f t="shared" si="146"/>
        <v>0.0003356489576</v>
      </c>
      <c r="AK362" s="260">
        <f t="shared" si="146"/>
        <v>0.001011544852</v>
      </c>
      <c r="AL362" s="260">
        <f t="shared" si="146"/>
        <v>0.001886843405</v>
      </c>
      <c r="AM362" s="260">
        <f t="shared" si="146"/>
        <v>0.001886843405</v>
      </c>
      <c r="AN362" s="260">
        <f t="shared" si="146"/>
        <v>0.001886843405</v>
      </c>
      <c r="AO362" s="260">
        <f t="shared" si="146"/>
        <v>0.000575191251</v>
      </c>
      <c r="AP362" s="260">
        <f t="shared" si="146"/>
        <v>0.0005909211892</v>
      </c>
      <c r="AQ362" s="260">
        <f t="shared" si="146"/>
        <v>0.0003098138947</v>
      </c>
      <c r="AR362" s="260">
        <f t="shared" si="146"/>
        <v>0.0003659304301</v>
      </c>
      <c r="AS362" s="260">
        <f t="shared" si="146"/>
        <v>0.0008983813916</v>
      </c>
      <c r="AT362" s="260">
        <f t="shared" si="146"/>
        <v>0.0006958244508</v>
      </c>
      <c r="AU362" s="260">
        <f t="shared" si="146"/>
        <v>0.003161797629</v>
      </c>
      <c r="AV362" s="260">
        <f t="shared" si="146"/>
        <v>0.002289516944</v>
      </c>
      <c r="AW362" s="259"/>
    </row>
    <row r="363">
      <c r="A363" s="123"/>
      <c r="B363" s="123"/>
      <c r="C363" s="131"/>
      <c r="D363" s="131"/>
      <c r="E363" s="257" t="s">
        <v>751</v>
      </c>
      <c r="F363" s="213" t="s">
        <v>72</v>
      </c>
      <c r="G363" s="485" t="s">
        <v>161</v>
      </c>
      <c r="H363" s="240" t="s">
        <v>162</v>
      </c>
      <c r="I363" s="260">
        <f t="shared" ref="I363:AV363" si="147">$H200*I208</f>
        <v>0.0013335541</v>
      </c>
      <c r="J363" s="260">
        <f t="shared" si="147"/>
        <v>0.0007653287575</v>
      </c>
      <c r="K363" s="260">
        <f t="shared" si="147"/>
        <v>0.001898661838</v>
      </c>
      <c r="L363" s="260">
        <f t="shared" si="147"/>
        <v>0.0006194240779</v>
      </c>
      <c r="M363" s="260">
        <f t="shared" si="147"/>
        <v>0.000550419348</v>
      </c>
      <c r="N363" s="260">
        <f t="shared" si="147"/>
        <v>0.001466507868</v>
      </c>
      <c r="O363" s="260">
        <f t="shared" si="147"/>
        <v>0.001751180598</v>
      </c>
      <c r="P363" s="260">
        <f t="shared" si="147"/>
        <v>0.001589423272</v>
      </c>
      <c r="Q363" s="260">
        <f t="shared" si="147"/>
        <v>0.002358204599</v>
      </c>
      <c r="R363" s="260">
        <f t="shared" si="147"/>
        <v>0.0001823846745</v>
      </c>
      <c r="S363" s="260">
        <f t="shared" si="147"/>
        <v>0.000543105723</v>
      </c>
      <c r="T363" s="260">
        <f t="shared" si="147"/>
        <v>0.0002396238453</v>
      </c>
      <c r="U363" s="260">
        <f t="shared" si="147"/>
        <v>0.0001707482031</v>
      </c>
      <c r="V363" s="260">
        <f t="shared" si="147"/>
        <v>0.000422855904</v>
      </c>
      <c r="W363" s="260">
        <f t="shared" si="147"/>
        <v>0.0003195595865</v>
      </c>
      <c r="X363" s="260">
        <f t="shared" si="147"/>
        <v>0.0004807904228</v>
      </c>
      <c r="Y363" s="260">
        <f t="shared" si="147"/>
        <v>0.0003323749261</v>
      </c>
      <c r="Z363" s="260">
        <f t="shared" si="147"/>
        <v>0.0002590581117</v>
      </c>
      <c r="AA363" s="260">
        <f t="shared" si="147"/>
        <v>0.0004447390731</v>
      </c>
      <c r="AB363" s="260">
        <f t="shared" si="147"/>
        <v>0.0002627351059</v>
      </c>
      <c r="AC363" s="260">
        <f t="shared" si="147"/>
        <v>0.0003322374255</v>
      </c>
      <c r="AD363" s="260">
        <f t="shared" si="147"/>
        <v>0.0001730621407</v>
      </c>
      <c r="AE363" s="260">
        <f t="shared" si="147"/>
        <v>0.0002178939914</v>
      </c>
      <c r="AF363" s="260">
        <f t="shared" si="147"/>
        <v>0.0001311844351</v>
      </c>
      <c r="AG363" s="260">
        <f t="shared" si="147"/>
        <v>0.0006194240779</v>
      </c>
      <c r="AH363" s="260">
        <f t="shared" si="147"/>
        <v>0.0003224684043</v>
      </c>
      <c r="AI363" s="260">
        <f t="shared" si="147"/>
        <v>0.0002766013728</v>
      </c>
      <c r="AJ363" s="260">
        <f t="shared" si="147"/>
        <v>0.0001352534526</v>
      </c>
      <c r="AK363" s="260">
        <f t="shared" si="147"/>
        <v>0.0003426204555</v>
      </c>
      <c r="AL363" s="260">
        <f t="shared" si="147"/>
        <v>0.0005328024611</v>
      </c>
      <c r="AM363" s="260">
        <f t="shared" si="147"/>
        <v>0.0005328024611</v>
      </c>
      <c r="AN363" s="260">
        <f t="shared" si="147"/>
        <v>0.0005328024611</v>
      </c>
      <c r="AO363" s="260">
        <f t="shared" si="147"/>
        <v>0.000185166364</v>
      </c>
      <c r="AP363" s="260">
        <f t="shared" si="147"/>
        <v>0.0002185503402</v>
      </c>
      <c r="AQ363" s="260">
        <f t="shared" si="147"/>
        <v>0.0001468436265</v>
      </c>
      <c r="AR363" s="260">
        <f t="shared" si="147"/>
        <v>0.0001883240946</v>
      </c>
      <c r="AS363" s="260">
        <f t="shared" si="147"/>
        <v>0.0002669144434</v>
      </c>
      <c r="AT363" s="260">
        <f t="shared" si="147"/>
        <v>0.000267192515</v>
      </c>
      <c r="AU363" s="260">
        <f t="shared" si="147"/>
        <v>0.0006412016114</v>
      </c>
      <c r="AV363" s="260">
        <f t="shared" si="147"/>
        <v>0.001404936036</v>
      </c>
      <c r="AW363" s="259"/>
    </row>
    <row r="364">
      <c r="A364" s="123"/>
      <c r="B364" s="123"/>
      <c r="C364" s="131"/>
      <c r="D364" s="131"/>
      <c r="E364" s="272" t="s">
        <v>752</v>
      </c>
      <c r="F364" s="200" t="s">
        <v>72</v>
      </c>
      <c r="G364" s="487" t="s">
        <v>161</v>
      </c>
      <c r="H364" s="228" t="s">
        <v>162</v>
      </c>
      <c r="I364" s="590">
        <f t="shared" ref="I364:AV364" si="148">SUM(I358:I363)</f>
        <v>0.01688155396</v>
      </c>
      <c r="J364" s="590">
        <f t="shared" si="148"/>
        <v>0.01265487948</v>
      </c>
      <c r="K364" s="590">
        <f t="shared" si="148"/>
        <v>0.01990825948</v>
      </c>
      <c r="L364" s="590">
        <f t="shared" si="148"/>
        <v>0.008836151579</v>
      </c>
      <c r="M364" s="590">
        <f t="shared" si="148"/>
        <v>0.01180047406</v>
      </c>
      <c r="N364" s="590">
        <f t="shared" si="148"/>
        <v>0.01369619466</v>
      </c>
      <c r="O364" s="590">
        <f t="shared" si="148"/>
        <v>0.01633596807</v>
      </c>
      <c r="P364" s="590">
        <f t="shared" si="148"/>
        <v>0.01926447019</v>
      </c>
      <c r="Q364" s="590">
        <f t="shared" si="148"/>
        <v>0.02420368212</v>
      </c>
      <c r="R364" s="590">
        <f t="shared" si="148"/>
        <v>0.004848820726</v>
      </c>
      <c r="S364" s="590">
        <f t="shared" si="148"/>
        <v>0.0112087052</v>
      </c>
      <c r="T364" s="590">
        <f t="shared" si="148"/>
        <v>0.003292883909</v>
      </c>
      <c r="U364" s="590">
        <f t="shared" si="148"/>
        <v>0.003418313571</v>
      </c>
      <c r="V364" s="590">
        <f t="shared" si="148"/>
        <v>0.0055180627</v>
      </c>
      <c r="W364" s="590">
        <f t="shared" si="148"/>
        <v>0.006222732294</v>
      </c>
      <c r="X364" s="590">
        <f t="shared" si="148"/>
        <v>0.005142009266</v>
      </c>
      <c r="Y364" s="590">
        <f t="shared" si="148"/>
        <v>0.004393410115</v>
      </c>
      <c r="Z364" s="590">
        <f t="shared" si="148"/>
        <v>0.00413053242</v>
      </c>
      <c r="AA364" s="590">
        <f t="shared" si="148"/>
        <v>0.006974738807</v>
      </c>
      <c r="AB364" s="590">
        <f t="shared" si="148"/>
        <v>0.004445617785</v>
      </c>
      <c r="AC364" s="590">
        <f t="shared" si="148"/>
        <v>0.003671703689</v>
      </c>
      <c r="AD364" s="590">
        <f t="shared" si="148"/>
        <v>0.002850685538</v>
      </c>
      <c r="AE364" s="590">
        <f t="shared" si="148"/>
        <v>0.003933396435</v>
      </c>
      <c r="AF364" s="590">
        <f t="shared" si="148"/>
        <v>0.002581537973</v>
      </c>
      <c r="AG364" s="590">
        <f t="shared" si="148"/>
        <v>0.008836151579</v>
      </c>
      <c r="AH364" s="590">
        <f t="shared" si="148"/>
        <v>0.004831749221</v>
      </c>
      <c r="AI364" s="590">
        <f t="shared" si="148"/>
        <v>0.002379150225</v>
      </c>
      <c r="AJ364" s="590">
        <f t="shared" si="148"/>
        <v>0.001940134584</v>
      </c>
      <c r="AK364" s="590">
        <f t="shared" si="148"/>
        <v>0.005185143699</v>
      </c>
      <c r="AL364" s="590">
        <f t="shared" si="148"/>
        <v>0.0075724869</v>
      </c>
      <c r="AM364" s="590">
        <f t="shared" si="148"/>
        <v>0.0075724869</v>
      </c>
      <c r="AN364" s="590">
        <f t="shared" si="148"/>
        <v>0.0075724869</v>
      </c>
      <c r="AO364" s="590">
        <f t="shared" si="148"/>
        <v>0.002876961536</v>
      </c>
      <c r="AP364" s="590">
        <f t="shared" si="148"/>
        <v>0.00323091616</v>
      </c>
      <c r="AQ364" s="590">
        <f t="shared" si="148"/>
        <v>0.001844027465</v>
      </c>
      <c r="AR364" s="590">
        <f t="shared" si="148"/>
        <v>0.002340084731</v>
      </c>
      <c r="AS364" s="590">
        <f t="shared" si="148"/>
        <v>0.004075119576</v>
      </c>
      <c r="AT364" s="590">
        <f t="shared" si="148"/>
        <v>0.004172730772</v>
      </c>
      <c r="AU364" s="590">
        <f t="shared" si="148"/>
        <v>0.01210504701</v>
      </c>
      <c r="AV364" s="590">
        <f t="shared" si="148"/>
        <v>0.01223441175</v>
      </c>
      <c r="AW364" s="274"/>
    </row>
    <row r="365">
      <c r="A365" s="123"/>
      <c r="B365" s="123"/>
      <c r="C365" s="131"/>
      <c r="D365" s="131"/>
      <c r="E365" s="269"/>
      <c r="F365" s="141"/>
      <c r="G365" s="448"/>
      <c r="H365" s="127"/>
      <c r="I365" s="317"/>
      <c r="J365" s="317"/>
      <c r="K365" s="317"/>
      <c r="L365" s="317"/>
      <c r="M365" s="317"/>
      <c r="N365" s="317"/>
      <c r="O365" s="317"/>
      <c r="P365" s="317"/>
      <c r="Q365" s="317"/>
      <c r="R365" s="317"/>
      <c r="S365" s="317"/>
      <c r="T365" s="317"/>
      <c r="U365" s="317"/>
      <c r="V365" s="317"/>
      <c r="W365" s="317"/>
      <c r="X365" s="317"/>
      <c r="Y365" s="317"/>
      <c r="Z365" s="317"/>
      <c r="AA365" s="317"/>
      <c r="AB365" s="317"/>
      <c r="AC365" s="317"/>
      <c r="AD365" s="317"/>
      <c r="AE365" s="317"/>
      <c r="AF365" s="317"/>
      <c r="AG365" s="317"/>
      <c r="AH365" s="317"/>
      <c r="AI365" s="317"/>
      <c r="AJ365" s="317"/>
      <c r="AK365" s="317"/>
      <c r="AL365" s="317"/>
      <c r="AM365" s="317"/>
      <c r="AN365" s="317"/>
      <c r="AO365" s="317"/>
      <c r="AP365" s="317"/>
      <c r="AQ365" s="317"/>
      <c r="AR365" s="317"/>
      <c r="AS365" s="317"/>
      <c r="AT365" s="317"/>
      <c r="AU365" s="317"/>
      <c r="AV365" s="317"/>
      <c r="AW365" s="130"/>
    </row>
    <row r="366">
      <c r="A366" s="123"/>
      <c r="B366" s="123"/>
      <c r="C366" s="131" t="s">
        <v>753</v>
      </c>
      <c r="F366" s="141"/>
      <c r="G366" s="448"/>
      <c r="H366" s="127"/>
      <c r="I366" s="317"/>
      <c r="J366" s="317"/>
      <c r="K366" s="317"/>
      <c r="L366" s="317"/>
      <c r="M366" s="317"/>
      <c r="N366" s="317"/>
      <c r="O366" s="317"/>
      <c r="P366" s="317"/>
      <c r="Q366" s="317"/>
      <c r="R366" s="317"/>
      <c r="S366" s="317"/>
      <c r="T366" s="317"/>
      <c r="U366" s="317"/>
      <c r="V366" s="317"/>
      <c r="W366" s="317"/>
      <c r="X366" s="317"/>
      <c r="Y366" s="317"/>
      <c r="Z366" s="317"/>
      <c r="AA366" s="317"/>
      <c r="AB366" s="317"/>
      <c r="AC366" s="317"/>
      <c r="AD366" s="317"/>
      <c r="AE366" s="317"/>
      <c r="AF366" s="317"/>
      <c r="AG366" s="317"/>
      <c r="AH366" s="317"/>
      <c r="AI366" s="317"/>
      <c r="AJ366" s="317"/>
      <c r="AK366" s="317"/>
      <c r="AL366" s="317"/>
      <c r="AM366" s="317"/>
      <c r="AN366" s="317"/>
      <c r="AO366" s="317"/>
      <c r="AP366" s="317"/>
      <c r="AQ366" s="317"/>
      <c r="AR366" s="317"/>
      <c r="AS366" s="317"/>
      <c r="AT366" s="317"/>
      <c r="AU366" s="317"/>
      <c r="AV366" s="317"/>
      <c r="AW366" s="130"/>
    </row>
    <row r="367">
      <c r="A367" s="123"/>
      <c r="B367" s="123"/>
      <c r="C367" s="131"/>
      <c r="D367" s="131"/>
      <c r="E367" s="254" t="s">
        <v>366</v>
      </c>
      <c r="F367" s="193" t="s">
        <v>72</v>
      </c>
      <c r="G367" s="483" t="s">
        <v>161</v>
      </c>
      <c r="H367" s="236" t="s">
        <v>162</v>
      </c>
      <c r="I367" s="383">
        <f t="shared" ref="I367:AV367" si="149">I358/SUM(I$358:I$363)</f>
        <v>0.1782349073</v>
      </c>
      <c r="J367" s="383">
        <f t="shared" si="149"/>
        <v>0.1203335906</v>
      </c>
      <c r="K367" s="383">
        <f t="shared" si="149"/>
        <v>0.2030213616</v>
      </c>
      <c r="L367" s="383">
        <f t="shared" si="149"/>
        <v>0.1065706465</v>
      </c>
      <c r="M367" s="383">
        <f t="shared" si="149"/>
        <v>0.1327762775</v>
      </c>
      <c r="N367" s="383">
        <f t="shared" si="149"/>
        <v>0.1733297403</v>
      </c>
      <c r="O367" s="383">
        <f t="shared" si="149"/>
        <v>0.1578965315</v>
      </c>
      <c r="P367" s="383">
        <f t="shared" si="149"/>
        <v>0.18003357</v>
      </c>
      <c r="Q367" s="383">
        <f t="shared" si="149"/>
        <v>0.2055157123</v>
      </c>
      <c r="R367" s="383">
        <f t="shared" si="149"/>
        <v>0.08644994566</v>
      </c>
      <c r="S367" s="383">
        <f t="shared" si="149"/>
        <v>0.1262181503</v>
      </c>
      <c r="T367" s="383">
        <f t="shared" si="149"/>
        <v>0.08233124757</v>
      </c>
      <c r="U367" s="383">
        <f t="shared" si="149"/>
        <v>0.0796192129</v>
      </c>
      <c r="V367" s="383">
        <f t="shared" si="149"/>
        <v>0.06718777858</v>
      </c>
      <c r="W367" s="383">
        <f t="shared" si="149"/>
        <v>0.1006389542</v>
      </c>
      <c r="X367" s="383">
        <f t="shared" si="149"/>
        <v>0.09950085865</v>
      </c>
      <c r="Y367" s="383">
        <f t="shared" si="149"/>
        <v>0.08927550034</v>
      </c>
      <c r="Z367" s="383">
        <f t="shared" si="149"/>
        <v>0.09606846602</v>
      </c>
      <c r="AA367" s="383">
        <f t="shared" si="149"/>
        <v>0.09533082911</v>
      </c>
      <c r="AB367" s="383">
        <f t="shared" si="149"/>
        <v>0.09250961696</v>
      </c>
      <c r="AC367" s="383">
        <f t="shared" si="149"/>
        <v>0.1094520505</v>
      </c>
      <c r="AD367" s="383">
        <f t="shared" si="149"/>
        <v>0.08314302052</v>
      </c>
      <c r="AE367" s="383">
        <f t="shared" si="149"/>
        <v>0.100122233</v>
      </c>
      <c r="AF367" s="383">
        <f t="shared" si="149"/>
        <v>0.09370492827</v>
      </c>
      <c r="AG367" s="383">
        <f t="shared" si="149"/>
        <v>0.1065706465</v>
      </c>
      <c r="AH367" s="383">
        <f t="shared" si="149"/>
        <v>0.06350413719</v>
      </c>
      <c r="AI367" s="383">
        <f t="shared" si="149"/>
        <v>0.08074745526</v>
      </c>
      <c r="AJ367" s="383">
        <f t="shared" si="149"/>
        <v>0.08352429428</v>
      </c>
      <c r="AK367" s="383">
        <f t="shared" si="149"/>
        <v>0.108970206</v>
      </c>
      <c r="AL367" s="383">
        <f t="shared" si="149"/>
        <v>0.1148108911</v>
      </c>
      <c r="AM367" s="383">
        <f t="shared" si="149"/>
        <v>0.1148108911</v>
      </c>
      <c r="AN367" s="383">
        <f t="shared" si="149"/>
        <v>0.1148108911</v>
      </c>
      <c r="AO367" s="383">
        <f t="shared" si="149"/>
        <v>0.08765625677</v>
      </c>
      <c r="AP367" s="383">
        <f t="shared" si="149"/>
        <v>0.09622422835</v>
      </c>
      <c r="AQ367" s="383">
        <f t="shared" si="149"/>
        <v>0.09116531324</v>
      </c>
      <c r="AR367" s="383">
        <f t="shared" si="149"/>
        <v>0.06671598947</v>
      </c>
      <c r="AS367" s="383">
        <f t="shared" si="149"/>
        <v>0.1122708694</v>
      </c>
      <c r="AT367" s="383">
        <f t="shared" si="149"/>
        <v>0.0947934804</v>
      </c>
      <c r="AU367" s="383">
        <f t="shared" si="149"/>
        <v>0.1144120014</v>
      </c>
      <c r="AV367" s="383">
        <f t="shared" si="149"/>
        <v>0.1598644238</v>
      </c>
      <c r="AW367" s="256"/>
    </row>
    <row r="368">
      <c r="A368" s="123"/>
      <c r="B368" s="123"/>
      <c r="C368" s="602"/>
      <c r="D368" s="602"/>
      <c r="E368" s="257" t="s">
        <v>754</v>
      </c>
      <c r="F368" s="213" t="s">
        <v>72</v>
      </c>
      <c r="G368" s="485" t="s">
        <v>161</v>
      </c>
      <c r="H368" s="240" t="s">
        <v>162</v>
      </c>
      <c r="I368" s="241">
        <f t="shared" ref="I368:AV368" si="150">I359/SUM(I$358:I$363)</f>
        <v>0.171919158</v>
      </c>
      <c r="J368" s="241">
        <f t="shared" si="150"/>
        <v>0.2277012657</v>
      </c>
      <c r="K368" s="241">
        <f t="shared" si="150"/>
        <v>0.221194468</v>
      </c>
      <c r="L368" s="241">
        <f t="shared" si="150"/>
        <v>0.265027361</v>
      </c>
      <c r="M368" s="241">
        <f t="shared" si="150"/>
        <v>0.193975958</v>
      </c>
      <c r="N368" s="241">
        <f t="shared" si="150"/>
        <v>0.2195766336</v>
      </c>
      <c r="O368" s="241">
        <f t="shared" si="150"/>
        <v>0.2620046693</v>
      </c>
      <c r="P368" s="241">
        <f t="shared" si="150"/>
        <v>0.1945187478</v>
      </c>
      <c r="Q368" s="241">
        <f t="shared" si="150"/>
        <v>0.2143529952</v>
      </c>
      <c r="R368" s="241">
        <f t="shared" si="150"/>
        <v>0.1838283612</v>
      </c>
      <c r="S368" s="241">
        <f t="shared" si="150"/>
        <v>0.1838370057</v>
      </c>
      <c r="T368" s="241">
        <f t="shared" si="150"/>
        <v>0.2701582471</v>
      </c>
      <c r="U368" s="241">
        <f t="shared" si="150"/>
        <v>0.3040695705</v>
      </c>
      <c r="V368" s="241">
        <f t="shared" si="150"/>
        <v>0.3102567712</v>
      </c>
      <c r="W368" s="241">
        <f t="shared" si="150"/>
        <v>0.2140852391</v>
      </c>
      <c r="X368" s="241">
        <f t="shared" si="150"/>
        <v>0.2675045313</v>
      </c>
      <c r="Y368" s="241">
        <f t="shared" si="150"/>
        <v>0.3037578303</v>
      </c>
      <c r="Z368" s="241">
        <f t="shared" si="150"/>
        <v>0.2436688298</v>
      </c>
      <c r="AA368" s="241">
        <f t="shared" si="150"/>
        <v>0.2759518782</v>
      </c>
      <c r="AB368" s="241">
        <f t="shared" si="150"/>
        <v>0.2320414527</v>
      </c>
      <c r="AC368" s="241">
        <f t="shared" si="150"/>
        <v>0.2003476173</v>
      </c>
      <c r="AD368" s="241">
        <f t="shared" si="150"/>
        <v>0.3446052074</v>
      </c>
      <c r="AE368" s="241">
        <f t="shared" si="150"/>
        <v>0.2396813095</v>
      </c>
      <c r="AF368" s="241">
        <f t="shared" si="150"/>
        <v>0.2420320731</v>
      </c>
      <c r="AG368" s="241">
        <f t="shared" si="150"/>
        <v>0.265027361</v>
      </c>
      <c r="AH368" s="241">
        <f t="shared" si="150"/>
        <v>0.4791508204</v>
      </c>
      <c r="AI368" s="241">
        <f t="shared" si="150"/>
        <v>0.2835776231</v>
      </c>
      <c r="AJ368" s="241">
        <f t="shared" si="150"/>
        <v>0.2474313182</v>
      </c>
      <c r="AK368" s="241">
        <f t="shared" si="150"/>
        <v>0.2628386058</v>
      </c>
      <c r="AL368" s="241">
        <f t="shared" si="150"/>
        <v>0.2309032741</v>
      </c>
      <c r="AM368" s="241">
        <f t="shared" si="150"/>
        <v>0.2309032741</v>
      </c>
      <c r="AN368" s="241">
        <f t="shared" si="150"/>
        <v>0.2309032741</v>
      </c>
      <c r="AO368" s="241">
        <f t="shared" si="150"/>
        <v>0.2605098263</v>
      </c>
      <c r="AP368" s="241">
        <f t="shared" si="150"/>
        <v>0.1916404798</v>
      </c>
      <c r="AQ368" s="241">
        <f t="shared" si="150"/>
        <v>0.2898532104</v>
      </c>
      <c r="AR368" s="241">
        <f t="shared" si="150"/>
        <v>0.3352406323</v>
      </c>
      <c r="AS368" s="241">
        <f t="shared" si="150"/>
        <v>0.224206798</v>
      </c>
      <c r="AT368" s="241">
        <f t="shared" si="150"/>
        <v>0.2405552052</v>
      </c>
      <c r="AU368" s="241">
        <f t="shared" si="150"/>
        <v>0.1944192573</v>
      </c>
      <c r="AV368" s="241">
        <f t="shared" si="150"/>
        <v>0.287864037</v>
      </c>
      <c r="AW368" s="259"/>
    </row>
    <row r="369">
      <c r="A369" s="123"/>
      <c r="B369" s="123"/>
      <c r="C369" s="131"/>
      <c r="D369" s="131"/>
      <c r="E369" s="257" t="s">
        <v>755</v>
      </c>
      <c r="F369" s="213" t="s">
        <v>72</v>
      </c>
      <c r="G369" s="485" t="s">
        <v>161</v>
      </c>
      <c r="H369" s="240" t="s">
        <v>162</v>
      </c>
      <c r="I369" s="241">
        <f t="shared" ref="I369:AV369" si="151">I360/SUM(I$358:I$363)</f>
        <v>0.03849317188</v>
      </c>
      <c r="J369" s="241">
        <f t="shared" si="151"/>
        <v>0.04722362049</v>
      </c>
      <c r="K369" s="241">
        <f t="shared" si="151"/>
        <v>0.04101294361</v>
      </c>
      <c r="L369" s="241">
        <f t="shared" si="151"/>
        <v>0.05589958776</v>
      </c>
      <c r="M369" s="241">
        <f t="shared" si="151"/>
        <v>0.05052663555</v>
      </c>
      <c r="N369" s="241">
        <f t="shared" si="151"/>
        <v>0.03650670448</v>
      </c>
      <c r="O369" s="241">
        <f t="shared" si="151"/>
        <v>0.03702985235</v>
      </c>
      <c r="P369" s="241">
        <f t="shared" si="151"/>
        <v>0.03412071179</v>
      </c>
      <c r="Q369" s="241">
        <f t="shared" si="151"/>
        <v>0.02917793502</v>
      </c>
      <c r="R369" s="241">
        <f t="shared" si="151"/>
        <v>0.07568765</v>
      </c>
      <c r="S369" s="241">
        <f t="shared" si="151"/>
        <v>0.05896737736</v>
      </c>
      <c r="T369" s="241">
        <f t="shared" si="151"/>
        <v>0.0688256882</v>
      </c>
      <c r="U369" s="241">
        <f t="shared" si="151"/>
        <v>0.07052359961</v>
      </c>
      <c r="V369" s="241">
        <f t="shared" si="151"/>
        <v>0.05002084401</v>
      </c>
      <c r="W369" s="241">
        <f t="shared" si="151"/>
        <v>0.05642701168</v>
      </c>
      <c r="X369" s="241">
        <f t="shared" si="151"/>
        <v>0.0337394488</v>
      </c>
      <c r="Y369" s="241">
        <f t="shared" si="151"/>
        <v>0.06812895371</v>
      </c>
      <c r="Z369" s="241">
        <f t="shared" si="151"/>
        <v>0.06829489051</v>
      </c>
      <c r="AA369" s="241">
        <f t="shared" si="151"/>
        <v>0.07951540252</v>
      </c>
      <c r="AB369" s="241">
        <f t="shared" si="151"/>
        <v>0.08777352319</v>
      </c>
      <c r="AC369" s="241">
        <f t="shared" si="151"/>
        <v>0.08343261632</v>
      </c>
      <c r="AD369" s="241">
        <f t="shared" si="151"/>
        <v>0.07378434432</v>
      </c>
      <c r="AE369" s="241">
        <f t="shared" si="151"/>
        <v>0.07823331749</v>
      </c>
      <c r="AF369" s="241">
        <f t="shared" si="151"/>
        <v>0.08789602726</v>
      </c>
      <c r="AG369" s="241">
        <f t="shared" si="151"/>
        <v>0.05589958776</v>
      </c>
      <c r="AH369" s="241">
        <f t="shared" si="151"/>
        <v>0.04533172211</v>
      </c>
      <c r="AI369" s="241">
        <f t="shared" si="151"/>
        <v>0.05218829222</v>
      </c>
      <c r="AJ369" s="241">
        <f t="shared" si="151"/>
        <v>0.07853785508</v>
      </c>
      <c r="AK369" s="241">
        <f t="shared" si="151"/>
        <v>0.05548888718</v>
      </c>
      <c r="AL369" s="241">
        <f t="shared" si="151"/>
        <v>0.04696272121</v>
      </c>
      <c r="AM369" s="241">
        <f t="shared" si="151"/>
        <v>0.04696272121</v>
      </c>
      <c r="AN369" s="241">
        <f t="shared" si="151"/>
        <v>0.04696272121</v>
      </c>
      <c r="AO369" s="241">
        <f t="shared" si="151"/>
        <v>0.05618081705</v>
      </c>
      <c r="AP369" s="241">
        <f t="shared" si="151"/>
        <v>0.07103577585</v>
      </c>
      <c r="AQ369" s="241">
        <f t="shared" si="151"/>
        <v>0.06822797277</v>
      </c>
      <c r="AR369" s="241">
        <f t="shared" si="151"/>
        <v>0.05487328703</v>
      </c>
      <c r="AS369" s="241">
        <f t="shared" si="151"/>
        <v>0.06323550376</v>
      </c>
      <c r="AT369" s="241">
        <f t="shared" si="151"/>
        <v>0.07715813117</v>
      </c>
      <c r="AU369" s="241">
        <f t="shared" si="151"/>
        <v>0.05721375369</v>
      </c>
      <c r="AV369" s="241">
        <f t="shared" si="151"/>
        <v>0.03955327071</v>
      </c>
      <c r="AW369" s="259"/>
    </row>
    <row r="370">
      <c r="A370" s="123"/>
      <c r="B370" s="123"/>
      <c r="C370" s="131"/>
      <c r="D370" s="131"/>
      <c r="E370" s="257" t="s">
        <v>756</v>
      </c>
      <c r="F370" s="213" t="s">
        <v>72</v>
      </c>
      <c r="G370" s="485" t="s">
        <v>161</v>
      </c>
      <c r="H370" s="240" t="s">
        <v>162</v>
      </c>
      <c r="I370" s="241">
        <f t="shared" ref="I370:AV370" si="152">I361/SUM(I$358:I$363)</f>
        <v>0.2568586428</v>
      </c>
      <c r="J370" s="241">
        <f t="shared" si="152"/>
        <v>0.2895886601</v>
      </c>
      <c r="K370" s="241">
        <f t="shared" si="152"/>
        <v>0.2447086989</v>
      </c>
      <c r="L370" s="241">
        <f t="shared" si="152"/>
        <v>0.3082942873</v>
      </c>
      <c r="M370" s="241">
        <f t="shared" si="152"/>
        <v>0.316971675</v>
      </c>
      <c r="N370" s="241">
        <f t="shared" si="152"/>
        <v>0.2279297086</v>
      </c>
      <c r="O370" s="241">
        <f t="shared" si="152"/>
        <v>0.2184630451</v>
      </c>
      <c r="P370" s="241">
        <f t="shared" si="152"/>
        <v>0.2388477437</v>
      </c>
      <c r="Q370" s="241">
        <f t="shared" si="152"/>
        <v>0.1923035993</v>
      </c>
      <c r="R370" s="241">
        <f t="shared" si="152"/>
        <v>0.3564446931</v>
      </c>
      <c r="S370" s="241">
        <f t="shared" si="152"/>
        <v>0.3286398471</v>
      </c>
      <c r="T370" s="241">
        <f t="shared" si="152"/>
        <v>0.3334468964</v>
      </c>
      <c r="U370" s="241">
        <f t="shared" si="152"/>
        <v>0.3652235593</v>
      </c>
      <c r="V370" s="241">
        <f t="shared" si="152"/>
        <v>0.2594410442</v>
      </c>
      <c r="W370" s="241">
        <f t="shared" si="152"/>
        <v>0.2906473142</v>
      </c>
      <c r="X370" s="241">
        <f t="shared" si="152"/>
        <v>0.2083146497</v>
      </c>
      <c r="Y370" s="241">
        <f t="shared" si="152"/>
        <v>0.3037541966</v>
      </c>
      <c r="Z370" s="241">
        <f t="shared" si="152"/>
        <v>0.3502743772</v>
      </c>
      <c r="AA370" s="241">
        <f t="shared" si="152"/>
        <v>0.3134629437</v>
      </c>
      <c r="AB370" s="241">
        <f t="shared" si="152"/>
        <v>0.381527245</v>
      </c>
      <c r="AC370" s="241">
        <f t="shared" si="152"/>
        <v>0.3525697182</v>
      </c>
      <c r="AD370" s="241">
        <f t="shared" si="152"/>
        <v>0.300422337</v>
      </c>
      <c r="AE370" s="241">
        <f t="shared" si="152"/>
        <v>0.3616733959</v>
      </c>
      <c r="AF370" s="241">
        <f t="shared" si="152"/>
        <v>0.3752926947</v>
      </c>
      <c r="AG370" s="241">
        <f t="shared" si="152"/>
        <v>0.3082942873</v>
      </c>
      <c r="AH370" s="241">
        <f t="shared" si="152"/>
        <v>0.2324647518</v>
      </c>
      <c r="AI370" s="241">
        <f t="shared" si="152"/>
        <v>0.296128901</v>
      </c>
      <c r="AJ370" s="241">
        <f t="shared" si="152"/>
        <v>0.3477901693</v>
      </c>
      <c r="AK370" s="241">
        <f t="shared" si="152"/>
        <v>0.3115397592</v>
      </c>
      <c r="AL370" s="241">
        <f t="shared" si="152"/>
        <v>0.2877919083</v>
      </c>
      <c r="AM370" s="241">
        <f t="shared" si="152"/>
        <v>0.2877919083</v>
      </c>
      <c r="AN370" s="241">
        <f t="shared" si="152"/>
        <v>0.2877919083</v>
      </c>
      <c r="AO370" s="241">
        <f t="shared" si="152"/>
        <v>0.3313612053</v>
      </c>
      <c r="AP370" s="241">
        <f t="shared" si="152"/>
        <v>0.3905601986</v>
      </c>
      <c r="AQ370" s="241">
        <f t="shared" si="152"/>
        <v>0.3031121155</v>
      </c>
      <c r="AR370" s="241">
        <f t="shared" si="152"/>
        <v>0.3063177596</v>
      </c>
      <c r="AS370" s="241">
        <f t="shared" si="152"/>
        <v>0.3143330517</v>
      </c>
      <c r="AT370" s="241">
        <f t="shared" si="152"/>
        <v>0.3567049972</v>
      </c>
      <c r="AU370" s="241">
        <f t="shared" si="152"/>
        <v>0.3197885713</v>
      </c>
      <c r="AV370" s="241">
        <f t="shared" si="152"/>
        <v>0.2107460073</v>
      </c>
      <c r="AW370" s="259"/>
    </row>
    <row r="371">
      <c r="A371" s="123"/>
      <c r="B371" s="123"/>
      <c r="C371" s="131"/>
      <c r="D371" s="131"/>
      <c r="E371" s="257" t="s">
        <v>757</v>
      </c>
      <c r="F371" s="213" t="s">
        <v>72</v>
      </c>
      <c r="G371" s="485" t="s">
        <v>161</v>
      </c>
      <c r="H371" s="240" t="s">
        <v>162</v>
      </c>
      <c r="I371" s="241">
        <f t="shared" ref="I371:AV371" si="153">I362/SUM(I$358:I$363)</f>
        <v>0.2754993721</v>
      </c>
      <c r="J371" s="241">
        <f t="shared" si="153"/>
        <v>0.2546758938</v>
      </c>
      <c r="K371" s="241">
        <f t="shared" si="153"/>
        <v>0.1946919687</v>
      </c>
      <c r="L371" s="241">
        <f t="shared" si="153"/>
        <v>0.1941070025</v>
      </c>
      <c r="M371" s="241">
        <f t="shared" si="153"/>
        <v>0.2591056204</v>
      </c>
      <c r="N371" s="241">
        <f t="shared" si="153"/>
        <v>0.2355831018</v>
      </c>
      <c r="O371" s="241">
        <f t="shared" si="153"/>
        <v>0.2174080552</v>
      </c>
      <c r="P371" s="241">
        <f t="shared" si="153"/>
        <v>0.2699738032</v>
      </c>
      <c r="Q371" s="241">
        <f t="shared" si="153"/>
        <v>0.2612181118</v>
      </c>
      <c r="R371" s="241">
        <f t="shared" si="153"/>
        <v>0.2599751166</v>
      </c>
      <c r="S371" s="241">
        <f t="shared" si="153"/>
        <v>0.253883698</v>
      </c>
      <c r="T371" s="241">
        <f t="shared" si="153"/>
        <v>0.1724677132</v>
      </c>
      <c r="U371" s="241">
        <f t="shared" si="153"/>
        <v>0.1306130513</v>
      </c>
      <c r="V371" s="241">
        <f t="shared" si="153"/>
        <v>0.2364623371</v>
      </c>
      <c r="W371" s="241">
        <f t="shared" si="153"/>
        <v>0.2868478999</v>
      </c>
      <c r="X371" s="241">
        <f t="shared" si="153"/>
        <v>0.2974380696</v>
      </c>
      <c r="Y371" s="241">
        <f t="shared" si="153"/>
        <v>0.1594304574</v>
      </c>
      <c r="Z371" s="241">
        <f t="shared" si="153"/>
        <v>0.1789755868</v>
      </c>
      <c r="AA371" s="241">
        <f t="shared" si="153"/>
        <v>0.1719746844</v>
      </c>
      <c r="AB371" s="241">
        <f t="shared" si="153"/>
        <v>0.1470483658</v>
      </c>
      <c r="AC371" s="241">
        <f t="shared" si="153"/>
        <v>0.1637120943</v>
      </c>
      <c r="AD371" s="241">
        <f t="shared" si="153"/>
        <v>0.1373361355</v>
      </c>
      <c r="AE371" s="241">
        <f t="shared" si="153"/>
        <v>0.1648938554</v>
      </c>
      <c r="AF371" s="241">
        <f t="shared" si="153"/>
        <v>0.1502578888</v>
      </c>
      <c r="AG371" s="241">
        <f t="shared" si="153"/>
        <v>0.1941070025</v>
      </c>
      <c r="AH371" s="241">
        <f t="shared" si="153"/>
        <v>0.1128090939</v>
      </c>
      <c r="AI371" s="241">
        <f t="shared" si="153"/>
        <v>0.1710971536</v>
      </c>
      <c r="AJ371" s="241">
        <f t="shared" si="153"/>
        <v>0.1730029248</v>
      </c>
      <c r="AK371" s="241">
        <f t="shared" si="153"/>
        <v>0.195085211</v>
      </c>
      <c r="AL371" s="241">
        <f t="shared" si="153"/>
        <v>0.2491709038</v>
      </c>
      <c r="AM371" s="241">
        <f t="shared" si="153"/>
        <v>0.2491709038</v>
      </c>
      <c r="AN371" s="241">
        <f t="shared" si="153"/>
        <v>0.2491709038</v>
      </c>
      <c r="AO371" s="241">
        <f t="shared" si="153"/>
        <v>0.1999301151</v>
      </c>
      <c r="AP371" s="241">
        <f t="shared" si="153"/>
        <v>0.1828958599</v>
      </c>
      <c r="AQ371" s="241">
        <f t="shared" si="153"/>
        <v>0.1680093711</v>
      </c>
      <c r="AR371" s="241">
        <f t="shared" si="153"/>
        <v>0.1563748634</v>
      </c>
      <c r="AS371" s="241">
        <f t="shared" si="153"/>
        <v>0.2204552222</v>
      </c>
      <c r="AT371" s="241">
        <f t="shared" si="153"/>
        <v>0.1667551751</v>
      </c>
      <c r="AU371" s="241">
        <f t="shared" si="153"/>
        <v>0.2611966418</v>
      </c>
      <c r="AV371" s="241">
        <f t="shared" si="153"/>
        <v>0.1871374767</v>
      </c>
      <c r="AW371" s="259"/>
    </row>
    <row r="372">
      <c r="A372" s="123"/>
      <c r="B372" s="123"/>
      <c r="C372" s="131"/>
      <c r="D372" s="131"/>
      <c r="E372" s="272" t="s">
        <v>758</v>
      </c>
      <c r="F372" s="200" t="s">
        <v>72</v>
      </c>
      <c r="G372" s="487" t="s">
        <v>161</v>
      </c>
      <c r="H372" s="228" t="s">
        <v>162</v>
      </c>
      <c r="I372" s="385">
        <f t="shared" ref="I372:AV372" si="154">I363/SUM(I$358:I$363)</f>
        <v>0.07899474796</v>
      </c>
      <c r="J372" s="385">
        <f t="shared" si="154"/>
        <v>0.06047696926</v>
      </c>
      <c r="K372" s="385">
        <f t="shared" si="154"/>
        <v>0.09537055914</v>
      </c>
      <c r="L372" s="385">
        <f t="shared" si="154"/>
        <v>0.07010111499</v>
      </c>
      <c r="M372" s="385">
        <f t="shared" si="154"/>
        <v>0.04664383355</v>
      </c>
      <c r="N372" s="385">
        <f t="shared" si="154"/>
        <v>0.1070741111</v>
      </c>
      <c r="O372" s="385">
        <f t="shared" si="154"/>
        <v>0.1071978465</v>
      </c>
      <c r="P372" s="385">
        <f t="shared" si="154"/>
        <v>0.08250542352</v>
      </c>
      <c r="Q372" s="385">
        <f t="shared" si="154"/>
        <v>0.09743164643</v>
      </c>
      <c r="R372" s="385">
        <f t="shared" si="154"/>
        <v>0.0376142334</v>
      </c>
      <c r="S372" s="385">
        <f t="shared" si="154"/>
        <v>0.04845392161</v>
      </c>
      <c r="T372" s="385">
        <f t="shared" si="154"/>
        <v>0.07277020751</v>
      </c>
      <c r="U372" s="385">
        <f t="shared" si="154"/>
        <v>0.04995100641</v>
      </c>
      <c r="V372" s="385">
        <f t="shared" si="154"/>
        <v>0.07663122495</v>
      </c>
      <c r="W372" s="385">
        <f t="shared" si="154"/>
        <v>0.05135358094</v>
      </c>
      <c r="X372" s="385">
        <f t="shared" si="154"/>
        <v>0.09350244193</v>
      </c>
      <c r="Y372" s="385">
        <f t="shared" si="154"/>
        <v>0.0756530616</v>
      </c>
      <c r="Z372" s="385">
        <f t="shared" si="154"/>
        <v>0.06271784975</v>
      </c>
      <c r="AA372" s="385">
        <f t="shared" si="154"/>
        <v>0.06376426205</v>
      </c>
      <c r="AB372" s="385">
        <f t="shared" si="154"/>
        <v>0.05909979639</v>
      </c>
      <c r="AC372" s="385">
        <f t="shared" si="154"/>
        <v>0.09048590344</v>
      </c>
      <c r="AD372" s="385">
        <f t="shared" si="154"/>
        <v>0.06070895522</v>
      </c>
      <c r="AE372" s="385">
        <f t="shared" si="154"/>
        <v>0.05539588877</v>
      </c>
      <c r="AF372" s="385">
        <f t="shared" si="154"/>
        <v>0.05081638795</v>
      </c>
      <c r="AG372" s="385">
        <f t="shared" si="154"/>
        <v>0.07010111499</v>
      </c>
      <c r="AH372" s="385">
        <f t="shared" si="154"/>
        <v>0.06673947458</v>
      </c>
      <c r="AI372" s="385">
        <f t="shared" si="154"/>
        <v>0.1162605748</v>
      </c>
      <c r="AJ372" s="385">
        <f t="shared" si="154"/>
        <v>0.06971343826</v>
      </c>
      <c r="AK372" s="385">
        <f t="shared" si="154"/>
        <v>0.06607733082</v>
      </c>
      <c r="AL372" s="385">
        <f t="shared" si="154"/>
        <v>0.07036030146</v>
      </c>
      <c r="AM372" s="385">
        <f t="shared" si="154"/>
        <v>0.07036030146</v>
      </c>
      <c r="AN372" s="385">
        <f t="shared" si="154"/>
        <v>0.07036030146</v>
      </c>
      <c r="AO372" s="385">
        <f t="shared" si="154"/>
        <v>0.06436177949</v>
      </c>
      <c r="AP372" s="385">
        <f t="shared" si="154"/>
        <v>0.06764345759</v>
      </c>
      <c r="AQ372" s="385">
        <f t="shared" si="154"/>
        <v>0.07963201704</v>
      </c>
      <c r="AR372" s="385">
        <f t="shared" si="154"/>
        <v>0.0804774682</v>
      </c>
      <c r="AS372" s="385">
        <f t="shared" si="154"/>
        <v>0.06549855495</v>
      </c>
      <c r="AT372" s="385">
        <f t="shared" si="154"/>
        <v>0.0640330109</v>
      </c>
      <c r="AU372" s="385">
        <f t="shared" si="154"/>
        <v>0.05296977457</v>
      </c>
      <c r="AV372" s="385">
        <f t="shared" si="154"/>
        <v>0.1148347844</v>
      </c>
      <c r="AW372" s="274"/>
    </row>
    <row r="373">
      <c r="A373" s="123"/>
      <c r="B373" s="123"/>
      <c r="C373" s="131"/>
      <c r="D373" s="131"/>
      <c r="E373" s="269"/>
      <c r="F373" s="125"/>
      <c r="G373" s="482"/>
      <c r="H373" s="127"/>
      <c r="I373" s="128"/>
      <c r="J373" s="128"/>
      <c r="K373" s="128"/>
      <c r="L373" s="128"/>
      <c r="M373" s="128"/>
      <c r="N373" s="128"/>
      <c r="O373" s="128"/>
      <c r="P373" s="128"/>
      <c r="Q373" s="128"/>
      <c r="R373" s="317"/>
      <c r="S373" s="128"/>
      <c r="T373" s="317"/>
      <c r="U373" s="128"/>
      <c r="V373" s="128"/>
      <c r="W373" s="128"/>
      <c r="X373" s="128"/>
      <c r="Y373" s="128"/>
      <c r="Z373" s="128"/>
      <c r="AA373" s="128"/>
      <c r="AB373" s="128"/>
      <c r="AC373" s="128"/>
      <c r="AD373" s="128"/>
      <c r="AE373" s="128"/>
      <c r="AF373" s="128"/>
      <c r="AG373" s="128"/>
      <c r="AH373" s="128"/>
      <c r="AI373" s="128"/>
      <c r="AJ373" s="128"/>
      <c r="AK373" s="128"/>
      <c r="AL373" s="128"/>
      <c r="AM373" s="128"/>
      <c r="AN373" s="128"/>
      <c r="AO373" s="128"/>
      <c r="AP373" s="128"/>
      <c r="AQ373" s="128"/>
      <c r="AR373" s="128"/>
      <c r="AS373" s="128"/>
      <c r="AT373" s="128"/>
      <c r="AU373" s="128"/>
      <c r="AV373" s="128"/>
      <c r="AW373" s="130"/>
    </row>
    <row r="374">
      <c r="A374" s="123"/>
      <c r="B374" s="123"/>
      <c r="C374" s="143" t="s">
        <v>759</v>
      </c>
      <c r="F374" s="125"/>
      <c r="G374" s="482"/>
      <c r="H374" s="127"/>
      <c r="I374" s="128"/>
      <c r="J374" s="128"/>
      <c r="K374" s="128"/>
      <c r="L374" s="128"/>
      <c r="M374" s="128"/>
      <c r="N374" s="128"/>
      <c r="O374" s="128"/>
      <c r="P374" s="128"/>
      <c r="Q374" s="128"/>
      <c r="R374" s="128"/>
      <c r="S374" s="128"/>
      <c r="T374" s="317"/>
      <c r="U374" s="128"/>
      <c r="V374" s="128"/>
      <c r="W374" s="128"/>
      <c r="X374" s="128"/>
      <c r="Y374" s="128"/>
      <c r="Z374" s="128"/>
      <c r="AA374" s="128"/>
      <c r="AB374" s="128"/>
      <c r="AC374" s="128"/>
      <c r="AD374" s="128"/>
      <c r="AE374" s="128"/>
      <c r="AF374" s="128"/>
      <c r="AG374" s="128"/>
      <c r="AH374" s="128"/>
      <c r="AI374" s="128"/>
      <c r="AJ374" s="128"/>
      <c r="AK374" s="128"/>
      <c r="AL374" s="128"/>
      <c r="AM374" s="128"/>
      <c r="AN374" s="128"/>
      <c r="AO374" s="128"/>
      <c r="AP374" s="128"/>
      <c r="AQ374" s="128"/>
      <c r="AR374" s="128"/>
      <c r="AS374" s="128"/>
      <c r="AT374" s="128"/>
      <c r="AU374" s="128"/>
      <c r="AV374" s="128"/>
      <c r="AW374" s="130"/>
    </row>
    <row r="375">
      <c r="A375" s="123"/>
      <c r="B375" s="123"/>
      <c r="C375" s="131"/>
      <c r="D375" s="131"/>
      <c r="E375" s="254" t="s">
        <v>760</v>
      </c>
      <c r="F375" s="356" t="str">
        <f>Inputs!D96:F96</f>
        <v>%</v>
      </c>
      <c r="G375" s="508" t="str">
        <f>Inputs!E96:G96</f>
        <v>input</v>
      </c>
      <c r="H375" s="255">
        <f>Inputs!H96</f>
        <v>0.35</v>
      </c>
      <c r="I375" s="509" t="str">
        <f>Inputs!I96</f>
        <v>-</v>
      </c>
      <c r="J375" s="509" t="str">
        <f>Inputs!J96</f>
        <v>-</v>
      </c>
      <c r="K375" s="509" t="str">
        <f>Inputs!K96</f>
        <v>-</v>
      </c>
      <c r="L375" s="509" t="str">
        <f>Inputs!L96</f>
        <v>-</v>
      </c>
      <c r="M375" s="509" t="str">
        <f>Inputs!M96</f>
        <v>-</v>
      </c>
      <c r="N375" s="509" t="str">
        <f>Inputs!N96</f>
        <v>-</v>
      </c>
      <c r="O375" s="509" t="str">
        <f>Inputs!O96</f>
        <v>-</v>
      </c>
      <c r="P375" s="509" t="str">
        <f>Inputs!P96</f>
        <v>-</v>
      </c>
      <c r="Q375" s="509" t="str">
        <f>Inputs!Q96</f>
        <v>-</v>
      </c>
      <c r="R375" s="509" t="str">
        <f>Inputs!R96</f>
        <v>-</v>
      </c>
      <c r="S375" s="509" t="str">
        <f>Inputs!S96</f>
        <v>-</v>
      </c>
      <c r="T375" s="509" t="str">
        <f>Inputs!T96</f>
        <v>-</v>
      </c>
      <c r="U375" s="509" t="str">
        <f>Inputs!U96</f>
        <v>-</v>
      </c>
      <c r="V375" s="509" t="str">
        <f>Inputs!V96</f>
        <v>-</v>
      </c>
      <c r="W375" s="509" t="str">
        <f>Inputs!W96</f>
        <v>-</v>
      </c>
      <c r="X375" s="509" t="str">
        <f>Inputs!X96</f>
        <v>-</v>
      </c>
      <c r="Y375" s="509" t="str">
        <f>Inputs!Y96</f>
        <v>-</v>
      </c>
      <c r="Z375" s="509" t="str">
        <f>Inputs!Z96</f>
        <v>-</v>
      </c>
      <c r="AA375" s="509" t="str">
        <f>Inputs!AA96</f>
        <v>-</v>
      </c>
      <c r="AB375" s="509" t="str">
        <f>Inputs!AB96</f>
        <v>-</v>
      </c>
      <c r="AC375" s="509" t="str">
        <f>Inputs!AC96</f>
        <v>-</v>
      </c>
      <c r="AD375" s="509" t="str">
        <f>Inputs!AD96</f>
        <v>-</v>
      </c>
      <c r="AE375" s="509" t="str">
        <f>Inputs!AE96</f>
        <v>-</v>
      </c>
      <c r="AF375" s="509" t="str">
        <f>Inputs!AF96</f>
        <v>-</v>
      </c>
      <c r="AG375" s="509" t="str">
        <f>Inputs!AG96</f>
        <v>-</v>
      </c>
      <c r="AH375" s="509" t="str">
        <f>Inputs!AH96</f>
        <v>-</v>
      </c>
      <c r="AI375" s="509" t="str">
        <f>Inputs!AI96</f>
        <v>-</v>
      </c>
      <c r="AJ375" s="509" t="str">
        <f>Inputs!AJ96</f>
        <v>-</v>
      </c>
      <c r="AK375" s="509" t="str">
        <f>Inputs!AK96</f>
        <v>-</v>
      </c>
      <c r="AL375" s="509" t="str">
        <f>Inputs!AL96</f>
        <v>-</v>
      </c>
      <c r="AM375" s="509" t="str">
        <f>Inputs!AM96</f>
        <v>-</v>
      </c>
      <c r="AN375" s="509" t="str">
        <f>Inputs!AN96</f>
        <v>-</v>
      </c>
      <c r="AO375" s="509" t="str">
        <f>Inputs!AO96</f>
        <v>-</v>
      </c>
      <c r="AP375" s="509" t="str">
        <f>Inputs!AP96</f>
        <v>-</v>
      </c>
      <c r="AQ375" s="509" t="str">
        <f>Inputs!AQ96</f>
        <v>-</v>
      </c>
      <c r="AR375" s="509" t="str">
        <f>Inputs!AR96</f>
        <v>-</v>
      </c>
      <c r="AS375" s="509" t="str">
        <f>Inputs!AS96</f>
        <v>-</v>
      </c>
      <c r="AT375" s="509" t="str">
        <f>Inputs!AT96</f>
        <v>-</v>
      </c>
      <c r="AU375" s="509" t="str">
        <f>Inputs!AU96</f>
        <v>-</v>
      </c>
      <c r="AV375" s="509" t="str">
        <f>Inputs!AV96</f>
        <v>-</v>
      </c>
      <c r="AW375" s="603" t="str">
        <f>Inputs!AW96</f>
        <v/>
      </c>
    </row>
    <row r="376">
      <c r="A376" s="123"/>
      <c r="B376" s="123"/>
      <c r="C376" s="131"/>
      <c r="D376" s="131"/>
      <c r="E376" s="257" t="s">
        <v>761</v>
      </c>
      <c r="F376" s="395" t="str">
        <f>Inputs!D97:F97</f>
        <v>%</v>
      </c>
      <c r="G376" s="511" t="str">
        <f>Inputs!E97:G97</f>
        <v>input</v>
      </c>
      <c r="H376" s="258">
        <f>Inputs!H97</f>
        <v>0.55</v>
      </c>
      <c r="I376" s="509" t="str">
        <f>Inputs!I97</f>
        <v>-</v>
      </c>
      <c r="J376" s="509" t="str">
        <f>Inputs!J97</f>
        <v>-</v>
      </c>
      <c r="K376" s="509" t="str">
        <f>Inputs!K97</f>
        <v>-</v>
      </c>
      <c r="L376" s="509" t="str">
        <f>Inputs!L97</f>
        <v>-</v>
      </c>
      <c r="M376" s="509" t="str">
        <f>Inputs!M97</f>
        <v>-</v>
      </c>
      <c r="N376" s="509" t="str">
        <f>Inputs!N97</f>
        <v>-</v>
      </c>
      <c r="O376" s="509" t="str">
        <f>Inputs!O97</f>
        <v>-</v>
      </c>
      <c r="P376" s="509" t="str">
        <f>Inputs!P97</f>
        <v>-</v>
      </c>
      <c r="Q376" s="509" t="str">
        <f>Inputs!Q97</f>
        <v>-</v>
      </c>
      <c r="R376" s="509" t="str">
        <f>Inputs!R97</f>
        <v>-</v>
      </c>
      <c r="S376" s="509" t="str">
        <f>Inputs!S97</f>
        <v>-</v>
      </c>
      <c r="T376" s="509" t="str">
        <f>Inputs!T97</f>
        <v>-</v>
      </c>
      <c r="U376" s="509" t="str">
        <f>Inputs!U97</f>
        <v>-</v>
      </c>
      <c r="V376" s="509" t="str">
        <f>Inputs!V97</f>
        <v>-</v>
      </c>
      <c r="W376" s="509" t="str">
        <f>Inputs!W97</f>
        <v>-</v>
      </c>
      <c r="X376" s="509" t="str">
        <f>Inputs!X97</f>
        <v>-</v>
      </c>
      <c r="Y376" s="509" t="str">
        <f>Inputs!Y97</f>
        <v>-</v>
      </c>
      <c r="Z376" s="509" t="str">
        <f>Inputs!Z97</f>
        <v>-</v>
      </c>
      <c r="AA376" s="509" t="str">
        <f>Inputs!AA97</f>
        <v>-</v>
      </c>
      <c r="AB376" s="509" t="str">
        <f>Inputs!AB97</f>
        <v>-</v>
      </c>
      <c r="AC376" s="509" t="str">
        <f>Inputs!AC97</f>
        <v>-</v>
      </c>
      <c r="AD376" s="509" t="str">
        <f>Inputs!AD97</f>
        <v>-</v>
      </c>
      <c r="AE376" s="509" t="str">
        <f>Inputs!AE97</f>
        <v>-</v>
      </c>
      <c r="AF376" s="509" t="str">
        <f>Inputs!AF97</f>
        <v>-</v>
      </c>
      <c r="AG376" s="509" t="str">
        <f>Inputs!AG97</f>
        <v>-</v>
      </c>
      <c r="AH376" s="509" t="str">
        <f>Inputs!AH97</f>
        <v>-</v>
      </c>
      <c r="AI376" s="509" t="str">
        <f>Inputs!AI97</f>
        <v>-</v>
      </c>
      <c r="AJ376" s="509" t="str">
        <f>Inputs!AJ97</f>
        <v>-</v>
      </c>
      <c r="AK376" s="509" t="str">
        <f>Inputs!AK97</f>
        <v>-</v>
      </c>
      <c r="AL376" s="509" t="str">
        <f>Inputs!AL97</f>
        <v>-</v>
      </c>
      <c r="AM376" s="509" t="str">
        <f>Inputs!AM97</f>
        <v>-</v>
      </c>
      <c r="AN376" s="509" t="str">
        <f>Inputs!AN97</f>
        <v>-</v>
      </c>
      <c r="AO376" s="509" t="str">
        <f>Inputs!AO97</f>
        <v>-</v>
      </c>
      <c r="AP376" s="509" t="str">
        <f>Inputs!AP97</f>
        <v>-</v>
      </c>
      <c r="AQ376" s="509" t="str">
        <f>Inputs!AQ97</f>
        <v>-</v>
      </c>
      <c r="AR376" s="509" t="str">
        <f>Inputs!AR97</f>
        <v>-</v>
      </c>
      <c r="AS376" s="509" t="str">
        <f>Inputs!AS97</f>
        <v>-</v>
      </c>
      <c r="AT376" s="509" t="str">
        <f>Inputs!AT97</f>
        <v>-</v>
      </c>
      <c r="AU376" s="509" t="str">
        <f>Inputs!AU97</f>
        <v>-</v>
      </c>
      <c r="AV376" s="509" t="str">
        <f>Inputs!AV97</f>
        <v>-</v>
      </c>
      <c r="AW376" s="603" t="str">
        <f>Inputs!AW97</f>
        <v/>
      </c>
    </row>
    <row r="377">
      <c r="A377" s="123"/>
      <c r="B377" s="123"/>
      <c r="C377" s="131"/>
      <c r="D377" s="131"/>
      <c r="E377" s="257" t="s">
        <v>762</v>
      </c>
      <c r="F377" s="395" t="str">
        <f>Inputs!D98:F98</f>
        <v>%</v>
      </c>
      <c r="G377" s="511" t="str">
        <f>Inputs!E98:G98</f>
        <v>input</v>
      </c>
      <c r="H377" s="258">
        <f>Inputs!H98</f>
        <v>0.1</v>
      </c>
      <c r="I377" s="509" t="str">
        <f>Inputs!I98</f>
        <v>-</v>
      </c>
      <c r="J377" s="509" t="str">
        <f>Inputs!J98</f>
        <v>-</v>
      </c>
      <c r="K377" s="509" t="str">
        <f>Inputs!K98</f>
        <v>-</v>
      </c>
      <c r="L377" s="509" t="str">
        <f>Inputs!L98</f>
        <v>-</v>
      </c>
      <c r="M377" s="509" t="str">
        <f>Inputs!M98</f>
        <v>-</v>
      </c>
      <c r="N377" s="509" t="str">
        <f>Inputs!N98</f>
        <v>-</v>
      </c>
      <c r="O377" s="509" t="str">
        <f>Inputs!O98</f>
        <v>-</v>
      </c>
      <c r="P377" s="509" t="str">
        <f>Inputs!P98</f>
        <v>-</v>
      </c>
      <c r="Q377" s="509" t="str">
        <f>Inputs!Q98</f>
        <v>-</v>
      </c>
      <c r="R377" s="509" t="str">
        <f>Inputs!R98</f>
        <v>-</v>
      </c>
      <c r="S377" s="509" t="str">
        <f>Inputs!S98</f>
        <v>-</v>
      </c>
      <c r="T377" s="509" t="str">
        <f>Inputs!T98</f>
        <v>-</v>
      </c>
      <c r="U377" s="509" t="str">
        <f>Inputs!U98</f>
        <v>-</v>
      </c>
      <c r="V377" s="509" t="str">
        <f>Inputs!V98</f>
        <v>-</v>
      </c>
      <c r="W377" s="509" t="str">
        <f>Inputs!W98</f>
        <v>-</v>
      </c>
      <c r="X377" s="509" t="str">
        <f>Inputs!X98</f>
        <v>-</v>
      </c>
      <c r="Y377" s="509" t="str">
        <f>Inputs!Y98</f>
        <v>-</v>
      </c>
      <c r="Z377" s="509" t="str">
        <f>Inputs!Z98</f>
        <v>-</v>
      </c>
      <c r="AA377" s="509" t="str">
        <f>Inputs!AA98</f>
        <v>-</v>
      </c>
      <c r="AB377" s="509" t="str">
        <f>Inputs!AB98</f>
        <v>-</v>
      </c>
      <c r="AC377" s="509" t="str">
        <f>Inputs!AC98</f>
        <v>-</v>
      </c>
      <c r="AD377" s="509" t="str">
        <f>Inputs!AD98</f>
        <v>-</v>
      </c>
      <c r="AE377" s="509" t="str">
        <f>Inputs!AE98</f>
        <v>-</v>
      </c>
      <c r="AF377" s="509" t="str">
        <f>Inputs!AF98</f>
        <v>-</v>
      </c>
      <c r="AG377" s="509" t="str">
        <f>Inputs!AG98</f>
        <v>-</v>
      </c>
      <c r="AH377" s="509" t="str">
        <f>Inputs!AH98</f>
        <v>-</v>
      </c>
      <c r="AI377" s="509" t="str">
        <f>Inputs!AI98</f>
        <v>-</v>
      </c>
      <c r="AJ377" s="509" t="str">
        <f>Inputs!AJ98</f>
        <v>-</v>
      </c>
      <c r="AK377" s="509" t="str">
        <f>Inputs!AK98</f>
        <v>-</v>
      </c>
      <c r="AL377" s="509" t="str">
        <f>Inputs!AL98</f>
        <v>-</v>
      </c>
      <c r="AM377" s="509" t="str">
        <f>Inputs!AM98</f>
        <v>-</v>
      </c>
      <c r="AN377" s="509" t="str">
        <f>Inputs!AN98</f>
        <v>-</v>
      </c>
      <c r="AO377" s="509" t="str">
        <f>Inputs!AO98</f>
        <v>-</v>
      </c>
      <c r="AP377" s="509" t="str">
        <f>Inputs!AP98</f>
        <v>-</v>
      </c>
      <c r="AQ377" s="509" t="str">
        <f>Inputs!AQ98</f>
        <v>-</v>
      </c>
      <c r="AR377" s="509" t="str">
        <f>Inputs!AR98</f>
        <v>-</v>
      </c>
      <c r="AS377" s="509" t="str">
        <f>Inputs!AS98</f>
        <v>-</v>
      </c>
      <c r="AT377" s="509" t="str">
        <f>Inputs!AT98</f>
        <v>-</v>
      </c>
      <c r="AU377" s="509" t="str">
        <f>Inputs!AU98</f>
        <v>-</v>
      </c>
      <c r="AV377" s="509" t="str">
        <f>Inputs!AV98</f>
        <v>-</v>
      </c>
      <c r="AW377" s="603" t="str">
        <f>Inputs!AW98</f>
        <v/>
      </c>
    </row>
    <row r="378">
      <c r="A378" s="123"/>
      <c r="B378" s="123"/>
      <c r="C378" s="131"/>
      <c r="D378" s="131"/>
      <c r="E378" s="257" t="s">
        <v>763</v>
      </c>
      <c r="F378" s="395" t="str">
        <f>Inputs!D99:F99</f>
        <v>%</v>
      </c>
      <c r="G378" s="511" t="str">
        <f>Inputs!E99:G99</f>
        <v>input</v>
      </c>
      <c r="H378" s="258">
        <f>Inputs!H99</f>
        <v>0.35</v>
      </c>
      <c r="I378" s="509" t="str">
        <f>Inputs!I99</f>
        <v>-</v>
      </c>
      <c r="J378" s="509" t="str">
        <f>Inputs!J99</f>
        <v>-</v>
      </c>
      <c r="K378" s="509" t="str">
        <f>Inputs!K99</f>
        <v>-</v>
      </c>
      <c r="L378" s="509" t="str">
        <f>Inputs!L99</f>
        <v>-</v>
      </c>
      <c r="M378" s="509" t="str">
        <f>Inputs!M99</f>
        <v>-</v>
      </c>
      <c r="N378" s="509" t="str">
        <f>Inputs!N99</f>
        <v>-</v>
      </c>
      <c r="O378" s="509" t="str">
        <f>Inputs!O99</f>
        <v>-</v>
      </c>
      <c r="P378" s="509" t="str">
        <f>Inputs!P99</f>
        <v>-</v>
      </c>
      <c r="Q378" s="509" t="str">
        <f>Inputs!Q99</f>
        <v>-</v>
      </c>
      <c r="R378" s="509" t="str">
        <f>Inputs!R99</f>
        <v>-</v>
      </c>
      <c r="S378" s="509" t="str">
        <f>Inputs!S99</f>
        <v>-</v>
      </c>
      <c r="T378" s="509" t="str">
        <f>Inputs!T99</f>
        <v>-</v>
      </c>
      <c r="U378" s="509" t="str">
        <f>Inputs!U99</f>
        <v>-</v>
      </c>
      <c r="V378" s="509" t="str">
        <f>Inputs!V99</f>
        <v>-</v>
      </c>
      <c r="W378" s="509" t="str">
        <f>Inputs!W99</f>
        <v>-</v>
      </c>
      <c r="X378" s="509" t="str">
        <f>Inputs!X99</f>
        <v>-</v>
      </c>
      <c r="Y378" s="509" t="str">
        <f>Inputs!Y99</f>
        <v>-</v>
      </c>
      <c r="Z378" s="509" t="str">
        <f>Inputs!Z99</f>
        <v>-</v>
      </c>
      <c r="AA378" s="509" t="str">
        <f>Inputs!AA99</f>
        <v>-</v>
      </c>
      <c r="AB378" s="509" t="str">
        <f>Inputs!AB99</f>
        <v>-</v>
      </c>
      <c r="AC378" s="509" t="str">
        <f>Inputs!AC99</f>
        <v>-</v>
      </c>
      <c r="AD378" s="509" t="str">
        <f>Inputs!AD99</f>
        <v>-</v>
      </c>
      <c r="AE378" s="509" t="str">
        <f>Inputs!AE99</f>
        <v>-</v>
      </c>
      <c r="AF378" s="509" t="str">
        <f>Inputs!AF99</f>
        <v>-</v>
      </c>
      <c r="AG378" s="509" t="str">
        <f>Inputs!AG99</f>
        <v>-</v>
      </c>
      <c r="AH378" s="509" t="str">
        <f>Inputs!AH99</f>
        <v>-</v>
      </c>
      <c r="AI378" s="509" t="str">
        <f>Inputs!AI99</f>
        <v>-</v>
      </c>
      <c r="AJ378" s="509" t="str">
        <f>Inputs!AJ99</f>
        <v>-</v>
      </c>
      <c r="AK378" s="509" t="str">
        <f>Inputs!AK99</f>
        <v>-</v>
      </c>
      <c r="AL378" s="509" t="str">
        <f>Inputs!AL99</f>
        <v>-</v>
      </c>
      <c r="AM378" s="509" t="str">
        <f>Inputs!AM99</f>
        <v>-</v>
      </c>
      <c r="AN378" s="509" t="str">
        <f>Inputs!AN99</f>
        <v>-</v>
      </c>
      <c r="AO378" s="509" t="str">
        <f>Inputs!AO99</f>
        <v>-</v>
      </c>
      <c r="AP378" s="509" t="str">
        <f>Inputs!AP99</f>
        <v>-</v>
      </c>
      <c r="AQ378" s="509" t="str">
        <f>Inputs!AQ99</f>
        <v>-</v>
      </c>
      <c r="AR378" s="509" t="str">
        <f>Inputs!AR99</f>
        <v>-</v>
      </c>
      <c r="AS378" s="509" t="str">
        <f>Inputs!AS99</f>
        <v>-</v>
      </c>
      <c r="AT378" s="509" t="str">
        <f>Inputs!AT99</f>
        <v>-</v>
      </c>
      <c r="AU378" s="509" t="str">
        <f>Inputs!AU99</f>
        <v>-</v>
      </c>
      <c r="AV378" s="509" t="str">
        <f>Inputs!AV99</f>
        <v>-</v>
      </c>
      <c r="AW378" s="603" t="str">
        <f>Inputs!AW99</f>
        <v/>
      </c>
    </row>
    <row r="379">
      <c r="A379" s="123"/>
      <c r="B379" s="123"/>
      <c r="C379" s="131"/>
      <c r="D379" s="131"/>
      <c r="E379" s="257" t="s">
        <v>764</v>
      </c>
      <c r="F379" s="395" t="str">
        <f>Inputs!D100:F100</f>
        <v>%</v>
      </c>
      <c r="G379" s="511" t="str">
        <f>Inputs!E100:G100</f>
        <v>input</v>
      </c>
      <c r="H379" s="258">
        <f>Inputs!H100</f>
        <v>0.55</v>
      </c>
      <c r="I379" s="509" t="str">
        <f>Inputs!I100</f>
        <v>-</v>
      </c>
      <c r="J379" s="509" t="str">
        <f>Inputs!J100</f>
        <v>-</v>
      </c>
      <c r="K379" s="509" t="str">
        <f>Inputs!K100</f>
        <v>-</v>
      </c>
      <c r="L379" s="509" t="str">
        <f>Inputs!L100</f>
        <v>-</v>
      </c>
      <c r="M379" s="509" t="str">
        <f>Inputs!M100</f>
        <v>-</v>
      </c>
      <c r="N379" s="509" t="str">
        <f>Inputs!N100</f>
        <v>-</v>
      </c>
      <c r="O379" s="509" t="str">
        <f>Inputs!O100</f>
        <v>-</v>
      </c>
      <c r="P379" s="509" t="str">
        <f>Inputs!P100</f>
        <v>-</v>
      </c>
      <c r="Q379" s="509" t="str">
        <f>Inputs!Q100</f>
        <v>-</v>
      </c>
      <c r="R379" s="509" t="str">
        <f>Inputs!R100</f>
        <v>-</v>
      </c>
      <c r="S379" s="509" t="str">
        <f>Inputs!S100</f>
        <v>-</v>
      </c>
      <c r="T379" s="509" t="str">
        <f>Inputs!T100</f>
        <v>-</v>
      </c>
      <c r="U379" s="509" t="str">
        <f>Inputs!U100</f>
        <v>-</v>
      </c>
      <c r="V379" s="509" t="str">
        <f>Inputs!V100</f>
        <v>-</v>
      </c>
      <c r="W379" s="509" t="str">
        <f>Inputs!W100</f>
        <v>-</v>
      </c>
      <c r="X379" s="509" t="str">
        <f>Inputs!X100</f>
        <v>-</v>
      </c>
      <c r="Y379" s="509" t="str">
        <f>Inputs!Y100</f>
        <v>-</v>
      </c>
      <c r="Z379" s="509" t="str">
        <f>Inputs!Z100</f>
        <v>-</v>
      </c>
      <c r="AA379" s="509" t="str">
        <f>Inputs!AA100</f>
        <v>-</v>
      </c>
      <c r="AB379" s="509" t="str">
        <f>Inputs!AB100</f>
        <v>-</v>
      </c>
      <c r="AC379" s="509" t="str">
        <f>Inputs!AC100</f>
        <v>-</v>
      </c>
      <c r="AD379" s="509" t="str">
        <f>Inputs!AD100</f>
        <v>-</v>
      </c>
      <c r="AE379" s="509" t="str">
        <f>Inputs!AE100</f>
        <v>-</v>
      </c>
      <c r="AF379" s="509" t="str">
        <f>Inputs!AF100</f>
        <v>-</v>
      </c>
      <c r="AG379" s="509" t="str">
        <f>Inputs!AG100</f>
        <v>-</v>
      </c>
      <c r="AH379" s="509" t="str">
        <f>Inputs!AH100</f>
        <v>-</v>
      </c>
      <c r="AI379" s="509" t="str">
        <f>Inputs!AI100</f>
        <v>-</v>
      </c>
      <c r="AJ379" s="509" t="str">
        <f>Inputs!AJ100</f>
        <v>-</v>
      </c>
      <c r="AK379" s="509" t="str">
        <f>Inputs!AK100</f>
        <v>-</v>
      </c>
      <c r="AL379" s="509" t="str">
        <f>Inputs!AL100</f>
        <v>-</v>
      </c>
      <c r="AM379" s="509" t="str">
        <f>Inputs!AM100</f>
        <v>-</v>
      </c>
      <c r="AN379" s="509" t="str">
        <f>Inputs!AN100</f>
        <v>-</v>
      </c>
      <c r="AO379" s="509" t="str">
        <f>Inputs!AO100</f>
        <v>-</v>
      </c>
      <c r="AP379" s="509" t="str">
        <f>Inputs!AP100</f>
        <v>-</v>
      </c>
      <c r="AQ379" s="509" t="str">
        <f>Inputs!AQ100</f>
        <v>-</v>
      </c>
      <c r="AR379" s="509" t="str">
        <f>Inputs!AR100</f>
        <v>-</v>
      </c>
      <c r="AS379" s="509" t="str">
        <f>Inputs!AS100</f>
        <v>-</v>
      </c>
      <c r="AT379" s="509" t="str">
        <f>Inputs!AT100</f>
        <v>-</v>
      </c>
      <c r="AU379" s="509" t="str">
        <f>Inputs!AU100</f>
        <v>-</v>
      </c>
      <c r="AV379" s="509" t="str">
        <f>Inputs!AV100</f>
        <v>-</v>
      </c>
      <c r="AW379" s="603" t="str">
        <f>Inputs!AW100</f>
        <v/>
      </c>
    </row>
    <row r="380">
      <c r="A380" s="123"/>
      <c r="B380" s="123"/>
      <c r="C380" s="131"/>
      <c r="D380" s="131"/>
      <c r="E380" s="257" t="s">
        <v>765</v>
      </c>
      <c r="F380" s="395" t="str">
        <f>Inputs!D101:F101</f>
        <v>%</v>
      </c>
      <c r="G380" s="511" t="str">
        <f>Inputs!E101:G101</f>
        <v>input</v>
      </c>
      <c r="H380" s="258">
        <f>Inputs!H101</f>
        <v>0.1</v>
      </c>
      <c r="I380" s="509" t="str">
        <f>Inputs!I101</f>
        <v>-</v>
      </c>
      <c r="J380" s="509" t="str">
        <f>Inputs!J101</f>
        <v>-</v>
      </c>
      <c r="K380" s="509" t="str">
        <f>Inputs!K101</f>
        <v>-</v>
      </c>
      <c r="L380" s="509" t="str">
        <f>Inputs!L101</f>
        <v>-</v>
      </c>
      <c r="M380" s="509" t="str">
        <f>Inputs!M101</f>
        <v>-</v>
      </c>
      <c r="N380" s="509" t="str">
        <f>Inputs!N101</f>
        <v>-</v>
      </c>
      <c r="O380" s="509" t="str">
        <f>Inputs!O101</f>
        <v>-</v>
      </c>
      <c r="P380" s="509" t="str">
        <f>Inputs!P101</f>
        <v>-</v>
      </c>
      <c r="Q380" s="509" t="str">
        <f>Inputs!Q101</f>
        <v>-</v>
      </c>
      <c r="R380" s="509" t="str">
        <f>Inputs!R101</f>
        <v>-</v>
      </c>
      <c r="S380" s="509" t="str">
        <f>Inputs!S101</f>
        <v>-</v>
      </c>
      <c r="T380" s="509" t="str">
        <f>Inputs!T101</f>
        <v>-</v>
      </c>
      <c r="U380" s="509" t="str">
        <f>Inputs!U101</f>
        <v>-</v>
      </c>
      <c r="V380" s="509" t="str">
        <f>Inputs!V101</f>
        <v>-</v>
      </c>
      <c r="W380" s="509" t="str">
        <f>Inputs!W101</f>
        <v>-</v>
      </c>
      <c r="X380" s="509" t="str">
        <f>Inputs!X101</f>
        <v>-</v>
      </c>
      <c r="Y380" s="509" t="str">
        <f>Inputs!Y101</f>
        <v>-</v>
      </c>
      <c r="Z380" s="509" t="str">
        <f>Inputs!Z101</f>
        <v>-</v>
      </c>
      <c r="AA380" s="509" t="str">
        <f>Inputs!AA101</f>
        <v>-</v>
      </c>
      <c r="AB380" s="509" t="str">
        <f>Inputs!AB101</f>
        <v>-</v>
      </c>
      <c r="AC380" s="509" t="str">
        <f>Inputs!AC101</f>
        <v>-</v>
      </c>
      <c r="AD380" s="509" t="str">
        <f>Inputs!AD101</f>
        <v>-</v>
      </c>
      <c r="AE380" s="509" t="str">
        <f>Inputs!AE101</f>
        <v>-</v>
      </c>
      <c r="AF380" s="509" t="str">
        <f>Inputs!AF101</f>
        <v>-</v>
      </c>
      <c r="AG380" s="509" t="str">
        <f>Inputs!AG101</f>
        <v>-</v>
      </c>
      <c r="AH380" s="509" t="str">
        <f>Inputs!AH101</f>
        <v>-</v>
      </c>
      <c r="AI380" s="509" t="str">
        <f>Inputs!AI101</f>
        <v>-</v>
      </c>
      <c r="AJ380" s="509" t="str">
        <f>Inputs!AJ101</f>
        <v>-</v>
      </c>
      <c r="AK380" s="509" t="str">
        <f>Inputs!AK101</f>
        <v>-</v>
      </c>
      <c r="AL380" s="509" t="str">
        <f>Inputs!AL101</f>
        <v>-</v>
      </c>
      <c r="AM380" s="509" t="str">
        <f>Inputs!AM101</f>
        <v>-</v>
      </c>
      <c r="AN380" s="509" t="str">
        <f>Inputs!AN101</f>
        <v>-</v>
      </c>
      <c r="AO380" s="509" t="str">
        <f>Inputs!AO101</f>
        <v>-</v>
      </c>
      <c r="AP380" s="509" t="str">
        <f>Inputs!AP101</f>
        <v>-</v>
      </c>
      <c r="AQ380" s="509" t="str">
        <f>Inputs!AQ101</f>
        <v>-</v>
      </c>
      <c r="AR380" s="509" t="str">
        <f>Inputs!AR101</f>
        <v>-</v>
      </c>
      <c r="AS380" s="509" t="str">
        <f>Inputs!AS101</f>
        <v>-</v>
      </c>
      <c r="AT380" s="509" t="str">
        <f>Inputs!AT101</f>
        <v>-</v>
      </c>
      <c r="AU380" s="509" t="str">
        <f>Inputs!AU101</f>
        <v>-</v>
      </c>
      <c r="AV380" s="509" t="str">
        <f>Inputs!AV101</f>
        <v>-</v>
      </c>
      <c r="AW380" s="603" t="str">
        <f>Inputs!AW101</f>
        <v/>
      </c>
    </row>
    <row r="381">
      <c r="A381" s="123"/>
      <c r="B381" s="123"/>
      <c r="C381" s="131"/>
      <c r="D381" s="131"/>
      <c r="E381" s="257" t="s">
        <v>766</v>
      </c>
      <c r="F381" s="395" t="str">
        <f>Inputs!D102:F102</f>
        <v>%</v>
      </c>
      <c r="G381" s="511" t="str">
        <f>Inputs!E102:G102</f>
        <v>input</v>
      </c>
      <c r="H381" s="258">
        <f>Inputs!H102</f>
        <v>0.75</v>
      </c>
      <c r="I381" s="509" t="str">
        <f>Inputs!I102</f>
        <v>-</v>
      </c>
      <c r="J381" s="509" t="str">
        <f>Inputs!J102</f>
        <v>-</v>
      </c>
      <c r="K381" s="509" t="str">
        <f>Inputs!K102</f>
        <v>-</v>
      </c>
      <c r="L381" s="509" t="str">
        <f>Inputs!L102</f>
        <v>-</v>
      </c>
      <c r="M381" s="509" t="str">
        <f>Inputs!M102</f>
        <v>-</v>
      </c>
      <c r="N381" s="509" t="str">
        <f>Inputs!N102</f>
        <v>-</v>
      </c>
      <c r="O381" s="509" t="str">
        <f>Inputs!O102</f>
        <v>-</v>
      </c>
      <c r="P381" s="509" t="str">
        <f>Inputs!P102</f>
        <v>-</v>
      </c>
      <c r="Q381" s="509" t="str">
        <f>Inputs!Q102</f>
        <v>-</v>
      </c>
      <c r="R381" s="509" t="str">
        <f>Inputs!R102</f>
        <v>-</v>
      </c>
      <c r="S381" s="509" t="str">
        <f>Inputs!S102</f>
        <v>-</v>
      </c>
      <c r="T381" s="509" t="str">
        <f>Inputs!T102</f>
        <v>-</v>
      </c>
      <c r="U381" s="509" t="str">
        <f>Inputs!U102</f>
        <v>-</v>
      </c>
      <c r="V381" s="509" t="str">
        <f>Inputs!V102</f>
        <v>-</v>
      </c>
      <c r="W381" s="509" t="str">
        <f>Inputs!W102</f>
        <v>-</v>
      </c>
      <c r="X381" s="509" t="str">
        <f>Inputs!X102</f>
        <v>-</v>
      </c>
      <c r="Y381" s="509" t="str">
        <f>Inputs!Y102</f>
        <v>-</v>
      </c>
      <c r="Z381" s="509" t="str">
        <f>Inputs!Z102</f>
        <v>-</v>
      </c>
      <c r="AA381" s="509" t="str">
        <f>Inputs!AA102</f>
        <v>-</v>
      </c>
      <c r="AB381" s="509" t="str">
        <f>Inputs!AB102</f>
        <v>-</v>
      </c>
      <c r="AC381" s="509" t="str">
        <f>Inputs!AC102</f>
        <v>-</v>
      </c>
      <c r="AD381" s="509" t="str">
        <f>Inputs!AD102</f>
        <v>-</v>
      </c>
      <c r="AE381" s="509" t="str">
        <f>Inputs!AE102</f>
        <v>-</v>
      </c>
      <c r="AF381" s="509" t="str">
        <f>Inputs!AF102</f>
        <v>-</v>
      </c>
      <c r="AG381" s="509" t="str">
        <f>Inputs!AG102</f>
        <v>-</v>
      </c>
      <c r="AH381" s="509" t="str">
        <f>Inputs!AH102</f>
        <v>-</v>
      </c>
      <c r="AI381" s="509" t="str">
        <f>Inputs!AI102</f>
        <v>-</v>
      </c>
      <c r="AJ381" s="509" t="str">
        <f>Inputs!AJ102</f>
        <v>-</v>
      </c>
      <c r="AK381" s="509" t="str">
        <f>Inputs!AK102</f>
        <v>-</v>
      </c>
      <c r="AL381" s="509" t="str">
        <f>Inputs!AL102</f>
        <v>-</v>
      </c>
      <c r="AM381" s="509" t="str">
        <f>Inputs!AM102</f>
        <v>-</v>
      </c>
      <c r="AN381" s="509" t="str">
        <f>Inputs!AN102</f>
        <v>-</v>
      </c>
      <c r="AO381" s="509" t="str">
        <f>Inputs!AO102</f>
        <v>-</v>
      </c>
      <c r="AP381" s="509" t="str">
        <f>Inputs!AP102</f>
        <v>-</v>
      </c>
      <c r="AQ381" s="509" t="str">
        <f>Inputs!AQ102</f>
        <v>-</v>
      </c>
      <c r="AR381" s="509" t="str">
        <f>Inputs!AR102</f>
        <v>-</v>
      </c>
      <c r="AS381" s="509" t="str">
        <f>Inputs!AS102</f>
        <v>-</v>
      </c>
      <c r="AT381" s="509" t="str">
        <f>Inputs!AT102</f>
        <v>-</v>
      </c>
      <c r="AU381" s="509" t="str">
        <f>Inputs!AU102</f>
        <v>-</v>
      </c>
      <c r="AV381" s="509" t="str">
        <f>Inputs!AV102</f>
        <v>-</v>
      </c>
      <c r="AW381" s="603" t="str">
        <f>Inputs!AW102</f>
        <v/>
      </c>
    </row>
    <row r="382">
      <c r="A382" s="123"/>
      <c r="B382" s="123"/>
      <c r="C382" s="131"/>
      <c r="D382" s="131"/>
      <c r="E382" s="257" t="s">
        <v>767</v>
      </c>
      <c r="F382" s="395" t="str">
        <f>Inputs!D103:F103</f>
        <v>%</v>
      </c>
      <c r="G382" s="511" t="str">
        <f>Inputs!E103:G103</f>
        <v>input</v>
      </c>
      <c r="H382" s="258">
        <f>Inputs!H103</f>
        <v>0.15</v>
      </c>
      <c r="I382" s="509" t="str">
        <f>Inputs!I103</f>
        <v>-</v>
      </c>
      <c r="J382" s="509" t="str">
        <f>Inputs!J103</f>
        <v>-</v>
      </c>
      <c r="K382" s="509" t="str">
        <f>Inputs!K103</f>
        <v>-</v>
      </c>
      <c r="L382" s="509" t="str">
        <f>Inputs!L103</f>
        <v>-</v>
      </c>
      <c r="M382" s="509" t="str">
        <f>Inputs!M103</f>
        <v>-</v>
      </c>
      <c r="N382" s="509" t="str">
        <f>Inputs!N103</f>
        <v>-</v>
      </c>
      <c r="O382" s="509" t="str">
        <f>Inputs!O103</f>
        <v>-</v>
      </c>
      <c r="P382" s="509" t="str">
        <f>Inputs!P103</f>
        <v>-</v>
      </c>
      <c r="Q382" s="509" t="str">
        <f>Inputs!Q103</f>
        <v>-</v>
      </c>
      <c r="R382" s="509" t="str">
        <f>Inputs!R103</f>
        <v>-</v>
      </c>
      <c r="S382" s="509" t="str">
        <f>Inputs!S103</f>
        <v>-</v>
      </c>
      <c r="T382" s="509" t="str">
        <f>Inputs!T103</f>
        <v>-</v>
      </c>
      <c r="U382" s="509" t="str">
        <f>Inputs!U103</f>
        <v>-</v>
      </c>
      <c r="V382" s="509" t="str">
        <f>Inputs!V103</f>
        <v>-</v>
      </c>
      <c r="W382" s="509" t="str">
        <f>Inputs!W103</f>
        <v>-</v>
      </c>
      <c r="X382" s="509" t="str">
        <f>Inputs!X103</f>
        <v>-</v>
      </c>
      <c r="Y382" s="509" t="str">
        <f>Inputs!Y103</f>
        <v>-</v>
      </c>
      <c r="Z382" s="509" t="str">
        <f>Inputs!Z103</f>
        <v>-</v>
      </c>
      <c r="AA382" s="509" t="str">
        <f>Inputs!AA103</f>
        <v>-</v>
      </c>
      <c r="AB382" s="509" t="str">
        <f>Inputs!AB103</f>
        <v>-</v>
      </c>
      <c r="AC382" s="509" t="str">
        <f>Inputs!AC103</f>
        <v>-</v>
      </c>
      <c r="AD382" s="509" t="str">
        <f>Inputs!AD103</f>
        <v>-</v>
      </c>
      <c r="AE382" s="509" t="str">
        <f>Inputs!AE103</f>
        <v>-</v>
      </c>
      <c r="AF382" s="509" t="str">
        <f>Inputs!AF103</f>
        <v>-</v>
      </c>
      <c r="AG382" s="509" t="str">
        <f>Inputs!AG103</f>
        <v>-</v>
      </c>
      <c r="AH382" s="509" t="str">
        <f>Inputs!AH103</f>
        <v>-</v>
      </c>
      <c r="AI382" s="509" t="str">
        <f>Inputs!AI103</f>
        <v>-</v>
      </c>
      <c r="AJ382" s="509" t="str">
        <f>Inputs!AJ103</f>
        <v>-</v>
      </c>
      <c r="AK382" s="509" t="str">
        <f>Inputs!AK103</f>
        <v>-</v>
      </c>
      <c r="AL382" s="509" t="str">
        <f>Inputs!AL103</f>
        <v>-</v>
      </c>
      <c r="AM382" s="509" t="str">
        <f>Inputs!AM103</f>
        <v>-</v>
      </c>
      <c r="AN382" s="509" t="str">
        <f>Inputs!AN103</f>
        <v>-</v>
      </c>
      <c r="AO382" s="509" t="str">
        <f>Inputs!AO103</f>
        <v>-</v>
      </c>
      <c r="AP382" s="509" t="str">
        <f>Inputs!AP103</f>
        <v>-</v>
      </c>
      <c r="AQ382" s="509" t="str">
        <f>Inputs!AQ103</f>
        <v>-</v>
      </c>
      <c r="AR382" s="509" t="str">
        <f>Inputs!AR103</f>
        <v>-</v>
      </c>
      <c r="AS382" s="509" t="str">
        <f>Inputs!AS103</f>
        <v>-</v>
      </c>
      <c r="AT382" s="509" t="str">
        <f>Inputs!AT103</f>
        <v>-</v>
      </c>
      <c r="AU382" s="509" t="str">
        <f>Inputs!AU103</f>
        <v>-</v>
      </c>
      <c r="AV382" s="509" t="str">
        <f>Inputs!AV103</f>
        <v>-</v>
      </c>
      <c r="AW382" s="603" t="str">
        <f>Inputs!AW103</f>
        <v/>
      </c>
    </row>
    <row r="383">
      <c r="A383" s="123"/>
      <c r="B383" s="123"/>
      <c r="C383" s="131"/>
      <c r="D383" s="131"/>
      <c r="E383" s="257" t="s">
        <v>768</v>
      </c>
      <c r="F383" s="395" t="str">
        <f>Inputs!D104:F104</f>
        <v>%</v>
      </c>
      <c r="G383" s="511" t="str">
        <f>Inputs!E104:G104</f>
        <v>input</v>
      </c>
      <c r="H383" s="258">
        <f>Inputs!H104</f>
        <v>0.1</v>
      </c>
      <c r="I383" s="509" t="str">
        <f>Inputs!I104</f>
        <v>-</v>
      </c>
      <c r="J383" s="509" t="str">
        <f>Inputs!J104</f>
        <v>-</v>
      </c>
      <c r="K383" s="509" t="str">
        <f>Inputs!K104</f>
        <v>-</v>
      </c>
      <c r="L383" s="509" t="str">
        <f>Inputs!L104</f>
        <v>-</v>
      </c>
      <c r="M383" s="509" t="str">
        <f>Inputs!M104</f>
        <v>-</v>
      </c>
      <c r="N383" s="509" t="str">
        <f>Inputs!N104</f>
        <v>-</v>
      </c>
      <c r="O383" s="509" t="str">
        <f>Inputs!O104</f>
        <v>-</v>
      </c>
      <c r="P383" s="509" t="str">
        <f>Inputs!P104</f>
        <v>-</v>
      </c>
      <c r="Q383" s="509" t="str">
        <f>Inputs!Q104</f>
        <v>-</v>
      </c>
      <c r="R383" s="509" t="str">
        <f>Inputs!R104</f>
        <v>-</v>
      </c>
      <c r="S383" s="509" t="str">
        <f>Inputs!S104</f>
        <v>-</v>
      </c>
      <c r="T383" s="509" t="str">
        <f>Inputs!T104</f>
        <v>-</v>
      </c>
      <c r="U383" s="509" t="str">
        <f>Inputs!U104</f>
        <v>-</v>
      </c>
      <c r="V383" s="509" t="str">
        <f>Inputs!V104</f>
        <v>-</v>
      </c>
      <c r="W383" s="509" t="str">
        <f>Inputs!W104</f>
        <v>-</v>
      </c>
      <c r="X383" s="509" t="str">
        <f>Inputs!X104</f>
        <v>-</v>
      </c>
      <c r="Y383" s="509" t="str">
        <f>Inputs!Y104</f>
        <v>-</v>
      </c>
      <c r="Z383" s="509" t="str">
        <f>Inputs!Z104</f>
        <v>-</v>
      </c>
      <c r="AA383" s="509" t="str">
        <f>Inputs!AA104</f>
        <v>-</v>
      </c>
      <c r="AB383" s="509" t="str">
        <f>Inputs!AB104</f>
        <v>-</v>
      </c>
      <c r="AC383" s="509" t="str">
        <f>Inputs!AC104</f>
        <v>-</v>
      </c>
      <c r="AD383" s="509" t="str">
        <f>Inputs!AD104</f>
        <v>-</v>
      </c>
      <c r="AE383" s="509" t="str">
        <f>Inputs!AE104</f>
        <v>-</v>
      </c>
      <c r="AF383" s="509" t="str">
        <f>Inputs!AF104</f>
        <v>-</v>
      </c>
      <c r="AG383" s="509" t="str">
        <f>Inputs!AG104</f>
        <v>-</v>
      </c>
      <c r="AH383" s="509" t="str">
        <f>Inputs!AH104</f>
        <v>-</v>
      </c>
      <c r="AI383" s="509" t="str">
        <f>Inputs!AI104</f>
        <v>-</v>
      </c>
      <c r="AJ383" s="509" t="str">
        <f>Inputs!AJ104</f>
        <v>-</v>
      </c>
      <c r="AK383" s="509" t="str">
        <f>Inputs!AK104</f>
        <v>-</v>
      </c>
      <c r="AL383" s="509" t="str">
        <f>Inputs!AL104</f>
        <v>-</v>
      </c>
      <c r="AM383" s="509" t="str">
        <f>Inputs!AM104</f>
        <v>-</v>
      </c>
      <c r="AN383" s="509" t="str">
        <f>Inputs!AN104</f>
        <v>-</v>
      </c>
      <c r="AO383" s="509" t="str">
        <f>Inputs!AO104</f>
        <v>-</v>
      </c>
      <c r="AP383" s="509" t="str">
        <f>Inputs!AP104</f>
        <v>-</v>
      </c>
      <c r="AQ383" s="509" t="str">
        <f>Inputs!AQ104</f>
        <v>-</v>
      </c>
      <c r="AR383" s="509" t="str">
        <f>Inputs!AR104</f>
        <v>-</v>
      </c>
      <c r="AS383" s="509" t="str">
        <f>Inputs!AS104</f>
        <v>-</v>
      </c>
      <c r="AT383" s="509" t="str">
        <f>Inputs!AT104</f>
        <v>-</v>
      </c>
      <c r="AU383" s="509" t="str">
        <f>Inputs!AU104</f>
        <v>-</v>
      </c>
      <c r="AV383" s="509" t="str">
        <f>Inputs!AV104</f>
        <v>-</v>
      </c>
      <c r="AW383" s="603" t="str">
        <f>Inputs!AW104</f>
        <v/>
      </c>
    </row>
    <row r="384">
      <c r="A384" s="123"/>
      <c r="B384" s="123"/>
      <c r="C384" s="131"/>
      <c r="D384" s="131"/>
      <c r="E384" s="257" t="s">
        <v>769</v>
      </c>
      <c r="F384" s="395" t="str">
        <f>Inputs!D105:F105</f>
        <v>%</v>
      </c>
      <c r="G384" s="511" t="str">
        <f>Inputs!E105:G105</f>
        <v>calc</v>
      </c>
      <c r="H384" s="258">
        <f>Inputs!H105</f>
        <v>0.9444444444</v>
      </c>
      <c r="I384" s="512" t="str">
        <f>Inputs!I105</f>
        <v>-</v>
      </c>
      <c r="J384" s="512" t="str">
        <f>Inputs!J105</f>
        <v>-</v>
      </c>
      <c r="K384" s="512" t="str">
        <f>Inputs!K105</f>
        <v>-</v>
      </c>
      <c r="L384" s="512" t="str">
        <f>Inputs!L105</f>
        <v>-</v>
      </c>
      <c r="M384" s="512" t="str">
        <f>Inputs!M105</f>
        <v>-</v>
      </c>
      <c r="N384" s="512" t="str">
        <f>Inputs!N105</f>
        <v>-</v>
      </c>
      <c r="O384" s="512" t="str">
        <f>Inputs!O105</f>
        <v>-</v>
      </c>
      <c r="P384" s="512" t="str">
        <f>Inputs!P105</f>
        <v>-</v>
      </c>
      <c r="Q384" s="512" t="str">
        <f>Inputs!Q105</f>
        <v>-</v>
      </c>
      <c r="R384" s="512" t="str">
        <f>Inputs!R105</f>
        <v>-</v>
      </c>
      <c r="S384" s="512" t="str">
        <f>Inputs!S105</f>
        <v>-</v>
      </c>
      <c r="T384" s="512" t="str">
        <f>Inputs!T105</f>
        <v>-</v>
      </c>
      <c r="U384" s="512" t="str">
        <f>Inputs!U105</f>
        <v>-</v>
      </c>
      <c r="V384" s="512" t="str">
        <f>Inputs!V105</f>
        <v>-</v>
      </c>
      <c r="W384" s="512" t="str">
        <f>Inputs!W105</f>
        <v>-</v>
      </c>
      <c r="X384" s="512" t="str">
        <f>Inputs!X105</f>
        <v>-</v>
      </c>
      <c r="Y384" s="512" t="str">
        <f>Inputs!Y105</f>
        <v>-</v>
      </c>
      <c r="Z384" s="512" t="str">
        <f>Inputs!Z105</f>
        <v>-</v>
      </c>
      <c r="AA384" s="512" t="str">
        <f>Inputs!AA105</f>
        <v>-</v>
      </c>
      <c r="AB384" s="512" t="str">
        <f>Inputs!AB105</f>
        <v>-</v>
      </c>
      <c r="AC384" s="512" t="str">
        <f>Inputs!AC105</f>
        <v>-</v>
      </c>
      <c r="AD384" s="512" t="str">
        <f>Inputs!AD105</f>
        <v>-</v>
      </c>
      <c r="AE384" s="512" t="str">
        <f>Inputs!AE105</f>
        <v>-</v>
      </c>
      <c r="AF384" s="512" t="str">
        <f>Inputs!AF105</f>
        <v>-</v>
      </c>
      <c r="AG384" s="512" t="str">
        <f>Inputs!AG105</f>
        <v>-</v>
      </c>
      <c r="AH384" s="512" t="str">
        <f>Inputs!AH105</f>
        <v>-</v>
      </c>
      <c r="AI384" s="512" t="str">
        <f>Inputs!AI105</f>
        <v>-</v>
      </c>
      <c r="AJ384" s="512" t="str">
        <f>Inputs!AJ105</f>
        <v>-</v>
      </c>
      <c r="AK384" s="512" t="str">
        <f>Inputs!AK105</f>
        <v>-</v>
      </c>
      <c r="AL384" s="512" t="str">
        <f>Inputs!AL105</f>
        <v>-</v>
      </c>
      <c r="AM384" s="512" t="str">
        <f>Inputs!AM105</f>
        <v>-</v>
      </c>
      <c r="AN384" s="512" t="str">
        <f>Inputs!AN105</f>
        <v>-</v>
      </c>
      <c r="AO384" s="512" t="str">
        <f>Inputs!AO105</f>
        <v>-</v>
      </c>
      <c r="AP384" s="512" t="str">
        <f>Inputs!AP105</f>
        <v>-</v>
      </c>
      <c r="AQ384" s="512" t="str">
        <f>Inputs!AQ105</f>
        <v>-</v>
      </c>
      <c r="AR384" s="512" t="str">
        <f>Inputs!AR105</f>
        <v>-</v>
      </c>
      <c r="AS384" s="512" t="str">
        <f>Inputs!AS105</f>
        <v>-</v>
      </c>
      <c r="AT384" s="512" t="str">
        <f>Inputs!AT105</f>
        <v>-</v>
      </c>
      <c r="AU384" s="512" t="str">
        <f>Inputs!AU105</f>
        <v>-</v>
      </c>
      <c r="AV384" s="512" t="str">
        <f>Inputs!AV105</f>
        <v>-</v>
      </c>
      <c r="AW384" s="604" t="str">
        <f>Inputs!AW105</f>
        <v/>
      </c>
    </row>
    <row r="385">
      <c r="A385" s="123"/>
      <c r="B385" s="123"/>
      <c r="C385" s="131"/>
      <c r="D385" s="131"/>
      <c r="E385" s="490" t="s">
        <v>770</v>
      </c>
      <c r="F385" s="435" t="str">
        <f>Inputs!D106:F106</f>
        <v>%</v>
      </c>
      <c r="G385" s="518" t="str">
        <f>Inputs!E106:G106</f>
        <v>calc</v>
      </c>
      <c r="H385" s="519">
        <f>Inputs!H106</f>
        <v>0.05555555556</v>
      </c>
      <c r="I385" s="520" t="str">
        <f>Inputs!I106</f>
        <v>-</v>
      </c>
      <c r="J385" s="520" t="str">
        <f>Inputs!J106</f>
        <v>-</v>
      </c>
      <c r="K385" s="520" t="str">
        <f>Inputs!K106</f>
        <v>-</v>
      </c>
      <c r="L385" s="520" t="str">
        <f>Inputs!L106</f>
        <v>-</v>
      </c>
      <c r="M385" s="520" t="str">
        <f>Inputs!M106</f>
        <v>-</v>
      </c>
      <c r="N385" s="520" t="str">
        <f>Inputs!N106</f>
        <v>-</v>
      </c>
      <c r="O385" s="520" t="str">
        <f>Inputs!O106</f>
        <v>-</v>
      </c>
      <c r="P385" s="520" t="str">
        <f>Inputs!P106</f>
        <v>-</v>
      </c>
      <c r="Q385" s="520" t="str">
        <f>Inputs!Q106</f>
        <v>-</v>
      </c>
      <c r="R385" s="520" t="str">
        <f>Inputs!R106</f>
        <v>-</v>
      </c>
      <c r="S385" s="520" t="str">
        <f>Inputs!S106</f>
        <v>-</v>
      </c>
      <c r="T385" s="520" t="str">
        <f>Inputs!T106</f>
        <v>-</v>
      </c>
      <c r="U385" s="520" t="str">
        <f>Inputs!U106</f>
        <v>-</v>
      </c>
      <c r="V385" s="520" t="str">
        <f>Inputs!V106</f>
        <v>-</v>
      </c>
      <c r="W385" s="520" t="str">
        <f>Inputs!W106</f>
        <v>-</v>
      </c>
      <c r="X385" s="520" t="str">
        <f>Inputs!X106</f>
        <v>-</v>
      </c>
      <c r="Y385" s="520" t="str">
        <f>Inputs!Y106</f>
        <v>-</v>
      </c>
      <c r="Z385" s="520" t="str">
        <f>Inputs!Z106</f>
        <v>-</v>
      </c>
      <c r="AA385" s="520" t="str">
        <f>Inputs!AA106</f>
        <v>-</v>
      </c>
      <c r="AB385" s="520" t="str">
        <f>Inputs!AB106</f>
        <v>-</v>
      </c>
      <c r="AC385" s="520" t="str">
        <f>Inputs!AC106</f>
        <v>-</v>
      </c>
      <c r="AD385" s="520" t="str">
        <f>Inputs!AD106</f>
        <v>-</v>
      </c>
      <c r="AE385" s="520" t="str">
        <f>Inputs!AE106</f>
        <v>-</v>
      </c>
      <c r="AF385" s="520" t="str">
        <f>Inputs!AF106</f>
        <v>-</v>
      </c>
      <c r="AG385" s="520" t="str">
        <f>Inputs!AG106</f>
        <v>-</v>
      </c>
      <c r="AH385" s="520" t="str">
        <f>Inputs!AH106</f>
        <v>-</v>
      </c>
      <c r="AI385" s="520" t="str">
        <f>Inputs!AI106</f>
        <v>-</v>
      </c>
      <c r="AJ385" s="520" t="str">
        <f>Inputs!AJ106</f>
        <v>-</v>
      </c>
      <c r="AK385" s="520" t="str">
        <f>Inputs!AK106</f>
        <v>-</v>
      </c>
      <c r="AL385" s="520" t="str">
        <f>Inputs!AL106</f>
        <v>-</v>
      </c>
      <c r="AM385" s="520" t="str">
        <f>Inputs!AM106</f>
        <v>-</v>
      </c>
      <c r="AN385" s="520" t="str">
        <f>Inputs!AN106</f>
        <v>-</v>
      </c>
      <c r="AO385" s="520" t="str">
        <f>Inputs!AO106</f>
        <v>-</v>
      </c>
      <c r="AP385" s="520" t="str">
        <f>Inputs!AP106</f>
        <v>-</v>
      </c>
      <c r="AQ385" s="520" t="str">
        <f>Inputs!AQ106</f>
        <v>-</v>
      </c>
      <c r="AR385" s="520" t="str">
        <f>Inputs!AR106</f>
        <v>-</v>
      </c>
      <c r="AS385" s="520" t="str">
        <f>Inputs!AS106</f>
        <v>-</v>
      </c>
      <c r="AT385" s="520" t="str">
        <f>Inputs!AT106</f>
        <v>-</v>
      </c>
      <c r="AU385" s="520" t="str">
        <f>Inputs!AU106</f>
        <v>-</v>
      </c>
      <c r="AV385" s="520" t="str">
        <f>Inputs!AV106</f>
        <v>-</v>
      </c>
      <c r="AW385" s="605" t="str">
        <f>Inputs!AW106</f>
        <v/>
      </c>
    </row>
    <row r="386">
      <c r="A386" s="123"/>
      <c r="B386" s="123"/>
      <c r="C386" s="131"/>
      <c r="D386" s="131"/>
      <c r="E386" s="269"/>
      <c r="F386" s="125"/>
      <c r="G386" s="482"/>
      <c r="H386" s="127"/>
      <c r="I386" s="128"/>
      <c r="J386" s="128"/>
      <c r="K386" s="128"/>
      <c r="L386" s="128"/>
      <c r="M386" s="128"/>
      <c r="N386" s="128"/>
      <c r="O386" s="128"/>
      <c r="P386" s="128"/>
      <c r="Q386" s="128"/>
      <c r="R386" s="128"/>
      <c r="S386" s="128"/>
      <c r="T386" s="317"/>
      <c r="U386" s="128"/>
      <c r="V386" s="128"/>
      <c r="W386" s="128"/>
      <c r="X386" s="128"/>
      <c r="Y386" s="128"/>
      <c r="Z386" s="128"/>
      <c r="AA386" s="128"/>
      <c r="AB386" s="128"/>
      <c r="AC386" s="128"/>
      <c r="AD386" s="128"/>
      <c r="AE386" s="128"/>
      <c r="AF386" s="128"/>
      <c r="AG386" s="128"/>
      <c r="AH386" s="128"/>
      <c r="AI386" s="128"/>
      <c r="AJ386" s="128"/>
      <c r="AK386" s="128"/>
      <c r="AL386" s="128"/>
      <c r="AM386" s="128"/>
      <c r="AN386" s="128"/>
      <c r="AO386" s="128"/>
      <c r="AP386" s="128"/>
      <c r="AQ386" s="128"/>
      <c r="AR386" s="128"/>
      <c r="AS386" s="128"/>
      <c r="AT386" s="128"/>
      <c r="AU386" s="128"/>
      <c r="AV386" s="128"/>
      <c r="AW386" s="130"/>
    </row>
    <row r="387">
      <c r="A387" s="123"/>
      <c r="B387" s="123"/>
      <c r="C387" s="131" t="s">
        <v>365</v>
      </c>
      <c r="F387" s="125"/>
      <c r="G387" s="482"/>
      <c r="H387" s="127"/>
      <c r="I387" s="128"/>
      <c r="J387" s="128"/>
      <c r="K387" s="128"/>
      <c r="L387" s="128"/>
      <c r="M387" s="128"/>
      <c r="N387" s="128"/>
      <c r="O387" s="128"/>
      <c r="P387" s="128"/>
      <c r="Q387" s="128"/>
      <c r="R387" s="128"/>
      <c r="S387" s="128"/>
      <c r="T387" s="317"/>
      <c r="U387" s="128"/>
      <c r="V387" s="128"/>
      <c r="W387" s="128"/>
      <c r="X387" s="128"/>
      <c r="Y387" s="128"/>
      <c r="Z387" s="128"/>
      <c r="AA387" s="128"/>
      <c r="AB387" s="128"/>
      <c r="AC387" s="128"/>
      <c r="AD387" s="128"/>
      <c r="AE387" s="128"/>
      <c r="AF387" s="128"/>
      <c r="AG387" s="128"/>
      <c r="AH387" s="128"/>
      <c r="AI387" s="128"/>
      <c r="AJ387" s="128"/>
      <c r="AK387" s="128"/>
      <c r="AL387" s="128"/>
      <c r="AM387" s="128"/>
      <c r="AN387" s="128"/>
      <c r="AO387" s="128"/>
      <c r="AP387" s="128"/>
      <c r="AQ387" s="128"/>
      <c r="AR387" s="128"/>
      <c r="AS387" s="128"/>
      <c r="AT387" s="128"/>
      <c r="AU387" s="128"/>
      <c r="AV387" s="128"/>
      <c r="AW387" s="130"/>
    </row>
    <row r="388">
      <c r="A388" s="123"/>
      <c r="B388" s="123"/>
      <c r="C388" s="131"/>
      <c r="D388" s="131"/>
      <c r="E388" s="254" t="s">
        <v>366</v>
      </c>
      <c r="F388" s="193" t="str">
        <f>F367</f>
        <v>%</v>
      </c>
      <c r="G388" s="483" t="s">
        <v>155</v>
      </c>
      <c r="H388" s="389" t="str">
        <f t="shared" ref="H388:AV388" si="155">H367</f>
        <v>-</v>
      </c>
      <c r="I388" s="383">
        <f t="shared" si="155"/>
        <v>0.1782349073</v>
      </c>
      <c r="J388" s="383">
        <f t="shared" si="155"/>
        <v>0.1203335906</v>
      </c>
      <c r="K388" s="383">
        <f t="shared" si="155"/>
        <v>0.2030213616</v>
      </c>
      <c r="L388" s="383">
        <f t="shared" si="155"/>
        <v>0.1065706465</v>
      </c>
      <c r="M388" s="383">
        <f t="shared" si="155"/>
        <v>0.1327762775</v>
      </c>
      <c r="N388" s="383">
        <f t="shared" si="155"/>
        <v>0.1733297403</v>
      </c>
      <c r="O388" s="383">
        <f t="shared" si="155"/>
        <v>0.1578965315</v>
      </c>
      <c r="P388" s="383">
        <f t="shared" si="155"/>
        <v>0.18003357</v>
      </c>
      <c r="Q388" s="383">
        <f t="shared" si="155"/>
        <v>0.2055157123</v>
      </c>
      <c r="R388" s="383">
        <f t="shared" si="155"/>
        <v>0.08644994566</v>
      </c>
      <c r="S388" s="383">
        <f t="shared" si="155"/>
        <v>0.1262181503</v>
      </c>
      <c r="T388" s="383">
        <f t="shared" si="155"/>
        <v>0.08233124757</v>
      </c>
      <c r="U388" s="383">
        <f t="shared" si="155"/>
        <v>0.0796192129</v>
      </c>
      <c r="V388" s="383">
        <f t="shared" si="155"/>
        <v>0.06718777858</v>
      </c>
      <c r="W388" s="383">
        <f t="shared" si="155"/>
        <v>0.1006389542</v>
      </c>
      <c r="X388" s="383">
        <f t="shared" si="155"/>
        <v>0.09950085865</v>
      </c>
      <c r="Y388" s="383">
        <f t="shared" si="155"/>
        <v>0.08927550034</v>
      </c>
      <c r="Z388" s="383">
        <f t="shared" si="155"/>
        <v>0.09606846602</v>
      </c>
      <c r="AA388" s="383">
        <f t="shared" si="155"/>
        <v>0.09533082911</v>
      </c>
      <c r="AB388" s="383">
        <f t="shared" si="155"/>
        <v>0.09250961696</v>
      </c>
      <c r="AC388" s="383">
        <f t="shared" si="155"/>
        <v>0.1094520505</v>
      </c>
      <c r="AD388" s="383">
        <f t="shared" si="155"/>
        <v>0.08314302052</v>
      </c>
      <c r="AE388" s="383">
        <f t="shared" si="155"/>
        <v>0.100122233</v>
      </c>
      <c r="AF388" s="383">
        <f t="shared" si="155"/>
        <v>0.09370492827</v>
      </c>
      <c r="AG388" s="383">
        <f t="shared" si="155"/>
        <v>0.1065706465</v>
      </c>
      <c r="AH388" s="383">
        <f t="shared" si="155"/>
        <v>0.06350413719</v>
      </c>
      <c r="AI388" s="383">
        <f t="shared" si="155"/>
        <v>0.08074745526</v>
      </c>
      <c r="AJ388" s="383">
        <f t="shared" si="155"/>
        <v>0.08352429428</v>
      </c>
      <c r="AK388" s="383">
        <f t="shared" si="155"/>
        <v>0.108970206</v>
      </c>
      <c r="AL388" s="383">
        <f t="shared" si="155"/>
        <v>0.1148108911</v>
      </c>
      <c r="AM388" s="383">
        <f t="shared" si="155"/>
        <v>0.1148108911</v>
      </c>
      <c r="AN388" s="383">
        <f t="shared" si="155"/>
        <v>0.1148108911</v>
      </c>
      <c r="AO388" s="383">
        <f t="shared" si="155"/>
        <v>0.08765625677</v>
      </c>
      <c r="AP388" s="383">
        <f t="shared" si="155"/>
        <v>0.09622422835</v>
      </c>
      <c r="AQ388" s="383">
        <f t="shared" si="155"/>
        <v>0.09116531324</v>
      </c>
      <c r="AR388" s="383">
        <f t="shared" si="155"/>
        <v>0.06671598947</v>
      </c>
      <c r="AS388" s="383">
        <f t="shared" si="155"/>
        <v>0.1122708694</v>
      </c>
      <c r="AT388" s="383">
        <f t="shared" si="155"/>
        <v>0.0947934804</v>
      </c>
      <c r="AU388" s="383">
        <f t="shared" si="155"/>
        <v>0.1144120014</v>
      </c>
      <c r="AV388" s="383">
        <f t="shared" si="155"/>
        <v>0.1598644238</v>
      </c>
      <c r="AW388" s="256"/>
    </row>
    <row r="389">
      <c r="A389" s="123"/>
      <c r="B389" s="123"/>
      <c r="C389" s="131"/>
      <c r="D389" s="131"/>
      <c r="E389" s="257" t="s">
        <v>367</v>
      </c>
      <c r="F389" s="213" t="s">
        <v>72</v>
      </c>
      <c r="G389" s="485" t="s">
        <v>161</v>
      </c>
      <c r="H389" s="240" t="s">
        <v>162</v>
      </c>
      <c r="I389" s="217">
        <f t="shared" ref="I389:AV389" si="156">SUM(I$368:I$369)*$H375</f>
        <v>0.07364431546</v>
      </c>
      <c r="J389" s="217">
        <f t="shared" si="156"/>
        <v>0.09622371017</v>
      </c>
      <c r="K389" s="217">
        <f t="shared" si="156"/>
        <v>0.09177259407</v>
      </c>
      <c r="L389" s="217">
        <f t="shared" si="156"/>
        <v>0.1123244321</v>
      </c>
      <c r="M389" s="217">
        <f t="shared" si="156"/>
        <v>0.08557590775</v>
      </c>
      <c r="N389" s="217">
        <f t="shared" si="156"/>
        <v>0.08962916834</v>
      </c>
      <c r="O389" s="217">
        <f t="shared" si="156"/>
        <v>0.1046620826</v>
      </c>
      <c r="P389" s="217">
        <f t="shared" si="156"/>
        <v>0.08002381085</v>
      </c>
      <c r="Q389" s="217">
        <f t="shared" si="156"/>
        <v>0.08523582556</v>
      </c>
      <c r="R389" s="217">
        <f t="shared" si="156"/>
        <v>0.09083060394</v>
      </c>
      <c r="S389" s="217">
        <f t="shared" si="156"/>
        <v>0.08498153407</v>
      </c>
      <c r="T389" s="217">
        <f t="shared" si="156"/>
        <v>0.1186443774</v>
      </c>
      <c r="U389" s="217">
        <f t="shared" si="156"/>
        <v>0.1311076095</v>
      </c>
      <c r="V389" s="217">
        <f t="shared" si="156"/>
        <v>0.1260971653</v>
      </c>
      <c r="W389" s="217">
        <f t="shared" si="156"/>
        <v>0.09467928776</v>
      </c>
      <c r="X389" s="217">
        <f t="shared" si="156"/>
        <v>0.105435393</v>
      </c>
      <c r="Y389" s="217">
        <f t="shared" si="156"/>
        <v>0.1301603744</v>
      </c>
      <c r="Z389" s="217">
        <f t="shared" si="156"/>
        <v>0.1091873021</v>
      </c>
      <c r="AA389" s="217">
        <f t="shared" si="156"/>
        <v>0.1244135483</v>
      </c>
      <c r="AB389" s="217">
        <f t="shared" si="156"/>
        <v>0.1119352415</v>
      </c>
      <c r="AC389" s="217">
        <f t="shared" si="156"/>
        <v>0.09932308177</v>
      </c>
      <c r="AD389" s="217">
        <f t="shared" si="156"/>
        <v>0.1464363431</v>
      </c>
      <c r="AE389" s="217">
        <f t="shared" si="156"/>
        <v>0.1112701194</v>
      </c>
      <c r="AF389" s="217">
        <f t="shared" si="156"/>
        <v>0.1154748351</v>
      </c>
      <c r="AG389" s="217">
        <f t="shared" si="156"/>
        <v>0.1123244321</v>
      </c>
      <c r="AH389" s="217">
        <f t="shared" si="156"/>
        <v>0.1835688899</v>
      </c>
      <c r="AI389" s="217">
        <f t="shared" si="156"/>
        <v>0.1175180704</v>
      </c>
      <c r="AJ389" s="217">
        <f t="shared" si="156"/>
        <v>0.1140892107</v>
      </c>
      <c r="AK389" s="217">
        <f t="shared" si="156"/>
        <v>0.1114146225</v>
      </c>
      <c r="AL389" s="217">
        <f t="shared" si="156"/>
        <v>0.09725309835</v>
      </c>
      <c r="AM389" s="217">
        <f t="shared" si="156"/>
        <v>0.09725309835</v>
      </c>
      <c r="AN389" s="217">
        <f t="shared" si="156"/>
        <v>0.09725309835</v>
      </c>
      <c r="AO389" s="217">
        <f t="shared" si="156"/>
        <v>0.1108417252</v>
      </c>
      <c r="AP389" s="217">
        <f t="shared" si="156"/>
        <v>0.09193668948</v>
      </c>
      <c r="AQ389" s="217">
        <f t="shared" si="156"/>
        <v>0.1253284141</v>
      </c>
      <c r="AR389" s="217">
        <f t="shared" si="156"/>
        <v>0.1365398718</v>
      </c>
      <c r="AS389" s="217">
        <f t="shared" si="156"/>
        <v>0.1006048056</v>
      </c>
      <c r="AT389" s="217">
        <f t="shared" si="156"/>
        <v>0.1111996677</v>
      </c>
      <c r="AU389" s="217">
        <f t="shared" si="156"/>
        <v>0.08807155383</v>
      </c>
      <c r="AV389" s="217">
        <f t="shared" si="156"/>
        <v>0.1145960577</v>
      </c>
      <c r="AW389" s="259"/>
    </row>
    <row r="390">
      <c r="A390" s="123"/>
      <c r="B390" s="123"/>
      <c r="C390" s="131"/>
      <c r="D390" s="131"/>
      <c r="E390" s="257" t="s">
        <v>368</v>
      </c>
      <c r="F390" s="213" t="s">
        <v>72</v>
      </c>
      <c r="G390" s="485" t="s">
        <v>161</v>
      </c>
      <c r="H390" s="240" t="s">
        <v>162</v>
      </c>
      <c r="I390" s="217">
        <f t="shared" ref="I390:AV390" si="157">SUM(I$368:I$369)*$H376</f>
        <v>0.1157267814</v>
      </c>
      <c r="J390" s="217">
        <f t="shared" si="157"/>
        <v>0.1512086874</v>
      </c>
      <c r="K390" s="217">
        <f t="shared" si="157"/>
        <v>0.1442140764</v>
      </c>
      <c r="L390" s="217">
        <f t="shared" si="157"/>
        <v>0.1765098218</v>
      </c>
      <c r="M390" s="217">
        <f t="shared" si="157"/>
        <v>0.1344764265</v>
      </c>
      <c r="N390" s="217">
        <f t="shared" si="157"/>
        <v>0.140845836</v>
      </c>
      <c r="O390" s="217">
        <f t="shared" si="157"/>
        <v>0.1644689869</v>
      </c>
      <c r="P390" s="217">
        <f t="shared" si="157"/>
        <v>0.1257517028</v>
      </c>
      <c r="Q390" s="217">
        <f t="shared" si="157"/>
        <v>0.1339420116</v>
      </c>
      <c r="R390" s="217">
        <f t="shared" si="157"/>
        <v>0.1427338062</v>
      </c>
      <c r="S390" s="217">
        <f t="shared" si="157"/>
        <v>0.1335424107</v>
      </c>
      <c r="T390" s="217">
        <f t="shared" si="157"/>
        <v>0.1864411644</v>
      </c>
      <c r="U390" s="217">
        <f t="shared" si="157"/>
        <v>0.2060262436</v>
      </c>
      <c r="V390" s="217">
        <f t="shared" si="157"/>
        <v>0.1981526884</v>
      </c>
      <c r="W390" s="217">
        <f t="shared" si="157"/>
        <v>0.1487817379</v>
      </c>
      <c r="X390" s="217">
        <f t="shared" si="157"/>
        <v>0.1656841891</v>
      </c>
      <c r="Y390" s="217">
        <f t="shared" si="157"/>
        <v>0.2045377312</v>
      </c>
      <c r="Z390" s="217">
        <f t="shared" si="157"/>
        <v>0.1715800462</v>
      </c>
      <c r="AA390" s="217">
        <f t="shared" si="157"/>
        <v>0.1955070044</v>
      </c>
      <c r="AB390" s="217">
        <f t="shared" si="157"/>
        <v>0.1758982367</v>
      </c>
      <c r="AC390" s="217">
        <f t="shared" si="157"/>
        <v>0.1560791285</v>
      </c>
      <c r="AD390" s="217">
        <f t="shared" si="157"/>
        <v>0.2301142535</v>
      </c>
      <c r="AE390" s="217">
        <f t="shared" si="157"/>
        <v>0.1748530448</v>
      </c>
      <c r="AF390" s="217">
        <f t="shared" si="157"/>
        <v>0.1814604552</v>
      </c>
      <c r="AG390" s="217">
        <f t="shared" si="157"/>
        <v>0.1765098218</v>
      </c>
      <c r="AH390" s="217">
        <f t="shared" si="157"/>
        <v>0.2884653984</v>
      </c>
      <c r="AI390" s="217">
        <f t="shared" si="157"/>
        <v>0.1846712534</v>
      </c>
      <c r="AJ390" s="217">
        <f t="shared" si="157"/>
        <v>0.1792830453</v>
      </c>
      <c r="AK390" s="217">
        <f t="shared" si="157"/>
        <v>0.1750801211</v>
      </c>
      <c r="AL390" s="217">
        <f t="shared" si="157"/>
        <v>0.1528262974</v>
      </c>
      <c r="AM390" s="217">
        <f t="shared" si="157"/>
        <v>0.1528262974</v>
      </c>
      <c r="AN390" s="217">
        <f t="shared" si="157"/>
        <v>0.1528262974</v>
      </c>
      <c r="AO390" s="217">
        <f t="shared" si="157"/>
        <v>0.1741798538</v>
      </c>
      <c r="AP390" s="217">
        <f t="shared" si="157"/>
        <v>0.1444719406</v>
      </c>
      <c r="AQ390" s="217">
        <f t="shared" si="157"/>
        <v>0.1969446507</v>
      </c>
      <c r="AR390" s="217">
        <f t="shared" si="157"/>
        <v>0.2145626557</v>
      </c>
      <c r="AS390" s="217">
        <f t="shared" si="157"/>
        <v>0.158093266</v>
      </c>
      <c r="AT390" s="217">
        <f t="shared" si="157"/>
        <v>0.174742335</v>
      </c>
      <c r="AU390" s="217">
        <f t="shared" si="157"/>
        <v>0.138398156</v>
      </c>
      <c r="AV390" s="217">
        <f t="shared" si="157"/>
        <v>0.1800795193</v>
      </c>
      <c r="AW390" s="259"/>
    </row>
    <row r="391">
      <c r="A391" s="123"/>
      <c r="B391" s="123"/>
      <c r="C391" s="131"/>
      <c r="D391" s="131"/>
      <c r="E391" s="257" t="s">
        <v>369</v>
      </c>
      <c r="F391" s="213" t="s">
        <v>72</v>
      </c>
      <c r="G391" s="485" t="s">
        <v>161</v>
      </c>
      <c r="H391" s="240" t="s">
        <v>162</v>
      </c>
      <c r="I391" s="217">
        <f t="shared" ref="I391:AV391" si="158">SUM(I$368:I$369)*$H377</f>
        <v>0.02104123299</v>
      </c>
      <c r="J391" s="217">
        <f t="shared" si="158"/>
        <v>0.02749248862</v>
      </c>
      <c r="K391" s="217">
        <f t="shared" si="158"/>
        <v>0.02622074116</v>
      </c>
      <c r="L391" s="217">
        <f t="shared" si="158"/>
        <v>0.03209269488</v>
      </c>
      <c r="M391" s="217">
        <f t="shared" si="158"/>
        <v>0.02445025936</v>
      </c>
      <c r="N391" s="217">
        <f t="shared" si="158"/>
        <v>0.02560833381</v>
      </c>
      <c r="O391" s="217">
        <f t="shared" si="158"/>
        <v>0.02990345216</v>
      </c>
      <c r="P391" s="217">
        <f t="shared" si="158"/>
        <v>0.02286394596</v>
      </c>
      <c r="Q391" s="217">
        <f t="shared" si="158"/>
        <v>0.02435309302</v>
      </c>
      <c r="R391" s="217">
        <f t="shared" si="158"/>
        <v>0.02595160112</v>
      </c>
      <c r="S391" s="217">
        <f t="shared" si="158"/>
        <v>0.0242804383</v>
      </c>
      <c r="T391" s="217">
        <f t="shared" si="158"/>
        <v>0.03389839353</v>
      </c>
      <c r="U391" s="217">
        <f t="shared" si="158"/>
        <v>0.03745931701</v>
      </c>
      <c r="V391" s="217">
        <f t="shared" si="158"/>
        <v>0.03602776152</v>
      </c>
      <c r="W391" s="217">
        <f t="shared" si="158"/>
        <v>0.02705122507</v>
      </c>
      <c r="X391" s="217">
        <f t="shared" si="158"/>
        <v>0.03012439801</v>
      </c>
      <c r="Y391" s="217">
        <f t="shared" si="158"/>
        <v>0.0371886784</v>
      </c>
      <c r="Z391" s="217">
        <f t="shared" si="158"/>
        <v>0.03119637203</v>
      </c>
      <c r="AA391" s="217">
        <f t="shared" si="158"/>
        <v>0.03554672807</v>
      </c>
      <c r="AB391" s="217">
        <f t="shared" si="158"/>
        <v>0.03198149759</v>
      </c>
      <c r="AC391" s="217">
        <f t="shared" si="158"/>
        <v>0.02837802336</v>
      </c>
      <c r="AD391" s="217">
        <f t="shared" si="158"/>
        <v>0.04183895518</v>
      </c>
      <c r="AE391" s="217">
        <f t="shared" si="158"/>
        <v>0.0317914627</v>
      </c>
      <c r="AF391" s="217">
        <f t="shared" si="158"/>
        <v>0.03299281003</v>
      </c>
      <c r="AG391" s="217">
        <f t="shared" si="158"/>
        <v>0.03209269488</v>
      </c>
      <c r="AH391" s="217">
        <f t="shared" si="158"/>
        <v>0.05244825425</v>
      </c>
      <c r="AI391" s="217">
        <f t="shared" si="158"/>
        <v>0.03357659153</v>
      </c>
      <c r="AJ391" s="217">
        <f t="shared" si="158"/>
        <v>0.03259691733</v>
      </c>
      <c r="AK391" s="217">
        <f t="shared" si="158"/>
        <v>0.03183274929</v>
      </c>
      <c r="AL391" s="217">
        <f t="shared" si="158"/>
        <v>0.02778659953</v>
      </c>
      <c r="AM391" s="217">
        <f t="shared" si="158"/>
        <v>0.02778659953</v>
      </c>
      <c r="AN391" s="217">
        <f t="shared" si="158"/>
        <v>0.02778659953</v>
      </c>
      <c r="AO391" s="217">
        <f t="shared" si="158"/>
        <v>0.03166906433</v>
      </c>
      <c r="AP391" s="217">
        <f t="shared" si="158"/>
        <v>0.02626762557</v>
      </c>
      <c r="AQ391" s="217">
        <f t="shared" si="158"/>
        <v>0.03580811831</v>
      </c>
      <c r="AR391" s="217">
        <f t="shared" si="158"/>
        <v>0.03901139194</v>
      </c>
      <c r="AS391" s="217">
        <f t="shared" si="158"/>
        <v>0.02874423018</v>
      </c>
      <c r="AT391" s="217">
        <f t="shared" si="158"/>
        <v>0.03177133364</v>
      </c>
      <c r="AU391" s="217">
        <f t="shared" si="158"/>
        <v>0.0251633011</v>
      </c>
      <c r="AV391" s="217">
        <f t="shared" si="158"/>
        <v>0.03274173077</v>
      </c>
      <c r="AW391" s="259"/>
    </row>
    <row r="392">
      <c r="A392" s="123"/>
      <c r="B392" s="123"/>
      <c r="C392" s="131"/>
      <c r="D392" s="131"/>
      <c r="E392" s="257" t="s">
        <v>370</v>
      </c>
      <c r="F392" s="213" t="s">
        <v>72</v>
      </c>
      <c r="G392" s="485" t="s">
        <v>161</v>
      </c>
      <c r="H392" s="240" t="s">
        <v>162</v>
      </c>
      <c r="I392" s="217">
        <f t="shared" ref="I392:AV392" si="159">I$370*$H378</f>
        <v>0.08990052497</v>
      </c>
      <c r="J392" s="217">
        <f t="shared" si="159"/>
        <v>0.101356031</v>
      </c>
      <c r="K392" s="217">
        <f t="shared" si="159"/>
        <v>0.08564804463</v>
      </c>
      <c r="L392" s="217">
        <f t="shared" si="159"/>
        <v>0.1079030006</v>
      </c>
      <c r="M392" s="217">
        <f t="shared" si="159"/>
        <v>0.1109400863</v>
      </c>
      <c r="N392" s="217">
        <f t="shared" si="159"/>
        <v>0.07977539802</v>
      </c>
      <c r="O392" s="217">
        <f t="shared" si="159"/>
        <v>0.07646206579</v>
      </c>
      <c r="P392" s="217">
        <f t="shared" si="159"/>
        <v>0.08359671028</v>
      </c>
      <c r="Q392" s="217">
        <f t="shared" si="159"/>
        <v>0.06730625974</v>
      </c>
      <c r="R392" s="217">
        <f t="shared" si="159"/>
        <v>0.1247556426</v>
      </c>
      <c r="S392" s="217">
        <f t="shared" si="159"/>
        <v>0.1150239465</v>
      </c>
      <c r="T392" s="217">
        <f t="shared" si="159"/>
        <v>0.1167064137</v>
      </c>
      <c r="U392" s="217">
        <f t="shared" si="159"/>
        <v>0.1278282457</v>
      </c>
      <c r="V392" s="217">
        <f t="shared" si="159"/>
        <v>0.09080436546</v>
      </c>
      <c r="W392" s="217">
        <f t="shared" si="159"/>
        <v>0.10172656</v>
      </c>
      <c r="X392" s="217">
        <f t="shared" si="159"/>
        <v>0.0729101274</v>
      </c>
      <c r="Y392" s="217">
        <f t="shared" si="159"/>
        <v>0.1063139688</v>
      </c>
      <c r="Z392" s="217">
        <f t="shared" si="159"/>
        <v>0.122596032</v>
      </c>
      <c r="AA392" s="217">
        <f t="shared" si="159"/>
        <v>0.1097120303</v>
      </c>
      <c r="AB392" s="217">
        <f t="shared" si="159"/>
        <v>0.1335345357</v>
      </c>
      <c r="AC392" s="217">
        <f t="shared" si="159"/>
        <v>0.1233994014</v>
      </c>
      <c r="AD392" s="217">
        <f t="shared" si="159"/>
        <v>0.1051478179</v>
      </c>
      <c r="AE392" s="217">
        <f t="shared" si="159"/>
        <v>0.1265856886</v>
      </c>
      <c r="AF392" s="217">
        <f t="shared" si="159"/>
        <v>0.1313524431</v>
      </c>
      <c r="AG392" s="217">
        <f t="shared" si="159"/>
        <v>0.1079030006</v>
      </c>
      <c r="AH392" s="217">
        <f t="shared" si="159"/>
        <v>0.08136266314</v>
      </c>
      <c r="AI392" s="217">
        <f t="shared" si="159"/>
        <v>0.1036451154</v>
      </c>
      <c r="AJ392" s="217">
        <f t="shared" si="159"/>
        <v>0.1217265593</v>
      </c>
      <c r="AK392" s="217">
        <f t="shared" si="159"/>
        <v>0.1090389157</v>
      </c>
      <c r="AL392" s="217">
        <f t="shared" si="159"/>
        <v>0.1007271679</v>
      </c>
      <c r="AM392" s="217">
        <f t="shared" si="159"/>
        <v>0.1007271679</v>
      </c>
      <c r="AN392" s="217">
        <f t="shared" si="159"/>
        <v>0.1007271679</v>
      </c>
      <c r="AO392" s="217">
        <f t="shared" si="159"/>
        <v>0.1159764219</v>
      </c>
      <c r="AP392" s="217">
        <f t="shared" si="159"/>
        <v>0.1366960695</v>
      </c>
      <c r="AQ392" s="217">
        <f t="shared" si="159"/>
        <v>0.1060892404</v>
      </c>
      <c r="AR392" s="217">
        <f t="shared" si="159"/>
        <v>0.1072112159</v>
      </c>
      <c r="AS392" s="217">
        <f t="shared" si="159"/>
        <v>0.1100165681</v>
      </c>
      <c r="AT392" s="217">
        <f t="shared" si="159"/>
        <v>0.124846749</v>
      </c>
      <c r="AU392" s="217">
        <f t="shared" si="159"/>
        <v>0.111926</v>
      </c>
      <c r="AV392" s="217">
        <f t="shared" si="159"/>
        <v>0.07376110257</v>
      </c>
      <c r="AW392" s="259"/>
    </row>
    <row r="393">
      <c r="A393" s="123"/>
      <c r="B393" s="123"/>
      <c r="C393" s="131"/>
      <c r="D393" s="131"/>
      <c r="E393" s="257" t="s">
        <v>371</v>
      </c>
      <c r="F393" s="213" t="s">
        <v>72</v>
      </c>
      <c r="G393" s="485" t="s">
        <v>161</v>
      </c>
      <c r="H393" s="240" t="s">
        <v>162</v>
      </c>
      <c r="I393" s="217">
        <f t="shared" ref="I393:AV393" si="160">I$370*$H379</f>
        <v>0.1412722535</v>
      </c>
      <c r="J393" s="217">
        <f t="shared" si="160"/>
        <v>0.1592737631</v>
      </c>
      <c r="K393" s="217">
        <f t="shared" si="160"/>
        <v>0.1345897844</v>
      </c>
      <c r="L393" s="217">
        <f t="shared" si="160"/>
        <v>0.169561858</v>
      </c>
      <c r="M393" s="217">
        <f t="shared" si="160"/>
        <v>0.1743344213</v>
      </c>
      <c r="N393" s="217">
        <f t="shared" si="160"/>
        <v>0.1253613397</v>
      </c>
      <c r="O393" s="217">
        <f t="shared" si="160"/>
        <v>0.1201546748</v>
      </c>
      <c r="P393" s="217">
        <f t="shared" si="160"/>
        <v>0.131366259</v>
      </c>
      <c r="Q393" s="217">
        <f t="shared" si="160"/>
        <v>0.1057669796</v>
      </c>
      <c r="R393" s="217">
        <f t="shared" si="160"/>
        <v>0.1960445812</v>
      </c>
      <c r="S393" s="217">
        <f t="shared" si="160"/>
        <v>0.1807519159</v>
      </c>
      <c r="T393" s="217">
        <f t="shared" si="160"/>
        <v>0.183395793</v>
      </c>
      <c r="U393" s="217">
        <f t="shared" si="160"/>
        <v>0.2008729576</v>
      </c>
      <c r="V393" s="217">
        <f t="shared" si="160"/>
        <v>0.1426925743</v>
      </c>
      <c r="W393" s="217">
        <f t="shared" si="160"/>
        <v>0.1598560228</v>
      </c>
      <c r="X393" s="217">
        <f t="shared" si="160"/>
        <v>0.1145730573</v>
      </c>
      <c r="Y393" s="217">
        <f t="shared" si="160"/>
        <v>0.1670648081</v>
      </c>
      <c r="Z393" s="217">
        <f t="shared" si="160"/>
        <v>0.1926509074</v>
      </c>
      <c r="AA393" s="217">
        <f t="shared" si="160"/>
        <v>0.1724046191</v>
      </c>
      <c r="AB393" s="217">
        <f t="shared" si="160"/>
        <v>0.2098399847</v>
      </c>
      <c r="AC393" s="217">
        <f t="shared" si="160"/>
        <v>0.193913345</v>
      </c>
      <c r="AD393" s="217">
        <f t="shared" si="160"/>
        <v>0.1652322853</v>
      </c>
      <c r="AE393" s="217">
        <f t="shared" si="160"/>
        <v>0.1989203677</v>
      </c>
      <c r="AF393" s="217">
        <f t="shared" si="160"/>
        <v>0.2064109821</v>
      </c>
      <c r="AG393" s="217">
        <f t="shared" si="160"/>
        <v>0.169561858</v>
      </c>
      <c r="AH393" s="217">
        <f t="shared" si="160"/>
        <v>0.1278556135</v>
      </c>
      <c r="AI393" s="217">
        <f t="shared" si="160"/>
        <v>0.1628708956</v>
      </c>
      <c r="AJ393" s="217">
        <f t="shared" si="160"/>
        <v>0.1912845931</v>
      </c>
      <c r="AK393" s="217">
        <f t="shared" si="160"/>
        <v>0.1713468676</v>
      </c>
      <c r="AL393" s="217">
        <f t="shared" si="160"/>
        <v>0.1582855496</v>
      </c>
      <c r="AM393" s="217">
        <f t="shared" si="160"/>
        <v>0.1582855496</v>
      </c>
      <c r="AN393" s="217">
        <f t="shared" si="160"/>
        <v>0.1582855496</v>
      </c>
      <c r="AO393" s="217">
        <f t="shared" si="160"/>
        <v>0.1822486629</v>
      </c>
      <c r="AP393" s="217">
        <f t="shared" si="160"/>
        <v>0.2148081092</v>
      </c>
      <c r="AQ393" s="217">
        <f t="shared" si="160"/>
        <v>0.1667116635</v>
      </c>
      <c r="AR393" s="217">
        <f t="shared" si="160"/>
        <v>0.1684747678</v>
      </c>
      <c r="AS393" s="217">
        <f t="shared" si="160"/>
        <v>0.1728831784</v>
      </c>
      <c r="AT393" s="217">
        <f t="shared" si="160"/>
        <v>0.1961877485</v>
      </c>
      <c r="AU393" s="217">
        <f t="shared" si="160"/>
        <v>0.1758837142</v>
      </c>
      <c r="AV393" s="217">
        <f t="shared" si="160"/>
        <v>0.115910304</v>
      </c>
      <c r="AW393" s="259"/>
    </row>
    <row r="394">
      <c r="A394" s="123"/>
      <c r="B394" s="123"/>
      <c r="C394" s="131"/>
      <c r="D394" s="131"/>
      <c r="E394" s="257" t="s">
        <v>372</v>
      </c>
      <c r="F394" s="213" t="s">
        <v>72</v>
      </c>
      <c r="G394" s="485" t="s">
        <v>161</v>
      </c>
      <c r="H394" s="240" t="s">
        <v>162</v>
      </c>
      <c r="I394" s="217">
        <f t="shared" ref="I394:AV394" si="161">I$370*$H380</f>
        <v>0.02568586428</v>
      </c>
      <c r="J394" s="217">
        <f t="shared" si="161"/>
        <v>0.02895886601</v>
      </c>
      <c r="K394" s="217">
        <f t="shared" si="161"/>
        <v>0.02447086989</v>
      </c>
      <c r="L394" s="217">
        <f t="shared" si="161"/>
        <v>0.03082942873</v>
      </c>
      <c r="M394" s="217">
        <f t="shared" si="161"/>
        <v>0.0316971675</v>
      </c>
      <c r="N394" s="217">
        <f t="shared" si="161"/>
        <v>0.02279297086</v>
      </c>
      <c r="O394" s="217">
        <f t="shared" si="161"/>
        <v>0.02184630451</v>
      </c>
      <c r="P394" s="217">
        <f t="shared" si="161"/>
        <v>0.02388477437</v>
      </c>
      <c r="Q394" s="217">
        <f t="shared" si="161"/>
        <v>0.01923035993</v>
      </c>
      <c r="R394" s="217">
        <f t="shared" si="161"/>
        <v>0.03564446931</v>
      </c>
      <c r="S394" s="217">
        <f t="shared" si="161"/>
        <v>0.03286398471</v>
      </c>
      <c r="T394" s="217">
        <f t="shared" si="161"/>
        <v>0.03334468964</v>
      </c>
      <c r="U394" s="217">
        <f t="shared" si="161"/>
        <v>0.03652235593</v>
      </c>
      <c r="V394" s="217">
        <f t="shared" si="161"/>
        <v>0.02594410442</v>
      </c>
      <c r="W394" s="217">
        <f t="shared" si="161"/>
        <v>0.02906473142</v>
      </c>
      <c r="X394" s="217">
        <f t="shared" si="161"/>
        <v>0.02083146497</v>
      </c>
      <c r="Y394" s="217">
        <f t="shared" si="161"/>
        <v>0.03037541966</v>
      </c>
      <c r="Z394" s="217">
        <f t="shared" si="161"/>
        <v>0.03502743772</v>
      </c>
      <c r="AA394" s="217">
        <f t="shared" si="161"/>
        <v>0.03134629437</v>
      </c>
      <c r="AB394" s="217">
        <f t="shared" si="161"/>
        <v>0.0381527245</v>
      </c>
      <c r="AC394" s="217">
        <f t="shared" si="161"/>
        <v>0.03525697182</v>
      </c>
      <c r="AD394" s="217">
        <f t="shared" si="161"/>
        <v>0.0300422337</v>
      </c>
      <c r="AE394" s="217">
        <f t="shared" si="161"/>
        <v>0.03616733959</v>
      </c>
      <c r="AF394" s="217">
        <f t="shared" si="161"/>
        <v>0.03752926947</v>
      </c>
      <c r="AG394" s="217">
        <f t="shared" si="161"/>
        <v>0.03082942873</v>
      </c>
      <c r="AH394" s="217">
        <f t="shared" si="161"/>
        <v>0.02324647518</v>
      </c>
      <c r="AI394" s="217">
        <f t="shared" si="161"/>
        <v>0.0296128901</v>
      </c>
      <c r="AJ394" s="217">
        <f t="shared" si="161"/>
        <v>0.03477901693</v>
      </c>
      <c r="AK394" s="217">
        <f t="shared" si="161"/>
        <v>0.03115397592</v>
      </c>
      <c r="AL394" s="217">
        <f t="shared" si="161"/>
        <v>0.02877919083</v>
      </c>
      <c r="AM394" s="217">
        <f t="shared" si="161"/>
        <v>0.02877919083</v>
      </c>
      <c r="AN394" s="217">
        <f t="shared" si="161"/>
        <v>0.02877919083</v>
      </c>
      <c r="AO394" s="217">
        <f t="shared" si="161"/>
        <v>0.03313612053</v>
      </c>
      <c r="AP394" s="217">
        <f t="shared" si="161"/>
        <v>0.03905601986</v>
      </c>
      <c r="AQ394" s="217">
        <f t="shared" si="161"/>
        <v>0.03031121155</v>
      </c>
      <c r="AR394" s="217">
        <f t="shared" si="161"/>
        <v>0.03063177596</v>
      </c>
      <c r="AS394" s="217">
        <f t="shared" si="161"/>
        <v>0.03143330517</v>
      </c>
      <c r="AT394" s="217">
        <f t="shared" si="161"/>
        <v>0.03567049972</v>
      </c>
      <c r="AU394" s="217">
        <f t="shared" si="161"/>
        <v>0.03197885713</v>
      </c>
      <c r="AV394" s="217">
        <f t="shared" si="161"/>
        <v>0.02107460073</v>
      </c>
      <c r="AW394" s="259"/>
    </row>
    <row r="395">
      <c r="A395" s="123"/>
      <c r="B395" s="123"/>
      <c r="C395" s="131"/>
      <c r="D395" s="131"/>
      <c r="E395" s="257" t="s">
        <v>373</v>
      </c>
      <c r="F395" s="213" t="s">
        <v>72</v>
      </c>
      <c r="G395" s="485" t="s">
        <v>161</v>
      </c>
      <c r="H395" s="240" t="s">
        <v>162</v>
      </c>
      <c r="I395" s="241">
        <f t="shared" ref="I395:AV395" si="162">I$371*$H381</f>
        <v>0.206624529</v>
      </c>
      <c r="J395" s="241">
        <f t="shared" si="162"/>
        <v>0.1910069204</v>
      </c>
      <c r="K395" s="241">
        <f t="shared" si="162"/>
        <v>0.1460189765</v>
      </c>
      <c r="L395" s="241">
        <f t="shared" si="162"/>
        <v>0.1455802518</v>
      </c>
      <c r="M395" s="241">
        <f t="shared" si="162"/>
        <v>0.1943292153</v>
      </c>
      <c r="N395" s="241">
        <f t="shared" si="162"/>
        <v>0.1766873264</v>
      </c>
      <c r="O395" s="241">
        <f t="shared" si="162"/>
        <v>0.1630560414</v>
      </c>
      <c r="P395" s="241">
        <f t="shared" si="162"/>
        <v>0.2024803524</v>
      </c>
      <c r="Q395" s="241">
        <f t="shared" si="162"/>
        <v>0.1959135838</v>
      </c>
      <c r="R395" s="241">
        <f t="shared" si="162"/>
        <v>0.1949813374</v>
      </c>
      <c r="S395" s="241">
        <f t="shared" si="162"/>
        <v>0.1904127735</v>
      </c>
      <c r="T395" s="241">
        <f t="shared" si="162"/>
        <v>0.1293507849</v>
      </c>
      <c r="U395" s="241">
        <f t="shared" si="162"/>
        <v>0.09795978848</v>
      </c>
      <c r="V395" s="241">
        <f t="shared" si="162"/>
        <v>0.1773467528</v>
      </c>
      <c r="W395" s="241">
        <f t="shared" si="162"/>
        <v>0.2151359249</v>
      </c>
      <c r="X395" s="241">
        <f t="shared" si="162"/>
        <v>0.2230785522</v>
      </c>
      <c r="Y395" s="241">
        <f t="shared" si="162"/>
        <v>0.1195728431</v>
      </c>
      <c r="Z395" s="241">
        <f t="shared" si="162"/>
        <v>0.1342316901</v>
      </c>
      <c r="AA395" s="241">
        <f t="shared" si="162"/>
        <v>0.1289810133</v>
      </c>
      <c r="AB395" s="241">
        <f t="shared" si="162"/>
        <v>0.1102862744</v>
      </c>
      <c r="AC395" s="241">
        <f t="shared" si="162"/>
        <v>0.1227840707</v>
      </c>
      <c r="AD395" s="241">
        <f t="shared" si="162"/>
        <v>0.1030021016</v>
      </c>
      <c r="AE395" s="241">
        <f t="shared" si="162"/>
        <v>0.1236703915</v>
      </c>
      <c r="AF395" s="241">
        <f t="shared" si="162"/>
        <v>0.1126934166</v>
      </c>
      <c r="AG395" s="241">
        <f t="shared" si="162"/>
        <v>0.1455802518</v>
      </c>
      <c r="AH395" s="241">
        <f t="shared" si="162"/>
        <v>0.08460682046</v>
      </c>
      <c r="AI395" s="241">
        <f t="shared" si="162"/>
        <v>0.1283228652</v>
      </c>
      <c r="AJ395" s="241">
        <f t="shared" si="162"/>
        <v>0.1297521936</v>
      </c>
      <c r="AK395" s="241">
        <f t="shared" si="162"/>
        <v>0.1463139082</v>
      </c>
      <c r="AL395" s="241">
        <f t="shared" si="162"/>
        <v>0.1868781779</v>
      </c>
      <c r="AM395" s="241">
        <f t="shared" si="162"/>
        <v>0.1868781779</v>
      </c>
      <c r="AN395" s="241">
        <f t="shared" si="162"/>
        <v>0.1868781779</v>
      </c>
      <c r="AO395" s="241">
        <f t="shared" si="162"/>
        <v>0.1499475863</v>
      </c>
      <c r="AP395" s="241">
        <f t="shared" si="162"/>
        <v>0.1371718949</v>
      </c>
      <c r="AQ395" s="241">
        <f t="shared" si="162"/>
        <v>0.1260070283</v>
      </c>
      <c r="AR395" s="241">
        <f t="shared" si="162"/>
        <v>0.1172811475</v>
      </c>
      <c r="AS395" s="241">
        <f t="shared" si="162"/>
        <v>0.1653414167</v>
      </c>
      <c r="AT395" s="241">
        <f t="shared" si="162"/>
        <v>0.1250663814</v>
      </c>
      <c r="AU395" s="241">
        <f t="shared" si="162"/>
        <v>0.1958974814</v>
      </c>
      <c r="AV395" s="241">
        <f t="shared" si="162"/>
        <v>0.1403531075</v>
      </c>
      <c r="AW395" s="259"/>
    </row>
    <row r="396">
      <c r="A396" s="123"/>
      <c r="B396" s="123"/>
      <c r="C396" s="131"/>
      <c r="D396" s="131"/>
      <c r="E396" s="257" t="s">
        <v>374</v>
      </c>
      <c r="F396" s="213" t="s">
        <v>72</v>
      </c>
      <c r="G396" s="485" t="s">
        <v>161</v>
      </c>
      <c r="H396" s="240" t="s">
        <v>162</v>
      </c>
      <c r="I396" s="241">
        <f t="shared" ref="I396:AV396" si="163">I$371*$H382</f>
        <v>0.04132490581</v>
      </c>
      <c r="J396" s="241">
        <f t="shared" si="163"/>
        <v>0.03820138408</v>
      </c>
      <c r="K396" s="241">
        <f t="shared" si="163"/>
        <v>0.0292037953</v>
      </c>
      <c r="L396" s="241">
        <f t="shared" si="163"/>
        <v>0.02911605037</v>
      </c>
      <c r="M396" s="241">
        <f t="shared" si="163"/>
        <v>0.03886584306</v>
      </c>
      <c r="N396" s="241">
        <f t="shared" si="163"/>
        <v>0.03533746528</v>
      </c>
      <c r="O396" s="241">
        <f t="shared" si="163"/>
        <v>0.03261120828</v>
      </c>
      <c r="P396" s="241">
        <f t="shared" si="163"/>
        <v>0.04049607048</v>
      </c>
      <c r="Q396" s="241">
        <f t="shared" si="163"/>
        <v>0.03918271677</v>
      </c>
      <c r="R396" s="241">
        <f t="shared" si="163"/>
        <v>0.03899626749</v>
      </c>
      <c r="S396" s="241">
        <f t="shared" si="163"/>
        <v>0.0380825547</v>
      </c>
      <c r="T396" s="241">
        <f t="shared" si="163"/>
        <v>0.02587015699</v>
      </c>
      <c r="U396" s="241">
        <f t="shared" si="163"/>
        <v>0.0195919577</v>
      </c>
      <c r="V396" s="241">
        <f t="shared" si="163"/>
        <v>0.03546935057</v>
      </c>
      <c r="W396" s="241">
        <f t="shared" si="163"/>
        <v>0.04302718498</v>
      </c>
      <c r="X396" s="241">
        <f t="shared" si="163"/>
        <v>0.04461571044</v>
      </c>
      <c r="Y396" s="241">
        <f t="shared" si="163"/>
        <v>0.02391456862</v>
      </c>
      <c r="Z396" s="241">
        <f t="shared" si="163"/>
        <v>0.02684633801</v>
      </c>
      <c r="AA396" s="241">
        <f t="shared" si="163"/>
        <v>0.02579620265</v>
      </c>
      <c r="AB396" s="241">
        <f t="shared" si="163"/>
        <v>0.02205725487</v>
      </c>
      <c r="AC396" s="241">
        <f t="shared" si="163"/>
        <v>0.02455681414</v>
      </c>
      <c r="AD396" s="241">
        <f t="shared" si="163"/>
        <v>0.02060042033</v>
      </c>
      <c r="AE396" s="241">
        <f t="shared" si="163"/>
        <v>0.02473407831</v>
      </c>
      <c r="AF396" s="241">
        <f t="shared" si="163"/>
        <v>0.02253868331</v>
      </c>
      <c r="AG396" s="241">
        <f t="shared" si="163"/>
        <v>0.02911605037</v>
      </c>
      <c r="AH396" s="241">
        <f t="shared" si="163"/>
        <v>0.01692136409</v>
      </c>
      <c r="AI396" s="241">
        <f t="shared" si="163"/>
        <v>0.02566457303</v>
      </c>
      <c r="AJ396" s="241">
        <f t="shared" si="163"/>
        <v>0.02595043872</v>
      </c>
      <c r="AK396" s="241">
        <f t="shared" si="163"/>
        <v>0.02926278165</v>
      </c>
      <c r="AL396" s="241">
        <f t="shared" si="163"/>
        <v>0.03737563557</v>
      </c>
      <c r="AM396" s="241">
        <f t="shared" si="163"/>
        <v>0.03737563557</v>
      </c>
      <c r="AN396" s="241">
        <f t="shared" si="163"/>
        <v>0.03737563557</v>
      </c>
      <c r="AO396" s="241">
        <f t="shared" si="163"/>
        <v>0.02998951726</v>
      </c>
      <c r="AP396" s="241">
        <f t="shared" si="163"/>
        <v>0.02743437898</v>
      </c>
      <c r="AQ396" s="241">
        <f t="shared" si="163"/>
        <v>0.02520140567</v>
      </c>
      <c r="AR396" s="241">
        <f t="shared" si="163"/>
        <v>0.0234562295</v>
      </c>
      <c r="AS396" s="241">
        <f t="shared" si="163"/>
        <v>0.03306828333</v>
      </c>
      <c r="AT396" s="241">
        <f t="shared" si="163"/>
        <v>0.02501327627</v>
      </c>
      <c r="AU396" s="241">
        <f t="shared" si="163"/>
        <v>0.03917949627</v>
      </c>
      <c r="AV396" s="241">
        <f t="shared" si="163"/>
        <v>0.0280706215</v>
      </c>
      <c r="AW396" s="259"/>
    </row>
    <row r="397">
      <c r="A397" s="123"/>
      <c r="B397" s="123"/>
      <c r="C397" s="131"/>
      <c r="D397" s="131"/>
      <c r="E397" s="257" t="s">
        <v>375</v>
      </c>
      <c r="F397" s="213" t="s">
        <v>72</v>
      </c>
      <c r="G397" s="485" t="s">
        <v>161</v>
      </c>
      <c r="H397" s="240" t="s">
        <v>162</v>
      </c>
      <c r="I397" s="241">
        <f t="shared" ref="I397:AV397" si="164">I$371*$H383</f>
        <v>0.02754993721</v>
      </c>
      <c r="J397" s="241">
        <f t="shared" si="164"/>
        <v>0.02546758938</v>
      </c>
      <c r="K397" s="241">
        <f t="shared" si="164"/>
        <v>0.01946919687</v>
      </c>
      <c r="L397" s="241">
        <f t="shared" si="164"/>
        <v>0.01941070025</v>
      </c>
      <c r="M397" s="241">
        <f t="shared" si="164"/>
        <v>0.02591056204</v>
      </c>
      <c r="N397" s="241">
        <f t="shared" si="164"/>
        <v>0.02355831018</v>
      </c>
      <c r="O397" s="241">
        <f t="shared" si="164"/>
        <v>0.02174080552</v>
      </c>
      <c r="P397" s="241">
        <f t="shared" si="164"/>
        <v>0.02699738032</v>
      </c>
      <c r="Q397" s="241">
        <f t="shared" si="164"/>
        <v>0.02612181118</v>
      </c>
      <c r="R397" s="241">
        <f t="shared" si="164"/>
        <v>0.02599751166</v>
      </c>
      <c r="S397" s="241">
        <f t="shared" si="164"/>
        <v>0.0253883698</v>
      </c>
      <c r="T397" s="241">
        <f t="shared" si="164"/>
        <v>0.01724677132</v>
      </c>
      <c r="U397" s="241">
        <f t="shared" si="164"/>
        <v>0.01306130513</v>
      </c>
      <c r="V397" s="241">
        <f t="shared" si="164"/>
        <v>0.02364623371</v>
      </c>
      <c r="W397" s="241">
        <f t="shared" si="164"/>
        <v>0.02868478999</v>
      </c>
      <c r="X397" s="241">
        <f t="shared" si="164"/>
        <v>0.02974380696</v>
      </c>
      <c r="Y397" s="241">
        <f t="shared" si="164"/>
        <v>0.01594304574</v>
      </c>
      <c r="Z397" s="241">
        <f t="shared" si="164"/>
        <v>0.01789755868</v>
      </c>
      <c r="AA397" s="241">
        <f t="shared" si="164"/>
        <v>0.01719746844</v>
      </c>
      <c r="AB397" s="241">
        <f t="shared" si="164"/>
        <v>0.01470483658</v>
      </c>
      <c r="AC397" s="241">
        <f t="shared" si="164"/>
        <v>0.01637120943</v>
      </c>
      <c r="AD397" s="241">
        <f t="shared" si="164"/>
        <v>0.01373361355</v>
      </c>
      <c r="AE397" s="241">
        <f t="shared" si="164"/>
        <v>0.01648938554</v>
      </c>
      <c r="AF397" s="241">
        <f t="shared" si="164"/>
        <v>0.01502578888</v>
      </c>
      <c r="AG397" s="241">
        <f t="shared" si="164"/>
        <v>0.01941070025</v>
      </c>
      <c r="AH397" s="241">
        <f t="shared" si="164"/>
        <v>0.01128090939</v>
      </c>
      <c r="AI397" s="241">
        <f t="shared" si="164"/>
        <v>0.01710971536</v>
      </c>
      <c r="AJ397" s="241">
        <f t="shared" si="164"/>
        <v>0.01730029248</v>
      </c>
      <c r="AK397" s="241">
        <f t="shared" si="164"/>
        <v>0.0195085211</v>
      </c>
      <c r="AL397" s="241">
        <f t="shared" si="164"/>
        <v>0.02491709038</v>
      </c>
      <c r="AM397" s="241">
        <f t="shared" si="164"/>
        <v>0.02491709038</v>
      </c>
      <c r="AN397" s="241">
        <f t="shared" si="164"/>
        <v>0.02491709038</v>
      </c>
      <c r="AO397" s="241">
        <f t="shared" si="164"/>
        <v>0.01999301151</v>
      </c>
      <c r="AP397" s="241">
        <f t="shared" si="164"/>
        <v>0.01828958599</v>
      </c>
      <c r="AQ397" s="241">
        <f t="shared" si="164"/>
        <v>0.01680093711</v>
      </c>
      <c r="AR397" s="241">
        <f t="shared" si="164"/>
        <v>0.01563748634</v>
      </c>
      <c r="AS397" s="241">
        <f t="shared" si="164"/>
        <v>0.02204552222</v>
      </c>
      <c r="AT397" s="241">
        <f t="shared" si="164"/>
        <v>0.01667551751</v>
      </c>
      <c r="AU397" s="241">
        <f t="shared" si="164"/>
        <v>0.02611966418</v>
      </c>
      <c r="AV397" s="241">
        <f t="shared" si="164"/>
        <v>0.01871374767</v>
      </c>
      <c r="AW397" s="259"/>
    </row>
    <row r="398">
      <c r="A398" s="123"/>
      <c r="B398" s="123"/>
      <c r="C398" s="131"/>
      <c r="D398" s="131"/>
      <c r="E398" s="257" t="s">
        <v>376</v>
      </c>
      <c r="F398" s="213" t="s">
        <v>72</v>
      </c>
      <c r="G398" s="485" t="s">
        <v>161</v>
      </c>
      <c r="H398" s="240" t="s">
        <v>162</v>
      </c>
      <c r="I398" s="241">
        <f t="shared" ref="I398:AV398" si="165">I372*$H384</f>
        <v>0.07460615085</v>
      </c>
      <c r="J398" s="241">
        <f t="shared" si="165"/>
        <v>0.05711713764</v>
      </c>
      <c r="K398" s="241">
        <f t="shared" si="165"/>
        <v>0.09007219474</v>
      </c>
      <c r="L398" s="241">
        <f t="shared" si="165"/>
        <v>0.0662066086</v>
      </c>
      <c r="M398" s="241">
        <f t="shared" si="165"/>
        <v>0.04405250946</v>
      </c>
      <c r="N398" s="241">
        <f t="shared" si="165"/>
        <v>0.1011255494</v>
      </c>
      <c r="O398" s="241">
        <f t="shared" si="165"/>
        <v>0.1012424106</v>
      </c>
      <c r="P398" s="241">
        <f t="shared" si="165"/>
        <v>0.07792178888</v>
      </c>
      <c r="Q398" s="241">
        <f t="shared" si="165"/>
        <v>0.09201877719</v>
      </c>
      <c r="R398" s="241">
        <f t="shared" si="165"/>
        <v>0.03552455377</v>
      </c>
      <c r="S398" s="241">
        <f t="shared" si="165"/>
        <v>0.04576203708</v>
      </c>
      <c r="T398" s="241">
        <f t="shared" si="165"/>
        <v>0.0687274182</v>
      </c>
      <c r="U398" s="241">
        <f t="shared" si="165"/>
        <v>0.0471759505</v>
      </c>
      <c r="V398" s="241">
        <f t="shared" si="165"/>
        <v>0.07237393468</v>
      </c>
      <c r="W398" s="241">
        <f t="shared" si="165"/>
        <v>0.04850060422</v>
      </c>
      <c r="X398" s="241">
        <f t="shared" si="165"/>
        <v>0.08830786182</v>
      </c>
      <c r="Y398" s="241">
        <f t="shared" si="165"/>
        <v>0.07145011373</v>
      </c>
      <c r="Z398" s="241">
        <f t="shared" si="165"/>
        <v>0.05923352476</v>
      </c>
      <c r="AA398" s="241">
        <f t="shared" si="165"/>
        <v>0.06022180305</v>
      </c>
      <c r="AB398" s="241">
        <f t="shared" si="165"/>
        <v>0.05581647437</v>
      </c>
      <c r="AC398" s="241">
        <f t="shared" si="165"/>
        <v>0.0854589088</v>
      </c>
      <c r="AD398" s="241">
        <f t="shared" si="165"/>
        <v>0.05733623549</v>
      </c>
      <c r="AE398" s="241">
        <f t="shared" si="165"/>
        <v>0.0523183394</v>
      </c>
      <c r="AF398" s="241">
        <f t="shared" si="165"/>
        <v>0.04799325528</v>
      </c>
      <c r="AG398" s="241">
        <f t="shared" si="165"/>
        <v>0.0662066086</v>
      </c>
      <c r="AH398" s="241">
        <f t="shared" si="165"/>
        <v>0.06303172599</v>
      </c>
      <c r="AI398" s="241">
        <f t="shared" si="165"/>
        <v>0.109801654</v>
      </c>
      <c r="AJ398" s="241">
        <f t="shared" si="165"/>
        <v>0.06584046946</v>
      </c>
      <c r="AK398" s="241">
        <f t="shared" si="165"/>
        <v>0.06240636799</v>
      </c>
      <c r="AL398" s="241">
        <f t="shared" si="165"/>
        <v>0.06645139583</v>
      </c>
      <c r="AM398" s="241">
        <f t="shared" si="165"/>
        <v>0.06645139583</v>
      </c>
      <c r="AN398" s="241">
        <f t="shared" si="165"/>
        <v>0.06645139583</v>
      </c>
      <c r="AO398" s="241">
        <f t="shared" si="165"/>
        <v>0.06078612507</v>
      </c>
      <c r="AP398" s="241">
        <f t="shared" si="165"/>
        <v>0.06388548772</v>
      </c>
      <c r="AQ398" s="241">
        <f t="shared" si="165"/>
        <v>0.0752080161</v>
      </c>
      <c r="AR398" s="241">
        <f t="shared" si="165"/>
        <v>0.07600649775</v>
      </c>
      <c r="AS398" s="241">
        <f t="shared" si="165"/>
        <v>0.06185974634</v>
      </c>
      <c r="AT398" s="241">
        <f t="shared" si="165"/>
        <v>0.0604756214</v>
      </c>
      <c r="AU398" s="241">
        <f t="shared" si="165"/>
        <v>0.05002700932</v>
      </c>
      <c r="AV398" s="241">
        <f t="shared" si="165"/>
        <v>0.1084550742</v>
      </c>
      <c r="AW398" s="259"/>
    </row>
    <row r="399">
      <c r="A399" s="123"/>
      <c r="B399" s="123"/>
      <c r="C399" s="131"/>
      <c r="D399" s="131"/>
      <c r="E399" s="272" t="s">
        <v>377</v>
      </c>
      <c r="F399" s="200" t="s">
        <v>72</v>
      </c>
      <c r="G399" s="487" t="s">
        <v>161</v>
      </c>
      <c r="H399" s="228" t="s">
        <v>162</v>
      </c>
      <c r="I399" s="385">
        <f t="shared" ref="I399:AV399" si="166">I372*$H385</f>
        <v>0.004388597109</v>
      </c>
      <c r="J399" s="385">
        <f t="shared" si="166"/>
        <v>0.003359831626</v>
      </c>
      <c r="K399" s="385">
        <f t="shared" si="166"/>
        <v>0.005298364397</v>
      </c>
      <c r="L399" s="385">
        <f t="shared" si="166"/>
        <v>0.003894506389</v>
      </c>
      <c r="M399" s="385">
        <f t="shared" si="166"/>
        <v>0.002591324086</v>
      </c>
      <c r="N399" s="385">
        <f t="shared" si="166"/>
        <v>0.005948561727</v>
      </c>
      <c r="O399" s="385">
        <f t="shared" si="166"/>
        <v>0.005955435919</v>
      </c>
      <c r="P399" s="385">
        <f t="shared" si="166"/>
        <v>0.00458363464</v>
      </c>
      <c r="Q399" s="385">
        <f t="shared" si="166"/>
        <v>0.005412869246</v>
      </c>
      <c r="R399" s="385">
        <f t="shared" si="166"/>
        <v>0.002089679633</v>
      </c>
      <c r="S399" s="385">
        <f t="shared" si="166"/>
        <v>0.002691884534</v>
      </c>
      <c r="T399" s="385">
        <f t="shared" si="166"/>
        <v>0.004042789306</v>
      </c>
      <c r="U399" s="385">
        <f t="shared" si="166"/>
        <v>0.002775055912</v>
      </c>
      <c r="V399" s="385">
        <f t="shared" si="166"/>
        <v>0.004257290275</v>
      </c>
      <c r="W399" s="385">
        <f t="shared" si="166"/>
        <v>0.002852976719</v>
      </c>
      <c r="X399" s="385">
        <f t="shared" si="166"/>
        <v>0.005194580107</v>
      </c>
      <c r="Y399" s="385">
        <f t="shared" si="166"/>
        <v>0.004202947867</v>
      </c>
      <c r="Z399" s="385">
        <f t="shared" si="166"/>
        <v>0.003484324986</v>
      </c>
      <c r="AA399" s="385">
        <f t="shared" si="166"/>
        <v>0.003542459003</v>
      </c>
      <c r="AB399" s="385">
        <f t="shared" si="166"/>
        <v>0.003283322022</v>
      </c>
      <c r="AC399" s="385">
        <f t="shared" si="166"/>
        <v>0.005026994635</v>
      </c>
      <c r="AD399" s="385">
        <f t="shared" si="166"/>
        <v>0.003372719735</v>
      </c>
      <c r="AE399" s="385">
        <f t="shared" si="166"/>
        <v>0.003077549376</v>
      </c>
      <c r="AF399" s="385">
        <f t="shared" si="166"/>
        <v>0.002823132664</v>
      </c>
      <c r="AG399" s="385">
        <f t="shared" si="166"/>
        <v>0.003894506389</v>
      </c>
      <c r="AH399" s="385">
        <f t="shared" si="166"/>
        <v>0.003707748588</v>
      </c>
      <c r="AI399" s="385">
        <f t="shared" si="166"/>
        <v>0.006458920824</v>
      </c>
      <c r="AJ399" s="385">
        <f t="shared" si="166"/>
        <v>0.003872968792</v>
      </c>
      <c r="AK399" s="385">
        <f t="shared" si="166"/>
        <v>0.003670962823</v>
      </c>
      <c r="AL399" s="385">
        <f t="shared" si="166"/>
        <v>0.003908905637</v>
      </c>
      <c r="AM399" s="385">
        <f t="shared" si="166"/>
        <v>0.003908905637</v>
      </c>
      <c r="AN399" s="385">
        <f t="shared" si="166"/>
        <v>0.003908905637</v>
      </c>
      <c r="AO399" s="385">
        <f t="shared" si="166"/>
        <v>0.003575654416</v>
      </c>
      <c r="AP399" s="385">
        <f t="shared" si="166"/>
        <v>0.003757969866</v>
      </c>
      <c r="AQ399" s="385">
        <f t="shared" si="166"/>
        <v>0.004424000947</v>
      </c>
      <c r="AR399" s="385">
        <f t="shared" si="166"/>
        <v>0.004470970456</v>
      </c>
      <c r="AS399" s="385">
        <f t="shared" si="166"/>
        <v>0.003638808608</v>
      </c>
      <c r="AT399" s="385">
        <f t="shared" si="166"/>
        <v>0.003557389494</v>
      </c>
      <c r="AU399" s="385">
        <f t="shared" si="166"/>
        <v>0.002942765254</v>
      </c>
      <c r="AV399" s="385">
        <f t="shared" si="166"/>
        <v>0.006379710245</v>
      </c>
      <c r="AW399" s="274"/>
    </row>
    <row r="400">
      <c r="A400" s="81"/>
      <c r="B400" s="46"/>
      <c r="C400" s="46"/>
      <c r="D400" s="46"/>
      <c r="E400" s="606"/>
      <c r="F400" s="607"/>
      <c r="G400" s="608"/>
      <c r="H400" s="406"/>
      <c r="I400" s="502"/>
      <c r="J400" s="502"/>
      <c r="K400" s="502"/>
      <c r="L400" s="502"/>
      <c r="M400" s="502"/>
      <c r="N400" s="502"/>
      <c r="O400" s="502"/>
      <c r="P400" s="502"/>
      <c r="Q400" s="609"/>
      <c r="R400" s="502"/>
      <c r="S400" s="502"/>
      <c r="T400" s="502"/>
      <c r="U400" s="502"/>
      <c r="V400" s="502"/>
      <c r="W400" s="502"/>
      <c r="X400" s="502"/>
      <c r="Y400" s="502"/>
      <c r="Z400" s="502"/>
      <c r="AA400" s="502"/>
      <c r="AB400" s="502"/>
      <c r="AC400" s="502"/>
      <c r="AD400" s="502"/>
      <c r="AE400" s="502"/>
      <c r="AF400" s="502"/>
      <c r="AG400" s="502"/>
      <c r="AH400" s="502"/>
      <c r="AI400" s="502"/>
      <c r="AJ400" s="502"/>
      <c r="AK400" s="502"/>
      <c r="AL400" s="502"/>
      <c r="AM400" s="502"/>
      <c r="AN400" s="502"/>
      <c r="AO400" s="502"/>
      <c r="AP400" s="502"/>
      <c r="AQ400" s="502"/>
      <c r="AR400" s="502"/>
      <c r="AS400" s="502"/>
      <c r="AT400" s="502"/>
      <c r="AU400" s="502"/>
      <c r="AV400" s="502"/>
      <c r="AW400" s="409"/>
    </row>
  </sheetData>
  <mergeCells count="63">
    <mergeCell ref="C338:E338"/>
    <mergeCell ref="C347:E347"/>
    <mergeCell ref="A355:G355"/>
    <mergeCell ref="C357:E357"/>
    <mergeCell ref="C366:E366"/>
    <mergeCell ref="C374:E374"/>
    <mergeCell ref="C387:E387"/>
    <mergeCell ref="C275:E275"/>
    <mergeCell ref="C283:E283"/>
    <mergeCell ref="C293:E293"/>
    <mergeCell ref="C302:E302"/>
    <mergeCell ref="C310:E310"/>
    <mergeCell ref="C320:E320"/>
    <mergeCell ref="C328:E328"/>
    <mergeCell ref="I1:Q1"/>
    <mergeCell ref="R1:AE1"/>
    <mergeCell ref="AF1:AV1"/>
    <mergeCell ref="A3:E3"/>
    <mergeCell ref="A5:G5"/>
    <mergeCell ref="C6:E6"/>
    <mergeCell ref="C7:E7"/>
    <mergeCell ref="C13:E13"/>
    <mergeCell ref="A17:G17"/>
    <mergeCell ref="C19:E19"/>
    <mergeCell ref="C25:E25"/>
    <mergeCell ref="A33:G33"/>
    <mergeCell ref="C35:E35"/>
    <mergeCell ref="C41:E41"/>
    <mergeCell ref="A49:G49"/>
    <mergeCell ref="C51:E51"/>
    <mergeCell ref="C57:E57"/>
    <mergeCell ref="A68:G68"/>
    <mergeCell ref="C70:E70"/>
    <mergeCell ref="C76:E76"/>
    <mergeCell ref="C85:E85"/>
    <mergeCell ref="D86:E86"/>
    <mergeCell ref="D92:E92"/>
    <mergeCell ref="A99:G99"/>
    <mergeCell ref="C101:E101"/>
    <mergeCell ref="C107:E107"/>
    <mergeCell ref="C116:E116"/>
    <mergeCell ref="D117:E117"/>
    <mergeCell ref="D125:E125"/>
    <mergeCell ref="A134:G134"/>
    <mergeCell ref="C136:E136"/>
    <mergeCell ref="C142:E142"/>
    <mergeCell ref="C152:E152"/>
    <mergeCell ref="A159:G159"/>
    <mergeCell ref="C161:E161"/>
    <mergeCell ref="C167:E167"/>
    <mergeCell ref="A175:G175"/>
    <mergeCell ref="C177:E177"/>
    <mergeCell ref="C186:E186"/>
    <mergeCell ref="C194:E194"/>
    <mergeCell ref="C202:E202"/>
    <mergeCell ref="C211:E211"/>
    <mergeCell ref="A219:G219"/>
    <mergeCell ref="C221:E221"/>
    <mergeCell ref="C231:E231"/>
    <mergeCell ref="C239:E239"/>
    <mergeCell ref="C248:E248"/>
    <mergeCell ref="C257:E257"/>
    <mergeCell ref="C265:E265"/>
  </mergeCells>
  <hyperlinks>
    <hyperlink display="Probability that a person will die of tuberculosis before reaching age 5" location="Inputs!E111" ref="E8"/>
    <hyperlink display="Probability that a 5-year-old will die of tuberculosis before reaching age 15" location="Inputs!E112" ref="E9"/>
    <hyperlink display="Probability that a 15-year-old will die of tuberculosis before reaching age 50" location="Inputs!E113" ref="E10"/>
    <hyperlink display="Probability that a 50-year-old will die of tuberculosis before reaching age 75" location="Inputs!E114" ref="E11"/>
    <hyperlink display="Proportion of tuberculosis mortalities among people under age 5 that occur prior to the age of BCG vaccination (birth)" location="Inputs!E115" ref="E14"/>
    <hyperlink display="Probability that a person will die of diphtheria before reaching age 5" location="Inputs!E118" ref="E20"/>
    <hyperlink display="Probability that a 5-year-old will die of diphtheria before reaching age 15" location="Inputs!E119" ref="E21"/>
    <hyperlink display="Probability that a 15-year-old will die of diphtheria before reaching age 50" location="Inputs!E120" ref="E22"/>
    <hyperlink display="Probability that a 50-year-old will die of diphtheria before reaching age 75" location="Inputs!E121" ref="E23"/>
    <hyperlink display="Diphtheria mortalities per year among people under age 5" location="Inputs!E122" ref="E26"/>
    <hyperlink display="Diphtheria mortalities per year among people under age 1" location="Inputs!E123" ref="E27"/>
    <hyperlink display="Assumed proportion of diphtheria mortalities among people under age 1 occurring before the age of Penta vaccination (6 weeks)" location="Inputs!E124" ref="E29"/>
    <hyperlink display="Probability that a person will die of pertussis before reaching age 5" location="Inputs!E127" ref="E36"/>
    <hyperlink display="Probability that a 5-year-old will die of pertussis before reaching age 15" location="Inputs!E128" ref="E37"/>
    <hyperlink display="Probability that a 15-year-old will die of pertussis before reaching age 50" location="Inputs!E129" ref="E38"/>
    <hyperlink display="Probability that a 50-year-old will die of pertussis before reaching age 75" location="Inputs!E130" ref="E39"/>
    <hyperlink display="Pertussis mortalities per year among people under age 5" location="Inputs!E131" ref="E42"/>
    <hyperlink display="Pertussis mortalities per year among people under age 1" location="Inputs!E132" ref="E43"/>
    <hyperlink display="Assumed proportion of pertussis mortalities among people under age 1 occurring before the age of Penta vaccination (6 weeks)" location="Inputs!E133" ref="E45"/>
    <hyperlink display="Probability that a person will die of tetanus before reaching age 5" location="Inputs!E136" ref="E52"/>
    <hyperlink display="Probability that a 5-year-old will die of tetanus before reaching age 15" location="Inputs!E137" ref="E53"/>
    <hyperlink display="Probability that a 15-year-old will die of tetanus before reaching age 50" location="Inputs!E138" ref="E54"/>
    <hyperlink display="Probability that a 50-year-old will die of tetanus before reaching age 75" location="Inputs!E139" ref="E55"/>
    <hyperlink display="Tetanus mortalities per year among people under age 5" location="Inputs!E140" ref="E58"/>
    <hyperlink display="Early neonatal tetanus mortalities per year (babies under 7 days old)" location="Inputs!E141" ref="E59"/>
    <hyperlink display="Late neonatal tetanus mortalities per year (babies between 7 and 27 days old)" location="Inputs!E142" ref="E60"/>
    <hyperlink display="Tetanus mortalities per year among people under age 1" location="Inputs!E143" ref="E61"/>
    <hyperlink display="Assumed ratio of tetanus mortalities among people under age 5 occurring after the neonatal period but before the age of Penta vaccination (6 weeks) to tetanus mortalities occurring in the neonatal period" location="Inputs!E144" ref="E63"/>
    <hyperlink display="Probability that a person will die of a lower respiratory infection before reaching age 5" location="Inputs!E147" ref="E71"/>
    <hyperlink display="Probability that a 5-year-old will die of a lower respiratory infection before reaching age 15" location="Inputs!E148" ref="E72"/>
    <hyperlink display="Probability that a 15-year-old will die of a lower respiratory infection before reaching age 50" location="Inputs!E149" ref="E73"/>
    <hyperlink display="Probability that a 50-year-old will die of a lower respiratory infection before reaching age 75" location="Inputs!E150" ref="E74"/>
    <hyperlink display="Lower respiratory infection mortalities per year among people under age 5" location="Inputs!E151" ref="E77"/>
    <hyperlink display="Early neonatal lower respiratory infection mortalities per year (babies under 7 days old)" location="Inputs!E152" ref="E78"/>
    <hyperlink display="Late neonatal lower respiratory infection mortalities per year (babies between 7 and 27 days old)" location="Inputs!E153" ref="E79"/>
    <hyperlink display="Assumed ratio of lower respiratory infection mortalities among people under age 5 occurring after the neonatal period but before the age of Penta and PCV vaccination (6 weeks) to lower respiratory infection mortalities occurring in the neonatal period" location="Inputs!E154" ref="E81"/>
    <hyperlink display="Proportion of lower respiratory infection deaths caused by pathogens addressed by the Penta vaccine (H. influenzae type B)" location="Inputs!E155" ref="E87"/>
    <hyperlink display="Proportion of lower respiratory infection deaths caused by pathogens addressed by the PCV vaccine (S. pneumoniae)" location="Inputs!E156" ref="E93"/>
    <hyperlink display="Probability that a person will die of meningitis before reaching age 5" location="Inputs!E159" ref="E102"/>
    <hyperlink display="Probability that a 5-year-old will die of meningitis before reaching age 15" location="Inputs!E160" ref="E103"/>
    <hyperlink display="Probability that a 15-year-old will die of meningitis before reaching age 50" location="Inputs!E161" ref="E104"/>
    <hyperlink display="Probability that a 50-year-old will die of meningitis before reaching age 75" location="Inputs!E162" ref="E105"/>
    <hyperlink display="Meningitis mortalities per year among people under age 5" location="Inputs!E163" ref="E108"/>
    <hyperlink display="Early neonatal meningitis mortalities per year (babies under 7 days old)" location="Inputs!E164" ref="E109"/>
    <hyperlink display="Late neonatal meningitis mortalities per year (babies between 7 and 27 days old)" location="Inputs!E165" ref="E110"/>
    <hyperlink display="Assumed ratio of meningitis mortalities among people under age 5 occurring after the neonatal period but before the age of Penta and PCV vaccination (6 weeks) to meningitis mortalities occurring in the neonatal period" location="Inputs!E166" ref="E112"/>
    <hyperlink display="Proportion of meningitis deaths caused by pathogens addressed by the Penta vaccine (H. influenzae type B) according to GBD 2019" location="Inputs!E167" ref="E118"/>
    <hyperlink display="Adjustment for alignment with Hib meningitis burden estimates from View-Hub" location="Inputs!E168" ref="E119"/>
    <hyperlink display="Proportion of meningitis deaths caused by pathogens addressed by the PCV vaccine (S. pneumoniae) according to GBD 2019" location="Inputs!E169" ref="E126"/>
    <hyperlink display="Adjustment for alignment with pneumococcal meningitis burden estimates from View-Hub" location="Inputs!E170" ref="E127"/>
    <hyperlink display="Probability that a person will die of diarrheal disease before reaching age 5" location="Inputs!E173" ref="E137"/>
    <hyperlink display="Probability that a 5-year-old will die of diarrheal disease before reaching age 15" location="Inputs!E174" ref="E138"/>
    <hyperlink display="Probability that a 15-year-old will die of diarrheal disease before reaching age 50" location="Inputs!E175" ref="E139"/>
    <hyperlink display="Probability that a 50-year-old will die of diarrheal disease before reaching age 75" location="Inputs!E176" ref="E140"/>
    <hyperlink display="Diarrheal disease mortalities per year among people under age 5" location="Inputs!E177" ref="E143"/>
    <hyperlink display="Diarrheal disease mortalities caused by rotavirus per year among people under age 5" location="Inputs!E178" ref="E144"/>
    <hyperlink display="Early neonatal diarrheal disease mortalities caused by rotavirus per year (babies under 7 days old)" location="Inputs!E179" ref="E145"/>
    <hyperlink display="Late neonatal diarrheal disease mortalities caused by rotavirus per year (babies between 7 and 27 days old)" location="Inputs!E180" ref="E146"/>
    <hyperlink display="Assumed ratio of diarrheal disease mortalities caused by rotavirus among people under age 5 occurring after the neonatal period but before the age of rotavirus vaccination (6 weeks) to diarrheal disease mortalities caused by rotavirus occurring in the neonatal period" location="Inputs!E181" ref="E148"/>
    <hyperlink display="Probability that a person will die of measles before reaching age 5" location="Inputs!E184" ref="E162"/>
    <hyperlink display="Probability that a 5-year-old will die of measles before reaching age 15" location="Inputs!E185" ref="E163"/>
    <hyperlink display="Probability that a 15-year-old will die of measles before reaching age 50" location="Inputs!E186" ref="E164"/>
    <hyperlink display="Probability that a 50-year-old will die of measles before reaching age 75" location="Inputs!E187" ref="E165"/>
    <hyperlink display="Measles mortalities per year among people under age 5" location="Inputs!E188" ref="E168"/>
    <hyperlink display="Measles mortalities per year among people under age 1" location="Inputs!E189" ref="E169"/>
    <hyperlink display="Assumed proportion of measles mortalities among people under age 1 occurring before the age of measles vaccination (9 months)" location="Inputs!E190" ref="E171"/>
    <hyperlink display="Proportion of people under age 5 represented in GBD 2021 disease burden estimates who received the BCG vaccine" location="'Vaccine coverage'!E163" ref="E187"/>
    <hyperlink display="Proportion of people under age 5 represented in GBD 2021 disease burden estimates who received the DTP vaccine, aggregated across doses" location="'Vaccine coverage'!E164" ref="E188"/>
    <hyperlink display="Proportion of people under age 5 represented in GBD 2021 disease burden estimates who received the Hib vaccine, aggregated across doses" location="'Vaccine coverage'!E165" ref="E189"/>
    <hyperlink display="%" location="'Vaccine coverage'!F165" ref="F189"/>
    <hyperlink display="calc" location="'Vaccine coverage'!G165" ref="G189"/>
    <hyperlink display="-" location="'Vaccine coverage'!H165" ref="H189"/>
    <hyperlink display="37%" location="'Vaccine coverage'!I165" ref="I189"/>
    <hyperlink display="48%" location="'Vaccine coverage'!J165" ref="J189"/>
    <hyperlink display="55%" location="'Vaccine coverage'!K165" ref="K189"/>
    <hyperlink display="65%" location="'Vaccine coverage'!L165" ref="L189"/>
    <hyperlink display="47%" location="'Vaccine coverage'!M165" ref="M189"/>
    <hyperlink display="46%" location="'Vaccine coverage'!N165" ref="N189"/>
    <hyperlink display="56%" location="'Vaccine coverage'!O165" ref="O189"/>
    <hyperlink display="20%" location="'Vaccine coverage'!P165" ref="P189"/>
    <hyperlink display="36%" location="'Vaccine coverage'!Q165" ref="Q189"/>
    <hyperlink display="82%" location="'Vaccine coverage'!R165" ref="R189"/>
    <hyperlink display="65%" location="'Vaccine coverage'!S165" ref="S189"/>
    <hyperlink display="79%" location="'Vaccine coverage'!T165" ref="T189"/>
    <hyperlink display="74%" location="'Vaccine coverage'!U165" ref="U189"/>
    <hyperlink display="72%" location="'Vaccine coverage'!V165" ref="V189"/>
    <hyperlink display="72%" location="'Vaccine coverage'!W165" ref="W189"/>
    <hyperlink display="46%" location="'Vaccine coverage'!X165" ref="X189"/>
    <hyperlink display="86%" location="'Vaccine coverage'!Y165" ref="Y189"/>
    <hyperlink display="73%" location="'Vaccine coverage'!Z165" ref="Z189"/>
    <hyperlink display="94%" location="'Vaccine coverage'!AA165" ref="AA189"/>
    <hyperlink display="86%" location="'Vaccine coverage'!AB165" ref="AB189"/>
    <hyperlink display="89%" location="'Vaccine coverage'!AC165" ref="AC189"/>
    <hyperlink display="92%" location="'Vaccine coverage'!AD165" ref="AD189"/>
    <hyperlink display="83%" location="'Vaccine coverage'!AE165" ref="AE189"/>
    <hyperlink display="89%" location="'Vaccine coverage'!AF165" ref="AF189"/>
    <hyperlink display="65%" location="'Vaccine coverage'!AG165" ref="AG189"/>
    <hyperlink display="73%" location="'Vaccine coverage'!AH165" ref="AH189"/>
    <hyperlink display="61%" location="'Vaccine coverage'!AI165" ref="AI189"/>
    <hyperlink display="86%" location="'Vaccine coverage'!AJ165" ref="AJ189"/>
    <hyperlink display="63%" location="'Vaccine coverage'!AK165" ref="AK189"/>
    <hyperlink display="50%" location="'Vaccine coverage'!AL165" ref="AL189"/>
    <hyperlink display="50%" location="'Vaccine coverage'!AM165" ref="AM189"/>
    <hyperlink display="50%" location="'Vaccine coverage'!AN165" ref="AN189"/>
    <hyperlink display="57%" location="'Vaccine coverage'!AO165" ref="AO189"/>
    <hyperlink display="66%" location="'Vaccine coverage'!AP165" ref="AP189"/>
    <hyperlink display="84%" location="'Vaccine coverage'!AQ165" ref="AQ189"/>
    <hyperlink display="64%" location="'Vaccine coverage'!AR165" ref="AR189"/>
    <hyperlink display="74%" location="'Vaccine coverage'!AS165" ref="AS189"/>
    <hyperlink display="83%" location="'Vaccine coverage'!AT165" ref="AT189"/>
    <hyperlink display="63%" location="'Vaccine coverage'!AU165" ref="AU189"/>
    <hyperlink display="68%" location="'Vaccine coverage'!AV165" ref="AV189"/>
    <hyperlink display="Proportion of people under age 5 represented in GBD 2021 disease burden estimates who received the PCV vaccine, aggregated across doses" location="'Vaccine coverage'!E166" ref="E190"/>
    <hyperlink display="Proportion of people under age 5 represented in GBD 2021 disease burden estimates who received the rotavirus vaccine, aggregated across doses" location="'Vaccine coverage'!E167" ref="E191"/>
    <hyperlink display="Proportion of people under age 5 represented in GBD 2021 disease burden estimates who received the measles vaccine" location="'Vaccine coverage'!E168" ref="E192"/>
    <hyperlink display="BCG vaccine efficacy rate with universal coverage" location="'Vaccine efficacy'!E50" ref="E195"/>
    <hyperlink display="DTP vaccine efficacy rate with universal coverage (part of the Penta vaccine)" location="'Vaccine efficacy'!E51" ref="E196"/>
    <hyperlink display="Hib vaccine efficacy rate with universal coverage (part of the Penta vaccine)" location="'Vaccine efficacy'!E52" ref="E197"/>
    <hyperlink display="PCV vaccine efficacy rate with universal coverage" location="'Vaccine efficacy'!E53" ref="E198"/>
    <hyperlink display="Rotavirus vaccine efficacy rate with universal coverage" location="'Vaccine efficacy'!E54" ref="E199"/>
    <hyperlink display="Measles vaccine efficacy rate with universal coverage" location="'Vaccine efficacy'!E55" ref="E200"/>
    <hyperlink display="Adjustment for expected change in vaccine-preventable disease burden over time for 5-14-year-olds" location="Inputs!E195" ref="E222"/>
    <hyperlink display="Adjustment for lower vaccine coverage among 5-14-year-olds represented in GBD 2021 disease burden estimates" location="Inputs!E193" ref="E232"/>
    <hyperlink display="Adjustment for reduction in vaccine efficacy over time for 5-14-year-olds" location="Inputs!E194" ref="E240"/>
    <hyperlink display="Adjustment for expected change in vaccine-preventable disease burden over time for 15-49-year-olds" location="Inputs!E199" ref="E266"/>
    <hyperlink display="Adjustment for lower vaccine coverage among 15-49-year-olds represented in GBD 2021 disease burden estimates" location="Inputs!E196" ref="E276"/>
    <hyperlink display="Adjustment for reduction in non-BCG vaccine efficacy over time for 15-49-year-olds" location="Inputs!E197" ref="E284"/>
    <hyperlink display="Adjustment for reduction in BCG vaccine efficacy over time for 15-49-year-olds" location="Inputs!E198" ref="E285"/>
    <hyperlink display="Adjustment for expected change in vaccine-preventable disease burden over time for 50-74-year-olds" location="Inputs!E203" ref="E311"/>
    <hyperlink display="Adjustment for lower vaccine coverage among 50-74-year-olds represented in GBD 2021 disease burden estimates" location="Inputs!E200" ref="E321"/>
    <hyperlink display="Adjustment for reduction in non-BCG vaccine efficacy over time for 50-74-year-olds" location="Inputs!E201" ref="E329"/>
    <hyperlink display="Adjustment for reduction in BCG vaccine efficacy over time for 50-74-year-olds" location="Inputs!E202" ref="E330"/>
    <hyperlink display="Proportion of total Penta vaccine efficacy provided by the 1st dose" location="Inputs!C96" ref="E375"/>
    <hyperlink display="Proportion of total Penta vaccine efficacy provided by the 2nd dose" location="Inputs!C97" ref="E376"/>
    <hyperlink display="Proportion of total Penta vaccine efficacy provided by the 3rd dose" location="Inputs!C98" ref="E377"/>
    <hyperlink display="Proportion of total PCV vaccine efficacy provided by the 1st dose" location="Inputs!C99" ref="E378"/>
    <hyperlink display="Proportion of total PCV vaccine efficacy provided by the 2nd dose" location="Inputs!C100" ref="E379"/>
    <hyperlink display="Proportion of total PCV vaccine efficacy provided by the 3rd dose" location="Inputs!C101" ref="E380"/>
    <hyperlink display="Proportion of total rotavirus vaccine efficacy provided by the 1st dose" location="Inputs!C102" ref="E381"/>
    <hyperlink display="Proportion of total rotavirus vaccine efficacy provided by the 2nd dose" location="Inputs!C103" ref="E382"/>
    <hyperlink display="Proportion of total rotavirus vaccine efficacy provided by the 3rd dose" location="Inputs!C104" ref="E383"/>
    <hyperlink display="Proportion of total measles vaccine efficacy provided by the 1st dose" location="Inputs!C105" ref="E384"/>
    <hyperlink display="Proportion of total measles vaccine efficacy provided by the 2nd dose" location="Inputs!C106" ref="E385"/>
    <hyperlink display="Proportion of vaccine-preventable mortalities among people under age 5 that could be prevented by the BCG vaccine" location="'Disease burden'!E367" ref="E388"/>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3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771</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23"/>
      <c r="D6" s="123"/>
      <c r="E6" s="124"/>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772</v>
      </c>
      <c r="F7" s="125"/>
      <c r="G7" s="48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
        <v>773</v>
      </c>
      <c r="F8" s="193" t="s">
        <v>62</v>
      </c>
      <c r="G8" s="483" t="s">
        <v>165</v>
      </c>
      <c r="H8" s="343" t="str">
        <f>Inputs!H41</f>
        <v>-</v>
      </c>
      <c r="I8" s="509">
        <f>Inputs!I41</f>
        <v>20</v>
      </c>
      <c r="J8" s="509">
        <f>Inputs!J41</f>
        <v>11</v>
      </c>
      <c r="K8" s="509">
        <f>Inputs!K41</f>
        <v>27</v>
      </c>
      <c r="L8" s="509">
        <f>Inputs!L41</f>
        <v>6</v>
      </c>
      <c r="M8" s="509">
        <f>Inputs!M41</f>
        <v>44</v>
      </c>
      <c r="N8" s="509">
        <f>Inputs!N41</f>
        <v>34</v>
      </c>
      <c r="O8" s="509">
        <f>Inputs!O41</f>
        <v>21</v>
      </c>
      <c r="P8" s="509">
        <f>Inputs!P41</f>
        <v>23</v>
      </c>
      <c r="Q8" s="509">
        <f>Inputs!Q41</f>
        <v>14</v>
      </c>
      <c r="R8" s="509">
        <f>Inputs!R41</f>
        <v>17</v>
      </c>
      <c r="S8" s="509">
        <f>Inputs!S41</f>
        <v>21</v>
      </c>
      <c r="T8" s="509">
        <f>Inputs!T41</f>
        <v>31</v>
      </c>
      <c r="U8" s="509">
        <f>Inputs!U41</f>
        <v>21</v>
      </c>
      <c r="V8" s="509">
        <f>Inputs!V41</f>
        <v>8</v>
      </c>
      <c r="W8" s="509">
        <f>Inputs!W41</f>
        <v>23</v>
      </c>
      <c r="X8" s="509">
        <f>Inputs!X41</f>
        <v>27</v>
      </c>
      <c r="Y8" s="509">
        <f>Inputs!Y41</f>
        <v>18</v>
      </c>
      <c r="Z8" s="509">
        <f>Inputs!Z41</f>
        <v>25</v>
      </c>
      <c r="AA8" s="509">
        <f>Inputs!AA41</f>
        <v>12</v>
      </c>
      <c r="AB8" s="509">
        <f>Inputs!AB41</f>
        <v>18</v>
      </c>
      <c r="AC8" s="509">
        <f>Inputs!AC41</f>
        <v>16</v>
      </c>
      <c r="AD8" s="509">
        <f>Inputs!AD41</f>
        <v>17</v>
      </c>
      <c r="AE8" s="509">
        <f>Inputs!AE41</f>
        <v>6</v>
      </c>
      <c r="AF8" s="509">
        <f>Inputs!AF41</f>
        <v>27</v>
      </c>
      <c r="AG8" s="509">
        <f>Inputs!AG41</f>
        <v>23</v>
      </c>
      <c r="AH8" s="509">
        <f>Inputs!AH41</f>
        <v>21</v>
      </c>
      <c r="AI8" s="509">
        <f>Inputs!AI41</f>
        <v>16</v>
      </c>
      <c r="AJ8" s="509">
        <f>Inputs!AJ41</f>
        <v>20</v>
      </c>
      <c r="AK8" s="509">
        <f>Inputs!AK41</f>
        <v>13</v>
      </c>
      <c r="AL8" s="509">
        <f>Inputs!AL41</f>
        <v>25</v>
      </c>
      <c r="AM8" s="509">
        <f>Inputs!AM41</f>
        <v>12</v>
      </c>
      <c r="AN8" s="509">
        <f>Inputs!AN41</f>
        <v>6</v>
      </c>
      <c r="AO8" s="509">
        <f>Inputs!AO41</f>
        <v>20</v>
      </c>
      <c r="AP8" s="509">
        <f>Inputs!AP41</f>
        <v>18</v>
      </c>
      <c r="AQ8" s="509">
        <f>Inputs!AQ41</f>
        <v>30</v>
      </c>
      <c r="AR8" s="509">
        <f>Inputs!AR41</f>
        <v>33</v>
      </c>
      <c r="AS8" s="509">
        <f>Inputs!AS41</f>
        <v>17</v>
      </c>
      <c r="AT8" s="509">
        <f>Inputs!AT41</f>
        <v>23</v>
      </c>
      <c r="AU8" s="509">
        <f>Inputs!AU41</f>
        <v>16</v>
      </c>
      <c r="AV8" s="509">
        <f>Inputs!AV41</f>
        <v>17</v>
      </c>
      <c r="AW8" s="256"/>
    </row>
    <row r="9">
      <c r="A9" s="122"/>
      <c r="B9" s="123"/>
      <c r="C9" s="131"/>
      <c r="D9" s="131"/>
      <c r="E9" s="257" t="s">
        <v>774</v>
      </c>
      <c r="F9" s="213" t="s">
        <v>62</v>
      </c>
      <c r="G9" s="485" t="s">
        <v>165</v>
      </c>
      <c r="H9" s="610" t="str">
        <f>Inputs!H42</f>
        <v>-</v>
      </c>
      <c r="I9" s="512">
        <f>Inputs!I42</f>
        <v>20</v>
      </c>
      <c r="J9" s="512">
        <f>Inputs!J42</f>
        <v>11</v>
      </c>
      <c r="K9" s="512">
        <f>Inputs!K42</f>
        <v>23</v>
      </c>
      <c r="L9" s="512">
        <f>Inputs!L42</f>
        <v>6</v>
      </c>
      <c r="M9" s="512">
        <f>Inputs!M42</f>
        <v>44</v>
      </c>
      <c r="N9" s="512">
        <f>Inputs!N42</f>
        <v>12</v>
      </c>
      <c r="O9" s="512">
        <f>Inputs!O42</f>
        <v>16</v>
      </c>
      <c r="P9" s="512">
        <f>Inputs!P42</f>
        <v>14</v>
      </c>
      <c r="Q9" s="512">
        <f>Inputs!Q42</f>
        <v>1</v>
      </c>
      <c r="R9" s="512">
        <f>Inputs!R42</f>
        <v>0</v>
      </c>
      <c r="S9" s="512">
        <f>Inputs!S42</f>
        <v>18</v>
      </c>
      <c r="T9" s="512">
        <f>Inputs!T42</f>
        <v>0</v>
      </c>
      <c r="U9" s="512">
        <f>Inputs!U42</f>
        <v>0</v>
      </c>
      <c r="V9" s="512">
        <f>Inputs!V42</f>
        <v>0</v>
      </c>
      <c r="W9" s="512">
        <f>Inputs!W42</f>
        <v>0</v>
      </c>
      <c r="X9" s="512">
        <f>Inputs!X42</f>
        <v>0</v>
      </c>
      <c r="Y9" s="512">
        <f>Inputs!Y42</f>
        <v>0</v>
      </c>
      <c r="Z9" s="512">
        <f>Inputs!Z42</f>
        <v>0</v>
      </c>
      <c r="AA9" s="512">
        <f>Inputs!AA42</f>
        <v>0</v>
      </c>
      <c r="AB9" s="512">
        <f>Inputs!AB42</f>
        <v>0</v>
      </c>
      <c r="AC9" s="512">
        <f>Inputs!AC42</f>
        <v>0</v>
      </c>
      <c r="AD9" s="512">
        <f>Inputs!AD42</f>
        <v>0</v>
      </c>
      <c r="AE9" s="512">
        <f>Inputs!AE42</f>
        <v>0</v>
      </c>
      <c r="AF9" s="512">
        <f>Inputs!AF42</f>
        <v>0</v>
      </c>
      <c r="AG9" s="512">
        <f>Inputs!AG42</f>
        <v>18</v>
      </c>
      <c r="AH9" s="512">
        <f>Inputs!AH42</f>
        <v>0</v>
      </c>
      <c r="AI9" s="512">
        <f>Inputs!AI42</f>
        <v>0</v>
      </c>
      <c r="AJ9" s="512">
        <f>Inputs!AJ42</f>
        <v>0</v>
      </c>
      <c r="AK9" s="512">
        <f>Inputs!AK42</f>
        <v>0</v>
      </c>
      <c r="AL9" s="512">
        <f>Inputs!AL42</f>
        <v>18</v>
      </c>
      <c r="AM9" s="512">
        <f>Inputs!AM42</f>
        <v>12</v>
      </c>
      <c r="AN9" s="512">
        <f>Inputs!AN42</f>
        <v>6</v>
      </c>
      <c r="AO9" s="512">
        <f>Inputs!AO42</f>
        <v>0</v>
      </c>
      <c r="AP9" s="512">
        <f>Inputs!AP42</f>
        <v>0</v>
      </c>
      <c r="AQ9" s="512">
        <f>Inputs!AQ42</f>
        <v>0</v>
      </c>
      <c r="AR9" s="512">
        <f>Inputs!AR42</f>
        <v>0</v>
      </c>
      <c r="AS9" s="512">
        <f>Inputs!AS42</f>
        <v>0</v>
      </c>
      <c r="AT9" s="512">
        <f>Inputs!AT42</f>
        <v>0</v>
      </c>
      <c r="AU9" s="512">
        <f>Inputs!AU42</f>
        <v>9</v>
      </c>
      <c r="AV9" s="512">
        <f>Inputs!AV42</f>
        <v>10</v>
      </c>
      <c r="AW9" s="259"/>
    </row>
    <row r="10">
      <c r="A10" s="122"/>
      <c r="B10" s="123"/>
      <c r="C10" s="131"/>
      <c r="D10" s="131"/>
      <c r="E10" s="257" t="s">
        <v>775</v>
      </c>
      <c r="F10" s="213" t="s">
        <v>72</v>
      </c>
      <c r="G10" s="485" t="s">
        <v>161</v>
      </c>
      <c r="H10" s="240" t="s">
        <v>162</v>
      </c>
      <c r="I10" s="241">
        <f t="shared" ref="I10:AV10" si="1">I9/I8</f>
        <v>1</v>
      </c>
      <c r="J10" s="241">
        <f t="shared" si="1"/>
        <v>1</v>
      </c>
      <c r="K10" s="241">
        <f t="shared" si="1"/>
        <v>0.8518518519</v>
      </c>
      <c r="L10" s="241">
        <f t="shared" si="1"/>
        <v>1</v>
      </c>
      <c r="M10" s="241">
        <f t="shared" si="1"/>
        <v>1</v>
      </c>
      <c r="N10" s="241">
        <f t="shared" si="1"/>
        <v>0.3529411765</v>
      </c>
      <c r="O10" s="241">
        <f t="shared" si="1"/>
        <v>0.7619047619</v>
      </c>
      <c r="P10" s="241">
        <f t="shared" si="1"/>
        <v>0.6086956522</v>
      </c>
      <c r="Q10" s="241">
        <f t="shared" si="1"/>
        <v>0.07142857143</v>
      </c>
      <c r="R10" s="241">
        <f t="shared" si="1"/>
        <v>0</v>
      </c>
      <c r="S10" s="241">
        <f t="shared" si="1"/>
        <v>0.8571428571</v>
      </c>
      <c r="T10" s="241">
        <f t="shared" si="1"/>
        <v>0</v>
      </c>
      <c r="U10" s="241">
        <f t="shared" si="1"/>
        <v>0</v>
      </c>
      <c r="V10" s="241">
        <f t="shared" si="1"/>
        <v>0</v>
      </c>
      <c r="W10" s="241">
        <f t="shared" si="1"/>
        <v>0</v>
      </c>
      <c r="X10" s="241">
        <f t="shared" si="1"/>
        <v>0</v>
      </c>
      <c r="Y10" s="241">
        <f t="shared" si="1"/>
        <v>0</v>
      </c>
      <c r="Z10" s="241">
        <f t="shared" si="1"/>
        <v>0</v>
      </c>
      <c r="AA10" s="241">
        <f t="shared" si="1"/>
        <v>0</v>
      </c>
      <c r="AB10" s="241">
        <f t="shared" si="1"/>
        <v>0</v>
      </c>
      <c r="AC10" s="241">
        <f t="shared" si="1"/>
        <v>0</v>
      </c>
      <c r="AD10" s="241">
        <f t="shared" si="1"/>
        <v>0</v>
      </c>
      <c r="AE10" s="241">
        <f t="shared" si="1"/>
        <v>0</v>
      </c>
      <c r="AF10" s="241">
        <f t="shared" si="1"/>
        <v>0</v>
      </c>
      <c r="AG10" s="241">
        <f t="shared" si="1"/>
        <v>0.7826086957</v>
      </c>
      <c r="AH10" s="241">
        <f t="shared" si="1"/>
        <v>0</v>
      </c>
      <c r="AI10" s="241">
        <f t="shared" si="1"/>
        <v>0</v>
      </c>
      <c r="AJ10" s="241">
        <f t="shared" si="1"/>
        <v>0</v>
      </c>
      <c r="AK10" s="241">
        <f t="shared" si="1"/>
        <v>0</v>
      </c>
      <c r="AL10" s="241">
        <f t="shared" si="1"/>
        <v>0.72</v>
      </c>
      <c r="AM10" s="241">
        <f t="shared" si="1"/>
        <v>1</v>
      </c>
      <c r="AN10" s="241">
        <f t="shared" si="1"/>
        <v>1</v>
      </c>
      <c r="AO10" s="241">
        <f t="shared" si="1"/>
        <v>0</v>
      </c>
      <c r="AP10" s="241">
        <f t="shared" si="1"/>
        <v>0</v>
      </c>
      <c r="AQ10" s="241">
        <f t="shared" si="1"/>
        <v>0</v>
      </c>
      <c r="AR10" s="241">
        <f t="shared" si="1"/>
        <v>0</v>
      </c>
      <c r="AS10" s="241">
        <f t="shared" si="1"/>
        <v>0</v>
      </c>
      <c r="AT10" s="241">
        <f t="shared" si="1"/>
        <v>0</v>
      </c>
      <c r="AU10" s="241">
        <f t="shared" si="1"/>
        <v>0.5625</v>
      </c>
      <c r="AV10" s="241">
        <f t="shared" si="1"/>
        <v>0.5882352941</v>
      </c>
      <c r="AW10" s="259"/>
    </row>
    <row r="11">
      <c r="A11" s="122"/>
      <c r="B11" s="123"/>
      <c r="C11" s="131"/>
      <c r="D11" s="131"/>
      <c r="E11" s="257" t="s">
        <v>776</v>
      </c>
      <c r="F11" s="213" t="s">
        <v>72</v>
      </c>
      <c r="G11" s="485" t="s">
        <v>165</v>
      </c>
      <c r="H11" s="215">
        <f>Inputs!H45</f>
        <v>0.5</v>
      </c>
      <c r="I11" s="611" t="str">
        <f>Inputs!I45</f>
        <v>-</v>
      </c>
      <c r="J11" s="611" t="str">
        <f>Inputs!J45</f>
        <v>-</v>
      </c>
      <c r="K11" s="611" t="str">
        <f>Inputs!K45</f>
        <v>-</v>
      </c>
      <c r="L11" s="611" t="str">
        <f>Inputs!L45</f>
        <v>-</v>
      </c>
      <c r="M11" s="611" t="str">
        <f>Inputs!M45</f>
        <v>-</v>
      </c>
      <c r="N11" s="611" t="str">
        <f>Inputs!N45</f>
        <v>-</v>
      </c>
      <c r="O11" s="611" t="str">
        <f>Inputs!O45</f>
        <v>-</v>
      </c>
      <c r="P11" s="611" t="str">
        <f>Inputs!P45</f>
        <v>-</v>
      </c>
      <c r="Q11" s="611" t="str">
        <f>Inputs!Q45</f>
        <v>-</v>
      </c>
      <c r="R11" s="611" t="str">
        <f>Inputs!R45</f>
        <v>-</v>
      </c>
      <c r="S11" s="611" t="str">
        <f>Inputs!S45</f>
        <v>-</v>
      </c>
      <c r="T11" s="611" t="str">
        <f>Inputs!T45</f>
        <v>-</v>
      </c>
      <c r="U11" s="611" t="str">
        <f>Inputs!U45</f>
        <v>-</v>
      </c>
      <c r="V11" s="611" t="str">
        <f>Inputs!V45</f>
        <v>-</v>
      </c>
      <c r="W11" s="611" t="str">
        <f>Inputs!W45</f>
        <v>-</v>
      </c>
      <c r="X11" s="611" t="str">
        <f>Inputs!X45</f>
        <v>-</v>
      </c>
      <c r="Y11" s="611" t="str">
        <f>Inputs!Y45</f>
        <v>-</v>
      </c>
      <c r="Z11" s="611" t="str">
        <f>Inputs!Z45</f>
        <v>-</v>
      </c>
      <c r="AA11" s="611" t="str">
        <f>Inputs!AA45</f>
        <v>-</v>
      </c>
      <c r="AB11" s="611" t="str">
        <f>Inputs!AB45</f>
        <v>-</v>
      </c>
      <c r="AC11" s="611" t="str">
        <f>Inputs!AC45</f>
        <v>-</v>
      </c>
      <c r="AD11" s="611" t="str">
        <f>Inputs!AD45</f>
        <v>-</v>
      </c>
      <c r="AE11" s="611" t="str">
        <f>Inputs!AE45</f>
        <v>-</v>
      </c>
      <c r="AF11" s="611" t="str">
        <f>Inputs!AF45</f>
        <v>-</v>
      </c>
      <c r="AG11" s="611" t="str">
        <f>Inputs!AG45</f>
        <v>-</v>
      </c>
      <c r="AH11" s="611" t="str">
        <f>Inputs!AH45</f>
        <v>-</v>
      </c>
      <c r="AI11" s="611" t="str">
        <f>Inputs!AI45</f>
        <v>-</v>
      </c>
      <c r="AJ11" s="611" t="str">
        <f>Inputs!AJ45</f>
        <v>-</v>
      </c>
      <c r="AK11" s="611" t="str">
        <f>Inputs!AK45</f>
        <v>-</v>
      </c>
      <c r="AL11" s="611" t="str">
        <f>Inputs!AL45</f>
        <v>-</v>
      </c>
      <c r="AM11" s="611" t="str">
        <f>Inputs!AM45</f>
        <v>-</v>
      </c>
      <c r="AN11" s="611" t="str">
        <f>Inputs!AN45</f>
        <v>-</v>
      </c>
      <c r="AO11" s="611" t="str">
        <f>Inputs!AO45</f>
        <v>-</v>
      </c>
      <c r="AP11" s="611" t="str">
        <f>Inputs!AP45</f>
        <v>-</v>
      </c>
      <c r="AQ11" s="611" t="str">
        <f>Inputs!AQ45</f>
        <v>-</v>
      </c>
      <c r="AR11" s="611" t="str">
        <f>Inputs!AR45</f>
        <v>-</v>
      </c>
      <c r="AS11" s="611" t="str">
        <f>Inputs!AS45</f>
        <v>-</v>
      </c>
      <c r="AT11" s="611" t="str">
        <f>Inputs!AT45</f>
        <v>-</v>
      </c>
      <c r="AU11" s="611" t="str">
        <f>Inputs!AU45</f>
        <v>-</v>
      </c>
      <c r="AV11" s="611" t="str">
        <f>Inputs!AV45</f>
        <v>-</v>
      </c>
      <c r="AW11" s="259"/>
    </row>
    <row r="12">
      <c r="A12" s="122"/>
      <c r="B12" s="123"/>
      <c r="C12" s="131"/>
      <c r="D12" s="131"/>
      <c r="E12" s="278" t="s">
        <v>777</v>
      </c>
      <c r="F12" s="612" t="s">
        <v>72</v>
      </c>
      <c r="G12" s="613" t="s">
        <v>161</v>
      </c>
      <c r="H12" s="373" t="s">
        <v>162</v>
      </c>
      <c r="I12" s="282">
        <f t="shared" ref="I12:AV12" si="2">IF(I10=0,0,MIN(1,(I10*(1+$H11))))</f>
        <v>1</v>
      </c>
      <c r="J12" s="282">
        <f t="shared" si="2"/>
        <v>1</v>
      </c>
      <c r="K12" s="282">
        <f t="shared" si="2"/>
        <v>1</v>
      </c>
      <c r="L12" s="282">
        <f t="shared" si="2"/>
        <v>1</v>
      </c>
      <c r="M12" s="282">
        <f t="shared" si="2"/>
        <v>1</v>
      </c>
      <c r="N12" s="282">
        <f t="shared" si="2"/>
        <v>0.5294117647</v>
      </c>
      <c r="O12" s="282">
        <f t="shared" si="2"/>
        <v>1</v>
      </c>
      <c r="P12" s="282">
        <f t="shared" si="2"/>
        <v>0.9130434783</v>
      </c>
      <c r="Q12" s="282">
        <f t="shared" si="2"/>
        <v>0.1071428571</v>
      </c>
      <c r="R12" s="282">
        <f t="shared" si="2"/>
        <v>0</v>
      </c>
      <c r="S12" s="282">
        <f t="shared" si="2"/>
        <v>1</v>
      </c>
      <c r="T12" s="282">
        <f t="shared" si="2"/>
        <v>0</v>
      </c>
      <c r="U12" s="282">
        <f t="shared" si="2"/>
        <v>0</v>
      </c>
      <c r="V12" s="282">
        <f t="shared" si="2"/>
        <v>0</v>
      </c>
      <c r="W12" s="282">
        <f t="shared" si="2"/>
        <v>0</v>
      </c>
      <c r="X12" s="282">
        <f t="shared" si="2"/>
        <v>0</v>
      </c>
      <c r="Y12" s="282">
        <f t="shared" si="2"/>
        <v>0</v>
      </c>
      <c r="Z12" s="282">
        <f t="shared" si="2"/>
        <v>0</v>
      </c>
      <c r="AA12" s="282">
        <f t="shared" si="2"/>
        <v>0</v>
      </c>
      <c r="AB12" s="282">
        <f t="shared" si="2"/>
        <v>0</v>
      </c>
      <c r="AC12" s="282">
        <f t="shared" si="2"/>
        <v>0</v>
      </c>
      <c r="AD12" s="282">
        <f t="shared" si="2"/>
        <v>0</v>
      </c>
      <c r="AE12" s="282">
        <f t="shared" si="2"/>
        <v>0</v>
      </c>
      <c r="AF12" s="282">
        <f t="shared" si="2"/>
        <v>0</v>
      </c>
      <c r="AG12" s="282">
        <f t="shared" si="2"/>
        <v>1</v>
      </c>
      <c r="AH12" s="282">
        <f t="shared" si="2"/>
        <v>0</v>
      </c>
      <c r="AI12" s="282">
        <f t="shared" si="2"/>
        <v>0</v>
      </c>
      <c r="AJ12" s="282">
        <f t="shared" si="2"/>
        <v>0</v>
      </c>
      <c r="AK12" s="282">
        <f t="shared" si="2"/>
        <v>0</v>
      </c>
      <c r="AL12" s="282">
        <f t="shared" si="2"/>
        <v>1</v>
      </c>
      <c r="AM12" s="282">
        <f t="shared" si="2"/>
        <v>1</v>
      </c>
      <c r="AN12" s="282">
        <f t="shared" si="2"/>
        <v>1</v>
      </c>
      <c r="AO12" s="282">
        <f t="shared" si="2"/>
        <v>0</v>
      </c>
      <c r="AP12" s="282">
        <f t="shared" si="2"/>
        <v>0</v>
      </c>
      <c r="AQ12" s="282">
        <f t="shared" si="2"/>
        <v>0</v>
      </c>
      <c r="AR12" s="282">
        <f t="shared" si="2"/>
        <v>0</v>
      </c>
      <c r="AS12" s="282">
        <f t="shared" si="2"/>
        <v>0</v>
      </c>
      <c r="AT12" s="282">
        <f t="shared" si="2"/>
        <v>0</v>
      </c>
      <c r="AU12" s="282">
        <f t="shared" si="2"/>
        <v>0.84375</v>
      </c>
      <c r="AV12" s="282">
        <f t="shared" si="2"/>
        <v>0.8823529412</v>
      </c>
      <c r="AW12" s="271"/>
    </row>
    <row r="13">
      <c r="A13" s="122"/>
      <c r="B13" s="123"/>
      <c r="C13" s="131"/>
      <c r="D13" s="131"/>
      <c r="E13" s="614" t="s">
        <v>778</v>
      </c>
      <c r="F13" s="615" t="s">
        <v>62</v>
      </c>
      <c r="G13" s="616" t="s">
        <v>165</v>
      </c>
      <c r="H13" s="617"/>
      <c r="I13" s="618">
        <f>Inputs!I43</f>
        <v>2022</v>
      </c>
      <c r="J13" s="618">
        <f>Inputs!J43</f>
        <v>2022</v>
      </c>
      <c r="K13" s="618">
        <f>Inputs!K43</f>
        <v>2021</v>
      </c>
      <c r="L13" s="618">
        <f>Inputs!L43</f>
        <v>2023</v>
      </c>
      <c r="M13" s="618">
        <f>Inputs!M43</f>
        <v>2022</v>
      </c>
      <c r="N13" s="618">
        <f>Inputs!N43</f>
        <v>2021</v>
      </c>
      <c r="O13" s="618">
        <f>Inputs!O43</f>
        <v>2023</v>
      </c>
      <c r="P13" s="618">
        <f>Inputs!P43</f>
        <v>2022</v>
      </c>
      <c r="Q13" s="618">
        <f>Inputs!Q43</f>
        <v>2022</v>
      </c>
      <c r="R13" s="618">
        <f>Inputs!R43</f>
        <v>0</v>
      </c>
      <c r="S13" s="618">
        <f>Inputs!S43</f>
        <v>2023</v>
      </c>
      <c r="T13" s="618">
        <f>Inputs!T43</f>
        <v>0</v>
      </c>
      <c r="U13" s="618">
        <f>Inputs!U43</f>
        <v>0</v>
      </c>
      <c r="V13" s="618">
        <f>Inputs!V43</f>
        <v>0</v>
      </c>
      <c r="W13" s="618">
        <f>Inputs!W43</f>
        <v>0</v>
      </c>
      <c r="X13" s="618">
        <f>Inputs!X43</f>
        <v>0</v>
      </c>
      <c r="Y13" s="618">
        <f>Inputs!Y43</f>
        <v>0</v>
      </c>
      <c r="Z13" s="618">
        <f>Inputs!Z43</f>
        <v>0</v>
      </c>
      <c r="AA13" s="618">
        <f>Inputs!AA43</f>
        <v>0</v>
      </c>
      <c r="AB13" s="618">
        <f>Inputs!AB43</f>
        <v>0</v>
      </c>
      <c r="AC13" s="618">
        <f>Inputs!AC43</f>
        <v>0</v>
      </c>
      <c r="AD13" s="618">
        <f>Inputs!AD43</f>
        <v>0</v>
      </c>
      <c r="AE13" s="618">
        <f>Inputs!AE43</f>
        <v>0</v>
      </c>
      <c r="AF13" s="618">
        <f>Inputs!AF43</f>
        <v>0</v>
      </c>
      <c r="AG13" s="618">
        <f>Inputs!AG43</f>
        <v>2023</v>
      </c>
      <c r="AH13" s="618">
        <f>Inputs!AH43</f>
        <v>0</v>
      </c>
      <c r="AI13" s="618">
        <f>Inputs!AI43</f>
        <v>0</v>
      </c>
      <c r="AJ13" s="618">
        <f>Inputs!AJ43</f>
        <v>0</v>
      </c>
      <c r="AK13" s="618">
        <f>Inputs!AK43</f>
        <v>0</v>
      </c>
      <c r="AL13" s="618">
        <f>Inputs!AL43</f>
        <v>2024</v>
      </c>
      <c r="AM13" s="618">
        <f>Inputs!AM43</f>
        <v>2024</v>
      </c>
      <c r="AN13" s="618">
        <f>Inputs!AN43</f>
        <v>2024</v>
      </c>
      <c r="AO13" s="618">
        <f>Inputs!AO43</f>
        <v>0</v>
      </c>
      <c r="AP13" s="618">
        <f>Inputs!AP43</f>
        <v>0</v>
      </c>
      <c r="AQ13" s="618">
        <f>Inputs!AQ43</f>
        <v>0</v>
      </c>
      <c r="AR13" s="618">
        <f>Inputs!AR43</f>
        <v>0</v>
      </c>
      <c r="AS13" s="618">
        <f>Inputs!AS43</f>
        <v>0</v>
      </c>
      <c r="AT13" s="618">
        <f>Inputs!AT43</f>
        <v>0</v>
      </c>
      <c r="AU13" s="618">
        <f>Inputs!AU43</f>
        <v>2023</v>
      </c>
      <c r="AV13" s="619" t="str">
        <f>Inputs!AV43</f>
        <v>2024</v>
      </c>
      <c r="AW13" s="620"/>
    </row>
    <row r="14">
      <c r="A14" s="122"/>
      <c r="B14" s="123"/>
      <c r="C14" s="131"/>
      <c r="D14" s="131"/>
      <c r="E14" s="621" t="s">
        <v>779</v>
      </c>
      <c r="F14" s="615" t="s">
        <v>62</v>
      </c>
      <c r="G14" s="616" t="s">
        <v>165</v>
      </c>
      <c r="H14" s="617"/>
      <c r="I14" s="618">
        <f>Inputs!I44</f>
        <v>2022</v>
      </c>
      <c r="J14" s="618">
        <f>Inputs!J44</f>
        <v>2023</v>
      </c>
      <c r="K14" s="618">
        <f>Inputs!K44</f>
        <v>2022</v>
      </c>
      <c r="L14" s="618">
        <f>Inputs!L44</f>
        <v>2023</v>
      </c>
      <c r="M14" s="618">
        <f>Inputs!M44</f>
        <v>2023</v>
      </c>
      <c r="N14" s="618">
        <f>Inputs!N44</f>
        <v>2022</v>
      </c>
      <c r="O14" s="618">
        <f>Inputs!O44</f>
        <v>2023</v>
      </c>
      <c r="P14" s="618">
        <f>Inputs!P44</f>
        <v>2022</v>
      </c>
      <c r="Q14" s="618">
        <f>Inputs!Q44</f>
        <v>2022</v>
      </c>
      <c r="R14" s="618">
        <f>Inputs!R44</f>
        <v>0</v>
      </c>
      <c r="S14" s="618">
        <f>Inputs!S44</f>
        <v>2023</v>
      </c>
      <c r="T14" s="618">
        <f>Inputs!T44</f>
        <v>0</v>
      </c>
      <c r="U14" s="618">
        <f>Inputs!U44</f>
        <v>0</v>
      </c>
      <c r="V14" s="618">
        <f>Inputs!V44</f>
        <v>0</v>
      </c>
      <c r="W14" s="618">
        <f>Inputs!W44</f>
        <v>0</v>
      </c>
      <c r="X14" s="618">
        <f>Inputs!X44</f>
        <v>0</v>
      </c>
      <c r="Y14" s="618">
        <f>Inputs!Y44</f>
        <v>0</v>
      </c>
      <c r="Z14" s="618">
        <f>Inputs!Z44</f>
        <v>0</v>
      </c>
      <c r="AA14" s="618">
        <f>Inputs!AA44</f>
        <v>0</v>
      </c>
      <c r="AB14" s="618">
        <f>Inputs!AB44</f>
        <v>0</v>
      </c>
      <c r="AC14" s="618">
        <f>Inputs!AC44</f>
        <v>0</v>
      </c>
      <c r="AD14" s="618">
        <f>Inputs!AD44</f>
        <v>0</v>
      </c>
      <c r="AE14" s="618">
        <f>Inputs!AE44</f>
        <v>0</v>
      </c>
      <c r="AF14" s="618">
        <f>Inputs!AF44</f>
        <v>0</v>
      </c>
      <c r="AG14" s="618">
        <f>Inputs!AG44</f>
        <v>2023</v>
      </c>
      <c r="AH14" s="618">
        <f>Inputs!AH44</f>
        <v>0</v>
      </c>
      <c r="AI14" s="618">
        <f>Inputs!AI44</f>
        <v>0</v>
      </c>
      <c r="AJ14" s="618">
        <f>Inputs!AJ44</f>
        <v>0</v>
      </c>
      <c r="AK14" s="618">
        <f>Inputs!AK44</f>
        <v>0</v>
      </c>
      <c r="AL14" s="618">
        <f>Inputs!AL44</f>
        <v>2024</v>
      </c>
      <c r="AM14" s="618">
        <f>Inputs!AM44</f>
        <v>2024</v>
      </c>
      <c r="AN14" s="618">
        <f>Inputs!AN44</f>
        <v>2024</v>
      </c>
      <c r="AO14" s="618">
        <f>Inputs!AO44</f>
        <v>0</v>
      </c>
      <c r="AP14" s="618">
        <f>Inputs!AP44</f>
        <v>0</v>
      </c>
      <c r="AQ14" s="618">
        <f>Inputs!AQ44</f>
        <v>0</v>
      </c>
      <c r="AR14" s="618">
        <f>Inputs!AR44</f>
        <v>0</v>
      </c>
      <c r="AS14" s="618">
        <f>Inputs!AS44</f>
        <v>0</v>
      </c>
      <c r="AT14" s="618">
        <f>Inputs!AT44</f>
        <v>0</v>
      </c>
      <c r="AU14" s="618">
        <f>Inputs!AU44</f>
        <v>2023</v>
      </c>
      <c r="AV14" s="618">
        <f>Inputs!AV44</f>
        <v>2024</v>
      </c>
      <c r="AW14" s="622" t="str">
        <f>Inputs!AW44</f>
        <v/>
      </c>
    </row>
    <row r="15">
      <c r="A15" s="122"/>
      <c r="B15" s="123"/>
      <c r="C15" s="131"/>
      <c r="D15" s="131"/>
      <c r="E15" s="614" t="s">
        <v>380</v>
      </c>
      <c r="F15" s="623" t="s">
        <v>62</v>
      </c>
      <c r="G15" s="616" t="s">
        <v>161</v>
      </c>
      <c r="H15" s="617"/>
      <c r="I15" s="624">
        <f t="shared" ref="I15:AV15" si="3">AVERAGE(I13:I14)*I12+2021*(1-I12)</f>
        <v>2022</v>
      </c>
      <c r="J15" s="624">
        <f t="shared" si="3"/>
        <v>2022.5</v>
      </c>
      <c r="K15" s="624">
        <f t="shared" si="3"/>
        <v>2021.5</v>
      </c>
      <c r="L15" s="624">
        <f t="shared" si="3"/>
        <v>2023</v>
      </c>
      <c r="M15" s="624">
        <f t="shared" si="3"/>
        <v>2022.5</v>
      </c>
      <c r="N15" s="625">
        <f t="shared" si="3"/>
        <v>2021.264706</v>
      </c>
      <c r="O15" s="624">
        <f t="shared" si="3"/>
        <v>2023</v>
      </c>
      <c r="P15" s="625">
        <f t="shared" si="3"/>
        <v>2021.913043</v>
      </c>
      <c r="Q15" s="625">
        <f t="shared" si="3"/>
        <v>2021.107143</v>
      </c>
      <c r="R15" s="624">
        <f t="shared" si="3"/>
        <v>2021</v>
      </c>
      <c r="S15" s="624">
        <f t="shared" si="3"/>
        <v>2023</v>
      </c>
      <c r="T15" s="624">
        <f t="shared" si="3"/>
        <v>2021</v>
      </c>
      <c r="U15" s="624">
        <f t="shared" si="3"/>
        <v>2021</v>
      </c>
      <c r="V15" s="624">
        <f t="shared" si="3"/>
        <v>2021</v>
      </c>
      <c r="W15" s="624">
        <f t="shared" si="3"/>
        <v>2021</v>
      </c>
      <c r="X15" s="624">
        <f t="shared" si="3"/>
        <v>2021</v>
      </c>
      <c r="Y15" s="624">
        <f t="shared" si="3"/>
        <v>2021</v>
      </c>
      <c r="Z15" s="624">
        <f t="shared" si="3"/>
        <v>2021</v>
      </c>
      <c r="AA15" s="624">
        <f t="shared" si="3"/>
        <v>2021</v>
      </c>
      <c r="AB15" s="624">
        <f t="shared" si="3"/>
        <v>2021</v>
      </c>
      <c r="AC15" s="624">
        <f t="shared" si="3"/>
        <v>2021</v>
      </c>
      <c r="AD15" s="624">
        <f t="shared" si="3"/>
        <v>2021</v>
      </c>
      <c r="AE15" s="624">
        <f t="shared" si="3"/>
        <v>2021</v>
      </c>
      <c r="AF15" s="624">
        <f t="shared" si="3"/>
        <v>2021</v>
      </c>
      <c r="AG15" s="624">
        <f t="shared" si="3"/>
        <v>2023</v>
      </c>
      <c r="AH15" s="624">
        <f t="shared" si="3"/>
        <v>2021</v>
      </c>
      <c r="AI15" s="624">
        <f t="shared" si="3"/>
        <v>2021</v>
      </c>
      <c r="AJ15" s="624">
        <f t="shared" si="3"/>
        <v>2021</v>
      </c>
      <c r="AK15" s="624">
        <f t="shared" si="3"/>
        <v>2021</v>
      </c>
      <c r="AL15" s="624">
        <f t="shared" si="3"/>
        <v>2024</v>
      </c>
      <c r="AM15" s="624">
        <f t="shared" si="3"/>
        <v>2024</v>
      </c>
      <c r="AN15" s="624">
        <f t="shared" si="3"/>
        <v>2024</v>
      </c>
      <c r="AO15" s="624">
        <f t="shared" si="3"/>
        <v>2021</v>
      </c>
      <c r="AP15" s="624">
        <f t="shared" si="3"/>
        <v>2021</v>
      </c>
      <c r="AQ15" s="624">
        <f t="shared" si="3"/>
        <v>2021</v>
      </c>
      <c r="AR15" s="624">
        <f t="shared" si="3"/>
        <v>2021</v>
      </c>
      <c r="AS15" s="624">
        <f t="shared" si="3"/>
        <v>2021</v>
      </c>
      <c r="AT15" s="624">
        <f t="shared" si="3"/>
        <v>2021</v>
      </c>
      <c r="AU15" s="625">
        <f t="shared" si="3"/>
        <v>2022.6875</v>
      </c>
      <c r="AV15" s="625">
        <f t="shared" si="3"/>
        <v>2023.647059</v>
      </c>
      <c r="AW15" s="626"/>
    </row>
    <row r="16">
      <c r="A16" s="122"/>
      <c r="B16" s="123"/>
      <c r="C16" s="131"/>
      <c r="D16" s="131"/>
      <c r="E16" s="275"/>
      <c r="F16" s="125"/>
      <c r="G16" s="482"/>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2"/>
      <c r="B17" s="123"/>
      <c r="C17" s="131" t="s">
        <v>780</v>
      </c>
      <c r="F17" s="125"/>
      <c r="G17" s="482"/>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31"/>
      <c r="D18" s="131"/>
      <c r="E18" s="254" t="s">
        <v>781</v>
      </c>
      <c r="F18" s="193" t="s">
        <v>72</v>
      </c>
      <c r="G18" s="194" t="s">
        <v>165</v>
      </c>
      <c r="H18" s="343" t="str">
        <f>Inputs!H48</f>
        <v>-</v>
      </c>
      <c r="I18" s="383">
        <f>Inputs!I48</f>
        <v>0.5521</v>
      </c>
      <c r="J18" s="383">
        <f>Inputs!J48</f>
        <v>0.7284</v>
      </c>
      <c r="K18" s="383">
        <f>Inputs!K48</f>
        <v>0.6074</v>
      </c>
      <c r="L18" s="383">
        <f>Inputs!L48</f>
        <v>0.6377</v>
      </c>
      <c r="M18" s="383">
        <f>Inputs!M48</f>
        <v>0.6149</v>
      </c>
      <c r="N18" s="383">
        <f>Inputs!N48</f>
        <v>0.4236</v>
      </c>
      <c r="O18" s="383">
        <f>Inputs!O48</f>
        <v>0.4004</v>
      </c>
      <c r="P18" s="383">
        <f>Inputs!P48</f>
        <v>0.3495</v>
      </c>
      <c r="Q18" s="383">
        <f>Inputs!Q48</f>
        <v>0.214</v>
      </c>
      <c r="R18" s="509" t="str">
        <f>Inputs!R48</f>
        <v>-</v>
      </c>
      <c r="S18" s="383">
        <f>Inputs!S48</f>
        <v>0.8902</v>
      </c>
      <c r="T18" s="509" t="str">
        <f>Inputs!T48</f>
        <v>-</v>
      </c>
      <c r="U18" s="509" t="str">
        <f>Inputs!U48</f>
        <v>-</v>
      </c>
      <c r="V18" s="383" t="str">
        <f>Inputs!V48</f>
        <v>-</v>
      </c>
      <c r="W18" s="383" t="str">
        <f>Inputs!W48</f>
        <v>-</v>
      </c>
      <c r="X18" s="383" t="str">
        <f>Inputs!X48</f>
        <v>-</v>
      </c>
      <c r="Y18" s="383" t="str">
        <f>Inputs!Y48</f>
        <v>-</v>
      </c>
      <c r="Z18" s="383" t="str">
        <f>Inputs!Z48</f>
        <v>-</v>
      </c>
      <c r="AA18" s="383" t="str">
        <f>Inputs!AA48</f>
        <v>-</v>
      </c>
      <c r="AB18" s="383" t="str">
        <f>Inputs!AB48</f>
        <v>-</v>
      </c>
      <c r="AC18" s="383" t="str">
        <f>Inputs!AC48</f>
        <v>-</v>
      </c>
      <c r="AD18" s="383" t="str">
        <f>Inputs!AD48</f>
        <v>-</v>
      </c>
      <c r="AE18" s="383" t="str">
        <f>Inputs!AE48</f>
        <v>-</v>
      </c>
      <c r="AF18" s="383" t="str">
        <f>Inputs!AF48</f>
        <v>-</v>
      </c>
      <c r="AG18" s="383">
        <f>Inputs!AG48</f>
        <v>0.77</v>
      </c>
      <c r="AH18" s="383" t="str">
        <f>Inputs!AH48</f>
        <v>-</v>
      </c>
      <c r="AI18" s="383" t="str">
        <f>Inputs!AI48</f>
        <v>-</v>
      </c>
      <c r="AJ18" s="383" t="str">
        <f>Inputs!AJ48</f>
        <v>-</v>
      </c>
      <c r="AK18" s="383" t="str">
        <f>Inputs!AK48</f>
        <v>-</v>
      </c>
      <c r="AL18" s="383">
        <f>Inputs!AL48</f>
        <v>0.6645</v>
      </c>
      <c r="AM18" s="383">
        <f>Inputs!AM48</f>
        <v>0.616</v>
      </c>
      <c r="AN18" s="383">
        <f>Inputs!AN48</f>
        <v>0.7582</v>
      </c>
      <c r="AO18" s="383" t="str">
        <f>Inputs!AO48</f>
        <v>-</v>
      </c>
      <c r="AP18" s="383" t="str">
        <f>Inputs!AP48</f>
        <v>-</v>
      </c>
      <c r="AQ18" s="383" t="str">
        <f>Inputs!AQ48</f>
        <v>-</v>
      </c>
      <c r="AR18" s="383" t="str">
        <f>Inputs!AR48</f>
        <v>-</v>
      </c>
      <c r="AS18" s="383" t="str">
        <f>Inputs!AS48</f>
        <v>-</v>
      </c>
      <c r="AT18" s="383" t="str">
        <f>Inputs!AT48</f>
        <v>-</v>
      </c>
      <c r="AU18" s="383">
        <f>Inputs!AU48</f>
        <v>0.7636</v>
      </c>
      <c r="AV18" s="383">
        <f>Inputs!AV48</f>
        <v>0.6278</v>
      </c>
      <c r="AW18" s="256"/>
    </row>
    <row r="19">
      <c r="A19" s="122"/>
      <c r="B19" s="123"/>
      <c r="C19" s="131"/>
      <c r="D19" s="131"/>
      <c r="E19" s="254" t="s">
        <v>782</v>
      </c>
      <c r="F19" s="193" t="s">
        <v>72</v>
      </c>
      <c r="G19" s="194" t="s">
        <v>165</v>
      </c>
      <c r="H19" s="343" t="str">
        <f>Inputs!H49</f>
        <v>-</v>
      </c>
      <c r="I19" s="383">
        <f>Inputs!I49</f>
        <v>0.4931</v>
      </c>
      <c r="J19" s="383">
        <f>Inputs!J49</f>
        <v>0.6764</v>
      </c>
      <c r="K19" s="383">
        <f>Inputs!K49</f>
        <v>0.572</v>
      </c>
      <c r="L19" s="383">
        <f>Inputs!L49</f>
        <v>0.5973</v>
      </c>
      <c r="M19" s="383">
        <f>Inputs!M49</f>
        <v>0.5621</v>
      </c>
      <c r="N19" s="383">
        <f>Inputs!N49</f>
        <v>0.3916</v>
      </c>
      <c r="O19" s="383">
        <f>Inputs!O49</f>
        <v>0.3379</v>
      </c>
      <c r="P19" s="383">
        <f>Inputs!P49</f>
        <v>0.2712</v>
      </c>
      <c r="Q19" s="383">
        <f>Inputs!Q49</f>
        <v>0.1376</v>
      </c>
      <c r="R19" s="509" t="str">
        <f>Inputs!R49</f>
        <v>-</v>
      </c>
      <c r="S19" s="383">
        <f>Inputs!S49</f>
        <v>0.8611</v>
      </c>
      <c r="T19" s="509" t="str">
        <f>Inputs!T49</f>
        <v>-</v>
      </c>
      <c r="U19" s="509" t="str">
        <f>Inputs!U49</f>
        <v>-</v>
      </c>
      <c r="V19" s="383" t="str">
        <f>Inputs!V49</f>
        <v>-</v>
      </c>
      <c r="W19" s="383" t="str">
        <f>Inputs!W49</f>
        <v>-</v>
      </c>
      <c r="X19" s="383" t="str">
        <f>Inputs!X49</f>
        <v>-</v>
      </c>
      <c r="Y19" s="383" t="str">
        <f>Inputs!Y49</f>
        <v>-</v>
      </c>
      <c r="Z19" s="383" t="str">
        <f>Inputs!Z49</f>
        <v>-</v>
      </c>
      <c r="AA19" s="383" t="str">
        <f>Inputs!AA49</f>
        <v>-</v>
      </c>
      <c r="AB19" s="383" t="str">
        <f>Inputs!AB49</f>
        <v>-</v>
      </c>
      <c r="AC19" s="383" t="str">
        <f>Inputs!AC49</f>
        <v>-</v>
      </c>
      <c r="AD19" s="383" t="str">
        <f>Inputs!AD49</f>
        <v>-</v>
      </c>
      <c r="AE19" s="383" t="str">
        <f>Inputs!AE49</f>
        <v>-</v>
      </c>
      <c r="AF19" s="383" t="str">
        <f>Inputs!AF49</f>
        <v>-</v>
      </c>
      <c r="AG19" s="383">
        <f>Inputs!AG49</f>
        <v>0.74</v>
      </c>
      <c r="AH19" s="383" t="str">
        <f>Inputs!AH49</f>
        <v>-</v>
      </c>
      <c r="AI19" s="383" t="str">
        <f>Inputs!AI49</f>
        <v>-</v>
      </c>
      <c r="AJ19" s="383" t="str">
        <f>Inputs!AJ49</f>
        <v>-</v>
      </c>
      <c r="AK19" s="383" t="str">
        <f>Inputs!AK49</f>
        <v>-</v>
      </c>
      <c r="AL19" s="383">
        <f>Inputs!AL49</f>
        <v>0.6285</v>
      </c>
      <c r="AM19" s="383">
        <f>Inputs!AM49</f>
        <v>0.5652</v>
      </c>
      <c r="AN19" s="383">
        <f>Inputs!AN49</f>
        <v>0.751</v>
      </c>
      <c r="AO19" s="383" t="str">
        <f>Inputs!AO49</f>
        <v>-</v>
      </c>
      <c r="AP19" s="383" t="str">
        <f>Inputs!AP49</f>
        <v>-</v>
      </c>
      <c r="AQ19" s="383" t="str">
        <f>Inputs!AQ49</f>
        <v>-</v>
      </c>
      <c r="AR19" s="383" t="str">
        <f>Inputs!AR49</f>
        <v>-</v>
      </c>
      <c r="AS19" s="383" t="str">
        <f>Inputs!AS49</f>
        <v>-</v>
      </c>
      <c r="AT19" s="383" t="str">
        <f>Inputs!AT49</f>
        <v>-</v>
      </c>
      <c r="AU19" s="383">
        <f>Inputs!AU49</f>
        <v>0.7279</v>
      </c>
      <c r="AV19" s="383">
        <f>Inputs!AV49</f>
        <v>0.5899</v>
      </c>
      <c r="AW19" s="256"/>
    </row>
    <row r="20">
      <c r="A20" s="122"/>
      <c r="B20" s="123"/>
      <c r="C20" s="131"/>
      <c r="D20" s="131"/>
      <c r="E20" s="257" t="s">
        <v>783</v>
      </c>
      <c r="F20" s="213" t="s">
        <v>72</v>
      </c>
      <c r="G20" s="214" t="s">
        <v>165</v>
      </c>
      <c r="H20" s="610" t="str">
        <f>Inputs!H50</f>
        <v>-</v>
      </c>
      <c r="I20" s="241">
        <f>Inputs!I50</f>
        <v>0.4471</v>
      </c>
      <c r="J20" s="241">
        <f>Inputs!J50</f>
        <v>0.6332</v>
      </c>
      <c r="K20" s="241">
        <f>Inputs!K50</f>
        <v>0.5154</v>
      </c>
      <c r="L20" s="241">
        <f>Inputs!L50</f>
        <v>0.507</v>
      </c>
      <c r="M20" s="241">
        <f>Inputs!M50</f>
        <v>0.4824</v>
      </c>
      <c r="N20" s="241">
        <f>Inputs!N50</f>
        <v>0.374</v>
      </c>
      <c r="O20" s="241">
        <f>Inputs!O50</f>
        <v>0.2428</v>
      </c>
      <c r="P20" s="241">
        <f>Inputs!P50</f>
        <v>0.2598</v>
      </c>
      <c r="Q20" s="241">
        <f>Inputs!Q50</f>
        <v>0.1256</v>
      </c>
      <c r="R20" s="512" t="str">
        <f>Inputs!R50</f>
        <v>-</v>
      </c>
      <c r="S20" s="241">
        <f>Inputs!S50</f>
        <v>0.7904</v>
      </c>
      <c r="T20" s="512" t="str">
        <f>Inputs!T50</f>
        <v>-</v>
      </c>
      <c r="U20" s="512" t="str">
        <f>Inputs!U50</f>
        <v>-</v>
      </c>
      <c r="V20" s="241" t="str">
        <f>Inputs!V50</f>
        <v>-</v>
      </c>
      <c r="W20" s="241" t="str">
        <f>Inputs!W50</f>
        <v>-</v>
      </c>
      <c r="X20" s="241" t="str">
        <f>Inputs!X50</f>
        <v>-</v>
      </c>
      <c r="Y20" s="241" t="str">
        <f>Inputs!Y50</f>
        <v>-</v>
      </c>
      <c r="Z20" s="241" t="str">
        <f>Inputs!Z50</f>
        <v>-</v>
      </c>
      <c r="AA20" s="241" t="str">
        <f>Inputs!AA50</f>
        <v>-</v>
      </c>
      <c r="AB20" s="241" t="str">
        <f>Inputs!AB50</f>
        <v>-</v>
      </c>
      <c r="AC20" s="241" t="str">
        <f>Inputs!AC50</f>
        <v>-</v>
      </c>
      <c r="AD20" s="241" t="str">
        <f>Inputs!AD50</f>
        <v>-</v>
      </c>
      <c r="AE20" s="241" t="str">
        <f>Inputs!AE50</f>
        <v>-</v>
      </c>
      <c r="AF20" s="241" t="str">
        <f>Inputs!AF50</f>
        <v>-</v>
      </c>
      <c r="AG20" s="241">
        <f>Inputs!AG50</f>
        <v>0.67</v>
      </c>
      <c r="AH20" s="241" t="str">
        <f>Inputs!AH50</f>
        <v>-</v>
      </c>
      <c r="AI20" s="241" t="str">
        <f>Inputs!AI50</f>
        <v>-</v>
      </c>
      <c r="AJ20" s="241" t="str">
        <f>Inputs!AJ50</f>
        <v>-</v>
      </c>
      <c r="AK20" s="241" t="str">
        <f>Inputs!AK50</f>
        <v>-</v>
      </c>
      <c r="AL20" s="241">
        <f>Inputs!AL50</f>
        <v>0.5276</v>
      </c>
      <c r="AM20" s="241">
        <f>Inputs!AM50</f>
        <v>0.4625</v>
      </c>
      <c r="AN20" s="241">
        <f>Inputs!AN50</f>
        <v>0.6535</v>
      </c>
      <c r="AO20" s="241" t="str">
        <f>Inputs!AO50</f>
        <v>-</v>
      </c>
      <c r="AP20" s="241" t="str">
        <f>Inputs!AP50</f>
        <v>-</v>
      </c>
      <c r="AQ20" s="241" t="str">
        <f>Inputs!AQ50</f>
        <v>-</v>
      </c>
      <c r="AR20" s="241" t="str">
        <f>Inputs!AR50</f>
        <v>-</v>
      </c>
      <c r="AS20" s="241" t="str">
        <f>Inputs!AS50</f>
        <v>-</v>
      </c>
      <c r="AT20" s="241" t="str">
        <f>Inputs!AT50</f>
        <v>-</v>
      </c>
      <c r="AU20" s="241">
        <f>Inputs!AU50</f>
        <v>0.6596</v>
      </c>
      <c r="AV20" s="241">
        <f>Inputs!AV50</f>
        <v>0.4777</v>
      </c>
      <c r="AW20" s="259"/>
    </row>
    <row r="21">
      <c r="A21" s="122"/>
      <c r="B21" s="123"/>
      <c r="C21" s="131"/>
      <c r="D21" s="131"/>
      <c r="E21" s="257" t="s">
        <v>784</v>
      </c>
      <c r="F21" s="213" t="s">
        <v>72</v>
      </c>
      <c r="G21" s="214" t="s">
        <v>165</v>
      </c>
      <c r="H21" s="610" t="str">
        <f>Inputs!H51</f>
        <v>-</v>
      </c>
      <c r="I21" s="241">
        <f>Inputs!I51</f>
        <v>0.354</v>
      </c>
      <c r="J21" s="241">
        <f>Inputs!J51</f>
        <v>0.5015</v>
      </c>
      <c r="K21" s="241">
        <f>Inputs!K51</f>
        <v>0.3966</v>
      </c>
      <c r="L21" s="241">
        <f>Inputs!L51</f>
        <v>0.4094</v>
      </c>
      <c r="M21" s="241">
        <f>Inputs!M51</f>
        <v>0.3687</v>
      </c>
      <c r="N21" s="241">
        <f>Inputs!N51</f>
        <v>0.2963</v>
      </c>
      <c r="O21" s="241">
        <f>Inputs!O51</f>
        <v>0.1543</v>
      </c>
      <c r="P21" s="241">
        <f>Inputs!P51</f>
        <v>0.1881</v>
      </c>
      <c r="Q21" s="241">
        <f>Inputs!Q51</f>
        <v>0.0876</v>
      </c>
      <c r="R21" s="512" t="str">
        <f>Inputs!R51</f>
        <v>-</v>
      </c>
      <c r="S21" s="241">
        <f>Inputs!S51</f>
        <v>0.6962</v>
      </c>
      <c r="T21" s="512" t="str">
        <f>Inputs!T51</f>
        <v>-</v>
      </c>
      <c r="U21" s="512" t="str">
        <f>Inputs!U51</f>
        <v>-</v>
      </c>
      <c r="V21" s="241" t="str">
        <f>Inputs!V51</f>
        <v>-</v>
      </c>
      <c r="W21" s="241" t="str">
        <f>Inputs!W51</f>
        <v>-</v>
      </c>
      <c r="X21" s="241" t="str">
        <f>Inputs!X51</f>
        <v>-</v>
      </c>
      <c r="Y21" s="241" t="str">
        <f>Inputs!Y51</f>
        <v>-</v>
      </c>
      <c r="Z21" s="241" t="str">
        <f>Inputs!Z51</f>
        <v>-</v>
      </c>
      <c r="AA21" s="241" t="str">
        <f>Inputs!AA51</f>
        <v>-</v>
      </c>
      <c r="AB21" s="241" t="str">
        <f>Inputs!AB51</f>
        <v>-</v>
      </c>
      <c r="AC21" s="241" t="str">
        <f>Inputs!AC51</f>
        <v>-</v>
      </c>
      <c r="AD21" s="241" t="str">
        <f>Inputs!AD51</f>
        <v>-</v>
      </c>
      <c r="AE21" s="241" t="str">
        <f>Inputs!AE51</f>
        <v>-</v>
      </c>
      <c r="AF21" s="241" t="str">
        <f>Inputs!AF51</f>
        <v>-</v>
      </c>
      <c r="AG21" s="241">
        <f>Inputs!AG51</f>
        <v>0.58</v>
      </c>
      <c r="AH21" s="241" t="str">
        <f>Inputs!AH51</f>
        <v>-</v>
      </c>
      <c r="AI21" s="241" t="str">
        <f>Inputs!AI51</f>
        <v>-</v>
      </c>
      <c r="AJ21" s="241" t="str">
        <f>Inputs!AJ51</f>
        <v>-</v>
      </c>
      <c r="AK21" s="241" t="str">
        <f>Inputs!AK51</f>
        <v>-</v>
      </c>
      <c r="AL21" s="241">
        <f>Inputs!AL51</f>
        <v>0.3906</v>
      </c>
      <c r="AM21" s="241">
        <f>Inputs!AM51</f>
        <v>0.3363</v>
      </c>
      <c r="AN21" s="241">
        <f>Inputs!AN51</f>
        <v>0.4955</v>
      </c>
      <c r="AO21" s="241" t="str">
        <f>Inputs!AO51</f>
        <v>-</v>
      </c>
      <c r="AP21" s="241" t="str">
        <f>Inputs!AP51</f>
        <v>-</v>
      </c>
      <c r="AQ21" s="241" t="str">
        <f>Inputs!AQ51</f>
        <v>-</v>
      </c>
      <c r="AR21" s="241" t="str">
        <f>Inputs!AR51</f>
        <v>-</v>
      </c>
      <c r="AS21" s="241" t="str">
        <f>Inputs!AS51</f>
        <v>-</v>
      </c>
      <c r="AT21" s="241" t="str">
        <f>Inputs!AT51</f>
        <v>-</v>
      </c>
      <c r="AU21" s="241">
        <f>Inputs!AU51</f>
        <v>0.5581</v>
      </c>
      <c r="AV21" s="241">
        <f>Inputs!AV51</f>
        <v>0.3791</v>
      </c>
      <c r="AW21" s="259"/>
    </row>
    <row r="22">
      <c r="A22" s="122"/>
      <c r="B22" s="123"/>
      <c r="C22" s="131"/>
      <c r="D22" s="131"/>
      <c r="E22" s="272" t="s">
        <v>785</v>
      </c>
      <c r="F22" s="200" t="s">
        <v>72</v>
      </c>
      <c r="G22" s="201" t="s">
        <v>165</v>
      </c>
      <c r="H22" s="627" t="str">
        <f>Inputs!H52</f>
        <v>-</v>
      </c>
      <c r="I22" s="385">
        <f>Inputs!I52</f>
        <v>0.3526</v>
      </c>
      <c r="J22" s="385">
        <f>Inputs!J52</f>
        <v>0.4886</v>
      </c>
      <c r="K22" s="385">
        <f>Inputs!K52</f>
        <v>0.3738</v>
      </c>
      <c r="L22" s="385">
        <f>Inputs!L52</f>
        <v>0.323</v>
      </c>
      <c r="M22" s="385">
        <f>Inputs!M52</f>
        <v>0.3228</v>
      </c>
      <c r="N22" s="385">
        <f>Inputs!N52</f>
        <v>0.2629</v>
      </c>
      <c r="O22" s="385">
        <f>Inputs!O52</f>
        <v>0.2326</v>
      </c>
      <c r="P22" s="385">
        <f>Inputs!P52</f>
        <v>0.2126</v>
      </c>
      <c r="Q22" s="385">
        <f>Inputs!Q52</f>
        <v>0.1405</v>
      </c>
      <c r="R22" s="515" t="str">
        <f>Inputs!R52</f>
        <v>-</v>
      </c>
      <c r="S22" s="385">
        <f>Inputs!S52</f>
        <v>0.5884</v>
      </c>
      <c r="T22" s="515" t="str">
        <f>Inputs!T52</f>
        <v>-</v>
      </c>
      <c r="U22" s="515" t="str">
        <f>Inputs!U52</f>
        <v>-</v>
      </c>
      <c r="V22" s="385" t="str">
        <f>Inputs!V52</f>
        <v>-</v>
      </c>
      <c r="W22" s="385" t="str">
        <f>Inputs!W52</f>
        <v>-</v>
      </c>
      <c r="X22" s="385" t="str">
        <f>Inputs!X52</f>
        <v>-</v>
      </c>
      <c r="Y22" s="385" t="str">
        <f>Inputs!Y52</f>
        <v>-</v>
      </c>
      <c r="Z22" s="385" t="str">
        <f>Inputs!Z52</f>
        <v>-</v>
      </c>
      <c r="AA22" s="385" t="str">
        <f>Inputs!AA52</f>
        <v>-</v>
      </c>
      <c r="AB22" s="385" t="str">
        <f>Inputs!AB52</f>
        <v>-</v>
      </c>
      <c r="AC22" s="385" t="str">
        <f>Inputs!AC52</f>
        <v>-</v>
      </c>
      <c r="AD22" s="385" t="str">
        <f>Inputs!AD52</f>
        <v>-</v>
      </c>
      <c r="AE22" s="385" t="str">
        <f>Inputs!AE52</f>
        <v>-</v>
      </c>
      <c r="AF22" s="385" t="str">
        <f>Inputs!AF52</f>
        <v>-</v>
      </c>
      <c r="AG22" s="385">
        <f>Inputs!AG52</f>
        <v>0.54</v>
      </c>
      <c r="AH22" s="385" t="str">
        <f>Inputs!AH52</f>
        <v>-</v>
      </c>
      <c r="AI22" s="385" t="str">
        <f>Inputs!AI52</f>
        <v>-</v>
      </c>
      <c r="AJ22" s="385" t="str">
        <f>Inputs!AJ52</f>
        <v>-</v>
      </c>
      <c r="AK22" s="385" t="str">
        <f>Inputs!AK52</f>
        <v>-</v>
      </c>
      <c r="AL22" s="385">
        <f>Inputs!AL52</f>
        <v>0.3553</v>
      </c>
      <c r="AM22" s="385">
        <f>Inputs!AM52</f>
        <v>0.308</v>
      </c>
      <c r="AN22" s="385">
        <f>Inputs!AN52</f>
        <v>0.4466</v>
      </c>
      <c r="AO22" s="385" t="str">
        <f>Inputs!AO52</f>
        <v>-</v>
      </c>
      <c r="AP22" s="385" t="str">
        <f>Inputs!AP52</f>
        <v>-</v>
      </c>
      <c r="AQ22" s="385" t="str">
        <f>Inputs!AQ52</f>
        <v>-</v>
      </c>
      <c r="AR22" s="385" t="str">
        <f>Inputs!AR52</f>
        <v>-</v>
      </c>
      <c r="AS22" s="385" t="str">
        <f>Inputs!AS52</f>
        <v>-</v>
      </c>
      <c r="AT22" s="385" t="str">
        <f>Inputs!AT52</f>
        <v>-</v>
      </c>
      <c r="AU22" s="385">
        <f>Inputs!AU52</f>
        <v>0.5086</v>
      </c>
      <c r="AV22" s="385">
        <f>Inputs!AV52</f>
        <v>0.3495</v>
      </c>
      <c r="AW22" s="274"/>
    </row>
    <row r="23">
      <c r="A23" s="122"/>
      <c r="B23" s="123"/>
      <c r="C23" s="131"/>
      <c r="D23" s="131"/>
      <c r="E23" s="269"/>
      <c r="F23" s="125"/>
      <c r="G23" s="132"/>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786</v>
      </c>
      <c r="F24" s="125"/>
      <c r="G24" s="132"/>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
        <v>787</v>
      </c>
      <c r="F25" s="193" t="s">
        <v>72</v>
      </c>
      <c r="G25" s="194" t="s">
        <v>165</v>
      </c>
      <c r="H25" s="628">
        <f>Inputs!H55</f>
        <v>0.00059</v>
      </c>
      <c r="I25" s="383"/>
      <c r="J25" s="383"/>
      <c r="K25" s="383"/>
      <c r="L25" s="383"/>
      <c r="M25" s="383"/>
      <c r="N25" s="383"/>
      <c r="O25" s="383"/>
      <c r="P25" s="383"/>
      <c r="Q25" s="383"/>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256"/>
    </row>
    <row r="26">
      <c r="A26" s="122"/>
      <c r="B26" s="123"/>
      <c r="C26" s="131"/>
      <c r="D26" s="131"/>
      <c r="E26" s="257" t="s">
        <v>788</v>
      </c>
      <c r="F26" s="213" t="s">
        <v>72</v>
      </c>
      <c r="G26" s="214" t="s">
        <v>161</v>
      </c>
      <c r="H26" s="240" t="s">
        <v>162</v>
      </c>
      <c r="I26" s="241">
        <f t="shared" ref="I26:AV26" si="4">IFERROR(I18*(1+$H$25),"-")</f>
        <v>0.552425739</v>
      </c>
      <c r="J26" s="241">
        <f t="shared" si="4"/>
        <v>0.728829756</v>
      </c>
      <c r="K26" s="241">
        <f t="shared" si="4"/>
        <v>0.607758366</v>
      </c>
      <c r="L26" s="241">
        <f t="shared" si="4"/>
        <v>0.638076243</v>
      </c>
      <c r="M26" s="241">
        <f t="shared" si="4"/>
        <v>0.615262791</v>
      </c>
      <c r="N26" s="241">
        <f t="shared" si="4"/>
        <v>0.423849924</v>
      </c>
      <c r="O26" s="241">
        <f t="shared" si="4"/>
        <v>0.400636236</v>
      </c>
      <c r="P26" s="241">
        <f t="shared" si="4"/>
        <v>0.349706205</v>
      </c>
      <c r="Q26" s="241">
        <f t="shared" si="4"/>
        <v>0.21412626</v>
      </c>
      <c r="R26" s="241" t="str">
        <f t="shared" si="4"/>
        <v>-</v>
      </c>
      <c r="S26" s="241">
        <f t="shared" si="4"/>
        <v>0.890725218</v>
      </c>
      <c r="T26" s="241" t="str">
        <f t="shared" si="4"/>
        <v>-</v>
      </c>
      <c r="U26" s="241" t="str">
        <f t="shared" si="4"/>
        <v>-</v>
      </c>
      <c r="V26" s="241" t="str">
        <f t="shared" si="4"/>
        <v>-</v>
      </c>
      <c r="W26" s="241" t="str">
        <f t="shared" si="4"/>
        <v>-</v>
      </c>
      <c r="X26" s="241" t="str">
        <f t="shared" si="4"/>
        <v>-</v>
      </c>
      <c r="Y26" s="241" t="str">
        <f t="shared" si="4"/>
        <v>-</v>
      </c>
      <c r="Z26" s="241" t="str">
        <f t="shared" si="4"/>
        <v>-</v>
      </c>
      <c r="AA26" s="241" t="str">
        <f t="shared" si="4"/>
        <v>-</v>
      </c>
      <c r="AB26" s="241" t="str">
        <f t="shared" si="4"/>
        <v>-</v>
      </c>
      <c r="AC26" s="241" t="str">
        <f t="shared" si="4"/>
        <v>-</v>
      </c>
      <c r="AD26" s="241" t="str">
        <f t="shared" si="4"/>
        <v>-</v>
      </c>
      <c r="AE26" s="241" t="str">
        <f t="shared" si="4"/>
        <v>-</v>
      </c>
      <c r="AF26" s="241" t="str">
        <f t="shared" si="4"/>
        <v>-</v>
      </c>
      <c r="AG26" s="241">
        <f t="shared" si="4"/>
        <v>0.7704543</v>
      </c>
      <c r="AH26" s="241" t="str">
        <f t="shared" si="4"/>
        <v>-</v>
      </c>
      <c r="AI26" s="241" t="str">
        <f t="shared" si="4"/>
        <v>-</v>
      </c>
      <c r="AJ26" s="241" t="str">
        <f t="shared" si="4"/>
        <v>-</v>
      </c>
      <c r="AK26" s="241" t="str">
        <f t="shared" si="4"/>
        <v>-</v>
      </c>
      <c r="AL26" s="241">
        <f t="shared" si="4"/>
        <v>0.664892055</v>
      </c>
      <c r="AM26" s="241">
        <f t="shared" si="4"/>
        <v>0.61636344</v>
      </c>
      <c r="AN26" s="241">
        <f t="shared" si="4"/>
        <v>0.758647338</v>
      </c>
      <c r="AO26" s="241" t="str">
        <f t="shared" si="4"/>
        <v>-</v>
      </c>
      <c r="AP26" s="241" t="str">
        <f t="shared" si="4"/>
        <v>-</v>
      </c>
      <c r="AQ26" s="241" t="str">
        <f t="shared" si="4"/>
        <v>-</v>
      </c>
      <c r="AR26" s="241" t="str">
        <f t="shared" si="4"/>
        <v>-</v>
      </c>
      <c r="AS26" s="241" t="str">
        <f t="shared" si="4"/>
        <v>-</v>
      </c>
      <c r="AT26" s="241" t="str">
        <f t="shared" si="4"/>
        <v>-</v>
      </c>
      <c r="AU26" s="241">
        <f t="shared" si="4"/>
        <v>0.764050524</v>
      </c>
      <c r="AV26" s="241">
        <f t="shared" si="4"/>
        <v>0.628170402</v>
      </c>
      <c r="AW26" s="259"/>
    </row>
    <row r="27">
      <c r="A27" s="122"/>
      <c r="B27" s="123"/>
      <c r="C27" s="131"/>
      <c r="D27" s="131"/>
      <c r="E27" s="257" t="s">
        <v>789</v>
      </c>
      <c r="F27" s="213" t="s">
        <v>72</v>
      </c>
      <c r="G27" s="214" t="s">
        <v>161</v>
      </c>
      <c r="H27" s="240" t="s">
        <v>162</v>
      </c>
      <c r="I27" s="241">
        <f t="shared" ref="I27:AV27" si="5">IFERROR(I19*(1+$H$25),"-")</f>
        <v>0.493390929</v>
      </c>
      <c r="J27" s="241">
        <f t="shared" si="5"/>
        <v>0.676799076</v>
      </c>
      <c r="K27" s="241">
        <f t="shared" si="5"/>
        <v>0.57233748</v>
      </c>
      <c r="L27" s="241">
        <f t="shared" si="5"/>
        <v>0.597652407</v>
      </c>
      <c r="M27" s="241">
        <f t="shared" si="5"/>
        <v>0.562431639</v>
      </c>
      <c r="N27" s="241">
        <f t="shared" si="5"/>
        <v>0.391831044</v>
      </c>
      <c r="O27" s="241">
        <f t="shared" si="5"/>
        <v>0.338099361</v>
      </c>
      <c r="P27" s="241">
        <f t="shared" si="5"/>
        <v>0.271360008</v>
      </c>
      <c r="Q27" s="241">
        <f t="shared" si="5"/>
        <v>0.137681184</v>
      </c>
      <c r="R27" s="241" t="str">
        <f t="shared" si="5"/>
        <v>-</v>
      </c>
      <c r="S27" s="241">
        <f t="shared" si="5"/>
        <v>0.861608049</v>
      </c>
      <c r="T27" s="241" t="str">
        <f t="shared" si="5"/>
        <v>-</v>
      </c>
      <c r="U27" s="241" t="str">
        <f t="shared" si="5"/>
        <v>-</v>
      </c>
      <c r="V27" s="241" t="str">
        <f t="shared" si="5"/>
        <v>-</v>
      </c>
      <c r="W27" s="241" t="str">
        <f t="shared" si="5"/>
        <v>-</v>
      </c>
      <c r="X27" s="241" t="str">
        <f t="shared" si="5"/>
        <v>-</v>
      </c>
      <c r="Y27" s="241" t="str">
        <f t="shared" si="5"/>
        <v>-</v>
      </c>
      <c r="Z27" s="241" t="str">
        <f t="shared" si="5"/>
        <v>-</v>
      </c>
      <c r="AA27" s="241" t="str">
        <f t="shared" si="5"/>
        <v>-</v>
      </c>
      <c r="AB27" s="241" t="str">
        <f t="shared" si="5"/>
        <v>-</v>
      </c>
      <c r="AC27" s="241" t="str">
        <f t="shared" si="5"/>
        <v>-</v>
      </c>
      <c r="AD27" s="241" t="str">
        <f t="shared" si="5"/>
        <v>-</v>
      </c>
      <c r="AE27" s="241" t="str">
        <f t="shared" si="5"/>
        <v>-</v>
      </c>
      <c r="AF27" s="241" t="str">
        <f t="shared" si="5"/>
        <v>-</v>
      </c>
      <c r="AG27" s="241">
        <f t="shared" si="5"/>
        <v>0.7404366</v>
      </c>
      <c r="AH27" s="241" t="str">
        <f t="shared" si="5"/>
        <v>-</v>
      </c>
      <c r="AI27" s="241" t="str">
        <f t="shared" si="5"/>
        <v>-</v>
      </c>
      <c r="AJ27" s="241" t="str">
        <f t="shared" si="5"/>
        <v>-</v>
      </c>
      <c r="AK27" s="241" t="str">
        <f t="shared" si="5"/>
        <v>-</v>
      </c>
      <c r="AL27" s="241">
        <f t="shared" si="5"/>
        <v>0.628870815</v>
      </c>
      <c r="AM27" s="241">
        <f t="shared" si="5"/>
        <v>0.565533468</v>
      </c>
      <c r="AN27" s="241">
        <f t="shared" si="5"/>
        <v>0.75144309</v>
      </c>
      <c r="AO27" s="241" t="str">
        <f t="shared" si="5"/>
        <v>-</v>
      </c>
      <c r="AP27" s="241" t="str">
        <f t="shared" si="5"/>
        <v>-</v>
      </c>
      <c r="AQ27" s="241" t="str">
        <f t="shared" si="5"/>
        <v>-</v>
      </c>
      <c r="AR27" s="241" t="str">
        <f t="shared" si="5"/>
        <v>-</v>
      </c>
      <c r="AS27" s="241" t="str">
        <f t="shared" si="5"/>
        <v>-</v>
      </c>
      <c r="AT27" s="241" t="str">
        <f t="shared" si="5"/>
        <v>-</v>
      </c>
      <c r="AU27" s="241">
        <f t="shared" si="5"/>
        <v>0.728329461</v>
      </c>
      <c r="AV27" s="241">
        <f t="shared" si="5"/>
        <v>0.590248041</v>
      </c>
      <c r="AW27" s="259"/>
    </row>
    <row r="28">
      <c r="A28" s="122"/>
      <c r="B28" s="123"/>
      <c r="C28" s="131"/>
      <c r="D28" s="131"/>
      <c r="E28" s="257" t="s">
        <v>790</v>
      </c>
      <c r="F28" s="213" t="s">
        <v>72</v>
      </c>
      <c r="G28" s="214" t="s">
        <v>161</v>
      </c>
      <c r="H28" s="240" t="s">
        <v>162</v>
      </c>
      <c r="I28" s="241">
        <f t="shared" ref="I28:AV28" si="6">IFERROR(I20*(1+$H$25),"-")</f>
        <v>0.447363789</v>
      </c>
      <c r="J28" s="241">
        <f t="shared" si="6"/>
        <v>0.633573588</v>
      </c>
      <c r="K28" s="241">
        <f t="shared" si="6"/>
        <v>0.515704086</v>
      </c>
      <c r="L28" s="241">
        <f t="shared" si="6"/>
        <v>0.50729913</v>
      </c>
      <c r="M28" s="241">
        <f t="shared" si="6"/>
        <v>0.482684616</v>
      </c>
      <c r="N28" s="241">
        <f t="shared" si="6"/>
        <v>0.37422066</v>
      </c>
      <c r="O28" s="241">
        <f t="shared" si="6"/>
        <v>0.242943252</v>
      </c>
      <c r="P28" s="241">
        <f t="shared" si="6"/>
        <v>0.259953282</v>
      </c>
      <c r="Q28" s="241">
        <f t="shared" si="6"/>
        <v>0.125674104</v>
      </c>
      <c r="R28" s="241" t="str">
        <f t="shared" si="6"/>
        <v>-</v>
      </c>
      <c r="S28" s="241">
        <f t="shared" si="6"/>
        <v>0.790866336</v>
      </c>
      <c r="T28" s="241" t="str">
        <f t="shared" si="6"/>
        <v>-</v>
      </c>
      <c r="U28" s="241" t="str">
        <f t="shared" si="6"/>
        <v>-</v>
      </c>
      <c r="V28" s="241" t="str">
        <f t="shared" si="6"/>
        <v>-</v>
      </c>
      <c r="W28" s="241" t="str">
        <f t="shared" si="6"/>
        <v>-</v>
      </c>
      <c r="X28" s="241" t="str">
        <f t="shared" si="6"/>
        <v>-</v>
      </c>
      <c r="Y28" s="241" t="str">
        <f t="shared" si="6"/>
        <v>-</v>
      </c>
      <c r="Z28" s="241" t="str">
        <f t="shared" si="6"/>
        <v>-</v>
      </c>
      <c r="AA28" s="241" t="str">
        <f t="shared" si="6"/>
        <v>-</v>
      </c>
      <c r="AB28" s="241" t="str">
        <f t="shared" si="6"/>
        <v>-</v>
      </c>
      <c r="AC28" s="241" t="str">
        <f t="shared" si="6"/>
        <v>-</v>
      </c>
      <c r="AD28" s="241" t="str">
        <f t="shared" si="6"/>
        <v>-</v>
      </c>
      <c r="AE28" s="241" t="str">
        <f t="shared" si="6"/>
        <v>-</v>
      </c>
      <c r="AF28" s="241" t="str">
        <f t="shared" si="6"/>
        <v>-</v>
      </c>
      <c r="AG28" s="241">
        <f t="shared" si="6"/>
        <v>0.6703953</v>
      </c>
      <c r="AH28" s="241" t="str">
        <f t="shared" si="6"/>
        <v>-</v>
      </c>
      <c r="AI28" s="241" t="str">
        <f t="shared" si="6"/>
        <v>-</v>
      </c>
      <c r="AJ28" s="241" t="str">
        <f t="shared" si="6"/>
        <v>-</v>
      </c>
      <c r="AK28" s="241" t="str">
        <f t="shared" si="6"/>
        <v>-</v>
      </c>
      <c r="AL28" s="241">
        <f t="shared" si="6"/>
        <v>0.527911284</v>
      </c>
      <c r="AM28" s="241">
        <f t="shared" si="6"/>
        <v>0.462772875</v>
      </c>
      <c r="AN28" s="241">
        <f t="shared" si="6"/>
        <v>0.653885565</v>
      </c>
      <c r="AO28" s="241" t="str">
        <f t="shared" si="6"/>
        <v>-</v>
      </c>
      <c r="AP28" s="241" t="str">
        <f t="shared" si="6"/>
        <v>-</v>
      </c>
      <c r="AQ28" s="241" t="str">
        <f t="shared" si="6"/>
        <v>-</v>
      </c>
      <c r="AR28" s="241" t="str">
        <f t="shared" si="6"/>
        <v>-</v>
      </c>
      <c r="AS28" s="241" t="str">
        <f t="shared" si="6"/>
        <v>-</v>
      </c>
      <c r="AT28" s="241" t="str">
        <f t="shared" si="6"/>
        <v>-</v>
      </c>
      <c r="AU28" s="241">
        <f t="shared" si="6"/>
        <v>0.659989164</v>
      </c>
      <c r="AV28" s="241">
        <f t="shared" si="6"/>
        <v>0.477981843</v>
      </c>
      <c r="AW28" s="259"/>
    </row>
    <row r="29">
      <c r="A29" s="122"/>
      <c r="B29" s="123"/>
      <c r="C29" s="131"/>
      <c r="D29" s="131"/>
      <c r="E29" s="257" t="s">
        <v>791</v>
      </c>
      <c r="F29" s="213" t="s">
        <v>72</v>
      </c>
      <c r="G29" s="214" t="s">
        <v>161</v>
      </c>
      <c r="H29" s="240" t="s">
        <v>162</v>
      </c>
      <c r="I29" s="241">
        <f t="shared" ref="I29:AV29" si="7">IFERROR(I21*(1+$H$25),"-")</f>
        <v>0.35420886</v>
      </c>
      <c r="J29" s="241">
        <f t="shared" si="7"/>
        <v>0.501795885</v>
      </c>
      <c r="K29" s="241">
        <f t="shared" si="7"/>
        <v>0.396833994</v>
      </c>
      <c r="L29" s="241">
        <f t="shared" si="7"/>
        <v>0.409641546</v>
      </c>
      <c r="M29" s="241">
        <f t="shared" si="7"/>
        <v>0.368917533</v>
      </c>
      <c r="N29" s="241">
        <f t="shared" si="7"/>
        <v>0.296474817</v>
      </c>
      <c r="O29" s="241">
        <f t="shared" si="7"/>
        <v>0.154391037</v>
      </c>
      <c r="P29" s="241">
        <f t="shared" si="7"/>
        <v>0.188210979</v>
      </c>
      <c r="Q29" s="241">
        <f t="shared" si="7"/>
        <v>0.087651684</v>
      </c>
      <c r="R29" s="241" t="str">
        <f t="shared" si="7"/>
        <v>-</v>
      </c>
      <c r="S29" s="241">
        <f t="shared" si="7"/>
        <v>0.696610758</v>
      </c>
      <c r="T29" s="241" t="str">
        <f t="shared" si="7"/>
        <v>-</v>
      </c>
      <c r="U29" s="241" t="str">
        <f t="shared" si="7"/>
        <v>-</v>
      </c>
      <c r="V29" s="241" t="str">
        <f t="shared" si="7"/>
        <v>-</v>
      </c>
      <c r="W29" s="241" t="str">
        <f t="shared" si="7"/>
        <v>-</v>
      </c>
      <c r="X29" s="241" t="str">
        <f t="shared" si="7"/>
        <v>-</v>
      </c>
      <c r="Y29" s="241" t="str">
        <f t="shared" si="7"/>
        <v>-</v>
      </c>
      <c r="Z29" s="241" t="str">
        <f t="shared" si="7"/>
        <v>-</v>
      </c>
      <c r="AA29" s="241" t="str">
        <f t="shared" si="7"/>
        <v>-</v>
      </c>
      <c r="AB29" s="241" t="str">
        <f t="shared" si="7"/>
        <v>-</v>
      </c>
      <c r="AC29" s="241" t="str">
        <f t="shared" si="7"/>
        <v>-</v>
      </c>
      <c r="AD29" s="241" t="str">
        <f t="shared" si="7"/>
        <v>-</v>
      </c>
      <c r="AE29" s="241" t="str">
        <f t="shared" si="7"/>
        <v>-</v>
      </c>
      <c r="AF29" s="241" t="str">
        <f t="shared" si="7"/>
        <v>-</v>
      </c>
      <c r="AG29" s="241">
        <f t="shared" si="7"/>
        <v>0.5803422</v>
      </c>
      <c r="AH29" s="241" t="str">
        <f t="shared" si="7"/>
        <v>-</v>
      </c>
      <c r="AI29" s="241" t="str">
        <f t="shared" si="7"/>
        <v>-</v>
      </c>
      <c r="AJ29" s="241" t="str">
        <f t="shared" si="7"/>
        <v>-</v>
      </c>
      <c r="AK29" s="241" t="str">
        <f t="shared" si="7"/>
        <v>-</v>
      </c>
      <c r="AL29" s="241">
        <f t="shared" si="7"/>
        <v>0.390830454</v>
      </c>
      <c r="AM29" s="241">
        <f t="shared" si="7"/>
        <v>0.336498417</v>
      </c>
      <c r="AN29" s="241">
        <f t="shared" si="7"/>
        <v>0.495792345</v>
      </c>
      <c r="AO29" s="241" t="str">
        <f t="shared" si="7"/>
        <v>-</v>
      </c>
      <c r="AP29" s="241" t="str">
        <f t="shared" si="7"/>
        <v>-</v>
      </c>
      <c r="AQ29" s="241" t="str">
        <f t="shared" si="7"/>
        <v>-</v>
      </c>
      <c r="AR29" s="241" t="str">
        <f t="shared" si="7"/>
        <v>-</v>
      </c>
      <c r="AS29" s="241" t="str">
        <f t="shared" si="7"/>
        <v>-</v>
      </c>
      <c r="AT29" s="241" t="str">
        <f t="shared" si="7"/>
        <v>-</v>
      </c>
      <c r="AU29" s="241">
        <f t="shared" si="7"/>
        <v>0.558429279</v>
      </c>
      <c r="AV29" s="241">
        <f t="shared" si="7"/>
        <v>0.379323669</v>
      </c>
      <c r="AW29" s="259"/>
    </row>
    <row r="30">
      <c r="A30" s="122"/>
      <c r="B30" s="123"/>
      <c r="C30" s="123"/>
      <c r="D30" s="123"/>
      <c r="E30" s="199" t="s">
        <v>792</v>
      </c>
      <c r="F30" s="200" t="s">
        <v>72</v>
      </c>
      <c r="G30" s="629" t="s">
        <v>161</v>
      </c>
      <c r="H30" s="630" t="s">
        <v>162</v>
      </c>
      <c r="I30" s="385">
        <f t="shared" ref="I30:AV30" si="8">IFERROR(I22*(1+$H$25),"-")</f>
        <v>0.352808034</v>
      </c>
      <c r="J30" s="385">
        <f t="shared" si="8"/>
        <v>0.488888274</v>
      </c>
      <c r="K30" s="385">
        <f t="shared" si="8"/>
        <v>0.374020542</v>
      </c>
      <c r="L30" s="385">
        <f t="shared" si="8"/>
        <v>0.32319057</v>
      </c>
      <c r="M30" s="385">
        <f t="shared" si="8"/>
        <v>0.322990452</v>
      </c>
      <c r="N30" s="385">
        <f t="shared" si="8"/>
        <v>0.263055111</v>
      </c>
      <c r="O30" s="385">
        <f t="shared" si="8"/>
        <v>0.232737234</v>
      </c>
      <c r="P30" s="385">
        <f t="shared" si="8"/>
        <v>0.212725434</v>
      </c>
      <c r="Q30" s="385">
        <f t="shared" si="8"/>
        <v>0.140582895</v>
      </c>
      <c r="R30" s="385" t="str">
        <f t="shared" si="8"/>
        <v>-</v>
      </c>
      <c r="S30" s="385">
        <f t="shared" si="8"/>
        <v>0.588747156</v>
      </c>
      <c r="T30" s="385" t="str">
        <f t="shared" si="8"/>
        <v>-</v>
      </c>
      <c r="U30" s="385" t="str">
        <f t="shared" si="8"/>
        <v>-</v>
      </c>
      <c r="V30" s="385" t="str">
        <f t="shared" si="8"/>
        <v>-</v>
      </c>
      <c r="W30" s="385" t="str">
        <f t="shared" si="8"/>
        <v>-</v>
      </c>
      <c r="X30" s="385" t="str">
        <f t="shared" si="8"/>
        <v>-</v>
      </c>
      <c r="Y30" s="385" t="str">
        <f t="shared" si="8"/>
        <v>-</v>
      </c>
      <c r="Z30" s="385" t="str">
        <f t="shared" si="8"/>
        <v>-</v>
      </c>
      <c r="AA30" s="385" t="str">
        <f t="shared" si="8"/>
        <v>-</v>
      </c>
      <c r="AB30" s="385" t="str">
        <f t="shared" si="8"/>
        <v>-</v>
      </c>
      <c r="AC30" s="385" t="str">
        <f t="shared" si="8"/>
        <v>-</v>
      </c>
      <c r="AD30" s="385" t="str">
        <f t="shared" si="8"/>
        <v>-</v>
      </c>
      <c r="AE30" s="385" t="str">
        <f t="shared" si="8"/>
        <v>-</v>
      </c>
      <c r="AF30" s="385" t="str">
        <f t="shared" si="8"/>
        <v>-</v>
      </c>
      <c r="AG30" s="385">
        <f t="shared" si="8"/>
        <v>0.5403186</v>
      </c>
      <c r="AH30" s="385" t="str">
        <f t="shared" si="8"/>
        <v>-</v>
      </c>
      <c r="AI30" s="385" t="str">
        <f t="shared" si="8"/>
        <v>-</v>
      </c>
      <c r="AJ30" s="385" t="str">
        <f t="shared" si="8"/>
        <v>-</v>
      </c>
      <c r="AK30" s="385" t="str">
        <f t="shared" si="8"/>
        <v>-</v>
      </c>
      <c r="AL30" s="385">
        <f t="shared" si="8"/>
        <v>0.355509627</v>
      </c>
      <c r="AM30" s="385">
        <f t="shared" si="8"/>
        <v>0.30818172</v>
      </c>
      <c r="AN30" s="385">
        <f t="shared" si="8"/>
        <v>0.446863494</v>
      </c>
      <c r="AO30" s="385" t="str">
        <f t="shared" si="8"/>
        <v>-</v>
      </c>
      <c r="AP30" s="385" t="str">
        <f t="shared" si="8"/>
        <v>-</v>
      </c>
      <c r="AQ30" s="385" t="str">
        <f t="shared" si="8"/>
        <v>-</v>
      </c>
      <c r="AR30" s="385" t="str">
        <f t="shared" si="8"/>
        <v>-</v>
      </c>
      <c r="AS30" s="385" t="str">
        <f t="shared" si="8"/>
        <v>-</v>
      </c>
      <c r="AT30" s="385" t="str">
        <f t="shared" si="8"/>
        <v>-</v>
      </c>
      <c r="AU30" s="385">
        <f t="shared" si="8"/>
        <v>0.508900074</v>
      </c>
      <c r="AV30" s="385">
        <f t="shared" si="8"/>
        <v>0.349706205</v>
      </c>
      <c r="AW30" s="205"/>
    </row>
    <row r="31">
      <c r="A31" s="122"/>
      <c r="B31" s="123"/>
      <c r="C31" s="143"/>
      <c r="D31" s="123"/>
      <c r="E31" s="140"/>
      <c r="F31" s="141"/>
      <c r="G31" s="144"/>
      <c r="H31" s="127"/>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30"/>
    </row>
    <row r="32">
      <c r="A32" s="117" t="s">
        <v>793</v>
      </c>
      <c r="B32" s="7"/>
      <c r="C32" s="7"/>
      <c r="D32" s="7"/>
      <c r="E32" s="7"/>
      <c r="F32" s="7"/>
      <c r="G32" s="7"/>
      <c r="H32" s="17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175"/>
    </row>
    <row r="33">
      <c r="A33" s="122"/>
      <c r="B33" s="123"/>
      <c r="C33" s="123"/>
      <c r="D33" s="123"/>
      <c r="E33" s="124"/>
      <c r="F33" s="125"/>
      <c r="G33" s="176"/>
      <c r="H33" s="12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30"/>
    </row>
    <row r="34">
      <c r="A34" s="122"/>
      <c r="B34" s="123"/>
      <c r="C34" s="131" t="s">
        <v>794</v>
      </c>
      <c r="F34" s="125"/>
      <c r="G34" s="482"/>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2"/>
      <c r="B35" s="123"/>
      <c r="C35" s="131"/>
      <c r="D35" s="131"/>
      <c r="E35" s="254" t="s">
        <v>795</v>
      </c>
      <c r="F35" s="193" t="s">
        <v>72</v>
      </c>
      <c r="G35" s="194" t="s">
        <v>165</v>
      </c>
      <c r="H35" s="343" t="str">
        <f>Inputs!H58</f>
        <v>-</v>
      </c>
      <c r="I35" s="383">
        <f>Inputs!I58</f>
        <v>0.491</v>
      </c>
      <c r="J35" s="383">
        <f>Inputs!J58</f>
        <v>0.59</v>
      </c>
      <c r="K35" s="383">
        <f>Inputs!K58</f>
        <v>0.635</v>
      </c>
      <c r="L35" s="383">
        <f>Inputs!L58</f>
        <v>0.781</v>
      </c>
      <c r="M35" s="383">
        <f>Inputs!M58</f>
        <v>0.603</v>
      </c>
      <c r="N35" s="383">
        <f>Inputs!N58</f>
        <v>0.569</v>
      </c>
      <c r="O35" s="383">
        <f>Inputs!O58</f>
        <v>0.636</v>
      </c>
      <c r="P35" s="383">
        <f>Inputs!P58</f>
        <v>0.337</v>
      </c>
      <c r="Q35" s="383">
        <f>Inputs!Q58</f>
        <v>0.508</v>
      </c>
      <c r="R35" s="383">
        <f>Inputs!R58</f>
        <v>0.905</v>
      </c>
      <c r="S35" s="383">
        <f>Inputs!S58</f>
        <v>0.836</v>
      </c>
      <c r="T35" s="383">
        <f>Inputs!T58</f>
        <v>0.856</v>
      </c>
      <c r="U35" s="383">
        <f>Inputs!U58</f>
        <v>0.844</v>
      </c>
      <c r="V35" s="383">
        <f>Inputs!V58</f>
        <v>0.789</v>
      </c>
      <c r="W35" s="383">
        <f>Inputs!W58</f>
        <v>0.817</v>
      </c>
      <c r="X35" s="383">
        <f>Inputs!X58</f>
        <v>0.648</v>
      </c>
      <c r="Y35" s="383">
        <f>Inputs!Y58</f>
        <v>0.931</v>
      </c>
      <c r="Z35" s="383">
        <f>Inputs!Z58</f>
        <v>0.835</v>
      </c>
      <c r="AA35" s="383">
        <f>Inputs!AA58</f>
        <v>0.993</v>
      </c>
      <c r="AB35" s="383">
        <f>Inputs!AB58</f>
        <v>0.923</v>
      </c>
      <c r="AC35" s="383">
        <f>Inputs!AC58</f>
        <v>0.99</v>
      </c>
      <c r="AD35" s="383">
        <f>Inputs!AD58</f>
        <v>0.991</v>
      </c>
      <c r="AE35" s="383">
        <f>Inputs!AE58</f>
        <v>0.952</v>
      </c>
      <c r="AF35" s="383">
        <f>Inputs!AF58</f>
        <v>0.947</v>
      </c>
      <c r="AG35" s="383">
        <f>Inputs!AG58</f>
        <v>0.781</v>
      </c>
      <c r="AH35" s="383">
        <f>Inputs!AH58</f>
        <v>0.923</v>
      </c>
      <c r="AI35" s="383">
        <f>Inputs!AI58</f>
        <v>0.723</v>
      </c>
      <c r="AJ35" s="383">
        <f>Inputs!AJ58</f>
        <v>0.944</v>
      </c>
      <c r="AK35" s="383">
        <f>Inputs!AK58</f>
        <v>0.792</v>
      </c>
      <c r="AL35" s="383">
        <f>Inputs!AL58</f>
        <v>0.667</v>
      </c>
      <c r="AM35" s="383">
        <f>Inputs!AM58</f>
        <v>0.667</v>
      </c>
      <c r="AN35" s="383">
        <f>Inputs!AN58</f>
        <v>0.667</v>
      </c>
      <c r="AO35" s="383">
        <f>Inputs!AO58</f>
        <v>0.723</v>
      </c>
      <c r="AP35" s="383">
        <f>Inputs!AP58</f>
        <v>0.751</v>
      </c>
      <c r="AQ35" s="383">
        <f>Inputs!AQ58</f>
        <v>0.93</v>
      </c>
      <c r="AR35" s="383">
        <f>Inputs!AR58</f>
        <v>0.825</v>
      </c>
      <c r="AS35" s="383">
        <f>Inputs!AS58</f>
        <v>0.877</v>
      </c>
      <c r="AT35" s="383">
        <f>Inputs!AT58</f>
        <v>0.903</v>
      </c>
      <c r="AU35" s="383">
        <f>Inputs!AU58</f>
        <v>0.711</v>
      </c>
      <c r="AV35" s="383">
        <f>Inputs!AV58</f>
        <v>0.752</v>
      </c>
      <c r="AW35" s="256"/>
    </row>
    <row r="36">
      <c r="A36" s="122"/>
      <c r="B36" s="123"/>
      <c r="C36" s="131"/>
      <c r="D36" s="131"/>
      <c r="E36" s="254" t="s">
        <v>796</v>
      </c>
      <c r="F36" s="193" t="s">
        <v>72</v>
      </c>
      <c r="G36" s="194" t="s">
        <v>165</v>
      </c>
      <c r="H36" s="343" t="str">
        <f>Inputs!H59</f>
        <v>-</v>
      </c>
      <c r="I36" s="383">
        <f>Inputs!I59</f>
        <v>0.423</v>
      </c>
      <c r="J36" s="383">
        <f>Inputs!J59</f>
        <v>0.542</v>
      </c>
      <c r="K36" s="383">
        <f>Inputs!K59</f>
        <v>0.614</v>
      </c>
      <c r="L36" s="383">
        <f>Inputs!L59</f>
        <v>0.726</v>
      </c>
      <c r="M36" s="383">
        <f>Inputs!M59</f>
        <v>0.549</v>
      </c>
      <c r="N36" s="383">
        <f>Inputs!N59</f>
        <v>0.53</v>
      </c>
      <c r="O36" s="383">
        <f>Inputs!O59</f>
        <v>0.595</v>
      </c>
      <c r="P36" s="383">
        <f>Inputs!P59</f>
        <v>0.288</v>
      </c>
      <c r="Q36" s="383">
        <f>Inputs!Q59</f>
        <v>0.45</v>
      </c>
      <c r="R36" s="383">
        <f>Inputs!R59</f>
        <v>0.882</v>
      </c>
      <c r="S36" s="383">
        <f>Inputs!S59</f>
        <v>0.75</v>
      </c>
      <c r="T36" s="383">
        <f>Inputs!T59</f>
        <v>0.862</v>
      </c>
      <c r="U36" s="383">
        <f>Inputs!U59</f>
        <v>0.829</v>
      </c>
      <c r="V36" s="383">
        <f>Inputs!V59</f>
        <v>0.775</v>
      </c>
      <c r="W36" s="383">
        <f>Inputs!W59</f>
        <v>0.808</v>
      </c>
      <c r="X36" s="383">
        <f>Inputs!X59</f>
        <v>0.579</v>
      </c>
      <c r="Y36" s="383">
        <f>Inputs!Y59</f>
        <v>0.931</v>
      </c>
      <c r="Z36" s="383">
        <f>Inputs!Z59</f>
        <v>0.81</v>
      </c>
      <c r="AA36" s="383">
        <f>Inputs!AA59</f>
        <v>0.991</v>
      </c>
      <c r="AB36" s="383">
        <f>Inputs!AB59</f>
        <v>0.922</v>
      </c>
      <c r="AC36" s="383">
        <f>Inputs!AC59</f>
        <v>0.946</v>
      </c>
      <c r="AD36" s="383">
        <f>Inputs!AD59</f>
        <v>0.985</v>
      </c>
      <c r="AE36" s="383">
        <f>Inputs!AE59</f>
        <v>0.905</v>
      </c>
      <c r="AF36" s="383">
        <f>Inputs!AF59</f>
        <v>0.941</v>
      </c>
      <c r="AG36" s="383">
        <f>Inputs!AG59</f>
        <v>0.726</v>
      </c>
      <c r="AH36" s="383">
        <f>Inputs!AH59</f>
        <v>0.862</v>
      </c>
      <c r="AI36" s="383">
        <f>Inputs!AI59</f>
        <v>0.663</v>
      </c>
      <c r="AJ36" s="383">
        <f>Inputs!AJ59</f>
        <v>0.924</v>
      </c>
      <c r="AK36" s="383">
        <f>Inputs!AK59</f>
        <v>0.719</v>
      </c>
      <c r="AL36" s="383">
        <f>Inputs!AL59</f>
        <v>0.621</v>
      </c>
      <c r="AM36" s="383">
        <f>Inputs!AM59</f>
        <v>0.621</v>
      </c>
      <c r="AN36" s="383">
        <f>Inputs!AN59</f>
        <v>0.621</v>
      </c>
      <c r="AO36" s="383">
        <f>Inputs!AO59</f>
        <v>0.667</v>
      </c>
      <c r="AP36" s="383">
        <f>Inputs!AP59</f>
        <v>0.734</v>
      </c>
      <c r="AQ36" s="383">
        <f>Inputs!AQ59</f>
        <v>0.914</v>
      </c>
      <c r="AR36" s="383">
        <f>Inputs!AR59</f>
        <v>0.756</v>
      </c>
      <c r="AS36" s="383">
        <f>Inputs!AS59</f>
        <v>0.8</v>
      </c>
      <c r="AT36" s="383">
        <f>Inputs!AT59</f>
        <v>0.896</v>
      </c>
      <c r="AU36" s="383">
        <f>Inputs!AU59</f>
        <v>0.715</v>
      </c>
      <c r="AV36" s="383">
        <f>Inputs!AV59</f>
        <v>0.738</v>
      </c>
      <c r="AW36" s="256"/>
    </row>
    <row r="37">
      <c r="A37" s="122"/>
      <c r="B37" s="123"/>
      <c r="C37" s="131"/>
      <c r="D37" s="131"/>
      <c r="E37" s="257" t="s">
        <v>797</v>
      </c>
      <c r="F37" s="213" t="s">
        <v>72</v>
      </c>
      <c r="G37" s="214" t="s">
        <v>165</v>
      </c>
      <c r="H37" s="610" t="str">
        <f>Inputs!H60</f>
        <v>-</v>
      </c>
      <c r="I37" s="241">
        <f>Inputs!I60</f>
        <v>0.376</v>
      </c>
      <c r="J37" s="241">
        <f>Inputs!J60</f>
        <v>0.512</v>
      </c>
      <c r="K37" s="241">
        <f>Inputs!K60</f>
        <v>0.564</v>
      </c>
      <c r="L37" s="383">
        <f>Inputs!L60</f>
        <v>0.665</v>
      </c>
      <c r="M37" s="241">
        <f>Inputs!M60</f>
        <v>0.47</v>
      </c>
      <c r="N37" s="241">
        <f>Inputs!N60</f>
        <v>0.466</v>
      </c>
      <c r="O37" s="241">
        <f>Inputs!O60</f>
        <v>0.584</v>
      </c>
      <c r="P37" s="241">
        <f>Inputs!P60</f>
        <v>0.184</v>
      </c>
      <c r="Q37" s="241">
        <f>Inputs!Q60</f>
        <v>0.353</v>
      </c>
      <c r="R37" s="241">
        <f>Inputs!R60</f>
        <v>0.86</v>
      </c>
      <c r="S37" s="241">
        <f>Inputs!S60</f>
        <v>0.666</v>
      </c>
      <c r="T37" s="241">
        <f>Inputs!T60</f>
        <v>0.823</v>
      </c>
      <c r="U37" s="241">
        <f>Inputs!U60</f>
        <v>0.754</v>
      </c>
      <c r="V37" s="241">
        <f>Inputs!V60</f>
        <v>0.76</v>
      </c>
      <c r="W37" s="241">
        <f>Inputs!W60</f>
        <v>0.745</v>
      </c>
      <c r="X37" s="241">
        <f>Inputs!X60</f>
        <v>0.453</v>
      </c>
      <c r="Y37" s="241">
        <f>Inputs!Y60</f>
        <v>0.918</v>
      </c>
      <c r="Z37" s="241">
        <f>Inputs!Z60</f>
        <v>0.755</v>
      </c>
      <c r="AA37" s="241">
        <f>Inputs!AA60</f>
        <v>0.99</v>
      </c>
      <c r="AB37" s="241">
        <f>Inputs!AB60</f>
        <v>0.908</v>
      </c>
      <c r="AC37" s="241">
        <f>Inputs!AC60</f>
        <v>0.943</v>
      </c>
      <c r="AD37" s="241">
        <f>Inputs!AD60</f>
        <v>0.967</v>
      </c>
      <c r="AE37" s="241">
        <f>Inputs!AE60</f>
        <v>0.872</v>
      </c>
      <c r="AF37" s="241">
        <f>Inputs!AF60</f>
        <v>0.932</v>
      </c>
      <c r="AG37" s="241">
        <f>Inputs!AG60</f>
        <v>0.665</v>
      </c>
      <c r="AH37" s="241">
        <f>Inputs!AH60</f>
        <v>0.74</v>
      </c>
      <c r="AI37" s="241">
        <f>Inputs!AI60</f>
        <v>0.641</v>
      </c>
      <c r="AJ37" s="241">
        <f>Inputs!AJ60</f>
        <v>0.901</v>
      </c>
      <c r="AK37" s="241">
        <f>Inputs!AK60</f>
        <v>0.647</v>
      </c>
      <c r="AL37" s="241">
        <f>Inputs!AL60</f>
        <v>0.497</v>
      </c>
      <c r="AM37" s="383">
        <f>Inputs!AM60</f>
        <v>0.497</v>
      </c>
      <c r="AN37" s="383">
        <f>Inputs!AN60</f>
        <v>0.497</v>
      </c>
      <c r="AO37" s="241">
        <f>Inputs!AO60</f>
        <v>0.58</v>
      </c>
      <c r="AP37" s="241">
        <f>Inputs!AP60</f>
        <v>0.682</v>
      </c>
      <c r="AQ37" s="241">
        <f>Inputs!AQ60</f>
        <v>0.882</v>
      </c>
      <c r="AR37" s="241">
        <f>Inputs!AR60</f>
        <v>0.642</v>
      </c>
      <c r="AS37" s="241">
        <f>Inputs!AS60</f>
        <v>0.779</v>
      </c>
      <c r="AT37" s="241">
        <f>Inputs!AT60</f>
        <v>0.871</v>
      </c>
      <c r="AU37" s="241">
        <f>Inputs!AU60</f>
        <v>0.653</v>
      </c>
      <c r="AV37" s="241">
        <f>Inputs!AV60</f>
        <v>0.712</v>
      </c>
      <c r="AW37" s="259"/>
    </row>
    <row r="38">
      <c r="A38" s="122"/>
      <c r="B38" s="123"/>
      <c r="C38" s="131"/>
      <c r="D38" s="131"/>
      <c r="E38" s="257" t="s">
        <v>798</v>
      </c>
      <c r="F38" s="213" t="s">
        <v>72</v>
      </c>
      <c r="G38" s="214" t="s">
        <v>165</v>
      </c>
      <c r="H38" s="610" t="str">
        <f>Inputs!H61</f>
        <v>-</v>
      </c>
      <c r="I38" s="241">
        <f>Inputs!I61</f>
        <v>0.313</v>
      </c>
      <c r="J38" s="241">
        <f>Inputs!J61</f>
        <v>0.38</v>
      </c>
      <c r="K38" s="241">
        <f>Inputs!K61</f>
        <v>0.488</v>
      </c>
      <c r="L38" s="383">
        <f>Inputs!L61</f>
        <v>0.603</v>
      </c>
      <c r="M38" s="241">
        <f>Inputs!M61</f>
        <v>0.424</v>
      </c>
      <c r="N38" s="241">
        <f>Inputs!N61</f>
        <v>0.412</v>
      </c>
      <c r="O38" s="241">
        <f>Inputs!O61</f>
        <v>0.551</v>
      </c>
      <c r="P38" s="241">
        <f>Inputs!P61</f>
        <v>0.115</v>
      </c>
      <c r="Q38" s="241">
        <f>Inputs!Q61</f>
        <v>0.248</v>
      </c>
      <c r="R38" s="241">
        <f>Inputs!R61</f>
        <v>0.75</v>
      </c>
      <c r="S38" s="241">
        <f>Inputs!S61</f>
        <v>0.539</v>
      </c>
      <c r="T38" s="241">
        <f>Inputs!T61</f>
        <v>0.731</v>
      </c>
      <c r="U38" s="241">
        <f>Inputs!U61</f>
        <v>0.736</v>
      </c>
      <c r="V38" s="241">
        <f>Inputs!V61</f>
        <v>0.702</v>
      </c>
      <c r="W38" s="241">
        <f>Inputs!W61</f>
        <v>0.628</v>
      </c>
      <c r="X38" s="241">
        <f>Inputs!X61</f>
        <v>0.301</v>
      </c>
      <c r="Y38" s="241">
        <f>Inputs!Y61</f>
        <v>0.75</v>
      </c>
      <c r="Z38" s="241">
        <f>Inputs!Z61</f>
        <v>0.699</v>
      </c>
      <c r="AA38" s="241">
        <f>Inputs!AA61</f>
        <v>0.987</v>
      </c>
      <c r="AB38" s="241">
        <f>Inputs!AB61</f>
        <v>0.827</v>
      </c>
      <c r="AC38" s="241">
        <f>Inputs!AC61</f>
        <v>0.849</v>
      </c>
      <c r="AD38" s="241">
        <f>Inputs!AD61</f>
        <v>0.908</v>
      </c>
      <c r="AE38" s="241">
        <f>Inputs!AE61</f>
        <v>0.796</v>
      </c>
      <c r="AF38" s="241">
        <f>Inputs!AF61</f>
        <v>0.888</v>
      </c>
      <c r="AG38" s="241">
        <f>Inputs!AG61</f>
        <v>0.603</v>
      </c>
      <c r="AH38" s="241">
        <f>Inputs!AH61</f>
        <v>0.632</v>
      </c>
      <c r="AI38" s="241">
        <f>Inputs!AI61</f>
        <v>0.551</v>
      </c>
      <c r="AJ38" s="241">
        <f>Inputs!AJ61</f>
        <v>0.847</v>
      </c>
      <c r="AK38" s="241">
        <f>Inputs!AK61</f>
        <v>0.54</v>
      </c>
      <c r="AL38" s="241">
        <f>Inputs!AL61</f>
        <v>0.394</v>
      </c>
      <c r="AM38" s="383">
        <f>Inputs!AM61</f>
        <v>0.394</v>
      </c>
      <c r="AN38" s="383">
        <f>Inputs!AN61</f>
        <v>0.394</v>
      </c>
      <c r="AO38" s="241">
        <f>Inputs!AO61</f>
        <v>0.413</v>
      </c>
      <c r="AP38" s="241">
        <f>Inputs!AP61</f>
        <v>0.626</v>
      </c>
      <c r="AQ38" s="241">
        <f>Inputs!AQ61</f>
        <v>0.815</v>
      </c>
      <c r="AR38" s="241">
        <f>Inputs!AR61</f>
        <v>0.569</v>
      </c>
      <c r="AS38" s="241">
        <f>Inputs!AS61</f>
        <v>0.654</v>
      </c>
      <c r="AT38" s="241">
        <f>Inputs!AT61</f>
        <v>0.781</v>
      </c>
      <c r="AU38" s="241">
        <f>Inputs!AU61</f>
        <v>0.524</v>
      </c>
      <c r="AV38" s="241">
        <f>Inputs!AV61</f>
        <v>0.642</v>
      </c>
      <c r="AW38" s="259"/>
    </row>
    <row r="39">
      <c r="A39" s="122"/>
      <c r="B39" s="123"/>
      <c r="C39" s="131"/>
      <c r="D39" s="131"/>
      <c r="E39" s="254" t="s">
        <v>799</v>
      </c>
      <c r="F39" s="193" t="s">
        <v>72</v>
      </c>
      <c r="G39" s="194" t="s">
        <v>165</v>
      </c>
      <c r="H39" s="343" t="str">
        <f>Inputs!H62</f>
        <v>-</v>
      </c>
      <c r="I39" s="383">
        <f>Inputs!I62</f>
        <v>0.415</v>
      </c>
      <c r="J39" s="383">
        <f>Inputs!J62</f>
        <v>0.522</v>
      </c>
      <c r="K39" s="383">
        <f>Inputs!K62</f>
        <v>0.606</v>
      </c>
      <c r="L39" s="383">
        <f>Inputs!L62</f>
        <v>0.72</v>
      </c>
      <c r="M39" s="383">
        <f>Inputs!M62</f>
        <v>0.544</v>
      </c>
      <c r="N39" s="383">
        <f>Inputs!N62</f>
        <v>0.518</v>
      </c>
      <c r="O39" s="383">
        <f>Inputs!O62</f>
        <v>0.596</v>
      </c>
      <c r="P39" s="383">
        <f>Inputs!P62</f>
        <v>0.218</v>
      </c>
      <c r="Q39" s="383">
        <f>Inputs!Q62</f>
        <v>0.459</v>
      </c>
      <c r="R39" s="383">
        <f>Inputs!R62</f>
        <v>0.888</v>
      </c>
      <c r="S39" s="383">
        <f>Inputs!S62</f>
        <v>0.747</v>
      </c>
      <c r="T39" s="383">
        <f>Inputs!T62</f>
        <v>0.843</v>
      </c>
      <c r="U39" s="383">
        <f>Inputs!U62</f>
        <v>0.829</v>
      </c>
      <c r="V39" s="383">
        <f>Inputs!V62</f>
        <v>0.771</v>
      </c>
      <c r="W39" s="383">
        <f>Inputs!W62</f>
        <v>0.788</v>
      </c>
      <c r="X39" s="383">
        <f>Inputs!X62</f>
        <v>0.539</v>
      </c>
      <c r="Y39" s="383">
        <f>Inputs!Y62</f>
        <v>0.931</v>
      </c>
      <c r="Z39" s="383">
        <f>Inputs!Z62</f>
        <v>0.792</v>
      </c>
      <c r="AA39" s="383">
        <f>Inputs!AA62</f>
        <v>0.992</v>
      </c>
      <c r="AB39" s="383">
        <f>Inputs!AB62</f>
        <v>0.895</v>
      </c>
      <c r="AC39" s="383">
        <f>Inputs!AC62</f>
        <v>0.956</v>
      </c>
      <c r="AD39" s="383">
        <f>Inputs!AD62</f>
        <v>0.985</v>
      </c>
      <c r="AE39" s="383">
        <f>Inputs!AE62</f>
        <v>0.913</v>
      </c>
      <c r="AF39" s="383">
        <f>Inputs!AF62</f>
        <v>0.935</v>
      </c>
      <c r="AG39" s="383">
        <f>Inputs!AG62</f>
        <v>0.72</v>
      </c>
      <c r="AH39" s="383">
        <f>Inputs!AH62</f>
        <v>0.847</v>
      </c>
      <c r="AI39" s="383">
        <f>Inputs!AI62</f>
        <v>0.636</v>
      </c>
      <c r="AJ39" s="383">
        <f>Inputs!AJ62</f>
        <v>0.924</v>
      </c>
      <c r="AK39" s="383">
        <f>Inputs!AK62</f>
        <v>0.709</v>
      </c>
      <c r="AL39" s="383">
        <f>Inputs!AL62</f>
        <v>0.575</v>
      </c>
      <c r="AM39" s="383">
        <f>Inputs!AM62</f>
        <v>0.575</v>
      </c>
      <c r="AN39" s="383">
        <f>Inputs!AN62</f>
        <v>0.575</v>
      </c>
      <c r="AO39" s="383">
        <f>Inputs!AO62</f>
        <v>0.647</v>
      </c>
      <c r="AP39" s="383">
        <f>Inputs!AP62</f>
        <v>0.721</v>
      </c>
      <c r="AQ39" s="383">
        <f>Inputs!AQ62</f>
        <v>0.906</v>
      </c>
      <c r="AR39" s="383">
        <f>Inputs!AR62</f>
        <v>0.751</v>
      </c>
      <c r="AS39" s="383">
        <f>Inputs!AS62</f>
        <v>0.786</v>
      </c>
      <c r="AT39" s="383">
        <f>Inputs!AT62</f>
        <v>0.895</v>
      </c>
      <c r="AU39" s="383">
        <f>Inputs!AU62</f>
        <v>0.708</v>
      </c>
      <c r="AV39" s="383">
        <f>Inputs!AV62</f>
        <v>0.72</v>
      </c>
      <c r="AW39" s="256"/>
    </row>
    <row r="40">
      <c r="A40" s="122"/>
      <c r="B40" s="123"/>
      <c r="C40" s="131"/>
      <c r="D40" s="131"/>
      <c r="E40" s="254" t="s">
        <v>800</v>
      </c>
      <c r="F40" s="193" t="s">
        <v>72</v>
      </c>
      <c r="G40" s="194" t="s">
        <v>165</v>
      </c>
      <c r="H40" s="343" t="str">
        <f>Inputs!H63</f>
        <v>-</v>
      </c>
      <c r="I40" s="383">
        <f>Inputs!I63</f>
        <v>0.38</v>
      </c>
      <c r="J40" s="383">
        <f>Inputs!J63</f>
        <v>0.467</v>
      </c>
      <c r="K40" s="383">
        <f>Inputs!K63</f>
        <v>0.555</v>
      </c>
      <c r="L40" s="383">
        <f>Inputs!L63</f>
        <v>0.647</v>
      </c>
      <c r="M40" s="383">
        <f>Inputs!M63</f>
        <v>0.466</v>
      </c>
      <c r="N40" s="383">
        <f>Inputs!N63</f>
        <v>0.439</v>
      </c>
      <c r="O40" s="383">
        <f>Inputs!O63</f>
        <v>0.569</v>
      </c>
      <c r="P40" s="383">
        <f>Inputs!P63</f>
        <v>0.142</v>
      </c>
      <c r="Q40" s="383">
        <f>Inputs!Q63</f>
        <v>0.355</v>
      </c>
      <c r="R40" s="383">
        <f>Inputs!R63</f>
        <v>0.851</v>
      </c>
      <c r="S40" s="383">
        <f>Inputs!S63</f>
        <v>0.669</v>
      </c>
      <c r="T40" s="383">
        <f>Inputs!T63</f>
        <v>0.816</v>
      </c>
      <c r="U40" s="383">
        <f>Inputs!U63</f>
        <v>0.75</v>
      </c>
      <c r="V40" s="383">
        <f>Inputs!V63</f>
        <v>0.751</v>
      </c>
      <c r="W40" s="383">
        <f>Inputs!W63</f>
        <v>0.711</v>
      </c>
      <c r="X40" s="383">
        <f>Inputs!X63</f>
        <v>0.378</v>
      </c>
      <c r="Y40" s="383">
        <f>Inputs!Y63</f>
        <v>0.918</v>
      </c>
      <c r="Z40" s="383">
        <f>Inputs!Z63</f>
        <v>0.734</v>
      </c>
      <c r="AA40" s="383">
        <f>Inputs!AA63</f>
        <v>0.99</v>
      </c>
      <c r="AB40" s="383">
        <f>Inputs!AB63</f>
        <v>0.855</v>
      </c>
      <c r="AC40" s="383">
        <f>Inputs!AC63</f>
        <v>0.895</v>
      </c>
      <c r="AD40" s="383">
        <f>Inputs!AD63</f>
        <v>0.959</v>
      </c>
      <c r="AE40" s="383">
        <f>Inputs!AE63</f>
        <v>0.872</v>
      </c>
      <c r="AF40" s="383">
        <f>Inputs!AF63</f>
        <v>0.912</v>
      </c>
      <c r="AG40" s="383">
        <f>Inputs!AG63</f>
        <v>0.647</v>
      </c>
      <c r="AH40" s="383">
        <f>Inputs!AH63</f>
        <v>0.719</v>
      </c>
      <c r="AI40" s="383">
        <f>Inputs!AI63</f>
        <v>0.607</v>
      </c>
      <c r="AJ40" s="383">
        <f>Inputs!AJ63</f>
        <v>0.886</v>
      </c>
      <c r="AK40" s="383">
        <f>Inputs!AK63</f>
        <v>0.634</v>
      </c>
      <c r="AL40" s="383">
        <f>Inputs!AL63</f>
        <v>0.498</v>
      </c>
      <c r="AM40" s="383">
        <f>Inputs!AM63</f>
        <v>0.498</v>
      </c>
      <c r="AN40" s="383">
        <f>Inputs!AN63</f>
        <v>0.498</v>
      </c>
      <c r="AO40" s="383">
        <f>Inputs!AO63</f>
        <v>0.566</v>
      </c>
      <c r="AP40" s="383">
        <f>Inputs!AP63</f>
        <v>0.656</v>
      </c>
      <c r="AQ40" s="383">
        <f>Inputs!AQ63</f>
        <v>0.828</v>
      </c>
      <c r="AR40" s="383">
        <f>Inputs!AR63</f>
        <v>0.626</v>
      </c>
      <c r="AS40" s="383">
        <f>Inputs!AS63</f>
        <v>0.687</v>
      </c>
      <c r="AT40" s="383">
        <f>Inputs!AT63</f>
        <v>0.853</v>
      </c>
      <c r="AU40" s="383">
        <f>Inputs!AU63</f>
        <v>0.619</v>
      </c>
      <c r="AV40" s="383">
        <f>Inputs!AV63</f>
        <v>0.681</v>
      </c>
      <c r="AW40" s="256"/>
    </row>
    <row r="41">
      <c r="A41" s="122"/>
      <c r="B41" s="123"/>
      <c r="C41" s="131"/>
      <c r="D41" s="131"/>
      <c r="E41" s="254" t="s">
        <v>801</v>
      </c>
      <c r="F41" s="193" t="s">
        <v>72</v>
      </c>
      <c r="G41" s="194" t="s">
        <v>165</v>
      </c>
      <c r="H41" s="343" t="str">
        <f>Inputs!H64</f>
        <v>-</v>
      </c>
      <c r="I41" s="383">
        <f>Inputs!I64</f>
        <v>0.313</v>
      </c>
      <c r="J41" s="383">
        <f>Inputs!J64</f>
        <v>0.369</v>
      </c>
      <c r="K41" s="383">
        <f>Inputs!K64</f>
        <v>0.483</v>
      </c>
      <c r="L41" s="383">
        <f>Inputs!L64</f>
        <v>0.59</v>
      </c>
      <c r="M41" s="383">
        <f>Inputs!M64</f>
        <v>0.399</v>
      </c>
      <c r="N41" s="383">
        <f>Inputs!N64</f>
        <v>0.391</v>
      </c>
      <c r="O41" s="383">
        <f>Inputs!O64</f>
        <v>0.539</v>
      </c>
      <c r="P41" s="383">
        <f>Inputs!P64</f>
        <v>0.1</v>
      </c>
      <c r="Q41" s="383">
        <f>Inputs!Q64</f>
        <v>0.268</v>
      </c>
      <c r="R41" s="383">
        <f>Inputs!R64</f>
        <v>0.665</v>
      </c>
      <c r="S41" s="383">
        <f>Inputs!S64</f>
        <v>0.538</v>
      </c>
      <c r="T41" s="383">
        <f>Inputs!T64</f>
        <v>0.705</v>
      </c>
      <c r="U41" s="383">
        <f>Inputs!U64</f>
        <v>0.736</v>
      </c>
      <c r="V41" s="383">
        <f>Inputs!V64</f>
        <v>0.665</v>
      </c>
      <c r="W41" s="383">
        <f>Inputs!W64</f>
        <v>0.563</v>
      </c>
      <c r="X41" s="383">
        <f>Inputs!X64</f>
        <v>0.305</v>
      </c>
      <c r="Y41" s="383">
        <f>Inputs!Y64</f>
        <v>0.732</v>
      </c>
      <c r="Z41" s="383">
        <f>Inputs!Z64</f>
        <v>0.693</v>
      </c>
      <c r="AA41" s="383">
        <f>Inputs!AA64</f>
        <v>0.987</v>
      </c>
      <c r="AB41" s="383">
        <f>Inputs!AB64</f>
        <v>0.774</v>
      </c>
      <c r="AC41" s="383">
        <f>Inputs!AC64</f>
        <v>0.83</v>
      </c>
      <c r="AD41" s="383">
        <f>Inputs!AD64</f>
        <v>0.906</v>
      </c>
      <c r="AE41" s="383">
        <f>Inputs!AE64</f>
        <v>0.796</v>
      </c>
      <c r="AF41" s="383">
        <f>Inputs!AF64</f>
        <v>0.855</v>
      </c>
      <c r="AG41" s="383">
        <f>Inputs!AG64</f>
        <v>0.59</v>
      </c>
      <c r="AH41" s="383">
        <f>Inputs!AH64</f>
        <v>0.621</v>
      </c>
      <c r="AI41" s="383">
        <f>Inputs!AI64</f>
        <v>0.532</v>
      </c>
      <c r="AJ41" s="383">
        <f>Inputs!AJ64</f>
        <v>0.799</v>
      </c>
      <c r="AK41" s="383">
        <f>Inputs!AK64</f>
        <v>0.507</v>
      </c>
      <c r="AL41" s="383">
        <f>Inputs!AL64</f>
        <v>0.396</v>
      </c>
      <c r="AM41" s="383">
        <f>Inputs!AM64</f>
        <v>0.396</v>
      </c>
      <c r="AN41" s="383">
        <f>Inputs!AN64</f>
        <v>0.396</v>
      </c>
      <c r="AO41" s="383">
        <f>Inputs!AO64</f>
        <v>0.396</v>
      </c>
      <c r="AP41" s="383">
        <f>Inputs!AP64</f>
        <v>0.61</v>
      </c>
      <c r="AQ41" s="383">
        <f>Inputs!AQ64</f>
        <v>0.689</v>
      </c>
      <c r="AR41" s="383">
        <f>Inputs!AR64</f>
        <v>0.57</v>
      </c>
      <c r="AS41" s="383">
        <f>Inputs!AS64</f>
        <v>0.61</v>
      </c>
      <c r="AT41" s="383">
        <f>Inputs!AT64</f>
        <v>0.789</v>
      </c>
      <c r="AU41" s="383">
        <f>Inputs!AU64</f>
        <v>0.504</v>
      </c>
      <c r="AV41" s="383">
        <f>Inputs!AV64</f>
        <v>0.631</v>
      </c>
      <c r="AW41" s="256"/>
    </row>
    <row r="42">
      <c r="A42" s="122"/>
      <c r="B42" s="123"/>
      <c r="C42" s="131"/>
      <c r="D42" s="131"/>
      <c r="E42" s="257" t="s">
        <v>802</v>
      </c>
      <c r="F42" s="213" t="s">
        <v>72</v>
      </c>
      <c r="G42" s="214" t="s">
        <v>165</v>
      </c>
      <c r="H42" s="610" t="str">
        <f>Inputs!H65</f>
        <v>-</v>
      </c>
      <c r="I42" s="241">
        <f>Inputs!I65</f>
        <v>0.308</v>
      </c>
      <c r="J42" s="241">
        <f>Inputs!J65</f>
        <v>0.367</v>
      </c>
      <c r="K42" s="241">
        <f>Inputs!K65</f>
        <v>0.559</v>
      </c>
      <c r="L42" s="383">
        <f>Inputs!L65</f>
        <v>0.567</v>
      </c>
      <c r="M42" s="241">
        <f>Inputs!M65</f>
        <v>0.405</v>
      </c>
      <c r="N42" s="241">
        <f>Inputs!N65</f>
        <v>0.437</v>
      </c>
      <c r="O42" s="241">
        <f>Inputs!O65</f>
        <v>0.632</v>
      </c>
      <c r="P42" s="241">
        <f>Inputs!P65</f>
        <v>0.191</v>
      </c>
      <c r="Q42" s="241">
        <f>Inputs!Q65</f>
        <v>0.46</v>
      </c>
      <c r="R42" s="241">
        <f>Inputs!R65</f>
        <v>0.749</v>
      </c>
      <c r="S42" s="241">
        <f>Inputs!S65</f>
        <v>0.613</v>
      </c>
      <c r="T42" s="241">
        <f>Inputs!T65</f>
        <v>0.72</v>
      </c>
      <c r="U42" s="241">
        <f>Inputs!U65</f>
        <v>0.671</v>
      </c>
      <c r="V42" s="241">
        <f>Inputs!V65</f>
        <v>0.664</v>
      </c>
      <c r="W42" s="241">
        <f>Inputs!W65</f>
        <v>0.68</v>
      </c>
      <c r="X42" s="241">
        <f>Inputs!X65</f>
        <v>0.387</v>
      </c>
      <c r="Y42" s="241">
        <f>Inputs!Y65</f>
        <v>0.796</v>
      </c>
      <c r="Z42" s="241">
        <f>Inputs!Z65</f>
        <v>0.732</v>
      </c>
      <c r="AA42" s="241">
        <f>Inputs!AA65</f>
        <v>0.923</v>
      </c>
      <c r="AB42" s="241">
        <f>Inputs!AB65</f>
        <v>0.798</v>
      </c>
      <c r="AC42" s="241">
        <f>Inputs!AC65</f>
        <v>0.945</v>
      </c>
      <c r="AD42" s="241">
        <f>Inputs!AD65</f>
        <v>0.796</v>
      </c>
      <c r="AE42" s="241">
        <f>Inputs!AE65</f>
        <v>0.895</v>
      </c>
      <c r="AF42" s="241">
        <f>Inputs!AF65</f>
        <v>0.753</v>
      </c>
      <c r="AG42" s="241">
        <f>Inputs!AG65</f>
        <v>0.567</v>
      </c>
      <c r="AH42" s="241">
        <f>Inputs!AH65</f>
        <v>0.723</v>
      </c>
      <c r="AI42" s="241">
        <f>Inputs!AI65</f>
        <v>0.642</v>
      </c>
      <c r="AJ42" s="241">
        <f>Inputs!AJ65</f>
        <v>0.863</v>
      </c>
      <c r="AK42" s="241">
        <f>Inputs!AK65</f>
        <v>0.566</v>
      </c>
      <c r="AL42" s="241">
        <f>Inputs!AL65</f>
        <v>0.546</v>
      </c>
      <c r="AM42" s="241">
        <f>Inputs!AM65</f>
        <v>0.546</v>
      </c>
      <c r="AN42" s="241">
        <f>Inputs!AN65</f>
        <v>0.546</v>
      </c>
      <c r="AO42" s="241">
        <f>Inputs!AO65</f>
        <v>0.56</v>
      </c>
      <c r="AP42" s="241">
        <f>Inputs!AP65</f>
        <v>0.66</v>
      </c>
      <c r="AQ42" s="241">
        <f>Inputs!AQ65</f>
        <v>0.804</v>
      </c>
      <c r="AR42" s="241">
        <f>Inputs!AR65</f>
        <v>0.611</v>
      </c>
      <c r="AS42" s="241">
        <f>Inputs!AS65</f>
        <v>0.703</v>
      </c>
      <c r="AT42" s="241">
        <f>Inputs!AT65</f>
        <v>0.846</v>
      </c>
      <c r="AU42" s="241">
        <f>Inputs!AU65</f>
        <v>0.654</v>
      </c>
      <c r="AV42" s="241">
        <f>Inputs!AV65</f>
        <v>0.713</v>
      </c>
      <c r="AW42" s="259"/>
    </row>
    <row r="43">
      <c r="A43" s="122"/>
      <c r="B43" s="123"/>
      <c r="C43" s="131"/>
      <c r="D43" s="131"/>
      <c r="E43" s="272" t="s">
        <v>803</v>
      </c>
      <c r="F43" s="200" t="s">
        <v>72</v>
      </c>
      <c r="G43" s="201" t="s">
        <v>165</v>
      </c>
      <c r="H43" s="627" t="str">
        <f>Inputs!H66</f>
        <v>-</v>
      </c>
      <c r="I43" s="385">
        <f>Inputs!I66</f>
        <v>0.108</v>
      </c>
      <c r="J43" s="385">
        <f>Inputs!J66</f>
        <v>0.178</v>
      </c>
      <c r="K43" s="385">
        <f>Inputs!K66</f>
        <v>0.327</v>
      </c>
      <c r="L43" s="383">
        <f>Inputs!L66</f>
        <v>0.309</v>
      </c>
      <c r="M43" s="385">
        <f>Inputs!M66</f>
        <v>0.142</v>
      </c>
      <c r="N43" s="385">
        <f>Inputs!N66</f>
        <v>0.247</v>
      </c>
      <c r="O43" s="385">
        <f>Inputs!O66</f>
        <v>0.549</v>
      </c>
      <c r="P43" s="385">
        <f>Inputs!P66</f>
        <v>0.185</v>
      </c>
      <c r="Q43" s="385">
        <f>Inputs!Q66</f>
        <v>0.325</v>
      </c>
      <c r="R43" s="385">
        <f>Inputs!R66</f>
        <v>0.609</v>
      </c>
      <c r="S43" s="385">
        <f>Inputs!S66</f>
        <v>0.305</v>
      </c>
      <c r="T43" s="385">
        <f>Inputs!T66</f>
        <v>0.451</v>
      </c>
      <c r="U43" s="385">
        <f>Inputs!U66</f>
        <v>0.648</v>
      </c>
      <c r="V43" s="385">
        <f>Inputs!V66</f>
        <v>0.567</v>
      </c>
      <c r="W43" s="385">
        <f>Inputs!W66</f>
        <v>0.324</v>
      </c>
      <c r="X43" s="385">
        <f>Inputs!X66</f>
        <v>0.175</v>
      </c>
      <c r="Y43" s="385">
        <f>Inputs!Y66</f>
        <v>0.534</v>
      </c>
      <c r="Z43" s="385">
        <f>Inputs!Z66</f>
        <v>0.511</v>
      </c>
      <c r="AA43" s="385">
        <f>Inputs!AA66</f>
        <v>0.664</v>
      </c>
      <c r="AB43" s="385">
        <f>Inputs!AB66</f>
        <v>0.491</v>
      </c>
      <c r="AC43" s="385">
        <f>Inputs!AC66</f>
        <v>0.655</v>
      </c>
      <c r="AD43" s="385">
        <f>Inputs!AD66</f>
        <v>0.655</v>
      </c>
      <c r="AE43" s="385">
        <f>Inputs!AE66</f>
        <v>0.463</v>
      </c>
      <c r="AF43" s="385">
        <f>Inputs!AF66</f>
        <v>0.405</v>
      </c>
      <c r="AG43" s="385">
        <f>Inputs!AG66</f>
        <v>0.309</v>
      </c>
      <c r="AH43" s="385">
        <f>Inputs!AH66</f>
        <v>0.571</v>
      </c>
      <c r="AI43" s="385">
        <f>Inputs!AI66</f>
        <v>0.34</v>
      </c>
      <c r="AJ43" s="385">
        <f>Inputs!AJ66</f>
        <v>0.675</v>
      </c>
      <c r="AK43" s="385">
        <f>Inputs!AK66</f>
        <v>0.268</v>
      </c>
      <c r="AL43" s="385">
        <f>Inputs!AL66</f>
        <v>0.2</v>
      </c>
      <c r="AM43" s="385">
        <f>Inputs!AM66</f>
        <v>0.2</v>
      </c>
      <c r="AN43" s="385">
        <f>Inputs!AN66</f>
        <v>0.2</v>
      </c>
      <c r="AO43" s="385">
        <f>Inputs!AO66</f>
        <v>0.415</v>
      </c>
      <c r="AP43" s="385">
        <f>Inputs!AP66</f>
        <v>0.497</v>
      </c>
      <c r="AQ43" s="385">
        <f>Inputs!AQ66</f>
        <v>0.542</v>
      </c>
      <c r="AR43" s="385">
        <f>Inputs!AR66</f>
        <v>0.443</v>
      </c>
      <c r="AS43" s="385">
        <f>Inputs!AS66</f>
        <v>0.26</v>
      </c>
      <c r="AT43" s="385">
        <f>Inputs!AT66</f>
        <v>0.536</v>
      </c>
      <c r="AU43" s="385">
        <f>Inputs!AU66</f>
        <v>0.386</v>
      </c>
      <c r="AV43" s="385">
        <f>Inputs!AV66</f>
        <v>0.484</v>
      </c>
      <c r="AW43" s="274"/>
    </row>
    <row r="44">
      <c r="A44" s="122"/>
      <c r="B44" s="123"/>
      <c r="C44" s="131"/>
      <c r="D44" s="131"/>
      <c r="E44" s="269"/>
      <c r="F44" s="125"/>
      <c r="G44" s="132"/>
      <c r="H44" s="127"/>
      <c r="I44" s="128"/>
      <c r="J44" s="128"/>
      <c r="K44" s="128"/>
      <c r="L44" s="128"/>
      <c r="M44" s="128"/>
      <c r="N44" s="128"/>
      <c r="O44" s="128"/>
      <c r="P44" s="128"/>
      <c r="Q44" s="128"/>
      <c r="R44" s="128"/>
      <c r="S44" s="128"/>
      <c r="T44" s="317"/>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30"/>
    </row>
    <row r="45">
      <c r="A45" s="122"/>
      <c r="B45" s="123"/>
      <c r="C45" s="131" t="s">
        <v>804</v>
      </c>
      <c r="F45" s="125"/>
      <c r="G45" s="132"/>
      <c r="H45" s="127"/>
      <c r="I45" s="128"/>
      <c r="J45" s="128"/>
      <c r="K45" s="128"/>
      <c r="L45" s="128"/>
      <c r="M45" s="128"/>
      <c r="N45" s="128"/>
      <c r="O45" s="128"/>
      <c r="P45" s="128"/>
      <c r="Q45" s="128"/>
      <c r="R45" s="128"/>
      <c r="S45" s="128"/>
      <c r="T45" s="317"/>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31"/>
      <c r="D46" s="131"/>
      <c r="E46" s="254" t="s">
        <v>805</v>
      </c>
      <c r="F46" s="193" t="s">
        <v>72</v>
      </c>
      <c r="G46" s="194" t="s">
        <v>165</v>
      </c>
      <c r="H46" s="255">
        <f>Inputs!H76</f>
        <v>0.217176</v>
      </c>
      <c r="I46" s="383" t="str">
        <f>Inputs!I76</f>
        <v>-</v>
      </c>
      <c r="J46" s="383" t="str">
        <f>Inputs!J76</f>
        <v>-</v>
      </c>
      <c r="K46" s="383" t="str">
        <f>Inputs!K76</f>
        <v>-</v>
      </c>
      <c r="L46" s="383" t="str">
        <f>Inputs!L76</f>
        <v>-</v>
      </c>
      <c r="M46" s="383" t="str">
        <f>Inputs!M76</f>
        <v>-</v>
      </c>
      <c r="N46" s="383" t="str">
        <f>Inputs!N76</f>
        <v>-</v>
      </c>
      <c r="O46" s="383" t="str">
        <f>Inputs!O76</f>
        <v>-</v>
      </c>
      <c r="P46" s="383" t="str">
        <f>Inputs!P76</f>
        <v>-</v>
      </c>
      <c r="Q46" s="383" t="str">
        <f>Inputs!Q76</f>
        <v>-</v>
      </c>
      <c r="R46" s="383" t="str">
        <f>Inputs!R76</f>
        <v>-</v>
      </c>
      <c r="S46" s="383" t="str">
        <f>Inputs!S76</f>
        <v>-</v>
      </c>
      <c r="T46" s="383" t="str">
        <f>Inputs!T76</f>
        <v>-</v>
      </c>
      <c r="U46" s="383" t="str">
        <f>Inputs!U76</f>
        <v>-</v>
      </c>
      <c r="V46" s="383" t="str">
        <f>Inputs!V76</f>
        <v>-</v>
      </c>
      <c r="W46" s="383" t="str">
        <f>Inputs!W76</f>
        <v>-</v>
      </c>
      <c r="X46" s="383" t="str">
        <f>Inputs!X76</f>
        <v>-</v>
      </c>
      <c r="Y46" s="383" t="str">
        <f>Inputs!Y76</f>
        <v>-</v>
      </c>
      <c r="Z46" s="383" t="str">
        <f>Inputs!Z76</f>
        <v>-</v>
      </c>
      <c r="AA46" s="383" t="str">
        <f>Inputs!AA76</f>
        <v>-</v>
      </c>
      <c r="AB46" s="383" t="str">
        <f>Inputs!AB76</f>
        <v>-</v>
      </c>
      <c r="AC46" s="383" t="str">
        <f>Inputs!AC76</f>
        <v>-</v>
      </c>
      <c r="AD46" s="383" t="str">
        <f>Inputs!AD76</f>
        <v>-</v>
      </c>
      <c r="AE46" s="383" t="str">
        <f>Inputs!AE76</f>
        <v>-</v>
      </c>
      <c r="AF46" s="383" t="str">
        <f>Inputs!AF76</f>
        <v>-</v>
      </c>
      <c r="AG46" s="383" t="str">
        <f>Inputs!AG76</f>
        <v>-</v>
      </c>
      <c r="AH46" s="383" t="str">
        <f>Inputs!AH76</f>
        <v>-</v>
      </c>
      <c r="AI46" s="383" t="str">
        <f>Inputs!AI76</f>
        <v>-</v>
      </c>
      <c r="AJ46" s="383" t="str">
        <f>Inputs!AJ76</f>
        <v>-</v>
      </c>
      <c r="AK46" s="383" t="str">
        <f>Inputs!AK76</f>
        <v>-</v>
      </c>
      <c r="AL46" s="383" t="str">
        <f>Inputs!AL76</f>
        <v>-</v>
      </c>
      <c r="AM46" s="383" t="str">
        <f>Inputs!AM76</f>
        <v>-</v>
      </c>
      <c r="AN46" s="383" t="str">
        <f>Inputs!AN76</f>
        <v>-</v>
      </c>
      <c r="AO46" s="383" t="str">
        <f>Inputs!AO76</f>
        <v>-</v>
      </c>
      <c r="AP46" s="383" t="str">
        <f>Inputs!AP76</f>
        <v>-</v>
      </c>
      <c r="AQ46" s="383" t="str">
        <f>Inputs!AQ76</f>
        <v>-</v>
      </c>
      <c r="AR46" s="383" t="str">
        <f>Inputs!AR76</f>
        <v>-</v>
      </c>
      <c r="AS46" s="383" t="str">
        <f>Inputs!AS76</f>
        <v>-</v>
      </c>
      <c r="AT46" s="383" t="str">
        <f>Inputs!AT76</f>
        <v>-</v>
      </c>
      <c r="AU46" s="383" t="str">
        <f>Inputs!AU76</f>
        <v>-</v>
      </c>
      <c r="AV46" s="383" t="str">
        <f>Inputs!AV76</f>
        <v>-</v>
      </c>
      <c r="AW46" s="256"/>
    </row>
    <row r="47">
      <c r="A47" s="122"/>
      <c r="B47" s="123"/>
      <c r="C47" s="131"/>
      <c r="D47" s="131"/>
      <c r="E47" s="257" t="s">
        <v>806</v>
      </c>
      <c r="F47" s="213" t="s">
        <v>72</v>
      </c>
      <c r="G47" s="214" t="s">
        <v>161</v>
      </c>
      <c r="H47" s="631">
        <f>H25*H46</f>
        <v>0.00012813384</v>
      </c>
      <c r="I47" s="220" t="s">
        <v>162</v>
      </c>
      <c r="J47" s="220" t="s">
        <v>162</v>
      </c>
      <c r="K47" s="220" t="s">
        <v>162</v>
      </c>
      <c r="L47" s="220" t="s">
        <v>162</v>
      </c>
      <c r="M47" s="220" t="s">
        <v>162</v>
      </c>
      <c r="N47" s="220" t="s">
        <v>162</v>
      </c>
      <c r="O47" s="220" t="s">
        <v>162</v>
      </c>
      <c r="P47" s="220" t="s">
        <v>162</v>
      </c>
      <c r="Q47" s="220" t="s">
        <v>162</v>
      </c>
      <c r="R47" s="220" t="s">
        <v>162</v>
      </c>
      <c r="S47" s="220" t="s">
        <v>162</v>
      </c>
      <c r="T47" s="217" t="s">
        <v>162</v>
      </c>
      <c r="U47" s="220" t="s">
        <v>162</v>
      </c>
      <c r="V47" s="220" t="s">
        <v>162</v>
      </c>
      <c r="W47" s="220" t="s">
        <v>162</v>
      </c>
      <c r="X47" s="220" t="s">
        <v>162</v>
      </c>
      <c r="Y47" s="220" t="s">
        <v>162</v>
      </c>
      <c r="Z47" s="220" t="s">
        <v>162</v>
      </c>
      <c r="AA47" s="220" t="s">
        <v>162</v>
      </c>
      <c r="AB47" s="220" t="s">
        <v>162</v>
      </c>
      <c r="AC47" s="220" t="s">
        <v>162</v>
      </c>
      <c r="AD47" s="220" t="s">
        <v>162</v>
      </c>
      <c r="AE47" s="220" t="s">
        <v>162</v>
      </c>
      <c r="AF47" s="220" t="s">
        <v>162</v>
      </c>
      <c r="AG47" s="220" t="s">
        <v>162</v>
      </c>
      <c r="AH47" s="220" t="s">
        <v>162</v>
      </c>
      <c r="AI47" s="220" t="s">
        <v>162</v>
      </c>
      <c r="AJ47" s="220" t="s">
        <v>162</v>
      </c>
      <c r="AK47" s="220" t="s">
        <v>162</v>
      </c>
      <c r="AL47" s="220" t="s">
        <v>162</v>
      </c>
      <c r="AM47" s="220" t="s">
        <v>162</v>
      </c>
      <c r="AN47" s="220" t="s">
        <v>162</v>
      </c>
      <c r="AO47" s="220" t="s">
        <v>162</v>
      </c>
      <c r="AP47" s="220" t="s">
        <v>162</v>
      </c>
      <c r="AQ47" s="220" t="s">
        <v>162</v>
      </c>
      <c r="AR47" s="220" t="s">
        <v>162</v>
      </c>
      <c r="AS47" s="220" t="s">
        <v>162</v>
      </c>
      <c r="AT47" s="220" t="s">
        <v>162</v>
      </c>
      <c r="AU47" s="220" t="s">
        <v>162</v>
      </c>
      <c r="AV47" s="220" t="s">
        <v>162</v>
      </c>
      <c r="AW47" s="259"/>
    </row>
    <row r="48">
      <c r="A48" s="122"/>
      <c r="B48" s="123"/>
      <c r="C48" s="131"/>
      <c r="D48" s="131"/>
      <c r="E48" s="257" t="s">
        <v>807</v>
      </c>
      <c r="F48" s="213" t="s">
        <v>72</v>
      </c>
      <c r="G48" s="214" t="s">
        <v>161</v>
      </c>
      <c r="H48" s="240" t="s">
        <v>162</v>
      </c>
      <c r="I48" s="241">
        <f t="shared" ref="I48:AV48" si="9">I35*(1+$H$47)</f>
        <v>0.4910629137</v>
      </c>
      <c r="J48" s="241">
        <f t="shared" si="9"/>
        <v>0.590075599</v>
      </c>
      <c r="K48" s="241">
        <f t="shared" si="9"/>
        <v>0.635081365</v>
      </c>
      <c r="L48" s="241">
        <f t="shared" si="9"/>
        <v>0.7811000725</v>
      </c>
      <c r="M48" s="241">
        <f t="shared" si="9"/>
        <v>0.6030772647</v>
      </c>
      <c r="N48" s="241">
        <f t="shared" si="9"/>
        <v>0.5690729082</v>
      </c>
      <c r="O48" s="241">
        <f t="shared" si="9"/>
        <v>0.6360814931</v>
      </c>
      <c r="P48" s="241">
        <f t="shared" si="9"/>
        <v>0.3370431811</v>
      </c>
      <c r="Q48" s="241">
        <f t="shared" si="9"/>
        <v>0.508065092</v>
      </c>
      <c r="R48" s="241">
        <f t="shared" si="9"/>
        <v>0.9051159611</v>
      </c>
      <c r="S48" s="241">
        <f t="shared" si="9"/>
        <v>0.8361071199</v>
      </c>
      <c r="T48" s="241">
        <f t="shared" si="9"/>
        <v>0.8561096826</v>
      </c>
      <c r="U48" s="241">
        <f t="shared" si="9"/>
        <v>0.844108145</v>
      </c>
      <c r="V48" s="241">
        <f t="shared" si="9"/>
        <v>0.7891010976</v>
      </c>
      <c r="W48" s="241">
        <f t="shared" si="9"/>
        <v>0.8171046853</v>
      </c>
      <c r="X48" s="241">
        <f t="shared" si="9"/>
        <v>0.6480830307</v>
      </c>
      <c r="Y48" s="241">
        <f t="shared" si="9"/>
        <v>0.9311192926</v>
      </c>
      <c r="Z48" s="241">
        <f t="shared" si="9"/>
        <v>0.8351069918</v>
      </c>
      <c r="AA48" s="241">
        <f t="shared" si="9"/>
        <v>0.9931272369</v>
      </c>
      <c r="AB48" s="241">
        <f t="shared" si="9"/>
        <v>0.9231182675</v>
      </c>
      <c r="AC48" s="241">
        <f t="shared" si="9"/>
        <v>0.9901268525</v>
      </c>
      <c r="AD48" s="241">
        <f t="shared" si="9"/>
        <v>0.9911269806</v>
      </c>
      <c r="AE48" s="241">
        <f t="shared" si="9"/>
        <v>0.9521219834</v>
      </c>
      <c r="AF48" s="241">
        <f t="shared" si="9"/>
        <v>0.9471213427</v>
      </c>
      <c r="AG48" s="241">
        <f t="shared" si="9"/>
        <v>0.7811000725</v>
      </c>
      <c r="AH48" s="241">
        <f t="shared" si="9"/>
        <v>0.9231182675</v>
      </c>
      <c r="AI48" s="241">
        <f t="shared" si="9"/>
        <v>0.7230926408</v>
      </c>
      <c r="AJ48" s="241">
        <f t="shared" si="9"/>
        <v>0.9441209583</v>
      </c>
      <c r="AK48" s="241">
        <f t="shared" si="9"/>
        <v>0.792101482</v>
      </c>
      <c r="AL48" s="241">
        <f t="shared" si="9"/>
        <v>0.6670854653</v>
      </c>
      <c r="AM48" s="241">
        <f t="shared" si="9"/>
        <v>0.6670854653</v>
      </c>
      <c r="AN48" s="241">
        <f t="shared" si="9"/>
        <v>0.6670854653</v>
      </c>
      <c r="AO48" s="241">
        <f t="shared" si="9"/>
        <v>0.7230926408</v>
      </c>
      <c r="AP48" s="241">
        <f t="shared" si="9"/>
        <v>0.7510962285</v>
      </c>
      <c r="AQ48" s="241">
        <f t="shared" si="9"/>
        <v>0.9301191645</v>
      </c>
      <c r="AR48" s="241">
        <f t="shared" si="9"/>
        <v>0.8251057104</v>
      </c>
      <c r="AS48" s="241">
        <f t="shared" si="9"/>
        <v>0.8771123734</v>
      </c>
      <c r="AT48" s="241">
        <f t="shared" si="9"/>
        <v>0.9031157049</v>
      </c>
      <c r="AU48" s="241">
        <f t="shared" si="9"/>
        <v>0.7110911032</v>
      </c>
      <c r="AV48" s="241">
        <f t="shared" si="9"/>
        <v>0.7520963566</v>
      </c>
      <c r="AW48" s="259"/>
    </row>
    <row r="49">
      <c r="A49" s="122"/>
      <c r="B49" s="123"/>
      <c r="C49" s="131"/>
      <c r="D49" s="131"/>
      <c r="E49" s="257" t="s">
        <v>808</v>
      </c>
      <c r="F49" s="213" t="s">
        <v>72</v>
      </c>
      <c r="G49" s="214" t="s">
        <v>161</v>
      </c>
      <c r="H49" s="240" t="s">
        <v>162</v>
      </c>
      <c r="I49" s="241">
        <f t="shared" ref="I49:AV49" si="10">I36*(1+$H$47)</f>
        <v>0.4230542006</v>
      </c>
      <c r="J49" s="241">
        <f t="shared" si="10"/>
        <v>0.5420694485</v>
      </c>
      <c r="K49" s="241">
        <f t="shared" si="10"/>
        <v>0.6140786742</v>
      </c>
      <c r="L49" s="241">
        <f t="shared" si="10"/>
        <v>0.7260930252</v>
      </c>
      <c r="M49" s="241">
        <f t="shared" si="10"/>
        <v>0.5490703455</v>
      </c>
      <c r="N49" s="241">
        <f t="shared" si="10"/>
        <v>0.5300679109</v>
      </c>
      <c r="O49" s="241">
        <f t="shared" si="10"/>
        <v>0.5950762396</v>
      </c>
      <c r="P49" s="241">
        <f t="shared" si="10"/>
        <v>0.2880369025</v>
      </c>
      <c r="Q49" s="241">
        <f t="shared" si="10"/>
        <v>0.4500576602</v>
      </c>
      <c r="R49" s="241">
        <f t="shared" si="10"/>
        <v>0.882113014</v>
      </c>
      <c r="S49" s="241">
        <f t="shared" si="10"/>
        <v>0.7500961004</v>
      </c>
      <c r="T49" s="241">
        <f t="shared" si="10"/>
        <v>0.8621104514</v>
      </c>
      <c r="U49" s="241">
        <f t="shared" si="10"/>
        <v>0.829106223</v>
      </c>
      <c r="V49" s="241">
        <f t="shared" si="10"/>
        <v>0.7750993037</v>
      </c>
      <c r="W49" s="241">
        <f t="shared" si="10"/>
        <v>0.8081035321</v>
      </c>
      <c r="X49" s="241">
        <f t="shared" si="10"/>
        <v>0.5790741895</v>
      </c>
      <c r="Y49" s="241">
        <f t="shared" si="10"/>
        <v>0.9311192926</v>
      </c>
      <c r="Z49" s="241">
        <f t="shared" si="10"/>
        <v>0.8101037884</v>
      </c>
      <c r="AA49" s="241">
        <f t="shared" si="10"/>
        <v>0.9911269806</v>
      </c>
      <c r="AB49" s="241">
        <f t="shared" si="10"/>
        <v>0.9221181394</v>
      </c>
      <c r="AC49" s="241">
        <f t="shared" si="10"/>
        <v>0.9461212146</v>
      </c>
      <c r="AD49" s="241">
        <f t="shared" si="10"/>
        <v>0.9851262118</v>
      </c>
      <c r="AE49" s="241">
        <f t="shared" si="10"/>
        <v>0.9051159611</v>
      </c>
      <c r="AF49" s="241">
        <f t="shared" si="10"/>
        <v>0.9411205739</v>
      </c>
      <c r="AG49" s="241">
        <f t="shared" si="10"/>
        <v>0.7260930252</v>
      </c>
      <c r="AH49" s="241">
        <f t="shared" si="10"/>
        <v>0.8621104514</v>
      </c>
      <c r="AI49" s="241">
        <f t="shared" si="10"/>
        <v>0.6630849527</v>
      </c>
      <c r="AJ49" s="241">
        <f t="shared" si="10"/>
        <v>0.9241183957</v>
      </c>
      <c r="AK49" s="241">
        <f t="shared" si="10"/>
        <v>0.7190921282</v>
      </c>
      <c r="AL49" s="241">
        <f t="shared" si="10"/>
        <v>0.6210795711</v>
      </c>
      <c r="AM49" s="241">
        <f t="shared" si="10"/>
        <v>0.6210795711</v>
      </c>
      <c r="AN49" s="241">
        <f t="shared" si="10"/>
        <v>0.6210795711</v>
      </c>
      <c r="AO49" s="241">
        <f t="shared" si="10"/>
        <v>0.6670854653</v>
      </c>
      <c r="AP49" s="241">
        <f t="shared" si="10"/>
        <v>0.7340940502</v>
      </c>
      <c r="AQ49" s="241">
        <f t="shared" si="10"/>
        <v>0.9141171143</v>
      </c>
      <c r="AR49" s="241">
        <f t="shared" si="10"/>
        <v>0.7560968692</v>
      </c>
      <c r="AS49" s="241">
        <f t="shared" si="10"/>
        <v>0.8001025071</v>
      </c>
      <c r="AT49" s="241">
        <f t="shared" si="10"/>
        <v>0.8961148079</v>
      </c>
      <c r="AU49" s="241">
        <f t="shared" si="10"/>
        <v>0.7150916157</v>
      </c>
      <c r="AV49" s="241">
        <f t="shared" si="10"/>
        <v>0.7380945628</v>
      </c>
      <c r="AW49" s="259"/>
    </row>
    <row r="50">
      <c r="A50" s="122"/>
      <c r="B50" s="123"/>
      <c r="C50" s="131"/>
      <c r="D50" s="131"/>
      <c r="E50" s="257" t="s">
        <v>809</v>
      </c>
      <c r="F50" s="213" t="s">
        <v>72</v>
      </c>
      <c r="G50" s="214" t="s">
        <v>161</v>
      </c>
      <c r="H50" s="240" t="s">
        <v>162</v>
      </c>
      <c r="I50" s="241">
        <f t="shared" ref="I50:AV50" si="11">I37*(1+$H$47)</f>
        <v>0.3760481783</v>
      </c>
      <c r="J50" s="241">
        <f t="shared" si="11"/>
        <v>0.5120656045</v>
      </c>
      <c r="K50" s="241">
        <f t="shared" si="11"/>
        <v>0.5640722675</v>
      </c>
      <c r="L50" s="241">
        <f t="shared" si="11"/>
        <v>0.665085209</v>
      </c>
      <c r="M50" s="241">
        <f t="shared" si="11"/>
        <v>0.4700602229</v>
      </c>
      <c r="N50" s="241">
        <f t="shared" si="11"/>
        <v>0.4660597104</v>
      </c>
      <c r="O50" s="241">
        <f t="shared" si="11"/>
        <v>0.5840748302</v>
      </c>
      <c r="P50" s="241">
        <f t="shared" si="11"/>
        <v>0.1840235766</v>
      </c>
      <c r="Q50" s="241">
        <f t="shared" si="11"/>
        <v>0.3530452312</v>
      </c>
      <c r="R50" s="241">
        <f t="shared" si="11"/>
        <v>0.8601101951</v>
      </c>
      <c r="S50" s="241">
        <f t="shared" si="11"/>
        <v>0.6660853371</v>
      </c>
      <c r="T50" s="241">
        <f t="shared" si="11"/>
        <v>0.8231054542</v>
      </c>
      <c r="U50" s="241">
        <f t="shared" si="11"/>
        <v>0.7540966129</v>
      </c>
      <c r="V50" s="241">
        <f t="shared" si="11"/>
        <v>0.7600973817</v>
      </c>
      <c r="W50" s="241">
        <f t="shared" si="11"/>
        <v>0.7450954597</v>
      </c>
      <c r="X50" s="241">
        <f t="shared" si="11"/>
        <v>0.4530580446</v>
      </c>
      <c r="Y50" s="241">
        <f t="shared" si="11"/>
        <v>0.9181176269</v>
      </c>
      <c r="Z50" s="241">
        <f t="shared" si="11"/>
        <v>0.755096741</v>
      </c>
      <c r="AA50" s="241">
        <f t="shared" si="11"/>
        <v>0.9901268525</v>
      </c>
      <c r="AB50" s="241">
        <f t="shared" si="11"/>
        <v>0.9081163455</v>
      </c>
      <c r="AC50" s="241">
        <f t="shared" si="11"/>
        <v>0.9431208302</v>
      </c>
      <c r="AD50" s="241">
        <f t="shared" si="11"/>
        <v>0.9671239054</v>
      </c>
      <c r="AE50" s="241">
        <f t="shared" si="11"/>
        <v>0.8721117327</v>
      </c>
      <c r="AF50" s="241">
        <f t="shared" si="11"/>
        <v>0.9321194207</v>
      </c>
      <c r="AG50" s="241">
        <f t="shared" si="11"/>
        <v>0.665085209</v>
      </c>
      <c r="AH50" s="241">
        <f t="shared" si="11"/>
        <v>0.740094819</v>
      </c>
      <c r="AI50" s="241">
        <f t="shared" si="11"/>
        <v>0.6410821338</v>
      </c>
      <c r="AJ50" s="241">
        <f t="shared" si="11"/>
        <v>0.9011154486</v>
      </c>
      <c r="AK50" s="241">
        <f t="shared" si="11"/>
        <v>0.6470829026</v>
      </c>
      <c r="AL50" s="241">
        <f t="shared" si="11"/>
        <v>0.4970636825</v>
      </c>
      <c r="AM50" s="241">
        <f t="shared" si="11"/>
        <v>0.4970636825</v>
      </c>
      <c r="AN50" s="241">
        <f t="shared" si="11"/>
        <v>0.4970636825</v>
      </c>
      <c r="AO50" s="241">
        <f t="shared" si="11"/>
        <v>0.5800743176</v>
      </c>
      <c r="AP50" s="241">
        <f t="shared" si="11"/>
        <v>0.6820873873</v>
      </c>
      <c r="AQ50" s="241">
        <f t="shared" si="11"/>
        <v>0.882113014</v>
      </c>
      <c r="AR50" s="241">
        <f t="shared" si="11"/>
        <v>0.6420822619</v>
      </c>
      <c r="AS50" s="241">
        <f t="shared" si="11"/>
        <v>0.7790998163</v>
      </c>
      <c r="AT50" s="241">
        <f t="shared" si="11"/>
        <v>0.8711116046</v>
      </c>
      <c r="AU50" s="241">
        <f t="shared" si="11"/>
        <v>0.6530836714</v>
      </c>
      <c r="AV50" s="241">
        <f t="shared" si="11"/>
        <v>0.7120912313</v>
      </c>
      <c r="AW50" s="259"/>
    </row>
    <row r="51">
      <c r="A51" s="122"/>
      <c r="B51" s="123"/>
      <c r="C51" s="131"/>
      <c r="D51" s="131"/>
      <c r="E51" s="257" t="s">
        <v>810</v>
      </c>
      <c r="F51" s="213" t="s">
        <v>72</v>
      </c>
      <c r="G51" s="214" t="s">
        <v>161</v>
      </c>
      <c r="H51" s="240" t="s">
        <v>162</v>
      </c>
      <c r="I51" s="241">
        <f t="shared" ref="I51:AV51" si="12">I38*(1+$H$47)</f>
        <v>0.3130401059</v>
      </c>
      <c r="J51" s="241">
        <f t="shared" si="12"/>
        <v>0.3800486909</v>
      </c>
      <c r="K51" s="241">
        <f t="shared" si="12"/>
        <v>0.4880625293</v>
      </c>
      <c r="L51" s="241">
        <f t="shared" si="12"/>
        <v>0.6030772647</v>
      </c>
      <c r="M51" s="241">
        <f t="shared" si="12"/>
        <v>0.4240543287</v>
      </c>
      <c r="N51" s="241">
        <f t="shared" si="12"/>
        <v>0.4120527911</v>
      </c>
      <c r="O51" s="241">
        <f t="shared" si="12"/>
        <v>0.5510706017</v>
      </c>
      <c r="P51" s="241">
        <f t="shared" si="12"/>
        <v>0.1150147354</v>
      </c>
      <c r="Q51" s="241">
        <f t="shared" si="12"/>
        <v>0.2480317772</v>
      </c>
      <c r="R51" s="241">
        <f t="shared" si="12"/>
        <v>0.7500961004</v>
      </c>
      <c r="S51" s="241">
        <f t="shared" si="12"/>
        <v>0.5390690641</v>
      </c>
      <c r="T51" s="241">
        <f t="shared" si="12"/>
        <v>0.7310936658</v>
      </c>
      <c r="U51" s="241">
        <f t="shared" si="12"/>
        <v>0.7360943065</v>
      </c>
      <c r="V51" s="241">
        <f t="shared" si="12"/>
        <v>0.70208995</v>
      </c>
      <c r="W51" s="241">
        <f t="shared" si="12"/>
        <v>0.6280804681</v>
      </c>
      <c r="X51" s="241">
        <f t="shared" si="12"/>
        <v>0.3010385683</v>
      </c>
      <c r="Y51" s="241">
        <f t="shared" si="12"/>
        <v>0.7500961004</v>
      </c>
      <c r="Z51" s="241">
        <f t="shared" si="12"/>
        <v>0.6990895656</v>
      </c>
      <c r="AA51" s="241">
        <f t="shared" si="12"/>
        <v>0.9871264681</v>
      </c>
      <c r="AB51" s="241">
        <f t="shared" si="12"/>
        <v>0.8271059667</v>
      </c>
      <c r="AC51" s="241">
        <f t="shared" si="12"/>
        <v>0.8491087856</v>
      </c>
      <c r="AD51" s="241">
        <f t="shared" si="12"/>
        <v>0.9081163455</v>
      </c>
      <c r="AE51" s="241">
        <f t="shared" si="12"/>
        <v>0.7961019945</v>
      </c>
      <c r="AF51" s="241">
        <f t="shared" si="12"/>
        <v>0.8881137828</v>
      </c>
      <c r="AG51" s="241">
        <f t="shared" si="12"/>
        <v>0.6030772647</v>
      </c>
      <c r="AH51" s="241">
        <f t="shared" si="12"/>
        <v>0.6320809806</v>
      </c>
      <c r="AI51" s="241">
        <f t="shared" si="12"/>
        <v>0.5510706017</v>
      </c>
      <c r="AJ51" s="241">
        <f t="shared" si="12"/>
        <v>0.8471085294</v>
      </c>
      <c r="AK51" s="241">
        <f t="shared" si="12"/>
        <v>0.5400691923</v>
      </c>
      <c r="AL51" s="241">
        <f t="shared" si="12"/>
        <v>0.3940504847</v>
      </c>
      <c r="AM51" s="241">
        <f t="shared" si="12"/>
        <v>0.3940504847</v>
      </c>
      <c r="AN51" s="241">
        <f t="shared" si="12"/>
        <v>0.3940504847</v>
      </c>
      <c r="AO51" s="241">
        <f t="shared" si="12"/>
        <v>0.4130529193</v>
      </c>
      <c r="AP51" s="241">
        <f t="shared" si="12"/>
        <v>0.6260802118</v>
      </c>
      <c r="AQ51" s="241">
        <f t="shared" si="12"/>
        <v>0.8151044291</v>
      </c>
      <c r="AR51" s="241">
        <f t="shared" si="12"/>
        <v>0.5690729082</v>
      </c>
      <c r="AS51" s="241">
        <f t="shared" si="12"/>
        <v>0.6540837995</v>
      </c>
      <c r="AT51" s="241">
        <f t="shared" si="12"/>
        <v>0.7811000725</v>
      </c>
      <c r="AU51" s="241">
        <f t="shared" si="12"/>
        <v>0.5240671421</v>
      </c>
      <c r="AV51" s="241">
        <f t="shared" si="12"/>
        <v>0.6420822619</v>
      </c>
      <c r="AW51" s="259"/>
    </row>
    <row r="52">
      <c r="A52" s="122"/>
      <c r="B52" s="123"/>
      <c r="C52" s="131"/>
      <c r="D52" s="131"/>
      <c r="E52" s="257" t="s">
        <v>811</v>
      </c>
      <c r="F52" s="213" t="s">
        <v>72</v>
      </c>
      <c r="G52" s="214" t="s">
        <v>161</v>
      </c>
      <c r="H52" s="240" t="s">
        <v>162</v>
      </c>
      <c r="I52" s="241">
        <f t="shared" ref="I52:AV52" si="13">I39*(1+$H$47)</f>
        <v>0.4150531755</v>
      </c>
      <c r="J52" s="241">
        <f t="shared" si="13"/>
        <v>0.5220668859</v>
      </c>
      <c r="K52" s="241">
        <f t="shared" si="13"/>
        <v>0.6060776491</v>
      </c>
      <c r="L52" s="241">
        <f t="shared" si="13"/>
        <v>0.7200922564</v>
      </c>
      <c r="M52" s="241">
        <f t="shared" si="13"/>
        <v>0.5440697048</v>
      </c>
      <c r="N52" s="241">
        <f t="shared" si="13"/>
        <v>0.5180663733</v>
      </c>
      <c r="O52" s="241">
        <f t="shared" si="13"/>
        <v>0.5960763678</v>
      </c>
      <c r="P52" s="241">
        <f t="shared" si="13"/>
        <v>0.2180279332</v>
      </c>
      <c r="Q52" s="241">
        <f t="shared" si="13"/>
        <v>0.4590588134</v>
      </c>
      <c r="R52" s="241">
        <f t="shared" si="13"/>
        <v>0.8881137828</v>
      </c>
      <c r="S52" s="241">
        <f t="shared" si="13"/>
        <v>0.747095716</v>
      </c>
      <c r="T52" s="241">
        <f t="shared" si="13"/>
        <v>0.8431080168</v>
      </c>
      <c r="U52" s="241">
        <f t="shared" si="13"/>
        <v>0.829106223</v>
      </c>
      <c r="V52" s="241">
        <f t="shared" si="13"/>
        <v>0.7710987912</v>
      </c>
      <c r="W52" s="241">
        <f t="shared" si="13"/>
        <v>0.7881009695</v>
      </c>
      <c r="X52" s="241">
        <f t="shared" si="13"/>
        <v>0.5390690641</v>
      </c>
      <c r="Y52" s="241">
        <f t="shared" si="13"/>
        <v>0.9311192926</v>
      </c>
      <c r="Z52" s="241">
        <f t="shared" si="13"/>
        <v>0.792101482</v>
      </c>
      <c r="AA52" s="241">
        <f t="shared" si="13"/>
        <v>0.9921271088</v>
      </c>
      <c r="AB52" s="241">
        <f t="shared" si="13"/>
        <v>0.8951146798</v>
      </c>
      <c r="AC52" s="241">
        <f t="shared" si="13"/>
        <v>0.956122496</v>
      </c>
      <c r="AD52" s="241">
        <f t="shared" si="13"/>
        <v>0.9851262118</v>
      </c>
      <c r="AE52" s="241">
        <f t="shared" si="13"/>
        <v>0.9131169862</v>
      </c>
      <c r="AF52" s="241">
        <f t="shared" si="13"/>
        <v>0.9351198051</v>
      </c>
      <c r="AG52" s="241">
        <f t="shared" si="13"/>
        <v>0.7200922564</v>
      </c>
      <c r="AH52" s="241">
        <f t="shared" si="13"/>
        <v>0.8471085294</v>
      </c>
      <c r="AI52" s="241">
        <f t="shared" si="13"/>
        <v>0.6360814931</v>
      </c>
      <c r="AJ52" s="241">
        <f t="shared" si="13"/>
        <v>0.9241183957</v>
      </c>
      <c r="AK52" s="241">
        <f t="shared" si="13"/>
        <v>0.7090908469</v>
      </c>
      <c r="AL52" s="241">
        <f t="shared" si="13"/>
        <v>0.575073677</v>
      </c>
      <c r="AM52" s="241">
        <f t="shared" si="13"/>
        <v>0.575073677</v>
      </c>
      <c r="AN52" s="241">
        <f t="shared" si="13"/>
        <v>0.575073677</v>
      </c>
      <c r="AO52" s="241">
        <f t="shared" si="13"/>
        <v>0.6470829026</v>
      </c>
      <c r="AP52" s="241">
        <f t="shared" si="13"/>
        <v>0.7210923845</v>
      </c>
      <c r="AQ52" s="241">
        <f t="shared" si="13"/>
        <v>0.9061160893</v>
      </c>
      <c r="AR52" s="241">
        <f t="shared" si="13"/>
        <v>0.7510962285</v>
      </c>
      <c r="AS52" s="241">
        <f t="shared" si="13"/>
        <v>0.7861007132</v>
      </c>
      <c r="AT52" s="241">
        <f t="shared" si="13"/>
        <v>0.8951146798</v>
      </c>
      <c r="AU52" s="241">
        <f t="shared" si="13"/>
        <v>0.7080907188</v>
      </c>
      <c r="AV52" s="241">
        <f t="shared" si="13"/>
        <v>0.7200922564</v>
      </c>
      <c r="AW52" s="259"/>
    </row>
    <row r="53">
      <c r="A53" s="122"/>
      <c r="B53" s="123"/>
      <c r="C53" s="131"/>
      <c r="D53" s="131"/>
      <c r="E53" s="257" t="s">
        <v>812</v>
      </c>
      <c r="F53" s="213" t="s">
        <v>72</v>
      </c>
      <c r="G53" s="214" t="s">
        <v>161</v>
      </c>
      <c r="H53" s="240" t="s">
        <v>162</v>
      </c>
      <c r="I53" s="241">
        <f t="shared" ref="I53:AV53" si="14">I40*(1+$H$47)</f>
        <v>0.3800486909</v>
      </c>
      <c r="J53" s="241">
        <f t="shared" si="14"/>
        <v>0.4670598385</v>
      </c>
      <c r="K53" s="241">
        <f t="shared" si="14"/>
        <v>0.5550711143</v>
      </c>
      <c r="L53" s="241">
        <f t="shared" si="14"/>
        <v>0.6470829026</v>
      </c>
      <c r="M53" s="241">
        <f t="shared" si="14"/>
        <v>0.4660597104</v>
      </c>
      <c r="N53" s="241">
        <f t="shared" si="14"/>
        <v>0.4390562508</v>
      </c>
      <c r="O53" s="241">
        <f t="shared" si="14"/>
        <v>0.5690729082</v>
      </c>
      <c r="P53" s="241">
        <f t="shared" si="14"/>
        <v>0.142018195</v>
      </c>
      <c r="Q53" s="241">
        <f t="shared" si="14"/>
        <v>0.3550454875</v>
      </c>
      <c r="R53" s="241">
        <f t="shared" si="14"/>
        <v>0.8511090419</v>
      </c>
      <c r="S53" s="241">
        <f t="shared" si="14"/>
        <v>0.6690857215</v>
      </c>
      <c r="T53" s="241">
        <f t="shared" si="14"/>
        <v>0.8161045572</v>
      </c>
      <c r="U53" s="241">
        <f t="shared" si="14"/>
        <v>0.7500961004</v>
      </c>
      <c r="V53" s="241">
        <f t="shared" si="14"/>
        <v>0.7510962285</v>
      </c>
      <c r="W53" s="241">
        <f t="shared" si="14"/>
        <v>0.7110911032</v>
      </c>
      <c r="X53" s="241">
        <f t="shared" si="14"/>
        <v>0.3780484346</v>
      </c>
      <c r="Y53" s="241">
        <f t="shared" si="14"/>
        <v>0.9181176269</v>
      </c>
      <c r="Z53" s="241">
        <f t="shared" si="14"/>
        <v>0.7340940502</v>
      </c>
      <c r="AA53" s="241">
        <f t="shared" si="14"/>
        <v>0.9901268525</v>
      </c>
      <c r="AB53" s="241">
        <f t="shared" si="14"/>
        <v>0.8551095544</v>
      </c>
      <c r="AC53" s="241">
        <f t="shared" si="14"/>
        <v>0.8951146798</v>
      </c>
      <c r="AD53" s="241">
        <f t="shared" si="14"/>
        <v>0.9591228804</v>
      </c>
      <c r="AE53" s="241">
        <f t="shared" si="14"/>
        <v>0.8721117327</v>
      </c>
      <c r="AF53" s="241">
        <f t="shared" si="14"/>
        <v>0.9121168581</v>
      </c>
      <c r="AG53" s="241">
        <f t="shared" si="14"/>
        <v>0.6470829026</v>
      </c>
      <c r="AH53" s="241">
        <f t="shared" si="14"/>
        <v>0.7190921282</v>
      </c>
      <c r="AI53" s="241">
        <f t="shared" si="14"/>
        <v>0.6070777772</v>
      </c>
      <c r="AJ53" s="241">
        <f t="shared" si="14"/>
        <v>0.8861135266</v>
      </c>
      <c r="AK53" s="241">
        <f t="shared" si="14"/>
        <v>0.6340812369</v>
      </c>
      <c r="AL53" s="241">
        <f t="shared" si="14"/>
        <v>0.4980638107</v>
      </c>
      <c r="AM53" s="241">
        <f t="shared" si="14"/>
        <v>0.4980638107</v>
      </c>
      <c r="AN53" s="241">
        <f t="shared" si="14"/>
        <v>0.4980638107</v>
      </c>
      <c r="AO53" s="241">
        <f t="shared" si="14"/>
        <v>0.5660725238</v>
      </c>
      <c r="AP53" s="241">
        <f t="shared" si="14"/>
        <v>0.6560840558</v>
      </c>
      <c r="AQ53" s="241">
        <f t="shared" si="14"/>
        <v>0.8281060948</v>
      </c>
      <c r="AR53" s="241">
        <f t="shared" si="14"/>
        <v>0.6260802118</v>
      </c>
      <c r="AS53" s="241">
        <f t="shared" si="14"/>
        <v>0.6870880279</v>
      </c>
      <c r="AT53" s="241">
        <f t="shared" si="14"/>
        <v>0.8531092982</v>
      </c>
      <c r="AU53" s="241">
        <f t="shared" si="14"/>
        <v>0.6190793148</v>
      </c>
      <c r="AV53" s="241">
        <f t="shared" si="14"/>
        <v>0.6810872591</v>
      </c>
      <c r="AW53" s="259"/>
    </row>
    <row r="54">
      <c r="A54" s="122"/>
      <c r="B54" s="123"/>
      <c r="C54" s="131"/>
      <c r="D54" s="131"/>
      <c r="E54" s="257" t="s">
        <v>813</v>
      </c>
      <c r="F54" s="213" t="s">
        <v>72</v>
      </c>
      <c r="G54" s="214" t="s">
        <v>161</v>
      </c>
      <c r="H54" s="240" t="s">
        <v>162</v>
      </c>
      <c r="I54" s="241">
        <f t="shared" ref="I54:AV54" si="15">I41*(1+$H$47)</f>
        <v>0.3130401059</v>
      </c>
      <c r="J54" s="241">
        <f t="shared" si="15"/>
        <v>0.3690472814</v>
      </c>
      <c r="K54" s="241">
        <f t="shared" si="15"/>
        <v>0.4830618886</v>
      </c>
      <c r="L54" s="241">
        <f t="shared" si="15"/>
        <v>0.590075599</v>
      </c>
      <c r="M54" s="241">
        <f t="shared" si="15"/>
        <v>0.3990511254</v>
      </c>
      <c r="N54" s="241">
        <f t="shared" si="15"/>
        <v>0.3910501003</v>
      </c>
      <c r="O54" s="241">
        <f t="shared" si="15"/>
        <v>0.5390690641</v>
      </c>
      <c r="P54" s="241">
        <f t="shared" si="15"/>
        <v>0.1000128134</v>
      </c>
      <c r="Q54" s="241">
        <f t="shared" si="15"/>
        <v>0.2680343399</v>
      </c>
      <c r="R54" s="241">
        <f t="shared" si="15"/>
        <v>0.665085209</v>
      </c>
      <c r="S54" s="241">
        <f t="shared" si="15"/>
        <v>0.538068936</v>
      </c>
      <c r="T54" s="241">
        <f t="shared" si="15"/>
        <v>0.7050903344</v>
      </c>
      <c r="U54" s="241">
        <f t="shared" si="15"/>
        <v>0.7360943065</v>
      </c>
      <c r="V54" s="241">
        <f t="shared" si="15"/>
        <v>0.665085209</v>
      </c>
      <c r="W54" s="241">
        <f t="shared" si="15"/>
        <v>0.5630721394</v>
      </c>
      <c r="X54" s="241">
        <f t="shared" si="15"/>
        <v>0.3050390808</v>
      </c>
      <c r="Y54" s="241">
        <f t="shared" si="15"/>
        <v>0.732093794</v>
      </c>
      <c r="Z54" s="241">
        <f t="shared" si="15"/>
        <v>0.6930887968</v>
      </c>
      <c r="AA54" s="241">
        <f t="shared" si="15"/>
        <v>0.9871264681</v>
      </c>
      <c r="AB54" s="241">
        <f t="shared" si="15"/>
        <v>0.7740991756</v>
      </c>
      <c r="AC54" s="241">
        <f t="shared" si="15"/>
        <v>0.8301063511</v>
      </c>
      <c r="AD54" s="241">
        <f t="shared" si="15"/>
        <v>0.9061160893</v>
      </c>
      <c r="AE54" s="241">
        <f t="shared" si="15"/>
        <v>0.7961019945</v>
      </c>
      <c r="AF54" s="241">
        <f t="shared" si="15"/>
        <v>0.8551095544</v>
      </c>
      <c r="AG54" s="241">
        <f t="shared" si="15"/>
        <v>0.590075599</v>
      </c>
      <c r="AH54" s="241">
        <f t="shared" si="15"/>
        <v>0.6210795711</v>
      </c>
      <c r="AI54" s="241">
        <f t="shared" si="15"/>
        <v>0.5320681672</v>
      </c>
      <c r="AJ54" s="241">
        <f t="shared" si="15"/>
        <v>0.7991023789</v>
      </c>
      <c r="AK54" s="241">
        <f t="shared" si="15"/>
        <v>0.5070649639</v>
      </c>
      <c r="AL54" s="241">
        <f t="shared" si="15"/>
        <v>0.396050741</v>
      </c>
      <c r="AM54" s="241">
        <f t="shared" si="15"/>
        <v>0.396050741</v>
      </c>
      <c r="AN54" s="241">
        <f t="shared" si="15"/>
        <v>0.396050741</v>
      </c>
      <c r="AO54" s="241">
        <f t="shared" si="15"/>
        <v>0.396050741</v>
      </c>
      <c r="AP54" s="241">
        <f t="shared" si="15"/>
        <v>0.6100781616</v>
      </c>
      <c r="AQ54" s="241">
        <f t="shared" si="15"/>
        <v>0.6890882842</v>
      </c>
      <c r="AR54" s="241">
        <f t="shared" si="15"/>
        <v>0.5700730363</v>
      </c>
      <c r="AS54" s="241">
        <f t="shared" si="15"/>
        <v>0.6100781616</v>
      </c>
      <c r="AT54" s="241">
        <f t="shared" si="15"/>
        <v>0.7891010976</v>
      </c>
      <c r="AU54" s="241">
        <f t="shared" si="15"/>
        <v>0.5040645795</v>
      </c>
      <c r="AV54" s="241">
        <f t="shared" si="15"/>
        <v>0.6310808525</v>
      </c>
      <c r="AW54" s="259"/>
    </row>
    <row r="55">
      <c r="A55" s="122"/>
      <c r="B55" s="123"/>
      <c r="C55" s="123"/>
      <c r="D55" s="123"/>
      <c r="E55" s="212" t="s">
        <v>814</v>
      </c>
      <c r="F55" s="213" t="s">
        <v>72</v>
      </c>
      <c r="G55" s="632" t="s">
        <v>161</v>
      </c>
      <c r="H55" s="633" t="s">
        <v>162</v>
      </c>
      <c r="I55" s="241">
        <f t="shared" ref="I55:AV55" si="16">I42*(1+$H$47)</f>
        <v>0.3080394652</v>
      </c>
      <c r="J55" s="241">
        <f t="shared" si="16"/>
        <v>0.3670470251</v>
      </c>
      <c r="K55" s="241">
        <f t="shared" si="16"/>
        <v>0.5590716268</v>
      </c>
      <c r="L55" s="241">
        <f t="shared" si="16"/>
        <v>0.5670726519</v>
      </c>
      <c r="M55" s="241">
        <f t="shared" si="16"/>
        <v>0.4050518942</v>
      </c>
      <c r="N55" s="241">
        <f t="shared" si="16"/>
        <v>0.4370559945</v>
      </c>
      <c r="O55" s="241">
        <f t="shared" si="16"/>
        <v>0.6320809806</v>
      </c>
      <c r="P55" s="241">
        <f t="shared" si="16"/>
        <v>0.1910244736</v>
      </c>
      <c r="Q55" s="241">
        <f t="shared" si="16"/>
        <v>0.4600589416</v>
      </c>
      <c r="R55" s="241">
        <f t="shared" si="16"/>
        <v>0.7490959722</v>
      </c>
      <c r="S55" s="241">
        <f t="shared" si="16"/>
        <v>0.613078546</v>
      </c>
      <c r="T55" s="241">
        <f t="shared" si="16"/>
        <v>0.7200922564</v>
      </c>
      <c r="U55" s="241">
        <f t="shared" si="16"/>
        <v>0.6710859778</v>
      </c>
      <c r="V55" s="241">
        <f t="shared" si="16"/>
        <v>0.6640850809</v>
      </c>
      <c r="W55" s="241">
        <f t="shared" si="16"/>
        <v>0.680087131</v>
      </c>
      <c r="X55" s="241">
        <f t="shared" si="16"/>
        <v>0.3870495878</v>
      </c>
      <c r="Y55" s="241">
        <f t="shared" si="16"/>
        <v>0.7961019945</v>
      </c>
      <c r="Z55" s="241">
        <f t="shared" si="16"/>
        <v>0.732093794</v>
      </c>
      <c r="AA55" s="241">
        <f t="shared" si="16"/>
        <v>0.9231182675</v>
      </c>
      <c r="AB55" s="241">
        <f t="shared" si="16"/>
        <v>0.7981022508</v>
      </c>
      <c r="AC55" s="241">
        <f t="shared" si="16"/>
        <v>0.9451210865</v>
      </c>
      <c r="AD55" s="241">
        <f t="shared" si="16"/>
        <v>0.7961019945</v>
      </c>
      <c r="AE55" s="241">
        <f t="shared" si="16"/>
        <v>0.8951146798</v>
      </c>
      <c r="AF55" s="241">
        <f t="shared" si="16"/>
        <v>0.7530964848</v>
      </c>
      <c r="AG55" s="241">
        <f t="shared" si="16"/>
        <v>0.5670726519</v>
      </c>
      <c r="AH55" s="241">
        <f t="shared" si="16"/>
        <v>0.7230926408</v>
      </c>
      <c r="AI55" s="241">
        <f t="shared" si="16"/>
        <v>0.6420822619</v>
      </c>
      <c r="AJ55" s="241">
        <f t="shared" si="16"/>
        <v>0.8631105795</v>
      </c>
      <c r="AK55" s="241">
        <f t="shared" si="16"/>
        <v>0.5660725238</v>
      </c>
      <c r="AL55" s="241">
        <f t="shared" si="16"/>
        <v>0.5460699611</v>
      </c>
      <c r="AM55" s="241">
        <f t="shared" si="16"/>
        <v>0.5460699611</v>
      </c>
      <c r="AN55" s="241">
        <f t="shared" si="16"/>
        <v>0.5460699611</v>
      </c>
      <c r="AO55" s="241">
        <f t="shared" si="16"/>
        <v>0.560071755</v>
      </c>
      <c r="AP55" s="241">
        <f t="shared" si="16"/>
        <v>0.6600845683</v>
      </c>
      <c r="AQ55" s="241">
        <f t="shared" si="16"/>
        <v>0.8041030196</v>
      </c>
      <c r="AR55" s="241">
        <f t="shared" si="16"/>
        <v>0.6110782898</v>
      </c>
      <c r="AS55" s="241">
        <f t="shared" si="16"/>
        <v>0.7030900781</v>
      </c>
      <c r="AT55" s="241">
        <f t="shared" si="16"/>
        <v>0.8461084012</v>
      </c>
      <c r="AU55" s="241">
        <f t="shared" si="16"/>
        <v>0.6540837995</v>
      </c>
      <c r="AV55" s="241">
        <f t="shared" si="16"/>
        <v>0.7130913594</v>
      </c>
      <c r="AW55" s="219"/>
    </row>
    <row r="56">
      <c r="A56" s="122"/>
      <c r="B56" s="123"/>
      <c r="C56" s="123"/>
      <c r="D56" s="123"/>
      <c r="E56" s="199" t="s">
        <v>815</v>
      </c>
      <c r="F56" s="200" t="s">
        <v>72</v>
      </c>
      <c r="G56" s="629" t="s">
        <v>161</v>
      </c>
      <c r="H56" s="630" t="s">
        <v>162</v>
      </c>
      <c r="I56" s="385">
        <f t="shared" ref="I56:AV56" si="17">I43*(1+$H$47)</f>
        <v>0.1080138385</v>
      </c>
      <c r="J56" s="385">
        <f t="shared" si="17"/>
        <v>0.1780228078</v>
      </c>
      <c r="K56" s="385">
        <f t="shared" si="17"/>
        <v>0.3270418998</v>
      </c>
      <c r="L56" s="241">
        <f t="shared" si="17"/>
        <v>0.3090395934</v>
      </c>
      <c r="M56" s="385">
        <f t="shared" si="17"/>
        <v>0.142018195</v>
      </c>
      <c r="N56" s="385">
        <f t="shared" si="17"/>
        <v>0.2470316491</v>
      </c>
      <c r="O56" s="385">
        <f t="shared" si="17"/>
        <v>0.5490703455</v>
      </c>
      <c r="P56" s="385">
        <f t="shared" si="17"/>
        <v>0.1850237048</v>
      </c>
      <c r="Q56" s="385">
        <f t="shared" si="17"/>
        <v>0.3250416435</v>
      </c>
      <c r="R56" s="385">
        <f t="shared" si="17"/>
        <v>0.6090780335</v>
      </c>
      <c r="S56" s="385">
        <f t="shared" si="17"/>
        <v>0.3050390808</v>
      </c>
      <c r="T56" s="385">
        <f t="shared" si="17"/>
        <v>0.4510577884</v>
      </c>
      <c r="U56" s="385">
        <f t="shared" si="17"/>
        <v>0.6480830307</v>
      </c>
      <c r="V56" s="385">
        <f t="shared" si="17"/>
        <v>0.5670726519</v>
      </c>
      <c r="W56" s="385">
        <f t="shared" si="17"/>
        <v>0.3240415154</v>
      </c>
      <c r="X56" s="385">
        <f t="shared" si="17"/>
        <v>0.1750224234</v>
      </c>
      <c r="Y56" s="385">
        <f t="shared" si="17"/>
        <v>0.5340684235</v>
      </c>
      <c r="Z56" s="385">
        <f t="shared" si="17"/>
        <v>0.5110654764</v>
      </c>
      <c r="AA56" s="385">
        <f t="shared" si="17"/>
        <v>0.6640850809</v>
      </c>
      <c r="AB56" s="385">
        <f t="shared" si="17"/>
        <v>0.4910629137</v>
      </c>
      <c r="AC56" s="385">
        <f t="shared" si="17"/>
        <v>0.6550839277</v>
      </c>
      <c r="AD56" s="385">
        <f t="shared" si="17"/>
        <v>0.6550839277</v>
      </c>
      <c r="AE56" s="385">
        <f t="shared" si="17"/>
        <v>0.463059326</v>
      </c>
      <c r="AF56" s="385">
        <f t="shared" si="17"/>
        <v>0.4050518942</v>
      </c>
      <c r="AG56" s="385">
        <f t="shared" si="17"/>
        <v>0.3090395934</v>
      </c>
      <c r="AH56" s="385">
        <f t="shared" si="17"/>
        <v>0.5710731644</v>
      </c>
      <c r="AI56" s="385">
        <f t="shared" si="17"/>
        <v>0.3400435655</v>
      </c>
      <c r="AJ56" s="385">
        <f t="shared" si="17"/>
        <v>0.6750864903</v>
      </c>
      <c r="AK56" s="385">
        <f t="shared" si="17"/>
        <v>0.2680343399</v>
      </c>
      <c r="AL56" s="385">
        <f t="shared" si="17"/>
        <v>0.2000256268</v>
      </c>
      <c r="AM56" s="385">
        <f t="shared" si="17"/>
        <v>0.2000256268</v>
      </c>
      <c r="AN56" s="385">
        <f t="shared" si="17"/>
        <v>0.2000256268</v>
      </c>
      <c r="AO56" s="385">
        <f t="shared" si="17"/>
        <v>0.4150531755</v>
      </c>
      <c r="AP56" s="385">
        <f t="shared" si="17"/>
        <v>0.4970636825</v>
      </c>
      <c r="AQ56" s="385">
        <f t="shared" si="17"/>
        <v>0.5420694485</v>
      </c>
      <c r="AR56" s="385">
        <f t="shared" si="17"/>
        <v>0.4430567633</v>
      </c>
      <c r="AS56" s="385">
        <f t="shared" si="17"/>
        <v>0.2600333148</v>
      </c>
      <c r="AT56" s="385">
        <f t="shared" si="17"/>
        <v>0.5360686797</v>
      </c>
      <c r="AU56" s="385">
        <f t="shared" si="17"/>
        <v>0.3860494597</v>
      </c>
      <c r="AV56" s="385">
        <f t="shared" si="17"/>
        <v>0.4840620168</v>
      </c>
      <c r="AW56" s="205"/>
    </row>
    <row r="57">
      <c r="A57" s="122"/>
      <c r="B57" s="123"/>
      <c r="C57" s="123"/>
      <c r="D57" s="123"/>
      <c r="E57" s="124"/>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17" t="s">
        <v>816</v>
      </c>
      <c r="B58" s="7"/>
      <c r="C58" s="7"/>
      <c r="D58" s="7"/>
      <c r="E58" s="7"/>
      <c r="F58" s="7"/>
      <c r="G58" s="7"/>
      <c r="H58" s="17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2"/>
      <c r="AK58" s="232"/>
      <c r="AL58" s="232"/>
      <c r="AM58" s="232"/>
      <c r="AN58" s="232"/>
      <c r="AO58" s="232"/>
      <c r="AP58" s="232"/>
      <c r="AQ58" s="232"/>
      <c r="AR58" s="232"/>
      <c r="AS58" s="232"/>
      <c r="AT58" s="232"/>
      <c r="AU58" s="232"/>
      <c r="AV58" s="232"/>
      <c r="AW58" s="175"/>
    </row>
    <row r="59">
      <c r="A59" s="122"/>
      <c r="B59" s="123"/>
      <c r="C59" s="234"/>
      <c r="D59" s="123"/>
      <c r="E59" s="124"/>
      <c r="F59" s="125"/>
      <c r="G59" s="126"/>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t="s">
        <v>817</v>
      </c>
      <c r="F60" s="125"/>
      <c r="G60" s="482"/>
      <c r="H60" s="127"/>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128"/>
      <c r="AQ60" s="128"/>
      <c r="AR60" s="128"/>
      <c r="AS60" s="128"/>
      <c r="AT60" s="128"/>
      <c r="AU60" s="128"/>
      <c r="AV60" s="128"/>
      <c r="AW60" s="130"/>
    </row>
    <row r="61">
      <c r="A61" s="122"/>
      <c r="B61" s="123"/>
      <c r="C61" s="131"/>
      <c r="D61" s="131"/>
      <c r="E61" s="254" t="s">
        <v>818</v>
      </c>
      <c r="F61" s="193" t="s">
        <v>72</v>
      </c>
      <c r="G61" s="194" t="s">
        <v>165</v>
      </c>
      <c r="H61" s="389" t="str">
        <f>Inputs!H72</f>
        <v>-</v>
      </c>
      <c r="I61" s="383">
        <f>Inputs!I72</f>
        <v>0.412</v>
      </c>
      <c r="J61" s="383">
        <f>Inputs!J72</f>
        <v>0.544</v>
      </c>
      <c r="K61" s="383">
        <f>Inputs!K72</f>
        <v>0.256</v>
      </c>
      <c r="L61" s="383">
        <f>Inputs!L72</f>
        <v>0.514</v>
      </c>
      <c r="M61" s="383">
        <f>Inputs!M72</f>
        <v>0.337</v>
      </c>
      <c r="N61" s="383">
        <f>Inputs!N72</f>
        <v>0.285</v>
      </c>
      <c r="O61" s="383">
        <f>Inputs!O72</f>
        <v>0.226</v>
      </c>
      <c r="P61" s="383">
        <f>Inputs!P72</f>
        <v>0.163</v>
      </c>
      <c r="Q61" s="383">
        <f>Inputs!Q72</f>
        <v>0.19</v>
      </c>
      <c r="R61" s="383">
        <f>Inputs!R72</f>
        <v>0.871</v>
      </c>
      <c r="S61" s="383">
        <f>Inputs!S72</f>
        <v>0.674</v>
      </c>
      <c r="T61" s="383">
        <f>Inputs!T72</f>
        <v>0.824</v>
      </c>
      <c r="U61" s="383">
        <f>Inputs!U72</f>
        <v>0.885</v>
      </c>
      <c r="V61" s="383">
        <f>Inputs!V72</f>
        <v>0.659</v>
      </c>
      <c r="W61" s="383">
        <f>Inputs!W72</f>
        <v>0.664</v>
      </c>
      <c r="X61" s="383">
        <f>Inputs!X72</f>
        <v>0.806</v>
      </c>
      <c r="Y61" s="383">
        <f>Inputs!Y72</f>
        <v>0.882</v>
      </c>
      <c r="Z61" s="383">
        <f>Inputs!Z72</f>
        <v>0.809</v>
      </c>
      <c r="AA61" s="383">
        <f>Inputs!AA72</f>
        <v>0.825</v>
      </c>
      <c r="AB61" s="383">
        <f>Inputs!AB72</f>
        <v>0.967</v>
      </c>
      <c r="AC61" s="383">
        <f>Inputs!AC72</f>
        <v>0.865</v>
      </c>
      <c r="AD61" s="383">
        <f>Inputs!AD72</f>
        <v>0.932</v>
      </c>
      <c r="AE61" s="383">
        <f>Inputs!AE72</f>
        <v>0.875</v>
      </c>
      <c r="AF61" s="383">
        <f>Inputs!AF72</f>
        <v>0.956</v>
      </c>
      <c r="AG61" s="383">
        <f>Inputs!AG72</f>
        <v>0.514</v>
      </c>
      <c r="AH61" s="383">
        <f>Inputs!AH72</f>
        <v>0.733</v>
      </c>
      <c r="AI61" s="383">
        <f>Inputs!AI72</f>
        <v>0.721</v>
      </c>
      <c r="AJ61" s="383">
        <f>Inputs!AJ72</f>
        <v>0.929</v>
      </c>
      <c r="AK61" s="383">
        <f>Inputs!AK72</f>
        <v>0.638</v>
      </c>
      <c r="AL61" s="383">
        <f>Inputs!AL72</f>
        <v>0.381</v>
      </c>
      <c r="AM61" s="383">
        <f>Inputs!AM72</f>
        <v>0.381</v>
      </c>
      <c r="AN61" s="383">
        <f>Inputs!AN72</f>
        <v>0.381</v>
      </c>
      <c r="AO61" s="383">
        <f>Inputs!AO72</f>
        <v>0.8</v>
      </c>
      <c r="AP61" s="383">
        <f>Inputs!AP72</f>
        <v>0.831</v>
      </c>
      <c r="AQ61" s="383">
        <f>Inputs!AQ72</f>
        <v>0.875</v>
      </c>
      <c r="AR61" s="383">
        <f>Inputs!AR72</f>
        <v>0.771</v>
      </c>
      <c r="AS61" s="383">
        <f>Inputs!AS72</f>
        <v>0.801</v>
      </c>
      <c r="AT61" s="383">
        <f>Inputs!AT72</f>
        <v>0.82</v>
      </c>
      <c r="AU61" s="383">
        <f>Inputs!AU72</f>
        <v>0.397</v>
      </c>
      <c r="AV61" s="383">
        <f>Inputs!AV72</f>
        <v>0.163</v>
      </c>
      <c r="AW61" s="256"/>
    </row>
    <row r="62">
      <c r="A62" s="122"/>
      <c r="B62" s="123"/>
      <c r="C62" s="131"/>
      <c r="D62" s="131"/>
      <c r="E62" s="254" t="s">
        <v>819</v>
      </c>
      <c r="F62" s="193" t="s">
        <v>72</v>
      </c>
      <c r="G62" s="194" t="s">
        <v>165</v>
      </c>
      <c r="H62" s="389" t="str">
        <f>Inputs!H69</f>
        <v>-</v>
      </c>
      <c r="I62" s="383">
        <f>Inputs!I69</f>
        <v>0.353</v>
      </c>
      <c r="J62" s="383">
        <f>Inputs!J69</f>
        <v>0.447</v>
      </c>
      <c r="K62" s="383">
        <f>Inputs!K69</f>
        <v>0.195</v>
      </c>
      <c r="L62" s="383">
        <f>Inputs!L69</f>
        <v>0.437</v>
      </c>
      <c r="M62" s="383">
        <f>Inputs!M69</f>
        <v>0.279</v>
      </c>
      <c r="N62" s="383">
        <f>Inputs!N69</f>
        <v>0.282</v>
      </c>
      <c r="O62" s="383">
        <f>Inputs!O69</f>
        <v>0.202</v>
      </c>
      <c r="P62" s="383">
        <f>Inputs!P69</f>
        <v>0.094</v>
      </c>
      <c r="Q62" s="383">
        <f>Inputs!Q69</f>
        <v>0.147</v>
      </c>
      <c r="R62" s="383">
        <f>Inputs!R69</f>
        <v>0.816</v>
      </c>
      <c r="S62" s="383">
        <f>Inputs!S69</f>
        <v>0.566</v>
      </c>
      <c r="T62" s="383">
        <f>Inputs!T69</f>
        <v>0.802</v>
      </c>
      <c r="U62" s="383">
        <f>Inputs!U69</f>
        <v>0.895</v>
      </c>
      <c r="V62" s="383">
        <f>Inputs!V69</f>
        <v>0.612</v>
      </c>
      <c r="W62" s="383">
        <f>Inputs!W69</f>
        <v>0.683</v>
      </c>
      <c r="X62" s="383">
        <f>Inputs!X69</f>
        <v>0.729</v>
      </c>
      <c r="Y62" s="383">
        <f>Inputs!Y69</f>
        <v>0.835</v>
      </c>
      <c r="Z62" s="383">
        <f>Inputs!Z69</f>
        <v>0.757</v>
      </c>
      <c r="AA62" s="383">
        <f>Inputs!AA69</f>
        <v>0.797</v>
      </c>
      <c r="AB62" s="383">
        <f>Inputs!AB69</f>
        <v>0.886</v>
      </c>
      <c r="AC62" s="383">
        <f>Inputs!AC69</f>
        <v>0.871</v>
      </c>
      <c r="AD62" s="383">
        <f>Inputs!AD69</f>
        <v>0.849</v>
      </c>
      <c r="AE62" s="383">
        <f>Inputs!AE69</f>
        <v>0.877</v>
      </c>
      <c r="AF62" s="383">
        <f>Inputs!AF69</f>
        <v>0.881</v>
      </c>
      <c r="AG62" s="383">
        <f>Inputs!AG69</f>
        <v>0.437</v>
      </c>
      <c r="AH62" s="383">
        <f>Inputs!AH69</f>
        <v>0.637</v>
      </c>
      <c r="AI62" s="383">
        <f>Inputs!AI69</f>
        <v>0.708</v>
      </c>
      <c r="AJ62" s="383">
        <f>Inputs!AJ69</f>
        <v>0.936</v>
      </c>
      <c r="AK62" s="383">
        <f>Inputs!AK69</f>
        <v>0.564</v>
      </c>
      <c r="AL62" s="383">
        <f>Inputs!AL69</f>
        <v>0.363</v>
      </c>
      <c r="AM62" s="383">
        <f>Inputs!AM69</f>
        <v>0.363</v>
      </c>
      <c r="AN62" s="383">
        <f>Inputs!AN69</f>
        <v>0.363</v>
      </c>
      <c r="AO62" s="383">
        <f>Inputs!AO69</f>
        <v>0.711</v>
      </c>
      <c r="AP62" s="383">
        <f>Inputs!AP69</f>
        <v>0.764</v>
      </c>
      <c r="AQ62" s="383">
        <f>Inputs!AQ69</f>
        <v>0.831</v>
      </c>
      <c r="AR62" s="383">
        <f>Inputs!AR69</f>
        <v>0.691</v>
      </c>
      <c r="AS62" s="383">
        <f>Inputs!AS69</f>
        <v>0.699</v>
      </c>
      <c r="AT62" s="383">
        <f>Inputs!AT69</f>
        <v>0.82</v>
      </c>
      <c r="AU62" s="383">
        <f>Inputs!AU69</f>
        <v>0.359</v>
      </c>
      <c r="AV62" s="383">
        <f>Inputs!AV69</f>
        <v>0.175</v>
      </c>
      <c r="AW62" s="256"/>
    </row>
    <row r="63">
      <c r="A63" s="122"/>
      <c r="B63" s="123"/>
      <c r="C63" s="131"/>
      <c r="D63" s="131"/>
      <c r="E63" s="257" t="s">
        <v>820</v>
      </c>
      <c r="F63" s="213" t="s">
        <v>72</v>
      </c>
      <c r="G63" s="214" t="s">
        <v>165</v>
      </c>
      <c r="H63" s="243" t="str">
        <f>Inputs!H70</f>
        <v>-</v>
      </c>
      <c r="I63" s="241">
        <f>Inputs!I70</f>
        <v>0.252</v>
      </c>
      <c r="J63" s="241">
        <f>Inputs!J70</f>
        <v>0.291</v>
      </c>
      <c r="K63" s="241">
        <f>Inputs!K70</f>
        <v>0.09</v>
      </c>
      <c r="L63" s="241">
        <f>Inputs!L70</f>
        <v>0.325</v>
      </c>
      <c r="M63" s="241">
        <f>Inputs!M70</f>
        <v>0.209</v>
      </c>
      <c r="N63" s="241">
        <f>Inputs!N70</f>
        <v>0.183</v>
      </c>
      <c r="O63" s="241">
        <f>Inputs!O70</f>
        <v>0.167</v>
      </c>
      <c r="P63" s="241">
        <f>Inputs!P70</f>
        <v>0.052</v>
      </c>
      <c r="Q63" s="241">
        <f>Inputs!Q70</f>
        <v>0.095</v>
      </c>
      <c r="R63" s="241">
        <f>Inputs!R70</f>
        <v>0.686</v>
      </c>
      <c r="S63" s="241">
        <f>Inputs!S70</f>
        <v>0.503</v>
      </c>
      <c r="T63" s="241">
        <f>Inputs!T70</f>
        <v>0.734</v>
      </c>
      <c r="U63" s="241">
        <f>Inputs!U70</f>
        <v>0.824</v>
      </c>
      <c r="V63" s="241">
        <f>Inputs!V70</f>
        <v>0.503</v>
      </c>
      <c r="W63" s="241">
        <f>Inputs!W70</f>
        <v>0.595</v>
      </c>
      <c r="X63" s="241">
        <f>Inputs!X70</f>
        <v>0.639</v>
      </c>
      <c r="Y63" s="241">
        <f>Inputs!Y70</f>
        <v>0.769</v>
      </c>
      <c r="Z63" s="241">
        <f>Inputs!Z70</f>
        <v>0.637</v>
      </c>
      <c r="AA63" s="241">
        <f>Inputs!AA70</f>
        <v>0.662</v>
      </c>
      <c r="AB63" s="241">
        <f>Inputs!AB70</f>
        <v>0.861</v>
      </c>
      <c r="AC63" s="241">
        <f>Inputs!AC70</f>
        <v>0.801</v>
      </c>
      <c r="AD63" s="241">
        <f>Inputs!AD70</f>
        <v>0.786</v>
      </c>
      <c r="AE63" s="241">
        <f>Inputs!AE70</f>
        <v>0.719</v>
      </c>
      <c r="AF63" s="241">
        <f>Inputs!AF70</f>
        <v>0.717</v>
      </c>
      <c r="AG63" s="241">
        <f>Inputs!AG70</f>
        <v>0.325</v>
      </c>
      <c r="AH63" s="241">
        <f>Inputs!AH70</f>
        <v>0.476</v>
      </c>
      <c r="AI63" s="241">
        <f>Inputs!AI70</f>
        <v>0.613</v>
      </c>
      <c r="AJ63" s="241">
        <f>Inputs!AJ70</f>
        <v>0.856</v>
      </c>
      <c r="AK63" s="241">
        <f>Inputs!AK70</f>
        <v>0.447</v>
      </c>
      <c r="AL63" s="241">
        <f>Inputs!AL70</f>
        <v>0.306</v>
      </c>
      <c r="AM63" s="241">
        <f>Inputs!AM70</f>
        <v>0.306</v>
      </c>
      <c r="AN63" s="241">
        <f>Inputs!AN70</f>
        <v>0.306</v>
      </c>
      <c r="AO63" s="241">
        <f>Inputs!AO70</f>
        <v>0.589</v>
      </c>
      <c r="AP63" s="241">
        <f>Inputs!AP70</f>
        <v>0.714</v>
      </c>
      <c r="AQ63" s="241">
        <f>Inputs!AQ70</f>
        <v>0.657</v>
      </c>
      <c r="AR63" s="241">
        <f>Inputs!AR70</f>
        <v>0.649</v>
      </c>
      <c r="AS63" s="241">
        <f>Inputs!AS70</f>
        <v>0.571</v>
      </c>
      <c r="AT63" s="241">
        <f>Inputs!AT70</f>
        <v>0.728</v>
      </c>
      <c r="AU63" s="241">
        <f>Inputs!AU70</f>
        <v>0.2</v>
      </c>
      <c r="AV63" s="241">
        <f>Inputs!AV70</f>
        <v>0.113</v>
      </c>
      <c r="AW63" s="259"/>
    </row>
    <row r="64">
      <c r="A64" s="122"/>
      <c r="B64" s="123"/>
      <c r="C64" s="131"/>
      <c r="D64" s="131"/>
      <c r="E64" s="257" t="s">
        <v>821</v>
      </c>
      <c r="F64" s="213" t="s">
        <v>72</v>
      </c>
      <c r="G64" s="214" t="s">
        <v>165</v>
      </c>
      <c r="H64" s="243" t="str">
        <f>Inputs!H71</f>
        <v>-</v>
      </c>
      <c r="I64" s="241">
        <f>Inputs!I71</f>
        <v>0.185</v>
      </c>
      <c r="J64" s="241">
        <f>Inputs!J71</f>
        <v>0.25</v>
      </c>
      <c r="K64" s="241">
        <f>Inputs!K71</f>
        <v>0.071</v>
      </c>
      <c r="L64" s="241">
        <f>Inputs!L71</f>
        <v>0.295</v>
      </c>
      <c r="M64" s="241">
        <f>Inputs!M71</f>
        <v>0.159</v>
      </c>
      <c r="N64" s="241">
        <f>Inputs!N71</f>
        <v>0.121</v>
      </c>
      <c r="O64" s="241">
        <f>Inputs!O71</f>
        <v>0.113</v>
      </c>
      <c r="P64" s="241">
        <f>Inputs!P71</f>
        <v>0.029</v>
      </c>
      <c r="Q64" s="241">
        <f>Inputs!Q71</f>
        <v>0.089</v>
      </c>
      <c r="R64" s="241">
        <f>Inputs!R71</f>
        <v>0.548</v>
      </c>
      <c r="S64" s="241">
        <f>Inputs!S71</f>
        <v>0.379</v>
      </c>
      <c r="T64" s="241">
        <f>Inputs!T71</f>
        <v>0.684</v>
      </c>
      <c r="U64" s="241">
        <f>Inputs!U71</f>
        <v>0.762</v>
      </c>
      <c r="V64" s="241">
        <f>Inputs!V71</f>
        <v>0.426</v>
      </c>
      <c r="W64" s="241">
        <f>Inputs!W71</f>
        <v>0.574</v>
      </c>
      <c r="X64" s="241">
        <f>Inputs!X71</f>
        <v>0.477</v>
      </c>
      <c r="Y64" s="241">
        <f>Inputs!Y71</f>
        <v>0.695</v>
      </c>
      <c r="Z64" s="241">
        <f>Inputs!Z71</f>
        <v>0.572</v>
      </c>
      <c r="AA64" s="241">
        <f>Inputs!AA71</f>
        <v>0.544</v>
      </c>
      <c r="AB64" s="241">
        <f>Inputs!AB71</f>
        <v>0.745</v>
      </c>
      <c r="AC64" s="241">
        <f>Inputs!AC71</f>
        <v>0.722</v>
      </c>
      <c r="AD64" s="241">
        <f>Inputs!AD71</f>
        <v>0.738</v>
      </c>
      <c r="AE64" s="241">
        <f>Inputs!AE71</f>
        <v>0.657</v>
      </c>
      <c r="AF64" s="241">
        <f>Inputs!AF71</f>
        <v>0.656</v>
      </c>
      <c r="AG64" s="241">
        <f>Inputs!AG71</f>
        <v>0.295</v>
      </c>
      <c r="AH64" s="241">
        <f>Inputs!AH71</f>
        <v>0.384</v>
      </c>
      <c r="AI64" s="241">
        <f>Inputs!AI71</f>
        <v>0.491</v>
      </c>
      <c r="AJ64" s="241">
        <f>Inputs!AJ71</f>
        <v>0.802</v>
      </c>
      <c r="AK64" s="241">
        <f>Inputs!AK71</f>
        <v>0.349</v>
      </c>
      <c r="AL64" s="241">
        <f>Inputs!AL71</f>
        <v>0.2</v>
      </c>
      <c r="AM64" s="241">
        <f>Inputs!AM71</f>
        <v>0.2</v>
      </c>
      <c r="AN64" s="241">
        <f>Inputs!AN71</f>
        <v>0.2</v>
      </c>
      <c r="AO64" s="241">
        <f>Inputs!AO71</f>
        <v>0.521</v>
      </c>
      <c r="AP64" s="241">
        <f>Inputs!AP71</f>
        <v>0.662</v>
      </c>
      <c r="AQ64" s="241">
        <f>Inputs!AQ71</f>
        <v>0.6</v>
      </c>
      <c r="AR64" s="241">
        <f>Inputs!AR71</f>
        <v>0.541</v>
      </c>
      <c r="AS64" s="241">
        <f>Inputs!AS71</f>
        <v>0.452</v>
      </c>
      <c r="AT64" s="241">
        <f>Inputs!AT71</f>
        <v>0.66</v>
      </c>
      <c r="AU64" s="241">
        <f>Inputs!AU71</f>
        <v>0.164</v>
      </c>
      <c r="AV64" s="241">
        <f>Inputs!AV71</f>
        <v>0.087</v>
      </c>
      <c r="AW64" s="259"/>
    </row>
    <row r="65">
      <c r="A65" s="122"/>
      <c r="B65" s="123"/>
      <c r="C65" s="131"/>
      <c r="D65" s="131"/>
      <c r="E65" s="272" t="s">
        <v>822</v>
      </c>
      <c r="F65" s="200" t="s">
        <v>72</v>
      </c>
      <c r="G65" s="201" t="s">
        <v>165</v>
      </c>
      <c r="H65" s="627" t="str">
        <f>Inputs!H73</f>
        <v>-</v>
      </c>
      <c r="I65" s="385">
        <f>Inputs!I73</f>
        <v>0.222</v>
      </c>
      <c r="J65" s="385">
        <f>Inputs!J73</f>
        <v>0.324</v>
      </c>
      <c r="K65" s="385">
        <f>Inputs!K73</f>
        <v>0.104</v>
      </c>
      <c r="L65" s="385">
        <f>Inputs!L73</f>
        <v>0.431</v>
      </c>
      <c r="M65" s="385">
        <f>Inputs!M73</f>
        <v>0.241</v>
      </c>
      <c r="N65" s="385">
        <f>Inputs!N73</f>
        <v>0.211</v>
      </c>
      <c r="O65" s="385">
        <f>Inputs!O73</f>
        <v>0.255</v>
      </c>
      <c r="P65" s="385">
        <f>Inputs!P73</f>
        <v>0.098</v>
      </c>
      <c r="Q65" s="385">
        <f>Inputs!Q73</f>
        <v>0.162</v>
      </c>
      <c r="R65" s="385">
        <f>Inputs!R73</f>
        <v>0.704</v>
      </c>
      <c r="S65" s="385">
        <f>Inputs!S73</f>
        <v>0.488</v>
      </c>
      <c r="T65" s="385">
        <f>Inputs!T73</f>
        <v>0.637</v>
      </c>
      <c r="U65" s="385">
        <f>Inputs!U73</f>
        <v>0.75</v>
      </c>
      <c r="V65" s="385">
        <f>Inputs!V73</f>
        <v>0.516</v>
      </c>
      <c r="W65" s="385">
        <f>Inputs!W73</f>
        <v>0.536</v>
      </c>
      <c r="X65" s="385">
        <f>Inputs!X73</f>
        <v>0.581</v>
      </c>
      <c r="Y65" s="385">
        <f>Inputs!Y73</f>
        <v>0.737</v>
      </c>
      <c r="Z65" s="385">
        <f>Inputs!Z73</f>
        <v>0.637</v>
      </c>
      <c r="AA65" s="385">
        <f>Inputs!AA73</f>
        <v>0.576</v>
      </c>
      <c r="AB65" s="385">
        <f>Inputs!AB73</f>
        <v>0.861</v>
      </c>
      <c r="AC65" s="385">
        <f>Inputs!AC73</f>
        <v>0.801</v>
      </c>
      <c r="AD65" s="385">
        <f>Inputs!AD73</f>
        <v>0.812</v>
      </c>
      <c r="AE65" s="385">
        <f>Inputs!AE73</f>
        <v>0.763</v>
      </c>
      <c r="AF65" s="385">
        <f>Inputs!AF73</f>
        <v>0.746</v>
      </c>
      <c r="AG65" s="385">
        <f>Inputs!AG73</f>
        <v>0.431</v>
      </c>
      <c r="AH65" s="385">
        <f>Inputs!AH73</f>
        <v>0.65</v>
      </c>
      <c r="AI65" s="385">
        <f>Inputs!AI73</f>
        <v>0.669</v>
      </c>
      <c r="AJ65" s="385">
        <f>Inputs!AJ73</f>
        <v>0.88</v>
      </c>
      <c r="AK65" s="385">
        <f>Inputs!AK73</f>
        <v>0.497</v>
      </c>
      <c r="AL65" s="385">
        <f>Inputs!AL73</f>
        <v>0.312</v>
      </c>
      <c r="AM65" s="385">
        <f>Inputs!AM73</f>
        <v>0.312</v>
      </c>
      <c r="AN65" s="385">
        <f>Inputs!AN73</f>
        <v>0.312</v>
      </c>
      <c r="AO65" s="385">
        <f>Inputs!AO73</f>
        <v>0.587</v>
      </c>
      <c r="AP65" s="385">
        <f>Inputs!AP73</f>
        <v>0.722</v>
      </c>
      <c r="AQ65" s="385">
        <f>Inputs!AQ73</f>
        <v>0.67</v>
      </c>
      <c r="AR65" s="385">
        <f>Inputs!AR73</f>
        <v>0.531</v>
      </c>
      <c r="AS65" s="385">
        <f>Inputs!AS73</f>
        <v>0.653</v>
      </c>
      <c r="AT65" s="385">
        <f>Inputs!AT73</f>
        <v>0.707</v>
      </c>
      <c r="AU65" s="385">
        <f>Inputs!AU73</f>
        <v>0.292</v>
      </c>
      <c r="AV65" s="385">
        <f>Inputs!AV73</f>
        <v>0.147</v>
      </c>
      <c r="AW65" s="274"/>
    </row>
    <row r="66">
      <c r="A66" s="122"/>
      <c r="B66" s="123"/>
      <c r="C66" s="131"/>
      <c r="D66" s="131"/>
      <c r="E66" s="269"/>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131" t="s">
        <v>823</v>
      </c>
      <c r="F67" s="125"/>
      <c r="G67" s="132"/>
      <c r="H67" s="127"/>
      <c r="I67" s="128"/>
      <c r="J67" s="128"/>
      <c r="K67" s="128"/>
      <c r="L67" s="128"/>
      <c r="M67" s="128"/>
      <c r="N67" s="128"/>
      <c r="O67" s="128"/>
      <c r="P67" s="128"/>
      <c r="Q67" s="128"/>
      <c r="R67" s="128"/>
      <c r="S67" s="128"/>
      <c r="T67" s="317"/>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30"/>
    </row>
    <row r="68">
      <c r="A68" s="122"/>
      <c r="B68" s="123"/>
      <c r="C68" s="131"/>
      <c r="D68" s="131"/>
      <c r="E68" s="254" t="s">
        <v>824</v>
      </c>
      <c r="F68" s="193" t="s">
        <v>72</v>
      </c>
      <c r="G68" s="194" t="s">
        <v>165</v>
      </c>
      <c r="H68" s="255">
        <f>Inputs!H77</f>
        <v>0.4415068</v>
      </c>
      <c r="I68" s="383" t="str">
        <f>Inputs!I77</f>
        <v>-</v>
      </c>
      <c r="J68" s="383" t="str">
        <f>Inputs!J77</f>
        <v>-</v>
      </c>
      <c r="K68" s="383" t="str">
        <f>Inputs!K77</f>
        <v>-</v>
      </c>
      <c r="L68" s="383" t="str">
        <f>Inputs!L77</f>
        <v>-</v>
      </c>
      <c r="M68" s="383" t="str">
        <f>Inputs!M77</f>
        <v>-</v>
      </c>
      <c r="N68" s="383" t="str">
        <f>Inputs!N77</f>
        <v>-</v>
      </c>
      <c r="O68" s="383" t="str">
        <f>Inputs!O77</f>
        <v>-</v>
      </c>
      <c r="P68" s="383" t="str">
        <f>Inputs!P77</f>
        <v>-</v>
      </c>
      <c r="Q68" s="383" t="str">
        <f>Inputs!Q77</f>
        <v>-</v>
      </c>
      <c r="R68" s="383" t="str">
        <f>Inputs!R77</f>
        <v>-</v>
      </c>
      <c r="S68" s="383" t="str">
        <f>Inputs!S77</f>
        <v>-</v>
      </c>
      <c r="T68" s="383" t="str">
        <f>Inputs!T77</f>
        <v>-</v>
      </c>
      <c r="U68" s="383" t="str">
        <f>Inputs!U77</f>
        <v>-</v>
      </c>
      <c r="V68" s="383" t="str">
        <f>Inputs!V77</f>
        <v>-</v>
      </c>
      <c r="W68" s="383" t="str">
        <f>Inputs!W77</f>
        <v>-</v>
      </c>
      <c r="X68" s="383" t="str">
        <f>Inputs!X77</f>
        <v>-</v>
      </c>
      <c r="Y68" s="383" t="str">
        <f>Inputs!Y77</f>
        <v>-</v>
      </c>
      <c r="Z68" s="383" t="str">
        <f>Inputs!Z77</f>
        <v>-</v>
      </c>
      <c r="AA68" s="383" t="str">
        <f>Inputs!AA77</f>
        <v>-</v>
      </c>
      <c r="AB68" s="383" t="str">
        <f>Inputs!AB77</f>
        <v>-</v>
      </c>
      <c r="AC68" s="383" t="str">
        <f>Inputs!AC77</f>
        <v>-</v>
      </c>
      <c r="AD68" s="383" t="str">
        <f>Inputs!AD77</f>
        <v>-</v>
      </c>
      <c r="AE68" s="383" t="str">
        <f>Inputs!AE77</f>
        <v>-</v>
      </c>
      <c r="AF68" s="383" t="str">
        <f>Inputs!AF77</f>
        <v>-</v>
      </c>
      <c r="AG68" s="383" t="str">
        <f>Inputs!AG77</f>
        <v>-</v>
      </c>
      <c r="AH68" s="383" t="str">
        <f>Inputs!AH77</f>
        <v>-</v>
      </c>
      <c r="AI68" s="383" t="str">
        <f>Inputs!AI77</f>
        <v>-</v>
      </c>
      <c r="AJ68" s="383" t="str">
        <f>Inputs!AJ77</f>
        <v>-</v>
      </c>
      <c r="AK68" s="383" t="str">
        <f>Inputs!AK77</f>
        <v>-</v>
      </c>
      <c r="AL68" s="383" t="str">
        <f>Inputs!AL77</f>
        <v>-</v>
      </c>
      <c r="AM68" s="383" t="str">
        <f>Inputs!AM77</f>
        <v>-</v>
      </c>
      <c r="AN68" s="383" t="str">
        <f>Inputs!AN77</f>
        <v>-</v>
      </c>
      <c r="AO68" s="383" t="str">
        <f>Inputs!AO77</f>
        <v>-</v>
      </c>
      <c r="AP68" s="383" t="str">
        <f>Inputs!AP77</f>
        <v>-</v>
      </c>
      <c r="AQ68" s="383" t="str">
        <f>Inputs!AQ77</f>
        <v>-</v>
      </c>
      <c r="AR68" s="383" t="str">
        <f>Inputs!AR77</f>
        <v>-</v>
      </c>
      <c r="AS68" s="383" t="str">
        <f>Inputs!AS77</f>
        <v>-</v>
      </c>
      <c r="AT68" s="383" t="str">
        <f>Inputs!AT77</f>
        <v>-</v>
      </c>
      <c r="AU68" s="383" t="str">
        <f>Inputs!AU77</f>
        <v>-</v>
      </c>
      <c r="AV68" s="383" t="str">
        <f>Inputs!AV77</f>
        <v>-</v>
      </c>
      <c r="AW68" s="256"/>
    </row>
    <row r="69">
      <c r="A69" s="122"/>
      <c r="B69" s="123"/>
      <c r="C69" s="131"/>
      <c r="D69" s="131"/>
      <c r="E69" s="257" t="s">
        <v>825</v>
      </c>
      <c r="F69" s="213" t="s">
        <v>72</v>
      </c>
      <c r="G69" s="214" t="s">
        <v>161</v>
      </c>
      <c r="H69" s="631">
        <f>H25*H68</f>
        <v>0.000260489012</v>
      </c>
      <c r="I69" s="220" t="s">
        <v>162</v>
      </c>
      <c r="J69" s="220" t="s">
        <v>162</v>
      </c>
      <c r="K69" s="220" t="s">
        <v>162</v>
      </c>
      <c r="L69" s="220" t="s">
        <v>162</v>
      </c>
      <c r="M69" s="220" t="s">
        <v>162</v>
      </c>
      <c r="N69" s="220" t="s">
        <v>162</v>
      </c>
      <c r="O69" s="220" t="s">
        <v>162</v>
      </c>
      <c r="P69" s="220" t="s">
        <v>162</v>
      </c>
      <c r="Q69" s="220" t="s">
        <v>162</v>
      </c>
      <c r="R69" s="220" t="s">
        <v>162</v>
      </c>
      <c r="S69" s="220" t="s">
        <v>162</v>
      </c>
      <c r="T69" s="217" t="s">
        <v>162</v>
      </c>
      <c r="U69" s="220" t="s">
        <v>162</v>
      </c>
      <c r="V69" s="220" t="s">
        <v>162</v>
      </c>
      <c r="W69" s="220" t="s">
        <v>162</v>
      </c>
      <c r="X69" s="220" t="s">
        <v>162</v>
      </c>
      <c r="Y69" s="220" t="s">
        <v>162</v>
      </c>
      <c r="Z69" s="220" t="s">
        <v>162</v>
      </c>
      <c r="AA69" s="220" t="s">
        <v>162</v>
      </c>
      <c r="AB69" s="220" t="s">
        <v>162</v>
      </c>
      <c r="AC69" s="220" t="s">
        <v>162</v>
      </c>
      <c r="AD69" s="220" t="s">
        <v>162</v>
      </c>
      <c r="AE69" s="220" t="s">
        <v>162</v>
      </c>
      <c r="AF69" s="220" t="s">
        <v>162</v>
      </c>
      <c r="AG69" s="220" t="s">
        <v>162</v>
      </c>
      <c r="AH69" s="220" t="s">
        <v>162</v>
      </c>
      <c r="AI69" s="220" t="s">
        <v>162</v>
      </c>
      <c r="AJ69" s="220" t="s">
        <v>162</v>
      </c>
      <c r="AK69" s="220" t="s">
        <v>162</v>
      </c>
      <c r="AL69" s="220" t="s">
        <v>162</v>
      </c>
      <c r="AM69" s="220" t="s">
        <v>162</v>
      </c>
      <c r="AN69" s="220" t="s">
        <v>162</v>
      </c>
      <c r="AO69" s="220" t="s">
        <v>162</v>
      </c>
      <c r="AP69" s="220" t="s">
        <v>162</v>
      </c>
      <c r="AQ69" s="220" t="s">
        <v>162</v>
      </c>
      <c r="AR69" s="220" t="s">
        <v>162</v>
      </c>
      <c r="AS69" s="220" t="s">
        <v>162</v>
      </c>
      <c r="AT69" s="220" t="s">
        <v>162</v>
      </c>
      <c r="AU69" s="220" t="s">
        <v>162</v>
      </c>
      <c r="AV69" s="220" t="s">
        <v>162</v>
      </c>
      <c r="AW69" s="259"/>
    </row>
    <row r="70">
      <c r="A70" s="122"/>
      <c r="B70" s="123"/>
      <c r="C70" s="131"/>
      <c r="D70" s="131"/>
      <c r="E70" s="257" t="s">
        <v>826</v>
      </c>
      <c r="F70" s="213" t="s">
        <v>72</v>
      </c>
      <c r="G70" s="214" t="s">
        <v>161</v>
      </c>
      <c r="H70" s="240" t="s">
        <v>162</v>
      </c>
      <c r="I70" s="241">
        <f t="shared" ref="I70:AV70" si="18">I61*(1+$H$69)</f>
        <v>0.4121073215</v>
      </c>
      <c r="J70" s="241">
        <f t="shared" si="18"/>
        <v>0.544141706</v>
      </c>
      <c r="K70" s="241">
        <f t="shared" si="18"/>
        <v>0.2560666852</v>
      </c>
      <c r="L70" s="241">
        <f t="shared" si="18"/>
        <v>0.5141338914</v>
      </c>
      <c r="M70" s="241">
        <f t="shared" si="18"/>
        <v>0.3370877848</v>
      </c>
      <c r="N70" s="241">
        <f t="shared" si="18"/>
        <v>0.2850742394</v>
      </c>
      <c r="O70" s="241">
        <f t="shared" si="18"/>
        <v>0.2260588705</v>
      </c>
      <c r="P70" s="241">
        <f t="shared" si="18"/>
        <v>0.1630424597</v>
      </c>
      <c r="Q70" s="241">
        <f t="shared" si="18"/>
        <v>0.1900494929</v>
      </c>
      <c r="R70" s="241">
        <f t="shared" si="18"/>
        <v>0.8712268859</v>
      </c>
      <c r="S70" s="241">
        <f t="shared" si="18"/>
        <v>0.6741755696</v>
      </c>
      <c r="T70" s="241">
        <f t="shared" si="18"/>
        <v>0.8242146429</v>
      </c>
      <c r="U70" s="241">
        <f t="shared" si="18"/>
        <v>0.8852305328</v>
      </c>
      <c r="V70" s="241">
        <f t="shared" si="18"/>
        <v>0.6591716623</v>
      </c>
      <c r="W70" s="241">
        <f t="shared" si="18"/>
        <v>0.6641729647</v>
      </c>
      <c r="X70" s="241">
        <f t="shared" si="18"/>
        <v>0.8062099541</v>
      </c>
      <c r="Y70" s="241">
        <f t="shared" si="18"/>
        <v>0.8822297513</v>
      </c>
      <c r="Z70" s="241">
        <f t="shared" si="18"/>
        <v>0.8092107356</v>
      </c>
      <c r="AA70" s="241">
        <f t="shared" si="18"/>
        <v>0.8252149034</v>
      </c>
      <c r="AB70" s="241">
        <f t="shared" si="18"/>
        <v>0.9672518929</v>
      </c>
      <c r="AC70" s="241">
        <f t="shared" si="18"/>
        <v>0.865225323</v>
      </c>
      <c r="AD70" s="241">
        <f t="shared" si="18"/>
        <v>0.9322427758</v>
      </c>
      <c r="AE70" s="241">
        <f t="shared" si="18"/>
        <v>0.8752279279</v>
      </c>
      <c r="AF70" s="241">
        <f t="shared" si="18"/>
        <v>0.9562490275</v>
      </c>
      <c r="AG70" s="241">
        <f t="shared" si="18"/>
        <v>0.5141338914</v>
      </c>
      <c r="AH70" s="241">
        <f t="shared" si="18"/>
        <v>0.7331909384</v>
      </c>
      <c r="AI70" s="241">
        <f t="shared" si="18"/>
        <v>0.7211878126</v>
      </c>
      <c r="AJ70" s="241">
        <f t="shared" si="18"/>
        <v>0.9292419943</v>
      </c>
      <c r="AK70" s="241">
        <f t="shared" si="18"/>
        <v>0.638166192</v>
      </c>
      <c r="AL70" s="241">
        <f t="shared" si="18"/>
        <v>0.3810992463</v>
      </c>
      <c r="AM70" s="241">
        <f t="shared" si="18"/>
        <v>0.3810992463</v>
      </c>
      <c r="AN70" s="241">
        <f t="shared" si="18"/>
        <v>0.3810992463</v>
      </c>
      <c r="AO70" s="241">
        <f t="shared" si="18"/>
        <v>0.8002083912</v>
      </c>
      <c r="AP70" s="241">
        <f t="shared" si="18"/>
        <v>0.8312164664</v>
      </c>
      <c r="AQ70" s="241">
        <f t="shared" si="18"/>
        <v>0.8752279279</v>
      </c>
      <c r="AR70" s="241">
        <f t="shared" si="18"/>
        <v>0.771200837</v>
      </c>
      <c r="AS70" s="241">
        <f t="shared" si="18"/>
        <v>0.8012086517</v>
      </c>
      <c r="AT70" s="241">
        <f t="shared" si="18"/>
        <v>0.820213601</v>
      </c>
      <c r="AU70" s="241">
        <f t="shared" si="18"/>
        <v>0.3971034141</v>
      </c>
      <c r="AV70" s="241">
        <f t="shared" si="18"/>
        <v>0.1630424597</v>
      </c>
      <c r="AW70" s="259"/>
    </row>
    <row r="71">
      <c r="A71" s="122"/>
      <c r="B71" s="123"/>
      <c r="C71" s="131"/>
      <c r="D71" s="131"/>
      <c r="E71" s="257" t="s">
        <v>827</v>
      </c>
      <c r="F71" s="213" t="s">
        <v>72</v>
      </c>
      <c r="G71" s="214" t="s">
        <v>161</v>
      </c>
      <c r="H71" s="240" t="s">
        <v>162</v>
      </c>
      <c r="I71" s="241">
        <f t="shared" ref="I71:AV71" si="19">I62*(1+$H$69)</f>
        <v>0.3530919526</v>
      </c>
      <c r="J71" s="241">
        <f t="shared" si="19"/>
        <v>0.4471164386</v>
      </c>
      <c r="K71" s="241">
        <f t="shared" si="19"/>
        <v>0.1950507954</v>
      </c>
      <c r="L71" s="241">
        <f t="shared" si="19"/>
        <v>0.4371138337</v>
      </c>
      <c r="M71" s="241">
        <f t="shared" si="19"/>
        <v>0.2790726764</v>
      </c>
      <c r="N71" s="241">
        <f t="shared" si="19"/>
        <v>0.2820734579</v>
      </c>
      <c r="O71" s="241">
        <f t="shared" si="19"/>
        <v>0.2020526188</v>
      </c>
      <c r="P71" s="241">
        <f t="shared" si="19"/>
        <v>0.09402448597</v>
      </c>
      <c r="Q71" s="241">
        <f t="shared" si="19"/>
        <v>0.1470382919</v>
      </c>
      <c r="R71" s="241">
        <f t="shared" si="19"/>
        <v>0.816212559</v>
      </c>
      <c r="S71" s="241">
        <f t="shared" si="19"/>
        <v>0.5661474368</v>
      </c>
      <c r="T71" s="241">
        <f t="shared" si="19"/>
        <v>0.8022089122</v>
      </c>
      <c r="U71" s="241">
        <f t="shared" si="19"/>
        <v>0.8952331377</v>
      </c>
      <c r="V71" s="241">
        <f t="shared" si="19"/>
        <v>0.6121594193</v>
      </c>
      <c r="W71" s="241">
        <f t="shared" si="19"/>
        <v>0.683177914</v>
      </c>
      <c r="X71" s="241">
        <f t="shared" si="19"/>
        <v>0.7291898965</v>
      </c>
      <c r="Y71" s="241">
        <f t="shared" si="19"/>
        <v>0.8352175083</v>
      </c>
      <c r="Z71" s="241">
        <f t="shared" si="19"/>
        <v>0.7571971902</v>
      </c>
      <c r="AA71" s="241">
        <f t="shared" si="19"/>
        <v>0.7972076097</v>
      </c>
      <c r="AB71" s="241">
        <f t="shared" si="19"/>
        <v>0.8862307933</v>
      </c>
      <c r="AC71" s="241">
        <f t="shared" si="19"/>
        <v>0.8712268859</v>
      </c>
      <c r="AD71" s="241">
        <f t="shared" si="19"/>
        <v>0.8492211552</v>
      </c>
      <c r="AE71" s="241">
        <f t="shared" si="19"/>
        <v>0.8772284489</v>
      </c>
      <c r="AF71" s="241">
        <f t="shared" si="19"/>
        <v>0.8812294908</v>
      </c>
      <c r="AG71" s="241">
        <f t="shared" si="19"/>
        <v>0.4371138337</v>
      </c>
      <c r="AH71" s="241">
        <f t="shared" si="19"/>
        <v>0.6371659315</v>
      </c>
      <c r="AI71" s="241">
        <f t="shared" si="19"/>
        <v>0.7081844262</v>
      </c>
      <c r="AJ71" s="241">
        <f t="shared" si="19"/>
        <v>0.9362438177</v>
      </c>
      <c r="AK71" s="241">
        <f t="shared" si="19"/>
        <v>0.5641469158</v>
      </c>
      <c r="AL71" s="241">
        <f t="shared" si="19"/>
        <v>0.3630945575</v>
      </c>
      <c r="AM71" s="241">
        <f t="shared" si="19"/>
        <v>0.3630945575</v>
      </c>
      <c r="AN71" s="241">
        <f t="shared" si="19"/>
        <v>0.3630945575</v>
      </c>
      <c r="AO71" s="241">
        <f t="shared" si="19"/>
        <v>0.7111852077</v>
      </c>
      <c r="AP71" s="241">
        <f t="shared" si="19"/>
        <v>0.7641990136</v>
      </c>
      <c r="AQ71" s="241">
        <f t="shared" si="19"/>
        <v>0.8312164664</v>
      </c>
      <c r="AR71" s="241">
        <f t="shared" si="19"/>
        <v>0.6911799979</v>
      </c>
      <c r="AS71" s="241">
        <f t="shared" si="19"/>
        <v>0.6991820818</v>
      </c>
      <c r="AT71" s="241">
        <f t="shared" si="19"/>
        <v>0.820213601</v>
      </c>
      <c r="AU71" s="241">
        <f t="shared" si="19"/>
        <v>0.3590935156</v>
      </c>
      <c r="AV71" s="241">
        <f t="shared" si="19"/>
        <v>0.1750455856</v>
      </c>
      <c r="AW71" s="259"/>
    </row>
    <row r="72">
      <c r="A72" s="122"/>
      <c r="B72" s="123"/>
      <c r="C72" s="131"/>
      <c r="D72" s="131"/>
      <c r="E72" s="257" t="s">
        <v>828</v>
      </c>
      <c r="F72" s="213" t="s">
        <v>72</v>
      </c>
      <c r="G72" s="214" t="s">
        <v>161</v>
      </c>
      <c r="H72" s="240" t="s">
        <v>162</v>
      </c>
      <c r="I72" s="241">
        <f t="shared" ref="I72:AV72" si="20">I63*(1+$H$69)</f>
        <v>0.2520656432</v>
      </c>
      <c r="J72" s="241">
        <f t="shared" si="20"/>
        <v>0.2910758023</v>
      </c>
      <c r="K72" s="241">
        <f t="shared" si="20"/>
        <v>0.09002344401</v>
      </c>
      <c r="L72" s="241">
        <f t="shared" si="20"/>
        <v>0.3250846589</v>
      </c>
      <c r="M72" s="241">
        <f t="shared" si="20"/>
        <v>0.2090544422</v>
      </c>
      <c r="N72" s="241">
        <f t="shared" si="20"/>
        <v>0.1830476695</v>
      </c>
      <c r="O72" s="241">
        <f t="shared" si="20"/>
        <v>0.1670435017</v>
      </c>
      <c r="P72" s="241">
        <f t="shared" si="20"/>
        <v>0.05201354543</v>
      </c>
      <c r="Q72" s="241">
        <f t="shared" si="20"/>
        <v>0.09502474646</v>
      </c>
      <c r="R72" s="241">
        <f t="shared" si="20"/>
        <v>0.6861786955</v>
      </c>
      <c r="S72" s="241">
        <f t="shared" si="20"/>
        <v>0.503131026</v>
      </c>
      <c r="T72" s="241">
        <f t="shared" si="20"/>
        <v>0.7341911989</v>
      </c>
      <c r="U72" s="241">
        <f t="shared" si="20"/>
        <v>0.8242146429</v>
      </c>
      <c r="V72" s="241">
        <f t="shared" si="20"/>
        <v>0.503131026</v>
      </c>
      <c r="W72" s="241">
        <f t="shared" si="20"/>
        <v>0.595154991</v>
      </c>
      <c r="X72" s="241">
        <f t="shared" si="20"/>
        <v>0.6391664525</v>
      </c>
      <c r="Y72" s="241">
        <f t="shared" si="20"/>
        <v>0.7692003161</v>
      </c>
      <c r="Z72" s="241">
        <f t="shared" si="20"/>
        <v>0.6371659315</v>
      </c>
      <c r="AA72" s="241">
        <f t="shared" si="20"/>
        <v>0.6621724437</v>
      </c>
      <c r="AB72" s="241">
        <f t="shared" si="20"/>
        <v>0.861224281</v>
      </c>
      <c r="AC72" s="241">
        <f t="shared" si="20"/>
        <v>0.8012086517</v>
      </c>
      <c r="AD72" s="241">
        <f t="shared" si="20"/>
        <v>0.7862047444</v>
      </c>
      <c r="AE72" s="241">
        <f t="shared" si="20"/>
        <v>0.7191872916</v>
      </c>
      <c r="AF72" s="241">
        <f t="shared" si="20"/>
        <v>0.7171867706</v>
      </c>
      <c r="AG72" s="241">
        <f t="shared" si="20"/>
        <v>0.3250846589</v>
      </c>
      <c r="AH72" s="241">
        <f t="shared" si="20"/>
        <v>0.4761239928</v>
      </c>
      <c r="AI72" s="241">
        <f t="shared" si="20"/>
        <v>0.6131596798</v>
      </c>
      <c r="AJ72" s="241">
        <f t="shared" si="20"/>
        <v>0.8562229786</v>
      </c>
      <c r="AK72" s="241">
        <f t="shared" si="20"/>
        <v>0.4471164386</v>
      </c>
      <c r="AL72" s="241">
        <f t="shared" si="20"/>
        <v>0.3060797096</v>
      </c>
      <c r="AM72" s="241">
        <f t="shared" si="20"/>
        <v>0.3060797096</v>
      </c>
      <c r="AN72" s="241">
        <f t="shared" si="20"/>
        <v>0.3060797096</v>
      </c>
      <c r="AO72" s="241">
        <f t="shared" si="20"/>
        <v>0.589153428</v>
      </c>
      <c r="AP72" s="241">
        <f t="shared" si="20"/>
        <v>0.7141859892</v>
      </c>
      <c r="AQ72" s="241">
        <f t="shared" si="20"/>
        <v>0.6571711413</v>
      </c>
      <c r="AR72" s="241">
        <f t="shared" si="20"/>
        <v>0.6491690574</v>
      </c>
      <c r="AS72" s="241">
        <f t="shared" si="20"/>
        <v>0.5711487392</v>
      </c>
      <c r="AT72" s="241">
        <f t="shared" si="20"/>
        <v>0.728189636</v>
      </c>
      <c r="AU72" s="241">
        <f t="shared" si="20"/>
        <v>0.2000520978</v>
      </c>
      <c r="AV72" s="241">
        <f t="shared" si="20"/>
        <v>0.1130294353</v>
      </c>
      <c r="AW72" s="259"/>
    </row>
    <row r="73">
      <c r="A73" s="122"/>
      <c r="B73" s="123"/>
      <c r="C73" s="131"/>
      <c r="D73" s="131"/>
      <c r="E73" s="257" t="s">
        <v>829</v>
      </c>
      <c r="F73" s="213" t="s">
        <v>72</v>
      </c>
      <c r="G73" s="214" t="s">
        <v>161</v>
      </c>
      <c r="H73" s="240" t="s">
        <v>162</v>
      </c>
      <c r="I73" s="241">
        <f t="shared" ref="I73:AV73" si="21">I64*(1+$H$69)</f>
        <v>0.1850481905</v>
      </c>
      <c r="J73" s="241">
        <f t="shared" si="21"/>
        <v>0.2500651223</v>
      </c>
      <c r="K73" s="241">
        <f t="shared" si="21"/>
        <v>0.07101849472</v>
      </c>
      <c r="L73" s="241">
        <f t="shared" si="21"/>
        <v>0.2950768443</v>
      </c>
      <c r="M73" s="241">
        <f t="shared" si="21"/>
        <v>0.1590414178</v>
      </c>
      <c r="N73" s="241">
        <f t="shared" si="21"/>
        <v>0.1210315192</v>
      </c>
      <c r="O73" s="241">
        <f t="shared" si="21"/>
        <v>0.1130294353</v>
      </c>
      <c r="P73" s="241">
        <f t="shared" si="21"/>
        <v>0.02900755418</v>
      </c>
      <c r="Q73" s="241">
        <f t="shared" si="21"/>
        <v>0.08902318352</v>
      </c>
      <c r="R73" s="241">
        <f t="shared" si="21"/>
        <v>0.548142748</v>
      </c>
      <c r="S73" s="241">
        <f t="shared" si="21"/>
        <v>0.3790987253</v>
      </c>
      <c r="T73" s="241">
        <f t="shared" si="21"/>
        <v>0.6841781745</v>
      </c>
      <c r="U73" s="241">
        <f t="shared" si="21"/>
        <v>0.7621984926</v>
      </c>
      <c r="V73" s="241">
        <f t="shared" si="21"/>
        <v>0.4261109683</v>
      </c>
      <c r="W73" s="241">
        <f t="shared" si="21"/>
        <v>0.5741495207</v>
      </c>
      <c r="X73" s="241">
        <f t="shared" si="21"/>
        <v>0.4771242533</v>
      </c>
      <c r="Y73" s="241">
        <f t="shared" si="21"/>
        <v>0.6951810399</v>
      </c>
      <c r="Z73" s="241">
        <f t="shared" si="21"/>
        <v>0.5721489997</v>
      </c>
      <c r="AA73" s="241">
        <f t="shared" si="21"/>
        <v>0.544141706</v>
      </c>
      <c r="AB73" s="241">
        <f t="shared" si="21"/>
        <v>0.7451940643</v>
      </c>
      <c r="AC73" s="241">
        <f t="shared" si="21"/>
        <v>0.7221880731</v>
      </c>
      <c r="AD73" s="241">
        <f t="shared" si="21"/>
        <v>0.7381922409</v>
      </c>
      <c r="AE73" s="241">
        <f t="shared" si="21"/>
        <v>0.6571711413</v>
      </c>
      <c r="AF73" s="241">
        <f t="shared" si="21"/>
        <v>0.6561708808</v>
      </c>
      <c r="AG73" s="241">
        <f t="shared" si="21"/>
        <v>0.2950768443</v>
      </c>
      <c r="AH73" s="241">
        <f t="shared" si="21"/>
        <v>0.3841000278</v>
      </c>
      <c r="AI73" s="241">
        <f t="shared" si="21"/>
        <v>0.4911279001</v>
      </c>
      <c r="AJ73" s="241">
        <f t="shared" si="21"/>
        <v>0.8022089122</v>
      </c>
      <c r="AK73" s="241">
        <f t="shared" si="21"/>
        <v>0.3490909107</v>
      </c>
      <c r="AL73" s="241">
        <f t="shared" si="21"/>
        <v>0.2000520978</v>
      </c>
      <c r="AM73" s="241">
        <f t="shared" si="21"/>
        <v>0.2000520978</v>
      </c>
      <c r="AN73" s="241">
        <f t="shared" si="21"/>
        <v>0.2000520978</v>
      </c>
      <c r="AO73" s="241">
        <f t="shared" si="21"/>
        <v>0.5211357148</v>
      </c>
      <c r="AP73" s="241">
        <f t="shared" si="21"/>
        <v>0.6621724437</v>
      </c>
      <c r="AQ73" s="241">
        <f t="shared" si="21"/>
        <v>0.6001562934</v>
      </c>
      <c r="AR73" s="241">
        <f t="shared" si="21"/>
        <v>0.5411409246</v>
      </c>
      <c r="AS73" s="241">
        <f t="shared" si="21"/>
        <v>0.452117741</v>
      </c>
      <c r="AT73" s="241">
        <f t="shared" si="21"/>
        <v>0.6601719227</v>
      </c>
      <c r="AU73" s="241">
        <f t="shared" si="21"/>
        <v>0.1640427202</v>
      </c>
      <c r="AV73" s="241">
        <f t="shared" si="21"/>
        <v>0.08702266254</v>
      </c>
      <c r="AW73" s="259"/>
    </row>
    <row r="74">
      <c r="A74" s="122"/>
      <c r="B74" s="123"/>
      <c r="C74" s="123"/>
      <c r="D74" s="123"/>
      <c r="E74" s="199" t="s">
        <v>830</v>
      </c>
      <c r="F74" s="200" t="s">
        <v>72</v>
      </c>
      <c r="G74" s="629" t="s">
        <v>161</v>
      </c>
      <c r="H74" s="630" t="s">
        <v>162</v>
      </c>
      <c r="I74" s="385">
        <f t="shared" ref="I74:AV74" si="22">I65*(1+$H$69)</f>
        <v>0.2220578286</v>
      </c>
      <c r="J74" s="385">
        <f t="shared" si="22"/>
        <v>0.3240843984</v>
      </c>
      <c r="K74" s="385">
        <f t="shared" si="22"/>
        <v>0.1040270909</v>
      </c>
      <c r="L74" s="241">
        <f t="shared" si="22"/>
        <v>0.4311122708</v>
      </c>
      <c r="M74" s="385">
        <f t="shared" si="22"/>
        <v>0.2410627779</v>
      </c>
      <c r="N74" s="385">
        <f t="shared" si="22"/>
        <v>0.2110549632</v>
      </c>
      <c r="O74" s="385">
        <f t="shared" si="22"/>
        <v>0.2550664247</v>
      </c>
      <c r="P74" s="385">
        <f t="shared" si="22"/>
        <v>0.09802552792</v>
      </c>
      <c r="Q74" s="385">
        <f t="shared" si="22"/>
        <v>0.1620421992</v>
      </c>
      <c r="R74" s="385">
        <f t="shared" si="22"/>
        <v>0.7041833843</v>
      </c>
      <c r="S74" s="385">
        <f t="shared" si="22"/>
        <v>0.4881271186</v>
      </c>
      <c r="T74" s="385">
        <f t="shared" si="22"/>
        <v>0.6371659315</v>
      </c>
      <c r="U74" s="385">
        <f t="shared" si="22"/>
        <v>0.7501953668</v>
      </c>
      <c r="V74" s="385">
        <f t="shared" si="22"/>
        <v>0.5161344123</v>
      </c>
      <c r="W74" s="385">
        <f t="shared" si="22"/>
        <v>0.5361396221</v>
      </c>
      <c r="X74" s="385">
        <f t="shared" si="22"/>
        <v>0.5811513441</v>
      </c>
      <c r="Y74" s="385">
        <f t="shared" si="22"/>
        <v>0.7371919804</v>
      </c>
      <c r="Z74" s="385">
        <f t="shared" si="22"/>
        <v>0.6371659315</v>
      </c>
      <c r="AA74" s="385">
        <f t="shared" si="22"/>
        <v>0.5761500417</v>
      </c>
      <c r="AB74" s="385">
        <f t="shared" si="22"/>
        <v>0.861224281</v>
      </c>
      <c r="AC74" s="385">
        <f t="shared" si="22"/>
        <v>0.8012086517</v>
      </c>
      <c r="AD74" s="385">
        <f t="shared" si="22"/>
        <v>0.8122115171</v>
      </c>
      <c r="AE74" s="385">
        <f t="shared" si="22"/>
        <v>0.7631987531</v>
      </c>
      <c r="AF74" s="385">
        <f t="shared" si="22"/>
        <v>0.7461943248</v>
      </c>
      <c r="AG74" s="385">
        <f t="shared" si="22"/>
        <v>0.4311122708</v>
      </c>
      <c r="AH74" s="385">
        <f t="shared" si="22"/>
        <v>0.6501693179</v>
      </c>
      <c r="AI74" s="385">
        <f t="shared" si="22"/>
        <v>0.6691742671</v>
      </c>
      <c r="AJ74" s="385">
        <f t="shared" si="22"/>
        <v>0.8802292303</v>
      </c>
      <c r="AK74" s="385">
        <f t="shared" si="22"/>
        <v>0.497129463</v>
      </c>
      <c r="AL74" s="385">
        <f t="shared" si="22"/>
        <v>0.3120812726</v>
      </c>
      <c r="AM74" s="385">
        <f t="shared" si="22"/>
        <v>0.3120812726</v>
      </c>
      <c r="AN74" s="385">
        <f t="shared" si="22"/>
        <v>0.3120812726</v>
      </c>
      <c r="AO74" s="385">
        <f t="shared" si="22"/>
        <v>0.5871529071</v>
      </c>
      <c r="AP74" s="385">
        <f t="shared" si="22"/>
        <v>0.7221880731</v>
      </c>
      <c r="AQ74" s="385">
        <f t="shared" si="22"/>
        <v>0.6701745276</v>
      </c>
      <c r="AR74" s="385">
        <f t="shared" si="22"/>
        <v>0.5311383197</v>
      </c>
      <c r="AS74" s="385">
        <f t="shared" si="22"/>
        <v>0.6531700993</v>
      </c>
      <c r="AT74" s="385">
        <f t="shared" si="22"/>
        <v>0.7071841657</v>
      </c>
      <c r="AU74" s="385">
        <f t="shared" si="22"/>
        <v>0.2920760628</v>
      </c>
      <c r="AV74" s="385">
        <f t="shared" si="22"/>
        <v>0.1470382919</v>
      </c>
      <c r="AW74" s="205"/>
    </row>
    <row r="75">
      <c r="A75" s="122"/>
      <c r="B75" s="123"/>
      <c r="C75" s="123"/>
      <c r="D75" s="123"/>
      <c r="E75" s="140"/>
      <c r="F75" s="141"/>
      <c r="G75" s="179"/>
      <c r="H75" s="180"/>
      <c r="I75" s="317"/>
      <c r="J75" s="317"/>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91"/>
    </row>
    <row r="76">
      <c r="A76" s="122"/>
      <c r="B76" s="123"/>
      <c r="C76" s="131" t="s">
        <v>831</v>
      </c>
      <c r="F76" s="141"/>
      <c r="G76" s="468"/>
      <c r="H76" s="180"/>
      <c r="I76" s="317"/>
      <c r="J76" s="317"/>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c r="AR76" s="317"/>
      <c r="AS76" s="317"/>
      <c r="AT76" s="317"/>
      <c r="AU76" s="317"/>
      <c r="AV76" s="317"/>
      <c r="AW76" s="191"/>
    </row>
    <row r="77">
      <c r="A77" s="122"/>
      <c r="B77" s="123"/>
      <c r="C77" s="131"/>
      <c r="D77" s="131"/>
      <c r="E77" s="254" t="s">
        <v>832</v>
      </c>
      <c r="F77" s="193" t="s">
        <v>72</v>
      </c>
      <c r="G77" s="194" t="s">
        <v>161</v>
      </c>
      <c r="H77" s="236" t="s">
        <v>162</v>
      </c>
      <c r="I77" s="383">
        <f t="shared" ref="I77:AV77" si="23">I70/I48</f>
        <v>0.8392149152</v>
      </c>
      <c r="J77" s="383">
        <f t="shared" si="23"/>
        <v>0.9221559186</v>
      </c>
      <c r="K77" s="383">
        <f t="shared" si="23"/>
        <v>0.4032029584</v>
      </c>
      <c r="L77" s="383">
        <f t="shared" si="23"/>
        <v>0.6582176976</v>
      </c>
      <c r="M77" s="383">
        <f t="shared" si="23"/>
        <v>0.5589462653</v>
      </c>
      <c r="N77" s="383">
        <f t="shared" si="23"/>
        <v>0.50094502</v>
      </c>
      <c r="O77" s="383">
        <f t="shared" si="23"/>
        <v>0.3553929378</v>
      </c>
      <c r="P77" s="383">
        <f t="shared" si="23"/>
        <v>0.4837435345</v>
      </c>
      <c r="Q77" s="383">
        <f t="shared" si="23"/>
        <v>0.3740652446</v>
      </c>
      <c r="R77" s="383">
        <f t="shared" si="23"/>
        <v>0.9625583056</v>
      </c>
      <c r="S77" s="383">
        <f t="shared" si="23"/>
        <v>0.8063267894</v>
      </c>
      <c r="T77" s="383">
        <f t="shared" si="23"/>
        <v>0.9627442134</v>
      </c>
      <c r="U77" s="383">
        <f t="shared" si="23"/>
        <v>1.048716966</v>
      </c>
      <c r="V77" s="383">
        <f t="shared" si="23"/>
        <v>0.8353450075</v>
      </c>
      <c r="W77" s="383">
        <f t="shared" si="23"/>
        <v>0.8128370533</v>
      </c>
      <c r="X77" s="383">
        <f t="shared" si="23"/>
        <v>1.243991766</v>
      </c>
      <c r="Y77" s="383">
        <f t="shared" si="23"/>
        <v>0.9474937941</v>
      </c>
      <c r="Z77" s="383">
        <f t="shared" si="23"/>
        <v>0.968990493</v>
      </c>
      <c r="AA77" s="383">
        <f t="shared" si="23"/>
        <v>0.8309256586</v>
      </c>
      <c r="AB77" s="383">
        <f t="shared" si="23"/>
        <v>1.047809286</v>
      </c>
      <c r="AC77" s="383">
        <f t="shared" si="23"/>
        <v>0.8738530026</v>
      </c>
      <c r="AD77" s="383">
        <f t="shared" si="23"/>
        <v>0.9405886369</v>
      </c>
      <c r="AE77" s="383">
        <f t="shared" si="23"/>
        <v>0.9192392814</v>
      </c>
      <c r="AF77" s="383">
        <f t="shared" si="23"/>
        <v>1.009637292</v>
      </c>
      <c r="AG77" s="383">
        <f t="shared" si="23"/>
        <v>0.6582176976</v>
      </c>
      <c r="AH77" s="383">
        <f t="shared" si="23"/>
        <v>0.7942546088</v>
      </c>
      <c r="AI77" s="383">
        <f t="shared" si="23"/>
        <v>0.9973657204</v>
      </c>
      <c r="AJ77" s="383">
        <f t="shared" si="23"/>
        <v>0.9842404049</v>
      </c>
      <c r="AK77" s="383">
        <f t="shared" si="23"/>
        <v>0.8056621613</v>
      </c>
      <c r="AL77" s="383">
        <f t="shared" si="23"/>
        <v>0.5712899863</v>
      </c>
      <c r="AM77" s="383">
        <f t="shared" si="23"/>
        <v>0.5712899863</v>
      </c>
      <c r="AN77" s="383">
        <f t="shared" si="23"/>
        <v>0.5712899863</v>
      </c>
      <c r="AO77" s="383">
        <f t="shared" si="23"/>
        <v>1.106647124</v>
      </c>
      <c r="AP77" s="383">
        <f t="shared" si="23"/>
        <v>1.106671069</v>
      </c>
      <c r="AQ77" s="383">
        <f t="shared" si="23"/>
        <v>0.9409847268</v>
      </c>
      <c r="AR77" s="383">
        <f t="shared" si="23"/>
        <v>0.9346691306</v>
      </c>
      <c r="AS77" s="383">
        <f t="shared" si="23"/>
        <v>0.9134618049</v>
      </c>
      <c r="AT77" s="383">
        <f t="shared" si="23"/>
        <v>0.9082043381</v>
      </c>
      <c r="AU77" s="383">
        <f t="shared" si="23"/>
        <v>0.5584423886</v>
      </c>
      <c r="AV77" s="383">
        <f t="shared" si="23"/>
        <v>0.2167840042</v>
      </c>
      <c r="AW77" s="256"/>
    </row>
    <row r="78">
      <c r="A78" s="122"/>
      <c r="B78" s="123"/>
      <c r="C78" s="131"/>
      <c r="D78" s="131"/>
      <c r="E78" s="257" t="s">
        <v>833</v>
      </c>
      <c r="F78" s="213" t="s">
        <v>72</v>
      </c>
      <c r="G78" s="214" t="s">
        <v>161</v>
      </c>
      <c r="H78" s="240" t="s">
        <v>162</v>
      </c>
      <c r="I78" s="241">
        <f t="shared" ref="I78:AV78" si="24">I71/I49</f>
        <v>0.8346258047</v>
      </c>
      <c r="J78" s="241">
        <f t="shared" si="24"/>
        <v>0.8248323896</v>
      </c>
      <c r="K78" s="241">
        <f t="shared" si="24"/>
        <v>0.3176316058</v>
      </c>
      <c r="L78" s="241">
        <f t="shared" si="24"/>
        <v>0.6020080328</v>
      </c>
      <c r="M78" s="241">
        <f t="shared" si="24"/>
        <v>0.5082639752</v>
      </c>
      <c r="N78" s="241">
        <f t="shared" si="24"/>
        <v>0.5321458856</v>
      </c>
      <c r="O78" s="241">
        <f t="shared" si="24"/>
        <v>0.3395407266</v>
      </c>
      <c r="P78" s="241">
        <f t="shared" si="24"/>
        <v>0.3264320826</v>
      </c>
      <c r="Q78" s="241">
        <f t="shared" si="24"/>
        <v>0.3267098972</v>
      </c>
      <c r="R78" s="241">
        <f t="shared" si="24"/>
        <v>0.9252925034</v>
      </c>
      <c r="S78" s="241">
        <f t="shared" si="24"/>
        <v>0.7547665379</v>
      </c>
      <c r="T78" s="241">
        <f t="shared" si="24"/>
        <v>0.9305175583</v>
      </c>
      <c r="U78" s="241">
        <f t="shared" si="24"/>
        <v>1.079756867</v>
      </c>
      <c r="V78" s="241">
        <f t="shared" si="24"/>
        <v>0.7897819239</v>
      </c>
      <c r="W78" s="241">
        <f t="shared" si="24"/>
        <v>0.8454088948</v>
      </c>
      <c r="X78" s="241">
        <f t="shared" si="24"/>
        <v>1.25923398</v>
      </c>
      <c r="Y78" s="241">
        <f t="shared" si="24"/>
        <v>0.897003762</v>
      </c>
      <c r="Z78" s="241">
        <f t="shared" si="24"/>
        <v>0.9346915803</v>
      </c>
      <c r="AA78" s="241">
        <f t="shared" si="24"/>
        <v>0.8043445747</v>
      </c>
      <c r="AB78" s="241">
        <f t="shared" si="24"/>
        <v>0.9610816179</v>
      </c>
      <c r="AC78" s="241">
        <f t="shared" si="24"/>
        <v>0.9208406624</v>
      </c>
      <c r="AD78" s="241">
        <f t="shared" si="24"/>
        <v>0.8620430001</v>
      </c>
      <c r="AE78" s="241">
        <f t="shared" si="24"/>
        <v>0.9691890173</v>
      </c>
      <c r="AF78" s="241">
        <f t="shared" si="24"/>
        <v>0.9363619447</v>
      </c>
      <c r="AG78" s="241">
        <f t="shared" si="24"/>
        <v>0.6020080328</v>
      </c>
      <c r="AH78" s="241">
        <f t="shared" si="24"/>
        <v>0.7390769135</v>
      </c>
      <c r="AI78" s="241">
        <f t="shared" si="24"/>
        <v>1.068014624</v>
      </c>
      <c r="AJ78" s="241">
        <f t="shared" si="24"/>
        <v>1.01312107</v>
      </c>
      <c r="AK78" s="241">
        <f t="shared" si="24"/>
        <v>0.7845266186</v>
      </c>
      <c r="AL78" s="241">
        <f t="shared" si="24"/>
        <v>0.5846184199</v>
      </c>
      <c r="AM78" s="241">
        <f t="shared" si="24"/>
        <v>0.5846184199</v>
      </c>
      <c r="AN78" s="241">
        <f t="shared" si="24"/>
        <v>0.5846184199</v>
      </c>
      <c r="AO78" s="241">
        <f t="shared" si="24"/>
        <v>1.066108085</v>
      </c>
      <c r="AP78" s="241">
        <f t="shared" si="24"/>
        <v>1.041009682</v>
      </c>
      <c r="AQ78" s="241">
        <f t="shared" si="24"/>
        <v>0.9093106926</v>
      </c>
      <c r="AR78" s="241">
        <f t="shared" si="24"/>
        <v>0.914142124</v>
      </c>
      <c r="AS78" s="241">
        <f t="shared" si="24"/>
        <v>0.8738656305</v>
      </c>
      <c r="AT78" s="241">
        <f t="shared" si="24"/>
        <v>0.9152996845</v>
      </c>
      <c r="AU78" s="241">
        <f t="shared" si="24"/>
        <v>0.5021643488</v>
      </c>
      <c r="AV78" s="241">
        <f t="shared" si="24"/>
        <v>0.2371587523</v>
      </c>
      <c r="AW78" s="259"/>
    </row>
    <row r="79">
      <c r="A79" s="122"/>
      <c r="B79" s="123"/>
      <c r="C79" s="131"/>
      <c r="D79" s="131"/>
      <c r="E79" s="257" t="s">
        <v>834</v>
      </c>
      <c r="F79" s="213" t="s">
        <v>72</v>
      </c>
      <c r="G79" s="214" t="s">
        <v>161</v>
      </c>
      <c r="H79" s="240" t="s">
        <v>162</v>
      </c>
      <c r="I79" s="241">
        <f t="shared" ref="I79:AV79" si="25">I72/I50</f>
        <v>0.6703014607</v>
      </c>
      <c r="J79" s="241">
        <f t="shared" si="25"/>
        <v>0.5684345907</v>
      </c>
      <c r="K79" s="241">
        <f t="shared" si="25"/>
        <v>0.1595955859</v>
      </c>
      <c r="L79" s="241">
        <f t="shared" si="25"/>
        <v>0.4887864811</v>
      </c>
      <c r="M79" s="241">
        <f t="shared" si="25"/>
        <v>0.4447396993</v>
      </c>
      <c r="N79" s="241">
        <f t="shared" si="25"/>
        <v>0.3927558324</v>
      </c>
      <c r="O79" s="241">
        <f t="shared" si="25"/>
        <v>0.2859967474</v>
      </c>
      <c r="P79" s="241">
        <f t="shared" si="25"/>
        <v>0.2826460956</v>
      </c>
      <c r="Q79" s="241">
        <f t="shared" si="25"/>
        <v>0.2691574281</v>
      </c>
      <c r="R79" s="241">
        <f t="shared" si="25"/>
        <v>0.7977799814</v>
      </c>
      <c r="S79" s="241">
        <f t="shared" si="25"/>
        <v>0.7553552044</v>
      </c>
      <c r="T79" s="241">
        <f t="shared" si="25"/>
        <v>0.8919770793</v>
      </c>
      <c r="U79" s="241">
        <f t="shared" si="25"/>
        <v>1.092982821</v>
      </c>
      <c r="V79" s="241">
        <f t="shared" si="25"/>
        <v>0.6619296923</v>
      </c>
      <c r="W79" s="241">
        <f t="shared" si="25"/>
        <v>0.7987634111</v>
      </c>
      <c r="X79" s="241">
        <f t="shared" si="25"/>
        <v>1.410782702</v>
      </c>
      <c r="Y79" s="241">
        <f t="shared" si="25"/>
        <v>0.8378014903</v>
      </c>
      <c r="Z79" s="241">
        <f t="shared" si="25"/>
        <v>0.8438202642</v>
      </c>
      <c r="AA79" s="241">
        <f t="shared" si="25"/>
        <v>0.6687753615</v>
      </c>
      <c r="AB79" s="241">
        <f t="shared" si="25"/>
        <v>0.9483633736</v>
      </c>
      <c r="AC79" s="241">
        <f t="shared" si="25"/>
        <v>0.8495291653</v>
      </c>
      <c r="AD79" s="241">
        <f t="shared" si="25"/>
        <v>0.812930732</v>
      </c>
      <c r="AE79" s="241">
        <f t="shared" si="25"/>
        <v>0.8246504027</v>
      </c>
      <c r="AF79" s="241">
        <f t="shared" si="25"/>
        <v>0.7694151143</v>
      </c>
      <c r="AG79" s="241">
        <f t="shared" si="25"/>
        <v>0.4887864811</v>
      </c>
      <c r="AH79" s="241">
        <f t="shared" si="25"/>
        <v>0.6433283689</v>
      </c>
      <c r="AI79" s="241">
        <f t="shared" si="25"/>
        <v>0.9564448102</v>
      </c>
      <c r="AJ79" s="241">
        <f t="shared" si="25"/>
        <v>0.9501812225</v>
      </c>
      <c r="AK79" s="241">
        <f t="shared" si="25"/>
        <v>0.6909724191</v>
      </c>
      <c r="AL79" s="241">
        <f t="shared" si="25"/>
        <v>0.6157756449</v>
      </c>
      <c r="AM79" s="241">
        <f t="shared" si="25"/>
        <v>0.6157756449</v>
      </c>
      <c r="AN79" s="241">
        <f t="shared" si="25"/>
        <v>0.6157756449</v>
      </c>
      <c r="AO79" s="241">
        <f t="shared" si="25"/>
        <v>1.015651633</v>
      </c>
      <c r="AP79" s="241">
        <f t="shared" si="25"/>
        <v>1.047059369</v>
      </c>
      <c r="AQ79" s="241">
        <f t="shared" si="25"/>
        <v>0.7449965376</v>
      </c>
      <c r="AR79" s="241">
        <f t="shared" si="25"/>
        <v>1.011037208</v>
      </c>
      <c r="AS79" s="241">
        <f t="shared" si="25"/>
        <v>0.7330880168</v>
      </c>
      <c r="AT79" s="241">
        <f t="shared" si="25"/>
        <v>0.8359315066</v>
      </c>
      <c r="AU79" s="241">
        <f t="shared" si="25"/>
        <v>0.306319246</v>
      </c>
      <c r="AV79" s="241">
        <f t="shared" si="25"/>
        <v>0.1587288683</v>
      </c>
      <c r="AW79" s="259"/>
    </row>
    <row r="80">
      <c r="A80" s="122"/>
      <c r="B80" s="123"/>
      <c r="C80" s="131"/>
      <c r="D80" s="131"/>
      <c r="E80" s="257" t="s">
        <v>835</v>
      </c>
      <c r="F80" s="213" t="s">
        <v>72</v>
      </c>
      <c r="G80" s="214" t="s">
        <v>161</v>
      </c>
      <c r="H80" s="240" t="s">
        <v>162</v>
      </c>
      <c r="I80" s="241">
        <f t="shared" ref="I80:AV80" si="26">I73/I51</f>
        <v>0.5911325322</v>
      </c>
      <c r="J80" s="241">
        <f t="shared" si="26"/>
        <v>0.6579818015</v>
      </c>
      <c r="K80" s="241">
        <f t="shared" si="26"/>
        <v>0.1455110574</v>
      </c>
      <c r="L80" s="241">
        <f t="shared" si="26"/>
        <v>0.4892853064</v>
      </c>
      <c r="M80" s="241">
        <f t="shared" si="26"/>
        <v>0.3750496268</v>
      </c>
      <c r="N80" s="241">
        <f t="shared" si="26"/>
        <v>0.2937281867</v>
      </c>
      <c r="O80" s="241">
        <f t="shared" si="26"/>
        <v>0.2051088098</v>
      </c>
      <c r="P80" s="241">
        <f t="shared" si="26"/>
        <v>0.2522072853</v>
      </c>
      <c r="Q80" s="241">
        <f t="shared" si="26"/>
        <v>0.3589184601</v>
      </c>
      <c r="R80" s="241">
        <f t="shared" si="26"/>
        <v>0.7307633618</v>
      </c>
      <c r="S80" s="241">
        <f t="shared" si="26"/>
        <v>0.703247043</v>
      </c>
      <c r="T80" s="241">
        <f t="shared" si="26"/>
        <v>0.9358283438</v>
      </c>
      <c r="U80" s="241">
        <f t="shared" si="26"/>
        <v>1.0354631</v>
      </c>
      <c r="V80" s="241">
        <f t="shared" si="26"/>
        <v>0.6069179146</v>
      </c>
      <c r="W80" s="241">
        <f t="shared" si="26"/>
        <v>0.9141336977</v>
      </c>
      <c r="X80" s="241">
        <f t="shared" si="26"/>
        <v>1.584927327</v>
      </c>
      <c r="Y80" s="241">
        <f t="shared" si="26"/>
        <v>0.9267893001</v>
      </c>
      <c r="Z80" s="241">
        <f t="shared" si="26"/>
        <v>0.818420168</v>
      </c>
      <c r="AA80" s="241">
        <f t="shared" si="26"/>
        <v>0.5512380871</v>
      </c>
      <c r="AB80" s="241">
        <f t="shared" si="26"/>
        <v>0.9009656493</v>
      </c>
      <c r="AC80" s="241">
        <f t="shared" si="26"/>
        <v>0.8505247917</v>
      </c>
      <c r="AD80" s="241">
        <f t="shared" si="26"/>
        <v>0.8128828916</v>
      </c>
      <c r="AE80" s="241">
        <f t="shared" si="26"/>
        <v>0.8254861133</v>
      </c>
      <c r="AF80" s="241">
        <f t="shared" si="26"/>
        <v>0.7388365021</v>
      </c>
      <c r="AG80" s="241">
        <f t="shared" si="26"/>
        <v>0.4892853064</v>
      </c>
      <c r="AH80" s="241">
        <f t="shared" si="26"/>
        <v>0.6076753447</v>
      </c>
      <c r="AI80" s="241">
        <f t="shared" si="26"/>
        <v>0.8912250056</v>
      </c>
      <c r="AJ80" s="241">
        <f t="shared" si="26"/>
        <v>0.9469966178</v>
      </c>
      <c r="AK80" s="241">
        <f t="shared" si="26"/>
        <v>0.646381826</v>
      </c>
      <c r="AL80" s="241">
        <f t="shared" si="26"/>
        <v>0.50768139</v>
      </c>
      <c r="AM80" s="241">
        <f t="shared" si="26"/>
        <v>0.50768139</v>
      </c>
      <c r="AN80" s="241">
        <f t="shared" si="26"/>
        <v>0.50768139</v>
      </c>
      <c r="AO80" s="241">
        <f t="shared" si="26"/>
        <v>1.261668155</v>
      </c>
      <c r="AP80" s="241">
        <f t="shared" si="26"/>
        <v>1.057647936</v>
      </c>
      <c r="AQ80" s="241">
        <f t="shared" si="26"/>
        <v>0.7362937459</v>
      </c>
      <c r="AR80" s="241">
        <f t="shared" si="26"/>
        <v>0.9509166871</v>
      </c>
      <c r="AS80" s="241">
        <f t="shared" si="26"/>
        <v>0.6912229616</v>
      </c>
      <c r="AT80" s="241">
        <f t="shared" si="26"/>
        <v>0.8451822576</v>
      </c>
      <c r="AU80" s="241">
        <f t="shared" si="26"/>
        <v>0.3130185181</v>
      </c>
      <c r="AV80" s="241">
        <f t="shared" si="26"/>
        <v>0.1355319524</v>
      </c>
      <c r="AW80" s="259"/>
    </row>
    <row r="81">
      <c r="A81" s="122"/>
      <c r="B81" s="123"/>
      <c r="C81" s="123"/>
      <c r="D81" s="123"/>
      <c r="E81" s="212" t="s">
        <v>836</v>
      </c>
      <c r="F81" s="213" t="s">
        <v>72</v>
      </c>
      <c r="G81" s="632" t="s">
        <v>161</v>
      </c>
      <c r="H81" s="633" t="s">
        <v>162</v>
      </c>
      <c r="I81" s="241">
        <f t="shared" ref="I81:AV81" si="27">I74/I55</f>
        <v>0.7208746074</v>
      </c>
      <c r="J81" s="241">
        <f t="shared" si="27"/>
        <v>0.8829506201</v>
      </c>
      <c r="K81" s="241">
        <f t="shared" si="27"/>
        <v>0.1860711327</v>
      </c>
      <c r="L81" s="241">
        <f t="shared" si="27"/>
        <v>0.7602416892</v>
      </c>
      <c r="M81" s="241">
        <f t="shared" si="27"/>
        <v>0.5951404778</v>
      </c>
      <c r="N81" s="241">
        <f t="shared" si="27"/>
        <v>0.4829014265</v>
      </c>
      <c r="O81" s="241">
        <f t="shared" si="27"/>
        <v>0.4035344086</v>
      </c>
      <c r="P81" s="241">
        <f t="shared" si="27"/>
        <v>0.5131569065</v>
      </c>
      <c r="Q81" s="241">
        <f t="shared" si="27"/>
        <v>0.3522205191</v>
      </c>
      <c r="R81" s="241">
        <f t="shared" si="27"/>
        <v>0.9400442805</v>
      </c>
      <c r="S81" s="241">
        <f t="shared" si="27"/>
        <v>0.7961901812</v>
      </c>
      <c r="T81" s="241">
        <f t="shared" si="27"/>
        <v>0.8848393048</v>
      </c>
      <c r="U81" s="241">
        <f t="shared" si="27"/>
        <v>1.117882643</v>
      </c>
      <c r="V81" s="241">
        <f t="shared" si="27"/>
        <v>0.7772112749</v>
      </c>
      <c r="W81" s="241">
        <f t="shared" si="27"/>
        <v>0.7883396078</v>
      </c>
      <c r="X81" s="241">
        <f t="shared" si="27"/>
        <v>1.501490668</v>
      </c>
      <c r="Y81" s="241">
        <f t="shared" si="27"/>
        <v>0.9260019262</v>
      </c>
      <c r="Z81" s="241">
        <f t="shared" si="27"/>
        <v>0.8703337424</v>
      </c>
      <c r="AA81" s="241">
        <f t="shared" si="27"/>
        <v>0.6241345903</v>
      </c>
      <c r="AB81" s="241">
        <f t="shared" si="27"/>
        <v>1.079090154</v>
      </c>
      <c r="AC81" s="241">
        <f t="shared" si="27"/>
        <v>0.84773122</v>
      </c>
      <c r="AD81" s="241">
        <f t="shared" si="27"/>
        <v>1.020235501</v>
      </c>
      <c r="AE81" s="241">
        <f t="shared" si="27"/>
        <v>0.8526267867</v>
      </c>
      <c r="AF81" s="241">
        <f t="shared" si="27"/>
        <v>0.9908349592</v>
      </c>
      <c r="AG81" s="241">
        <f t="shared" si="27"/>
        <v>0.7602416892</v>
      </c>
      <c r="AH81" s="241">
        <f t="shared" si="27"/>
        <v>0.8991507882</v>
      </c>
      <c r="AI81" s="241">
        <f t="shared" si="27"/>
        <v>1.042193979</v>
      </c>
      <c r="AJ81" s="241">
        <f t="shared" si="27"/>
        <v>1.01983367</v>
      </c>
      <c r="AK81" s="241">
        <f t="shared" si="27"/>
        <v>0.8782080779</v>
      </c>
      <c r="AL81" s="241">
        <f t="shared" si="27"/>
        <v>0.5715041933</v>
      </c>
      <c r="AM81" s="241">
        <f t="shared" si="27"/>
        <v>0.5715041933</v>
      </c>
      <c r="AN81" s="241">
        <f t="shared" si="27"/>
        <v>0.5715041933</v>
      </c>
      <c r="AO81" s="241">
        <f t="shared" si="27"/>
        <v>1.048353005</v>
      </c>
      <c r="AP81" s="241">
        <f t="shared" si="27"/>
        <v>1.094084164</v>
      </c>
      <c r="AQ81" s="241">
        <f t="shared" si="27"/>
        <v>0.8334436152</v>
      </c>
      <c r="AR81" s="241">
        <f t="shared" si="27"/>
        <v>0.8691821139</v>
      </c>
      <c r="AS81" s="241">
        <f t="shared" si="27"/>
        <v>0.9289991705</v>
      </c>
      <c r="AT81" s="241">
        <f t="shared" si="27"/>
        <v>0.8358079942</v>
      </c>
      <c r="AU81" s="241">
        <f t="shared" si="27"/>
        <v>0.4465422672</v>
      </c>
      <c r="AV81" s="241">
        <f t="shared" si="27"/>
        <v>0.2061983923</v>
      </c>
      <c r="AW81" s="219"/>
    </row>
    <row r="82">
      <c r="A82" s="122"/>
      <c r="B82" s="123"/>
      <c r="C82" s="123"/>
      <c r="D82" s="123"/>
      <c r="E82" s="199" t="s">
        <v>837</v>
      </c>
      <c r="F82" s="200" t="s">
        <v>72</v>
      </c>
      <c r="G82" s="629" t="s">
        <v>161</v>
      </c>
      <c r="H82" s="630" t="s">
        <v>162</v>
      </c>
      <c r="I82" s="385">
        <f t="shared" ref="I82:AV82" si="28">AVERAGE(I77:I81)</f>
        <v>0.731229864</v>
      </c>
      <c r="J82" s="385">
        <f t="shared" si="28"/>
        <v>0.7712710641</v>
      </c>
      <c r="K82" s="385">
        <f t="shared" si="28"/>
        <v>0.242402468</v>
      </c>
      <c r="L82" s="385">
        <f t="shared" si="28"/>
        <v>0.5997078414</v>
      </c>
      <c r="M82" s="385">
        <f t="shared" si="28"/>
        <v>0.4964280089</v>
      </c>
      <c r="N82" s="385">
        <f t="shared" si="28"/>
        <v>0.4404952702</v>
      </c>
      <c r="O82" s="385">
        <f t="shared" si="28"/>
        <v>0.317914726</v>
      </c>
      <c r="P82" s="385">
        <f t="shared" si="28"/>
        <v>0.3716371809</v>
      </c>
      <c r="Q82" s="385">
        <f t="shared" si="28"/>
        <v>0.3362143098</v>
      </c>
      <c r="R82" s="385">
        <f t="shared" si="28"/>
        <v>0.8712876865</v>
      </c>
      <c r="S82" s="385">
        <f t="shared" si="28"/>
        <v>0.7631771512</v>
      </c>
      <c r="T82" s="385">
        <f t="shared" si="28"/>
        <v>0.9211812999</v>
      </c>
      <c r="U82" s="385">
        <f t="shared" si="28"/>
        <v>1.074960479</v>
      </c>
      <c r="V82" s="385">
        <f t="shared" si="28"/>
        <v>0.7342371626</v>
      </c>
      <c r="W82" s="385">
        <f t="shared" si="28"/>
        <v>0.8318965329</v>
      </c>
      <c r="X82" s="385">
        <f t="shared" si="28"/>
        <v>1.400085289</v>
      </c>
      <c r="Y82" s="385">
        <f t="shared" si="28"/>
        <v>0.9070180545</v>
      </c>
      <c r="Z82" s="385">
        <f t="shared" si="28"/>
        <v>0.8872512496</v>
      </c>
      <c r="AA82" s="385">
        <f t="shared" si="28"/>
        <v>0.6958836545</v>
      </c>
      <c r="AB82" s="385">
        <f t="shared" si="28"/>
        <v>0.9874620162</v>
      </c>
      <c r="AC82" s="385">
        <f t="shared" si="28"/>
        <v>0.8684957684</v>
      </c>
      <c r="AD82" s="385">
        <f t="shared" si="28"/>
        <v>0.8897361523</v>
      </c>
      <c r="AE82" s="385">
        <f t="shared" si="28"/>
        <v>0.8782383203</v>
      </c>
      <c r="AF82" s="385">
        <f t="shared" si="28"/>
        <v>0.8890171624</v>
      </c>
      <c r="AG82" s="385">
        <f t="shared" si="28"/>
        <v>0.5997078414</v>
      </c>
      <c r="AH82" s="385">
        <f t="shared" si="28"/>
        <v>0.7366972048</v>
      </c>
      <c r="AI82" s="385">
        <f t="shared" si="28"/>
        <v>0.9910488277</v>
      </c>
      <c r="AJ82" s="385">
        <f t="shared" si="28"/>
        <v>0.9828745971</v>
      </c>
      <c r="AK82" s="385">
        <f t="shared" si="28"/>
        <v>0.7611502206</v>
      </c>
      <c r="AL82" s="385">
        <f t="shared" si="28"/>
        <v>0.5701739269</v>
      </c>
      <c r="AM82" s="385">
        <f t="shared" si="28"/>
        <v>0.5701739269</v>
      </c>
      <c r="AN82" s="385">
        <f t="shared" si="28"/>
        <v>0.5701739269</v>
      </c>
      <c r="AO82" s="385">
        <f t="shared" si="28"/>
        <v>1.0996856</v>
      </c>
      <c r="AP82" s="385">
        <f t="shared" si="28"/>
        <v>1.069294444</v>
      </c>
      <c r="AQ82" s="385">
        <f t="shared" si="28"/>
        <v>0.8330058636</v>
      </c>
      <c r="AR82" s="385">
        <f t="shared" si="28"/>
        <v>0.9359894527</v>
      </c>
      <c r="AS82" s="385">
        <f t="shared" si="28"/>
        <v>0.8281275169</v>
      </c>
      <c r="AT82" s="385">
        <f t="shared" si="28"/>
        <v>0.8680851562</v>
      </c>
      <c r="AU82" s="385">
        <f t="shared" si="28"/>
        <v>0.4252973537</v>
      </c>
      <c r="AV82" s="385">
        <f t="shared" si="28"/>
        <v>0.1908803939</v>
      </c>
      <c r="AW82" s="205"/>
    </row>
    <row r="83">
      <c r="A83" s="122"/>
      <c r="B83" s="123"/>
      <c r="C83" s="131"/>
      <c r="D83" s="131"/>
      <c r="E83" s="275"/>
      <c r="F83" s="141"/>
      <c r="G83" s="179"/>
      <c r="H83" s="180"/>
      <c r="I83" s="317"/>
      <c r="J83" s="317"/>
      <c r="K83" s="317"/>
      <c r="L83" s="317"/>
      <c r="M83" s="317"/>
      <c r="N83" s="317"/>
      <c r="O83" s="317"/>
      <c r="P83" s="317"/>
      <c r="Q83" s="317"/>
      <c r="R83" s="317"/>
      <c r="S83" s="317"/>
      <c r="T83" s="317"/>
      <c r="U83" s="317"/>
      <c r="V83" s="317"/>
      <c r="W83" s="317"/>
      <c r="X83" s="317"/>
      <c r="Y83" s="317"/>
      <c r="Z83" s="317"/>
      <c r="AA83" s="317"/>
      <c r="AB83" s="317"/>
      <c r="AC83" s="317"/>
      <c r="AD83" s="317"/>
      <c r="AE83" s="317"/>
      <c r="AF83" s="317"/>
      <c r="AG83" s="317"/>
      <c r="AH83" s="317"/>
      <c r="AI83" s="317"/>
      <c r="AJ83" s="317"/>
      <c r="AK83" s="317"/>
      <c r="AL83" s="317"/>
      <c r="AM83" s="317"/>
      <c r="AN83" s="317"/>
      <c r="AO83" s="317"/>
      <c r="AP83" s="317"/>
      <c r="AQ83" s="317"/>
      <c r="AR83" s="317"/>
      <c r="AS83" s="317"/>
      <c r="AT83" s="317"/>
      <c r="AU83" s="317"/>
      <c r="AV83" s="317"/>
      <c r="AW83" s="191"/>
    </row>
    <row r="84">
      <c r="A84" s="122"/>
      <c r="B84" s="123"/>
      <c r="C84" s="131" t="s">
        <v>838</v>
      </c>
      <c r="F84" s="141"/>
      <c r="G84" s="179"/>
      <c r="H84" s="180"/>
      <c r="I84" s="317"/>
      <c r="J84" s="317"/>
      <c r="K84" s="317"/>
      <c r="L84" s="317"/>
      <c r="M84" s="317"/>
      <c r="N84" s="317"/>
      <c r="O84" s="317"/>
      <c r="P84" s="317"/>
      <c r="Q84" s="317"/>
      <c r="R84" s="317"/>
      <c r="S84" s="317"/>
      <c r="T84" s="317"/>
      <c r="U84" s="317"/>
      <c r="V84" s="317"/>
      <c r="W84" s="317"/>
      <c r="X84" s="317"/>
      <c r="Y84" s="317"/>
      <c r="Z84" s="317"/>
      <c r="AA84" s="317"/>
      <c r="AB84" s="317"/>
      <c r="AC84" s="317"/>
      <c r="AD84" s="317"/>
      <c r="AE84" s="317"/>
      <c r="AF84" s="317"/>
      <c r="AG84" s="317"/>
      <c r="AH84" s="317"/>
      <c r="AI84" s="317"/>
      <c r="AJ84" s="317"/>
      <c r="AK84" s="317"/>
      <c r="AL84" s="317"/>
      <c r="AM84" s="317"/>
      <c r="AN84" s="317"/>
      <c r="AO84" s="317"/>
      <c r="AP84" s="317"/>
      <c r="AQ84" s="317"/>
      <c r="AR84" s="317"/>
      <c r="AS84" s="317"/>
      <c r="AT84" s="317"/>
      <c r="AU84" s="317"/>
      <c r="AV84" s="317"/>
      <c r="AW84" s="191"/>
    </row>
    <row r="85">
      <c r="A85" s="122"/>
      <c r="B85" s="123"/>
      <c r="C85" s="123"/>
      <c r="D85" s="123"/>
      <c r="E85" s="192" t="s">
        <v>839</v>
      </c>
      <c r="F85" s="193" t="s">
        <v>72</v>
      </c>
      <c r="G85" s="634" t="s">
        <v>161</v>
      </c>
      <c r="H85" s="464" t="s">
        <v>162</v>
      </c>
      <c r="I85" s="383">
        <f t="shared" ref="I85:AV85" si="29">I52*I$82</f>
        <v>0.3034992771</v>
      </c>
      <c r="J85" s="383">
        <f t="shared" si="29"/>
        <v>0.4026550826</v>
      </c>
      <c r="K85" s="383">
        <f t="shared" si="29"/>
        <v>0.146914718</v>
      </c>
      <c r="L85" s="383">
        <f t="shared" si="29"/>
        <v>0.4318449727</v>
      </c>
      <c r="M85" s="383">
        <f t="shared" si="29"/>
        <v>0.2700914403</v>
      </c>
      <c r="N85" s="383">
        <f t="shared" si="29"/>
        <v>0.2282057871</v>
      </c>
      <c r="O85" s="383">
        <f t="shared" si="29"/>
        <v>0.1895014552</v>
      </c>
      <c r="P85" s="383">
        <f t="shared" si="29"/>
        <v>0.08102728644</v>
      </c>
      <c r="Q85" s="383">
        <f t="shared" si="29"/>
        <v>0.1543421421</v>
      </c>
      <c r="R85" s="383">
        <f t="shared" si="29"/>
        <v>0.7738026032</v>
      </c>
      <c r="S85" s="383">
        <f t="shared" si="29"/>
        <v>0.5701663802</v>
      </c>
      <c r="T85" s="383">
        <f t="shared" si="29"/>
        <v>0.7766553389</v>
      </c>
      <c r="U85" s="383">
        <f t="shared" si="29"/>
        <v>0.8912564229</v>
      </c>
      <c r="V85" s="383">
        <f t="shared" si="29"/>
        <v>0.5661693885</v>
      </c>
      <c r="W85" s="383">
        <f t="shared" si="29"/>
        <v>0.6556184641</v>
      </c>
      <c r="X85" s="383">
        <f t="shared" si="29"/>
        <v>0.7547426663</v>
      </c>
      <c r="Y85" s="383">
        <f t="shared" si="29"/>
        <v>0.8445420093</v>
      </c>
      <c r="Z85" s="383">
        <f t="shared" si="29"/>
        <v>0.7027930297</v>
      </c>
      <c r="AA85" s="383">
        <f t="shared" si="29"/>
        <v>0.6904050381</v>
      </c>
      <c r="AB85" s="383">
        <f t="shared" si="29"/>
        <v>0.8838917465</v>
      </c>
      <c r="AC85" s="383">
        <f t="shared" si="29"/>
        <v>0.8303883418</v>
      </c>
      <c r="AD85" s="383">
        <f t="shared" si="29"/>
        <v>0.8765024052</v>
      </c>
      <c r="AE85" s="383">
        <f t="shared" si="29"/>
        <v>0.8019343282</v>
      </c>
      <c r="AF85" s="383">
        <f t="shared" si="29"/>
        <v>0.8313375557</v>
      </c>
      <c r="AG85" s="383">
        <f t="shared" si="29"/>
        <v>0.4318449727</v>
      </c>
      <c r="AH85" s="383">
        <f t="shared" si="29"/>
        <v>0.6240624858</v>
      </c>
      <c r="AI85" s="383">
        <f t="shared" si="29"/>
        <v>0.6303878181</v>
      </c>
      <c r="AJ85" s="383">
        <f t="shared" si="29"/>
        <v>0.9082924958</v>
      </c>
      <c r="AK85" s="383">
        <f t="shared" si="29"/>
        <v>0.5397246545</v>
      </c>
      <c r="AL85" s="383">
        <f t="shared" si="29"/>
        <v>0.3278920166</v>
      </c>
      <c r="AM85" s="383">
        <f t="shared" si="29"/>
        <v>0.3278920166</v>
      </c>
      <c r="AN85" s="383">
        <f t="shared" si="29"/>
        <v>0.3278920166</v>
      </c>
      <c r="AO85" s="383">
        <f t="shared" si="29"/>
        <v>0.7115877502</v>
      </c>
      <c r="AP85" s="383">
        <f t="shared" si="29"/>
        <v>0.7710600803</v>
      </c>
      <c r="AQ85" s="383">
        <f t="shared" si="29"/>
        <v>0.7548000155</v>
      </c>
      <c r="AR85" s="383">
        <f t="shared" si="29"/>
        <v>0.7030181479</v>
      </c>
      <c r="AS85" s="383">
        <f t="shared" si="29"/>
        <v>0.6509916316</v>
      </c>
      <c r="AT85" s="383">
        <f t="shared" si="29"/>
        <v>0.7770357666</v>
      </c>
      <c r="AU85" s="383">
        <f t="shared" si="29"/>
        <v>0.3011491089</v>
      </c>
      <c r="AV85" s="383">
        <f t="shared" si="29"/>
        <v>0.1374514935</v>
      </c>
      <c r="AW85" s="198"/>
    </row>
    <row r="86">
      <c r="A86" s="122"/>
      <c r="B86" s="123"/>
      <c r="C86" s="123"/>
      <c r="D86" s="123"/>
      <c r="E86" s="212" t="s">
        <v>840</v>
      </c>
      <c r="F86" s="213" t="s">
        <v>72</v>
      </c>
      <c r="G86" s="632" t="s">
        <v>161</v>
      </c>
      <c r="H86" s="633" t="s">
        <v>162</v>
      </c>
      <c r="I86" s="241">
        <f t="shared" ref="I86:AV86" si="30">I53*I$82</f>
        <v>0.2779029525</v>
      </c>
      <c r="J86" s="241">
        <f t="shared" si="30"/>
        <v>0.3602297386</v>
      </c>
      <c r="K86" s="241">
        <f t="shared" si="30"/>
        <v>0.134550608</v>
      </c>
      <c r="L86" s="241">
        <f t="shared" si="30"/>
        <v>0.3880606907</v>
      </c>
      <c r="M86" s="241">
        <f t="shared" si="30"/>
        <v>0.231365094</v>
      </c>
      <c r="N86" s="241">
        <f t="shared" si="30"/>
        <v>0.1934022018</v>
      </c>
      <c r="O86" s="241">
        <f t="shared" si="30"/>
        <v>0.1809166577</v>
      </c>
      <c r="P86" s="241">
        <f t="shared" si="30"/>
        <v>0.05277924163</v>
      </c>
      <c r="Q86" s="241">
        <f t="shared" si="30"/>
        <v>0.1193713735</v>
      </c>
      <c r="R86" s="241">
        <f t="shared" si="30"/>
        <v>0.7415608281</v>
      </c>
      <c r="S86" s="241">
        <f t="shared" si="30"/>
        <v>0.5106309349</v>
      </c>
      <c r="T86" s="241">
        <f t="shared" si="30"/>
        <v>0.7517802569</v>
      </c>
      <c r="U86" s="241">
        <f t="shared" si="30"/>
        <v>0.8063236637</v>
      </c>
      <c r="V86" s="241">
        <f t="shared" si="30"/>
        <v>0.5514827637</v>
      </c>
      <c r="W86" s="241">
        <f t="shared" si="30"/>
        <v>0.5915542233</v>
      </c>
      <c r="X86" s="241">
        <f t="shared" si="30"/>
        <v>0.5293000517</v>
      </c>
      <c r="Y86" s="241">
        <f t="shared" si="30"/>
        <v>0.8327492638</v>
      </c>
      <c r="Z86" s="241">
        <f t="shared" si="30"/>
        <v>0.6513258634</v>
      </c>
      <c r="AA86" s="241">
        <f t="shared" si="30"/>
        <v>0.6890130925</v>
      </c>
      <c r="AB86" s="241">
        <f t="shared" si="30"/>
        <v>0.8443882047</v>
      </c>
      <c r="AC86" s="241">
        <f t="shared" si="30"/>
        <v>0.7774033116</v>
      </c>
      <c r="AD86" s="241">
        <f t="shared" si="30"/>
        <v>0.8533663012</v>
      </c>
      <c r="AE86" s="241">
        <f t="shared" si="30"/>
        <v>0.7659219432</v>
      </c>
      <c r="AF86" s="241">
        <f t="shared" si="30"/>
        <v>0.810887541</v>
      </c>
      <c r="AG86" s="241">
        <f t="shared" si="30"/>
        <v>0.3880606907</v>
      </c>
      <c r="AH86" s="241">
        <f t="shared" si="30"/>
        <v>0.5297531609</v>
      </c>
      <c r="AI86" s="241">
        <f t="shared" si="30"/>
        <v>0.6016437194</v>
      </c>
      <c r="AJ86" s="241">
        <f t="shared" si="30"/>
        <v>0.8709384754</v>
      </c>
      <c r="AK86" s="241">
        <f t="shared" si="30"/>
        <v>0.4826310733</v>
      </c>
      <c r="AL86" s="241">
        <f t="shared" si="30"/>
        <v>0.2839829987</v>
      </c>
      <c r="AM86" s="241">
        <f t="shared" si="30"/>
        <v>0.2839829987</v>
      </c>
      <c r="AN86" s="241">
        <f t="shared" si="30"/>
        <v>0.2839829987</v>
      </c>
      <c r="AO86" s="241">
        <f t="shared" si="30"/>
        <v>0.6225018031</v>
      </c>
      <c r="AP86" s="241">
        <f t="shared" si="30"/>
        <v>0.7015470356</v>
      </c>
      <c r="AQ86" s="241">
        <f t="shared" si="30"/>
        <v>0.6898172327</v>
      </c>
      <c r="AR86" s="241">
        <f t="shared" si="30"/>
        <v>0.5860044748</v>
      </c>
      <c r="AS86" s="241">
        <f t="shared" si="30"/>
        <v>0.5689965025</v>
      </c>
      <c r="AT86" s="241">
        <f t="shared" si="30"/>
        <v>0.7405715184</v>
      </c>
      <c r="AU86" s="241">
        <f t="shared" si="30"/>
        <v>0.2632927944</v>
      </c>
      <c r="AV86" s="241">
        <f t="shared" si="30"/>
        <v>0.1300062043</v>
      </c>
      <c r="AW86" s="219"/>
    </row>
    <row r="87">
      <c r="A87" s="122"/>
      <c r="B87" s="123"/>
      <c r="C87" s="123"/>
      <c r="D87" s="123"/>
      <c r="E87" s="199" t="s">
        <v>841</v>
      </c>
      <c r="F87" s="200" t="s">
        <v>72</v>
      </c>
      <c r="G87" s="629" t="s">
        <v>161</v>
      </c>
      <c r="H87" s="630" t="s">
        <v>162</v>
      </c>
      <c r="I87" s="385">
        <f t="shared" ref="I87:AV87" si="31">I54*I$82</f>
        <v>0.2289042741</v>
      </c>
      <c r="J87" s="385">
        <f t="shared" si="31"/>
        <v>0.2846354894</v>
      </c>
      <c r="K87" s="385">
        <f t="shared" si="31"/>
        <v>0.117095394</v>
      </c>
      <c r="L87" s="385">
        <f t="shared" si="31"/>
        <v>0.3538729637</v>
      </c>
      <c r="M87" s="385">
        <f t="shared" si="31"/>
        <v>0.1981001556</v>
      </c>
      <c r="N87" s="385">
        <f t="shared" si="31"/>
        <v>0.1722557196</v>
      </c>
      <c r="O87" s="385">
        <f t="shared" si="31"/>
        <v>0.1713779938</v>
      </c>
      <c r="P87" s="385">
        <f t="shared" si="31"/>
        <v>0.03716848002</v>
      </c>
      <c r="Q87" s="385">
        <f t="shared" si="31"/>
        <v>0.09011698059</v>
      </c>
      <c r="R87" s="385">
        <f t="shared" si="31"/>
        <v>0.5794805531</v>
      </c>
      <c r="S87" s="385">
        <f t="shared" si="31"/>
        <v>0.4106419177</v>
      </c>
      <c r="T87" s="385">
        <f t="shared" si="31"/>
        <v>0.6495160308</v>
      </c>
      <c r="U87" s="385">
        <f t="shared" si="31"/>
        <v>0.7912722886</v>
      </c>
      <c r="V87" s="385">
        <f t="shared" si="31"/>
        <v>0.4883302768</v>
      </c>
      <c r="W87" s="385">
        <f t="shared" si="31"/>
        <v>0.4684177605</v>
      </c>
      <c r="X87" s="385">
        <f t="shared" si="31"/>
        <v>0.4270807295</v>
      </c>
      <c r="Y87" s="385">
        <f t="shared" si="31"/>
        <v>0.6640222887</v>
      </c>
      <c r="Z87" s="385">
        <f t="shared" si="31"/>
        <v>0.614943901</v>
      </c>
      <c r="AA87" s="385">
        <f t="shared" si="31"/>
        <v>0.686925174</v>
      </c>
      <c r="AB87" s="385">
        <f t="shared" si="31"/>
        <v>0.7643935327</v>
      </c>
      <c r="AC87" s="385">
        <f t="shared" si="31"/>
        <v>0.7209438532</v>
      </c>
      <c r="AD87" s="385">
        <f t="shared" si="31"/>
        <v>0.8062042428</v>
      </c>
      <c r="AE87" s="385">
        <f t="shared" si="31"/>
        <v>0.6991672785</v>
      </c>
      <c r="AF87" s="385">
        <f t="shared" si="31"/>
        <v>0.7602070696</v>
      </c>
      <c r="AG87" s="385">
        <f t="shared" si="31"/>
        <v>0.3538729637</v>
      </c>
      <c r="AH87" s="385">
        <f t="shared" si="31"/>
        <v>0.457547584</v>
      </c>
      <c r="AI87" s="385">
        <f t="shared" si="31"/>
        <v>0.5273055333</v>
      </c>
      <c r="AJ87" s="385">
        <f t="shared" si="31"/>
        <v>0.7854174287</v>
      </c>
      <c r="AK87" s="385">
        <f t="shared" si="31"/>
        <v>0.3859526091</v>
      </c>
      <c r="AL87" s="385">
        <f t="shared" si="31"/>
        <v>0.2258178062</v>
      </c>
      <c r="AM87" s="385">
        <f t="shared" si="31"/>
        <v>0.2258178062</v>
      </c>
      <c r="AN87" s="385">
        <f t="shared" si="31"/>
        <v>0.2258178062</v>
      </c>
      <c r="AO87" s="385">
        <f t="shared" si="31"/>
        <v>0.4355312969</v>
      </c>
      <c r="AP87" s="385">
        <f t="shared" si="31"/>
        <v>0.6523531886</v>
      </c>
      <c r="AQ87" s="385">
        <f t="shared" si="31"/>
        <v>0.5740145813</v>
      </c>
      <c r="AR87" s="385">
        <f t="shared" si="31"/>
        <v>0.5335823492</v>
      </c>
      <c r="AS87" s="385">
        <f t="shared" si="31"/>
        <v>0.5052225131</v>
      </c>
      <c r="AT87" s="385">
        <f t="shared" si="31"/>
        <v>0.6850069496</v>
      </c>
      <c r="AU87" s="385">
        <f t="shared" si="31"/>
        <v>0.2143773318</v>
      </c>
      <c r="AV87" s="385">
        <f t="shared" si="31"/>
        <v>0.1204609617</v>
      </c>
      <c r="AW87" s="205"/>
    </row>
    <row r="88">
      <c r="A88" s="68"/>
      <c r="B88" s="13"/>
      <c r="C88" s="13"/>
      <c r="D88" s="13"/>
      <c r="E88" s="314"/>
      <c r="F88" s="315"/>
      <c r="G88" s="316"/>
      <c r="H88" s="127"/>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30"/>
    </row>
    <row r="89">
      <c r="A89" s="117" t="s">
        <v>842</v>
      </c>
      <c r="B89" s="7"/>
      <c r="C89" s="7"/>
      <c r="D89" s="7"/>
      <c r="E89" s="7"/>
      <c r="F89" s="7"/>
      <c r="G89" s="7"/>
      <c r="H89" s="118"/>
      <c r="I89" s="340"/>
      <c r="J89" s="340"/>
      <c r="K89" s="340"/>
      <c r="L89" s="340"/>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121"/>
    </row>
    <row r="90">
      <c r="A90" s="122"/>
      <c r="B90" s="123"/>
      <c r="C90" s="123"/>
      <c r="D90" s="123"/>
      <c r="E90" s="124"/>
      <c r="F90" s="125"/>
      <c r="G90" s="126"/>
      <c r="H90" s="127"/>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30"/>
    </row>
    <row r="91">
      <c r="A91" s="122"/>
      <c r="B91" s="123"/>
      <c r="C91" s="342" t="s">
        <v>843</v>
      </c>
      <c r="F91" s="125"/>
      <c r="G91" s="126"/>
      <c r="H91" s="127"/>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30"/>
    </row>
    <row r="92">
      <c r="A92" s="122"/>
      <c r="B92" s="123"/>
      <c r="C92" s="123"/>
      <c r="D92" s="123"/>
      <c r="E92" s="635" t="s">
        <v>777</v>
      </c>
      <c r="F92" s="193" t="s">
        <v>72</v>
      </c>
      <c r="G92" s="235" t="s">
        <v>155</v>
      </c>
      <c r="H92" s="389" t="str">
        <f t="shared" ref="H92:AV92" si="32">H12</f>
        <v>-</v>
      </c>
      <c r="I92" s="383">
        <f t="shared" si="32"/>
        <v>1</v>
      </c>
      <c r="J92" s="383">
        <f t="shared" si="32"/>
        <v>1</v>
      </c>
      <c r="K92" s="383">
        <f t="shared" si="32"/>
        <v>1</v>
      </c>
      <c r="L92" s="383">
        <f t="shared" si="32"/>
        <v>1</v>
      </c>
      <c r="M92" s="383">
        <f t="shared" si="32"/>
        <v>1</v>
      </c>
      <c r="N92" s="383">
        <f t="shared" si="32"/>
        <v>0.5294117647</v>
      </c>
      <c r="O92" s="383">
        <f t="shared" si="32"/>
        <v>1</v>
      </c>
      <c r="P92" s="383">
        <f t="shared" si="32"/>
        <v>0.9130434783</v>
      </c>
      <c r="Q92" s="383">
        <f t="shared" si="32"/>
        <v>0.1071428571</v>
      </c>
      <c r="R92" s="383">
        <f t="shared" si="32"/>
        <v>0</v>
      </c>
      <c r="S92" s="383">
        <f t="shared" si="32"/>
        <v>1</v>
      </c>
      <c r="T92" s="383">
        <f t="shared" si="32"/>
        <v>0</v>
      </c>
      <c r="U92" s="383">
        <f t="shared" si="32"/>
        <v>0</v>
      </c>
      <c r="V92" s="383">
        <f t="shared" si="32"/>
        <v>0</v>
      </c>
      <c r="W92" s="383">
        <f t="shared" si="32"/>
        <v>0</v>
      </c>
      <c r="X92" s="383">
        <f t="shared" si="32"/>
        <v>0</v>
      </c>
      <c r="Y92" s="383">
        <f t="shared" si="32"/>
        <v>0</v>
      </c>
      <c r="Z92" s="383">
        <f t="shared" si="32"/>
        <v>0</v>
      </c>
      <c r="AA92" s="383">
        <f t="shared" si="32"/>
        <v>0</v>
      </c>
      <c r="AB92" s="383">
        <f t="shared" si="32"/>
        <v>0</v>
      </c>
      <c r="AC92" s="383">
        <f t="shared" si="32"/>
        <v>0</v>
      </c>
      <c r="AD92" s="383">
        <f t="shared" si="32"/>
        <v>0</v>
      </c>
      <c r="AE92" s="383">
        <f t="shared" si="32"/>
        <v>0</v>
      </c>
      <c r="AF92" s="383">
        <f t="shared" si="32"/>
        <v>0</v>
      </c>
      <c r="AG92" s="383">
        <f t="shared" si="32"/>
        <v>1</v>
      </c>
      <c r="AH92" s="383">
        <f t="shared" si="32"/>
        <v>0</v>
      </c>
      <c r="AI92" s="383">
        <f t="shared" si="32"/>
        <v>0</v>
      </c>
      <c r="AJ92" s="383">
        <f t="shared" si="32"/>
        <v>0</v>
      </c>
      <c r="AK92" s="383">
        <f t="shared" si="32"/>
        <v>0</v>
      </c>
      <c r="AL92" s="383">
        <f t="shared" si="32"/>
        <v>1</v>
      </c>
      <c r="AM92" s="383">
        <f t="shared" si="32"/>
        <v>1</v>
      </c>
      <c r="AN92" s="383">
        <f t="shared" si="32"/>
        <v>1</v>
      </c>
      <c r="AO92" s="383">
        <f t="shared" si="32"/>
        <v>0</v>
      </c>
      <c r="AP92" s="383">
        <f t="shared" si="32"/>
        <v>0</v>
      </c>
      <c r="AQ92" s="383">
        <f t="shared" si="32"/>
        <v>0</v>
      </c>
      <c r="AR92" s="383">
        <f t="shared" si="32"/>
        <v>0</v>
      </c>
      <c r="AS92" s="383">
        <f t="shared" si="32"/>
        <v>0</v>
      </c>
      <c r="AT92" s="383">
        <f t="shared" si="32"/>
        <v>0</v>
      </c>
      <c r="AU92" s="383">
        <f t="shared" si="32"/>
        <v>0.84375</v>
      </c>
      <c r="AV92" s="383">
        <f t="shared" si="32"/>
        <v>0.8823529412</v>
      </c>
      <c r="AW92" s="256"/>
    </row>
    <row r="93">
      <c r="A93" s="122"/>
      <c r="B93" s="123"/>
      <c r="C93" s="123"/>
      <c r="D93" s="123"/>
      <c r="E93" s="199" t="s">
        <v>844</v>
      </c>
      <c r="F93" s="200" t="s">
        <v>72</v>
      </c>
      <c r="G93" s="273" t="s">
        <v>161</v>
      </c>
      <c r="H93" s="344" t="s">
        <v>162</v>
      </c>
      <c r="I93" s="385">
        <f t="shared" ref="I93:AV93" si="33">1-I92</f>
        <v>0</v>
      </c>
      <c r="J93" s="385">
        <f t="shared" si="33"/>
        <v>0</v>
      </c>
      <c r="K93" s="385">
        <f t="shared" si="33"/>
        <v>0</v>
      </c>
      <c r="L93" s="385">
        <f t="shared" si="33"/>
        <v>0</v>
      </c>
      <c r="M93" s="385">
        <f t="shared" si="33"/>
        <v>0</v>
      </c>
      <c r="N93" s="385">
        <f t="shared" si="33"/>
        <v>0.4705882353</v>
      </c>
      <c r="O93" s="385">
        <f t="shared" si="33"/>
        <v>0</v>
      </c>
      <c r="P93" s="385">
        <f t="shared" si="33"/>
        <v>0.08695652174</v>
      </c>
      <c r="Q93" s="385">
        <f t="shared" si="33"/>
        <v>0.8928571429</v>
      </c>
      <c r="R93" s="385">
        <f t="shared" si="33"/>
        <v>1</v>
      </c>
      <c r="S93" s="385">
        <f t="shared" si="33"/>
        <v>0</v>
      </c>
      <c r="T93" s="385">
        <f t="shared" si="33"/>
        <v>1</v>
      </c>
      <c r="U93" s="385">
        <f t="shared" si="33"/>
        <v>1</v>
      </c>
      <c r="V93" s="385">
        <f t="shared" si="33"/>
        <v>1</v>
      </c>
      <c r="W93" s="385">
        <f t="shared" si="33"/>
        <v>1</v>
      </c>
      <c r="X93" s="385">
        <f t="shared" si="33"/>
        <v>1</v>
      </c>
      <c r="Y93" s="385">
        <f t="shared" si="33"/>
        <v>1</v>
      </c>
      <c r="Z93" s="385">
        <f t="shared" si="33"/>
        <v>1</v>
      </c>
      <c r="AA93" s="385">
        <f t="shared" si="33"/>
        <v>1</v>
      </c>
      <c r="AB93" s="385">
        <f t="shared" si="33"/>
        <v>1</v>
      </c>
      <c r="AC93" s="385">
        <f t="shared" si="33"/>
        <v>1</v>
      </c>
      <c r="AD93" s="385">
        <f t="shared" si="33"/>
        <v>1</v>
      </c>
      <c r="AE93" s="385">
        <f t="shared" si="33"/>
        <v>1</v>
      </c>
      <c r="AF93" s="385">
        <f t="shared" si="33"/>
        <v>1</v>
      </c>
      <c r="AG93" s="385">
        <f t="shared" si="33"/>
        <v>0</v>
      </c>
      <c r="AH93" s="385">
        <f t="shared" si="33"/>
        <v>1</v>
      </c>
      <c r="AI93" s="385">
        <f t="shared" si="33"/>
        <v>1</v>
      </c>
      <c r="AJ93" s="385">
        <f t="shared" si="33"/>
        <v>1</v>
      </c>
      <c r="AK93" s="385">
        <f t="shared" si="33"/>
        <v>1</v>
      </c>
      <c r="AL93" s="385">
        <f t="shared" si="33"/>
        <v>0</v>
      </c>
      <c r="AM93" s="385">
        <f t="shared" si="33"/>
        <v>0</v>
      </c>
      <c r="AN93" s="385">
        <f t="shared" si="33"/>
        <v>0</v>
      </c>
      <c r="AO93" s="385">
        <f t="shared" si="33"/>
        <v>1</v>
      </c>
      <c r="AP93" s="385">
        <f t="shared" si="33"/>
        <v>1</v>
      </c>
      <c r="AQ93" s="385">
        <f t="shared" si="33"/>
        <v>1</v>
      </c>
      <c r="AR93" s="385">
        <f t="shared" si="33"/>
        <v>1</v>
      </c>
      <c r="AS93" s="385">
        <f t="shared" si="33"/>
        <v>1</v>
      </c>
      <c r="AT93" s="385">
        <f t="shared" si="33"/>
        <v>1</v>
      </c>
      <c r="AU93" s="385">
        <f t="shared" si="33"/>
        <v>0.15625</v>
      </c>
      <c r="AV93" s="385">
        <f t="shared" si="33"/>
        <v>0.1176470588</v>
      </c>
      <c r="AW93" s="345"/>
    </row>
    <row r="94">
      <c r="A94" s="122"/>
      <c r="B94" s="123"/>
      <c r="C94" s="123"/>
      <c r="D94" s="123"/>
      <c r="E94" s="140"/>
      <c r="F94" s="141"/>
      <c r="G94" s="144"/>
      <c r="H94" s="346"/>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c r="AH94" s="347"/>
      <c r="AI94" s="347"/>
      <c r="AJ94" s="347"/>
      <c r="AK94" s="347"/>
      <c r="AL94" s="347"/>
      <c r="AM94" s="347"/>
      <c r="AN94" s="347"/>
      <c r="AO94" s="347"/>
      <c r="AP94" s="347"/>
      <c r="AQ94" s="347"/>
      <c r="AR94" s="347"/>
      <c r="AS94" s="347"/>
      <c r="AT94" s="347"/>
      <c r="AU94" s="347"/>
      <c r="AV94" s="347"/>
      <c r="AW94" s="130"/>
    </row>
    <row r="95">
      <c r="A95" s="122"/>
      <c r="B95" s="123"/>
      <c r="C95" s="342" t="s">
        <v>845</v>
      </c>
      <c r="F95" s="636"/>
      <c r="G95" s="637"/>
      <c r="H95" s="350"/>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130"/>
    </row>
    <row r="96">
      <c r="A96" s="122"/>
      <c r="B96" s="123"/>
      <c r="C96" s="342"/>
      <c r="D96" s="342"/>
      <c r="E96" s="254" t="s">
        <v>353</v>
      </c>
      <c r="F96" s="193" t="s">
        <v>72</v>
      </c>
      <c r="G96" s="235" t="s">
        <v>161</v>
      </c>
      <c r="H96" s="364" t="s">
        <v>162</v>
      </c>
      <c r="I96" s="383">
        <f t="shared" ref="I96:Q96" si="34">IF(I26="-",I48,(I26*I92)+(I48*I93))</f>
        <v>0.552425739</v>
      </c>
      <c r="J96" s="383">
        <f t="shared" si="34"/>
        <v>0.728829756</v>
      </c>
      <c r="K96" s="383">
        <f t="shared" si="34"/>
        <v>0.607758366</v>
      </c>
      <c r="L96" s="383">
        <f t="shared" si="34"/>
        <v>0.638076243</v>
      </c>
      <c r="M96" s="383">
        <f t="shared" si="34"/>
        <v>0.615262791</v>
      </c>
      <c r="N96" s="383">
        <f t="shared" si="34"/>
        <v>0.4921901518</v>
      </c>
      <c r="O96" s="383">
        <f t="shared" si="34"/>
        <v>0.400636236</v>
      </c>
      <c r="P96" s="383">
        <f t="shared" si="34"/>
        <v>0.3486050725</v>
      </c>
      <c r="Q96" s="383">
        <f t="shared" si="34"/>
        <v>0.4765716457</v>
      </c>
      <c r="R96" s="383">
        <f>IF(R26="-",R48,(R26*R$92)+(R48*R$93))</f>
        <v>0.9051159611</v>
      </c>
      <c r="S96" s="383">
        <f t="shared" ref="S96:AV96" si="35">IF(S26="-",S48,(S26*S92)+(S48*S93))</f>
        <v>0.890725218</v>
      </c>
      <c r="T96" s="383">
        <f t="shared" si="35"/>
        <v>0.8561096826</v>
      </c>
      <c r="U96" s="383">
        <f t="shared" si="35"/>
        <v>0.844108145</v>
      </c>
      <c r="V96" s="383">
        <f t="shared" si="35"/>
        <v>0.7891010976</v>
      </c>
      <c r="W96" s="383">
        <f t="shared" si="35"/>
        <v>0.8171046853</v>
      </c>
      <c r="X96" s="383">
        <f t="shared" si="35"/>
        <v>0.6480830307</v>
      </c>
      <c r="Y96" s="383">
        <f t="shared" si="35"/>
        <v>0.9311192926</v>
      </c>
      <c r="Z96" s="383">
        <f t="shared" si="35"/>
        <v>0.8351069918</v>
      </c>
      <c r="AA96" s="383">
        <f t="shared" si="35"/>
        <v>0.9931272369</v>
      </c>
      <c r="AB96" s="383">
        <f t="shared" si="35"/>
        <v>0.9231182675</v>
      </c>
      <c r="AC96" s="383">
        <f t="shared" si="35"/>
        <v>0.9901268525</v>
      </c>
      <c r="AD96" s="383">
        <f t="shared" si="35"/>
        <v>0.9911269806</v>
      </c>
      <c r="AE96" s="383">
        <f t="shared" si="35"/>
        <v>0.9521219834</v>
      </c>
      <c r="AF96" s="383">
        <f t="shared" si="35"/>
        <v>0.9471213427</v>
      </c>
      <c r="AG96" s="383">
        <f t="shared" si="35"/>
        <v>0.7704543</v>
      </c>
      <c r="AH96" s="383">
        <f t="shared" si="35"/>
        <v>0.9231182675</v>
      </c>
      <c r="AI96" s="383">
        <f t="shared" si="35"/>
        <v>0.7230926408</v>
      </c>
      <c r="AJ96" s="383">
        <f t="shared" si="35"/>
        <v>0.9441209583</v>
      </c>
      <c r="AK96" s="383">
        <f t="shared" si="35"/>
        <v>0.792101482</v>
      </c>
      <c r="AL96" s="383">
        <f t="shared" si="35"/>
        <v>0.664892055</v>
      </c>
      <c r="AM96" s="383">
        <f t="shared" si="35"/>
        <v>0.61636344</v>
      </c>
      <c r="AN96" s="383">
        <f t="shared" si="35"/>
        <v>0.758647338</v>
      </c>
      <c r="AO96" s="383">
        <f t="shared" si="35"/>
        <v>0.7230926408</v>
      </c>
      <c r="AP96" s="383">
        <f t="shared" si="35"/>
        <v>0.7510962285</v>
      </c>
      <c r="AQ96" s="383">
        <f t="shared" si="35"/>
        <v>0.9301191645</v>
      </c>
      <c r="AR96" s="383">
        <f t="shared" si="35"/>
        <v>0.8251057104</v>
      </c>
      <c r="AS96" s="383">
        <f t="shared" si="35"/>
        <v>0.8771123734</v>
      </c>
      <c r="AT96" s="383">
        <f t="shared" si="35"/>
        <v>0.9031157049</v>
      </c>
      <c r="AU96" s="383">
        <f t="shared" si="35"/>
        <v>0.7557756145</v>
      </c>
      <c r="AV96" s="383">
        <f t="shared" si="35"/>
        <v>0.6427499261</v>
      </c>
      <c r="AW96" s="256"/>
    </row>
    <row r="97">
      <c r="A97" s="122"/>
      <c r="B97" s="123"/>
      <c r="C97" s="342"/>
      <c r="D97" s="342"/>
      <c r="E97" s="254" t="s">
        <v>354</v>
      </c>
      <c r="F97" s="193" t="s">
        <v>72</v>
      </c>
      <c r="G97" s="235" t="s">
        <v>161</v>
      </c>
      <c r="H97" s="364" t="s">
        <v>162</v>
      </c>
      <c r="I97" s="383">
        <f t="shared" ref="I97:AV97" si="36">IF(I27="-",I49,(I27*I$92)+(I49*I$93))</f>
        <v>0.493390929</v>
      </c>
      <c r="J97" s="383">
        <f t="shared" si="36"/>
        <v>0.676799076</v>
      </c>
      <c r="K97" s="383">
        <f t="shared" si="36"/>
        <v>0.57233748</v>
      </c>
      <c r="L97" s="383">
        <f t="shared" si="36"/>
        <v>0.597652407</v>
      </c>
      <c r="M97" s="383">
        <f t="shared" si="36"/>
        <v>0.562431639</v>
      </c>
      <c r="N97" s="383">
        <f t="shared" si="36"/>
        <v>0.4568836873</v>
      </c>
      <c r="O97" s="383">
        <f t="shared" si="36"/>
        <v>0.338099361</v>
      </c>
      <c r="P97" s="383">
        <f t="shared" si="36"/>
        <v>0.2728101727</v>
      </c>
      <c r="Q97" s="383">
        <f t="shared" si="36"/>
        <v>0.4165887521</v>
      </c>
      <c r="R97" s="383">
        <f t="shared" si="36"/>
        <v>0.882113014</v>
      </c>
      <c r="S97" s="383">
        <f t="shared" si="36"/>
        <v>0.861608049</v>
      </c>
      <c r="T97" s="383">
        <f t="shared" si="36"/>
        <v>0.8621104514</v>
      </c>
      <c r="U97" s="383">
        <f t="shared" si="36"/>
        <v>0.829106223</v>
      </c>
      <c r="V97" s="383">
        <f t="shared" si="36"/>
        <v>0.7750993037</v>
      </c>
      <c r="W97" s="383">
        <f t="shared" si="36"/>
        <v>0.8081035321</v>
      </c>
      <c r="X97" s="383">
        <f t="shared" si="36"/>
        <v>0.5790741895</v>
      </c>
      <c r="Y97" s="383">
        <f t="shared" si="36"/>
        <v>0.9311192926</v>
      </c>
      <c r="Z97" s="383">
        <f t="shared" si="36"/>
        <v>0.8101037884</v>
      </c>
      <c r="AA97" s="383">
        <f t="shared" si="36"/>
        <v>0.9911269806</v>
      </c>
      <c r="AB97" s="383">
        <f t="shared" si="36"/>
        <v>0.9221181394</v>
      </c>
      <c r="AC97" s="383">
        <f t="shared" si="36"/>
        <v>0.9461212146</v>
      </c>
      <c r="AD97" s="383">
        <f t="shared" si="36"/>
        <v>0.9851262118</v>
      </c>
      <c r="AE97" s="383">
        <f t="shared" si="36"/>
        <v>0.9051159611</v>
      </c>
      <c r="AF97" s="383">
        <f t="shared" si="36"/>
        <v>0.9411205739</v>
      </c>
      <c r="AG97" s="383">
        <f t="shared" si="36"/>
        <v>0.7404366</v>
      </c>
      <c r="AH97" s="383">
        <f t="shared" si="36"/>
        <v>0.8621104514</v>
      </c>
      <c r="AI97" s="383">
        <f t="shared" si="36"/>
        <v>0.6630849527</v>
      </c>
      <c r="AJ97" s="383">
        <f t="shared" si="36"/>
        <v>0.9241183957</v>
      </c>
      <c r="AK97" s="383">
        <f t="shared" si="36"/>
        <v>0.7190921282</v>
      </c>
      <c r="AL97" s="383">
        <f t="shared" si="36"/>
        <v>0.628870815</v>
      </c>
      <c r="AM97" s="383">
        <f t="shared" si="36"/>
        <v>0.565533468</v>
      </c>
      <c r="AN97" s="383">
        <f t="shared" si="36"/>
        <v>0.75144309</v>
      </c>
      <c r="AO97" s="383">
        <f t="shared" si="36"/>
        <v>0.6670854653</v>
      </c>
      <c r="AP97" s="383">
        <f t="shared" si="36"/>
        <v>0.7340940502</v>
      </c>
      <c r="AQ97" s="383">
        <f t="shared" si="36"/>
        <v>0.9141171143</v>
      </c>
      <c r="AR97" s="383">
        <f t="shared" si="36"/>
        <v>0.7560968692</v>
      </c>
      <c r="AS97" s="383">
        <f t="shared" si="36"/>
        <v>0.8001025071</v>
      </c>
      <c r="AT97" s="383">
        <f t="shared" si="36"/>
        <v>0.8961148079</v>
      </c>
      <c r="AU97" s="383">
        <f t="shared" si="36"/>
        <v>0.7262610477</v>
      </c>
      <c r="AV97" s="383">
        <f t="shared" si="36"/>
        <v>0.6076417494</v>
      </c>
      <c r="AW97" s="256"/>
    </row>
    <row r="98">
      <c r="A98" s="122"/>
      <c r="B98" s="123"/>
      <c r="C98" s="342"/>
      <c r="D98" s="342"/>
      <c r="E98" s="254" t="s">
        <v>355</v>
      </c>
      <c r="F98" s="193" t="s">
        <v>72</v>
      </c>
      <c r="G98" s="235" t="s">
        <v>161</v>
      </c>
      <c r="H98" s="364" t="s">
        <v>162</v>
      </c>
      <c r="I98" s="383">
        <f t="shared" ref="I98:AV98" si="37">IF(I28="-",I50,(I28*I$92)+(I50*I$93))</f>
        <v>0.447363789</v>
      </c>
      <c r="J98" s="383">
        <f t="shared" si="37"/>
        <v>0.633573588</v>
      </c>
      <c r="K98" s="383">
        <f t="shared" si="37"/>
        <v>0.515704086</v>
      </c>
      <c r="L98" s="383">
        <f t="shared" si="37"/>
        <v>0.50729913</v>
      </c>
      <c r="M98" s="383">
        <f t="shared" si="37"/>
        <v>0.482684616</v>
      </c>
      <c r="N98" s="383">
        <f t="shared" si="37"/>
        <v>0.4174390366</v>
      </c>
      <c r="O98" s="383">
        <f t="shared" si="37"/>
        <v>0.242943252</v>
      </c>
      <c r="P98" s="383">
        <f t="shared" si="37"/>
        <v>0.2533506989</v>
      </c>
      <c r="Q98" s="383">
        <f t="shared" si="37"/>
        <v>0.328684039</v>
      </c>
      <c r="R98" s="383">
        <f t="shared" si="37"/>
        <v>0.8601101951</v>
      </c>
      <c r="S98" s="383">
        <f t="shared" si="37"/>
        <v>0.790866336</v>
      </c>
      <c r="T98" s="383">
        <f t="shared" si="37"/>
        <v>0.8231054542</v>
      </c>
      <c r="U98" s="383">
        <f t="shared" si="37"/>
        <v>0.7540966129</v>
      </c>
      <c r="V98" s="383">
        <f t="shared" si="37"/>
        <v>0.7600973817</v>
      </c>
      <c r="W98" s="383">
        <f t="shared" si="37"/>
        <v>0.7450954597</v>
      </c>
      <c r="X98" s="383">
        <f t="shared" si="37"/>
        <v>0.4530580446</v>
      </c>
      <c r="Y98" s="383">
        <f t="shared" si="37"/>
        <v>0.9181176269</v>
      </c>
      <c r="Z98" s="383">
        <f t="shared" si="37"/>
        <v>0.755096741</v>
      </c>
      <c r="AA98" s="383">
        <f t="shared" si="37"/>
        <v>0.9901268525</v>
      </c>
      <c r="AB98" s="383">
        <f t="shared" si="37"/>
        <v>0.9081163455</v>
      </c>
      <c r="AC98" s="383">
        <f t="shared" si="37"/>
        <v>0.9431208302</v>
      </c>
      <c r="AD98" s="383">
        <f t="shared" si="37"/>
        <v>0.9671239054</v>
      </c>
      <c r="AE98" s="383">
        <f t="shared" si="37"/>
        <v>0.8721117327</v>
      </c>
      <c r="AF98" s="383">
        <f t="shared" si="37"/>
        <v>0.9321194207</v>
      </c>
      <c r="AG98" s="383">
        <f t="shared" si="37"/>
        <v>0.6703953</v>
      </c>
      <c r="AH98" s="383">
        <f t="shared" si="37"/>
        <v>0.740094819</v>
      </c>
      <c r="AI98" s="383">
        <f t="shared" si="37"/>
        <v>0.6410821338</v>
      </c>
      <c r="AJ98" s="383">
        <f t="shared" si="37"/>
        <v>0.9011154486</v>
      </c>
      <c r="AK98" s="383">
        <f t="shared" si="37"/>
        <v>0.6470829026</v>
      </c>
      <c r="AL98" s="383">
        <f t="shared" si="37"/>
        <v>0.527911284</v>
      </c>
      <c r="AM98" s="383">
        <f t="shared" si="37"/>
        <v>0.462772875</v>
      </c>
      <c r="AN98" s="383">
        <f t="shared" si="37"/>
        <v>0.653885565</v>
      </c>
      <c r="AO98" s="383">
        <f t="shared" si="37"/>
        <v>0.5800743176</v>
      </c>
      <c r="AP98" s="383">
        <f t="shared" si="37"/>
        <v>0.6820873873</v>
      </c>
      <c r="AQ98" s="383">
        <f t="shared" si="37"/>
        <v>0.882113014</v>
      </c>
      <c r="AR98" s="383">
        <f t="shared" si="37"/>
        <v>0.6420822619</v>
      </c>
      <c r="AS98" s="383">
        <f t="shared" si="37"/>
        <v>0.7790998163</v>
      </c>
      <c r="AT98" s="383">
        <f t="shared" si="37"/>
        <v>0.8711116046</v>
      </c>
      <c r="AU98" s="383">
        <f t="shared" si="37"/>
        <v>0.6589101808</v>
      </c>
      <c r="AV98" s="383">
        <f t="shared" si="37"/>
        <v>0.505524124</v>
      </c>
      <c r="AW98" s="256"/>
    </row>
    <row r="99">
      <c r="A99" s="122"/>
      <c r="B99" s="123"/>
      <c r="C99" s="123"/>
      <c r="D99" s="123"/>
      <c r="E99" s="133" t="s">
        <v>356</v>
      </c>
      <c r="F99" s="134" t="s">
        <v>72</v>
      </c>
      <c r="G99" s="145" t="s">
        <v>161</v>
      </c>
      <c r="H99" s="146" t="s">
        <v>162</v>
      </c>
      <c r="I99" s="407">
        <f t="shared" ref="I99:AV99" si="38">IF(I29="-",I51,(I29*I$92)+(I51*I$93))</f>
        <v>0.35420886</v>
      </c>
      <c r="J99" s="407">
        <f t="shared" si="38"/>
        <v>0.501795885</v>
      </c>
      <c r="K99" s="407">
        <f t="shared" si="38"/>
        <v>0.396833994</v>
      </c>
      <c r="L99" s="407">
        <f t="shared" si="38"/>
        <v>0.409641546</v>
      </c>
      <c r="M99" s="407">
        <f t="shared" si="38"/>
        <v>0.368917533</v>
      </c>
      <c r="N99" s="407">
        <f t="shared" si="38"/>
        <v>0.3508644519</v>
      </c>
      <c r="O99" s="407">
        <f t="shared" si="38"/>
        <v>0.154391037</v>
      </c>
      <c r="P99" s="407">
        <f t="shared" si="38"/>
        <v>0.1818460883</v>
      </c>
      <c r="Q99" s="407">
        <f t="shared" si="38"/>
        <v>0.2308481958</v>
      </c>
      <c r="R99" s="407">
        <f t="shared" si="38"/>
        <v>0.7500961004</v>
      </c>
      <c r="S99" s="407">
        <f t="shared" si="38"/>
        <v>0.696610758</v>
      </c>
      <c r="T99" s="407">
        <f t="shared" si="38"/>
        <v>0.7310936658</v>
      </c>
      <c r="U99" s="407">
        <f t="shared" si="38"/>
        <v>0.7360943065</v>
      </c>
      <c r="V99" s="407">
        <f t="shared" si="38"/>
        <v>0.70208995</v>
      </c>
      <c r="W99" s="407">
        <f t="shared" si="38"/>
        <v>0.6280804681</v>
      </c>
      <c r="X99" s="407">
        <f t="shared" si="38"/>
        <v>0.3010385683</v>
      </c>
      <c r="Y99" s="407">
        <f t="shared" si="38"/>
        <v>0.7500961004</v>
      </c>
      <c r="Z99" s="407">
        <f t="shared" si="38"/>
        <v>0.6990895656</v>
      </c>
      <c r="AA99" s="407">
        <f t="shared" si="38"/>
        <v>0.9871264681</v>
      </c>
      <c r="AB99" s="407">
        <f t="shared" si="38"/>
        <v>0.8271059667</v>
      </c>
      <c r="AC99" s="407">
        <f t="shared" si="38"/>
        <v>0.8491087856</v>
      </c>
      <c r="AD99" s="407">
        <f t="shared" si="38"/>
        <v>0.9081163455</v>
      </c>
      <c r="AE99" s="407">
        <f t="shared" si="38"/>
        <v>0.7961019945</v>
      </c>
      <c r="AF99" s="407">
        <f t="shared" si="38"/>
        <v>0.8881137828</v>
      </c>
      <c r="AG99" s="407">
        <f t="shared" si="38"/>
        <v>0.5803422</v>
      </c>
      <c r="AH99" s="407">
        <f t="shared" si="38"/>
        <v>0.6320809806</v>
      </c>
      <c r="AI99" s="407">
        <f t="shared" si="38"/>
        <v>0.5510706017</v>
      </c>
      <c r="AJ99" s="407">
        <f t="shared" si="38"/>
        <v>0.8471085294</v>
      </c>
      <c r="AK99" s="407">
        <f t="shared" si="38"/>
        <v>0.5400691923</v>
      </c>
      <c r="AL99" s="407">
        <f t="shared" si="38"/>
        <v>0.390830454</v>
      </c>
      <c r="AM99" s="407">
        <f t="shared" si="38"/>
        <v>0.336498417</v>
      </c>
      <c r="AN99" s="407">
        <f t="shared" si="38"/>
        <v>0.495792345</v>
      </c>
      <c r="AO99" s="407">
        <f t="shared" si="38"/>
        <v>0.4130529193</v>
      </c>
      <c r="AP99" s="407">
        <f t="shared" si="38"/>
        <v>0.6260802118</v>
      </c>
      <c r="AQ99" s="407">
        <f t="shared" si="38"/>
        <v>0.8151044291</v>
      </c>
      <c r="AR99" s="407">
        <f t="shared" si="38"/>
        <v>0.5690729082</v>
      </c>
      <c r="AS99" s="407">
        <f t="shared" si="38"/>
        <v>0.6540837995</v>
      </c>
      <c r="AT99" s="407">
        <f t="shared" si="38"/>
        <v>0.7811000725</v>
      </c>
      <c r="AU99" s="407">
        <f t="shared" si="38"/>
        <v>0.5530601951</v>
      </c>
      <c r="AV99" s="407">
        <f t="shared" si="38"/>
        <v>0.4102364446</v>
      </c>
      <c r="AW99" s="139"/>
    </row>
    <row r="100">
      <c r="A100" s="122"/>
      <c r="B100" s="123"/>
      <c r="C100" s="342"/>
      <c r="D100" s="342"/>
      <c r="E100" s="638"/>
      <c r="F100" s="125"/>
      <c r="G100" s="126"/>
      <c r="H100" s="127"/>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30"/>
    </row>
    <row r="101">
      <c r="A101" s="122"/>
      <c r="B101" s="123"/>
      <c r="C101" s="342" t="s">
        <v>846</v>
      </c>
      <c r="F101" s="125"/>
      <c r="G101" s="126"/>
      <c r="H101" s="127"/>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30"/>
    </row>
    <row r="102">
      <c r="A102" s="122"/>
      <c r="B102" s="123"/>
      <c r="C102" s="342"/>
      <c r="D102" s="123"/>
      <c r="E102" s="192" t="s">
        <v>847</v>
      </c>
      <c r="F102" s="193" t="s">
        <v>72</v>
      </c>
      <c r="G102" s="235" t="s">
        <v>161</v>
      </c>
      <c r="H102" s="236" t="s">
        <v>162</v>
      </c>
      <c r="I102" s="383">
        <f t="shared" ref="I102:AV102" si="39">AVERAGE(I49:I51)</f>
        <v>0.3707141616</v>
      </c>
      <c r="J102" s="383">
        <f t="shared" si="39"/>
        <v>0.478061248</v>
      </c>
      <c r="K102" s="383">
        <f t="shared" si="39"/>
        <v>0.5554044903</v>
      </c>
      <c r="L102" s="383">
        <f t="shared" si="39"/>
        <v>0.664751833</v>
      </c>
      <c r="M102" s="383">
        <f t="shared" si="39"/>
        <v>0.4810616324</v>
      </c>
      <c r="N102" s="383">
        <f t="shared" si="39"/>
        <v>0.4693934708</v>
      </c>
      <c r="O102" s="383">
        <f t="shared" si="39"/>
        <v>0.5767405572</v>
      </c>
      <c r="P102" s="383">
        <f t="shared" si="39"/>
        <v>0.1956917382</v>
      </c>
      <c r="Q102" s="383">
        <f t="shared" si="39"/>
        <v>0.3503782229</v>
      </c>
      <c r="R102" s="383">
        <f t="shared" si="39"/>
        <v>0.8307731032</v>
      </c>
      <c r="S102" s="383">
        <f t="shared" si="39"/>
        <v>0.6517501672</v>
      </c>
      <c r="T102" s="383">
        <f t="shared" si="39"/>
        <v>0.8054365238</v>
      </c>
      <c r="U102" s="383">
        <f t="shared" si="39"/>
        <v>0.7730990475</v>
      </c>
      <c r="V102" s="383">
        <f t="shared" si="39"/>
        <v>0.7457622118</v>
      </c>
      <c r="W102" s="383">
        <f t="shared" si="39"/>
        <v>0.7270931533</v>
      </c>
      <c r="X102" s="383">
        <f t="shared" si="39"/>
        <v>0.4443902675</v>
      </c>
      <c r="Y102" s="383">
        <f t="shared" si="39"/>
        <v>0.86644434</v>
      </c>
      <c r="Z102" s="383">
        <f t="shared" si="39"/>
        <v>0.754763365</v>
      </c>
      <c r="AA102" s="383">
        <f t="shared" si="39"/>
        <v>0.9894601004</v>
      </c>
      <c r="AB102" s="383">
        <f t="shared" si="39"/>
        <v>0.8857801505</v>
      </c>
      <c r="AC102" s="383">
        <f t="shared" si="39"/>
        <v>0.9127836102</v>
      </c>
      <c r="AD102" s="383">
        <f t="shared" si="39"/>
        <v>0.9534554876</v>
      </c>
      <c r="AE102" s="383">
        <f t="shared" si="39"/>
        <v>0.8577765628</v>
      </c>
      <c r="AF102" s="383">
        <f t="shared" si="39"/>
        <v>0.9204512592</v>
      </c>
      <c r="AG102" s="383">
        <f t="shared" si="39"/>
        <v>0.664751833</v>
      </c>
      <c r="AH102" s="383">
        <f t="shared" si="39"/>
        <v>0.7447620837</v>
      </c>
      <c r="AI102" s="383">
        <f t="shared" si="39"/>
        <v>0.6184125628</v>
      </c>
      <c r="AJ102" s="383">
        <f t="shared" si="39"/>
        <v>0.8907807912</v>
      </c>
      <c r="AK102" s="383">
        <f t="shared" si="39"/>
        <v>0.635414741</v>
      </c>
      <c r="AL102" s="383">
        <f t="shared" si="39"/>
        <v>0.5040645795</v>
      </c>
      <c r="AM102" s="383">
        <f t="shared" si="39"/>
        <v>0.5040645795</v>
      </c>
      <c r="AN102" s="383">
        <f t="shared" si="39"/>
        <v>0.5040645795</v>
      </c>
      <c r="AO102" s="383">
        <f t="shared" si="39"/>
        <v>0.5534042341</v>
      </c>
      <c r="AP102" s="383">
        <f t="shared" si="39"/>
        <v>0.6807538831</v>
      </c>
      <c r="AQ102" s="383">
        <f t="shared" si="39"/>
        <v>0.8704448525</v>
      </c>
      <c r="AR102" s="383">
        <f t="shared" si="39"/>
        <v>0.6557506798</v>
      </c>
      <c r="AS102" s="383">
        <f t="shared" si="39"/>
        <v>0.7444287076</v>
      </c>
      <c r="AT102" s="383">
        <f t="shared" si="39"/>
        <v>0.8494421617</v>
      </c>
      <c r="AU102" s="383">
        <f t="shared" si="39"/>
        <v>0.6307474764</v>
      </c>
      <c r="AV102" s="383">
        <f t="shared" si="39"/>
        <v>0.6974226853</v>
      </c>
      <c r="AW102" s="256"/>
    </row>
    <row r="103">
      <c r="A103" s="122"/>
      <c r="B103" s="123"/>
      <c r="C103" s="342"/>
      <c r="D103" s="123"/>
      <c r="E103" s="212" t="s">
        <v>848</v>
      </c>
      <c r="F103" s="213" t="s">
        <v>72</v>
      </c>
      <c r="G103" s="239" t="s">
        <v>161</v>
      </c>
      <c r="H103" s="240" t="s">
        <v>162</v>
      </c>
      <c r="I103" s="241">
        <f t="shared" ref="I103:AV103" si="40">AVERAGE(I52:I54)</f>
        <v>0.3693806574</v>
      </c>
      <c r="J103" s="241">
        <f t="shared" si="40"/>
        <v>0.4527246686</v>
      </c>
      <c r="K103" s="241">
        <f t="shared" si="40"/>
        <v>0.5480702173</v>
      </c>
      <c r="L103" s="241">
        <f t="shared" si="40"/>
        <v>0.6524169193</v>
      </c>
      <c r="M103" s="241">
        <f t="shared" si="40"/>
        <v>0.4697268469</v>
      </c>
      <c r="N103" s="241">
        <f t="shared" si="40"/>
        <v>0.4493909081</v>
      </c>
      <c r="O103" s="241">
        <f t="shared" si="40"/>
        <v>0.56807278</v>
      </c>
      <c r="P103" s="241">
        <f t="shared" si="40"/>
        <v>0.1533529805</v>
      </c>
      <c r="Q103" s="241">
        <f t="shared" si="40"/>
        <v>0.3607128803</v>
      </c>
      <c r="R103" s="241">
        <f t="shared" si="40"/>
        <v>0.8014360113</v>
      </c>
      <c r="S103" s="241">
        <f t="shared" si="40"/>
        <v>0.6514167912</v>
      </c>
      <c r="T103" s="241">
        <f t="shared" si="40"/>
        <v>0.7881009695</v>
      </c>
      <c r="U103" s="241">
        <f t="shared" si="40"/>
        <v>0.7717655433</v>
      </c>
      <c r="V103" s="241">
        <f t="shared" si="40"/>
        <v>0.7290934096</v>
      </c>
      <c r="W103" s="241">
        <f t="shared" si="40"/>
        <v>0.687421404</v>
      </c>
      <c r="X103" s="241">
        <f t="shared" si="40"/>
        <v>0.4073855265</v>
      </c>
      <c r="Y103" s="241">
        <f t="shared" si="40"/>
        <v>0.8604435711</v>
      </c>
      <c r="Z103" s="241">
        <f t="shared" si="40"/>
        <v>0.739761443</v>
      </c>
      <c r="AA103" s="241">
        <f t="shared" si="40"/>
        <v>0.9897934765</v>
      </c>
      <c r="AB103" s="241">
        <f t="shared" si="40"/>
        <v>0.8414411366</v>
      </c>
      <c r="AC103" s="241">
        <f t="shared" si="40"/>
        <v>0.8937811756</v>
      </c>
      <c r="AD103" s="241">
        <f t="shared" si="40"/>
        <v>0.9501217271</v>
      </c>
      <c r="AE103" s="241">
        <f t="shared" si="40"/>
        <v>0.8604435711</v>
      </c>
      <c r="AF103" s="241">
        <f t="shared" si="40"/>
        <v>0.9007820725</v>
      </c>
      <c r="AG103" s="241">
        <f t="shared" si="40"/>
        <v>0.6524169193</v>
      </c>
      <c r="AH103" s="241">
        <f t="shared" si="40"/>
        <v>0.7290934096</v>
      </c>
      <c r="AI103" s="241">
        <f t="shared" si="40"/>
        <v>0.5917424792</v>
      </c>
      <c r="AJ103" s="241">
        <f t="shared" si="40"/>
        <v>0.8697781004</v>
      </c>
      <c r="AK103" s="241">
        <f t="shared" si="40"/>
        <v>0.6167456825</v>
      </c>
      <c r="AL103" s="241">
        <f t="shared" si="40"/>
        <v>0.4897294095</v>
      </c>
      <c r="AM103" s="241">
        <f t="shared" si="40"/>
        <v>0.4897294095</v>
      </c>
      <c r="AN103" s="241">
        <f t="shared" si="40"/>
        <v>0.4897294095</v>
      </c>
      <c r="AO103" s="241">
        <f t="shared" si="40"/>
        <v>0.5364020558</v>
      </c>
      <c r="AP103" s="241">
        <f t="shared" si="40"/>
        <v>0.6624182006</v>
      </c>
      <c r="AQ103" s="241">
        <f t="shared" si="40"/>
        <v>0.8077701561</v>
      </c>
      <c r="AR103" s="241">
        <f t="shared" si="40"/>
        <v>0.6490831589</v>
      </c>
      <c r="AS103" s="241">
        <f t="shared" si="40"/>
        <v>0.6944223009</v>
      </c>
      <c r="AT103" s="241">
        <f t="shared" si="40"/>
        <v>0.8457750252</v>
      </c>
      <c r="AU103" s="241">
        <f t="shared" si="40"/>
        <v>0.6104115377</v>
      </c>
      <c r="AV103" s="241">
        <f t="shared" si="40"/>
        <v>0.6774201227</v>
      </c>
      <c r="AW103" s="259"/>
    </row>
    <row r="104">
      <c r="A104" s="122"/>
      <c r="B104" s="123"/>
      <c r="C104" s="342"/>
      <c r="D104" s="123"/>
      <c r="E104" s="212" t="s">
        <v>849</v>
      </c>
      <c r="F104" s="213" t="s">
        <v>72</v>
      </c>
      <c r="G104" s="239" t="s">
        <v>161</v>
      </c>
      <c r="H104" s="240" t="s">
        <v>162</v>
      </c>
      <c r="I104" s="241">
        <f t="shared" ref="I104:AV104" si="41">(I103-I102)/I102</f>
        <v>-0.003597122302</v>
      </c>
      <c r="J104" s="241">
        <f t="shared" si="41"/>
        <v>-0.0529986053</v>
      </c>
      <c r="K104" s="241">
        <f t="shared" si="41"/>
        <v>-0.01320528211</v>
      </c>
      <c r="L104" s="241">
        <f t="shared" si="41"/>
        <v>-0.018555667</v>
      </c>
      <c r="M104" s="241">
        <f t="shared" si="41"/>
        <v>-0.02356202356</v>
      </c>
      <c r="N104" s="241">
        <f t="shared" si="41"/>
        <v>-0.04261363636</v>
      </c>
      <c r="O104" s="241">
        <f t="shared" si="41"/>
        <v>-0.01502890173</v>
      </c>
      <c r="P104" s="241">
        <f t="shared" si="41"/>
        <v>-0.2163543441</v>
      </c>
      <c r="Q104" s="241">
        <f t="shared" si="41"/>
        <v>0.02949571836</v>
      </c>
      <c r="R104" s="241">
        <f t="shared" si="41"/>
        <v>-0.03531300161</v>
      </c>
      <c r="S104" s="241">
        <f t="shared" si="41"/>
        <v>-0.0005115089514</v>
      </c>
      <c r="T104" s="241">
        <f t="shared" si="41"/>
        <v>-0.02152317881</v>
      </c>
      <c r="U104" s="241">
        <f t="shared" si="41"/>
        <v>-0.001724881414</v>
      </c>
      <c r="V104" s="241">
        <f t="shared" si="41"/>
        <v>-0.02235136343</v>
      </c>
      <c r="W104" s="241">
        <f t="shared" si="41"/>
        <v>-0.05456212746</v>
      </c>
      <c r="X104" s="241">
        <f t="shared" si="41"/>
        <v>-0.0832708177</v>
      </c>
      <c r="Y104" s="241">
        <f t="shared" si="41"/>
        <v>-0.006925740669</v>
      </c>
      <c r="Z104" s="241">
        <f t="shared" si="41"/>
        <v>-0.01987632509</v>
      </c>
      <c r="AA104" s="241">
        <f t="shared" si="41"/>
        <v>0.0003369272237</v>
      </c>
      <c r="AB104" s="241">
        <f t="shared" si="41"/>
        <v>-0.05005645465</v>
      </c>
      <c r="AC104" s="241">
        <f t="shared" si="41"/>
        <v>-0.02081811541</v>
      </c>
      <c r="AD104" s="241">
        <f t="shared" si="41"/>
        <v>-0.003496503497</v>
      </c>
      <c r="AE104" s="241">
        <f t="shared" si="41"/>
        <v>0.003109211038</v>
      </c>
      <c r="AF104" s="241">
        <f t="shared" si="41"/>
        <v>-0.02136906918</v>
      </c>
      <c r="AG104" s="241">
        <f t="shared" si="41"/>
        <v>-0.018555667</v>
      </c>
      <c r="AH104" s="241">
        <f t="shared" si="41"/>
        <v>-0.02103849597</v>
      </c>
      <c r="AI104" s="241">
        <f t="shared" si="41"/>
        <v>-0.04312668464</v>
      </c>
      <c r="AJ104" s="241">
        <f t="shared" si="41"/>
        <v>-0.02357784431</v>
      </c>
      <c r="AK104" s="241">
        <f t="shared" si="41"/>
        <v>-0.02938090241</v>
      </c>
      <c r="AL104" s="241">
        <f t="shared" si="41"/>
        <v>-0.02843915344</v>
      </c>
      <c r="AM104" s="241">
        <f t="shared" si="41"/>
        <v>-0.02843915344</v>
      </c>
      <c r="AN104" s="241">
        <f t="shared" si="41"/>
        <v>-0.02843915344</v>
      </c>
      <c r="AO104" s="241">
        <f t="shared" si="41"/>
        <v>-0.03072289157</v>
      </c>
      <c r="AP104" s="241">
        <f t="shared" si="41"/>
        <v>-0.02693437806</v>
      </c>
      <c r="AQ104" s="241">
        <f t="shared" si="41"/>
        <v>-0.07200306396</v>
      </c>
      <c r="AR104" s="241">
        <f t="shared" si="41"/>
        <v>-0.01016776817</v>
      </c>
      <c r="AS104" s="241">
        <f t="shared" si="41"/>
        <v>-0.06717420511</v>
      </c>
      <c r="AT104" s="241">
        <f t="shared" si="41"/>
        <v>-0.00431711146</v>
      </c>
      <c r="AU104" s="241">
        <f t="shared" si="41"/>
        <v>-0.0322410148</v>
      </c>
      <c r="AV104" s="241">
        <f t="shared" si="41"/>
        <v>-0.02868068834</v>
      </c>
      <c r="AW104" s="259"/>
    </row>
    <row r="105">
      <c r="A105" s="122"/>
      <c r="B105" s="123"/>
      <c r="C105" s="342"/>
      <c r="D105" s="123"/>
      <c r="E105" s="212" t="s">
        <v>850</v>
      </c>
      <c r="F105" s="213" t="s">
        <v>72</v>
      </c>
      <c r="G105" s="239" t="s">
        <v>161</v>
      </c>
      <c r="H105" s="240" t="s">
        <v>162</v>
      </c>
      <c r="I105" s="241">
        <f t="shared" ref="I105:AV105" si="42">IF(I27="-","-",I27*(1+I$104))</f>
        <v>0.4916161415</v>
      </c>
      <c r="J105" s="241">
        <f t="shared" si="42"/>
        <v>0.6409296689</v>
      </c>
      <c r="K105" s="241">
        <f t="shared" si="42"/>
        <v>0.5647796021</v>
      </c>
      <c r="L105" s="241">
        <f t="shared" si="42"/>
        <v>0.586562568</v>
      </c>
      <c r="M105" s="241">
        <f t="shared" si="42"/>
        <v>0.5491796115</v>
      </c>
      <c r="N105" s="241">
        <f t="shared" si="42"/>
        <v>0.3751336984</v>
      </c>
      <c r="O105" s="241">
        <f t="shared" si="42"/>
        <v>0.3330180989</v>
      </c>
      <c r="P105" s="241">
        <f t="shared" si="42"/>
        <v>0.2126500914</v>
      </c>
      <c r="Q105" s="241">
        <f t="shared" si="42"/>
        <v>0.1417421894</v>
      </c>
      <c r="R105" s="241" t="str">
        <f t="shared" si="42"/>
        <v>-</v>
      </c>
      <c r="S105" s="241">
        <f t="shared" si="42"/>
        <v>0.8611673288</v>
      </c>
      <c r="T105" s="241" t="str">
        <f t="shared" si="42"/>
        <v>-</v>
      </c>
      <c r="U105" s="241" t="str">
        <f t="shared" si="42"/>
        <v>-</v>
      </c>
      <c r="V105" s="241" t="str">
        <f t="shared" si="42"/>
        <v>-</v>
      </c>
      <c r="W105" s="241" t="str">
        <f t="shared" si="42"/>
        <v>-</v>
      </c>
      <c r="X105" s="241" t="str">
        <f t="shared" si="42"/>
        <v>-</v>
      </c>
      <c r="Y105" s="241" t="str">
        <f t="shared" si="42"/>
        <v>-</v>
      </c>
      <c r="Z105" s="241" t="str">
        <f t="shared" si="42"/>
        <v>-</v>
      </c>
      <c r="AA105" s="241" t="str">
        <f t="shared" si="42"/>
        <v>-</v>
      </c>
      <c r="AB105" s="241" t="str">
        <f t="shared" si="42"/>
        <v>-</v>
      </c>
      <c r="AC105" s="241" t="str">
        <f t="shared" si="42"/>
        <v>-</v>
      </c>
      <c r="AD105" s="241" t="str">
        <f t="shared" si="42"/>
        <v>-</v>
      </c>
      <c r="AE105" s="241" t="str">
        <f t="shared" si="42"/>
        <v>-</v>
      </c>
      <c r="AF105" s="241" t="str">
        <f t="shared" si="42"/>
        <v>-</v>
      </c>
      <c r="AG105" s="241">
        <f t="shared" si="42"/>
        <v>0.726697305</v>
      </c>
      <c r="AH105" s="241" t="str">
        <f t="shared" si="42"/>
        <v>-</v>
      </c>
      <c r="AI105" s="241" t="str">
        <f t="shared" si="42"/>
        <v>-</v>
      </c>
      <c r="AJ105" s="241" t="str">
        <f t="shared" si="42"/>
        <v>-</v>
      </c>
      <c r="AK105" s="241" t="str">
        <f t="shared" si="42"/>
        <v>-</v>
      </c>
      <c r="AL105" s="241">
        <f t="shared" si="42"/>
        <v>0.6109862614</v>
      </c>
      <c r="AM105" s="241">
        <f t="shared" si="42"/>
        <v>0.5494501749</v>
      </c>
      <c r="AN105" s="241">
        <f t="shared" si="42"/>
        <v>0.7300726847</v>
      </c>
      <c r="AO105" s="241" t="str">
        <f t="shared" si="42"/>
        <v>-</v>
      </c>
      <c r="AP105" s="241" t="str">
        <f t="shared" si="42"/>
        <v>-</v>
      </c>
      <c r="AQ105" s="241" t="str">
        <f t="shared" si="42"/>
        <v>-</v>
      </c>
      <c r="AR105" s="241" t="str">
        <f t="shared" si="42"/>
        <v>-</v>
      </c>
      <c r="AS105" s="241" t="str">
        <f t="shared" si="42"/>
        <v>-</v>
      </c>
      <c r="AT105" s="241" t="str">
        <f t="shared" si="42"/>
        <v>-</v>
      </c>
      <c r="AU105" s="241">
        <f t="shared" si="42"/>
        <v>0.7048473801</v>
      </c>
      <c r="AV105" s="241">
        <f t="shared" si="42"/>
        <v>0.5733193209</v>
      </c>
      <c r="AW105" s="259"/>
    </row>
    <row r="106">
      <c r="A106" s="122"/>
      <c r="B106" s="123"/>
      <c r="C106" s="342"/>
      <c r="D106" s="123"/>
      <c r="E106" s="212" t="s">
        <v>851</v>
      </c>
      <c r="F106" s="213" t="s">
        <v>72</v>
      </c>
      <c r="G106" s="239" t="s">
        <v>161</v>
      </c>
      <c r="H106" s="240" t="s">
        <v>162</v>
      </c>
      <c r="I106" s="241">
        <f t="shared" ref="I106:AV106" si="43">IF(I28="-","-",I28*(1+I$104))</f>
        <v>0.4457545667</v>
      </c>
      <c r="J106" s="241">
        <f t="shared" si="43"/>
        <v>0.5999950715</v>
      </c>
      <c r="K106" s="241">
        <f t="shared" si="43"/>
        <v>0.5088940681</v>
      </c>
      <c r="L106" s="241">
        <f t="shared" si="43"/>
        <v>0.4978858563</v>
      </c>
      <c r="M106" s="241">
        <f t="shared" si="43"/>
        <v>0.4713115897</v>
      </c>
      <c r="N106" s="241">
        <f t="shared" si="43"/>
        <v>0.3582737569</v>
      </c>
      <c r="O106" s="241">
        <f t="shared" si="43"/>
        <v>0.2392920817</v>
      </c>
      <c r="P106" s="241">
        <f t="shared" si="43"/>
        <v>0.2037112602</v>
      </c>
      <c r="Q106" s="241">
        <f t="shared" si="43"/>
        <v>0.129380952</v>
      </c>
      <c r="R106" s="241" t="str">
        <f t="shared" si="43"/>
        <v>-</v>
      </c>
      <c r="S106" s="241">
        <f t="shared" si="43"/>
        <v>0.7904618008</v>
      </c>
      <c r="T106" s="241" t="str">
        <f t="shared" si="43"/>
        <v>-</v>
      </c>
      <c r="U106" s="241" t="str">
        <f t="shared" si="43"/>
        <v>-</v>
      </c>
      <c r="V106" s="241" t="str">
        <f t="shared" si="43"/>
        <v>-</v>
      </c>
      <c r="W106" s="241" t="str">
        <f t="shared" si="43"/>
        <v>-</v>
      </c>
      <c r="X106" s="241" t="str">
        <f t="shared" si="43"/>
        <v>-</v>
      </c>
      <c r="Y106" s="241" t="str">
        <f t="shared" si="43"/>
        <v>-</v>
      </c>
      <c r="Z106" s="241" t="str">
        <f t="shared" si="43"/>
        <v>-</v>
      </c>
      <c r="AA106" s="241" t="str">
        <f t="shared" si="43"/>
        <v>-</v>
      </c>
      <c r="AB106" s="241" t="str">
        <f t="shared" si="43"/>
        <v>-</v>
      </c>
      <c r="AC106" s="241" t="str">
        <f t="shared" si="43"/>
        <v>-</v>
      </c>
      <c r="AD106" s="241" t="str">
        <f t="shared" si="43"/>
        <v>-</v>
      </c>
      <c r="AE106" s="241" t="str">
        <f t="shared" si="43"/>
        <v>-</v>
      </c>
      <c r="AF106" s="241" t="str">
        <f t="shared" si="43"/>
        <v>-</v>
      </c>
      <c r="AG106" s="241">
        <f t="shared" si="43"/>
        <v>0.6579556681</v>
      </c>
      <c r="AH106" s="241" t="str">
        <f t="shared" si="43"/>
        <v>-</v>
      </c>
      <c r="AI106" s="241" t="str">
        <f t="shared" si="43"/>
        <v>-</v>
      </c>
      <c r="AJ106" s="241" t="str">
        <f t="shared" si="43"/>
        <v>-</v>
      </c>
      <c r="AK106" s="241" t="str">
        <f t="shared" si="43"/>
        <v>-</v>
      </c>
      <c r="AL106" s="241">
        <f t="shared" si="43"/>
        <v>0.512897934</v>
      </c>
      <c r="AM106" s="241">
        <f t="shared" si="43"/>
        <v>0.4496120062</v>
      </c>
      <c r="AN106" s="241">
        <f t="shared" si="43"/>
        <v>0.6352896131</v>
      </c>
      <c r="AO106" s="241" t="str">
        <f t="shared" si="43"/>
        <v>-</v>
      </c>
      <c r="AP106" s="241" t="str">
        <f t="shared" si="43"/>
        <v>-</v>
      </c>
      <c r="AQ106" s="241" t="str">
        <f t="shared" si="43"/>
        <v>-</v>
      </c>
      <c r="AR106" s="241" t="str">
        <f t="shared" si="43"/>
        <v>-</v>
      </c>
      <c r="AS106" s="241" t="str">
        <f t="shared" si="43"/>
        <v>-</v>
      </c>
      <c r="AT106" s="241" t="str">
        <f t="shared" si="43"/>
        <v>-</v>
      </c>
      <c r="AU106" s="241">
        <f t="shared" si="43"/>
        <v>0.6387104436</v>
      </c>
      <c r="AV106" s="241">
        <f t="shared" si="43"/>
        <v>0.4642729947</v>
      </c>
      <c r="AW106" s="259"/>
    </row>
    <row r="107">
      <c r="A107" s="122"/>
      <c r="B107" s="123"/>
      <c r="C107" s="342"/>
      <c r="D107" s="123"/>
      <c r="E107" s="212" t="s">
        <v>852</v>
      </c>
      <c r="F107" s="213" t="s">
        <v>72</v>
      </c>
      <c r="G107" s="239" t="s">
        <v>161</v>
      </c>
      <c r="H107" s="240" t="s">
        <v>162</v>
      </c>
      <c r="I107" s="241">
        <f t="shared" ref="I107:AV107" si="44">IF(I29="-","-",I29*(1+I$104))</f>
        <v>0.3529347274</v>
      </c>
      <c r="J107" s="241">
        <f t="shared" si="44"/>
        <v>0.4752014029</v>
      </c>
      <c r="K107" s="241">
        <f t="shared" si="44"/>
        <v>0.3915936892</v>
      </c>
      <c r="L107" s="241">
        <f t="shared" si="44"/>
        <v>0.4020403739</v>
      </c>
      <c r="M107" s="241">
        <f t="shared" si="44"/>
        <v>0.3602250894</v>
      </c>
      <c r="N107" s="241">
        <f t="shared" si="44"/>
        <v>0.283840947</v>
      </c>
      <c r="O107" s="241">
        <f t="shared" si="44"/>
        <v>0.1520707093</v>
      </c>
      <c r="P107" s="241">
        <f t="shared" si="44"/>
        <v>0.1474907161</v>
      </c>
      <c r="Q107" s="241">
        <f t="shared" si="44"/>
        <v>0.09023703339</v>
      </c>
      <c r="R107" s="241" t="str">
        <f t="shared" si="44"/>
        <v>-</v>
      </c>
      <c r="S107" s="241">
        <f t="shared" si="44"/>
        <v>0.6962544354</v>
      </c>
      <c r="T107" s="241" t="str">
        <f t="shared" si="44"/>
        <v>-</v>
      </c>
      <c r="U107" s="241" t="str">
        <f t="shared" si="44"/>
        <v>-</v>
      </c>
      <c r="V107" s="241" t="str">
        <f t="shared" si="44"/>
        <v>-</v>
      </c>
      <c r="W107" s="241" t="str">
        <f t="shared" si="44"/>
        <v>-</v>
      </c>
      <c r="X107" s="241" t="str">
        <f t="shared" si="44"/>
        <v>-</v>
      </c>
      <c r="Y107" s="241" t="str">
        <f t="shared" si="44"/>
        <v>-</v>
      </c>
      <c r="Z107" s="241" t="str">
        <f t="shared" si="44"/>
        <v>-</v>
      </c>
      <c r="AA107" s="241" t="str">
        <f t="shared" si="44"/>
        <v>-</v>
      </c>
      <c r="AB107" s="241" t="str">
        <f t="shared" si="44"/>
        <v>-</v>
      </c>
      <c r="AC107" s="241" t="str">
        <f t="shared" si="44"/>
        <v>-</v>
      </c>
      <c r="AD107" s="241" t="str">
        <f t="shared" si="44"/>
        <v>-</v>
      </c>
      <c r="AE107" s="241" t="str">
        <f t="shared" si="44"/>
        <v>-</v>
      </c>
      <c r="AF107" s="241" t="str">
        <f t="shared" si="44"/>
        <v>-</v>
      </c>
      <c r="AG107" s="241">
        <f t="shared" si="44"/>
        <v>0.5695735634</v>
      </c>
      <c r="AH107" s="241" t="str">
        <f t="shared" si="44"/>
        <v>-</v>
      </c>
      <c r="AI107" s="241" t="str">
        <f t="shared" si="44"/>
        <v>-</v>
      </c>
      <c r="AJ107" s="241" t="str">
        <f t="shared" si="44"/>
        <v>-</v>
      </c>
      <c r="AK107" s="241" t="str">
        <f t="shared" si="44"/>
        <v>-</v>
      </c>
      <c r="AL107" s="241">
        <f t="shared" si="44"/>
        <v>0.3797155668</v>
      </c>
      <c r="AM107" s="241">
        <f t="shared" si="44"/>
        <v>0.3269286869</v>
      </c>
      <c r="AN107" s="241">
        <f t="shared" si="44"/>
        <v>0.4816924304</v>
      </c>
      <c r="AO107" s="241" t="str">
        <f t="shared" si="44"/>
        <v>-</v>
      </c>
      <c r="AP107" s="241" t="str">
        <f t="shared" si="44"/>
        <v>-</v>
      </c>
      <c r="AQ107" s="241" t="str">
        <f t="shared" si="44"/>
        <v>-</v>
      </c>
      <c r="AR107" s="241" t="str">
        <f t="shared" si="44"/>
        <v>-</v>
      </c>
      <c r="AS107" s="241" t="str">
        <f t="shared" si="44"/>
        <v>-</v>
      </c>
      <c r="AT107" s="241" t="str">
        <f t="shared" si="44"/>
        <v>-</v>
      </c>
      <c r="AU107" s="241">
        <f t="shared" si="44"/>
        <v>0.5404249524</v>
      </c>
      <c r="AV107" s="241">
        <f t="shared" si="44"/>
        <v>0.3684444051</v>
      </c>
      <c r="AW107" s="259"/>
    </row>
    <row r="108">
      <c r="A108" s="122"/>
      <c r="B108" s="123"/>
      <c r="C108" s="342"/>
      <c r="D108" s="123"/>
      <c r="E108" s="212" t="s">
        <v>357</v>
      </c>
      <c r="F108" s="213" t="s">
        <v>72</v>
      </c>
      <c r="G108" s="239" t="s">
        <v>161</v>
      </c>
      <c r="H108" s="240" t="s">
        <v>162</v>
      </c>
      <c r="I108" s="241">
        <f t="shared" ref="I108:AV108" si="45">IF(I105="-",I52,(I105*I$92)+(I52*I$93))</f>
        <v>0.4916161415</v>
      </c>
      <c r="J108" s="241">
        <f t="shared" si="45"/>
        <v>0.6409296689</v>
      </c>
      <c r="K108" s="241">
        <f t="shared" si="45"/>
        <v>0.5647796021</v>
      </c>
      <c r="L108" s="241">
        <f t="shared" si="45"/>
        <v>0.586562568</v>
      </c>
      <c r="M108" s="241">
        <f t="shared" si="45"/>
        <v>0.5491796115</v>
      </c>
      <c r="N108" s="241">
        <f t="shared" si="45"/>
        <v>0.4423961336</v>
      </c>
      <c r="O108" s="241">
        <f t="shared" si="45"/>
        <v>0.3330180989</v>
      </c>
      <c r="P108" s="241">
        <f t="shared" si="45"/>
        <v>0.2131177299</v>
      </c>
      <c r="Q108" s="241">
        <f t="shared" si="45"/>
        <v>0.4250606037</v>
      </c>
      <c r="R108" s="241">
        <f t="shared" si="45"/>
        <v>0.8881137828</v>
      </c>
      <c r="S108" s="241">
        <f t="shared" si="45"/>
        <v>0.8611673288</v>
      </c>
      <c r="T108" s="241">
        <f t="shared" si="45"/>
        <v>0.8431080168</v>
      </c>
      <c r="U108" s="241">
        <f t="shared" si="45"/>
        <v>0.829106223</v>
      </c>
      <c r="V108" s="241">
        <f t="shared" si="45"/>
        <v>0.7710987912</v>
      </c>
      <c r="W108" s="241">
        <f t="shared" si="45"/>
        <v>0.7881009695</v>
      </c>
      <c r="X108" s="241">
        <f t="shared" si="45"/>
        <v>0.5390690641</v>
      </c>
      <c r="Y108" s="241">
        <f t="shared" si="45"/>
        <v>0.9311192926</v>
      </c>
      <c r="Z108" s="241">
        <f t="shared" si="45"/>
        <v>0.792101482</v>
      </c>
      <c r="AA108" s="241">
        <f t="shared" si="45"/>
        <v>0.9921271088</v>
      </c>
      <c r="AB108" s="241">
        <f t="shared" si="45"/>
        <v>0.8951146798</v>
      </c>
      <c r="AC108" s="241">
        <f t="shared" si="45"/>
        <v>0.956122496</v>
      </c>
      <c r="AD108" s="241">
        <f t="shared" si="45"/>
        <v>0.9851262118</v>
      </c>
      <c r="AE108" s="241">
        <f t="shared" si="45"/>
        <v>0.9131169862</v>
      </c>
      <c r="AF108" s="241">
        <f t="shared" si="45"/>
        <v>0.9351198051</v>
      </c>
      <c r="AG108" s="241">
        <f t="shared" si="45"/>
        <v>0.726697305</v>
      </c>
      <c r="AH108" s="241">
        <f t="shared" si="45"/>
        <v>0.8471085294</v>
      </c>
      <c r="AI108" s="241">
        <f t="shared" si="45"/>
        <v>0.6360814931</v>
      </c>
      <c r="AJ108" s="241">
        <f t="shared" si="45"/>
        <v>0.9241183957</v>
      </c>
      <c r="AK108" s="241">
        <f t="shared" si="45"/>
        <v>0.7090908469</v>
      </c>
      <c r="AL108" s="241">
        <f t="shared" si="45"/>
        <v>0.6109862614</v>
      </c>
      <c r="AM108" s="241">
        <f t="shared" si="45"/>
        <v>0.5494501749</v>
      </c>
      <c r="AN108" s="241">
        <f t="shared" si="45"/>
        <v>0.7300726847</v>
      </c>
      <c r="AO108" s="241">
        <f t="shared" si="45"/>
        <v>0.6470829026</v>
      </c>
      <c r="AP108" s="241">
        <f t="shared" si="45"/>
        <v>0.7210923845</v>
      </c>
      <c r="AQ108" s="241">
        <f t="shared" si="45"/>
        <v>0.9061160893</v>
      </c>
      <c r="AR108" s="241">
        <f t="shared" si="45"/>
        <v>0.7510962285</v>
      </c>
      <c r="AS108" s="241">
        <f t="shared" si="45"/>
        <v>0.7861007132</v>
      </c>
      <c r="AT108" s="241">
        <f t="shared" si="45"/>
        <v>0.8951146798</v>
      </c>
      <c r="AU108" s="241">
        <f t="shared" si="45"/>
        <v>0.7053541517</v>
      </c>
      <c r="AV108" s="241">
        <f t="shared" si="45"/>
        <v>0.5905867251</v>
      </c>
      <c r="AW108" s="259"/>
    </row>
    <row r="109">
      <c r="A109" s="122"/>
      <c r="B109" s="123"/>
      <c r="C109" s="342"/>
      <c r="D109" s="123"/>
      <c r="E109" s="212" t="s">
        <v>358</v>
      </c>
      <c r="F109" s="213" t="s">
        <v>72</v>
      </c>
      <c r="G109" s="239" t="s">
        <v>161</v>
      </c>
      <c r="H109" s="240" t="s">
        <v>162</v>
      </c>
      <c r="I109" s="241">
        <f t="shared" ref="I109:AV109" si="46">IF(I106="-",I53,(I106*I$92)+(I53*I$93))</f>
        <v>0.4457545667</v>
      </c>
      <c r="J109" s="241">
        <f t="shared" si="46"/>
        <v>0.5999950715</v>
      </c>
      <c r="K109" s="241">
        <f t="shared" si="46"/>
        <v>0.5088940681</v>
      </c>
      <c r="L109" s="241">
        <f t="shared" si="46"/>
        <v>0.4978858563</v>
      </c>
      <c r="M109" s="241">
        <f t="shared" si="46"/>
        <v>0.4713115897</v>
      </c>
      <c r="N109" s="241">
        <f t="shared" si="46"/>
        <v>0.3962890481</v>
      </c>
      <c r="O109" s="241">
        <f t="shared" si="46"/>
        <v>0.2392920817</v>
      </c>
      <c r="P109" s="241">
        <f t="shared" si="46"/>
        <v>0.1983466458</v>
      </c>
      <c r="Q109" s="241">
        <f t="shared" si="46"/>
        <v>0.3308671444</v>
      </c>
      <c r="R109" s="241">
        <f t="shared" si="46"/>
        <v>0.8511090419</v>
      </c>
      <c r="S109" s="241">
        <f t="shared" si="46"/>
        <v>0.7904618008</v>
      </c>
      <c r="T109" s="241">
        <f t="shared" si="46"/>
        <v>0.8161045572</v>
      </c>
      <c r="U109" s="241">
        <f t="shared" si="46"/>
        <v>0.7500961004</v>
      </c>
      <c r="V109" s="241">
        <f t="shared" si="46"/>
        <v>0.7510962285</v>
      </c>
      <c r="W109" s="241">
        <f t="shared" si="46"/>
        <v>0.7110911032</v>
      </c>
      <c r="X109" s="241">
        <f t="shared" si="46"/>
        <v>0.3780484346</v>
      </c>
      <c r="Y109" s="241">
        <f t="shared" si="46"/>
        <v>0.9181176269</v>
      </c>
      <c r="Z109" s="241">
        <f t="shared" si="46"/>
        <v>0.7340940502</v>
      </c>
      <c r="AA109" s="241">
        <f t="shared" si="46"/>
        <v>0.9901268525</v>
      </c>
      <c r="AB109" s="241">
        <f t="shared" si="46"/>
        <v>0.8551095544</v>
      </c>
      <c r="AC109" s="241">
        <f t="shared" si="46"/>
        <v>0.8951146798</v>
      </c>
      <c r="AD109" s="241">
        <f t="shared" si="46"/>
        <v>0.9591228804</v>
      </c>
      <c r="AE109" s="241">
        <f t="shared" si="46"/>
        <v>0.8721117327</v>
      </c>
      <c r="AF109" s="241">
        <f t="shared" si="46"/>
        <v>0.9121168581</v>
      </c>
      <c r="AG109" s="241">
        <f t="shared" si="46"/>
        <v>0.6579556681</v>
      </c>
      <c r="AH109" s="241">
        <f t="shared" si="46"/>
        <v>0.7190921282</v>
      </c>
      <c r="AI109" s="241">
        <f t="shared" si="46"/>
        <v>0.6070777772</v>
      </c>
      <c r="AJ109" s="241">
        <f t="shared" si="46"/>
        <v>0.8861135266</v>
      </c>
      <c r="AK109" s="241">
        <f t="shared" si="46"/>
        <v>0.6340812369</v>
      </c>
      <c r="AL109" s="241">
        <f t="shared" si="46"/>
        <v>0.512897934</v>
      </c>
      <c r="AM109" s="241">
        <f t="shared" si="46"/>
        <v>0.4496120062</v>
      </c>
      <c r="AN109" s="241">
        <f t="shared" si="46"/>
        <v>0.6352896131</v>
      </c>
      <c r="AO109" s="241">
        <f t="shared" si="46"/>
        <v>0.5660725238</v>
      </c>
      <c r="AP109" s="241">
        <f t="shared" si="46"/>
        <v>0.6560840558</v>
      </c>
      <c r="AQ109" s="241">
        <f t="shared" si="46"/>
        <v>0.8281060948</v>
      </c>
      <c r="AR109" s="241">
        <f t="shared" si="46"/>
        <v>0.6260802118</v>
      </c>
      <c r="AS109" s="241">
        <f t="shared" si="46"/>
        <v>0.6870880279</v>
      </c>
      <c r="AT109" s="241">
        <f t="shared" si="46"/>
        <v>0.8531092982</v>
      </c>
      <c r="AU109" s="241">
        <f t="shared" si="46"/>
        <v>0.6356430797</v>
      </c>
      <c r="AV109" s="241">
        <f t="shared" si="46"/>
        <v>0.4897805552</v>
      </c>
      <c r="AW109" s="259"/>
    </row>
    <row r="110">
      <c r="A110" s="122"/>
      <c r="B110" s="123"/>
      <c r="C110" s="342"/>
      <c r="D110" s="123"/>
      <c r="E110" s="199" t="s">
        <v>359</v>
      </c>
      <c r="F110" s="200" t="s">
        <v>72</v>
      </c>
      <c r="G110" s="273" t="s">
        <v>161</v>
      </c>
      <c r="H110" s="228" t="s">
        <v>162</v>
      </c>
      <c r="I110" s="385">
        <f t="shared" ref="I110:AV110" si="47">IF(I107="-",I54,(I107*I$92)+(I54*I$93))</f>
        <v>0.3529347274</v>
      </c>
      <c r="J110" s="385">
        <f t="shared" si="47"/>
        <v>0.4752014029</v>
      </c>
      <c r="K110" s="385">
        <f t="shared" si="47"/>
        <v>0.3915936892</v>
      </c>
      <c r="L110" s="385">
        <f t="shared" si="47"/>
        <v>0.4020403739</v>
      </c>
      <c r="M110" s="385">
        <f t="shared" si="47"/>
        <v>0.3602250894</v>
      </c>
      <c r="N110" s="385">
        <f t="shared" si="47"/>
        <v>0.3342923133</v>
      </c>
      <c r="O110" s="385">
        <f t="shared" si="47"/>
        <v>0.1520707093</v>
      </c>
      <c r="P110" s="385">
        <f t="shared" si="47"/>
        <v>0.1433622028</v>
      </c>
      <c r="Q110" s="385">
        <f t="shared" si="47"/>
        <v>0.2489846285</v>
      </c>
      <c r="R110" s="385">
        <f t="shared" si="47"/>
        <v>0.665085209</v>
      </c>
      <c r="S110" s="385">
        <f t="shared" si="47"/>
        <v>0.6962544354</v>
      </c>
      <c r="T110" s="385">
        <f t="shared" si="47"/>
        <v>0.7050903344</v>
      </c>
      <c r="U110" s="385">
        <f t="shared" si="47"/>
        <v>0.7360943065</v>
      </c>
      <c r="V110" s="385">
        <f t="shared" si="47"/>
        <v>0.665085209</v>
      </c>
      <c r="W110" s="385">
        <f t="shared" si="47"/>
        <v>0.5630721394</v>
      </c>
      <c r="X110" s="385">
        <f t="shared" si="47"/>
        <v>0.3050390808</v>
      </c>
      <c r="Y110" s="385">
        <f t="shared" si="47"/>
        <v>0.732093794</v>
      </c>
      <c r="Z110" s="385">
        <f t="shared" si="47"/>
        <v>0.6930887968</v>
      </c>
      <c r="AA110" s="385">
        <f t="shared" si="47"/>
        <v>0.9871264681</v>
      </c>
      <c r="AB110" s="385">
        <f t="shared" si="47"/>
        <v>0.7740991756</v>
      </c>
      <c r="AC110" s="385">
        <f t="shared" si="47"/>
        <v>0.8301063511</v>
      </c>
      <c r="AD110" s="385">
        <f t="shared" si="47"/>
        <v>0.9061160893</v>
      </c>
      <c r="AE110" s="385">
        <f t="shared" si="47"/>
        <v>0.7961019945</v>
      </c>
      <c r="AF110" s="385">
        <f t="shared" si="47"/>
        <v>0.8551095544</v>
      </c>
      <c r="AG110" s="385">
        <f t="shared" si="47"/>
        <v>0.5695735634</v>
      </c>
      <c r="AH110" s="385">
        <f t="shared" si="47"/>
        <v>0.6210795711</v>
      </c>
      <c r="AI110" s="385">
        <f t="shared" si="47"/>
        <v>0.5320681672</v>
      </c>
      <c r="AJ110" s="385">
        <f t="shared" si="47"/>
        <v>0.7991023789</v>
      </c>
      <c r="AK110" s="385">
        <f t="shared" si="47"/>
        <v>0.5070649639</v>
      </c>
      <c r="AL110" s="385">
        <f t="shared" si="47"/>
        <v>0.3797155668</v>
      </c>
      <c r="AM110" s="385">
        <f t="shared" si="47"/>
        <v>0.3269286869</v>
      </c>
      <c r="AN110" s="385">
        <f t="shared" si="47"/>
        <v>0.4816924304</v>
      </c>
      <c r="AO110" s="385">
        <f t="shared" si="47"/>
        <v>0.396050741</v>
      </c>
      <c r="AP110" s="385">
        <f t="shared" si="47"/>
        <v>0.6100781616</v>
      </c>
      <c r="AQ110" s="385">
        <f t="shared" si="47"/>
        <v>0.6890882842</v>
      </c>
      <c r="AR110" s="385">
        <f t="shared" si="47"/>
        <v>0.5700730363</v>
      </c>
      <c r="AS110" s="385">
        <f t="shared" si="47"/>
        <v>0.6100781616</v>
      </c>
      <c r="AT110" s="385">
        <f t="shared" si="47"/>
        <v>0.7891010976</v>
      </c>
      <c r="AU110" s="385">
        <f t="shared" si="47"/>
        <v>0.5347436441</v>
      </c>
      <c r="AV110" s="385">
        <f t="shared" si="47"/>
        <v>0.3993428106</v>
      </c>
      <c r="AW110" s="274"/>
    </row>
    <row r="111">
      <c r="A111" s="122"/>
      <c r="B111" s="123"/>
      <c r="C111" s="342"/>
      <c r="D111" s="123"/>
      <c r="E111" s="124"/>
      <c r="F111" s="125"/>
      <c r="G111" s="126"/>
      <c r="H111" s="127"/>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30"/>
    </row>
    <row r="112">
      <c r="A112" s="122"/>
      <c r="B112" s="123"/>
      <c r="C112" s="342" t="s">
        <v>853</v>
      </c>
      <c r="F112" s="125"/>
      <c r="G112" s="126"/>
      <c r="H112" s="127"/>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30"/>
    </row>
    <row r="113">
      <c r="A113" s="122"/>
      <c r="B113" s="123"/>
      <c r="C113" s="342"/>
      <c r="D113" s="123"/>
      <c r="E113" s="192" t="s">
        <v>854</v>
      </c>
      <c r="F113" s="193" t="s">
        <v>72</v>
      </c>
      <c r="G113" s="235" t="s">
        <v>165</v>
      </c>
      <c r="H113" s="208">
        <f>Inputs!H83</f>
        <v>0.5</v>
      </c>
      <c r="I113" s="509" t="str">
        <f>Inputs!I83</f>
        <v>-</v>
      </c>
      <c r="J113" s="509" t="str">
        <f>Inputs!J83</f>
        <v>-</v>
      </c>
      <c r="K113" s="509" t="str">
        <f>Inputs!K83</f>
        <v>-</v>
      </c>
      <c r="L113" s="509" t="str">
        <f>Inputs!L83</f>
        <v>-</v>
      </c>
      <c r="M113" s="509" t="str">
        <f>Inputs!M83</f>
        <v>-</v>
      </c>
      <c r="N113" s="509" t="str">
        <f>Inputs!N83</f>
        <v>-</v>
      </c>
      <c r="O113" s="509" t="str">
        <f>Inputs!O83</f>
        <v>-</v>
      </c>
      <c r="P113" s="509" t="str">
        <f>Inputs!P83</f>
        <v>-</v>
      </c>
      <c r="Q113" s="509" t="str">
        <f>Inputs!Q83</f>
        <v>-</v>
      </c>
      <c r="R113" s="509" t="str">
        <f>Inputs!R83</f>
        <v>-</v>
      </c>
      <c r="S113" s="509" t="str">
        <f>Inputs!S83</f>
        <v>-</v>
      </c>
      <c r="T113" s="509" t="str">
        <f>Inputs!T83</f>
        <v>-</v>
      </c>
      <c r="U113" s="509" t="str">
        <f>Inputs!U83</f>
        <v>-</v>
      </c>
      <c r="V113" s="509" t="str">
        <f>Inputs!V83</f>
        <v>-</v>
      </c>
      <c r="W113" s="509" t="str">
        <f>Inputs!W83</f>
        <v>-</v>
      </c>
      <c r="X113" s="509" t="str">
        <f>Inputs!X83</f>
        <v>-</v>
      </c>
      <c r="Y113" s="509" t="str">
        <f>Inputs!Y83</f>
        <v>-</v>
      </c>
      <c r="Z113" s="509" t="str">
        <f>Inputs!Z83</f>
        <v>-</v>
      </c>
      <c r="AA113" s="509" t="str">
        <f>Inputs!AA83</f>
        <v>-</v>
      </c>
      <c r="AB113" s="509" t="str">
        <f>Inputs!AB83</f>
        <v>-</v>
      </c>
      <c r="AC113" s="509" t="str">
        <f>Inputs!AC83</f>
        <v>-</v>
      </c>
      <c r="AD113" s="509" t="str">
        <f>Inputs!AD83</f>
        <v>-</v>
      </c>
      <c r="AE113" s="509" t="str">
        <f>Inputs!AE83</f>
        <v>-</v>
      </c>
      <c r="AF113" s="509" t="str">
        <f>Inputs!AF83</f>
        <v>-</v>
      </c>
      <c r="AG113" s="509" t="str">
        <f>Inputs!AG83</f>
        <v>-</v>
      </c>
      <c r="AH113" s="509" t="str">
        <f>Inputs!AH83</f>
        <v>-</v>
      </c>
      <c r="AI113" s="509" t="str">
        <f>Inputs!AI83</f>
        <v>-</v>
      </c>
      <c r="AJ113" s="509" t="str">
        <f>Inputs!AJ83</f>
        <v>-</v>
      </c>
      <c r="AK113" s="509" t="str">
        <f>Inputs!AK83</f>
        <v>-</v>
      </c>
      <c r="AL113" s="509" t="str">
        <f>Inputs!AL83</f>
        <v>-</v>
      </c>
      <c r="AM113" s="509" t="str">
        <f>Inputs!AM83</f>
        <v>-</v>
      </c>
      <c r="AN113" s="509" t="str">
        <f>Inputs!AN83</f>
        <v>-</v>
      </c>
      <c r="AO113" s="509" t="str">
        <f>Inputs!AO83</f>
        <v>-</v>
      </c>
      <c r="AP113" s="509" t="str">
        <f>Inputs!AP83</f>
        <v>-</v>
      </c>
      <c r="AQ113" s="509" t="str">
        <f>Inputs!AQ83</f>
        <v>-</v>
      </c>
      <c r="AR113" s="509" t="str">
        <f>Inputs!AR83</f>
        <v>-</v>
      </c>
      <c r="AS113" s="509" t="str">
        <f>Inputs!AS83</f>
        <v>-</v>
      </c>
      <c r="AT113" s="509" t="str">
        <f>Inputs!AT83</f>
        <v>-</v>
      </c>
      <c r="AU113" s="509" t="str">
        <f>Inputs!AU83</f>
        <v>-</v>
      </c>
      <c r="AV113" s="509" t="str">
        <f>Inputs!AV83</f>
        <v>-</v>
      </c>
      <c r="AW113" s="256"/>
    </row>
    <row r="114">
      <c r="A114" s="122"/>
      <c r="B114" s="123"/>
      <c r="C114" s="342"/>
      <c r="D114" s="123"/>
      <c r="E114" s="192" t="s">
        <v>855</v>
      </c>
      <c r="F114" s="193" t="s">
        <v>72</v>
      </c>
      <c r="G114" s="235" t="s">
        <v>165</v>
      </c>
      <c r="H114" s="208">
        <f>Inputs!H84</f>
        <v>0.5</v>
      </c>
      <c r="I114" s="509" t="str">
        <f>Inputs!I84</f>
        <v>-</v>
      </c>
      <c r="J114" s="509" t="str">
        <f>Inputs!J84</f>
        <v>-</v>
      </c>
      <c r="K114" s="509" t="str">
        <f>Inputs!K84</f>
        <v>-</v>
      </c>
      <c r="L114" s="509" t="str">
        <f>Inputs!L84</f>
        <v>-</v>
      </c>
      <c r="M114" s="509" t="str">
        <f>Inputs!M84</f>
        <v>-</v>
      </c>
      <c r="N114" s="509" t="str">
        <f>Inputs!N84</f>
        <v>-</v>
      </c>
      <c r="O114" s="509" t="str">
        <f>Inputs!O84</f>
        <v>-</v>
      </c>
      <c r="P114" s="509" t="str">
        <f>Inputs!P84</f>
        <v>-</v>
      </c>
      <c r="Q114" s="509" t="str">
        <f>Inputs!Q84</f>
        <v>-</v>
      </c>
      <c r="R114" s="509" t="str">
        <f>Inputs!R84</f>
        <v>-</v>
      </c>
      <c r="S114" s="509" t="str">
        <f>Inputs!S84</f>
        <v>-</v>
      </c>
      <c r="T114" s="509" t="str">
        <f>Inputs!T84</f>
        <v>-</v>
      </c>
      <c r="U114" s="509" t="str">
        <f>Inputs!U84</f>
        <v>-</v>
      </c>
      <c r="V114" s="509" t="str">
        <f>Inputs!V84</f>
        <v>-</v>
      </c>
      <c r="W114" s="509" t="str">
        <f>Inputs!W84</f>
        <v>-</v>
      </c>
      <c r="X114" s="509" t="str">
        <f>Inputs!X84</f>
        <v>-</v>
      </c>
      <c r="Y114" s="509" t="str">
        <f>Inputs!Y84</f>
        <v>-</v>
      </c>
      <c r="Z114" s="509" t="str">
        <f>Inputs!Z84</f>
        <v>-</v>
      </c>
      <c r="AA114" s="509" t="str">
        <f>Inputs!AA84</f>
        <v>-</v>
      </c>
      <c r="AB114" s="509" t="str">
        <f>Inputs!AB84</f>
        <v>-</v>
      </c>
      <c r="AC114" s="509" t="str">
        <f>Inputs!AC84</f>
        <v>-</v>
      </c>
      <c r="AD114" s="509" t="str">
        <f>Inputs!AD84</f>
        <v>-</v>
      </c>
      <c r="AE114" s="509" t="str">
        <f>Inputs!AE84</f>
        <v>-</v>
      </c>
      <c r="AF114" s="509" t="str">
        <f>Inputs!AF84</f>
        <v>-</v>
      </c>
      <c r="AG114" s="509" t="str">
        <f>Inputs!AG84</f>
        <v>-</v>
      </c>
      <c r="AH114" s="509" t="str">
        <f>Inputs!AH84</f>
        <v>-</v>
      </c>
      <c r="AI114" s="509" t="str">
        <f>Inputs!AI84</f>
        <v>-</v>
      </c>
      <c r="AJ114" s="509" t="str">
        <f>Inputs!AJ84</f>
        <v>-</v>
      </c>
      <c r="AK114" s="509" t="str">
        <f>Inputs!AK84</f>
        <v>-</v>
      </c>
      <c r="AL114" s="509" t="str">
        <f>Inputs!AL84</f>
        <v>-</v>
      </c>
      <c r="AM114" s="509" t="str">
        <f>Inputs!AM84</f>
        <v>-</v>
      </c>
      <c r="AN114" s="509" t="str">
        <f>Inputs!AN84</f>
        <v>-</v>
      </c>
      <c r="AO114" s="509" t="str">
        <f>Inputs!AO84</f>
        <v>-</v>
      </c>
      <c r="AP114" s="509" t="str">
        <f>Inputs!AP84</f>
        <v>-</v>
      </c>
      <c r="AQ114" s="509" t="str">
        <f>Inputs!AQ84</f>
        <v>-</v>
      </c>
      <c r="AR114" s="509" t="str">
        <f>Inputs!AR84</f>
        <v>-</v>
      </c>
      <c r="AS114" s="509" t="str">
        <f>Inputs!AS84</f>
        <v>-</v>
      </c>
      <c r="AT114" s="509" t="str">
        <f>Inputs!AT84</f>
        <v>-</v>
      </c>
      <c r="AU114" s="509" t="str">
        <f>Inputs!AU84</f>
        <v>-</v>
      </c>
      <c r="AV114" s="509" t="str">
        <f>Inputs!AV84</f>
        <v>-</v>
      </c>
      <c r="AW114" s="256"/>
    </row>
    <row r="115">
      <c r="A115" s="122"/>
      <c r="B115" s="123"/>
      <c r="C115" s="342"/>
      <c r="D115" s="123"/>
      <c r="E115" s="212" t="s">
        <v>360</v>
      </c>
      <c r="F115" s="213" t="s">
        <v>72</v>
      </c>
      <c r="G115" s="239" t="s">
        <v>161</v>
      </c>
      <c r="H115" s="240" t="s">
        <v>162</v>
      </c>
      <c r="I115" s="241">
        <f t="shared" ref="I115:AV115" si="48">(I97*$H$113)+(I108*$H$114)</f>
        <v>0.4925035352</v>
      </c>
      <c r="J115" s="241">
        <f t="shared" si="48"/>
        <v>0.6588643725</v>
      </c>
      <c r="K115" s="241">
        <f t="shared" si="48"/>
        <v>0.5685585411</v>
      </c>
      <c r="L115" s="241">
        <f t="shared" si="48"/>
        <v>0.5921074875</v>
      </c>
      <c r="M115" s="241">
        <f t="shared" si="48"/>
        <v>0.5558056252</v>
      </c>
      <c r="N115" s="241">
        <f t="shared" si="48"/>
        <v>0.4496399105</v>
      </c>
      <c r="O115" s="241">
        <f t="shared" si="48"/>
        <v>0.33555873</v>
      </c>
      <c r="P115" s="241">
        <f t="shared" si="48"/>
        <v>0.2429639513</v>
      </c>
      <c r="Q115" s="241">
        <f t="shared" si="48"/>
        <v>0.4208246779</v>
      </c>
      <c r="R115" s="241">
        <f t="shared" si="48"/>
        <v>0.8851133984</v>
      </c>
      <c r="S115" s="241">
        <f t="shared" si="48"/>
        <v>0.8613876889</v>
      </c>
      <c r="T115" s="241">
        <f t="shared" si="48"/>
        <v>0.8526092341</v>
      </c>
      <c r="U115" s="241">
        <f t="shared" si="48"/>
        <v>0.829106223</v>
      </c>
      <c r="V115" s="241">
        <f t="shared" si="48"/>
        <v>0.7730990475</v>
      </c>
      <c r="W115" s="241">
        <f t="shared" si="48"/>
        <v>0.7981022508</v>
      </c>
      <c r="X115" s="241">
        <f t="shared" si="48"/>
        <v>0.5590716268</v>
      </c>
      <c r="Y115" s="241">
        <f t="shared" si="48"/>
        <v>0.9311192926</v>
      </c>
      <c r="Z115" s="241">
        <f t="shared" si="48"/>
        <v>0.8011026352</v>
      </c>
      <c r="AA115" s="241">
        <f t="shared" si="48"/>
        <v>0.9916270447</v>
      </c>
      <c r="AB115" s="241">
        <f t="shared" si="48"/>
        <v>0.9086164096</v>
      </c>
      <c r="AC115" s="241">
        <f t="shared" si="48"/>
        <v>0.9511218553</v>
      </c>
      <c r="AD115" s="241">
        <f t="shared" si="48"/>
        <v>0.9851262118</v>
      </c>
      <c r="AE115" s="241">
        <f t="shared" si="48"/>
        <v>0.9091164737</v>
      </c>
      <c r="AF115" s="241">
        <f t="shared" si="48"/>
        <v>0.9381201895</v>
      </c>
      <c r="AG115" s="241">
        <f t="shared" si="48"/>
        <v>0.7335669525</v>
      </c>
      <c r="AH115" s="241">
        <f t="shared" si="48"/>
        <v>0.8546094904</v>
      </c>
      <c r="AI115" s="241">
        <f t="shared" si="48"/>
        <v>0.6495832229</v>
      </c>
      <c r="AJ115" s="241">
        <f t="shared" si="48"/>
        <v>0.9241183957</v>
      </c>
      <c r="AK115" s="241">
        <f t="shared" si="48"/>
        <v>0.7140914876</v>
      </c>
      <c r="AL115" s="241">
        <f t="shared" si="48"/>
        <v>0.6199285382</v>
      </c>
      <c r="AM115" s="241">
        <f t="shared" si="48"/>
        <v>0.5574918215</v>
      </c>
      <c r="AN115" s="241">
        <f t="shared" si="48"/>
        <v>0.7407578873</v>
      </c>
      <c r="AO115" s="241">
        <f t="shared" si="48"/>
        <v>0.6570841839</v>
      </c>
      <c r="AP115" s="241">
        <f t="shared" si="48"/>
        <v>0.7275932174</v>
      </c>
      <c r="AQ115" s="241">
        <f t="shared" si="48"/>
        <v>0.9101166018</v>
      </c>
      <c r="AR115" s="241">
        <f t="shared" si="48"/>
        <v>0.7535965488</v>
      </c>
      <c r="AS115" s="241">
        <f t="shared" si="48"/>
        <v>0.7931016101</v>
      </c>
      <c r="AT115" s="241">
        <f t="shared" si="48"/>
        <v>0.8956147439</v>
      </c>
      <c r="AU115" s="241">
        <f t="shared" si="48"/>
        <v>0.7158075997</v>
      </c>
      <c r="AV115" s="241">
        <f t="shared" si="48"/>
        <v>0.5991142373</v>
      </c>
      <c r="AW115" s="259"/>
    </row>
    <row r="116">
      <c r="A116" s="122"/>
      <c r="B116" s="123"/>
      <c r="C116" s="342"/>
      <c r="D116" s="123"/>
      <c r="E116" s="212" t="s">
        <v>361</v>
      </c>
      <c r="F116" s="213" t="s">
        <v>72</v>
      </c>
      <c r="G116" s="239" t="s">
        <v>161</v>
      </c>
      <c r="H116" s="240" t="s">
        <v>162</v>
      </c>
      <c r="I116" s="241">
        <f t="shared" ref="I116:AV116" si="49">(I98*$H$113)+(I109*$H$114)</f>
        <v>0.4465591779</v>
      </c>
      <c r="J116" s="241">
        <f t="shared" si="49"/>
        <v>0.6167843297</v>
      </c>
      <c r="K116" s="241">
        <f t="shared" si="49"/>
        <v>0.512299077</v>
      </c>
      <c r="L116" s="241">
        <f t="shared" si="49"/>
        <v>0.5025924931</v>
      </c>
      <c r="M116" s="241">
        <f t="shared" si="49"/>
        <v>0.4769981029</v>
      </c>
      <c r="N116" s="241">
        <f t="shared" si="49"/>
        <v>0.4068640424</v>
      </c>
      <c r="O116" s="241">
        <f t="shared" si="49"/>
        <v>0.2411176669</v>
      </c>
      <c r="P116" s="241">
        <f t="shared" si="49"/>
        <v>0.2258486724</v>
      </c>
      <c r="Q116" s="241">
        <f t="shared" si="49"/>
        <v>0.3297755917</v>
      </c>
      <c r="R116" s="241">
        <f t="shared" si="49"/>
        <v>0.8556096185</v>
      </c>
      <c r="S116" s="241">
        <f t="shared" si="49"/>
        <v>0.7906640684</v>
      </c>
      <c r="T116" s="241">
        <f t="shared" si="49"/>
        <v>0.8196050057</v>
      </c>
      <c r="U116" s="241">
        <f t="shared" si="49"/>
        <v>0.7520963566</v>
      </c>
      <c r="V116" s="241">
        <f t="shared" si="49"/>
        <v>0.7555968051</v>
      </c>
      <c r="W116" s="241">
        <f t="shared" si="49"/>
        <v>0.7280932814</v>
      </c>
      <c r="X116" s="241">
        <f t="shared" si="49"/>
        <v>0.4155532396</v>
      </c>
      <c r="Y116" s="241">
        <f t="shared" si="49"/>
        <v>0.9181176269</v>
      </c>
      <c r="Z116" s="241">
        <f t="shared" si="49"/>
        <v>0.7445953956</v>
      </c>
      <c r="AA116" s="241">
        <f t="shared" si="49"/>
        <v>0.9901268525</v>
      </c>
      <c r="AB116" s="241">
        <f t="shared" si="49"/>
        <v>0.88161295</v>
      </c>
      <c r="AC116" s="241">
        <f t="shared" si="49"/>
        <v>0.919117755</v>
      </c>
      <c r="AD116" s="241">
        <f t="shared" si="49"/>
        <v>0.9631233929</v>
      </c>
      <c r="AE116" s="241">
        <f t="shared" si="49"/>
        <v>0.8721117327</v>
      </c>
      <c r="AF116" s="241">
        <f t="shared" si="49"/>
        <v>0.9221181394</v>
      </c>
      <c r="AG116" s="241">
        <f t="shared" si="49"/>
        <v>0.664175484</v>
      </c>
      <c r="AH116" s="241">
        <f t="shared" si="49"/>
        <v>0.7295934736</v>
      </c>
      <c r="AI116" s="241">
        <f t="shared" si="49"/>
        <v>0.6240799555</v>
      </c>
      <c r="AJ116" s="241">
        <f t="shared" si="49"/>
        <v>0.8936144876</v>
      </c>
      <c r="AK116" s="241">
        <f t="shared" si="49"/>
        <v>0.6405820697</v>
      </c>
      <c r="AL116" s="241">
        <f t="shared" si="49"/>
        <v>0.520404609</v>
      </c>
      <c r="AM116" s="241">
        <f t="shared" si="49"/>
        <v>0.4561924406</v>
      </c>
      <c r="AN116" s="241">
        <f t="shared" si="49"/>
        <v>0.644587589</v>
      </c>
      <c r="AO116" s="241">
        <f t="shared" si="49"/>
        <v>0.5730734207</v>
      </c>
      <c r="AP116" s="241">
        <f t="shared" si="49"/>
        <v>0.6690857215</v>
      </c>
      <c r="AQ116" s="241">
        <f t="shared" si="49"/>
        <v>0.8551095544</v>
      </c>
      <c r="AR116" s="241">
        <f t="shared" si="49"/>
        <v>0.6340812369</v>
      </c>
      <c r="AS116" s="241">
        <f t="shared" si="49"/>
        <v>0.7330939221</v>
      </c>
      <c r="AT116" s="241">
        <f t="shared" si="49"/>
        <v>0.8621104514</v>
      </c>
      <c r="AU116" s="241">
        <f t="shared" si="49"/>
        <v>0.6472766303</v>
      </c>
      <c r="AV116" s="241">
        <f t="shared" si="49"/>
        <v>0.4976523396</v>
      </c>
      <c r="AW116" s="259"/>
    </row>
    <row r="117">
      <c r="A117" s="122"/>
      <c r="B117" s="123"/>
      <c r="C117" s="342"/>
      <c r="D117" s="123"/>
      <c r="E117" s="199" t="s">
        <v>362</v>
      </c>
      <c r="F117" s="200" t="s">
        <v>72</v>
      </c>
      <c r="G117" s="273" t="s">
        <v>161</v>
      </c>
      <c r="H117" s="228" t="s">
        <v>162</v>
      </c>
      <c r="I117" s="385">
        <f t="shared" ref="I117:AV117" si="50">(I99*$H$113)+(I110*$H$114)</f>
        <v>0.3535717937</v>
      </c>
      <c r="J117" s="385">
        <f t="shared" si="50"/>
        <v>0.488498644</v>
      </c>
      <c r="K117" s="385">
        <f t="shared" si="50"/>
        <v>0.3942138416</v>
      </c>
      <c r="L117" s="385">
        <f t="shared" si="50"/>
        <v>0.4058409599</v>
      </c>
      <c r="M117" s="385">
        <f t="shared" si="50"/>
        <v>0.3645713112</v>
      </c>
      <c r="N117" s="385">
        <f t="shared" si="50"/>
        <v>0.3425783826</v>
      </c>
      <c r="O117" s="385">
        <f t="shared" si="50"/>
        <v>0.1532308731</v>
      </c>
      <c r="P117" s="385">
        <f t="shared" si="50"/>
        <v>0.1626041455</v>
      </c>
      <c r="Q117" s="385">
        <f t="shared" si="50"/>
        <v>0.2399164121</v>
      </c>
      <c r="R117" s="385">
        <f t="shared" si="50"/>
        <v>0.7075906547</v>
      </c>
      <c r="S117" s="385">
        <f t="shared" si="50"/>
        <v>0.6964325967</v>
      </c>
      <c r="T117" s="385">
        <f t="shared" si="50"/>
        <v>0.7180920001</v>
      </c>
      <c r="U117" s="385">
        <f t="shared" si="50"/>
        <v>0.7360943065</v>
      </c>
      <c r="V117" s="385">
        <f t="shared" si="50"/>
        <v>0.6835875795</v>
      </c>
      <c r="W117" s="385">
        <f t="shared" si="50"/>
        <v>0.5955763037</v>
      </c>
      <c r="X117" s="385">
        <f t="shared" si="50"/>
        <v>0.3030388246</v>
      </c>
      <c r="Y117" s="385">
        <f t="shared" si="50"/>
        <v>0.7410949472</v>
      </c>
      <c r="Z117" s="385">
        <f t="shared" si="50"/>
        <v>0.6960891812</v>
      </c>
      <c r="AA117" s="385">
        <f t="shared" si="50"/>
        <v>0.9871264681</v>
      </c>
      <c r="AB117" s="385">
        <f t="shared" si="50"/>
        <v>0.8006025711</v>
      </c>
      <c r="AC117" s="385">
        <f t="shared" si="50"/>
        <v>0.8396075684</v>
      </c>
      <c r="AD117" s="385">
        <f t="shared" si="50"/>
        <v>0.9071162174</v>
      </c>
      <c r="AE117" s="385">
        <f t="shared" si="50"/>
        <v>0.7961019945</v>
      </c>
      <c r="AF117" s="385">
        <f t="shared" si="50"/>
        <v>0.8716116686</v>
      </c>
      <c r="AG117" s="385">
        <f t="shared" si="50"/>
        <v>0.5749578817</v>
      </c>
      <c r="AH117" s="385">
        <f t="shared" si="50"/>
        <v>0.6265802759</v>
      </c>
      <c r="AI117" s="385">
        <f t="shared" si="50"/>
        <v>0.5415693845</v>
      </c>
      <c r="AJ117" s="385">
        <f t="shared" si="50"/>
        <v>0.8231054542</v>
      </c>
      <c r="AK117" s="385">
        <f t="shared" si="50"/>
        <v>0.5235670781</v>
      </c>
      <c r="AL117" s="385">
        <f t="shared" si="50"/>
        <v>0.3852730104</v>
      </c>
      <c r="AM117" s="385">
        <f t="shared" si="50"/>
        <v>0.3317135519</v>
      </c>
      <c r="AN117" s="385">
        <f t="shared" si="50"/>
        <v>0.4887423877</v>
      </c>
      <c r="AO117" s="385">
        <f t="shared" si="50"/>
        <v>0.4045518301</v>
      </c>
      <c r="AP117" s="385">
        <f t="shared" si="50"/>
        <v>0.6180791867</v>
      </c>
      <c r="AQ117" s="385">
        <f t="shared" si="50"/>
        <v>0.7520963566</v>
      </c>
      <c r="AR117" s="385">
        <f t="shared" si="50"/>
        <v>0.5695729722</v>
      </c>
      <c r="AS117" s="385">
        <f t="shared" si="50"/>
        <v>0.6320809806</v>
      </c>
      <c r="AT117" s="385">
        <f t="shared" si="50"/>
        <v>0.7851005851</v>
      </c>
      <c r="AU117" s="385">
        <f t="shared" si="50"/>
        <v>0.5439019196</v>
      </c>
      <c r="AV117" s="385">
        <f t="shared" si="50"/>
        <v>0.4047896276</v>
      </c>
      <c r="AW117" s="274"/>
    </row>
    <row r="118">
      <c r="A118" s="122"/>
      <c r="B118" s="123"/>
      <c r="C118" s="342"/>
      <c r="D118" s="123"/>
      <c r="E118" s="124"/>
      <c r="F118" s="125"/>
      <c r="G118" s="126"/>
      <c r="H118" s="127"/>
      <c r="I118" s="317"/>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30"/>
    </row>
    <row r="119">
      <c r="A119" s="122"/>
      <c r="B119" s="123"/>
      <c r="C119" s="342" t="s">
        <v>856</v>
      </c>
      <c r="F119" s="125"/>
      <c r="G119" s="126"/>
      <c r="H119" s="127"/>
      <c r="I119" s="317"/>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30"/>
    </row>
    <row r="120">
      <c r="A120" s="122"/>
      <c r="B120" s="123"/>
      <c r="C120" s="342"/>
      <c r="D120" s="342"/>
      <c r="E120" s="254" t="s">
        <v>857</v>
      </c>
      <c r="F120" s="193" t="s">
        <v>72</v>
      </c>
      <c r="G120" s="235" t="s">
        <v>165</v>
      </c>
      <c r="H120" s="255">
        <f>Inputs!H92</f>
        <v>0</v>
      </c>
      <c r="I120" s="383" t="str">
        <f>Inputs!I92</f>
        <v>-</v>
      </c>
      <c r="J120" s="509" t="str">
        <f>Inputs!J92</f>
        <v>-</v>
      </c>
      <c r="K120" s="509" t="str">
        <f>Inputs!K92</f>
        <v>-</v>
      </c>
      <c r="L120" s="509" t="str">
        <f>Inputs!L92</f>
        <v>-</v>
      </c>
      <c r="M120" s="509" t="str">
        <f>Inputs!M92</f>
        <v>-</v>
      </c>
      <c r="N120" s="509" t="str">
        <f>Inputs!N92</f>
        <v>-</v>
      </c>
      <c r="O120" s="509" t="str">
        <f>Inputs!O92</f>
        <v>-</v>
      </c>
      <c r="P120" s="509" t="str">
        <f>Inputs!P92</f>
        <v>-</v>
      </c>
      <c r="Q120" s="509" t="str">
        <f>Inputs!Q92</f>
        <v>-</v>
      </c>
      <c r="R120" s="509" t="str">
        <f>Inputs!R92</f>
        <v>-</v>
      </c>
      <c r="S120" s="509" t="str">
        <f>Inputs!S92</f>
        <v>-</v>
      </c>
      <c r="T120" s="509" t="str">
        <f>Inputs!T92</f>
        <v>-</v>
      </c>
      <c r="U120" s="509" t="str">
        <f>Inputs!U92</f>
        <v>-</v>
      </c>
      <c r="V120" s="509" t="str">
        <f>Inputs!V92</f>
        <v>-</v>
      </c>
      <c r="W120" s="509" t="str">
        <f>Inputs!W92</f>
        <v>-</v>
      </c>
      <c r="X120" s="509" t="str">
        <f>Inputs!X92</f>
        <v>-</v>
      </c>
      <c r="Y120" s="509" t="str">
        <f>Inputs!Y92</f>
        <v>-</v>
      </c>
      <c r="Z120" s="509" t="str">
        <f>Inputs!Z92</f>
        <v>-</v>
      </c>
      <c r="AA120" s="509" t="str">
        <f>Inputs!AA92</f>
        <v>-</v>
      </c>
      <c r="AB120" s="509" t="str">
        <f>Inputs!AB92</f>
        <v>-</v>
      </c>
      <c r="AC120" s="509" t="str">
        <f>Inputs!AC92</f>
        <v>-</v>
      </c>
      <c r="AD120" s="509" t="str">
        <f>Inputs!AD92</f>
        <v>-</v>
      </c>
      <c r="AE120" s="509" t="str">
        <f>Inputs!AE92</f>
        <v>-</v>
      </c>
      <c r="AF120" s="509" t="str">
        <f>Inputs!AF92</f>
        <v>-</v>
      </c>
      <c r="AG120" s="509" t="str">
        <f>Inputs!AG92</f>
        <v>-</v>
      </c>
      <c r="AH120" s="509" t="str">
        <f>Inputs!AH92</f>
        <v>-</v>
      </c>
      <c r="AI120" s="509" t="str">
        <f>Inputs!AI92</f>
        <v>-</v>
      </c>
      <c r="AJ120" s="509" t="str">
        <f>Inputs!AJ92</f>
        <v>-</v>
      </c>
      <c r="AK120" s="509" t="str">
        <f>Inputs!AK92</f>
        <v>-</v>
      </c>
      <c r="AL120" s="509" t="str">
        <f>Inputs!AL92</f>
        <v>-</v>
      </c>
      <c r="AM120" s="509" t="str">
        <f>Inputs!AM92</f>
        <v>-</v>
      </c>
      <c r="AN120" s="509" t="str">
        <f>Inputs!AN92</f>
        <v>-</v>
      </c>
      <c r="AO120" s="509" t="str">
        <f>Inputs!AO92</f>
        <v>-</v>
      </c>
      <c r="AP120" s="509" t="str">
        <f>Inputs!AP92</f>
        <v>-</v>
      </c>
      <c r="AQ120" s="509" t="str">
        <f>Inputs!AQ92</f>
        <v>-</v>
      </c>
      <c r="AR120" s="509" t="str">
        <f>Inputs!AR92</f>
        <v>-</v>
      </c>
      <c r="AS120" s="509" t="str">
        <f>Inputs!AS92</f>
        <v>-</v>
      </c>
      <c r="AT120" s="509" t="str">
        <f>Inputs!AT92</f>
        <v>-</v>
      </c>
      <c r="AU120" s="509" t="str">
        <f>Inputs!AU92</f>
        <v>-</v>
      </c>
      <c r="AV120" s="509" t="str">
        <f>Inputs!AV92</f>
        <v>-</v>
      </c>
      <c r="AW120" s="256"/>
    </row>
    <row r="121">
      <c r="A121" s="122"/>
      <c r="B121" s="123"/>
      <c r="C121" s="342"/>
      <c r="D121" s="342"/>
      <c r="E121" s="490" t="s">
        <v>858</v>
      </c>
      <c r="F121" s="134" t="s">
        <v>72</v>
      </c>
      <c r="G121" s="145" t="s">
        <v>165</v>
      </c>
      <c r="H121" s="519">
        <f>Inputs!H93</f>
        <v>1</v>
      </c>
      <c r="I121" s="407" t="str">
        <f>Inputs!I93</f>
        <v>-</v>
      </c>
      <c r="J121" s="520" t="str">
        <f>Inputs!J93</f>
        <v>-</v>
      </c>
      <c r="K121" s="520" t="str">
        <f>Inputs!K93</f>
        <v>-</v>
      </c>
      <c r="L121" s="520" t="str">
        <f>Inputs!L93</f>
        <v>-</v>
      </c>
      <c r="M121" s="520" t="str">
        <f>Inputs!M93</f>
        <v>-</v>
      </c>
      <c r="N121" s="520" t="str">
        <f>Inputs!N93</f>
        <v>-</v>
      </c>
      <c r="O121" s="520" t="str">
        <f>Inputs!O93</f>
        <v>-</v>
      </c>
      <c r="P121" s="520" t="str">
        <f>Inputs!P93</f>
        <v>-</v>
      </c>
      <c r="Q121" s="520" t="str">
        <f>Inputs!Q93</f>
        <v>-</v>
      </c>
      <c r="R121" s="520" t="str">
        <f>Inputs!R93</f>
        <v>-</v>
      </c>
      <c r="S121" s="520" t="str">
        <f>Inputs!S93</f>
        <v>-</v>
      </c>
      <c r="T121" s="520" t="str">
        <f>Inputs!T93</f>
        <v>-</v>
      </c>
      <c r="U121" s="520" t="str">
        <f>Inputs!U93</f>
        <v>-</v>
      </c>
      <c r="V121" s="520" t="str">
        <f>Inputs!V93</f>
        <v>-</v>
      </c>
      <c r="W121" s="520" t="str">
        <f>Inputs!W93</f>
        <v>-</v>
      </c>
      <c r="X121" s="520" t="str">
        <f>Inputs!X93</f>
        <v>-</v>
      </c>
      <c r="Y121" s="520" t="str">
        <f>Inputs!Y93</f>
        <v>-</v>
      </c>
      <c r="Z121" s="520" t="str">
        <f>Inputs!Z93</f>
        <v>-</v>
      </c>
      <c r="AA121" s="520" t="str">
        <f>Inputs!AA93</f>
        <v>-</v>
      </c>
      <c r="AB121" s="520" t="str">
        <f>Inputs!AB93</f>
        <v>-</v>
      </c>
      <c r="AC121" s="520" t="str">
        <f>Inputs!AC93</f>
        <v>-</v>
      </c>
      <c r="AD121" s="520" t="str">
        <f>Inputs!AD93</f>
        <v>-</v>
      </c>
      <c r="AE121" s="520" t="str">
        <f>Inputs!AE93</f>
        <v>-</v>
      </c>
      <c r="AF121" s="520" t="str">
        <f>Inputs!AF93</f>
        <v>-</v>
      </c>
      <c r="AG121" s="520" t="str">
        <f>Inputs!AG93</f>
        <v>-</v>
      </c>
      <c r="AH121" s="520" t="str">
        <f>Inputs!AH93</f>
        <v>-</v>
      </c>
      <c r="AI121" s="520" t="str">
        <f>Inputs!AI93</f>
        <v>-</v>
      </c>
      <c r="AJ121" s="520" t="str">
        <f>Inputs!AJ93</f>
        <v>-</v>
      </c>
      <c r="AK121" s="520" t="str">
        <f>Inputs!AK93</f>
        <v>-</v>
      </c>
      <c r="AL121" s="520" t="str">
        <f>Inputs!AL93</f>
        <v>-</v>
      </c>
      <c r="AM121" s="520" t="str">
        <f>Inputs!AM93</f>
        <v>-</v>
      </c>
      <c r="AN121" s="520" t="str">
        <f>Inputs!AN93</f>
        <v>-</v>
      </c>
      <c r="AO121" s="520" t="str">
        <f>Inputs!AO93</f>
        <v>-</v>
      </c>
      <c r="AP121" s="520" t="str">
        <f>Inputs!AP93</f>
        <v>-</v>
      </c>
      <c r="AQ121" s="520" t="str">
        <f>Inputs!AQ93</f>
        <v>-</v>
      </c>
      <c r="AR121" s="520" t="str">
        <f>Inputs!AR93</f>
        <v>-</v>
      </c>
      <c r="AS121" s="520" t="str">
        <f>Inputs!AS93</f>
        <v>-</v>
      </c>
      <c r="AT121" s="520" t="str">
        <f>Inputs!AT93</f>
        <v>-</v>
      </c>
      <c r="AU121" s="520" t="str">
        <f>Inputs!AU93</f>
        <v>-</v>
      </c>
      <c r="AV121" s="520" t="str">
        <f>Inputs!AV93</f>
        <v>-</v>
      </c>
      <c r="AW121" s="409"/>
    </row>
    <row r="122">
      <c r="A122" s="122"/>
      <c r="B122" s="123"/>
      <c r="C122" s="342"/>
      <c r="D122" s="342"/>
      <c r="E122" s="638"/>
      <c r="F122" s="141"/>
      <c r="G122" s="126"/>
      <c r="H122" s="127"/>
      <c r="I122" s="317"/>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859</v>
      </c>
      <c r="F123" s="125"/>
      <c r="G123" s="126"/>
      <c r="H123" s="127"/>
      <c r="I123" s="317"/>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342"/>
      <c r="D124" s="342"/>
      <c r="E124" s="254" t="s">
        <v>363</v>
      </c>
      <c r="F124" s="193" t="s">
        <v>72</v>
      </c>
      <c r="G124" s="235" t="s">
        <v>161</v>
      </c>
      <c r="H124" s="236" t="s">
        <v>162</v>
      </c>
      <c r="I124" s="383">
        <f t="shared" ref="I124:AV124" si="51">IF(I30="-",I55,(I30*$H120)+(I55*$H121))</f>
        <v>0.3080394652</v>
      </c>
      <c r="J124" s="383">
        <f t="shared" si="51"/>
        <v>0.3670470251</v>
      </c>
      <c r="K124" s="383">
        <f t="shared" si="51"/>
        <v>0.5590716268</v>
      </c>
      <c r="L124" s="383">
        <f t="shared" si="51"/>
        <v>0.5670726519</v>
      </c>
      <c r="M124" s="383">
        <f t="shared" si="51"/>
        <v>0.4050518942</v>
      </c>
      <c r="N124" s="383">
        <f t="shared" si="51"/>
        <v>0.4370559945</v>
      </c>
      <c r="O124" s="383">
        <f t="shared" si="51"/>
        <v>0.6320809806</v>
      </c>
      <c r="P124" s="383">
        <f t="shared" si="51"/>
        <v>0.1910244736</v>
      </c>
      <c r="Q124" s="383">
        <f t="shared" si="51"/>
        <v>0.4600589416</v>
      </c>
      <c r="R124" s="383">
        <f t="shared" si="51"/>
        <v>0.7490959722</v>
      </c>
      <c r="S124" s="383">
        <f t="shared" si="51"/>
        <v>0.613078546</v>
      </c>
      <c r="T124" s="383">
        <f t="shared" si="51"/>
        <v>0.7200922564</v>
      </c>
      <c r="U124" s="383">
        <f t="shared" si="51"/>
        <v>0.6710859778</v>
      </c>
      <c r="V124" s="383">
        <f t="shared" si="51"/>
        <v>0.6640850809</v>
      </c>
      <c r="W124" s="383">
        <f t="shared" si="51"/>
        <v>0.680087131</v>
      </c>
      <c r="X124" s="383">
        <f t="shared" si="51"/>
        <v>0.3870495878</v>
      </c>
      <c r="Y124" s="383">
        <f t="shared" si="51"/>
        <v>0.7961019945</v>
      </c>
      <c r="Z124" s="383">
        <f t="shared" si="51"/>
        <v>0.732093794</v>
      </c>
      <c r="AA124" s="383">
        <f t="shared" si="51"/>
        <v>0.9231182675</v>
      </c>
      <c r="AB124" s="383">
        <f t="shared" si="51"/>
        <v>0.7981022508</v>
      </c>
      <c r="AC124" s="383">
        <f t="shared" si="51"/>
        <v>0.9451210865</v>
      </c>
      <c r="AD124" s="383">
        <f t="shared" si="51"/>
        <v>0.7961019945</v>
      </c>
      <c r="AE124" s="383">
        <f t="shared" si="51"/>
        <v>0.8951146798</v>
      </c>
      <c r="AF124" s="383">
        <f t="shared" si="51"/>
        <v>0.7530964848</v>
      </c>
      <c r="AG124" s="383">
        <f t="shared" si="51"/>
        <v>0.5670726519</v>
      </c>
      <c r="AH124" s="383">
        <f t="shared" si="51"/>
        <v>0.7230926408</v>
      </c>
      <c r="AI124" s="383">
        <f t="shared" si="51"/>
        <v>0.6420822619</v>
      </c>
      <c r="AJ124" s="383">
        <f t="shared" si="51"/>
        <v>0.8631105795</v>
      </c>
      <c r="AK124" s="383">
        <f t="shared" si="51"/>
        <v>0.5660725238</v>
      </c>
      <c r="AL124" s="383">
        <f t="shared" si="51"/>
        <v>0.5460699611</v>
      </c>
      <c r="AM124" s="383">
        <f t="shared" si="51"/>
        <v>0.5460699611</v>
      </c>
      <c r="AN124" s="383">
        <f t="shared" si="51"/>
        <v>0.5460699611</v>
      </c>
      <c r="AO124" s="383">
        <f t="shared" si="51"/>
        <v>0.560071755</v>
      </c>
      <c r="AP124" s="383">
        <f t="shared" si="51"/>
        <v>0.6600845683</v>
      </c>
      <c r="AQ124" s="383">
        <f t="shared" si="51"/>
        <v>0.8041030196</v>
      </c>
      <c r="AR124" s="383">
        <f t="shared" si="51"/>
        <v>0.6110782898</v>
      </c>
      <c r="AS124" s="383">
        <f t="shared" si="51"/>
        <v>0.7030900781</v>
      </c>
      <c r="AT124" s="383">
        <f t="shared" si="51"/>
        <v>0.8461084012</v>
      </c>
      <c r="AU124" s="383">
        <f t="shared" si="51"/>
        <v>0.6540837995</v>
      </c>
      <c r="AV124" s="383">
        <f t="shared" si="51"/>
        <v>0.7130913594</v>
      </c>
      <c r="AW124" s="256"/>
    </row>
    <row r="125">
      <c r="A125" s="122"/>
      <c r="B125" s="123"/>
      <c r="C125" s="342"/>
      <c r="D125" s="342"/>
      <c r="E125" s="490" t="s">
        <v>364</v>
      </c>
      <c r="F125" s="134" t="s">
        <v>72</v>
      </c>
      <c r="G125" s="145" t="s">
        <v>161</v>
      </c>
      <c r="H125" s="146" t="s">
        <v>162</v>
      </c>
      <c r="I125" s="407">
        <f t="shared" ref="I125:AV125" si="52">I56</f>
        <v>0.1080138385</v>
      </c>
      <c r="J125" s="407">
        <f t="shared" si="52"/>
        <v>0.1780228078</v>
      </c>
      <c r="K125" s="407">
        <f t="shared" si="52"/>
        <v>0.3270418998</v>
      </c>
      <c r="L125" s="407">
        <f t="shared" si="52"/>
        <v>0.3090395934</v>
      </c>
      <c r="M125" s="407">
        <f t="shared" si="52"/>
        <v>0.142018195</v>
      </c>
      <c r="N125" s="407">
        <f t="shared" si="52"/>
        <v>0.2470316491</v>
      </c>
      <c r="O125" s="407">
        <f t="shared" si="52"/>
        <v>0.5490703455</v>
      </c>
      <c r="P125" s="407">
        <f t="shared" si="52"/>
        <v>0.1850237048</v>
      </c>
      <c r="Q125" s="407">
        <f t="shared" si="52"/>
        <v>0.3250416435</v>
      </c>
      <c r="R125" s="407">
        <f t="shared" si="52"/>
        <v>0.6090780335</v>
      </c>
      <c r="S125" s="407">
        <f t="shared" si="52"/>
        <v>0.3050390808</v>
      </c>
      <c r="T125" s="407">
        <f t="shared" si="52"/>
        <v>0.4510577884</v>
      </c>
      <c r="U125" s="407">
        <f t="shared" si="52"/>
        <v>0.6480830307</v>
      </c>
      <c r="V125" s="407">
        <f t="shared" si="52"/>
        <v>0.5670726519</v>
      </c>
      <c r="W125" s="407">
        <f t="shared" si="52"/>
        <v>0.3240415154</v>
      </c>
      <c r="X125" s="407">
        <f t="shared" si="52"/>
        <v>0.1750224234</v>
      </c>
      <c r="Y125" s="407">
        <f t="shared" si="52"/>
        <v>0.5340684235</v>
      </c>
      <c r="Z125" s="407">
        <f t="shared" si="52"/>
        <v>0.5110654764</v>
      </c>
      <c r="AA125" s="407">
        <f t="shared" si="52"/>
        <v>0.6640850809</v>
      </c>
      <c r="AB125" s="407">
        <f t="shared" si="52"/>
        <v>0.4910629137</v>
      </c>
      <c r="AC125" s="407">
        <f t="shared" si="52"/>
        <v>0.6550839277</v>
      </c>
      <c r="AD125" s="407">
        <f t="shared" si="52"/>
        <v>0.6550839277</v>
      </c>
      <c r="AE125" s="407">
        <f t="shared" si="52"/>
        <v>0.463059326</v>
      </c>
      <c r="AF125" s="407">
        <f t="shared" si="52"/>
        <v>0.4050518942</v>
      </c>
      <c r="AG125" s="407">
        <f t="shared" si="52"/>
        <v>0.3090395934</v>
      </c>
      <c r="AH125" s="407">
        <f t="shared" si="52"/>
        <v>0.5710731644</v>
      </c>
      <c r="AI125" s="407">
        <f t="shared" si="52"/>
        <v>0.3400435655</v>
      </c>
      <c r="AJ125" s="407">
        <f t="shared" si="52"/>
        <v>0.6750864903</v>
      </c>
      <c r="AK125" s="407">
        <f t="shared" si="52"/>
        <v>0.2680343399</v>
      </c>
      <c r="AL125" s="407">
        <f t="shared" si="52"/>
        <v>0.2000256268</v>
      </c>
      <c r="AM125" s="407">
        <f t="shared" si="52"/>
        <v>0.2000256268</v>
      </c>
      <c r="AN125" s="407">
        <f t="shared" si="52"/>
        <v>0.2000256268</v>
      </c>
      <c r="AO125" s="407">
        <f t="shared" si="52"/>
        <v>0.4150531755</v>
      </c>
      <c r="AP125" s="407">
        <f t="shared" si="52"/>
        <v>0.4970636825</v>
      </c>
      <c r="AQ125" s="407">
        <f t="shared" si="52"/>
        <v>0.5420694485</v>
      </c>
      <c r="AR125" s="407">
        <f t="shared" si="52"/>
        <v>0.4430567633</v>
      </c>
      <c r="AS125" s="407">
        <f t="shared" si="52"/>
        <v>0.2600333148</v>
      </c>
      <c r="AT125" s="407">
        <f t="shared" si="52"/>
        <v>0.5360686797</v>
      </c>
      <c r="AU125" s="407">
        <f t="shared" si="52"/>
        <v>0.3860494597</v>
      </c>
      <c r="AV125" s="407">
        <f t="shared" si="52"/>
        <v>0.4840620168</v>
      </c>
      <c r="AW125" s="409"/>
    </row>
    <row r="126">
      <c r="A126" s="122"/>
      <c r="B126" s="123"/>
      <c r="C126" s="342"/>
      <c r="D126" s="123"/>
      <c r="E126" s="124"/>
      <c r="F126" s="125"/>
      <c r="G126" s="126"/>
      <c r="H126" s="127"/>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30"/>
    </row>
    <row r="127">
      <c r="A127" s="117" t="s">
        <v>860</v>
      </c>
      <c r="B127" s="7"/>
      <c r="C127" s="7"/>
      <c r="D127" s="7"/>
      <c r="E127" s="7"/>
      <c r="F127" s="7"/>
      <c r="G127" s="7"/>
      <c r="H127" s="118"/>
      <c r="I127" s="340"/>
      <c r="J127" s="340"/>
      <c r="K127" s="340"/>
      <c r="L127" s="340"/>
      <c r="M127" s="340"/>
      <c r="N127" s="340"/>
      <c r="O127" s="340"/>
      <c r="P127" s="340"/>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121"/>
    </row>
    <row r="128">
      <c r="A128" s="122"/>
      <c r="B128" s="123"/>
      <c r="C128" s="123"/>
      <c r="D128" s="123"/>
      <c r="E128" s="124"/>
      <c r="F128" s="125"/>
      <c r="G128" s="126"/>
      <c r="H128" s="127"/>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30"/>
    </row>
    <row r="129">
      <c r="A129" s="122"/>
      <c r="B129" s="123"/>
      <c r="C129" s="342" t="s">
        <v>861</v>
      </c>
      <c r="F129" s="125"/>
      <c r="G129" s="126"/>
      <c r="H129" s="127"/>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30"/>
    </row>
    <row r="130">
      <c r="A130" s="122"/>
      <c r="B130" s="123"/>
      <c r="C130" s="342"/>
      <c r="D130" s="342"/>
      <c r="E130" s="153" t="s">
        <v>862</v>
      </c>
      <c r="F130" s="639" t="s">
        <v>72</v>
      </c>
      <c r="G130" s="640" t="s">
        <v>161</v>
      </c>
      <c r="H130" s="641">
        <f t="shared" ref="H130:H131" si="54">AVERAGE(I130:K130,M130:AV130)</f>
        <v>0.5380272932</v>
      </c>
      <c r="I130" s="642">
        <f t="shared" ref="I130:AV130" si="53">AVERAGE(I70:I74)</f>
        <v>0.2848741873</v>
      </c>
      <c r="J130" s="642">
        <f t="shared" si="53"/>
        <v>0.3712966935</v>
      </c>
      <c r="K130" s="642">
        <f t="shared" si="53"/>
        <v>0.143237302</v>
      </c>
      <c r="L130" s="642">
        <f t="shared" si="53"/>
        <v>0.4005042998</v>
      </c>
      <c r="M130" s="642">
        <f t="shared" si="53"/>
        <v>0.2450638198</v>
      </c>
      <c r="N130" s="642">
        <f t="shared" si="53"/>
        <v>0.2164563698</v>
      </c>
      <c r="O130" s="642">
        <f t="shared" si="53"/>
        <v>0.1926501702</v>
      </c>
      <c r="P130" s="642">
        <f t="shared" si="53"/>
        <v>0.08722271464</v>
      </c>
      <c r="Q130" s="642">
        <f t="shared" si="53"/>
        <v>0.1366355828</v>
      </c>
      <c r="R130" s="642">
        <f t="shared" si="53"/>
        <v>0.7251888545</v>
      </c>
      <c r="S130" s="642">
        <f t="shared" si="53"/>
        <v>0.5221359753</v>
      </c>
      <c r="T130" s="642">
        <f t="shared" si="53"/>
        <v>0.736391772</v>
      </c>
      <c r="U130" s="642">
        <f t="shared" si="53"/>
        <v>0.8234144346</v>
      </c>
      <c r="V130" s="642">
        <f t="shared" si="53"/>
        <v>0.5433414976</v>
      </c>
      <c r="W130" s="642">
        <f t="shared" si="53"/>
        <v>0.6105590025</v>
      </c>
      <c r="X130" s="642">
        <f t="shared" si="53"/>
        <v>0.6465683801</v>
      </c>
      <c r="Y130" s="642">
        <f t="shared" si="53"/>
        <v>0.7838041192</v>
      </c>
      <c r="Z130" s="642">
        <f t="shared" si="53"/>
        <v>0.6825777577</v>
      </c>
      <c r="AA130" s="642">
        <f t="shared" si="53"/>
        <v>0.6809773409</v>
      </c>
      <c r="AB130" s="642">
        <f t="shared" si="53"/>
        <v>0.8642250625</v>
      </c>
      <c r="AC130" s="642">
        <f t="shared" si="53"/>
        <v>0.8122115171</v>
      </c>
      <c r="AD130" s="642">
        <f t="shared" si="53"/>
        <v>0.8236144867</v>
      </c>
      <c r="AE130" s="642">
        <f t="shared" si="53"/>
        <v>0.7784027125</v>
      </c>
      <c r="AF130" s="642">
        <f t="shared" si="53"/>
        <v>0.7914060989</v>
      </c>
      <c r="AG130" s="642">
        <f t="shared" si="53"/>
        <v>0.4005042998</v>
      </c>
      <c r="AH130" s="642">
        <f t="shared" si="53"/>
        <v>0.5761500417</v>
      </c>
      <c r="AI130" s="642">
        <f t="shared" si="53"/>
        <v>0.6405668172</v>
      </c>
      <c r="AJ130" s="642">
        <f t="shared" si="53"/>
        <v>0.8808293866</v>
      </c>
      <c r="AK130" s="642">
        <f t="shared" si="53"/>
        <v>0.499129984</v>
      </c>
      <c r="AL130" s="642">
        <f t="shared" si="53"/>
        <v>0.3124813768</v>
      </c>
      <c r="AM130" s="642">
        <f t="shared" si="53"/>
        <v>0.3124813768</v>
      </c>
      <c r="AN130" s="642">
        <f t="shared" si="53"/>
        <v>0.3124813768</v>
      </c>
      <c r="AO130" s="642">
        <f t="shared" si="53"/>
        <v>0.6417671298</v>
      </c>
      <c r="AP130" s="642">
        <f t="shared" si="53"/>
        <v>0.7387923972</v>
      </c>
      <c r="AQ130" s="642">
        <f t="shared" si="53"/>
        <v>0.7267892713</v>
      </c>
      <c r="AR130" s="642">
        <f t="shared" si="53"/>
        <v>0.6367658273</v>
      </c>
      <c r="AS130" s="642">
        <f t="shared" si="53"/>
        <v>0.6353654626</v>
      </c>
      <c r="AT130" s="642">
        <f t="shared" si="53"/>
        <v>0.7471945853</v>
      </c>
      <c r="AU130" s="642">
        <f t="shared" si="53"/>
        <v>0.2824735621</v>
      </c>
      <c r="AV130" s="642">
        <f t="shared" si="53"/>
        <v>0.137035687</v>
      </c>
      <c r="AW130" s="643"/>
    </row>
    <row r="131">
      <c r="A131" s="122"/>
      <c r="B131" s="123"/>
      <c r="C131" s="342"/>
      <c r="D131" s="342"/>
      <c r="E131" s="160" t="s">
        <v>863</v>
      </c>
      <c r="F131" s="615" t="s">
        <v>72</v>
      </c>
      <c r="G131" s="644" t="s">
        <v>161</v>
      </c>
      <c r="H131" s="645">
        <f t="shared" si="54"/>
        <v>0.6889036452</v>
      </c>
      <c r="I131" s="646">
        <f t="shared" ref="I131:AV131" si="55">AVERAGE(I48:I51,I55)</f>
        <v>0.3822489728</v>
      </c>
      <c r="J131" s="646">
        <f t="shared" si="55"/>
        <v>0.4782612736</v>
      </c>
      <c r="K131" s="646">
        <f t="shared" si="55"/>
        <v>0.5720732926</v>
      </c>
      <c r="L131" s="646">
        <f t="shared" si="55"/>
        <v>0.6684856447</v>
      </c>
      <c r="M131" s="646">
        <f t="shared" si="55"/>
        <v>0.4902628112</v>
      </c>
      <c r="N131" s="646">
        <f t="shared" si="55"/>
        <v>0.482861863</v>
      </c>
      <c r="O131" s="646">
        <f t="shared" si="55"/>
        <v>0.5996768291</v>
      </c>
      <c r="P131" s="646">
        <f t="shared" si="55"/>
        <v>0.2230285738</v>
      </c>
      <c r="Q131" s="646">
        <f t="shared" si="55"/>
        <v>0.4038517404</v>
      </c>
      <c r="R131" s="646">
        <f t="shared" si="55"/>
        <v>0.8293062486</v>
      </c>
      <c r="S131" s="646">
        <f t="shared" si="55"/>
        <v>0.6808872335</v>
      </c>
      <c r="T131" s="646">
        <f t="shared" si="55"/>
        <v>0.7985023021</v>
      </c>
      <c r="U131" s="646">
        <f t="shared" si="55"/>
        <v>0.766898253</v>
      </c>
      <c r="V131" s="646">
        <f t="shared" si="55"/>
        <v>0.7380945628</v>
      </c>
      <c r="W131" s="646">
        <f t="shared" si="55"/>
        <v>0.7356942553</v>
      </c>
      <c r="X131" s="646">
        <f t="shared" si="55"/>
        <v>0.4736606842</v>
      </c>
      <c r="Y131" s="646">
        <f t="shared" si="55"/>
        <v>0.8653108614</v>
      </c>
      <c r="Z131" s="646">
        <f t="shared" si="55"/>
        <v>0.7662981761</v>
      </c>
      <c r="AA131" s="646">
        <f t="shared" si="55"/>
        <v>0.9769251611</v>
      </c>
      <c r="AB131" s="646">
        <f t="shared" si="55"/>
        <v>0.875712194</v>
      </c>
      <c r="AC131" s="646">
        <f t="shared" si="55"/>
        <v>0.9347197539</v>
      </c>
      <c r="AD131" s="646">
        <f t="shared" si="55"/>
        <v>0.9295190876</v>
      </c>
      <c r="AE131" s="646">
        <f t="shared" si="55"/>
        <v>0.8841132703</v>
      </c>
      <c r="AF131" s="646">
        <f t="shared" si="55"/>
        <v>0.892314321</v>
      </c>
      <c r="AG131" s="646">
        <f t="shared" si="55"/>
        <v>0.6684856447</v>
      </c>
      <c r="AH131" s="646">
        <f t="shared" si="55"/>
        <v>0.7760994319</v>
      </c>
      <c r="AI131" s="646">
        <f t="shared" si="55"/>
        <v>0.6440825182</v>
      </c>
      <c r="AJ131" s="646">
        <f t="shared" si="55"/>
        <v>0.8959147823</v>
      </c>
      <c r="AK131" s="646">
        <f t="shared" si="55"/>
        <v>0.6528836458</v>
      </c>
      <c r="AL131" s="646">
        <f t="shared" si="55"/>
        <v>0.5450698329</v>
      </c>
      <c r="AM131" s="646">
        <f t="shared" si="55"/>
        <v>0.5450698329</v>
      </c>
      <c r="AN131" s="646">
        <f t="shared" si="55"/>
        <v>0.5450698329</v>
      </c>
      <c r="AO131" s="646">
        <f t="shared" si="55"/>
        <v>0.5886754196</v>
      </c>
      <c r="AP131" s="646">
        <f t="shared" si="55"/>
        <v>0.6906884892</v>
      </c>
      <c r="AQ131" s="646">
        <f t="shared" si="55"/>
        <v>0.8691113483</v>
      </c>
      <c r="AR131" s="646">
        <f t="shared" si="55"/>
        <v>0.6806872079</v>
      </c>
      <c r="AS131" s="646">
        <f t="shared" si="55"/>
        <v>0.7626977149</v>
      </c>
      <c r="AT131" s="646">
        <f t="shared" si="55"/>
        <v>0.8595101182</v>
      </c>
      <c r="AU131" s="646">
        <f t="shared" si="55"/>
        <v>0.6514834664</v>
      </c>
      <c r="AV131" s="646">
        <f t="shared" si="55"/>
        <v>0.7114911544</v>
      </c>
      <c r="AW131" s="620"/>
    </row>
    <row r="132">
      <c r="A132" s="122"/>
      <c r="B132" s="123"/>
      <c r="C132" s="342"/>
      <c r="D132" s="342"/>
      <c r="E132" s="160" t="s">
        <v>864</v>
      </c>
      <c r="F132" s="615" t="s">
        <v>72</v>
      </c>
      <c r="G132" s="644" t="s">
        <v>161</v>
      </c>
      <c r="H132" s="647">
        <f>POWER(H131/H130,(1/(2021-2016)))-1</f>
        <v>0.05068089437</v>
      </c>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20"/>
    </row>
    <row r="133">
      <c r="A133" s="122"/>
      <c r="B133" s="123"/>
      <c r="C133" s="342"/>
      <c r="D133" s="342"/>
      <c r="E133" s="649" t="s">
        <v>865</v>
      </c>
      <c r="F133" s="615" t="s">
        <v>72</v>
      </c>
      <c r="G133" s="644" t="s">
        <v>161</v>
      </c>
      <c r="H133" s="647">
        <f>1/(1+H132)</f>
        <v>0.9517637613</v>
      </c>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20"/>
    </row>
    <row r="134">
      <c r="A134" s="122"/>
      <c r="B134" s="123"/>
      <c r="C134" s="342"/>
      <c r="D134" s="342"/>
      <c r="E134" s="342"/>
      <c r="F134" s="125"/>
      <c r="G134" s="126"/>
      <c r="H134" s="127"/>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30"/>
    </row>
    <row r="135">
      <c r="A135" s="122"/>
      <c r="B135" s="123"/>
      <c r="C135" s="342" t="s">
        <v>866</v>
      </c>
      <c r="F135" s="125"/>
      <c r="G135" s="126"/>
      <c r="H135" s="127"/>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30"/>
    </row>
    <row r="136">
      <c r="A136" s="122"/>
      <c r="B136" s="123"/>
      <c r="C136" s="123"/>
      <c r="D136" s="123"/>
      <c r="E136" s="192" t="s">
        <v>402</v>
      </c>
      <c r="F136" s="193" t="s">
        <v>72</v>
      </c>
      <c r="G136" s="235" t="s">
        <v>161</v>
      </c>
      <c r="H136" s="236" t="s">
        <v>162</v>
      </c>
      <c r="I136" s="383">
        <f t="shared" ref="I136:AV136" si="56">I48*$H$133</f>
        <v>0.4673758858</v>
      </c>
      <c r="J136" s="383">
        <f t="shared" si="56"/>
        <v>0.5616125715</v>
      </c>
      <c r="K136" s="383">
        <f t="shared" si="56"/>
        <v>0.6044474287</v>
      </c>
      <c r="L136" s="383">
        <f t="shared" si="56"/>
        <v>0.743422743</v>
      </c>
      <c r="M136" s="383">
        <f t="shared" si="56"/>
        <v>0.5739870858</v>
      </c>
      <c r="N136" s="383">
        <f t="shared" si="56"/>
        <v>0.5416229715</v>
      </c>
      <c r="O136" s="383">
        <f t="shared" si="56"/>
        <v>0.6053993144</v>
      </c>
      <c r="P136" s="383">
        <f t="shared" si="56"/>
        <v>0.3207854858</v>
      </c>
      <c r="Q136" s="383">
        <f t="shared" si="56"/>
        <v>0.483557943</v>
      </c>
      <c r="R136" s="383">
        <f t="shared" si="56"/>
        <v>0.8614565716</v>
      </c>
      <c r="S136" s="383">
        <f t="shared" si="56"/>
        <v>0.7957764573</v>
      </c>
      <c r="T136" s="383">
        <f t="shared" si="56"/>
        <v>0.8148141716</v>
      </c>
      <c r="U136" s="383">
        <f t="shared" si="56"/>
        <v>0.803391543</v>
      </c>
      <c r="V136" s="383">
        <f t="shared" si="56"/>
        <v>0.7510378287</v>
      </c>
      <c r="W136" s="383">
        <f t="shared" si="56"/>
        <v>0.7776906287</v>
      </c>
      <c r="X136" s="383">
        <f t="shared" si="56"/>
        <v>0.616821943</v>
      </c>
      <c r="Y136" s="383">
        <f t="shared" si="56"/>
        <v>0.8862056002</v>
      </c>
      <c r="Z136" s="383">
        <f t="shared" si="56"/>
        <v>0.7948245716</v>
      </c>
      <c r="AA136" s="383">
        <f t="shared" si="56"/>
        <v>0.9452225145</v>
      </c>
      <c r="AB136" s="383">
        <f t="shared" si="56"/>
        <v>0.8785905145</v>
      </c>
      <c r="AC136" s="383">
        <f t="shared" si="56"/>
        <v>0.9423668573</v>
      </c>
      <c r="AD136" s="383">
        <f t="shared" si="56"/>
        <v>0.9433187431</v>
      </c>
      <c r="AE136" s="383">
        <f t="shared" si="56"/>
        <v>0.9061952002</v>
      </c>
      <c r="AF136" s="383">
        <f t="shared" si="56"/>
        <v>0.9014357716</v>
      </c>
      <c r="AG136" s="383">
        <f t="shared" si="56"/>
        <v>0.743422743</v>
      </c>
      <c r="AH136" s="383">
        <f t="shared" si="56"/>
        <v>0.8785905145</v>
      </c>
      <c r="AI136" s="383">
        <f t="shared" si="56"/>
        <v>0.6882133716</v>
      </c>
      <c r="AJ136" s="383">
        <f t="shared" si="56"/>
        <v>0.8985801145</v>
      </c>
      <c r="AK136" s="383">
        <f t="shared" si="56"/>
        <v>0.7538934859</v>
      </c>
      <c r="AL136" s="383">
        <f t="shared" si="56"/>
        <v>0.6349077716</v>
      </c>
      <c r="AM136" s="383">
        <f t="shared" si="56"/>
        <v>0.6349077716</v>
      </c>
      <c r="AN136" s="383">
        <f t="shared" si="56"/>
        <v>0.6349077716</v>
      </c>
      <c r="AO136" s="383">
        <f t="shared" si="56"/>
        <v>0.6882133716</v>
      </c>
      <c r="AP136" s="383">
        <f t="shared" si="56"/>
        <v>0.7148661716</v>
      </c>
      <c r="AQ136" s="383">
        <f t="shared" si="56"/>
        <v>0.8852537145</v>
      </c>
      <c r="AR136" s="383">
        <f t="shared" si="56"/>
        <v>0.7853057145</v>
      </c>
      <c r="AS136" s="383">
        <f t="shared" si="56"/>
        <v>0.8348037716</v>
      </c>
      <c r="AT136" s="383">
        <f t="shared" si="56"/>
        <v>0.8595528002</v>
      </c>
      <c r="AU136" s="383">
        <f t="shared" si="56"/>
        <v>0.676790743</v>
      </c>
      <c r="AV136" s="383">
        <f t="shared" si="56"/>
        <v>0.7158180573</v>
      </c>
      <c r="AW136" s="360"/>
    </row>
    <row r="137">
      <c r="A137" s="122"/>
      <c r="B137" s="123"/>
      <c r="C137" s="123"/>
      <c r="D137" s="123"/>
      <c r="E137" s="192" t="s">
        <v>867</v>
      </c>
      <c r="F137" s="193" t="s">
        <v>72</v>
      </c>
      <c r="G137" s="235" t="s">
        <v>161</v>
      </c>
      <c r="H137" s="236" t="s">
        <v>162</v>
      </c>
      <c r="I137" s="383">
        <f t="shared" ref="I137:AV137" si="57">I49*$H$133</f>
        <v>0.4026476572</v>
      </c>
      <c r="J137" s="383">
        <f t="shared" si="57"/>
        <v>0.5159220573</v>
      </c>
      <c r="K137" s="383">
        <f t="shared" si="57"/>
        <v>0.5844578287</v>
      </c>
      <c r="L137" s="383">
        <f t="shared" si="57"/>
        <v>0.6910690287</v>
      </c>
      <c r="M137" s="383">
        <f t="shared" si="57"/>
        <v>0.5225852573</v>
      </c>
      <c r="N137" s="383">
        <f t="shared" si="57"/>
        <v>0.5044994287</v>
      </c>
      <c r="O137" s="383">
        <f t="shared" si="57"/>
        <v>0.5663720001</v>
      </c>
      <c r="P137" s="383">
        <f t="shared" si="57"/>
        <v>0.2741430858</v>
      </c>
      <c r="Q137" s="383">
        <f t="shared" si="57"/>
        <v>0.4283485715</v>
      </c>
      <c r="R137" s="383">
        <f t="shared" si="57"/>
        <v>0.8395632002</v>
      </c>
      <c r="S137" s="383">
        <f t="shared" si="57"/>
        <v>0.7139142859</v>
      </c>
      <c r="T137" s="383">
        <f t="shared" si="57"/>
        <v>0.8205254859</v>
      </c>
      <c r="U137" s="383">
        <f t="shared" si="57"/>
        <v>0.7891132573</v>
      </c>
      <c r="V137" s="383">
        <f t="shared" si="57"/>
        <v>0.7377114287</v>
      </c>
      <c r="W137" s="383">
        <f t="shared" si="57"/>
        <v>0.7691236573</v>
      </c>
      <c r="X137" s="383">
        <f t="shared" si="57"/>
        <v>0.5511418287</v>
      </c>
      <c r="Y137" s="383">
        <f t="shared" si="57"/>
        <v>0.8862056002</v>
      </c>
      <c r="Z137" s="383">
        <f t="shared" si="57"/>
        <v>0.7710274287</v>
      </c>
      <c r="AA137" s="383">
        <f t="shared" si="57"/>
        <v>0.9433187431</v>
      </c>
      <c r="AB137" s="383">
        <f t="shared" si="57"/>
        <v>0.8776386288</v>
      </c>
      <c r="AC137" s="383">
        <f t="shared" si="57"/>
        <v>0.9004838859</v>
      </c>
      <c r="AD137" s="383">
        <f t="shared" si="57"/>
        <v>0.9376074288</v>
      </c>
      <c r="AE137" s="383">
        <f t="shared" si="57"/>
        <v>0.8614565716</v>
      </c>
      <c r="AF137" s="383">
        <f t="shared" si="57"/>
        <v>0.8957244573</v>
      </c>
      <c r="AG137" s="383">
        <f t="shared" si="57"/>
        <v>0.6910690287</v>
      </c>
      <c r="AH137" s="383">
        <f t="shared" si="57"/>
        <v>0.8205254859</v>
      </c>
      <c r="AI137" s="383">
        <f t="shared" si="57"/>
        <v>0.6311002287</v>
      </c>
      <c r="AJ137" s="383">
        <f t="shared" si="57"/>
        <v>0.8795424002</v>
      </c>
      <c r="AK137" s="383">
        <f t="shared" si="57"/>
        <v>0.6844058287</v>
      </c>
      <c r="AL137" s="383">
        <f t="shared" si="57"/>
        <v>0.5911210287</v>
      </c>
      <c r="AM137" s="383">
        <f t="shared" si="57"/>
        <v>0.5911210287</v>
      </c>
      <c r="AN137" s="383">
        <f t="shared" si="57"/>
        <v>0.5911210287</v>
      </c>
      <c r="AO137" s="383">
        <f t="shared" si="57"/>
        <v>0.6349077716</v>
      </c>
      <c r="AP137" s="383">
        <f t="shared" si="57"/>
        <v>0.6986841144</v>
      </c>
      <c r="AQ137" s="383">
        <f t="shared" si="57"/>
        <v>0.870023543</v>
      </c>
      <c r="AR137" s="383">
        <f t="shared" si="57"/>
        <v>0.7196256002</v>
      </c>
      <c r="AS137" s="383">
        <f t="shared" si="57"/>
        <v>0.7615085716</v>
      </c>
      <c r="AT137" s="383">
        <f t="shared" si="57"/>
        <v>0.8528896002</v>
      </c>
      <c r="AU137" s="383">
        <f t="shared" si="57"/>
        <v>0.6805982859</v>
      </c>
      <c r="AV137" s="383">
        <f t="shared" si="57"/>
        <v>0.7024916573</v>
      </c>
      <c r="AW137" s="360"/>
    </row>
    <row r="138">
      <c r="A138" s="122"/>
      <c r="B138" s="123"/>
      <c r="C138" s="123"/>
      <c r="D138" s="123"/>
      <c r="E138" s="192" t="s">
        <v>868</v>
      </c>
      <c r="F138" s="193" t="s">
        <v>72</v>
      </c>
      <c r="G138" s="235" t="s">
        <v>161</v>
      </c>
      <c r="H138" s="236" t="s">
        <v>162</v>
      </c>
      <c r="I138" s="383">
        <f t="shared" ref="I138:AV138" si="58">I50*$H$133</f>
        <v>0.3579090286</v>
      </c>
      <c r="J138" s="383">
        <f t="shared" si="58"/>
        <v>0.4873654858</v>
      </c>
      <c r="K138" s="383">
        <f t="shared" si="58"/>
        <v>0.536863543</v>
      </c>
      <c r="L138" s="383">
        <f t="shared" si="58"/>
        <v>0.6330040001</v>
      </c>
      <c r="M138" s="383">
        <f t="shared" si="58"/>
        <v>0.4473862858</v>
      </c>
      <c r="N138" s="383">
        <f t="shared" si="58"/>
        <v>0.443578743</v>
      </c>
      <c r="O138" s="383">
        <f t="shared" si="58"/>
        <v>0.5559012573</v>
      </c>
      <c r="P138" s="383">
        <f t="shared" si="58"/>
        <v>0.1751469715</v>
      </c>
      <c r="Q138" s="383">
        <f t="shared" si="58"/>
        <v>0.3360156572</v>
      </c>
      <c r="R138" s="383">
        <f t="shared" si="58"/>
        <v>0.8186217145</v>
      </c>
      <c r="S138" s="383">
        <f t="shared" si="58"/>
        <v>0.6339558858</v>
      </c>
      <c r="T138" s="383">
        <f t="shared" si="58"/>
        <v>0.783401943</v>
      </c>
      <c r="U138" s="383">
        <f t="shared" si="58"/>
        <v>0.7177218287</v>
      </c>
      <c r="V138" s="383">
        <f t="shared" si="58"/>
        <v>0.723433143</v>
      </c>
      <c r="W138" s="383">
        <f t="shared" si="58"/>
        <v>0.7091548573</v>
      </c>
      <c r="X138" s="383">
        <f t="shared" si="58"/>
        <v>0.4312042287</v>
      </c>
      <c r="Y138" s="383">
        <f t="shared" si="58"/>
        <v>0.8738310859</v>
      </c>
      <c r="Z138" s="383">
        <f t="shared" si="58"/>
        <v>0.7186737144</v>
      </c>
      <c r="AA138" s="383">
        <f t="shared" si="58"/>
        <v>0.9423668573</v>
      </c>
      <c r="AB138" s="383">
        <f t="shared" si="58"/>
        <v>0.8643122288</v>
      </c>
      <c r="AC138" s="383">
        <f t="shared" si="58"/>
        <v>0.8976282288</v>
      </c>
      <c r="AD138" s="383">
        <f t="shared" si="58"/>
        <v>0.9204734859</v>
      </c>
      <c r="AE138" s="383">
        <f t="shared" si="58"/>
        <v>0.830044343</v>
      </c>
      <c r="AF138" s="383">
        <f t="shared" si="58"/>
        <v>0.8871574859</v>
      </c>
      <c r="AG138" s="383">
        <f t="shared" si="58"/>
        <v>0.6330040001</v>
      </c>
      <c r="AH138" s="383">
        <f t="shared" si="58"/>
        <v>0.7043954287</v>
      </c>
      <c r="AI138" s="383">
        <f t="shared" si="58"/>
        <v>0.610158743</v>
      </c>
      <c r="AJ138" s="383">
        <f t="shared" si="58"/>
        <v>0.8576490288</v>
      </c>
      <c r="AK138" s="383">
        <f t="shared" si="58"/>
        <v>0.6158700573</v>
      </c>
      <c r="AL138" s="383">
        <f t="shared" si="58"/>
        <v>0.4730872001</v>
      </c>
      <c r="AM138" s="383">
        <f t="shared" si="58"/>
        <v>0.4730872001</v>
      </c>
      <c r="AN138" s="383">
        <f t="shared" si="58"/>
        <v>0.4730872001</v>
      </c>
      <c r="AO138" s="383">
        <f t="shared" si="58"/>
        <v>0.5520937144</v>
      </c>
      <c r="AP138" s="383">
        <f t="shared" si="58"/>
        <v>0.6491860573</v>
      </c>
      <c r="AQ138" s="383">
        <f t="shared" si="58"/>
        <v>0.8395632002</v>
      </c>
      <c r="AR138" s="383">
        <f t="shared" si="58"/>
        <v>0.6111106287</v>
      </c>
      <c r="AS138" s="383">
        <f t="shared" si="58"/>
        <v>0.7415189716</v>
      </c>
      <c r="AT138" s="383">
        <f t="shared" si="58"/>
        <v>0.8290924573</v>
      </c>
      <c r="AU138" s="383">
        <f t="shared" si="58"/>
        <v>0.6215813716</v>
      </c>
      <c r="AV138" s="383">
        <f t="shared" si="58"/>
        <v>0.6777426287</v>
      </c>
      <c r="AW138" s="360"/>
    </row>
    <row r="139">
      <c r="A139" s="122"/>
      <c r="B139" s="123"/>
      <c r="C139" s="123"/>
      <c r="D139" s="123"/>
      <c r="E139" s="192" t="s">
        <v>869</v>
      </c>
      <c r="F139" s="193" t="s">
        <v>72</v>
      </c>
      <c r="G139" s="235" t="s">
        <v>161</v>
      </c>
      <c r="H139" s="236" t="s">
        <v>162</v>
      </c>
      <c r="I139" s="383">
        <f t="shared" ref="I139:AV139" si="59">I51*$H$133</f>
        <v>0.2979402286</v>
      </c>
      <c r="J139" s="383">
        <f t="shared" si="59"/>
        <v>0.3617165715</v>
      </c>
      <c r="K139" s="383">
        <f t="shared" si="59"/>
        <v>0.4645202287</v>
      </c>
      <c r="L139" s="383">
        <f t="shared" si="59"/>
        <v>0.5739870858</v>
      </c>
      <c r="M139" s="383">
        <f t="shared" si="59"/>
        <v>0.4035995429</v>
      </c>
      <c r="N139" s="383">
        <f t="shared" si="59"/>
        <v>0.3921769144</v>
      </c>
      <c r="O139" s="383">
        <f t="shared" si="59"/>
        <v>0.5244890287</v>
      </c>
      <c r="P139" s="383">
        <f t="shared" si="59"/>
        <v>0.1094668572</v>
      </c>
      <c r="Q139" s="383">
        <f t="shared" si="59"/>
        <v>0.2360676572</v>
      </c>
      <c r="R139" s="383">
        <f t="shared" si="59"/>
        <v>0.7139142859</v>
      </c>
      <c r="S139" s="383">
        <f t="shared" si="59"/>
        <v>0.5130664001</v>
      </c>
      <c r="T139" s="383">
        <f t="shared" si="59"/>
        <v>0.6958284573</v>
      </c>
      <c r="U139" s="383">
        <f t="shared" si="59"/>
        <v>0.7005878859</v>
      </c>
      <c r="V139" s="383">
        <f t="shared" si="59"/>
        <v>0.6682237716</v>
      </c>
      <c r="W139" s="383">
        <f t="shared" si="59"/>
        <v>0.5977842287</v>
      </c>
      <c r="X139" s="383">
        <f t="shared" si="59"/>
        <v>0.2865176001</v>
      </c>
      <c r="Y139" s="383">
        <f t="shared" si="59"/>
        <v>0.7139142859</v>
      </c>
      <c r="Z139" s="383">
        <f t="shared" si="59"/>
        <v>0.6653681144</v>
      </c>
      <c r="AA139" s="383">
        <f t="shared" si="59"/>
        <v>0.9395112002</v>
      </c>
      <c r="AB139" s="383">
        <f t="shared" si="59"/>
        <v>0.7872094859</v>
      </c>
      <c r="AC139" s="383">
        <f t="shared" si="59"/>
        <v>0.8081509716</v>
      </c>
      <c r="AD139" s="383">
        <f t="shared" si="59"/>
        <v>0.8643122288</v>
      </c>
      <c r="AE139" s="383">
        <f t="shared" si="59"/>
        <v>0.7577010287</v>
      </c>
      <c r="AF139" s="383">
        <f t="shared" si="59"/>
        <v>0.8452745145</v>
      </c>
      <c r="AG139" s="383">
        <f t="shared" si="59"/>
        <v>0.5739870858</v>
      </c>
      <c r="AH139" s="383">
        <f t="shared" si="59"/>
        <v>0.6015917716</v>
      </c>
      <c r="AI139" s="383">
        <f t="shared" si="59"/>
        <v>0.5244890287</v>
      </c>
      <c r="AJ139" s="383">
        <f t="shared" si="59"/>
        <v>0.8062472002</v>
      </c>
      <c r="AK139" s="383">
        <f t="shared" si="59"/>
        <v>0.5140182858</v>
      </c>
      <c r="AL139" s="383">
        <f t="shared" si="59"/>
        <v>0.3750429715</v>
      </c>
      <c r="AM139" s="383">
        <f t="shared" si="59"/>
        <v>0.3750429715</v>
      </c>
      <c r="AN139" s="383">
        <f t="shared" si="59"/>
        <v>0.3750429715</v>
      </c>
      <c r="AO139" s="383">
        <f t="shared" si="59"/>
        <v>0.3931288001</v>
      </c>
      <c r="AP139" s="383">
        <f t="shared" si="59"/>
        <v>0.5958804573</v>
      </c>
      <c r="AQ139" s="383">
        <f t="shared" si="59"/>
        <v>0.7757868573</v>
      </c>
      <c r="AR139" s="383">
        <f t="shared" si="59"/>
        <v>0.5416229715</v>
      </c>
      <c r="AS139" s="383">
        <f t="shared" si="59"/>
        <v>0.6225332573</v>
      </c>
      <c r="AT139" s="383">
        <f t="shared" si="59"/>
        <v>0.743422743</v>
      </c>
      <c r="AU139" s="383">
        <f t="shared" si="59"/>
        <v>0.4987881144</v>
      </c>
      <c r="AV139" s="383">
        <f t="shared" si="59"/>
        <v>0.6111106287</v>
      </c>
      <c r="AW139" s="360"/>
    </row>
    <row r="140">
      <c r="A140" s="122"/>
      <c r="B140" s="123"/>
      <c r="C140" s="123"/>
      <c r="D140" s="123"/>
      <c r="E140" s="192" t="s">
        <v>870</v>
      </c>
      <c r="F140" s="193" t="s">
        <v>72</v>
      </c>
      <c r="G140" s="235" t="s">
        <v>161</v>
      </c>
      <c r="H140" s="236" t="s">
        <v>162</v>
      </c>
      <c r="I140" s="383">
        <f t="shared" ref="I140:AV140" si="60">I52*$H$133</f>
        <v>0.3950325715</v>
      </c>
      <c r="J140" s="383">
        <f t="shared" si="60"/>
        <v>0.496884343</v>
      </c>
      <c r="K140" s="383">
        <f t="shared" si="60"/>
        <v>0.576842743</v>
      </c>
      <c r="L140" s="383">
        <f t="shared" si="60"/>
        <v>0.6853577144</v>
      </c>
      <c r="M140" s="383">
        <f t="shared" si="60"/>
        <v>0.5178258287</v>
      </c>
      <c r="N140" s="383">
        <f t="shared" si="60"/>
        <v>0.4930768001</v>
      </c>
      <c r="O140" s="383">
        <f t="shared" si="60"/>
        <v>0.5673238858</v>
      </c>
      <c r="P140" s="383">
        <f t="shared" si="60"/>
        <v>0.2075110858</v>
      </c>
      <c r="Q140" s="383">
        <f t="shared" si="60"/>
        <v>0.4369155429</v>
      </c>
      <c r="R140" s="383">
        <f t="shared" si="60"/>
        <v>0.8452745145</v>
      </c>
      <c r="S140" s="383">
        <f t="shared" si="60"/>
        <v>0.7110586287</v>
      </c>
      <c r="T140" s="383">
        <f t="shared" si="60"/>
        <v>0.8024396573</v>
      </c>
      <c r="U140" s="383">
        <f t="shared" si="60"/>
        <v>0.7891132573</v>
      </c>
      <c r="V140" s="383">
        <f t="shared" si="60"/>
        <v>0.7339038859</v>
      </c>
      <c r="W140" s="383">
        <f t="shared" si="60"/>
        <v>0.750085943</v>
      </c>
      <c r="X140" s="383">
        <f t="shared" si="60"/>
        <v>0.5130664001</v>
      </c>
      <c r="Y140" s="383">
        <f t="shared" si="60"/>
        <v>0.8862056002</v>
      </c>
      <c r="Z140" s="383">
        <f t="shared" si="60"/>
        <v>0.7538934859</v>
      </c>
      <c r="AA140" s="383">
        <f t="shared" si="60"/>
        <v>0.9442706288</v>
      </c>
      <c r="AB140" s="383">
        <f t="shared" si="60"/>
        <v>0.8519377145</v>
      </c>
      <c r="AC140" s="383">
        <f t="shared" si="60"/>
        <v>0.9100027431</v>
      </c>
      <c r="AD140" s="383">
        <f t="shared" si="60"/>
        <v>0.9376074288</v>
      </c>
      <c r="AE140" s="383">
        <f t="shared" si="60"/>
        <v>0.8690716573</v>
      </c>
      <c r="AF140" s="383">
        <f t="shared" si="60"/>
        <v>0.890013143</v>
      </c>
      <c r="AG140" s="383">
        <f t="shared" si="60"/>
        <v>0.6853577144</v>
      </c>
      <c r="AH140" s="383">
        <f t="shared" si="60"/>
        <v>0.8062472002</v>
      </c>
      <c r="AI140" s="383">
        <f t="shared" si="60"/>
        <v>0.6053993144</v>
      </c>
      <c r="AJ140" s="383">
        <f t="shared" si="60"/>
        <v>0.8795424002</v>
      </c>
      <c r="AK140" s="383">
        <f t="shared" si="60"/>
        <v>0.6748869716</v>
      </c>
      <c r="AL140" s="383">
        <f t="shared" si="60"/>
        <v>0.5473342858</v>
      </c>
      <c r="AM140" s="383">
        <f t="shared" si="60"/>
        <v>0.5473342858</v>
      </c>
      <c r="AN140" s="383">
        <f t="shared" si="60"/>
        <v>0.5473342858</v>
      </c>
      <c r="AO140" s="383">
        <f t="shared" si="60"/>
        <v>0.6158700573</v>
      </c>
      <c r="AP140" s="383">
        <f t="shared" si="60"/>
        <v>0.6863096001</v>
      </c>
      <c r="AQ140" s="383">
        <f t="shared" si="60"/>
        <v>0.8624084573</v>
      </c>
      <c r="AR140" s="383">
        <f t="shared" si="60"/>
        <v>0.7148661716</v>
      </c>
      <c r="AS140" s="383">
        <f t="shared" si="60"/>
        <v>0.7481821716</v>
      </c>
      <c r="AT140" s="383">
        <f t="shared" si="60"/>
        <v>0.8519377145</v>
      </c>
      <c r="AU140" s="383">
        <f t="shared" si="60"/>
        <v>0.6739350859</v>
      </c>
      <c r="AV140" s="383">
        <f t="shared" si="60"/>
        <v>0.6853577144</v>
      </c>
      <c r="AW140" s="360"/>
    </row>
    <row r="141">
      <c r="A141" s="122"/>
      <c r="B141" s="123"/>
      <c r="C141" s="123"/>
      <c r="D141" s="123"/>
      <c r="E141" s="192" t="s">
        <v>871</v>
      </c>
      <c r="F141" s="193" t="s">
        <v>72</v>
      </c>
      <c r="G141" s="235" t="s">
        <v>161</v>
      </c>
      <c r="H141" s="236" t="s">
        <v>162</v>
      </c>
      <c r="I141" s="383">
        <f t="shared" ref="I141:AV141" si="61">I53*$H$133</f>
        <v>0.3617165715</v>
      </c>
      <c r="J141" s="383">
        <f t="shared" si="61"/>
        <v>0.4445306287</v>
      </c>
      <c r="K141" s="383">
        <f t="shared" si="61"/>
        <v>0.5282965715</v>
      </c>
      <c r="L141" s="383">
        <f t="shared" si="61"/>
        <v>0.6158700573</v>
      </c>
      <c r="M141" s="383">
        <f t="shared" si="61"/>
        <v>0.443578743</v>
      </c>
      <c r="N141" s="383">
        <f t="shared" si="61"/>
        <v>0.4178778287</v>
      </c>
      <c r="O141" s="383">
        <f t="shared" si="61"/>
        <v>0.5416229715</v>
      </c>
      <c r="P141" s="383">
        <f t="shared" si="61"/>
        <v>0.1351677715</v>
      </c>
      <c r="Q141" s="383">
        <f t="shared" si="61"/>
        <v>0.3379194286</v>
      </c>
      <c r="R141" s="383">
        <f t="shared" si="61"/>
        <v>0.810054743</v>
      </c>
      <c r="S141" s="383">
        <f t="shared" si="61"/>
        <v>0.636811543</v>
      </c>
      <c r="T141" s="383">
        <f t="shared" si="61"/>
        <v>0.776738743</v>
      </c>
      <c r="U141" s="383">
        <f t="shared" si="61"/>
        <v>0.7139142859</v>
      </c>
      <c r="V141" s="383">
        <f t="shared" si="61"/>
        <v>0.7148661716</v>
      </c>
      <c r="W141" s="383">
        <f t="shared" si="61"/>
        <v>0.676790743</v>
      </c>
      <c r="X141" s="383">
        <f t="shared" si="61"/>
        <v>0.3598128001</v>
      </c>
      <c r="Y141" s="383">
        <f t="shared" si="61"/>
        <v>0.8738310859</v>
      </c>
      <c r="Z141" s="383">
        <f t="shared" si="61"/>
        <v>0.6986841144</v>
      </c>
      <c r="AA141" s="383">
        <f t="shared" si="61"/>
        <v>0.9423668573</v>
      </c>
      <c r="AB141" s="383">
        <f t="shared" si="61"/>
        <v>0.8138622859</v>
      </c>
      <c r="AC141" s="383">
        <f t="shared" si="61"/>
        <v>0.8519377145</v>
      </c>
      <c r="AD141" s="383">
        <f t="shared" si="61"/>
        <v>0.9128584002</v>
      </c>
      <c r="AE141" s="383">
        <f t="shared" si="61"/>
        <v>0.830044343</v>
      </c>
      <c r="AF141" s="383">
        <f t="shared" si="61"/>
        <v>0.8681197716</v>
      </c>
      <c r="AG141" s="383">
        <f t="shared" si="61"/>
        <v>0.6158700573</v>
      </c>
      <c r="AH141" s="383">
        <f t="shared" si="61"/>
        <v>0.6844058287</v>
      </c>
      <c r="AI141" s="383">
        <f t="shared" si="61"/>
        <v>0.5777946287</v>
      </c>
      <c r="AJ141" s="383">
        <f t="shared" si="61"/>
        <v>0.843370743</v>
      </c>
      <c r="AK141" s="383">
        <f t="shared" si="61"/>
        <v>0.603495543</v>
      </c>
      <c r="AL141" s="383">
        <f t="shared" si="61"/>
        <v>0.4740390858</v>
      </c>
      <c r="AM141" s="383">
        <f t="shared" si="61"/>
        <v>0.4740390858</v>
      </c>
      <c r="AN141" s="383">
        <f t="shared" si="61"/>
        <v>0.4740390858</v>
      </c>
      <c r="AO141" s="383">
        <f t="shared" si="61"/>
        <v>0.5387673144</v>
      </c>
      <c r="AP141" s="383">
        <f t="shared" si="61"/>
        <v>0.6244370287</v>
      </c>
      <c r="AQ141" s="383">
        <f t="shared" si="61"/>
        <v>0.7881613716</v>
      </c>
      <c r="AR141" s="383">
        <f t="shared" si="61"/>
        <v>0.5958804573</v>
      </c>
      <c r="AS141" s="383">
        <f t="shared" si="61"/>
        <v>0.6539454859</v>
      </c>
      <c r="AT141" s="383">
        <f t="shared" si="61"/>
        <v>0.8119585145</v>
      </c>
      <c r="AU141" s="383">
        <f t="shared" si="61"/>
        <v>0.5892172573</v>
      </c>
      <c r="AV141" s="383">
        <f t="shared" si="61"/>
        <v>0.6482341716</v>
      </c>
      <c r="AW141" s="360"/>
    </row>
    <row r="142">
      <c r="A142" s="122"/>
      <c r="B142" s="123"/>
      <c r="C142" s="123"/>
      <c r="D142" s="123"/>
      <c r="E142" s="192" t="s">
        <v>872</v>
      </c>
      <c r="F142" s="193" t="s">
        <v>72</v>
      </c>
      <c r="G142" s="235" t="s">
        <v>161</v>
      </c>
      <c r="H142" s="236" t="s">
        <v>162</v>
      </c>
      <c r="I142" s="383">
        <f t="shared" ref="I142:AV142" si="62">I54*$H$133</f>
        <v>0.2979402286</v>
      </c>
      <c r="J142" s="383">
        <f t="shared" si="62"/>
        <v>0.3512458286</v>
      </c>
      <c r="K142" s="383">
        <f t="shared" si="62"/>
        <v>0.4597608001</v>
      </c>
      <c r="L142" s="383">
        <f t="shared" si="62"/>
        <v>0.5616125715</v>
      </c>
      <c r="M142" s="383">
        <f t="shared" si="62"/>
        <v>0.3798024001</v>
      </c>
      <c r="N142" s="383">
        <f t="shared" si="62"/>
        <v>0.3721873144</v>
      </c>
      <c r="O142" s="383">
        <f t="shared" si="62"/>
        <v>0.5130664001</v>
      </c>
      <c r="P142" s="383">
        <f t="shared" si="62"/>
        <v>0.09518857145</v>
      </c>
      <c r="Q142" s="383">
        <f t="shared" si="62"/>
        <v>0.2551053715</v>
      </c>
      <c r="R142" s="383">
        <f t="shared" si="62"/>
        <v>0.6330040001</v>
      </c>
      <c r="S142" s="383">
        <f t="shared" si="62"/>
        <v>0.5121145144</v>
      </c>
      <c r="T142" s="383">
        <f t="shared" si="62"/>
        <v>0.6710794287</v>
      </c>
      <c r="U142" s="383">
        <f t="shared" si="62"/>
        <v>0.7005878859</v>
      </c>
      <c r="V142" s="383">
        <f t="shared" si="62"/>
        <v>0.6330040001</v>
      </c>
      <c r="W142" s="383">
        <f t="shared" si="62"/>
        <v>0.5359116573</v>
      </c>
      <c r="X142" s="383">
        <f t="shared" si="62"/>
        <v>0.2903251429</v>
      </c>
      <c r="Y142" s="383">
        <f t="shared" si="62"/>
        <v>0.696780343</v>
      </c>
      <c r="Z142" s="383">
        <f t="shared" si="62"/>
        <v>0.6596568001</v>
      </c>
      <c r="AA142" s="383">
        <f t="shared" si="62"/>
        <v>0.9395112002</v>
      </c>
      <c r="AB142" s="383">
        <f t="shared" si="62"/>
        <v>0.736759543</v>
      </c>
      <c r="AC142" s="383">
        <f t="shared" si="62"/>
        <v>0.790065143</v>
      </c>
      <c r="AD142" s="383">
        <f t="shared" si="62"/>
        <v>0.8624084573</v>
      </c>
      <c r="AE142" s="383">
        <f t="shared" si="62"/>
        <v>0.7577010287</v>
      </c>
      <c r="AF142" s="383">
        <f t="shared" si="62"/>
        <v>0.8138622859</v>
      </c>
      <c r="AG142" s="383">
        <f t="shared" si="62"/>
        <v>0.5616125715</v>
      </c>
      <c r="AH142" s="383">
        <f t="shared" si="62"/>
        <v>0.5911210287</v>
      </c>
      <c r="AI142" s="383">
        <f t="shared" si="62"/>
        <v>0.5064032001</v>
      </c>
      <c r="AJ142" s="383">
        <f t="shared" si="62"/>
        <v>0.7605566859</v>
      </c>
      <c r="AK142" s="383">
        <f t="shared" si="62"/>
        <v>0.4826060572</v>
      </c>
      <c r="AL142" s="383">
        <f t="shared" si="62"/>
        <v>0.3769467429</v>
      </c>
      <c r="AM142" s="383">
        <f t="shared" si="62"/>
        <v>0.3769467429</v>
      </c>
      <c r="AN142" s="383">
        <f t="shared" si="62"/>
        <v>0.3769467429</v>
      </c>
      <c r="AO142" s="383">
        <f t="shared" si="62"/>
        <v>0.3769467429</v>
      </c>
      <c r="AP142" s="383">
        <f t="shared" si="62"/>
        <v>0.5806502858</v>
      </c>
      <c r="AQ142" s="383">
        <f t="shared" si="62"/>
        <v>0.6558492573</v>
      </c>
      <c r="AR142" s="383">
        <f t="shared" si="62"/>
        <v>0.5425748573</v>
      </c>
      <c r="AS142" s="383">
        <f t="shared" si="62"/>
        <v>0.5806502858</v>
      </c>
      <c r="AT142" s="383">
        <f t="shared" si="62"/>
        <v>0.7510378287</v>
      </c>
      <c r="AU142" s="383">
        <f t="shared" si="62"/>
        <v>0.4797504001</v>
      </c>
      <c r="AV142" s="383">
        <f t="shared" si="62"/>
        <v>0.6006398858</v>
      </c>
      <c r="AW142" s="360"/>
    </row>
    <row r="143">
      <c r="A143" s="122"/>
      <c r="B143" s="123"/>
      <c r="C143" s="123"/>
      <c r="D143" s="123"/>
      <c r="E143" s="192" t="s">
        <v>873</v>
      </c>
      <c r="F143" s="193" t="str">
        <f>Inputs!F87</f>
        <v>%</v>
      </c>
      <c r="G143" s="235" t="str">
        <f>Inputs!G87</f>
        <v>input</v>
      </c>
      <c r="H143" s="208">
        <f>Inputs!H87</f>
        <v>0</v>
      </c>
      <c r="I143" s="530" t="str">
        <f>Inputs!I87</f>
        <v>-</v>
      </c>
      <c r="J143" s="530" t="str">
        <f>Inputs!J87</f>
        <v>-</v>
      </c>
      <c r="K143" s="530" t="str">
        <f>Inputs!K87</f>
        <v>-</v>
      </c>
      <c r="L143" s="530" t="str">
        <f>Inputs!L87</f>
        <v>-</v>
      </c>
      <c r="M143" s="530" t="str">
        <f>Inputs!M87</f>
        <v>-</v>
      </c>
      <c r="N143" s="530" t="str">
        <f>Inputs!N87</f>
        <v>-</v>
      </c>
      <c r="O143" s="530" t="str">
        <f>Inputs!O87</f>
        <v>-</v>
      </c>
      <c r="P143" s="530" t="str">
        <f>Inputs!P87</f>
        <v>-</v>
      </c>
      <c r="Q143" s="530" t="str">
        <f>Inputs!Q87</f>
        <v>-</v>
      </c>
      <c r="R143" s="530" t="str">
        <f>Inputs!R87</f>
        <v>-</v>
      </c>
      <c r="S143" s="530" t="str">
        <f>Inputs!S87</f>
        <v>-</v>
      </c>
      <c r="T143" s="530" t="str">
        <f>Inputs!T87</f>
        <v>-</v>
      </c>
      <c r="U143" s="530" t="str">
        <f>Inputs!U87</f>
        <v>-</v>
      </c>
      <c r="V143" s="530" t="str">
        <f>Inputs!V87</f>
        <v>-</v>
      </c>
      <c r="W143" s="530" t="str">
        <f>Inputs!W87</f>
        <v>-</v>
      </c>
      <c r="X143" s="530" t="str">
        <f>Inputs!X87</f>
        <v>-</v>
      </c>
      <c r="Y143" s="530" t="str">
        <f>Inputs!Y87</f>
        <v>-</v>
      </c>
      <c r="Z143" s="530" t="str">
        <f>Inputs!Z87</f>
        <v>-</v>
      </c>
      <c r="AA143" s="530" t="str">
        <f>Inputs!AA87</f>
        <v>-</v>
      </c>
      <c r="AB143" s="530" t="str">
        <f>Inputs!AB87</f>
        <v>-</v>
      </c>
      <c r="AC143" s="530" t="str">
        <f>Inputs!AC87</f>
        <v>-</v>
      </c>
      <c r="AD143" s="530" t="str">
        <f>Inputs!AD87</f>
        <v>-</v>
      </c>
      <c r="AE143" s="530" t="str">
        <f>Inputs!AE87</f>
        <v>-</v>
      </c>
      <c r="AF143" s="530" t="str">
        <f>Inputs!AF87</f>
        <v>-</v>
      </c>
      <c r="AG143" s="530" t="str">
        <f>Inputs!AG87</f>
        <v>-</v>
      </c>
      <c r="AH143" s="530" t="str">
        <f>Inputs!AH87</f>
        <v>-</v>
      </c>
      <c r="AI143" s="530" t="str">
        <f>Inputs!AI87</f>
        <v>-</v>
      </c>
      <c r="AJ143" s="530" t="str">
        <f>Inputs!AJ87</f>
        <v>-</v>
      </c>
      <c r="AK143" s="530" t="str">
        <f>Inputs!AK87</f>
        <v>-</v>
      </c>
      <c r="AL143" s="530" t="str">
        <f>Inputs!AL87</f>
        <v>-</v>
      </c>
      <c r="AM143" s="530" t="str">
        <f>Inputs!AM87</f>
        <v>-</v>
      </c>
      <c r="AN143" s="530" t="str">
        <f>Inputs!AN87</f>
        <v>-</v>
      </c>
      <c r="AO143" s="530" t="str">
        <f>Inputs!AO87</f>
        <v>-</v>
      </c>
      <c r="AP143" s="530" t="str">
        <f>Inputs!AP87</f>
        <v>-</v>
      </c>
      <c r="AQ143" s="530" t="str">
        <f>Inputs!AQ87</f>
        <v>-</v>
      </c>
      <c r="AR143" s="530" t="str">
        <f>Inputs!AR87</f>
        <v>-</v>
      </c>
      <c r="AS143" s="530" t="str">
        <f>Inputs!AS87</f>
        <v>-</v>
      </c>
      <c r="AT143" s="530" t="str">
        <f>Inputs!AT87</f>
        <v>-</v>
      </c>
      <c r="AU143" s="530" t="str">
        <f>Inputs!AU87</f>
        <v>-</v>
      </c>
      <c r="AV143" s="530" t="str">
        <f>Inputs!AV87</f>
        <v>-</v>
      </c>
      <c r="AW143" s="360"/>
    </row>
    <row r="144">
      <c r="A144" s="122"/>
      <c r="B144" s="123"/>
      <c r="C144" s="123"/>
      <c r="D144" s="123"/>
      <c r="E144" s="192" t="s">
        <v>874</v>
      </c>
      <c r="F144" s="193" t="str">
        <f>Inputs!F88</f>
        <v>%</v>
      </c>
      <c r="G144" s="235" t="str">
        <f>Inputs!G88</f>
        <v>input</v>
      </c>
      <c r="H144" s="208">
        <f>Inputs!H88</f>
        <v>0</v>
      </c>
      <c r="I144" s="530" t="str">
        <f>Inputs!I88</f>
        <v>-</v>
      </c>
      <c r="J144" s="530" t="str">
        <f>Inputs!J88</f>
        <v>-</v>
      </c>
      <c r="K144" s="530" t="str">
        <f>Inputs!K88</f>
        <v>-</v>
      </c>
      <c r="L144" s="530" t="str">
        <f>Inputs!L88</f>
        <v>-</v>
      </c>
      <c r="M144" s="530" t="str">
        <f>Inputs!M88</f>
        <v>-</v>
      </c>
      <c r="N144" s="530" t="str">
        <f>Inputs!N88</f>
        <v>-</v>
      </c>
      <c r="O144" s="530" t="str">
        <f>Inputs!O88</f>
        <v>-</v>
      </c>
      <c r="P144" s="530" t="str">
        <f>Inputs!P88</f>
        <v>-</v>
      </c>
      <c r="Q144" s="530" t="str">
        <f>Inputs!Q88</f>
        <v>-</v>
      </c>
      <c r="R144" s="530" t="str">
        <f>Inputs!R88</f>
        <v>-</v>
      </c>
      <c r="S144" s="530" t="str">
        <f>Inputs!S88</f>
        <v>-</v>
      </c>
      <c r="T144" s="530" t="str">
        <f>Inputs!T88</f>
        <v>-</v>
      </c>
      <c r="U144" s="530" t="str">
        <f>Inputs!U88</f>
        <v>-</v>
      </c>
      <c r="V144" s="530" t="str">
        <f>Inputs!V88</f>
        <v>-</v>
      </c>
      <c r="W144" s="530" t="str">
        <f>Inputs!W88</f>
        <v>-</v>
      </c>
      <c r="X144" s="530" t="str">
        <f>Inputs!X88</f>
        <v>-</v>
      </c>
      <c r="Y144" s="530" t="str">
        <f>Inputs!Y88</f>
        <v>-</v>
      </c>
      <c r="Z144" s="530" t="str">
        <f>Inputs!Z88</f>
        <v>-</v>
      </c>
      <c r="AA144" s="530" t="str">
        <f>Inputs!AA88</f>
        <v>-</v>
      </c>
      <c r="AB144" s="530" t="str">
        <f>Inputs!AB88</f>
        <v>-</v>
      </c>
      <c r="AC144" s="530" t="str">
        <f>Inputs!AC88</f>
        <v>-</v>
      </c>
      <c r="AD144" s="530" t="str">
        <f>Inputs!AD88</f>
        <v>-</v>
      </c>
      <c r="AE144" s="530" t="str">
        <f>Inputs!AE88</f>
        <v>-</v>
      </c>
      <c r="AF144" s="530" t="str">
        <f>Inputs!AF88</f>
        <v>-</v>
      </c>
      <c r="AG144" s="530" t="str">
        <f>Inputs!AG88</f>
        <v>-</v>
      </c>
      <c r="AH144" s="530" t="str">
        <f>Inputs!AH88</f>
        <v>-</v>
      </c>
      <c r="AI144" s="530" t="str">
        <f>Inputs!AI88</f>
        <v>-</v>
      </c>
      <c r="AJ144" s="530" t="str">
        <f>Inputs!AJ88</f>
        <v>-</v>
      </c>
      <c r="AK144" s="530" t="str">
        <f>Inputs!AK88</f>
        <v>-</v>
      </c>
      <c r="AL144" s="530" t="str">
        <f>Inputs!AL88</f>
        <v>-</v>
      </c>
      <c r="AM144" s="530" t="str">
        <f>Inputs!AM88</f>
        <v>-</v>
      </c>
      <c r="AN144" s="530" t="str">
        <f>Inputs!AN88</f>
        <v>-</v>
      </c>
      <c r="AO144" s="530" t="str">
        <f>Inputs!AO88</f>
        <v>-</v>
      </c>
      <c r="AP144" s="530" t="str">
        <f>Inputs!AP88</f>
        <v>-</v>
      </c>
      <c r="AQ144" s="530" t="str">
        <f>Inputs!AQ88</f>
        <v>-</v>
      </c>
      <c r="AR144" s="530" t="str">
        <f>Inputs!AR88</f>
        <v>-</v>
      </c>
      <c r="AS144" s="530" t="str">
        <f>Inputs!AS88</f>
        <v>-</v>
      </c>
      <c r="AT144" s="530" t="str">
        <f>Inputs!AT88</f>
        <v>-</v>
      </c>
      <c r="AU144" s="530" t="str">
        <f>Inputs!AU88</f>
        <v>-</v>
      </c>
      <c r="AV144" s="530" t="str">
        <f>Inputs!AV88</f>
        <v>-</v>
      </c>
      <c r="AW144" s="360"/>
    </row>
    <row r="145">
      <c r="A145" s="122"/>
      <c r="B145" s="123"/>
      <c r="C145" s="123"/>
      <c r="D145" s="123"/>
      <c r="E145" s="192" t="s">
        <v>875</v>
      </c>
      <c r="F145" s="193" t="str">
        <f>Inputs!F89</f>
        <v>%</v>
      </c>
      <c r="G145" s="235" t="str">
        <f>Inputs!G89</f>
        <v>input</v>
      </c>
      <c r="H145" s="208">
        <f>Inputs!H89</f>
        <v>0</v>
      </c>
      <c r="I145" s="530" t="str">
        <f>Inputs!I89</f>
        <v>-</v>
      </c>
      <c r="J145" s="530" t="str">
        <f>Inputs!J89</f>
        <v>-</v>
      </c>
      <c r="K145" s="530" t="str">
        <f>Inputs!K89</f>
        <v>-</v>
      </c>
      <c r="L145" s="530" t="str">
        <f>Inputs!L89</f>
        <v>-</v>
      </c>
      <c r="M145" s="530" t="str">
        <f>Inputs!M89</f>
        <v>-</v>
      </c>
      <c r="N145" s="530" t="str">
        <f>Inputs!N89</f>
        <v>-</v>
      </c>
      <c r="O145" s="530" t="str">
        <f>Inputs!O89</f>
        <v>-</v>
      </c>
      <c r="P145" s="530" t="str">
        <f>Inputs!P89</f>
        <v>-</v>
      </c>
      <c r="Q145" s="530" t="str">
        <f>Inputs!Q89</f>
        <v>-</v>
      </c>
      <c r="R145" s="530" t="str">
        <f>Inputs!R89</f>
        <v>-</v>
      </c>
      <c r="S145" s="530" t="str">
        <f>Inputs!S89</f>
        <v>-</v>
      </c>
      <c r="T145" s="530" t="str">
        <f>Inputs!T89</f>
        <v>-</v>
      </c>
      <c r="U145" s="530" t="str">
        <f>Inputs!U89</f>
        <v>-</v>
      </c>
      <c r="V145" s="530" t="str">
        <f>Inputs!V89</f>
        <v>-</v>
      </c>
      <c r="W145" s="530" t="str">
        <f>Inputs!W89</f>
        <v>-</v>
      </c>
      <c r="X145" s="530" t="str">
        <f>Inputs!X89</f>
        <v>-</v>
      </c>
      <c r="Y145" s="530" t="str">
        <f>Inputs!Y89</f>
        <v>-</v>
      </c>
      <c r="Z145" s="530" t="str">
        <f>Inputs!Z89</f>
        <v>-</v>
      </c>
      <c r="AA145" s="530" t="str">
        <f>Inputs!AA89</f>
        <v>-</v>
      </c>
      <c r="AB145" s="530" t="str">
        <f>Inputs!AB89</f>
        <v>-</v>
      </c>
      <c r="AC145" s="530" t="str">
        <f>Inputs!AC89</f>
        <v>-</v>
      </c>
      <c r="AD145" s="530" t="str">
        <f>Inputs!AD89</f>
        <v>-</v>
      </c>
      <c r="AE145" s="530" t="str">
        <f>Inputs!AE89</f>
        <v>-</v>
      </c>
      <c r="AF145" s="530" t="str">
        <f>Inputs!AF89</f>
        <v>-</v>
      </c>
      <c r="AG145" s="530" t="str">
        <f>Inputs!AG89</f>
        <v>-</v>
      </c>
      <c r="AH145" s="530" t="str">
        <f>Inputs!AH89</f>
        <v>-</v>
      </c>
      <c r="AI145" s="530" t="str">
        <f>Inputs!AI89</f>
        <v>-</v>
      </c>
      <c r="AJ145" s="530" t="str">
        <f>Inputs!AJ89</f>
        <v>-</v>
      </c>
      <c r="AK145" s="530" t="str">
        <f>Inputs!AK89</f>
        <v>-</v>
      </c>
      <c r="AL145" s="530" t="str">
        <f>Inputs!AL89</f>
        <v>-</v>
      </c>
      <c r="AM145" s="530" t="str">
        <f>Inputs!AM89</f>
        <v>-</v>
      </c>
      <c r="AN145" s="530" t="str">
        <f>Inputs!AN89</f>
        <v>-</v>
      </c>
      <c r="AO145" s="530" t="str">
        <f>Inputs!AO89</f>
        <v>-</v>
      </c>
      <c r="AP145" s="530" t="str">
        <f>Inputs!AP89</f>
        <v>-</v>
      </c>
      <c r="AQ145" s="530" t="str">
        <f>Inputs!AQ89</f>
        <v>-</v>
      </c>
      <c r="AR145" s="530" t="str">
        <f>Inputs!AR89</f>
        <v>-</v>
      </c>
      <c r="AS145" s="530" t="str">
        <f>Inputs!AS89</f>
        <v>-</v>
      </c>
      <c r="AT145" s="530" t="str">
        <f>Inputs!AT89</f>
        <v>-</v>
      </c>
      <c r="AU145" s="530" t="str">
        <f>Inputs!AU89</f>
        <v>-</v>
      </c>
      <c r="AV145" s="530" t="str">
        <f>Inputs!AV89</f>
        <v>-</v>
      </c>
      <c r="AW145" s="360"/>
    </row>
    <row r="146">
      <c r="A146" s="122"/>
      <c r="B146" s="123"/>
      <c r="C146" s="123"/>
      <c r="D146" s="123"/>
      <c r="E146" s="212" t="s">
        <v>876</v>
      </c>
      <c r="F146" s="213" t="s">
        <v>72</v>
      </c>
      <c r="G146" s="239" t="s">
        <v>161</v>
      </c>
      <c r="H146" s="240" t="s">
        <v>162</v>
      </c>
      <c r="I146" s="241">
        <f t="shared" ref="I146:AV146" si="63">I55*$H$133</f>
        <v>0.2931808001</v>
      </c>
      <c r="J146" s="241">
        <f t="shared" si="63"/>
        <v>0.3493420572</v>
      </c>
      <c r="K146" s="241">
        <f t="shared" si="63"/>
        <v>0.5321041144</v>
      </c>
      <c r="L146" s="241">
        <f t="shared" si="63"/>
        <v>0.5397192001</v>
      </c>
      <c r="M146" s="241">
        <f t="shared" si="63"/>
        <v>0.3855137144</v>
      </c>
      <c r="N146" s="241">
        <f t="shared" si="63"/>
        <v>0.4159740572</v>
      </c>
      <c r="O146" s="241">
        <f t="shared" si="63"/>
        <v>0.6015917716</v>
      </c>
      <c r="P146" s="241">
        <f t="shared" si="63"/>
        <v>0.1818101715</v>
      </c>
      <c r="Q146" s="241">
        <f t="shared" si="63"/>
        <v>0.4378674287</v>
      </c>
      <c r="R146" s="241">
        <f t="shared" si="63"/>
        <v>0.7129624002</v>
      </c>
      <c r="S146" s="241">
        <f t="shared" si="63"/>
        <v>0.583505943</v>
      </c>
      <c r="T146" s="241">
        <f t="shared" si="63"/>
        <v>0.6853577144</v>
      </c>
      <c r="U146" s="241">
        <f t="shared" si="63"/>
        <v>0.6387153144</v>
      </c>
      <c r="V146" s="241">
        <f t="shared" si="63"/>
        <v>0.6320521144</v>
      </c>
      <c r="W146" s="241">
        <f t="shared" si="63"/>
        <v>0.6472822859</v>
      </c>
      <c r="X146" s="241">
        <f t="shared" si="63"/>
        <v>0.3683797715</v>
      </c>
      <c r="Y146" s="241">
        <f t="shared" si="63"/>
        <v>0.7577010287</v>
      </c>
      <c r="Z146" s="241">
        <f t="shared" si="63"/>
        <v>0.696780343</v>
      </c>
      <c r="AA146" s="241">
        <f t="shared" si="63"/>
        <v>0.8785905145</v>
      </c>
      <c r="AB146" s="241">
        <f t="shared" si="63"/>
        <v>0.7596048002</v>
      </c>
      <c r="AC146" s="241">
        <f t="shared" si="63"/>
        <v>0.8995320002</v>
      </c>
      <c r="AD146" s="241">
        <f t="shared" si="63"/>
        <v>0.7577010287</v>
      </c>
      <c r="AE146" s="241">
        <f t="shared" si="63"/>
        <v>0.8519377145</v>
      </c>
      <c r="AF146" s="241">
        <f t="shared" si="63"/>
        <v>0.716769943</v>
      </c>
      <c r="AG146" s="241">
        <f t="shared" si="63"/>
        <v>0.5397192001</v>
      </c>
      <c r="AH146" s="241">
        <f t="shared" si="63"/>
        <v>0.6882133716</v>
      </c>
      <c r="AI146" s="241">
        <f t="shared" si="63"/>
        <v>0.6111106287</v>
      </c>
      <c r="AJ146" s="241">
        <f t="shared" si="63"/>
        <v>0.8214773716</v>
      </c>
      <c r="AK146" s="241">
        <f t="shared" si="63"/>
        <v>0.5387673144</v>
      </c>
      <c r="AL146" s="241">
        <f t="shared" si="63"/>
        <v>0.5197296001</v>
      </c>
      <c r="AM146" s="241">
        <f t="shared" si="63"/>
        <v>0.5197296001</v>
      </c>
      <c r="AN146" s="241">
        <f t="shared" si="63"/>
        <v>0.5197296001</v>
      </c>
      <c r="AO146" s="241">
        <f t="shared" si="63"/>
        <v>0.5330560001</v>
      </c>
      <c r="AP146" s="241">
        <f t="shared" si="63"/>
        <v>0.6282445716</v>
      </c>
      <c r="AQ146" s="241">
        <f t="shared" si="63"/>
        <v>0.7653161144</v>
      </c>
      <c r="AR146" s="241">
        <f t="shared" si="63"/>
        <v>0.5816021716</v>
      </c>
      <c r="AS146" s="241">
        <f t="shared" si="63"/>
        <v>0.6691756573</v>
      </c>
      <c r="AT146" s="241">
        <f t="shared" si="63"/>
        <v>0.8052953145</v>
      </c>
      <c r="AU146" s="241">
        <f t="shared" si="63"/>
        <v>0.6225332573</v>
      </c>
      <c r="AV146" s="241">
        <f t="shared" si="63"/>
        <v>0.6786945144</v>
      </c>
      <c r="AW146" s="363"/>
    </row>
    <row r="147">
      <c r="A147" s="122"/>
      <c r="B147" s="123"/>
      <c r="C147" s="123"/>
      <c r="D147" s="123"/>
      <c r="E147" s="199" t="s">
        <v>877</v>
      </c>
      <c r="F147" s="200" t="s">
        <v>72</v>
      </c>
      <c r="G147" s="273" t="s">
        <v>165</v>
      </c>
      <c r="H147" s="228" t="s">
        <v>162</v>
      </c>
      <c r="I147" s="385">
        <f t="shared" ref="I147:AV147" si="64">I56*$H$133</f>
        <v>0.1028036572</v>
      </c>
      <c r="J147" s="385">
        <f t="shared" si="64"/>
        <v>0.1694356572</v>
      </c>
      <c r="K147" s="385">
        <f t="shared" si="64"/>
        <v>0.3112666286</v>
      </c>
      <c r="L147" s="385">
        <f t="shared" si="64"/>
        <v>0.2941326858</v>
      </c>
      <c r="M147" s="385">
        <f t="shared" si="64"/>
        <v>0.1351677715</v>
      </c>
      <c r="N147" s="385">
        <f t="shared" si="64"/>
        <v>0.2351157715</v>
      </c>
      <c r="O147" s="385">
        <f t="shared" si="64"/>
        <v>0.5225852573</v>
      </c>
      <c r="P147" s="385">
        <f t="shared" si="64"/>
        <v>0.1760988572</v>
      </c>
      <c r="Q147" s="385">
        <f t="shared" si="64"/>
        <v>0.3093628572</v>
      </c>
      <c r="R147" s="385">
        <f t="shared" si="64"/>
        <v>0.5796984001</v>
      </c>
      <c r="S147" s="385">
        <f t="shared" si="64"/>
        <v>0.2903251429</v>
      </c>
      <c r="T147" s="385">
        <f t="shared" si="64"/>
        <v>0.4293004572</v>
      </c>
      <c r="U147" s="385">
        <f t="shared" si="64"/>
        <v>0.616821943</v>
      </c>
      <c r="V147" s="385">
        <f t="shared" si="64"/>
        <v>0.5397192001</v>
      </c>
      <c r="W147" s="385">
        <f t="shared" si="64"/>
        <v>0.3084109715</v>
      </c>
      <c r="X147" s="385">
        <f t="shared" si="64"/>
        <v>0.16658</v>
      </c>
      <c r="Y147" s="385">
        <f t="shared" si="64"/>
        <v>0.5083069715</v>
      </c>
      <c r="Z147" s="385">
        <f t="shared" si="64"/>
        <v>0.4864136001</v>
      </c>
      <c r="AA147" s="385">
        <f t="shared" si="64"/>
        <v>0.6320521144</v>
      </c>
      <c r="AB147" s="385">
        <f t="shared" si="64"/>
        <v>0.4673758858</v>
      </c>
      <c r="AC147" s="385">
        <f t="shared" si="64"/>
        <v>0.623485143</v>
      </c>
      <c r="AD147" s="385">
        <f t="shared" si="64"/>
        <v>0.623485143</v>
      </c>
      <c r="AE147" s="385">
        <f t="shared" si="64"/>
        <v>0.4407230858</v>
      </c>
      <c r="AF147" s="385">
        <f t="shared" si="64"/>
        <v>0.3855137144</v>
      </c>
      <c r="AG147" s="385">
        <f t="shared" si="64"/>
        <v>0.2941326858</v>
      </c>
      <c r="AH147" s="385">
        <f t="shared" si="64"/>
        <v>0.543526743</v>
      </c>
      <c r="AI147" s="385">
        <f t="shared" si="64"/>
        <v>0.3236411429</v>
      </c>
      <c r="AJ147" s="385">
        <f t="shared" si="64"/>
        <v>0.6425228573</v>
      </c>
      <c r="AK147" s="385">
        <f t="shared" si="64"/>
        <v>0.2551053715</v>
      </c>
      <c r="AL147" s="385">
        <f t="shared" si="64"/>
        <v>0.1903771429</v>
      </c>
      <c r="AM147" s="385">
        <f t="shared" si="64"/>
        <v>0.1903771429</v>
      </c>
      <c r="AN147" s="385">
        <f t="shared" si="64"/>
        <v>0.1903771429</v>
      </c>
      <c r="AO147" s="385">
        <f t="shared" si="64"/>
        <v>0.3950325715</v>
      </c>
      <c r="AP147" s="385">
        <f t="shared" si="64"/>
        <v>0.4730872001</v>
      </c>
      <c r="AQ147" s="385">
        <f t="shared" si="64"/>
        <v>0.5159220573</v>
      </c>
      <c r="AR147" s="385">
        <f t="shared" si="64"/>
        <v>0.4216853715</v>
      </c>
      <c r="AS147" s="385">
        <f t="shared" si="64"/>
        <v>0.2474902858</v>
      </c>
      <c r="AT147" s="385">
        <f t="shared" si="64"/>
        <v>0.510210743</v>
      </c>
      <c r="AU147" s="385">
        <f t="shared" si="64"/>
        <v>0.3674278858</v>
      </c>
      <c r="AV147" s="385">
        <f t="shared" si="64"/>
        <v>0.4607126858</v>
      </c>
      <c r="AW147" s="345"/>
    </row>
    <row r="148">
      <c r="A148" s="122"/>
      <c r="B148" s="123"/>
      <c r="C148" s="123"/>
      <c r="D148" s="123"/>
      <c r="E148" s="124"/>
      <c r="F148" s="125"/>
      <c r="G148" s="126"/>
      <c r="H148" s="127"/>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143" t="s">
        <v>759</v>
      </c>
      <c r="F149" s="125"/>
      <c r="G149" s="125"/>
      <c r="H149" s="127"/>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397"/>
      <c r="D150" s="397"/>
      <c r="E150" s="254" t="s">
        <v>760</v>
      </c>
      <c r="F150" s="356" t="str">
        <f>Inputs!F96</f>
        <v>%</v>
      </c>
      <c r="G150" s="356" t="str">
        <f>Inputs!G96</f>
        <v>input</v>
      </c>
      <c r="H150" s="255">
        <f>Inputs!H96</f>
        <v>0.35</v>
      </c>
      <c r="I150" s="509" t="str">
        <f>Inputs!I96</f>
        <v>-</v>
      </c>
      <c r="J150" s="509" t="str">
        <f>Inputs!J96</f>
        <v>-</v>
      </c>
      <c r="K150" s="509" t="str">
        <f>Inputs!K96</f>
        <v>-</v>
      </c>
      <c r="L150" s="509" t="str">
        <f>Inputs!L96</f>
        <v>-</v>
      </c>
      <c r="M150" s="509" t="str">
        <f>Inputs!M96</f>
        <v>-</v>
      </c>
      <c r="N150" s="509" t="str">
        <f>Inputs!N96</f>
        <v>-</v>
      </c>
      <c r="O150" s="509" t="str">
        <f>Inputs!O96</f>
        <v>-</v>
      </c>
      <c r="P150" s="509" t="str">
        <f>Inputs!P96</f>
        <v>-</v>
      </c>
      <c r="Q150" s="509" t="str">
        <f>Inputs!Q96</f>
        <v>-</v>
      </c>
      <c r="R150" s="509" t="str">
        <f>Inputs!R96</f>
        <v>-</v>
      </c>
      <c r="S150" s="509" t="str">
        <f>Inputs!S96</f>
        <v>-</v>
      </c>
      <c r="T150" s="509" t="str">
        <f>Inputs!T96</f>
        <v>-</v>
      </c>
      <c r="U150" s="509" t="str">
        <f>Inputs!U96</f>
        <v>-</v>
      </c>
      <c r="V150" s="509" t="str">
        <f>Inputs!V96</f>
        <v>-</v>
      </c>
      <c r="W150" s="509" t="str">
        <f>Inputs!W96</f>
        <v>-</v>
      </c>
      <c r="X150" s="509" t="str">
        <f>Inputs!X96</f>
        <v>-</v>
      </c>
      <c r="Y150" s="509" t="str">
        <f>Inputs!Y96</f>
        <v>-</v>
      </c>
      <c r="Z150" s="509" t="str">
        <f>Inputs!Z96</f>
        <v>-</v>
      </c>
      <c r="AA150" s="509" t="str">
        <f>Inputs!AA96</f>
        <v>-</v>
      </c>
      <c r="AB150" s="509" t="str">
        <f>Inputs!AB96</f>
        <v>-</v>
      </c>
      <c r="AC150" s="509" t="str">
        <f>Inputs!AC96</f>
        <v>-</v>
      </c>
      <c r="AD150" s="509" t="str">
        <f>Inputs!AD96</f>
        <v>-</v>
      </c>
      <c r="AE150" s="509" t="str">
        <f>Inputs!AE96</f>
        <v>-</v>
      </c>
      <c r="AF150" s="509" t="str">
        <f>Inputs!AF96</f>
        <v>-</v>
      </c>
      <c r="AG150" s="509" t="str">
        <f>Inputs!AG96</f>
        <v>-</v>
      </c>
      <c r="AH150" s="509" t="str">
        <f>Inputs!AH96</f>
        <v>-</v>
      </c>
      <c r="AI150" s="509" t="str">
        <f>Inputs!AI96</f>
        <v>-</v>
      </c>
      <c r="AJ150" s="509" t="str">
        <f>Inputs!AJ96</f>
        <v>-</v>
      </c>
      <c r="AK150" s="509" t="str">
        <f>Inputs!AK96</f>
        <v>-</v>
      </c>
      <c r="AL150" s="509" t="str">
        <f>Inputs!AL96</f>
        <v>-</v>
      </c>
      <c r="AM150" s="509" t="str">
        <f>Inputs!AM96</f>
        <v>-</v>
      </c>
      <c r="AN150" s="509" t="str">
        <f>Inputs!AN96</f>
        <v>-</v>
      </c>
      <c r="AO150" s="509" t="str">
        <f>Inputs!AO96</f>
        <v>-</v>
      </c>
      <c r="AP150" s="509" t="str">
        <f>Inputs!AP96</f>
        <v>-</v>
      </c>
      <c r="AQ150" s="509" t="str">
        <f>Inputs!AQ96</f>
        <v>-</v>
      </c>
      <c r="AR150" s="509" t="str">
        <f>Inputs!AR96</f>
        <v>-</v>
      </c>
      <c r="AS150" s="509" t="str">
        <f>Inputs!AS96</f>
        <v>-</v>
      </c>
      <c r="AT150" s="509" t="str">
        <f>Inputs!AT96</f>
        <v>-</v>
      </c>
      <c r="AU150" s="509" t="str">
        <f>Inputs!AU96</f>
        <v>-</v>
      </c>
      <c r="AV150" s="509" t="str">
        <f>Inputs!AV96</f>
        <v>-</v>
      </c>
      <c r="AW150" s="256"/>
    </row>
    <row r="151">
      <c r="A151" s="122"/>
      <c r="B151" s="123"/>
      <c r="C151" s="397"/>
      <c r="D151" s="397"/>
      <c r="E151" s="257" t="s">
        <v>761</v>
      </c>
      <c r="F151" s="395" t="str">
        <f>Inputs!F97</f>
        <v>%</v>
      </c>
      <c r="G151" s="395" t="str">
        <f>Inputs!G97</f>
        <v>input</v>
      </c>
      <c r="H151" s="258">
        <f>Inputs!H97</f>
        <v>0.55</v>
      </c>
      <c r="I151" s="512" t="str">
        <f>Inputs!I97</f>
        <v>-</v>
      </c>
      <c r="J151" s="512" t="str">
        <f>Inputs!J97</f>
        <v>-</v>
      </c>
      <c r="K151" s="512" t="str">
        <f>Inputs!K97</f>
        <v>-</v>
      </c>
      <c r="L151" s="512" t="str">
        <f>Inputs!L97</f>
        <v>-</v>
      </c>
      <c r="M151" s="512" t="str">
        <f>Inputs!M97</f>
        <v>-</v>
      </c>
      <c r="N151" s="512" t="str">
        <f>Inputs!N97</f>
        <v>-</v>
      </c>
      <c r="O151" s="512" t="str">
        <f>Inputs!O97</f>
        <v>-</v>
      </c>
      <c r="P151" s="512" t="str">
        <f>Inputs!P97</f>
        <v>-</v>
      </c>
      <c r="Q151" s="512" t="str">
        <f>Inputs!Q97</f>
        <v>-</v>
      </c>
      <c r="R151" s="512" t="str">
        <f>Inputs!R97</f>
        <v>-</v>
      </c>
      <c r="S151" s="512" t="str">
        <f>Inputs!S97</f>
        <v>-</v>
      </c>
      <c r="T151" s="512" t="str">
        <f>Inputs!T97</f>
        <v>-</v>
      </c>
      <c r="U151" s="512" t="str">
        <f>Inputs!U97</f>
        <v>-</v>
      </c>
      <c r="V151" s="512" t="str">
        <f>Inputs!V97</f>
        <v>-</v>
      </c>
      <c r="W151" s="512" t="str">
        <f>Inputs!W97</f>
        <v>-</v>
      </c>
      <c r="X151" s="512" t="str">
        <f>Inputs!X97</f>
        <v>-</v>
      </c>
      <c r="Y151" s="512" t="str">
        <f>Inputs!Y97</f>
        <v>-</v>
      </c>
      <c r="Z151" s="512" t="str">
        <f>Inputs!Z97</f>
        <v>-</v>
      </c>
      <c r="AA151" s="512" t="str">
        <f>Inputs!AA97</f>
        <v>-</v>
      </c>
      <c r="AB151" s="512" t="str">
        <f>Inputs!AB97</f>
        <v>-</v>
      </c>
      <c r="AC151" s="512" t="str">
        <f>Inputs!AC97</f>
        <v>-</v>
      </c>
      <c r="AD151" s="512" t="str">
        <f>Inputs!AD97</f>
        <v>-</v>
      </c>
      <c r="AE151" s="512" t="str">
        <f>Inputs!AE97</f>
        <v>-</v>
      </c>
      <c r="AF151" s="512" t="str">
        <f>Inputs!AF97</f>
        <v>-</v>
      </c>
      <c r="AG151" s="512" t="str">
        <f>Inputs!AG97</f>
        <v>-</v>
      </c>
      <c r="AH151" s="512" t="str">
        <f>Inputs!AH97</f>
        <v>-</v>
      </c>
      <c r="AI151" s="512" t="str">
        <f>Inputs!AI97</f>
        <v>-</v>
      </c>
      <c r="AJ151" s="512" t="str">
        <f>Inputs!AJ97</f>
        <v>-</v>
      </c>
      <c r="AK151" s="512" t="str">
        <f>Inputs!AK97</f>
        <v>-</v>
      </c>
      <c r="AL151" s="512" t="str">
        <f>Inputs!AL97</f>
        <v>-</v>
      </c>
      <c r="AM151" s="509" t="str">
        <f>Inputs!AM97</f>
        <v>-</v>
      </c>
      <c r="AN151" s="509" t="str">
        <f>Inputs!AN97</f>
        <v>-</v>
      </c>
      <c r="AO151" s="512" t="str">
        <f>Inputs!AO97</f>
        <v>-</v>
      </c>
      <c r="AP151" s="512" t="str">
        <f>Inputs!AP97</f>
        <v>-</v>
      </c>
      <c r="AQ151" s="512" t="str">
        <f>Inputs!AQ97</f>
        <v>-</v>
      </c>
      <c r="AR151" s="512" t="str">
        <f>Inputs!AR97</f>
        <v>-</v>
      </c>
      <c r="AS151" s="512" t="str">
        <f>Inputs!AS97</f>
        <v>-</v>
      </c>
      <c r="AT151" s="512" t="str">
        <f>Inputs!AT97</f>
        <v>-</v>
      </c>
      <c r="AU151" s="512" t="str">
        <f>Inputs!AU97</f>
        <v>-</v>
      </c>
      <c r="AV151" s="512" t="str">
        <f>Inputs!AV97</f>
        <v>-</v>
      </c>
      <c r="AW151" s="259"/>
    </row>
    <row r="152">
      <c r="A152" s="122"/>
      <c r="B152" s="123"/>
      <c r="C152" s="397"/>
      <c r="D152" s="397"/>
      <c r="E152" s="257" t="s">
        <v>762</v>
      </c>
      <c r="F152" s="395" t="str">
        <f>Inputs!F98</f>
        <v>%</v>
      </c>
      <c r="G152" s="395" t="str">
        <f>Inputs!G98</f>
        <v>input</v>
      </c>
      <c r="H152" s="258">
        <f>Inputs!H98</f>
        <v>0.1</v>
      </c>
      <c r="I152" s="512" t="str">
        <f>Inputs!I98</f>
        <v>-</v>
      </c>
      <c r="J152" s="512" t="str">
        <f>Inputs!J98</f>
        <v>-</v>
      </c>
      <c r="K152" s="512" t="str">
        <f>Inputs!K98</f>
        <v>-</v>
      </c>
      <c r="L152" s="512" t="str">
        <f>Inputs!L98</f>
        <v>-</v>
      </c>
      <c r="M152" s="512" t="str">
        <f>Inputs!M98</f>
        <v>-</v>
      </c>
      <c r="N152" s="512" t="str">
        <f>Inputs!N98</f>
        <v>-</v>
      </c>
      <c r="O152" s="512" t="str">
        <f>Inputs!O98</f>
        <v>-</v>
      </c>
      <c r="P152" s="512" t="str">
        <f>Inputs!P98</f>
        <v>-</v>
      </c>
      <c r="Q152" s="512" t="str">
        <f>Inputs!Q98</f>
        <v>-</v>
      </c>
      <c r="R152" s="512" t="str">
        <f>Inputs!R98</f>
        <v>-</v>
      </c>
      <c r="S152" s="512" t="str">
        <f>Inputs!S98</f>
        <v>-</v>
      </c>
      <c r="T152" s="512" t="str">
        <f>Inputs!T98</f>
        <v>-</v>
      </c>
      <c r="U152" s="512" t="str">
        <f>Inputs!U98</f>
        <v>-</v>
      </c>
      <c r="V152" s="512" t="str">
        <f>Inputs!V98</f>
        <v>-</v>
      </c>
      <c r="W152" s="512" t="str">
        <f>Inputs!W98</f>
        <v>-</v>
      </c>
      <c r="X152" s="512" t="str">
        <f>Inputs!X98</f>
        <v>-</v>
      </c>
      <c r="Y152" s="512" t="str">
        <f>Inputs!Y98</f>
        <v>-</v>
      </c>
      <c r="Z152" s="512" t="str">
        <f>Inputs!Z98</f>
        <v>-</v>
      </c>
      <c r="AA152" s="512" t="str">
        <f>Inputs!AA98</f>
        <v>-</v>
      </c>
      <c r="AB152" s="512" t="str">
        <f>Inputs!AB98</f>
        <v>-</v>
      </c>
      <c r="AC152" s="512" t="str">
        <f>Inputs!AC98</f>
        <v>-</v>
      </c>
      <c r="AD152" s="512" t="str">
        <f>Inputs!AD98</f>
        <v>-</v>
      </c>
      <c r="AE152" s="512" t="str">
        <f>Inputs!AE98</f>
        <v>-</v>
      </c>
      <c r="AF152" s="512" t="str">
        <f>Inputs!AF98</f>
        <v>-</v>
      </c>
      <c r="AG152" s="512" t="str">
        <f>Inputs!AG98</f>
        <v>-</v>
      </c>
      <c r="AH152" s="512" t="str">
        <f>Inputs!AH98</f>
        <v>-</v>
      </c>
      <c r="AI152" s="512" t="str">
        <f>Inputs!AI98</f>
        <v>-</v>
      </c>
      <c r="AJ152" s="512" t="str">
        <f>Inputs!AJ98</f>
        <v>-</v>
      </c>
      <c r="AK152" s="512" t="str">
        <f>Inputs!AK98</f>
        <v>-</v>
      </c>
      <c r="AL152" s="512" t="str">
        <f>Inputs!AL98</f>
        <v>-</v>
      </c>
      <c r="AM152" s="509" t="str">
        <f>Inputs!AM98</f>
        <v>-</v>
      </c>
      <c r="AN152" s="509" t="str">
        <f>Inputs!AN98</f>
        <v>-</v>
      </c>
      <c r="AO152" s="512" t="str">
        <f>Inputs!AO98</f>
        <v>-</v>
      </c>
      <c r="AP152" s="512" t="str">
        <f>Inputs!AP98</f>
        <v>-</v>
      </c>
      <c r="AQ152" s="512" t="str">
        <f>Inputs!AQ98</f>
        <v>-</v>
      </c>
      <c r="AR152" s="512" t="str">
        <f>Inputs!AR98</f>
        <v>-</v>
      </c>
      <c r="AS152" s="512" t="str">
        <f>Inputs!AS98</f>
        <v>-</v>
      </c>
      <c r="AT152" s="512" t="str">
        <f>Inputs!AT98</f>
        <v>-</v>
      </c>
      <c r="AU152" s="512" t="str">
        <f>Inputs!AU98</f>
        <v>-</v>
      </c>
      <c r="AV152" s="512" t="str">
        <f>Inputs!AV98</f>
        <v>-</v>
      </c>
      <c r="AW152" s="259"/>
    </row>
    <row r="153">
      <c r="A153" s="122"/>
      <c r="B153" s="123"/>
      <c r="C153" s="397"/>
      <c r="D153" s="397"/>
      <c r="E153" s="257" t="s">
        <v>763</v>
      </c>
      <c r="F153" s="395" t="str">
        <f>Inputs!F99</f>
        <v>%</v>
      </c>
      <c r="G153" s="395" t="str">
        <f>Inputs!G99</f>
        <v>input</v>
      </c>
      <c r="H153" s="258">
        <f>Inputs!H99</f>
        <v>0.35</v>
      </c>
      <c r="I153" s="512" t="str">
        <f>Inputs!I99</f>
        <v>-</v>
      </c>
      <c r="J153" s="512" t="str">
        <f>Inputs!J99</f>
        <v>-</v>
      </c>
      <c r="K153" s="512" t="str">
        <f>Inputs!K99</f>
        <v>-</v>
      </c>
      <c r="L153" s="512" t="str">
        <f>Inputs!L99</f>
        <v>-</v>
      </c>
      <c r="M153" s="512" t="str">
        <f>Inputs!M99</f>
        <v>-</v>
      </c>
      <c r="N153" s="512" t="str">
        <f>Inputs!N99</f>
        <v>-</v>
      </c>
      <c r="O153" s="512" t="str">
        <f>Inputs!O99</f>
        <v>-</v>
      </c>
      <c r="P153" s="512" t="str">
        <f>Inputs!P99</f>
        <v>-</v>
      </c>
      <c r="Q153" s="512" t="str">
        <f>Inputs!Q99</f>
        <v>-</v>
      </c>
      <c r="R153" s="512" t="str">
        <f>Inputs!R99</f>
        <v>-</v>
      </c>
      <c r="S153" s="512" t="str">
        <f>Inputs!S99</f>
        <v>-</v>
      </c>
      <c r="T153" s="512" t="str">
        <f>Inputs!T99</f>
        <v>-</v>
      </c>
      <c r="U153" s="512" t="str">
        <f>Inputs!U99</f>
        <v>-</v>
      </c>
      <c r="V153" s="512" t="str">
        <f>Inputs!V99</f>
        <v>-</v>
      </c>
      <c r="W153" s="512" t="str">
        <f>Inputs!W99</f>
        <v>-</v>
      </c>
      <c r="X153" s="512" t="str">
        <f>Inputs!X99</f>
        <v>-</v>
      </c>
      <c r="Y153" s="512" t="str">
        <f>Inputs!Y99</f>
        <v>-</v>
      </c>
      <c r="Z153" s="512" t="str">
        <f>Inputs!Z99</f>
        <v>-</v>
      </c>
      <c r="AA153" s="512" t="str">
        <f>Inputs!AA99</f>
        <v>-</v>
      </c>
      <c r="AB153" s="512" t="str">
        <f>Inputs!AB99</f>
        <v>-</v>
      </c>
      <c r="AC153" s="512" t="str">
        <f>Inputs!AC99</f>
        <v>-</v>
      </c>
      <c r="AD153" s="512" t="str">
        <f>Inputs!AD99</f>
        <v>-</v>
      </c>
      <c r="AE153" s="512" t="str">
        <f>Inputs!AE99</f>
        <v>-</v>
      </c>
      <c r="AF153" s="512" t="str">
        <f>Inputs!AF99</f>
        <v>-</v>
      </c>
      <c r="AG153" s="512" t="str">
        <f>Inputs!AG99</f>
        <v>-</v>
      </c>
      <c r="AH153" s="512" t="str">
        <f>Inputs!AH99</f>
        <v>-</v>
      </c>
      <c r="AI153" s="512" t="str">
        <f>Inputs!AI99</f>
        <v>-</v>
      </c>
      <c r="AJ153" s="512" t="str">
        <f>Inputs!AJ99</f>
        <v>-</v>
      </c>
      <c r="AK153" s="512" t="str">
        <f>Inputs!AK99</f>
        <v>-</v>
      </c>
      <c r="AL153" s="512" t="str">
        <f>Inputs!AL99</f>
        <v>-</v>
      </c>
      <c r="AM153" s="509" t="str">
        <f>Inputs!AM99</f>
        <v>-</v>
      </c>
      <c r="AN153" s="509" t="str">
        <f>Inputs!AN99</f>
        <v>-</v>
      </c>
      <c r="AO153" s="512" t="str">
        <f>Inputs!AO99</f>
        <v>-</v>
      </c>
      <c r="AP153" s="512" t="str">
        <f>Inputs!AP99</f>
        <v>-</v>
      </c>
      <c r="AQ153" s="512" t="str">
        <f>Inputs!AQ99</f>
        <v>-</v>
      </c>
      <c r="AR153" s="512" t="str">
        <f>Inputs!AR99</f>
        <v>-</v>
      </c>
      <c r="AS153" s="512" t="str">
        <f>Inputs!AS99</f>
        <v>-</v>
      </c>
      <c r="AT153" s="512" t="str">
        <f>Inputs!AT99</f>
        <v>-</v>
      </c>
      <c r="AU153" s="512" t="str">
        <f>Inputs!AU99</f>
        <v>-</v>
      </c>
      <c r="AV153" s="512" t="str">
        <f>Inputs!AV99</f>
        <v>-</v>
      </c>
      <c r="AW153" s="259"/>
    </row>
    <row r="154">
      <c r="A154" s="122"/>
      <c r="B154" s="123"/>
      <c r="C154" s="397"/>
      <c r="D154" s="397"/>
      <c r="E154" s="257" t="s">
        <v>764</v>
      </c>
      <c r="F154" s="395" t="str">
        <f>Inputs!F100</f>
        <v>%</v>
      </c>
      <c r="G154" s="395" t="str">
        <f>Inputs!G100</f>
        <v>input</v>
      </c>
      <c r="H154" s="258">
        <f>Inputs!H100</f>
        <v>0.55</v>
      </c>
      <c r="I154" s="512" t="str">
        <f>Inputs!I100</f>
        <v>-</v>
      </c>
      <c r="J154" s="512" t="str">
        <f>Inputs!J100</f>
        <v>-</v>
      </c>
      <c r="K154" s="512" t="str">
        <f>Inputs!K100</f>
        <v>-</v>
      </c>
      <c r="L154" s="512" t="str">
        <f>Inputs!L100</f>
        <v>-</v>
      </c>
      <c r="M154" s="512" t="str">
        <f>Inputs!M100</f>
        <v>-</v>
      </c>
      <c r="N154" s="512" t="str">
        <f>Inputs!N100</f>
        <v>-</v>
      </c>
      <c r="O154" s="512" t="str">
        <f>Inputs!O100</f>
        <v>-</v>
      </c>
      <c r="P154" s="512" t="str">
        <f>Inputs!P100</f>
        <v>-</v>
      </c>
      <c r="Q154" s="512" t="str">
        <f>Inputs!Q100</f>
        <v>-</v>
      </c>
      <c r="R154" s="512" t="str">
        <f>Inputs!R100</f>
        <v>-</v>
      </c>
      <c r="S154" s="512" t="str">
        <f>Inputs!S100</f>
        <v>-</v>
      </c>
      <c r="T154" s="512" t="str">
        <f>Inputs!T100</f>
        <v>-</v>
      </c>
      <c r="U154" s="512" t="str">
        <f>Inputs!U100</f>
        <v>-</v>
      </c>
      <c r="V154" s="512" t="str">
        <f>Inputs!V100</f>
        <v>-</v>
      </c>
      <c r="W154" s="512" t="str">
        <f>Inputs!W100</f>
        <v>-</v>
      </c>
      <c r="X154" s="512" t="str">
        <f>Inputs!X100</f>
        <v>-</v>
      </c>
      <c r="Y154" s="512" t="str">
        <f>Inputs!Y100</f>
        <v>-</v>
      </c>
      <c r="Z154" s="512" t="str">
        <f>Inputs!Z100</f>
        <v>-</v>
      </c>
      <c r="AA154" s="512" t="str">
        <f>Inputs!AA100</f>
        <v>-</v>
      </c>
      <c r="AB154" s="512" t="str">
        <f>Inputs!AB100</f>
        <v>-</v>
      </c>
      <c r="AC154" s="512" t="str">
        <f>Inputs!AC100</f>
        <v>-</v>
      </c>
      <c r="AD154" s="512" t="str">
        <f>Inputs!AD100</f>
        <v>-</v>
      </c>
      <c r="AE154" s="512" t="str">
        <f>Inputs!AE100</f>
        <v>-</v>
      </c>
      <c r="AF154" s="512" t="str">
        <f>Inputs!AF100</f>
        <v>-</v>
      </c>
      <c r="AG154" s="512" t="str">
        <f>Inputs!AG100</f>
        <v>-</v>
      </c>
      <c r="AH154" s="512" t="str">
        <f>Inputs!AH100</f>
        <v>-</v>
      </c>
      <c r="AI154" s="512" t="str">
        <f>Inputs!AI100</f>
        <v>-</v>
      </c>
      <c r="AJ154" s="512" t="str">
        <f>Inputs!AJ100</f>
        <v>-</v>
      </c>
      <c r="AK154" s="512" t="str">
        <f>Inputs!AK100</f>
        <v>-</v>
      </c>
      <c r="AL154" s="512" t="str">
        <f>Inputs!AL100</f>
        <v>-</v>
      </c>
      <c r="AM154" s="509" t="str">
        <f>Inputs!AM100</f>
        <v>-</v>
      </c>
      <c r="AN154" s="509" t="str">
        <f>Inputs!AN100</f>
        <v>-</v>
      </c>
      <c r="AO154" s="512" t="str">
        <f>Inputs!AO100</f>
        <v>-</v>
      </c>
      <c r="AP154" s="512" t="str">
        <f>Inputs!AP100</f>
        <v>-</v>
      </c>
      <c r="AQ154" s="512" t="str">
        <f>Inputs!AQ100</f>
        <v>-</v>
      </c>
      <c r="AR154" s="512" t="str">
        <f>Inputs!AR100</f>
        <v>-</v>
      </c>
      <c r="AS154" s="512" t="str">
        <f>Inputs!AS100</f>
        <v>-</v>
      </c>
      <c r="AT154" s="512" t="str">
        <f>Inputs!AT100</f>
        <v>-</v>
      </c>
      <c r="AU154" s="512" t="str">
        <f>Inputs!AU100</f>
        <v>-</v>
      </c>
      <c r="AV154" s="512" t="str">
        <f>Inputs!AV100</f>
        <v>-</v>
      </c>
      <c r="AW154" s="259"/>
    </row>
    <row r="155">
      <c r="A155" s="122"/>
      <c r="B155" s="123"/>
      <c r="C155" s="397"/>
      <c r="D155" s="397"/>
      <c r="E155" s="257" t="s">
        <v>765</v>
      </c>
      <c r="F155" s="395" t="str">
        <f>Inputs!F101</f>
        <v>%</v>
      </c>
      <c r="G155" s="395" t="str">
        <f>Inputs!G101</f>
        <v>input</v>
      </c>
      <c r="H155" s="258">
        <f>Inputs!H101</f>
        <v>0.1</v>
      </c>
      <c r="I155" s="512" t="str">
        <f>Inputs!I101</f>
        <v>-</v>
      </c>
      <c r="J155" s="512" t="str">
        <f>Inputs!J101</f>
        <v>-</v>
      </c>
      <c r="K155" s="512" t="str">
        <f>Inputs!K101</f>
        <v>-</v>
      </c>
      <c r="L155" s="512" t="str">
        <f>Inputs!L101</f>
        <v>-</v>
      </c>
      <c r="M155" s="512" t="str">
        <f>Inputs!M101</f>
        <v>-</v>
      </c>
      <c r="N155" s="512" t="str">
        <f>Inputs!N101</f>
        <v>-</v>
      </c>
      <c r="O155" s="512" t="str">
        <f>Inputs!O101</f>
        <v>-</v>
      </c>
      <c r="P155" s="512" t="str">
        <f>Inputs!P101</f>
        <v>-</v>
      </c>
      <c r="Q155" s="512" t="str">
        <f>Inputs!Q101</f>
        <v>-</v>
      </c>
      <c r="R155" s="512" t="str">
        <f>Inputs!R101</f>
        <v>-</v>
      </c>
      <c r="S155" s="512" t="str">
        <f>Inputs!S101</f>
        <v>-</v>
      </c>
      <c r="T155" s="512" t="str">
        <f>Inputs!T101</f>
        <v>-</v>
      </c>
      <c r="U155" s="512" t="str">
        <f>Inputs!U101</f>
        <v>-</v>
      </c>
      <c r="V155" s="512" t="str">
        <f>Inputs!V101</f>
        <v>-</v>
      </c>
      <c r="W155" s="512" t="str">
        <f>Inputs!W101</f>
        <v>-</v>
      </c>
      <c r="X155" s="512" t="str">
        <f>Inputs!X101</f>
        <v>-</v>
      </c>
      <c r="Y155" s="512" t="str">
        <f>Inputs!Y101</f>
        <v>-</v>
      </c>
      <c r="Z155" s="512" t="str">
        <f>Inputs!Z101</f>
        <v>-</v>
      </c>
      <c r="AA155" s="512" t="str">
        <f>Inputs!AA101</f>
        <v>-</v>
      </c>
      <c r="AB155" s="512" t="str">
        <f>Inputs!AB101</f>
        <v>-</v>
      </c>
      <c r="AC155" s="512" t="str">
        <f>Inputs!AC101</f>
        <v>-</v>
      </c>
      <c r="AD155" s="512" t="str">
        <f>Inputs!AD101</f>
        <v>-</v>
      </c>
      <c r="AE155" s="512" t="str">
        <f>Inputs!AE101</f>
        <v>-</v>
      </c>
      <c r="AF155" s="512" t="str">
        <f>Inputs!AF101</f>
        <v>-</v>
      </c>
      <c r="AG155" s="512" t="str">
        <f>Inputs!AG101</f>
        <v>-</v>
      </c>
      <c r="AH155" s="512" t="str">
        <f>Inputs!AH101</f>
        <v>-</v>
      </c>
      <c r="AI155" s="512" t="str">
        <f>Inputs!AI101</f>
        <v>-</v>
      </c>
      <c r="AJ155" s="512" t="str">
        <f>Inputs!AJ101</f>
        <v>-</v>
      </c>
      <c r="AK155" s="512" t="str">
        <f>Inputs!AK101</f>
        <v>-</v>
      </c>
      <c r="AL155" s="512" t="str">
        <f>Inputs!AL101</f>
        <v>-</v>
      </c>
      <c r="AM155" s="509" t="str">
        <f>Inputs!AM101</f>
        <v>-</v>
      </c>
      <c r="AN155" s="509" t="str">
        <f>Inputs!AN101</f>
        <v>-</v>
      </c>
      <c r="AO155" s="512" t="str">
        <f>Inputs!AO101</f>
        <v>-</v>
      </c>
      <c r="AP155" s="512" t="str">
        <f>Inputs!AP101</f>
        <v>-</v>
      </c>
      <c r="AQ155" s="512" t="str">
        <f>Inputs!AQ101</f>
        <v>-</v>
      </c>
      <c r="AR155" s="512" t="str">
        <f>Inputs!AR101</f>
        <v>-</v>
      </c>
      <c r="AS155" s="512" t="str">
        <f>Inputs!AS101</f>
        <v>-</v>
      </c>
      <c r="AT155" s="512" t="str">
        <f>Inputs!AT101</f>
        <v>-</v>
      </c>
      <c r="AU155" s="512" t="str">
        <f>Inputs!AU101</f>
        <v>-</v>
      </c>
      <c r="AV155" s="512" t="str">
        <f>Inputs!AV101</f>
        <v>-</v>
      </c>
      <c r="AW155" s="259"/>
    </row>
    <row r="156">
      <c r="A156" s="122"/>
      <c r="B156" s="123"/>
      <c r="C156" s="397"/>
      <c r="D156" s="397"/>
      <c r="E156" s="257" t="s">
        <v>766</v>
      </c>
      <c r="F156" s="395" t="str">
        <f>Inputs!F102</f>
        <v>%</v>
      </c>
      <c r="G156" s="395" t="str">
        <f>Inputs!G102</f>
        <v>input</v>
      </c>
      <c r="H156" s="258">
        <f>Inputs!H102</f>
        <v>0.75</v>
      </c>
      <c r="I156" s="512" t="str">
        <f>Inputs!I102</f>
        <v>-</v>
      </c>
      <c r="J156" s="512" t="str">
        <f>Inputs!J102</f>
        <v>-</v>
      </c>
      <c r="K156" s="512" t="str">
        <f>Inputs!K102</f>
        <v>-</v>
      </c>
      <c r="L156" s="512" t="str">
        <f>Inputs!L102</f>
        <v>-</v>
      </c>
      <c r="M156" s="512" t="str">
        <f>Inputs!M102</f>
        <v>-</v>
      </c>
      <c r="N156" s="512" t="str">
        <f>Inputs!N102</f>
        <v>-</v>
      </c>
      <c r="O156" s="512" t="str">
        <f>Inputs!O102</f>
        <v>-</v>
      </c>
      <c r="P156" s="512" t="str">
        <f>Inputs!P102</f>
        <v>-</v>
      </c>
      <c r="Q156" s="512" t="str">
        <f>Inputs!Q102</f>
        <v>-</v>
      </c>
      <c r="R156" s="512" t="str">
        <f>Inputs!R102</f>
        <v>-</v>
      </c>
      <c r="S156" s="512" t="str">
        <f>Inputs!S102</f>
        <v>-</v>
      </c>
      <c r="T156" s="512" t="str">
        <f>Inputs!T102</f>
        <v>-</v>
      </c>
      <c r="U156" s="512" t="str">
        <f>Inputs!U102</f>
        <v>-</v>
      </c>
      <c r="V156" s="512" t="str">
        <f>Inputs!V102</f>
        <v>-</v>
      </c>
      <c r="W156" s="512" t="str">
        <f>Inputs!W102</f>
        <v>-</v>
      </c>
      <c r="X156" s="512" t="str">
        <f>Inputs!X102</f>
        <v>-</v>
      </c>
      <c r="Y156" s="512" t="str">
        <f>Inputs!Y102</f>
        <v>-</v>
      </c>
      <c r="Z156" s="512" t="str">
        <f>Inputs!Z102</f>
        <v>-</v>
      </c>
      <c r="AA156" s="512" t="str">
        <f>Inputs!AA102</f>
        <v>-</v>
      </c>
      <c r="AB156" s="512" t="str">
        <f>Inputs!AB102</f>
        <v>-</v>
      </c>
      <c r="AC156" s="512" t="str">
        <f>Inputs!AC102</f>
        <v>-</v>
      </c>
      <c r="AD156" s="512" t="str">
        <f>Inputs!AD102</f>
        <v>-</v>
      </c>
      <c r="AE156" s="512" t="str">
        <f>Inputs!AE102</f>
        <v>-</v>
      </c>
      <c r="AF156" s="512" t="str">
        <f>Inputs!AF102</f>
        <v>-</v>
      </c>
      <c r="AG156" s="512" t="str">
        <f>Inputs!AG102</f>
        <v>-</v>
      </c>
      <c r="AH156" s="512" t="str">
        <f>Inputs!AH102</f>
        <v>-</v>
      </c>
      <c r="AI156" s="512" t="str">
        <f>Inputs!AI102</f>
        <v>-</v>
      </c>
      <c r="AJ156" s="512" t="str">
        <f>Inputs!AJ102</f>
        <v>-</v>
      </c>
      <c r="AK156" s="512" t="str">
        <f>Inputs!AK102</f>
        <v>-</v>
      </c>
      <c r="AL156" s="512" t="str">
        <f>Inputs!AL102</f>
        <v>-</v>
      </c>
      <c r="AM156" s="509" t="str">
        <f>Inputs!AM102</f>
        <v>-</v>
      </c>
      <c r="AN156" s="509" t="str">
        <f>Inputs!AN102</f>
        <v>-</v>
      </c>
      <c r="AO156" s="512" t="str">
        <f>Inputs!AO102</f>
        <v>-</v>
      </c>
      <c r="AP156" s="512" t="str">
        <f>Inputs!AP102</f>
        <v>-</v>
      </c>
      <c r="AQ156" s="512" t="str">
        <f>Inputs!AQ102</f>
        <v>-</v>
      </c>
      <c r="AR156" s="512" t="str">
        <f>Inputs!AR102</f>
        <v>-</v>
      </c>
      <c r="AS156" s="512" t="str">
        <f>Inputs!AS102</f>
        <v>-</v>
      </c>
      <c r="AT156" s="512" t="str">
        <f>Inputs!AT102</f>
        <v>-</v>
      </c>
      <c r="AU156" s="512" t="str">
        <f>Inputs!AU102</f>
        <v>-</v>
      </c>
      <c r="AV156" s="512" t="str">
        <f>Inputs!AV102</f>
        <v>-</v>
      </c>
      <c r="AW156" s="259"/>
    </row>
    <row r="157">
      <c r="A157" s="122"/>
      <c r="B157" s="123"/>
      <c r="C157" s="397"/>
      <c r="D157" s="397"/>
      <c r="E157" s="257" t="s">
        <v>767</v>
      </c>
      <c r="F157" s="395" t="str">
        <f>Inputs!F103</f>
        <v>%</v>
      </c>
      <c r="G157" s="395" t="str">
        <f>Inputs!G103</f>
        <v>input</v>
      </c>
      <c r="H157" s="258">
        <f>Inputs!H103</f>
        <v>0.15</v>
      </c>
      <c r="I157" s="512" t="str">
        <f>Inputs!I103</f>
        <v>-</v>
      </c>
      <c r="J157" s="512" t="str">
        <f>Inputs!J103</f>
        <v>-</v>
      </c>
      <c r="K157" s="512" t="str">
        <f>Inputs!K103</f>
        <v>-</v>
      </c>
      <c r="L157" s="512" t="str">
        <f>Inputs!L103</f>
        <v>-</v>
      </c>
      <c r="M157" s="512" t="str">
        <f>Inputs!M103</f>
        <v>-</v>
      </c>
      <c r="N157" s="512" t="str">
        <f>Inputs!N103</f>
        <v>-</v>
      </c>
      <c r="O157" s="512" t="str">
        <f>Inputs!O103</f>
        <v>-</v>
      </c>
      <c r="P157" s="512" t="str">
        <f>Inputs!P103</f>
        <v>-</v>
      </c>
      <c r="Q157" s="512" t="str">
        <f>Inputs!Q103</f>
        <v>-</v>
      </c>
      <c r="R157" s="512" t="str">
        <f>Inputs!R103</f>
        <v>-</v>
      </c>
      <c r="S157" s="512" t="str">
        <f>Inputs!S103</f>
        <v>-</v>
      </c>
      <c r="T157" s="512" t="str">
        <f>Inputs!T103</f>
        <v>-</v>
      </c>
      <c r="U157" s="512" t="str">
        <f>Inputs!U103</f>
        <v>-</v>
      </c>
      <c r="V157" s="512" t="str">
        <f>Inputs!V103</f>
        <v>-</v>
      </c>
      <c r="W157" s="512" t="str">
        <f>Inputs!W103</f>
        <v>-</v>
      </c>
      <c r="X157" s="512" t="str">
        <f>Inputs!X103</f>
        <v>-</v>
      </c>
      <c r="Y157" s="512" t="str">
        <f>Inputs!Y103</f>
        <v>-</v>
      </c>
      <c r="Z157" s="512" t="str">
        <f>Inputs!Z103</f>
        <v>-</v>
      </c>
      <c r="AA157" s="512" t="str">
        <f>Inputs!AA103</f>
        <v>-</v>
      </c>
      <c r="AB157" s="512" t="str">
        <f>Inputs!AB103</f>
        <v>-</v>
      </c>
      <c r="AC157" s="512" t="str">
        <f>Inputs!AC103</f>
        <v>-</v>
      </c>
      <c r="AD157" s="512" t="str">
        <f>Inputs!AD103</f>
        <v>-</v>
      </c>
      <c r="AE157" s="512" t="str">
        <f>Inputs!AE103</f>
        <v>-</v>
      </c>
      <c r="AF157" s="512" t="str">
        <f>Inputs!AF103</f>
        <v>-</v>
      </c>
      <c r="AG157" s="512" t="str">
        <f>Inputs!AG103</f>
        <v>-</v>
      </c>
      <c r="AH157" s="512" t="str">
        <f>Inputs!AH103</f>
        <v>-</v>
      </c>
      <c r="AI157" s="512" t="str">
        <f>Inputs!AI103</f>
        <v>-</v>
      </c>
      <c r="AJ157" s="512" t="str">
        <f>Inputs!AJ103</f>
        <v>-</v>
      </c>
      <c r="AK157" s="512" t="str">
        <f>Inputs!AK103</f>
        <v>-</v>
      </c>
      <c r="AL157" s="512" t="str">
        <f>Inputs!AL103</f>
        <v>-</v>
      </c>
      <c r="AM157" s="509" t="str">
        <f>Inputs!AM103</f>
        <v>-</v>
      </c>
      <c r="AN157" s="509" t="str">
        <f>Inputs!AN103</f>
        <v>-</v>
      </c>
      <c r="AO157" s="512" t="str">
        <f>Inputs!AO103</f>
        <v>-</v>
      </c>
      <c r="AP157" s="512" t="str">
        <f>Inputs!AP103</f>
        <v>-</v>
      </c>
      <c r="AQ157" s="512" t="str">
        <f>Inputs!AQ103</f>
        <v>-</v>
      </c>
      <c r="AR157" s="512" t="str">
        <f>Inputs!AR103</f>
        <v>-</v>
      </c>
      <c r="AS157" s="512" t="str">
        <f>Inputs!AS103</f>
        <v>-</v>
      </c>
      <c r="AT157" s="512" t="str">
        <f>Inputs!AT103</f>
        <v>-</v>
      </c>
      <c r="AU157" s="512" t="str">
        <f>Inputs!AU103</f>
        <v>-</v>
      </c>
      <c r="AV157" s="512" t="str">
        <f>Inputs!AV103</f>
        <v>-</v>
      </c>
      <c r="AW157" s="259"/>
    </row>
    <row r="158">
      <c r="A158" s="122"/>
      <c r="B158" s="123"/>
      <c r="C158" s="397"/>
      <c r="D158" s="397"/>
      <c r="E158" s="257" t="s">
        <v>768</v>
      </c>
      <c r="F158" s="395" t="str">
        <f>Inputs!F104</f>
        <v>%</v>
      </c>
      <c r="G158" s="395" t="str">
        <f>Inputs!G104</f>
        <v>input</v>
      </c>
      <c r="H158" s="258">
        <f>Inputs!H104</f>
        <v>0.1</v>
      </c>
      <c r="I158" s="512" t="str">
        <f>Inputs!I104</f>
        <v>-</v>
      </c>
      <c r="J158" s="512" t="str">
        <f>Inputs!J104</f>
        <v>-</v>
      </c>
      <c r="K158" s="512" t="str">
        <f>Inputs!K104</f>
        <v>-</v>
      </c>
      <c r="L158" s="512" t="str">
        <f>Inputs!L104</f>
        <v>-</v>
      </c>
      <c r="M158" s="512" t="str">
        <f>Inputs!M104</f>
        <v>-</v>
      </c>
      <c r="N158" s="512" t="str">
        <f>Inputs!N104</f>
        <v>-</v>
      </c>
      <c r="O158" s="512" t="str">
        <f>Inputs!O104</f>
        <v>-</v>
      </c>
      <c r="P158" s="512" t="str">
        <f>Inputs!P104</f>
        <v>-</v>
      </c>
      <c r="Q158" s="512" t="str">
        <f>Inputs!Q104</f>
        <v>-</v>
      </c>
      <c r="R158" s="512" t="str">
        <f>Inputs!R104</f>
        <v>-</v>
      </c>
      <c r="S158" s="512" t="str">
        <f>Inputs!S104</f>
        <v>-</v>
      </c>
      <c r="T158" s="512" t="str">
        <f>Inputs!T104</f>
        <v>-</v>
      </c>
      <c r="U158" s="512" t="str">
        <f>Inputs!U104</f>
        <v>-</v>
      </c>
      <c r="V158" s="512" t="str">
        <f>Inputs!V104</f>
        <v>-</v>
      </c>
      <c r="W158" s="512" t="str">
        <f>Inputs!W104</f>
        <v>-</v>
      </c>
      <c r="X158" s="512" t="str">
        <f>Inputs!X104</f>
        <v>-</v>
      </c>
      <c r="Y158" s="512" t="str">
        <f>Inputs!Y104</f>
        <v>-</v>
      </c>
      <c r="Z158" s="512" t="str">
        <f>Inputs!Z104</f>
        <v>-</v>
      </c>
      <c r="AA158" s="512" t="str">
        <f>Inputs!AA104</f>
        <v>-</v>
      </c>
      <c r="AB158" s="512" t="str">
        <f>Inputs!AB104</f>
        <v>-</v>
      </c>
      <c r="AC158" s="512" t="str">
        <f>Inputs!AC104</f>
        <v>-</v>
      </c>
      <c r="AD158" s="512" t="str">
        <f>Inputs!AD104</f>
        <v>-</v>
      </c>
      <c r="AE158" s="512" t="str">
        <f>Inputs!AE104</f>
        <v>-</v>
      </c>
      <c r="AF158" s="512" t="str">
        <f>Inputs!AF104</f>
        <v>-</v>
      </c>
      <c r="AG158" s="512" t="str">
        <f>Inputs!AG104</f>
        <v>-</v>
      </c>
      <c r="AH158" s="512" t="str">
        <f>Inputs!AH104</f>
        <v>-</v>
      </c>
      <c r="AI158" s="512" t="str">
        <f>Inputs!AI104</f>
        <v>-</v>
      </c>
      <c r="AJ158" s="512" t="str">
        <f>Inputs!AJ104</f>
        <v>-</v>
      </c>
      <c r="AK158" s="512" t="str">
        <f>Inputs!AK104</f>
        <v>-</v>
      </c>
      <c r="AL158" s="512" t="str">
        <f>Inputs!AL104</f>
        <v>-</v>
      </c>
      <c r="AM158" s="509" t="str">
        <f>Inputs!AM104</f>
        <v>-</v>
      </c>
      <c r="AN158" s="509" t="str">
        <f>Inputs!AN104</f>
        <v>-</v>
      </c>
      <c r="AO158" s="512" t="str">
        <f>Inputs!AO104</f>
        <v>-</v>
      </c>
      <c r="AP158" s="512" t="str">
        <f>Inputs!AP104</f>
        <v>-</v>
      </c>
      <c r="AQ158" s="512" t="str">
        <f>Inputs!AQ104</f>
        <v>-</v>
      </c>
      <c r="AR158" s="512" t="str">
        <f>Inputs!AR104</f>
        <v>-</v>
      </c>
      <c r="AS158" s="512" t="str">
        <f>Inputs!AS104</f>
        <v>-</v>
      </c>
      <c r="AT158" s="512" t="str">
        <f>Inputs!AT104</f>
        <v>-</v>
      </c>
      <c r="AU158" s="512" t="str">
        <f>Inputs!AU104</f>
        <v>-</v>
      </c>
      <c r="AV158" s="512" t="str">
        <f>Inputs!AV104</f>
        <v>-</v>
      </c>
      <c r="AW158" s="259"/>
    </row>
    <row r="159">
      <c r="A159" s="122"/>
      <c r="B159" s="123"/>
      <c r="C159" s="397"/>
      <c r="D159" s="397"/>
      <c r="E159" s="257" t="s">
        <v>769</v>
      </c>
      <c r="F159" s="395" t="str">
        <f>Inputs!F105</f>
        <v>%</v>
      </c>
      <c r="G159" s="395" t="str">
        <f>Inputs!G105</f>
        <v>calc</v>
      </c>
      <c r="H159" s="258">
        <f>Inputs!H105</f>
        <v>0.9444444444</v>
      </c>
      <c r="I159" s="512" t="str">
        <f>Inputs!I105</f>
        <v>-</v>
      </c>
      <c r="J159" s="512" t="str">
        <f>Inputs!J105</f>
        <v>-</v>
      </c>
      <c r="K159" s="512" t="str">
        <f>Inputs!K105</f>
        <v>-</v>
      </c>
      <c r="L159" s="512" t="str">
        <f>Inputs!L105</f>
        <v>-</v>
      </c>
      <c r="M159" s="512" t="str">
        <f>Inputs!M105</f>
        <v>-</v>
      </c>
      <c r="N159" s="512" t="str">
        <f>Inputs!N105</f>
        <v>-</v>
      </c>
      <c r="O159" s="512" t="str">
        <f>Inputs!O105</f>
        <v>-</v>
      </c>
      <c r="P159" s="512" t="str">
        <f>Inputs!P105</f>
        <v>-</v>
      </c>
      <c r="Q159" s="512" t="str">
        <f>Inputs!Q105</f>
        <v>-</v>
      </c>
      <c r="R159" s="512" t="str">
        <f>Inputs!R105</f>
        <v>-</v>
      </c>
      <c r="S159" s="512" t="str">
        <f>Inputs!S105</f>
        <v>-</v>
      </c>
      <c r="T159" s="512" t="str">
        <f>Inputs!T105</f>
        <v>-</v>
      </c>
      <c r="U159" s="512" t="str">
        <f>Inputs!U105</f>
        <v>-</v>
      </c>
      <c r="V159" s="512" t="str">
        <f>Inputs!V105</f>
        <v>-</v>
      </c>
      <c r="W159" s="512" t="str">
        <f>Inputs!W105</f>
        <v>-</v>
      </c>
      <c r="X159" s="512" t="str">
        <f>Inputs!X105</f>
        <v>-</v>
      </c>
      <c r="Y159" s="512" t="str">
        <f>Inputs!Y105</f>
        <v>-</v>
      </c>
      <c r="Z159" s="512" t="str">
        <f>Inputs!Z105</f>
        <v>-</v>
      </c>
      <c r="AA159" s="512" t="str">
        <f>Inputs!AA105</f>
        <v>-</v>
      </c>
      <c r="AB159" s="512" t="str">
        <f>Inputs!AB105</f>
        <v>-</v>
      </c>
      <c r="AC159" s="512" t="str">
        <f>Inputs!AC105</f>
        <v>-</v>
      </c>
      <c r="AD159" s="512" t="str">
        <f>Inputs!AD105</f>
        <v>-</v>
      </c>
      <c r="AE159" s="512" t="str">
        <f>Inputs!AE105</f>
        <v>-</v>
      </c>
      <c r="AF159" s="512" t="str">
        <f>Inputs!AF105</f>
        <v>-</v>
      </c>
      <c r="AG159" s="512" t="str">
        <f>Inputs!AG105</f>
        <v>-</v>
      </c>
      <c r="AH159" s="512" t="str">
        <f>Inputs!AH105</f>
        <v>-</v>
      </c>
      <c r="AI159" s="512" t="str">
        <f>Inputs!AI105</f>
        <v>-</v>
      </c>
      <c r="AJ159" s="512" t="str">
        <f>Inputs!AJ105</f>
        <v>-</v>
      </c>
      <c r="AK159" s="512" t="str">
        <f>Inputs!AK105</f>
        <v>-</v>
      </c>
      <c r="AL159" s="512" t="str">
        <f>Inputs!AL105</f>
        <v>-</v>
      </c>
      <c r="AM159" s="512" t="str">
        <f>Inputs!AM105</f>
        <v>-</v>
      </c>
      <c r="AN159" s="512" t="str">
        <f>Inputs!AN105</f>
        <v>-</v>
      </c>
      <c r="AO159" s="512" t="str">
        <f>Inputs!AO105</f>
        <v>-</v>
      </c>
      <c r="AP159" s="512" t="str">
        <f>Inputs!AP105</f>
        <v>-</v>
      </c>
      <c r="AQ159" s="512" t="str">
        <f>Inputs!AQ105</f>
        <v>-</v>
      </c>
      <c r="AR159" s="512" t="str">
        <f>Inputs!AR105</f>
        <v>-</v>
      </c>
      <c r="AS159" s="512" t="str">
        <f>Inputs!AS105</f>
        <v>-</v>
      </c>
      <c r="AT159" s="512" t="str">
        <f>Inputs!AT105</f>
        <v>-</v>
      </c>
      <c r="AU159" s="512" t="str">
        <f>Inputs!AU105</f>
        <v>-</v>
      </c>
      <c r="AV159" s="512" t="str">
        <f>Inputs!AV105</f>
        <v>-</v>
      </c>
      <c r="AW159" s="259"/>
    </row>
    <row r="160">
      <c r="A160" s="122"/>
      <c r="B160" s="123"/>
      <c r="C160" s="397"/>
      <c r="D160" s="397"/>
      <c r="E160" s="272" t="s">
        <v>770</v>
      </c>
      <c r="F160" s="489" t="str">
        <f>Inputs!F106</f>
        <v>%</v>
      </c>
      <c r="G160" s="489" t="str">
        <f>Inputs!G106</f>
        <v>calc</v>
      </c>
      <c r="H160" s="498">
        <f>Inputs!H106</f>
        <v>0.05555555556</v>
      </c>
      <c r="I160" s="515" t="str">
        <f>Inputs!I106</f>
        <v>-</v>
      </c>
      <c r="J160" s="515" t="str">
        <f>Inputs!J106</f>
        <v>-</v>
      </c>
      <c r="K160" s="515" t="str">
        <f>Inputs!K106</f>
        <v>-</v>
      </c>
      <c r="L160" s="515" t="str">
        <f>Inputs!L106</f>
        <v>-</v>
      </c>
      <c r="M160" s="515" t="str">
        <f>Inputs!M106</f>
        <v>-</v>
      </c>
      <c r="N160" s="515" t="str">
        <f>Inputs!N106</f>
        <v>-</v>
      </c>
      <c r="O160" s="515" t="str">
        <f>Inputs!O106</f>
        <v>-</v>
      </c>
      <c r="P160" s="515" t="str">
        <f>Inputs!P106</f>
        <v>-</v>
      </c>
      <c r="Q160" s="515" t="str">
        <f>Inputs!Q106</f>
        <v>-</v>
      </c>
      <c r="R160" s="515" t="str">
        <f>Inputs!R106</f>
        <v>-</v>
      </c>
      <c r="S160" s="515" t="str">
        <f>Inputs!S106</f>
        <v>-</v>
      </c>
      <c r="T160" s="515" t="str">
        <f>Inputs!T106</f>
        <v>-</v>
      </c>
      <c r="U160" s="515" t="str">
        <f>Inputs!U106</f>
        <v>-</v>
      </c>
      <c r="V160" s="515" t="str">
        <f>Inputs!V106</f>
        <v>-</v>
      </c>
      <c r="W160" s="515" t="str">
        <f>Inputs!W106</f>
        <v>-</v>
      </c>
      <c r="X160" s="515" t="str">
        <f>Inputs!X106</f>
        <v>-</v>
      </c>
      <c r="Y160" s="515" t="str">
        <f>Inputs!Y106</f>
        <v>-</v>
      </c>
      <c r="Z160" s="515" t="str">
        <f>Inputs!Z106</f>
        <v>-</v>
      </c>
      <c r="AA160" s="515" t="str">
        <f>Inputs!AA106</f>
        <v>-</v>
      </c>
      <c r="AB160" s="515" t="str">
        <f>Inputs!AB106</f>
        <v>-</v>
      </c>
      <c r="AC160" s="515" t="str">
        <f>Inputs!AC106</f>
        <v>-</v>
      </c>
      <c r="AD160" s="515" t="str">
        <f>Inputs!AD106</f>
        <v>-</v>
      </c>
      <c r="AE160" s="515" t="str">
        <f>Inputs!AE106</f>
        <v>-</v>
      </c>
      <c r="AF160" s="515" t="str">
        <f>Inputs!AF106</f>
        <v>-</v>
      </c>
      <c r="AG160" s="515" t="str">
        <f>Inputs!AG106</f>
        <v>-</v>
      </c>
      <c r="AH160" s="515" t="str">
        <f>Inputs!AH106</f>
        <v>-</v>
      </c>
      <c r="AI160" s="515" t="str">
        <f>Inputs!AI106</f>
        <v>-</v>
      </c>
      <c r="AJ160" s="515" t="str">
        <f>Inputs!AJ106</f>
        <v>-</v>
      </c>
      <c r="AK160" s="515" t="str">
        <f>Inputs!AK106</f>
        <v>-</v>
      </c>
      <c r="AL160" s="515" t="str">
        <f>Inputs!AL106</f>
        <v>-</v>
      </c>
      <c r="AM160" s="515" t="str">
        <f>Inputs!AM106</f>
        <v>-</v>
      </c>
      <c r="AN160" s="515" t="str">
        <f>Inputs!AN106</f>
        <v>-</v>
      </c>
      <c r="AO160" s="515" t="str">
        <f>Inputs!AO106</f>
        <v>-</v>
      </c>
      <c r="AP160" s="515" t="str">
        <f>Inputs!AP106</f>
        <v>-</v>
      </c>
      <c r="AQ160" s="515" t="str">
        <f>Inputs!AQ106</f>
        <v>-</v>
      </c>
      <c r="AR160" s="515" t="str">
        <f>Inputs!AR106</f>
        <v>-</v>
      </c>
      <c r="AS160" s="515" t="str">
        <f>Inputs!AS106</f>
        <v>-</v>
      </c>
      <c r="AT160" s="515" t="str">
        <f>Inputs!AT106</f>
        <v>-</v>
      </c>
      <c r="AU160" s="515" t="str">
        <f>Inputs!AU106</f>
        <v>-</v>
      </c>
      <c r="AV160" s="515" t="str">
        <f>Inputs!AV106</f>
        <v>-</v>
      </c>
      <c r="AW160" s="274"/>
    </row>
    <row r="161">
      <c r="A161" s="122"/>
      <c r="B161" s="123"/>
      <c r="C161" s="397"/>
      <c r="D161" s="397"/>
      <c r="E161" s="650"/>
      <c r="F161" s="125"/>
      <c r="G161" s="125"/>
      <c r="H161" s="127"/>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30"/>
    </row>
    <row r="162">
      <c r="A162" s="122"/>
      <c r="B162" s="123"/>
      <c r="C162" s="342" t="s">
        <v>401</v>
      </c>
      <c r="F162" s="125"/>
      <c r="G162" s="125"/>
      <c r="H162" s="127"/>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30"/>
    </row>
    <row r="163">
      <c r="A163" s="122"/>
      <c r="B163" s="123"/>
      <c r="C163" s="123"/>
      <c r="D163" s="123"/>
      <c r="E163" s="192" t="s">
        <v>402</v>
      </c>
      <c r="F163" s="193" t="str">
        <f>F136</f>
        <v>%</v>
      </c>
      <c r="G163" s="193" t="s">
        <v>155</v>
      </c>
      <c r="H163" s="389" t="str">
        <f t="shared" ref="H163:AV163" si="65">H136</f>
        <v>-</v>
      </c>
      <c r="I163" s="383">
        <f t="shared" si="65"/>
        <v>0.4673758858</v>
      </c>
      <c r="J163" s="383">
        <f t="shared" si="65"/>
        <v>0.5616125715</v>
      </c>
      <c r="K163" s="383">
        <f t="shared" si="65"/>
        <v>0.6044474287</v>
      </c>
      <c r="L163" s="383">
        <f t="shared" si="65"/>
        <v>0.743422743</v>
      </c>
      <c r="M163" s="383">
        <f t="shared" si="65"/>
        <v>0.5739870858</v>
      </c>
      <c r="N163" s="383">
        <f t="shared" si="65"/>
        <v>0.5416229715</v>
      </c>
      <c r="O163" s="383">
        <f t="shared" si="65"/>
        <v>0.6053993144</v>
      </c>
      <c r="P163" s="383">
        <f t="shared" si="65"/>
        <v>0.3207854858</v>
      </c>
      <c r="Q163" s="383">
        <f t="shared" si="65"/>
        <v>0.483557943</v>
      </c>
      <c r="R163" s="383">
        <f t="shared" si="65"/>
        <v>0.8614565716</v>
      </c>
      <c r="S163" s="383">
        <f t="shared" si="65"/>
        <v>0.7957764573</v>
      </c>
      <c r="T163" s="383">
        <f t="shared" si="65"/>
        <v>0.8148141716</v>
      </c>
      <c r="U163" s="383">
        <f t="shared" si="65"/>
        <v>0.803391543</v>
      </c>
      <c r="V163" s="383">
        <f t="shared" si="65"/>
        <v>0.7510378287</v>
      </c>
      <c r="W163" s="383">
        <f t="shared" si="65"/>
        <v>0.7776906287</v>
      </c>
      <c r="X163" s="383">
        <f t="shared" si="65"/>
        <v>0.616821943</v>
      </c>
      <c r="Y163" s="383">
        <f t="shared" si="65"/>
        <v>0.8862056002</v>
      </c>
      <c r="Z163" s="383">
        <f t="shared" si="65"/>
        <v>0.7948245716</v>
      </c>
      <c r="AA163" s="383">
        <f t="shared" si="65"/>
        <v>0.9452225145</v>
      </c>
      <c r="AB163" s="383">
        <f t="shared" si="65"/>
        <v>0.8785905145</v>
      </c>
      <c r="AC163" s="383">
        <f t="shared" si="65"/>
        <v>0.9423668573</v>
      </c>
      <c r="AD163" s="383">
        <f t="shared" si="65"/>
        <v>0.9433187431</v>
      </c>
      <c r="AE163" s="383">
        <f t="shared" si="65"/>
        <v>0.9061952002</v>
      </c>
      <c r="AF163" s="383">
        <f t="shared" si="65"/>
        <v>0.9014357716</v>
      </c>
      <c r="AG163" s="383">
        <f t="shared" si="65"/>
        <v>0.743422743</v>
      </c>
      <c r="AH163" s="383">
        <f t="shared" si="65"/>
        <v>0.8785905145</v>
      </c>
      <c r="AI163" s="383">
        <f t="shared" si="65"/>
        <v>0.6882133716</v>
      </c>
      <c r="AJ163" s="383">
        <f t="shared" si="65"/>
        <v>0.8985801145</v>
      </c>
      <c r="AK163" s="383">
        <f t="shared" si="65"/>
        <v>0.7538934859</v>
      </c>
      <c r="AL163" s="383">
        <f t="shared" si="65"/>
        <v>0.6349077716</v>
      </c>
      <c r="AM163" s="383">
        <f t="shared" si="65"/>
        <v>0.6349077716</v>
      </c>
      <c r="AN163" s="383">
        <f t="shared" si="65"/>
        <v>0.6349077716</v>
      </c>
      <c r="AO163" s="383">
        <f t="shared" si="65"/>
        <v>0.6882133716</v>
      </c>
      <c r="AP163" s="383">
        <f t="shared" si="65"/>
        <v>0.7148661716</v>
      </c>
      <c r="AQ163" s="383">
        <f t="shared" si="65"/>
        <v>0.8852537145</v>
      </c>
      <c r="AR163" s="383">
        <f t="shared" si="65"/>
        <v>0.7853057145</v>
      </c>
      <c r="AS163" s="383">
        <f t="shared" si="65"/>
        <v>0.8348037716</v>
      </c>
      <c r="AT163" s="383">
        <f t="shared" si="65"/>
        <v>0.8595528002</v>
      </c>
      <c r="AU163" s="383">
        <f t="shared" si="65"/>
        <v>0.676790743</v>
      </c>
      <c r="AV163" s="383">
        <f t="shared" si="65"/>
        <v>0.7158180573</v>
      </c>
      <c r="AW163" s="256"/>
    </row>
    <row r="164">
      <c r="A164" s="122"/>
      <c r="B164" s="123"/>
      <c r="C164" s="123"/>
      <c r="D164" s="123"/>
      <c r="E164" s="212" t="s">
        <v>403</v>
      </c>
      <c r="F164" s="213" t="s">
        <v>72</v>
      </c>
      <c r="G164" s="213" t="s">
        <v>161</v>
      </c>
      <c r="H164" s="240" t="s">
        <v>162</v>
      </c>
      <c r="I164" s="241">
        <f t="shared" ref="I164:AV164" si="66">SUMPRODUCT(I137:I139,$H150:$H152)</f>
        <v>0.3675706686</v>
      </c>
      <c r="J164" s="241">
        <f t="shared" si="66"/>
        <v>0.4847953944</v>
      </c>
      <c r="K164" s="241">
        <f t="shared" si="66"/>
        <v>0.5462872115</v>
      </c>
      <c r="L164" s="241">
        <f t="shared" si="66"/>
        <v>0.6474250687</v>
      </c>
      <c r="M164" s="241">
        <f t="shared" si="66"/>
        <v>0.4693272515</v>
      </c>
      <c r="N164" s="241">
        <f t="shared" si="66"/>
        <v>0.4597608001</v>
      </c>
      <c r="O164" s="241">
        <f t="shared" si="66"/>
        <v>0.5564247944</v>
      </c>
      <c r="P164" s="241">
        <f t="shared" si="66"/>
        <v>0.2032276</v>
      </c>
      <c r="Q164" s="241">
        <f t="shared" si="66"/>
        <v>0.3583373772</v>
      </c>
      <c r="R164" s="241">
        <f t="shared" si="66"/>
        <v>0.8154804916</v>
      </c>
      <c r="S164" s="241">
        <f t="shared" si="66"/>
        <v>0.6498523773</v>
      </c>
      <c r="T164" s="241">
        <f t="shared" si="66"/>
        <v>0.7876378345</v>
      </c>
      <c r="U164" s="241">
        <f t="shared" si="66"/>
        <v>0.7409954344</v>
      </c>
      <c r="V164" s="241">
        <f t="shared" si="66"/>
        <v>0.7229096059</v>
      </c>
      <c r="W164" s="241">
        <f t="shared" si="66"/>
        <v>0.7190068744</v>
      </c>
      <c r="X164" s="241">
        <f t="shared" si="66"/>
        <v>0.4587137258</v>
      </c>
      <c r="Y164" s="241">
        <f t="shared" si="66"/>
        <v>0.8621704859</v>
      </c>
      <c r="Z164" s="241">
        <f t="shared" si="66"/>
        <v>0.7316669544</v>
      </c>
      <c r="AA164" s="241">
        <f t="shared" si="66"/>
        <v>0.9424144516</v>
      </c>
      <c r="AB164" s="241">
        <f t="shared" si="66"/>
        <v>0.8612661945</v>
      </c>
      <c r="AC164" s="241">
        <f t="shared" si="66"/>
        <v>0.889679983</v>
      </c>
      <c r="AD164" s="241">
        <f t="shared" si="66"/>
        <v>0.9208542402</v>
      </c>
      <c r="AE164" s="241">
        <f t="shared" si="66"/>
        <v>0.8338042916</v>
      </c>
      <c r="AF164" s="241">
        <f t="shared" si="66"/>
        <v>0.8859676288</v>
      </c>
      <c r="AG164" s="241">
        <f t="shared" si="66"/>
        <v>0.6474250687</v>
      </c>
      <c r="AH164" s="241">
        <f t="shared" si="66"/>
        <v>0.734760583</v>
      </c>
      <c r="AI164" s="241">
        <f t="shared" si="66"/>
        <v>0.6089212916</v>
      </c>
      <c r="AJ164" s="241">
        <f t="shared" si="66"/>
        <v>0.8601715259</v>
      </c>
      <c r="AK164" s="241">
        <f t="shared" si="66"/>
        <v>0.6296724001</v>
      </c>
      <c r="AL164" s="241">
        <f t="shared" si="66"/>
        <v>0.5045946173</v>
      </c>
      <c r="AM164" s="241">
        <f t="shared" si="66"/>
        <v>0.5045946173</v>
      </c>
      <c r="AN164" s="241">
        <f t="shared" si="66"/>
        <v>0.5045946173</v>
      </c>
      <c r="AO164" s="241">
        <f t="shared" si="66"/>
        <v>0.565182143</v>
      </c>
      <c r="AP164" s="241">
        <f t="shared" si="66"/>
        <v>0.6611798173</v>
      </c>
      <c r="AQ164" s="241">
        <f t="shared" si="66"/>
        <v>0.8438466859</v>
      </c>
      <c r="AR164" s="241">
        <f t="shared" si="66"/>
        <v>0.642142103</v>
      </c>
      <c r="AS164" s="241">
        <f t="shared" si="66"/>
        <v>0.7366167602</v>
      </c>
      <c r="AT164" s="241">
        <f t="shared" si="66"/>
        <v>0.8288544859</v>
      </c>
      <c r="AU164" s="241">
        <f t="shared" si="66"/>
        <v>0.6299579658</v>
      </c>
      <c r="AV164" s="241">
        <f t="shared" si="66"/>
        <v>0.6797415887</v>
      </c>
      <c r="AW164" s="259"/>
    </row>
    <row r="165">
      <c r="A165" s="122"/>
      <c r="B165" s="123"/>
      <c r="C165" s="123"/>
      <c r="D165" s="123"/>
      <c r="E165" s="212" t="s">
        <v>404</v>
      </c>
      <c r="F165" s="213" t="s">
        <v>72</v>
      </c>
      <c r="G165" s="213" t="s">
        <v>161</v>
      </c>
      <c r="H165" s="240" t="s">
        <v>162</v>
      </c>
      <c r="I165" s="241">
        <f t="shared" ref="I165:AV165" si="67">SUMPRODUCT(I137:I139,$H150:$H152)</f>
        <v>0.3675706686</v>
      </c>
      <c r="J165" s="241">
        <f t="shared" si="67"/>
        <v>0.4847953944</v>
      </c>
      <c r="K165" s="241">
        <f t="shared" si="67"/>
        <v>0.5462872115</v>
      </c>
      <c r="L165" s="241">
        <f t="shared" si="67"/>
        <v>0.6474250687</v>
      </c>
      <c r="M165" s="241">
        <f t="shared" si="67"/>
        <v>0.4693272515</v>
      </c>
      <c r="N165" s="241">
        <f t="shared" si="67"/>
        <v>0.4597608001</v>
      </c>
      <c r="O165" s="241">
        <f t="shared" si="67"/>
        <v>0.5564247944</v>
      </c>
      <c r="P165" s="241">
        <f t="shared" si="67"/>
        <v>0.2032276</v>
      </c>
      <c r="Q165" s="241">
        <f t="shared" si="67"/>
        <v>0.3583373772</v>
      </c>
      <c r="R165" s="241">
        <f t="shared" si="67"/>
        <v>0.8154804916</v>
      </c>
      <c r="S165" s="241">
        <f t="shared" si="67"/>
        <v>0.6498523773</v>
      </c>
      <c r="T165" s="241">
        <f t="shared" si="67"/>
        <v>0.7876378345</v>
      </c>
      <c r="U165" s="241">
        <f t="shared" si="67"/>
        <v>0.7409954344</v>
      </c>
      <c r="V165" s="241">
        <f t="shared" si="67"/>
        <v>0.7229096059</v>
      </c>
      <c r="W165" s="241">
        <f t="shared" si="67"/>
        <v>0.7190068744</v>
      </c>
      <c r="X165" s="241">
        <f t="shared" si="67"/>
        <v>0.4587137258</v>
      </c>
      <c r="Y165" s="241">
        <f t="shared" si="67"/>
        <v>0.8621704859</v>
      </c>
      <c r="Z165" s="241">
        <f t="shared" si="67"/>
        <v>0.7316669544</v>
      </c>
      <c r="AA165" s="241">
        <f t="shared" si="67"/>
        <v>0.9424144516</v>
      </c>
      <c r="AB165" s="241">
        <f t="shared" si="67"/>
        <v>0.8612661945</v>
      </c>
      <c r="AC165" s="241">
        <f t="shared" si="67"/>
        <v>0.889679983</v>
      </c>
      <c r="AD165" s="241">
        <f t="shared" si="67"/>
        <v>0.9208542402</v>
      </c>
      <c r="AE165" s="241">
        <f t="shared" si="67"/>
        <v>0.8338042916</v>
      </c>
      <c r="AF165" s="241">
        <f t="shared" si="67"/>
        <v>0.8859676288</v>
      </c>
      <c r="AG165" s="241">
        <f t="shared" si="67"/>
        <v>0.6474250687</v>
      </c>
      <c r="AH165" s="241">
        <f t="shared" si="67"/>
        <v>0.734760583</v>
      </c>
      <c r="AI165" s="241">
        <f t="shared" si="67"/>
        <v>0.6089212916</v>
      </c>
      <c r="AJ165" s="241">
        <f t="shared" si="67"/>
        <v>0.8601715259</v>
      </c>
      <c r="AK165" s="241">
        <f t="shared" si="67"/>
        <v>0.6296724001</v>
      </c>
      <c r="AL165" s="241">
        <f t="shared" si="67"/>
        <v>0.5045946173</v>
      </c>
      <c r="AM165" s="241">
        <f t="shared" si="67"/>
        <v>0.5045946173</v>
      </c>
      <c r="AN165" s="241">
        <f t="shared" si="67"/>
        <v>0.5045946173</v>
      </c>
      <c r="AO165" s="241">
        <f t="shared" si="67"/>
        <v>0.565182143</v>
      </c>
      <c r="AP165" s="241">
        <f t="shared" si="67"/>
        <v>0.6611798173</v>
      </c>
      <c r="AQ165" s="241">
        <f t="shared" si="67"/>
        <v>0.8438466859</v>
      </c>
      <c r="AR165" s="241">
        <f t="shared" si="67"/>
        <v>0.642142103</v>
      </c>
      <c r="AS165" s="241">
        <f t="shared" si="67"/>
        <v>0.7366167602</v>
      </c>
      <c r="AT165" s="241">
        <f t="shared" si="67"/>
        <v>0.8288544859</v>
      </c>
      <c r="AU165" s="241">
        <f t="shared" si="67"/>
        <v>0.6299579658</v>
      </c>
      <c r="AV165" s="241">
        <f t="shared" si="67"/>
        <v>0.6797415887</v>
      </c>
      <c r="AW165" s="259"/>
    </row>
    <row r="166">
      <c r="A166" s="122"/>
      <c r="B166" s="123"/>
      <c r="C166" s="123"/>
      <c r="D166" s="123"/>
      <c r="E166" s="212" t="s">
        <v>405</v>
      </c>
      <c r="F166" s="213" t="s">
        <v>72</v>
      </c>
      <c r="G166" s="213" t="s">
        <v>161</v>
      </c>
      <c r="H166" s="240" t="s">
        <v>162</v>
      </c>
      <c r="I166" s="241">
        <f t="shared" ref="I166:AV166" si="68">SUMPRODUCT(I140:I142,$H153:$H155)</f>
        <v>0.3669995372</v>
      </c>
      <c r="J166" s="241">
        <f t="shared" si="68"/>
        <v>0.4535259487</v>
      </c>
      <c r="K166" s="241">
        <f t="shared" si="68"/>
        <v>0.5384341544</v>
      </c>
      <c r="L166" s="241">
        <f t="shared" si="68"/>
        <v>0.6347649887</v>
      </c>
      <c r="M166" s="241">
        <f t="shared" si="68"/>
        <v>0.4631875887</v>
      </c>
      <c r="N166" s="241">
        <f t="shared" si="68"/>
        <v>0.4396284172</v>
      </c>
      <c r="O166" s="241">
        <f t="shared" si="68"/>
        <v>0.5477626344</v>
      </c>
      <c r="P166" s="241">
        <f t="shared" si="68"/>
        <v>0.1564900115</v>
      </c>
      <c r="Q166" s="241">
        <f t="shared" si="68"/>
        <v>0.3642866629</v>
      </c>
      <c r="R166" s="241">
        <f t="shared" si="68"/>
        <v>0.8046765887</v>
      </c>
      <c r="S166" s="241">
        <f t="shared" si="68"/>
        <v>0.6503283201</v>
      </c>
      <c r="T166" s="241">
        <f t="shared" si="68"/>
        <v>0.7751681316</v>
      </c>
      <c r="U166" s="241">
        <f t="shared" si="68"/>
        <v>0.7389012859</v>
      </c>
      <c r="V166" s="241">
        <f t="shared" si="68"/>
        <v>0.7133431544</v>
      </c>
      <c r="W166" s="241">
        <f t="shared" si="68"/>
        <v>0.6883561544</v>
      </c>
      <c r="X166" s="241">
        <f t="shared" si="68"/>
        <v>0.4065027944</v>
      </c>
      <c r="Y166" s="241">
        <f t="shared" si="68"/>
        <v>0.8604570916</v>
      </c>
      <c r="Z166" s="241">
        <f t="shared" si="68"/>
        <v>0.714104663</v>
      </c>
      <c r="AA166" s="241">
        <f t="shared" si="68"/>
        <v>0.9427476116</v>
      </c>
      <c r="AB166" s="241">
        <f t="shared" si="68"/>
        <v>0.8194784116</v>
      </c>
      <c r="AC166" s="241">
        <f t="shared" si="68"/>
        <v>0.8660732173</v>
      </c>
      <c r="AD166" s="241">
        <f t="shared" si="68"/>
        <v>0.9164755659</v>
      </c>
      <c r="AE166" s="241">
        <f t="shared" si="68"/>
        <v>0.8364695716</v>
      </c>
      <c r="AF166" s="241">
        <f t="shared" si="68"/>
        <v>0.870356703</v>
      </c>
      <c r="AG166" s="241">
        <f t="shared" si="68"/>
        <v>0.6347649887</v>
      </c>
      <c r="AH166" s="241">
        <f t="shared" si="68"/>
        <v>0.7177218287</v>
      </c>
      <c r="AI166" s="241">
        <f t="shared" si="68"/>
        <v>0.5803171258</v>
      </c>
      <c r="AJ166" s="241">
        <f t="shared" si="68"/>
        <v>0.8477494173</v>
      </c>
      <c r="AK166" s="241">
        <f t="shared" si="68"/>
        <v>0.6163935944</v>
      </c>
      <c r="AL166" s="241">
        <f t="shared" si="68"/>
        <v>0.4899831715</v>
      </c>
      <c r="AM166" s="241">
        <f t="shared" si="68"/>
        <v>0.4899831715</v>
      </c>
      <c r="AN166" s="241">
        <f t="shared" si="68"/>
        <v>0.4899831715</v>
      </c>
      <c r="AO166" s="241">
        <f t="shared" si="68"/>
        <v>0.5495712173</v>
      </c>
      <c r="AP166" s="241">
        <f t="shared" si="68"/>
        <v>0.6417137544</v>
      </c>
      <c r="AQ166" s="241">
        <f t="shared" si="68"/>
        <v>0.8009166402</v>
      </c>
      <c r="AR166" s="241">
        <f t="shared" si="68"/>
        <v>0.6321948973</v>
      </c>
      <c r="AS166" s="241">
        <f t="shared" si="68"/>
        <v>0.6795988059</v>
      </c>
      <c r="AT166" s="241">
        <f t="shared" si="68"/>
        <v>0.8198591659</v>
      </c>
      <c r="AU166" s="241">
        <f t="shared" si="68"/>
        <v>0.6079218116</v>
      </c>
      <c r="AV166" s="241">
        <f t="shared" si="68"/>
        <v>0.656467983</v>
      </c>
      <c r="AW166" s="259"/>
    </row>
    <row r="167">
      <c r="A167" s="122"/>
      <c r="B167" s="123"/>
      <c r="C167" s="123"/>
      <c r="D167" s="123"/>
      <c r="E167" s="212" t="s">
        <v>406</v>
      </c>
      <c r="F167" s="213" t="s">
        <v>72</v>
      </c>
      <c r="G167" s="213" t="s">
        <v>161</v>
      </c>
      <c r="H167" s="240" t="s">
        <v>162</v>
      </c>
      <c r="I167" s="241">
        <f t="shared" ref="I167:AV167" si="69">SUMPRODUCT($H143:$H145,$H156:$H158)</f>
        <v>0</v>
      </c>
      <c r="J167" s="241">
        <f t="shared" si="69"/>
        <v>0</v>
      </c>
      <c r="K167" s="241">
        <f t="shared" si="69"/>
        <v>0</v>
      </c>
      <c r="L167" s="241">
        <f t="shared" si="69"/>
        <v>0</v>
      </c>
      <c r="M167" s="241">
        <f t="shared" si="69"/>
        <v>0</v>
      </c>
      <c r="N167" s="241">
        <f t="shared" si="69"/>
        <v>0</v>
      </c>
      <c r="O167" s="241">
        <f t="shared" si="69"/>
        <v>0</v>
      </c>
      <c r="P167" s="241">
        <f t="shared" si="69"/>
        <v>0</v>
      </c>
      <c r="Q167" s="241">
        <f t="shared" si="69"/>
        <v>0</v>
      </c>
      <c r="R167" s="241">
        <f t="shared" si="69"/>
        <v>0</v>
      </c>
      <c r="S167" s="241">
        <f t="shared" si="69"/>
        <v>0</v>
      </c>
      <c r="T167" s="241">
        <f t="shared" si="69"/>
        <v>0</v>
      </c>
      <c r="U167" s="241">
        <f t="shared" si="69"/>
        <v>0</v>
      </c>
      <c r="V167" s="241">
        <f t="shared" si="69"/>
        <v>0</v>
      </c>
      <c r="W167" s="241">
        <f t="shared" si="69"/>
        <v>0</v>
      </c>
      <c r="X167" s="241">
        <f t="shared" si="69"/>
        <v>0</v>
      </c>
      <c r="Y167" s="241">
        <f t="shared" si="69"/>
        <v>0</v>
      </c>
      <c r="Z167" s="241">
        <f t="shared" si="69"/>
        <v>0</v>
      </c>
      <c r="AA167" s="241">
        <f t="shared" si="69"/>
        <v>0</v>
      </c>
      <c r="AB167" s="241">
        <f t="shared" si="69"/>
        <v>0</v>
      </c>
      <c r="AC167" s="241">
        <f t="shared" si="69"/>
        <v>0</v>
      </c>
      <c r="AD167" s="241">
        <f t="shared" si="69"/>
        <v>0</v>
      </c>
      <c r="AE167" s="241">
        <f t="shared" si="69"/>
        <v>0</v>
      </c>
      <c r="AF167" s="241">
        <f t="shared" si="69"/>
        <v>0</v>
      </c>
      <c r="AG167" s="241">
        <f t="shared" si="69"/>
        <v>0</v>
      </c>
      <c r="AH167" s="241">
        <f t="shared" si="69"/>
        <v>0</v>
      </c>
      <c r="AI167" s="241">
        <f t="shared" si="69"/>
        <v>0</v>
      </c>
      <c r="AJ167" s="241">
        <f t="shared" si="69"/>
        <v>0</v>
      </c>
      <c r="AK167" s="241">
        <f t="shared" si="69"/>
        <v>0</v>
      </c>
      <c r="AL167" s="241">
        <f t="shared" si="69"/>
        <v>0</v>
      </c>
      <c r="AM167" s="241">
        <f t="shared" si="69"/>
        <v>0</v>
      </c>
      <c r="AN167" s="241">
        <f t="shared" si="69"/>
        <v>0</v>
      </c>
      <c r="AO167" s="241">
        <f t="shared" si="69"/>
        <v>0</v>
      </c>
      <c r="AP167" s="241">
        <f t="shared" si="69"/>
        <v>0</v>
      </c>
      <c r="AQ167" s="241">
        <f t="shared" si="69"/>
        <v>0</v>
      </c>
      <c r="AR167" s="241">
        <f t="shared" si="69"/>
        <v>0</v>
      </c>
      <c r="AS167" s="241">
        <f t="shared" si="69"/>
        <v>0</v>
      </c>
      <c r="AT167" s="241">
        <f t="shared" si="69"/>
        <v>0</v>
      </c>
      <c r="AU167" s="241">
        <f t="shared" si="69"/>
        <v>0</v>
      </c>
      <c r="AV167" s="241">
        <f t="shared" si="69"/>
        <v>0</v>
      </c>
      <c r="AW167" s="259"/>
    </row>
    <row r="168">
      <c r="A168" s="122"/>
      <c r="B168" s="123"/>
      <c r="C168" s="123"/>
      <c r="D168" s="123"/>
      <c r="E168" s="199" t="s">
        <v>407</v>
      </c>
      <c r="F168" s="489" t="str">
        <f>F146</f>
        <v>%</v>
      </c>
      <c r="G168" s="200" t="s">
        <v>161</v>
      </c>
      <c r="H168" s="467" t="str">
        <f>H146</f>
        <v>-</v>
      </c>
      <c r="I168" s="385">
        <f t="shared" ref="I168:AV168" si="70">SUMPRODUCT(I146:I147,$H$159:$H$160)</f>
        <v>0.2826042921</v>
      </c>
      <c r="J168" s="385">
        <f t="shared" si="70"/>
        <v>0.3393472572</v>
      </c>
      <c r="K168" s="385">
        <f t="shared" si="70"/>
        <v>0.5198353652</v>
      </c>
      <c r="L168" s="385">
        <f t="shared" si="70"/>
        <v>0.5260755049</v>
      </c>
      <c r="M168" s="385">
        <f t="shared" si="70"/>
        <v>0.3716056064</v>
      </c>
      <c r="N168" s="385">
        <f t="shared" si="70"/>
        <v>0.4059263747</v>
      </c>
      <c r="O168" s="385">
        <f t="shared" si="70"/>
        <v>0.5972025208</v>
      </c>
      <c r="P168" s="385">
        <f t="shared" si="70"/>
        <v>0.1814928762</v>
      </c>
      <c r="Q168" s="385">
        <f t="shared" si="70"/>
        <v>0.4307282858</v>
      </c>
      <c r="R168" s="385">
        <f t="shared" si="70"/>
        <v>0.7055588446</v>
      </c>
      <c r="S168" s="385">
        <f t="shared" si="70"/>
        <v>0.5672181208</v>
      </c>
      <c r="T168" s="385">
        <f t="shared" si="70"/>
        <v>0.6711323113</v>
      </c>
      <c r="U168" s="385">
        <f t="shared" si="70"/>
        <v>0.637499016</v>
      </c>
      <c r="V168" s="385">
        <f t="shared" si="70"/>
        <v>0.6269225081</v>
      </c>
      <c r="W168" s="385">
        <f t="shared" si="70"/>
        <v>0.6284561017</v>
      </c>
      <c r="X168" s="385">
        <f t="shared" si="70"/>
        <v>0.3571686731</v>
      </c>
      <c r="Y168" s="385">
        <f t="shared" si="70"/>
        <v>0.7438458033</v>
      </c>
      <c r="Z168" s="385">
        <f t="shared" si="70"/>
        <v>0.6850933017</v>
      </c>
      <c r="AA168" s="385">
        <f t="shared" si="70"/>
        <v>0.8648939367</v>
      </c>
      <c r="AB168" s="385">
        <f t="shared" si="70"/>
        <v>0.7433698605</v>
      </c>
      <c r="AC168" s="385">
        <f t="shared" si="70"/>
        <v>0.8841960637</v>
      </c>
      <c r="AD168" s="385">
        <f t="shared" si="70"/>
        <v>0.7502445906</v>
      </c>
      <c r="AE168" s="385">
        <f t="shared" si="70"/>
        <v>0.8290924573</v>
      </c>
      <c r="AF168" s="385">
        <f t="shared" si="70"/>
        <v>0.6983668192</v>
      </c>
      <c r="AG168" s="385">
        <f t="shared" si="70"/>
        <v>0.5260755049</v>
      </c>
      <c r="AH168" s="385">
        <f t="shared" si="70"/>
        <v>0.6801752255</v>
      </c>
      <c r="AI168" s="385">
        <f t="shared" si="70"/>
        <v>0.5951401017</v>
      </c>
      <c r="AJ168" s="385">
        <f t="shared" si="70"/>
        <v>0.8115354541</v>
      </c>
      <c r="AK168" s="385">
        <f t="shared" si="70"/>
        <v>0.5230083176</v>
      </c>
      <c r="AL168" s="385">
        <f t="shared" si="70"/>
        <v>0.5014322414</v>
      </c>
      <c r="AM168" s="385">
        <f t="shared" si="70"/>
        <v>0.5014322414</v>
      </c>
      <c r="AN168" s="385">
        <f t="shared" si="70"/>
        <v>0.5014322414</v>
      </c>
      <c r="AO168" s="385">
        <f t="shared" si="70"/>
        <v>0.5253880319</v>
      </c>
      <c r="AP168" s="385">
        <f t="shared" si="70"/>
        <v>0.6196247176</v>
      </c>
      <c r="AQ168" s="385">
        <f t="shared" si="70"/>
        <v>0.751460889</v>
      </c>
      <c r="AR168" s="385">
        <f t="shared" si="70"/>
        <v>0.5727179049</v>
      </c>
      <c r="AS168" s="385">
        <f t="shared" si="70"/>
        <v>0.6457486922</v>
      </c>
      <c r="AT168" s="385">
        <f t="shared" si="70"/>
        <v>0.7889017272</v>
      </c>
      <c r="AU168" s="385">
        <f t="shared" si="70"/>
        <v>0.6083607366</v>
      </c>
      <c r="AV168" s="385">
        <f t="shared" si="70"/>
        <v>0.6665844128</v>
      </c>
      <c r="AW168" s="274"/>
    </row>
    <row r="169">
      <c r="A169" s="432"/>
      <c r="B169" s="433"/>
      <c r="C169" s="433"/>
      <c r="D169" s="433"/>
      <c r="E169" s="434"/>
      <c r="F169" s="435"/>
      <c r="G169" s="435"/>
      <c r="H169" s="406"/>
      <c r="I169" s="502"/>
      <c r="J169" s="502"/>
      <c r="K169" s="502"/>
      <c r="L169" s="502"/>
      <c r="M169" s="502"/>
      <c r="N169" s="502"/>
      <c r="O169" s="502"/>
      <c r="P169" s="502"/>
      <c r="Q169" s="502"/>
      <c r="R169" s="502"/>
      <c r="S169" s="502"/>
      <c r="T169" s="502"/>
      <c r="U169" s="502"/>
      <c r="V169" s="502"/>
      <c r="W169" s="502"/>
      <c r="X169" s="502"/>
      <c r="Y169" s="502"/>
      <c r="Z169" s="502"/>
      <c r="AA169" s="502"/>
      <c r="AB169" s="502"/>
      <c r="AC169" s="502"/>
      <c r="AD169" s="502"/>
      <c r="AE169" s="502"/>
      <c r="AF169" s="502"/>
      <c r="AG169" s="502"/>
      <c r="AH169" s="502"/>
      <c r="AI169" s="502"/>
      <c r="AJ169" s="502"/>
      <c r="AK169" s="502"/>
      <c r="AL169" s="502"/>
      <c r="AM169" s="502"/>
      <c r="AN169" s="502"/>
      <c r="AO169" s="502"/>
      <c r="AP169" s="502"/>
      <c r="AQ169" s="502"/>
      <c r="AR169" s="502"/>
      <c r="AS169" s="502"/>
      <c r="AT169" s="502"/>
      <c r="AU169" s="502"/>
      <c r="AV169" s="502"/>
      <c r="AW169" s="409"/>
    </row>
  </sheetData>
  <mergeCells count="28">
    <mergeCell ref="I1:Q1"/>
    <mergeCell ref="R1:AE1"/>
    <mergeCell ref="AF1:AV1"/>
    <mergeCell ref="A3:E3"/>
    <mergeCell ref="A5:G5"/>
    <mergeCell ref="C7:E7"/>
    <mergeCell ref="C17:E17"/>
    <mergeCell ref="C24:E24"/>
    <mergeCell ref="A32:G32"/>
    <mergeCell ref="C34:E34"/>
    <mergeCell ref="C45:E45"/>
    <mergeCell ref="A58:G58"/>
    <mergeCell ref="C60:E60"/>
    <mergeCell ref="C67:E67"/>
    <mergeCell ref="C119:E119"/>
    <mergeCell ref="C123:E123"/>
    <mergeCell ref="A127:G127"/>
    <mergeCell ref="C129:E129"/>
    <mergeCell ref="C135:E135"/>
    <mergeCell ref="C149:E149"/>
    <mergeCell ref="C162:E162"/>
    <mergeCell ref="C76:E76"/>
    <mergeCell ref="C84:E84"/>
    <mergeCell ref="A89:G89"/>
    <mergeCell ref="C91:E91"/>
    <mergeCell ref="C95:E95"/>
    <mergeCell ref="C101:E101"/>
    <mergeCell ref="C112:E112"/>
  </mergeCells>
  <hyperlinks>
    <hyperlink display="Adjustment for higher confidence in coverage survey results" location="Inputs!E45" ref="E11"/>
    <hyperlink display="Proportion of children reported to have received the BCG vaccine in New Incentives' coverage surveys" location="Inputs!E48" ref="E18"/>
    <hyperlink display="Proportion of children reported to have received the 1st dose of the Penta vaccine in New Incentives' coverage surveys" location="Inputs!E49" ref="E19"/>
    <hyperlink display="Proportion of children reported to have received the 2nd dose of the Penta vaccine in New Incentives' coverage surveys" location="Inputs!E50" ref="E20"/>
    <hyperlink display="Proportion of children reported to have received the 3rd dose of the Penta vaccine in New Incentives' coverage surveys" location="Inputs!E51" ref="E21"/>
    <hyperlink display="Proportion of children reported to have received the 1st dose of the measles vaccine in New Incentives' coverage surveys" location="Inputs!E52" ref="E22"/>
    <hyperlink display="Adjustment for self-report bias in New Incentives' coverage surveys" location="Inputs!E55" ref="E25"/>
    <hyperlink display="Proportion of children reported to have received the BCG vaccine in the 2021 MICS survey" location="Inputs!E58" ref="E35"/>
    <hyperlink display="Proportion of children reported to have received the 1st dose of the Penta vaccine in the 2021 MICS survey" location="Inputs!E59" ref="E36"/>
    <hyperlink display="Proportion of children reported to have received the 2nd dose of the Penta vaccine in the 2021 MICS survey" location="Inputs!E60" ref="E37"/>
    <hyperlink display="Proportion of children reported to have received the 3rd dose of the Penta vaccine in the 2021 MICS survey" location="Inputs!E61" ref="E38"/>
    <hyperlink display="Proportion of children reported to have received the 1st dose of the PCV vaccine in the 2021 MICS survey" location="Inputs!E62" ref="E39"/>
    <hyperlink display="Proportion of children reported to have received the 2nd dose of the PCV vaccine in the 2021 MICS survey" location="Inputs!E63" ref="E40"/>
    <hyperlink display="Proportion of children reported to have received the 3rd dose of the PCV vaccine in the 2021 MICS survey" location="Inputs!E64" ref="E41"/>
    <hyperlink display="Proportion of children reported to have received the 1st dose of the measles vaccine in the 2021 MICS survey" location="Inputs!E65" ref="E42"/>
    <hyperlink display="Proportion of children reported to have received the 2nd dose of the measles vaccine in the 2021 MICS survey" location="Inputs!E66" ref="E43"/>
    <hyperlink display="Proportion of positive responses that came from self-report in the 2021 MICS survey" location="Inputs!E76" ref="E46"/>
    <hyperlink display="Proportion of children reported to have received the BCG vaccine in the 2017 MICS survey" location="Inputs!E72" ref="E61"/>
    <hyperlink display="Proportion of children reported to have received the 1st dose of the Penta vaccine in the 2017 MICS survey" location="Inputs!E69" ref="E62"/>
    <hyperlink display="Proportion of children reported to have received the 2nd dose of the Penta vaccine in the 2017 MICS survey" location="Inputs!E70" ref="E63"/>
    <hyperlink display="Proportion of children reported to have received the 3rd dose of the Penta vaccine in the 2017 MICS survey" location="Inputs!E71" ref="E64"/>
    <hyperlink display="Proportion of children reported to have received the 1st dose of the measles vaccine in the 2017 MICS survey" location="Inputs!E73" ref="E65"/>
    <hyperlink display="Proportion of positive responses that came from self-report in the 2017 MICS survey" location="Inputs!E77" ref="E68"/>
    <hyperlink display="Weight placed on the results of New Incentives' coverage surveys for estimating BCG, Penta, and PCV coverage" location="'Vaccine coverage'!E12" ref="E92"/>
    <hyperlink display="Weight placed on estimated coverage for the Penta vaccine for estimating rotavirus vaccine coverage" location="Inputs!E83" ref="E113"/>
    <hyperlink display="Weight placed on estimated coverage for the PCV vaccine for estimating rotavirus vaccine coverage" location="Inputs!E84" ref="E114"/>
    <hyperlink display="Weight placed on the results of New Incentives' coverage surveys for estimating measles vaccine coverage" location="Inputs!E92" ref="E120"/>
    <hyperlink display="Weight placed on the results of the 2021 MICS survey for estimating measles vaccine coverage" location="Inputs!E93" ref="E121"/>
    <hyperlink display="Proportion of people under age 5 represented in GBD 2021 disease burden estimates who received the 1st dose of the rotavirus vaccine" location="Inputs!E87" ref="E143"/>
    <hyperlink display="Proportion of people under age 5 represented in GBD 2021 disease burden estimates who received the 2nd dose of the rotavirus vaccine" location="Inputs!E88" ref="E144"/>
    <hyperlink display="Proportion of people under age 5 represented in GBD 2021 disease burden estimates who received the 3rd dose of the rotavirus vaccine" location="Inputs!E89" ref="E145"/>
    <hyperlink display="Proportion of total Penta vaccine efficacy provided by the 1st dose" location="Inputs!E96" ref="E150"/>
    <hyperlink display="Proportion of total Penta vaccine efficacy provided by the 2nd dose" location="Inputs!E97" ref="E151"/>
    <hyperlink display="Proportion of total Penta vaccine efficacy provided by the 3rd dose" location="Inputs!E98" ref="E152"/>
    <hyperlink display="Proportion of total PCV vaccine efficacy provided by the 1st dose" location="Inputs!E99" ref="E153"/>
    <hyperlink display="Proportion of total PCV vaccine efficacy provided by the 2nd dose" location="Inputs!E100" ref="E154"/>
    <hyperlink display="Proportion of total PCV vaccine efficacy provided by the 3rd dose" location="Inputs!E101" ref="E155"/>
    <hyperlink display="Proportion of total rotavirus vaccine efficacy provided by the 1st dose" location="Inputs!E102" ref="E156"/>
    <hyperlink display="Proportion of total rotavirus vaccine efficacy provided by the 2nd dose" location="Inputs!E103" ref="E157"/>
    <hyperlink display="Proportion of total rotavirus vaccine efficacy provided by the 3rd dose" location="Inputs!E104" ref="E158"/>
    <hyperlink display="Proportion of total measles vaccine efficacy provided by the 1st dose" location="Inputs!E105" ref="E159"/>
    <hyperlink display="Proportion of total measles vaccine efficacy provided by the 2nd dose" location="Inputs!E106" ref="E160"/>
    <hyperlink display="Proportion of people under age 5 represented in GBD 2021 disease burden estimates who received the BCG vaccine" location="'Vaccine coverage'!E136" ref="E163"/>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12</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878</v>
      </c>
      <c r="F7" s="125"/>
      <c r="G7" s="48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
        <v>879</v>
      </c>
      <c r="F8" s="193" t="str">
        <f>Inputs!F17</f>
        <v>%</v>
      </c>
      <c r="G8" s="235" t="str">
        <f>Inputs!G17</f>
        <v>input</v>
      </c>
      <c r="H8" s="255">
        <f>Inputs!H17</f>
        <v>0.66</v>
      </c>
      <c r="I8" s="509" t="str">
        <f>Inputs!I17</f>
        <v>-</v>
      </c>
      <c r="J8" s="509" t="str">
        <f>Inputs!J17</f>
        <v>-</v>
      </c>
      <c r="K8" s="509" t="str">
        <f>Inputs!K17</f>
        <v>-</v>
      </c>
      <c r="L8" s="509" t="str">
        <f>Inputs!L17</f>
        <v>-</v>
      </c>
      <c r="M8" s="509" t="str">
        <f>Inputs!M17</f>
        <v>-</v>
      </c>
      <c r="N8" s="509" t="str">
        <f>Inputs!N17</f>
        <v>-</v>
      </c>
      <c r="O8" s="509" t="str">
        <f>Inputs!O17</f>
        <v>-</v>
      </c>
      <c r="P8" s="509" t="str">
        <f>Inputs!P17</f>
        <v>-</v>
      </c>
      <c r="Q8" s="509" t="str">
        <f>Inputs!Q17</f>
        <v>-</v>
      </c>
      <c r="R8" s="509" t="str">
        <f>Inputs!R17</f>
        <v>-</v>
      </c>
      <c r="S8" s="509" t="str">
        <f>Inputs!S17</f>
        <v>-</v>
      </c>
      <c r="T8" s="509" t="str">
        <f>Inputs!T17</f>
        <v>-</v>
      </c>
      <c r="U8" s="509" t="str">
        <f>Inputs!U17</f>
        <v>-</v>
      </c>
      <c r="V8" s="509" t="str">
        <f>Inputs!V17</f>
        <v>-</v>
      </c>
      <c r="W8" s="509" t="str">
        <f>Inputs!W17</f>
        <v>-</v>
      </c>
      <c r="X8" s="509" t="str">
        <f>Inputs!X17</f>
        <v>-</v>
      </c>
      <c r="Y8" s="509" t="str">
        <f>Inputs!Y17</f>
        <v>-</v>
      </c>
      <c r="Z8" s="509" t="str">
        <f>Inputs!Z17</f>
        <v>-</v>
      </c>
      <c r="AA8" s="509" t="str">
        <f>Inputs!AA17</f>
        <v>-</v>
      </c>
      <c r="AB8" s="509" t="str">
        <f>Inputs!AB17</f>
        <v>-</v>
      </c>
      <c r="AC8" s="509" t="str">
        <f>Inputs!AC17</f>
        <v>-</v>
      </c>
      <c r="AD8" s="509" t="str">
        <f>Inputs!AD17</f>
        <v>-</v>
      </c>
      <c r="AE8" s="509" t="str">
        <f>Inputs!AE17</f>
        <v>-</v>
      </c>
      <c r="AF8" s="509" t="str">
        <f>Inputs!AF17</f>
        <v>-</v>
      </c>
      <c r="AG8" s="509" t="str">
        <f>Inputs!AG17</f>
        <v>-</v>
      </c>
      <c r="AH8" s="509" t="str">
        <f>Inputs!AH17</f>
        <v>-</v>
      </c>
      <c r="AI8" s="509" t="str">
        <f>Inputs!AI17</f>
        <v>-</v>
      </c>
      <c r="AJ8" s="509" t="str">
        <f>Inputs!AJ17</f>
        <v>-</v>
      </c>
      <c r="AK8" s="509" t="str">
        <f>Inputs!AK17</f>
        <v>-</v>
      </c>
      <c r="AL8" s="509" t="str">
        <f>Inputs!AL17</f>
        <v>-</v>
      </c>
      <c r="AM8" s="509" t="str">
        <f>Inputs!AM17</f>
        <v>-</v>
      </c>
      <c r="AN8" s="509" t="str">
        <f>Inputs!AN17</f>
        <v>-</v>
      </c>
      <c r="AO8" s="509" t="str">
        <f>Inputs!AO17</f>
        <v>-</v>
      </c>
      <c r="AP8" s="509" t="str">
        <f>Inputs!AP17</f>
        <v>-</v>
      </c>
      <c r="AQ8" s="509" t="str">
        <f>Inputs!AQ17</f>
        <v>-</v>
      </c>
      <c r="AR8" s="509" t="str">
        <f>Inputs!AR17</f>
        <v>-</v>
      </c>
      <c r="AS8" s="509" t="str">
        <f>Inputs!AS17</f>
        <v>-</v>
      </c>
      <c r="AT8" s="509" t="str">
        <f>Inputs!AT17</f>
        <v>-</v>
      </c>
      <c r="AU8" s="509" t="str">
        <f>Inputs!AU17</f>
        <v>-</v>
      </c>
      <c r="AV8" s="509" t="str">
        <f>Inputs!AV17</f>
        <v>-</v>
      </c>
      <c r="AW8" s="256"/>
    </row>
    <row r="9">
      <c r="A9" s="122"/>
      <c r="B9" s="123"/>
      <c r="C9" s="131"/>
      <c r="D9" s="131"/>
      <c r="E9" s="254" t="s">
        <v>880</v>
      </c>
      <c r="F9" s="213" t="str">
        <f>Inputs!F18</f>
        <v>%</v>
      </c>
      <c r="G9" s="239" t="str">
        <f>Inputs!G18</f>
        <v>input</v>
      </c>
      <c r="H9" s="258">
        <f>Inputs!H18</f>
        <v>0.94</v>
      </c>
      <c r="I9" s="512" t="str">
        <f>Inputs!I18</f>
        <v>-</v>
      </c>
      <c r="J9" s="512" t="str">
        <f>Inputs!J18</f>
        <v>-</v>
      </c>
      <c r="K9" s="512" t="str">
        <f>Inputs!K18</f>
        <v>-</v>
      </c>
      <c r="L9" s="512" t="str">
        <f>Inputs!L18</f>
        <v>-</v>
      </c>
      <c r="M9" s="512" t="str">
        <f>Inputs!M18</f>
        <v>-</v>
      </c>
      <c r="N9" s="512" t="str">
        <f>Inputs!N18</f>
        <v>-</v>
      </c>
      <c r="O9" s="512" t="str">
        <f>Inputs!O18</f>
        <v>-</v>
      </c>
      <c r="P9" s="512" t="str">
        <f>Inputs!P18</f>
        <v>-</v>
      </c>
      <c r="Q9" s="512" t="str">
        <f>Inputs!Q18</f>
        <v>-</v>
      </c>
      <c r="R9" s="512" t="str">
        <f>Inputs!R18</f>
        <v>-</v>
      </c>
      <c r="S9" s="512" t="str">
        <f>Inputs!S18</f>
        <v>-</v>
      </c>
      <c r="T9" s="512" t="str">
        <f>Inputs!T18</f>
        <v>-</v>
      </c>
      <c r="U9" s="512" t="str">
        <f>Inputs!U18</f>
        <v>-</v>
      </c>
      <c r="V9" s="512" t="str">
        <f>Inputs!V18</f>
        <v>-</v>
      </c>
      <c r="W9" s="512" t="str">
        <f>Inputs!W18</f>
        <v>-</v>
      </c>
      <c r="X9" s="512" t="str">
        <f>Inputs!X18</f>
        <v>-</v>
      </c>
      <c r="Y9" s="512" t="str">
        <f>Inputs!Y18</f>
        <v>-</v>
      </c>
      <c r="Z9" s="512" t="str">
        <f>Inputs!Z18</f>
        <v>-</v>
      </c>
      <c r="AA9" s="512" t="str">
        <f>Inputs!AA18</f>
        <v>-</v>
      </c>
      <c r="AB9" s="512" t="str">
        <f>Inputs!AB18</f>
        <v>-</v>
      </c>
      <c r="AC9" s="512" t="str">
        <f>Inputs!AC18</f>
        <v>-</v>
      </c>
      <c r="AD9" s="512" t="str">
        <f>Inputs!AD18</f>
        <v>-</v>
      </c>
      <c r="AE9" s="512" t="str">
        <f>Inputs!AE18</f>
        <v>-</v>
      </c>
      <c r="AF9" s="512" t="str">
        <f>Inputs!AF18</f>
        <v>-</v>
      </c>
      <c r="AG9" s="512" t="str">
        <f>Inputs!AG18</f>
        <v>-</v>
      </c>
      <c r="AH9" s="512" t="str">
        <f>Inputs!AH18</f>
        <v>-</v>
      </c>
      <c r="AI9" s="512" t="str">
        <f>Inputs!AI18</f>
        <v>-</v>
      </c>
      <c r="AJ9" s="512" t="str">
        <f>Inputs!AJ18</f>
        <v>-</v>
      </c>
      <c r="AK9" s="512" t="str">
        <f>Inputs!AK18</f>
        <v>-</v>
      </c>
      <c r="AL9" s="512" t="str">
        <f>Inputs!AL18</f>
        <v>-</v>
      </c>
      <c r="AM9" s="512" t="str">
        <f>Inputs!AM18</f>
        <v>-</v>
      </c>
      <c r="AN9" s="512" t="str">
        <f>Inputs!AN18</f>
        <v>-</v>
      </c>
      <c r="AO9" s="512" t="str">
        <f>Inputs!AO18</f>
        <v>-</v>
      </c>
      <c r="AP9" s="512" t="str">
        <f>Inputs!AP18</f>
        <v>-</v>
      </c>
      <c r="AQ9" s="512" t="str">
        <f>Inputs!AQ18</f>
        <v>-</v>
      </c>
      <c r="AR9" s="512" t="str">
        <f>Inputs!AR18</f>
        <v>-</v>
      </c>
      <c r="AS9" s="512" t="str">
        <f>Inputs!AS18</f>
        <v>-</v>
      </c>
      <c r="AT9" s="512" t="str">
        <f>Inputs!AT18</f>
        <v>-</v>
      </c>
      <c r="AU9" s="512" t="str">
        <f>Inputs!AU18</f>
        <v>-</v>
      </c>
      <c r="AV9" s="512" t="str">
        <f>Inputs!AV18</f>
        <v>-</v>
      </c>
      <c r="AW9" s="259"/>
    </row>
    <row r="10">
      <c r="A10" s="122"/>
      <c r="B10" s="123"/>
      <c r="C10" s="131"/>
      <c r="D10" s="131"/>
      <c r="E10" s="254" t="s">
        <v>881</v>
      </c>
      <c r="F10" s="213" t="str">
        <f>Inputs!F19</f>
        <v>%</v>
      </c>
      <c r="G10" s="239" t="str">
        <f>Inputs!G19</f>
        <v>input</v>
      </c>
      <c r="H10" s="258">
        <f>Inputs!H19</f>
        <v>0.82</v>
      </c>
      <c r="I10" s="512" t="str">
        <f>Inputs!I19</f>
        <v>-</v>
      </c>
      <c r="J10" s="512" t="str">
        <f>Inputs!J19</f>
        <v>-</v>
      </c>
      <c r="K10" s="512" t="str">
        <f>Inputs!K19</f>
        <v>-</v>
      </c>
      <c r="L10" s="512" t="str">
        <f>Inputs!L19</f>
        <v>-</v>
      </c>
      <c r="M10" s="512" t="str">
        <f>Inputs!M19</f>
        <v>-</v>
      </c>
      <c r="N10" s="512" t="str">
        <f>Inputs!N19</f>
        <v>-</v>
      </c>
      <c r="O10" s="512" t="str">
        <f>Inputs!O19</f>
        <v>-</v>
      </c>
      <c r="P10" s="512" t="str">
        <f>Inputs!P19</f>
        <v>-</v>
      </c>
      <c r="Q10" s="512" t="str">
        <f>Inputs!Q19</f>
        <v>-</v>
      </c>
      <c r="R10" s="512" t="str">
        <f>Inputs!R19</f>
        <v>-</v>
      </c>
      <c r="S10" s="512" t="str">
        <f>Inputs!S19</f>
        <v>-</v>
      </c>
      <c r="T10" s="512" t="str">
        <f>Inputs!T19</f>
        <v>-</v>
      </c>
      <c r="U10" s="512" t="str">
        <f>Inputs!U19</f>
        <v>-</v>
      </c>
      <c r="V10" s="512" t="str">
        <f>Inputs!V19</f>
        <v>-</v>
      </c>
      <c r="W10" s="512" t="str">
        <f>Inputs!W19</f>
        <v>-</v>
      </c>
      <c r="X10" s="512" t="str">
        <f>Inputs!X19</f>
        <v>-</v>
      </c>
      <c r="Y10" s="512" t="str">
        <f>Inputs!Y19</f>
        <v>-</v>
      </c>
      <c r="Z10" s="512" t="str">
        <f>Inputs!Z19</f>
        <v>-</v>
      </c>
      <c r="AA10" s="512" t="str">
        <f>Inputs!AA19</f>
        <v>-</v>
      </c>
      <c r="AB10" s="512" t="str">
        <f>Inputs!AB19</f>
        <v>-</v>
      </c>
      <c r="AC10" s="512" t="str">
        <f>Inputs!AC19</f>
        <v>-</v>
      </c>
      <c r="AD10" s="512" t="str">
        <f>Inputs!AD19</f>
        <v>-</v>
      </c>
      <c r="AE10" s="512" t="str">
        <f>Inputs!AE19</f>
        <v>-</v>
      </c>
      <c r="AF10" s="512" t="str">
        <f>Inputs!AF19</f>
        <v>-</v>
      </c>
      <c r="AG10" s="512" t="str">
        <f>Inputs!AG19</f>
        <v>-</v>
      </c>
      <c r="AH10" s="512" t="str">
        <f>Inputs!AH19</f>
        <v>-</v>
      </c>
      <c r="AI10" s="512" t="str">
        <f>Inputs!AI19</f>
        <v>-</v>
      </c>
      <c r="AJ10" s="512" t="str">
        <f>Inputs!AJ19</f>
        <v>-</v>
      </c>
      <c r="AK10" s="512" t="str">
        <f>Inputs!AK19</f>
        <v>-</v>
      </c>
      <c r="AL10" s="512" t="str">
        <f>Inputs!AL19</f>
        <v>-</v>
      </c>
      <c r="AM10" s="512" t="str">
        <f>Inputs!AM19</f>
        <v>-</v>
      </c>
      <c r="AN10" s="512" t="str">
        <f>Inputs!AN19</f>
        <v>-</v>
      </c>
      <c r="AO10" s="512" t="str">
        <f>Inputs!AO19</f>
        <v>-</v>
      </c>
      <c r="AP10" s="512" t="str">
        <f>Inputs!AP19</f>
        <v>-</v>
      </c>
      <c r="AQ10" s="512" t="str">
        <f>Inputs!AQ19</f>
        <v>-</v>
      </c>
      <c r="AR10" s="512" t="str">
        <f>Inputs!AR19</f>
        <v>-</v>
      </c>
      <c r="AS10" s="512" t="str">
        <f>Inputs!AS19</f>
        <v>-</v>
      </c>
      <c r="AT10" s="512" t="str">
        <f>Inputs!AT19</f>
        <v>-</v>
      </c>
      <c r="AU10" s="512" t="str">
        <f>Inputs!AU19</f>
        <v>-</v>
      </c>
      <c r="AV10" s="512" t="str">
        <f>Inputs!AV19</f>
        <v>-</v>
      </c>
      <c r="AW10" s="259"/>
    </row>
    <row r="11">
      <c r="A11" s="122"/>
      <c r="B11" s="123"/>
      <c r="C11" s="131"/>
      <c r="D11" s="131"/>
      <c r="E11" s="254" t="s">
        <v>882</v>
      </c>
      <c r="F11" s="213" t="str">
        <f>Inputs!F20</f>
        <v>%</v>
      </c>
      <c r="G11" s="239" t="str">
        <f>Inputs!G20</f>
        <v>input</v>
      </c>
      <c r="H11" s="258">
        <f>Inputs!H20</f>
        <v>0.475</v>
      </c>
      <c r="I11" s="512" t="str">
        <f>Inputs!I20</f>
        <v>-</v>
      </c>
      <c r="J11" s="512" t="str">
        <f>Inputs!J20</f>
        <v>-</v>
      </c>
      <c r="K11" s="512" t="str">
        <f>Inputs!K20</f>
        <v>-</v>
      </c>
      <c r="L11" s="512" t="str">
        <f>Inputs!L20</f>
        <v>-</v>
      </c>
      <c r="M11" s="512" t="str">
        <f>Inputs!M20</f>
        <v>-</v>
      </c>
      <c r="N11" s="512" t="str">
        <f>Inputs!N20</f>
        <v>-</v>
      </c>
      <c r="O11" s="512" t="str">
        <f>Inputs!O20</f>
        <v>-</v>
      </c>
      <c r="P11" s="512" t="str">
        <f>Inputs!P20</f>
        <v>-</v>
      </c>
      <c r="Q11" s="512" t="str">
        <f>Inputs!Q20</f>
        <v>-</v>
      </c>
      <c r="R11" s="512" t="str">
        <f>Inputs!R20</f>
        <v>-</v>
      </c>
      <c r="S11" s="512" t="str">
        <f>Inputs!S20</f>
        <v>-</v>
      </c>
      <c r="T11" s="512" t="str">
        <f>Inputs!T20</f>
        <v>-</v>
      </c>
      <c r="U11" s="512" t="str">
        <f>Inputs!U20</f>
        <v>-</v>
      </c>
      <c r="V11" s="512" t="str">
        <f>Inputs!V20</f>
        <v>-</v>
      </c>
      <c r="W11" s="512" t="str">
        <f>Inputs!W20</f>
        <v>-</v>
      </c>
      <c r="X11" s="512" t="str">
        <f>Inputs!X20</f>
        <v>-</v>
      </c>
      <c r="Y11" s="512" t="str">
        <f>Inputs!Y20</f>
        <v>-</v>
      </c>
      <c r="Z11" s="512" t="str">
        <f>Inputs!Z20</f>
        <v>-</v>
      </c>
      <c r="AA11" s="512" t="str">
        <f>Inputs!AA20</f>
        <v>-</v>
      </c>
      <c r="AB11" s="512" t="str">
        <f>Inputs!AB20</f>
        <v>-</v>
      </c>
      <c r="AC11" s="512" t="str">
        <f>Inputs!AC20</f>
        <v>-</v>
      </c>
      <c r="AD11" s="512" t="str">
        <f>Inputs!AD20</f>
        <v>-</v>
      </c>
      <c r="AE11" s="512" t="str">
        <f>Inputs!AE20</f>
        <v>-</v>
      </c>
      <c r="AF11" s="512" t="str">
        <f>Inputs!AF20</f>
        <v>-</v>
      </c>
      <c r="AG11" s="512" t="str">
        <f>Inputs!AG20</f>
        <v>-</v>
      </c>
      <c r="AH11" s="512" t="str">
        <f>Inputs!AH20</f>
        <v>-</v>
      </c>
      <c r="AI11" s="512" t="str">
        <f>Inputs!AI20</f>
        <v>-</v>
      </c>
      <c r="AJ11" s="512" t="str">
        <f>Inputs!AJ20</f>
        <v>-</v>
      </c>
      <c r="AK11" s="512" t="str">
        <f>Inputs!AK20</f>
        <v>-</v>
      </c>
      <c r="AL11" s="512" t="str">
        <f>Inputs!AL20</f>
        <v>-</v>
      </c>
      <c r="AM11" s="512" t="str">
        <f>Inputs!AM20</f>
        <v>-</v>
      </c>
      <c r="AN11" s="512" t="str">
        <f>Inputs!AN20</f>
        <v>-</v>
      </c>
      <c r="AO11" s="512" t="str">
        <f>Inputs!AO20</f>
        <v>-</v>
      </c>
      <c r="AP11" s="512" t="str">
        <f>Inputs!AP20</f>
        <v>-</v>
      </c>
      <c r="AQ11" s="512" t="str">
        <f>Inputs!AQ20</f>
        <v>-</v>
      </c>
      <c r="AR11" s="512" t="str">
        <f>Inputs!AR20</f>
        <v>-</v>
      </c>
      <c r="AS11" s="512" t="str">
        <f>Inputs!AS20</f>
        <v>-</v>
      </c>
      <c r="AT11" s="512" t="str">
        <f>Inputs!AT20</f>
        <v>-</v>
      </c>
      <c r="AU11" s="512" t="str">
        <f>Inputs!AU20</f>
        <v>-</v>
      </c>
      <c r="AV11" s="512" t="str">
        <f>Inputs!AV20</f>
        <v>-</v>
      </c>
      <c r="AW11" s="259"/>
    </row>
    <row r="12">
      <c r="A12" s="122"/>
      <c r="B12" s="123"/>
      <c r="C12" s="131"/>
      <c r="D12" s="131"/>
      <c r="E12" s="254" t="s">
        <v>883</v>
      </c>
      <c r="F12" s="193" t="str">
        <f>Inputs!F21</f>
        <v>%</v>
      </c>
      <c r="G12" s="235" t="str">
        <f>Inputs!G21</f>
        <v>input</v>
      </c>
      <c r="H12" s="255">
        <f>Inputs!H21</f>
        <v>0.46</v>
      </c>
      <c r="I12" s="509" t="str">
        <f>Inputs!I21</f>
        <v>-</v>
      </c>
      <c r="J12" s="509" t="str">
        <f>Inputs!J21</f>
        <v>-</v>
      </c>
      <c r="K12" s="509" t="str">
        <f>Inputs!K21</f>
        <v>-</v>
      </c>
      <c r="L12" s="512" t="str">
        <f>Inputs!L21</f>
        <v>-</v>
      </c>
      <c r="M12" s="509" t="str">
        <f>Inputs!M21</f>
        <v>-</v>
      </c>
      <c r="N12" s="509" t="str">
        <f>Inputs!N21</f>
        <v>-</v>
      </c>
      <c r="O12" s="509" t="str">
        <f>Inputs!O21</f>
        <v>-</v>
      </c>
      <c r="P12" s="509" t="str">
        <f>Inputs!P21</f>
        <v>-</v>
      </c>
      <c r="Q12" s="509" t="str">
        <f>Inputs!Q21</f>
        <v>-</v>
      </c>
      <c r="R12" s="509" t="str">
        <f>Inputs!R21</f>
        <v>-</v>
      </c>
      <c r="S12" s="509" t="str">
        <f>Inputs!S21</f>
        <v>-</v>
      </c>
      <c r="T12" s="509" t="str">
        <f>Inputs!T21</f>
        <v>-</v>
      </c>
      <c r="U12" s="509" t="str">
        <f>Inputs!U21</f>
        <v>-</v>
      </c>
      <c r="V12" s="509" t="str">
        <f>Inputs!V21</f>
        <v>-</v>
      </c>
      <c r="W12" s="509" t="str">
        <f>Inputs!W21</f>
        <v>-</v>
      </c>
      <c r="X12" s="509" t="str">
        <f>Inputs!X21</f>
        <v>-</v>
      </c>
      <c r="Y12" s="509" t="str">
        <f>Inputs!Y21</f>
        <v>-</v>
      </c>
      <c r="Z12" s="509" t="str">
        <f>Inputs!Z21</f>
        <v>-</v>
      </c>
      <c r="AA12" s="509" t="str">
        <f>Inputs!AA21</f>
        <v>-</v>
      </c>
      <c r="AB12" s="509" t="str">
        <f>Inputs!AB21</f>
        <v>-</v>
      </c>
      <c r="AC12" s="509" t="str">
        <f>Inputs!AC21</f>
        <v>-</v>
      </c>
      <c r="AD12" s="509" t="str">
        <f>Inputs!AD21</f>
        <v>-</v>
      </c>
      <c r="AE12" s="509" t="str">
        <f>Inputs!AE21</f>
        <v>-</v>
      </c>
      <c r="AF12" s="509" t="str">
        <f>Inputs!AF21</f>
        <v>-</v>
      </c>
      <c r="AG12" s="509" t="str">
        <f>Inputs!AG21</f>
        <v>-</v>
      </c>
      <c r="AH12" s="509" t="str">
        <f>Inputs!AH21</f>
        <v>-</v>
      </c>
      <c r="AI12" s="509" t="str">
        <f>Inputs!AI21</f>
        <v>-</v>
      </c>
      <c r="AJ12" s="509" t="str">
        <f>Inputs!AJ21</f>
        <v>-</v>
      </c>
      <c r="AK12" s="509" t="str">
        <f>Inputs!AK21</f>
        <v>-</v>
      </c>
      <c r="AL12" s="509" t="str">
        <f>Inputs!AL21</f>
        <v>-</v>
      </c>
      <c r="AM12" s="509" t="str">
        <f>Inputs!AM21</f>
        <v>-</v>
      </c>
      <c r="AN12" s="509" t="str">
        <f>Inputs!AN21</f>
        <v>-</v>
      </c>
      <c r="AO12" s="509" t="str">
        <f>Inputs!AO21</f>
        <v>-</v>
      </c>
      <c r="AP12" s="509" t="str">
        <f>Inputs!AP21</f>
        <v>-</v>
      </c>
      <c r="AQ12" s="509" t="str">
        <f>Inputs!AQ21</f>
        <v>-</v>
      </c>
      <c r="AR12" s="509" t="str">
        <f>Inputs!AR21</f>
        <v>-</v>
      </c>
      <c r="AS12" s="509" t="str">
        <f>Inputs!AS21</f>
        <v>-</v>
      </c>
      <c r="AT12" s="509" t="str">
        <f>Inputs!AT21</f>
        <v>-</v>
      </c>
      <c r="AU12" s="509" t="str">
        <f>Inputs!AU21</f>
        <v>-</v>
      </c>
      <c r="AV12" s="509" t="str">
        <f>Inputs!AV21</f>
        <v>-</v>
      </c>
      <c r="AW12" s="256"/>
    </row>
    <row r="13">
      <c r="A13" s="122"/>
      <c r="B13" s="123"/>
      <c r="C13" s="131"/>
      <c r="D13" s="131"/>
      <c r="E13" s="257" t="s">
        <v>884</v>
      </c>
      <c r="F13" s="213" t="str">
        <f>Inputs!F23</f>
        <v>%</v>
      </c>
      <c r="G13" s="239" t="str">
        <f>Inputs!G23</f>
        <v>input</v>
      </c>
      <c r="H13" s="258">
        <f>Inputs!H23</f>
        <v>0.9</v>
      </c>
      <c r="I13" s="512" t="str">
        <f>Inputs!I23</f>
        <v>-</v>
      </c>
      <c r="J13" s="512" t="str">
        <f>Inputs!J23</f>
        <v>-</v>
      </c>
      <c r="K13" s="512" t="str">
        <f>Inputs!K23</f>
        <v>-</v>
      </c>
      <c r="L13" s="512" t="str">
        <f>Inputs!L23</f>
        <v>-</v>
      </c>
      <c r="M13" s="512" t="str">
        <f>Inputs!M23</f>
        <v>-</v>
      </c>
      <c r="N13" s="512" t="str">
        <f>Inputs!N23</f>
        <v>-</v>
      </c>
      <c r="O13" s="512" t="str">
        <f>Inputs!O23</f>
        <v>-</v>
      </c>
      <c r="P13" s="512" t="str">
        <f>Inputs!P23</f>
        <v>-</v>
      </c>
      <c r="Q13" s="512" t="str">
        <f>Inputs!Q23</f>
        <v>-</v>
      </c>
      <c r="R13" s="512" t="str">
        <f>Inputs!R23</f>
        <v>-</v>
      </c>
      <c r="S13" s="512" t="str">
        <f>Inputs!S23</f>
        <v>-</v>
      </c>
      <c r="T13" s="512" t="str">
        <f>Inputs!T23</f>
        <v>-</v>
      </c>
      <c r="U13" s="512" t="str">
        <f>Inputs!U23</f>
        <v>-</v>
      </c>
      <c r="V13" s="512" t="str">
        <f>Inputs!V23</f>
        <v>-</v>
      </c>
      <c r="W13" s="512" t="str">
        <f>Inputs!W23</f>
        <v>-</v>
      </c>
      <c r="X13" s="512" t="str">
        <f>Inputs!X23</f>
        <v>-</v>
      </c>
      <c r="Y13" s="512" t="str">
        <f>Inputs!Y23</f>
        <v>-</v>
      </c>
      <c r="Z13" s="512" t="str">
        <f>Inputs!Z23</f>
        <v>-</v>
      </c>
      <c r="AA13" s="512" t="str">
        <f>Inputs!AA23</f>
        <v>-</v>
      </c>
      <c r="AB13" s="512" t="str">
        <f>Inputs!AB23</f>
        <v>-</v>
      </c>
      <c r="AC13" s="512" t="str">
        <f>Inputs!AC23</f>
        <v>-</v>
      </c>
      <c r="AD13" s="512" t="str">
        <f>Inputs!AD23</f>
        <v>-</v>
      </c>
      <c r="AE13" s="512" t="str">
        <f>Inputs!AE23</f>
        <v>-</v>
      </c>
      <c r="AF13" s="512" t="str">
        <f>Inputs!AF23</f>
        <v>-</v>
      </c>
      <c r="AG13" s="512" t="str">
        <f>Inputs!AG23</f>
        <v>-</v>
      </c>
      <c r="AH13" s="512" t="str">
        <f>Inputs!AH23</f>
        <v>-</v>
      </c>
      <c r="AI13" s="512" t="str">
        <f>Inputs!AI23</f>
        <v>-</v>
      </c>
      <c r="AJ13" s="512" t="str">
        <f>Inputs!AJ23</f>
        <v>-</v>
      </c>
      <c r="AK13" s="512" t="str">
        <f>Inputs!AK23</f>
        <v>-</v>
      </c>
      <c r="AL13" s="512" t="str">
        <f>Inputs!AL23</f>
        <v>-</v>
      </c>
      <c r="AM13" s="512" t="str">
        <f>Inputs!AM23</f>
        <v>-</v>
      </c>
      <c r="AN13" s="512" t="str">
        <f>Inputs!AN23</f>
        <v>-</v>
      </c>
      <c r="AO13" s="512" t="str">
        <f>Inputs!AO23</f>
        <v>-</v>
      </c>
      <c r="AP13" s="512" t="str">
        <f>Inputs!AP23</f>
        <v>-</v>
      </c>
      <c r="AQ13" s="512" t="str">
        <f>Inputs!AQ23</f>
        <v>-</v>
      </c>
      <c r="AR13" s="512" t="str">
        <f>Inputs!AR23</f>
        <v>-</v>
      </c>
      <c r="AS13" s="512" t="str">
        <f>Inputs!AS23</f>
        <v>-</v>
      </c>
      <c r="AT13" s="512" t="str">
        <f>Inputs!AT23</f>
        <v>-</v>
      </c>
      <c r="AU13" s="512" t="str">
        <f>Inputs!AU23</f>
        <v>-</v>
      </c>
      <c r="AV13" s="512" t="str">
        <f>Inputs!AV23</f>
        <v>-</v>
      </c>
      <c r="AW13" s="259"/>
    </row>
    <row r="14">
      <c r="A14" s="122"/>
      <c r="B14" s="123"/>
      <c r="C14" s="131"/>
      <c r="D14" s="131"/>
      <c r="E14" s="272" t="s">
        <v>885</v>
      </c>
      <c r="F14" s="200" t="str">
        <f>Inputs!F22</f>
        <v>%</v>
      </c>
      <c r="G14" s="273" t="str">
        <f>Inputs!G22</f>
        <v>input</v>
      </c>
      <c r="H14" s="498">
        <f>Inputs!H22</f>
        <v>0.85</v>
      </c>
      <c r="I14" s="515" t="str">
        <f>Inputs!I22</f>
        <v>-</v>
      </c>
      <c r="J14" s="515" t="str">
        <f>Inputs!J22</f>
        <v>-</v>
      </c>
      <c r="K14" s="515" t="str">
        <f>Inputs!K22</f>
        <v>-</v>
      </c>
      <c r="L14" s="515" t="str">
        <f>Inputs!L22</f>
        <v>-</v>
      </c>
      <c r="M14" s="515" t="str">
        <f>Inputs!M22</f>
        <v>-</v>
      </c>
      <c r="N14" s="515" t="str">
        <f>Inputs!N22</f>
        <v>-</v>
      </c>
      <c r="O14" s="515" t="str">
        <f>Inputs!O22</f>
        <v>-</v>
      </c>
      <c r="P14" s="515" t="str">
        <f>Inputs!P22</f>
        <v>-</v>
      </c>
      <c r="Q14" s="515" t="str">
        <f>Inputs!Q22</f>
        <v>-</v>
      </c>
      <c r="R14" s="515" t="str">
        <f>Inputs!R22</f>
        <v>-</v>
      </c>
      <c r="S14" s="515" t="str">
        <f>Inputs!S22</f>
        <v>-</v>
      </c>
      <c r="T14" s="515" t="str">
        <f>Inputs!T22</f>
        <v>-</v>
      </c>
      <c r="U14" s="515" t="str">
        <f>Inputs!U22</f>
        <v>-</v>
      </c>
      <c r="V14" s="515" t="str">
        <f>Inputs!V22</f>
        <v>-</v>
      </c>
      <c r="W14" s="515" t="str">
        <f>Inputs!W22</f>
        <v>-</v>
      </c>
      <c r="X14" s="515" t="str">
        <f>Inputs!X22</f>
        <v>-</v>
      </c>
      <c r="Y14" s="515" t="str">
        <f>Inputs!Y22</f>
        <v>-</v>
      </c>
      <c r="Z14" s="515" t="str">
        <f>Inputs!Z22</f>
        <v>-</v>
      </c>
      <c r="AA14" s="515" t="str">
        <f>Inputs!AA22</f>
        <v>-</v>
      </c>
      <c r="AB14" s="515" t="str">
        <f>Inputs!AB22</f>
        <v>-</v>
      </c>
      <c r="AC14" s="515" t="str">
        <f>Inputs!AC22</f>
        <v>-</v>
      </c>
      <c r="AD14" s="515" t="str">
        <f>Inputs!AD22</f>
        <v>-</v>
      </c>
      <c r="AE14" s="515" t="str">
        <f>Inputs!AE22</f>
        <v>-</v>
      </c>
      <c r="AF14" s="515" t="str">
        <f>Inputs!AF22</f>
        <v>-</v>
      </c>
      <c r="AG14" s="515" t="str">
        <f>Inputs!AG22</f>
        <v>-</v>
      </c>
      <c r="AH14" s="515" t="str">
        <f>Inputs!AH22</f>
        <v>-</v>
      </c>
      <c r="AI14" s="515" t="str">
        <f>Inputs!AI22</f>
        <v>-</v>
      </c>
      <c r="AJ14" s="515" t="str">
        <f>Inputs!AJ22</f>
        <v>-</v>
      </c>
      <c r="AK14" s="515" t="str">
        <f>Inputs!AK22</f>
        <v>-</v>
      </c>
      <c r="AL14" s="515" t="str">
        <f>Inputs!AL22</f>
        <v>-</v>
      </c>
      <c r="AM14" s="515" t="str">
        <f>Inputs!AM22</f>
        <v>-</v>
      </c>
      <c r="AN14" s="515" t="str">
        <f>Inputs!AN22</f>
        <v>-</v>
      </c>
      <c r="AO14" s="515" t="str">
        <f>Inputs!AO22</f>
        <v>-</v>
      </c>
      <c r="AP14" s="515" t="str">
        <f>Inputs!AP22</f>
        <v>-</v>
      </c>
      <c r="AQ14" s="515" t="str">
        <f>Inputs!AQ22</f>
        <v>-</v>
      </c>
      <c r="AR14" s="515" t="str">
        <f>Inputs!AR22</f>
        <v>-</v>
      </c>
      <c r="AS14" s="515" t="str">
        <f>Inputs!AS22</f>
        <v>-</v>
      </c>
      <c r="AT14" s="515" t="str">
        <f>Inputs!AT22</f>
        <v>-</v>
      </c>
      <c r="AU14" s="515" t="str">
        <f>Inputs!AU22</f>
        <v>-</v>
      </c>
      <c r="AV14" s="515" t="str">
        <f>Inputs!AV22</f>
        <v>-</v>
      </c>
      <c r="AW14" s="274"/>
    </row>
    <row r="15">
      <c r="A15" s="122"/>
      <c r="B15" s="123"/>
      <c r="C15" s="131"/>
      <c r="D15" s="131"/>
      <c r="E15" s="269"/>
      <c r="F15" s="125"/>
      <c r="G15" s="132"/>
      <c r="H15" s="127"/>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30"/>
    </row>
    <row r="16">
      <c r="A16" s="117" t="s">
        <v>886</v>
      </c>
      <c r="B16" s="7"/>
      <c r="C16" s="7"/>
      <c r="D16" s="7"/>
      <c r="E16" s="7"/>
      <c r="F16" s="7"/>
      <c r="G16" s="7"/>
      <c r="H16" s="118"/>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121"/>
    </row>
    <row r="17">
      <c r="A17" s="122"/>
      <c r="B17" s="123"/>
      <c r="C17" s="131"/>
      <c r="D17" s="131"/>
      <c r="E17" s="275"/>
      <c r="F17" s="125"/>
      <c r="G17" s="482"/>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43" t="s">
        <v>887</v>
      </c>
      <c r="F18" s="125"/>
      <c r="G18" s="482"/>
      <c r="H18" s="127"/>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30"/>
    </row>
    <row r="19">
      <c r="A19" s="122"/>
      <c r="B19" s="123"/>
      <c r="C19" s="131"/>
      <c r="D19" s="131"/>
      <c r="E19" s="254" t="s">
        <v>885</v>
      </c>
      <c r="F19" s="193" t="str">
        <f>F13</f>
        <v>%</v>
      </c>
      <c r="G19" s="483" t="s">
        <v>155</v>
      </c>
      <c r="H19" s="255">
        <f t="shared" ref="H19:AV19" si="1">H14</f>
        <v>0.85</v>
      </c>
      <c r="I19" s="651" t="str">
        <f t="shared" si="1"/>
        <v>-</v>
      </c>
      <c r="J19" s="509" t="str">
        <f t="shared" si="1"/>
        <v>-</v>
      </c>
      <c r="K19" s="509" t="str">
        <f t="shared" si="1"/>
        <v>-</v>
      </c>
      <c r="L19" s="509" t="str">
        <f t="shared" si="1"/>
        <v>-</v>
      </c>
      <c r="M19" s="509" t="str">
        <f t="shared" si="1"/>
        <v>-</v>
      </c>
      <c r="N19" s="509" t="str">
        <f t="shared" si="1"/>
        <v>-</v>
      </c>
      <c r="O19" s="509" t="str">
        <f t="shared" si="1"/>
        <v>-</v>
      </c>
      <c r="P19" s="509" t="str">
        <f t="shared" si="1"/>
        <v>-</v>
      </c>
      <c r="Q19" s="509" t="str">
        <f t="shared" si="1"/>
        <v>-</v>
      </c>
      <c r="R19" s="509" t="str">
        <f t="shared" si="1"/>
        <v>-</v>
      </c>
      <c r="S19" s="509" t="str">
        <f t="shared" si="1"/>
        <v>-</v>
      </c>
      <c r="T19" s="509" t="str">
        <f t="shared" si="1"/>
        <v>-</v>
      </c>
      <c r="U19" s="509" t="str">
        <f t="shared" si="1"/>
        <v>-</v>
      </c>
      <c r="V19" s="509" t="str">
        <f t="shared" si="1"/>
        <v>-</v>
      </c>
      <c r="W19" s="509" t="str">
        <f t="shared" si="1"/>
        <v>-</v>
      </c>
      <c r="X19" s="509" t="str">
        <f t="shared" si="1"/>
        <v>-</v>
      </c>
      <c r="Y19" s="509" t="str">
        <f t="shared" si="1"/>
        <v>-</v>
      </c>
      <c r="Z19" s="509" t="str">
        <f t="shared" si="1"/>
        <v>-</v>
      </c>
      <c r="AA19" s="509" t="str">
        <f t="shared" si="1"/>
        <v>-</v>
      </c>
      <c r="AB19" s="509" t="str">
        <f t="shared" si="1"/>
        <v>-</v>
      </c>
      <c r="AC19" s="509" t="str">
        <f t="shared" si="1"/>
        <v>-</v>
      </c>
      <c r="AD19" s="509" t="str">
        <f t="shared" si="1"/>
        <v>-</v>
      </c>
      <c r="AE19" s="509" t="str">
        <f t="shared" si="1"/>
        <v>-</v>
      </c>
      <c r="AF19" s="509" t="str">
        <f t="shared" si="1"/>
        <v>-</v>
      </c>
      <c r="AG19" s="509" t="str">
        <f t="shared" si="1"/>
        <v>-</v>
      </c>
      <c r="AH19" s="509" t="str">
        <f t="shared" si="1"/>
        <v>-</v>
      </c>
      <c r="AI19" s="509" t="str">
        <f t="shared" si="1"/>
        <v>-</v>
      </c>
      <c r="AJ19" s="509" t="str">
        <f t="shared" si="1"/>
        <v>-</v>
      </c>
      <c r="AK19" s="509" t="str">
        <f t="shared" si="1"/>
        <v>-</v>
      </c>
      <c r="AL19" s="509" t="str">
        <f t="shared" si="1"/>
        <v>-</v>
      </c>
      <c r="AM19" s="509" t="str">
        <f t="shared" si="1"/>
        <v>-</v>
      </c>
      <c r="AN19" s="509" t="str">
        <f t="shared" si="1"/>
        <v>-</v>
      </c>
      <c r="AO19" s="509" t="str">
        <f t="shared" si="1"/>
        <v>-</v>
      </c>
      <c r="AP19" s="509" t="str">
        <f t="shared" si="1"/>
        <v>-</v>
      </c>
      <c r="AQ19" s="509" t="str">
        <f t="shared" si="1"/>
        <v>-</v>
      </c>
      <c r="AR19" s="509" t="str">
        <f t="shared" si="1"/>
        <v>-</v>
      </c>
      <c r="AS19" s="509" t="str">
        <f t="shared" si="1"/>
        <v>-</v>
      </c>
      <c r="AT19" s="509" t="str">
        <f t="shared" si="1"/>
        <v>-</v>
      </c>
      <c r="AU19" s="509" t="str">
        <f t="shared" si="1"/>
        <v>-</v>
      </c>
      <c r="AV19" s="509" t="str">
        <f t="shared" si="1"/>
        <v>-</v>
      </c>
      <c r="AW19" s="256"/>
    </row>
    <row r="20">
      <c r="A20" s="122"/>
      <c r="B20" s="123"/>
      <c r="C20" s="131"/>
      <c r="D20" s="131"/>
      <c r="E20" s="257" t="s">
        <v>888</v>
      </c>
      <c r="F20" s="213" t="str">
        <f>Inputs!F26</f>
        <v>%</v>
      </c>
      <c r="G20" s="485" t="str">
        <f>Inputs!G26</f>
        <v>input</v>
      </c>
      <c r="H20" s="258">
        <f>Inputs!H26</f>
        <v>0.2572674</v>
      </c>
      <c r="I20" s="512" t="str">
        <f>Inputs!I26</f>
        <v>-</v>
      </c>
      <c r="J20" s="512" t="str">
        <f>Inputs!J26</f>
        <v>-</v>
      </c>
      <c r="K20" s="512" t="str">
        <f>Inputs!K26</f>
        <v>-</v>
      </c>
      <c r="L20" s="512" t="str">
        <f>Inputs!L26</f>
        <v>-</v>
      </c>
      <c r="M20" s="512" t="str">
        <f>Inputs!M26</f>
        <v>-</v>
      </c>
      <c r="N20" s="512" t="str">
        <f>Inputs!N26</f>
        <v>-</v>
      </c>
      <c r="O20" s="512" t="str">
        <f>Inputs!O26</f>
        <v>-</v>
      </c>
      <c r="P20" s="512" t="str">
        <f>Inputs!P26</f>
        <v>-</v>
      </c>
      <c r="Q20" s="512" t="str">
        <f>Inputs!Q26</f>
        <v>-</v>
      </c>
      <c r="R20" s="512" t="str">
        <f>Inputs!R26</f>
        <v>-</v>
      </c>
      <c r="S20" s="512" t="str">
        <f>Inputs!S26</f>
        <v>-</v>
      </c>
      <c r="T20" s="512" t="str">
        <f>Inputs!T26</f>
        <v>-</v>
      </c>
      <c r="U20" s="512" t="str">
        <f>Inputs!U26</f>
        <v>-</v>
      </c>
      <c r="V20" s="512" t="str">
        <f>Inputs!V26</f>
        <v>-</v>
      </c>
      <c r="W20" s="512" t="str">
        <f>Inputs!W26</f>
        <v>-</v>
      </c>
      <c r="X20" s="512" t="str">
        <f>Inputs!X26</f>
        <v>-</v>
      </c>
      <c r="Y20" s="512" t="str">
        <f>Inputs!Y26</f>
        <v>-</v>
      </c>
      <c r="Z20" s="512" t="str">
        <f>Inputs!Z26</f>
        <v>-</v>
      </c>
      <c r="AA20" s="512" t="str">
        <f>Inputs!AA26</f>
        <v>-</v>
      </c>
      <c r="AB20" s="512" t="str">
        <f>Inputs!AB26</f>
        <v>-</v>
      </c>
      <c r="AC20" s="512" t="str">
        <f>Inputs!AC26</f>
        <v>-</v>
      </c>
      <c r="AD20" s="512" t="str">
        <f>Inputs!AD26</f>
        <v>-</v>
      </c>
      <c r="AE20" s="512" t="str">
        <f>Inputs!AE26</f>
        <v>-</v>
      </c>
      <c r="AF20" s="512" t="str">
        <f>Inputs!AF26</f>
        <v>-</v>
      </c>
      <c r="AG20" s="512" t="str">
        <f>Inputs!AG26</f>
        <v>-</v>
      </c>
      <c r="AH20" s="512" t="str">
        <f>Inputs!AH26</f>
        <v>-</v>
      </c>
      <c r="AI20" s="512" t="str">
        <f>Inputs!AI26</f>
        <v>-</v>
      </c>
      <c r="AJ20" s="512" t="str">
        <f>Inputs!AJ26</f>
        <v>-</v>
      </c>
      <c r="AK20" s="512" t="str">
        <f>Inputs!AK26</f>
        <v>-</v>
      </c>
      <c r="AL20" s="512" t="str">
        <f>Inputs!AL26</f>
        <v>-</v>
      </c>
      <c r="AM20" s="512" t="str">
        <f>Inputs!AM26</f>
        <v>-</v>
      </c>
      <c r="AN20" s="512" t="str">
        <f>Inputs!AN26</f>
        <v>-</v>
      </c>
      <c r="AO20" s="512" t="str">
        <f>Inputs!AO26</f>
        <v>-</v>
      </c>
      <c r="AP20" s="512" t="str">
        <f>Inputs!AP26</f>
        <v>-</v>
      </c>
      <c r="AQ20" s="512" t="str">
        <f>Inputs!AQ26</f>
        <v>-</v>
      </c>
      <c r="AR20" s="512" t="str">
        <f>Inputs!AR26</f>
        <v>-</v>
      </c>
      <c r="AS20" s="512" t="str">
        <f>Inputs!AS26</f>
        <v>-</v>
      </c>
      <c r="AT20" s="512" t="str">
        <f>Inputs!AT26</f>
        <v>-</v>
      </c>
      <c r="AU20" s="512" t="str">
        <f>Inputs!AU26</f>
        <v>-</v>
      </c>
      <c r="AV20" s="512" t="str">
        <f>Inputs!AV26</f>
        <v>-</v>
      </c>
      <c r="AW20" s="259"/>
    </row>
    <row r="21">
      <c r="A21" s="122"/>
      <c r="B21" s="123"/>
      <c r="C21" s="131"/>
      <c r="D21" s="131"/>
      <c r="E21" s="257" t="s">
        <v>889</v>
      </c>
      <c r="F21" s="213" t="str">
        <f>Inputs!F27</f>
        <v>%</v>
      </c>
      <c r="G21" s="485" t="str">
        <f>Inputs!G27</f>
        <v>input</v>
      </c>
      <c r="H21" s="258">
        <f>Inputs!H27</f>
        <v>0.686</v>
      </c>
      <c r="I21" s="512" t="str">
        <f>Inputs!I27</f>
        <v>-</v>
      </c>
      <c r="J21" s="512" t="str">
        <f>Inputs!J27</f>
        <v>-</v>
      </c>
      <c r="K21" s="512" t="str">
        <f>Inputs!K27</f>
        <v>-</v>
      </c>
      <c r="L21" s="512" t="str">
        <f>Inputs!L27</f>
        <v>-</v>
      </c>
      <c r="M21" s="512" t="str">
        <f>Inputs!M27</f>
        <v>-</v>
      </c>
      <c r="N21" s="512" t="str">
        <f>Inputs!N27</f>
        <v>-</v>
      </c>
      <c r="O21" s="512" t="str">
        <f>Inputs!O27</f>
        <v>-</v>
      </c>
      <c r="P21" s="512" t="str">
        <f>Inputs!P27</f>
        <v>-</v>
      </c>
      <c r="Q21" s="512" t="str">
        <f>Inputs!Q27</f>
        <v>-</v>
      </c>
      <c r="R21" s="512" t="str">
        <f>Inputs!R27</f>
        <v>-</v>
      </c>
      <c r="S21" s="512" t="str">
        <f>Inputs!S27</f>
        <v>-</v>
      </c>
      <c r="T21" s="512" t="str">
        <f>Inputs!T27</f>
        <v>-</v>
      </c>
      <c r="U21" s="512" t="str">
        <f>Inputs!U27</f>
        <v>-</v>
      </c>
      <c r="V21" s="512" t="str">
        <f>Inputs!V27</f>
        <v>-</v>
      </c>
      <c r="W21" s="512" t="str">
        <f>Inputs!W27</f>
        <v>-</v>
      </c>
      <c r="X21" s="512" t="str">
        <f>Inputs!X27</f>
        <v>-</v>
      </c>
      <c r="Y21" s="512" t="str">
        <f>Inputs!Y27</f>
        <v>-</v>
      </c>
      <c r="Z21" s="512" t="str">
        <f>Inputs!Z27</f>
        <v>-</v>
      </c>
      <c r="AA21" s="512" t="str">
        <f>Inputs!AA27</f>
        <v>-</v>
      </c>
      <c r="AB21" s="512" t="str">
        <f>Inputs!AB27</f>
        <v>-</v>
      </c>
      <c r="AC21" s="512" t="str">
        <f>Inputs!AC27</f>
        <v>-</v>
      </c>
      <c r="AD21" s="512" t="str">
        <f>Inputs!AD27</f>
        <v>-</v>
      </c>
      <c r="AE21" s="512" t="str">
        <f>Inputs!AE27</f>
        <v>-</v>
      </c>
      <c r="AF21" s="512" t="str">
        <f>Inputs!AF27</f>
        <v>-</v>
      </c>
      <c r="AG21" s="512" t="str">
        <f>Inputs!AG27</f>
        <v>-</v>
      </c>
      <c r="AH21" s="512" t="str">
        <f>Inputs!AH27</f>
        <v>-</v>
      </c>
      <c r="AI21" s="512" t="str">
        <f>Inputs!AI27</f>
        <v>-</v>
      </c>
      <c r="AJ21" s="512" t="str">
        <f>Inputs!AJ27</f>
        <v>-</v>
      </c>
      <c r="AK21" s="512" t="str">
        <f>Inputs!AK27</f>
        <v>-</v>
      </c>
      <c r="AL21" s="512" t="str">
        <f>Inputs!AL27</f>
        <v>-</v>
      </c>
      <c r="AM21" s="512" t="str">
        <f>Inputs!AM27</f>
        <v>-</v>
      </c>
      <c r="AN21" s="512" t="str">
        <f>Inputs!AN27</f>
        <v>-</v>
      </c>
      <c r="AO21" s="512" t="str">
        <f>Inputs!AO27</f>
        <v>-</v>
      </c>
      <c r="AP21" s="512" t="str">
        <f>Inputs!AP27</f>
        <v>-</v>
      </c>
      <c r="AQ21" s="512" t="str">
        <f>Inputs!AQ27</f>
        <v>-</v>
      </c>
      <c r="AR21" s="512" t="str">
        <f>Inputs!AR27</f>
        <v>-</v>
      </c>
      <c r="AS21" s="512" t="str">
        <f>Inputs!AS27</f>
        <v>-</v>
      </c>
      <c r="AT21" s="512" t="str">
        <f>Inputs!AT27</f>
        <v>-</v>
      </c>
      <c r="AU21" s="512" t="str">
        <f>Inputs!AU27</f>
        <v>-</v>
      </c>
      <c r="AV21" s="512" t="str">
        <f>Inputs!AV27</f>
        <v>-</v>
      </c>
      <c r="AW21" s="259"/>
    </row>
    <row r="22">
      <c r="A22" s="122"/>
      <c r="B22" s="123"/>
      <c r="C22" s="131"/>
      <c r="D22" s="131"/>
      <c r="E22" s="272" t="s">
        <v>890</v>
      </c>
      <c r="F22" s="200" t="str">
        <f>Inputs!F28</f>
        <v>%</v>
      </c>
      <c r="G22" s="487" t="str">
        <f>Inputs!G28</f>
        <v>input</v>
      </c>
      <c r="H22" s="498">
        <f>Inputs!H28</f>
        <v>0.73</v>
      </c>
      <c r="I22" s="532" t="str">
        <f>Inputs!I28</f>
        <v>-</v>
      </c>
      <c r="J22" s="532" t="str">
        <f>Inputs!J28</f>
        <v>-</v>
      </c>
      <c r="K22" s="532" t="str">
        <f>Inputs!K28</f>
        <v>-</v>
      </c>
      <c r="L22" s="532" t="str">
        <f>Inputs!L28</f>
        <v>-</v>
      </c>
      <c r="M22" s="532" t="str">
        <f>Inputs!M28</f>
        <v>-</v>
      </c>
      <c r="N22" s="532" t="str">
        <f>Inputs!N28</f>
        <v>-</v>
      </c>
      <c r="O22" s="532" t="str">
        <f>Inputs!O28</f>
        <v>-</v>
      </c>
      <c r="P22" s="532" t="str">
        <f>Inputs!P28</f>
        <v>-</v>
      </c>
      <c r="Q22" s="532" t="str">
        <f>Inputs!Q28</f>
        <v>-</v>
      </c>
      <c r="R22" s="532" t="str">
        <f>Inputs!R28</f>
        <v>-</v>
      </c>
      <c r="S22" s="532" t="str">
        <f>Inputs!S28</f>
        <v>-</v>
      </c>
      <c r="T22" s="532" t="str">
        <f>Inputs!T28</f>
        <v>-</v>
      </c>
      <c r="U22" s="532" t="str">
        <f>Inputs!U28</f>
        <v>-</v>
      </c>
      <c r="V22" s="532" t="str">
        <f>Inputs!V28</f>
        <v>-</v>
      </c>
      <c r="W22" s="532" t="str">
        <f>Inputs!W28</f>
        <v>-</v>
      </c>
      <c r="X22" s="532" t="str">
        <f>Inputs!X28</f>
        <v>-</v>
      </c>
      <c r="Y22" s="532" t="str">
        <f>Inputs!Y28</f>
        <v>-</v>
      </c>
      <c r="Z22" s="532" t="str">
        <f>Inputs!Z28</f>
        <v>-</v>
      </c>
      <c r="AA22" s="532" t="str">
        <f>Inputs!AA28</f>
        <v>-</v>
      </c>
      <c r="AB22" s="532" t="str">
        <f>Inputs!AB28</f>
        <v>-</v>
      </c>
      <c r="AC22" s="532" t="str">
        <f>Inputs!AC28</f>
        <v>-</v>
      </c>
      <c r="AD22" s="532" t="str">
        <f>Inputs!AD28</f>
        <v>-</v>
      </c>
      <c r="AE22" s="532" t="str">
        <f>Inputs!AE28</f>
        <v>-</v>
      </c>
      <c r="AF22" s="532" t="str">
        <f>Inputs!AF28</f>
        <v>-</v>
      </c>
      <c r="AG22" s="532" t="str">
        <f>Inputs!AG28</f>
        <v>-</v>
      </c>
      <c r="AH22" s="532" t="str">
        <f>Inputs!AH28</f>
        <v>-</v>
      </c>
      <c r="AI22" s="532" t="str">
        <f>Inputs!AI28</f>
        <v>-</v>
      </c>
      <c r="AJ22" s="532" t="str">
        <f>Inputs!AJ28</f>
        <v>-</v>
      </c>
      <c r="AK22" s="532" t="str">
        <f>Inputs!AK28</f>
        <v>-</v>
      </c>
      <c r="AL22" s="532" t="str">
        <f>Inputs!AL28</f>
        <v>-</v>
      </c>
      <c r="AM22" s="532" t="str">
        <f>Inputs!AM28</f>
        <v>-</v>
      </c>
      <c r="AN22" s="532" t="str">
        <f>Inputs!AN28</f>
        <v>-</v>
      </c>
      <c r="AO22" s="532" t="str">
        <f>Inputs!AO28</f>
        <v>-</v>
      </c>
      <c r="AP22" s="532" t="str">
        <f>Inputs!AP28</f>
        <v>-</v>
      </c>
      <c r="AQ22" s="532" t="str">
        <f>Inputs!AQ28</f>
        <v>-</v>
      </c>
      <c r="AR22" s="532" t="str">
        <f>Inputs!AR28</f>
        <v>-</v>
      </c>
      <c r="AS22" s="532" t="str">
        <f>Inputs!AS28</f>
        <v>-</v>
      </c>
      <c r="AT22" s="532" t="str">
        <f>Inputs!AT28</f>
        <v>-</v>
      </c>
      <c r="AU22" s="532" t="str">
        <f>Inputs!AU28</f>
        <v>-</v>
      </c>
      <c r="AV22" s="532" t="str">
        <f>Inputs!AV28</f>
        <v>-</v>
      </c>
      <c r="AW22" s="274"/>
    </row>
    <row r="23">
      <c r="A23" s="122"/>
      <c r="B23" s="123"/>
      <c r="C23" s="131"/>
      <c r="D23" s="131"/>
      <c r="E23" s="269"/>
      <c r="F23" s="125"/>
      <c r="G23" s="482"/>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891</v>
      </c>
      <c r="F24" s="125"/>
      <c r="G24" s="482"/>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
        <v>892</v>
      </c>
      <c r="F25" s="356" t="str">
        <f>Inputs!F29</f>
        <v>%</v>
      </c>
      <c r="G25" s="508" t="str">
        <f>Inputs!G29</f>
        <v>input</v>
      </c>
      <c r="H25" s="208">
        <f>Inputs!H29</f>
        <v>0.2</v>
      </c>
      <c r="I25" s="509" t="str">
        <f>Inputs!I29</f>
        <v>-</v>
      </c>
      <c r="J25" s="509" t="str">
        <f>Inputs!J29</f>
        <v>-</v>
      </c>
      <c r="K25" s="509" t="str">
        <f>Inputs!K29</f>
        <v>-</v>
      </c>
      <c r="L25" s="509" t="str">
        <f>Inputs!L29</f>
        <v>-</v>
      </c>
      <c r="M25" s="509" t="str">
        <f>Inputs!M29</f>
        <v>-</v>
      </c>
      <c r="N25" s="509" t="str">
        <f>Inputs!N29</f>
        <v>-</v>
      </c>
      <c r="O25" s="509" t="str">
        <f>Inputs!O29</f>
        <v>-</v>
      </c>
      <c r="P25" s="509" t="str">
        <f>Inputs!P29</f>
        <v>-</v>
      </c>
      <c r="Q25" s="509" t="str">
        <f>Inputs!Q29</f>
        <v>-</v>
      </c>
      <c r="R25" s="509" t="str">
        <f>Inputs!R29</f>
        <v>-</v>
      </c>
      <c r="S25" s="509" t="str">
        <f>Inputs!S29</f>
        <v>-</v>
      </c>
      <c r="T25" s="509" t="str">
        <f>Inputs!T29</f>
        <v>-</v>
      </c>
      <c r="U25" s="509" t="str">
        <f>Inputs!U29</f>
        <v>-</v>
      </c>
      <c r="V25" s="509" t="str">
        <f>Inputs!V29</f>
        <v>-</v>
      </c>
      <c r="W25" s="509" t="str">
        <f>Inputs!W29</f>
        <v>-</v>
      </c>
      <c r="X25" s="509" t="str">
        <f>Inputs!X29</f>
        <v>-</v>
      </c>
      <c r="Y25" s="509" t="str">
        <f>Inputs!Y29</f>
        <v>-</v>
      </c>
      <c r="Z25" s="509" t="str">
        <f>Inputs!Z29</f>
        <v>-</v>
      </c>
      <c r="AA25" s="509" t="str">
        <f>Inputs!AA29</f>
        <v>-</v>
      </c>
      <c r="AB25" s="509" t="str">
        <f>Inputs!AB29</f>
        <v>-</v>
      </c>
      <c r="AC25" s="509" t="str">
        <f>Inputs!AC29</f>
        <v>-</v>
      </c>
      <c r="AD25" s="509" t="str">
        <f>Inputs!AD29</f>
        <v>-</v>
      </c>
      <c r="AE25" s="509" t="str">
        <f>Inputs!AE29</f>
        <v>-</v>
      </c>
      <c r="AF25" s="509" t="str">
        <f>Inputs!AF29</f>
        <v>-</v>
      </c>
      <c r="AG25" s="509" t="str">
        <f>Inputs!AG29</f>
        <v>-</v>
      </c>
      <c r="AH25" s="509" t="str">
        <f>Inputs!AH29</f>
        <v>-</v>
      </c>
      <c r="AI25" s="509" t="str">
        <f>Inputs!AI29</f>
        <v>-</v>
      </c>
      <c r="AJ25" s="509" t="str">
        <f>Inputs!AJ29</f>
        <v>-</v>
      </c>
      <c r="AK25" s="509" t="str">
        <f>Inputs!AK29</f>
        <v>-</v>
      </c>
      <c r="AL25" s="509" t="str">
        <f>Inputs!AL29</f>
        <v>-</v>
      </c>
      <c r="AM25" s="509" t="str">
        <f>Inputs!AM29</f>
        <v>-</v>
      </c>
      <c r="AN25" s="509" t="str">
        <f>Inputs!AN29</f>
        <v>-</v>
      </c>
      <c r="AO25" s="509" t="str">
        <f>Inputs!AO29</f>
        <v>-</v>
      </c>
      <c r="AP25" s="509" t="str">
        <f>Inputs!AP29</f>
        <v>-</v>
      </c>
      <c r="AQ25" s="509" t="str">
        <f>Inputs!AQ29</f>
        <v>-</v>
      </c>
      <c r="AR25" s="509" t="str">
        <f>Inputs!AR29</f>
        <v>-</v>
      </c>
      <c r="AS25" s="509" t="str">
        <f>Inputs!AS29</f>
        <v>-</v>
      </c>
      <c r="AT25" s="509" t="str">
        <f>Inputs!AT29</f>
        <v>-</v>
      </c>
      <c r="AU25" s="509" t="str">
        <f>Inputs!AU29</f>
        <v>-</v>
      </c>
      <c r="AV25" s="509" t="str">
        <f>Inputs!AV29</f>
        <v>-</v>
      </c>
      <c r="AW25" s="256"/>
    </row>
    <row r="26">
      <c r="A26" s="122"/>
      <c r="B26" s="123"/>
      <c r="C26" s="131"/>
      <c r="D26" s="131"/>
      <c r="E26" s="257" t="s">
        <v>893</v>
      </c>
      <c r="F26" s="395" t="str">
        <f>Inputs!F30</f>
        <v>%</v>
      </c>
      <c r="G26" s="511" t="str">
        <f>Inputs!G30</f>
        <v>input</v>
      </c>
      <c r="H26" s="215">
        <f>Inputs!H30</f>
        <v>0.1</v>
      </c>
      <c r="I26" s="512" t="str">
        <f>Inputs!I30</f>
        <v>-</v>
      </c>
      <c r="J26" s="512" t="str">
        <f>Inputs!J30</f>
        <v>-</v>
      </c>
      <c r="K26" s="509" t="str">
        <f>Inputs!K30</f>
        <v>-</v>
      </c>
      <c r="L26" s="509" t="str">
        <f>Inputs!L30</f>
        <v>-</v>
      </c>
      <c r="M26" s="512" t="str">
        <f>Inputs!M30</f>
        <v>-</v>
      </c>
      <c r="N26" s="512" t="str">
        <f>Inputs!N30</f>
        <v>-</v>
      </c>
      <c r="O26" s="512" t="str">
        <f>Inputs!O30</f>
        <v>-</v>
      </c>
      <c r="P26" s="512" t="str">
        <f>Inputs!P30</f>
        <v>-</v>
      </c>
      <c r="Q26" s="512" t="str">
        <f>Inputs!Q30</f>
        <v>-</v>
      </c>
      <c r="R26" s="512" t="str">
        <f>Inputs!R30</f>
        <v>-</v>
      </c>
      <c r="S26" s="512" t="str">
        <f>Inputs!S30</f>
        <v>-</v>
      </c>
      <c r="T26" s="512" t="str">
        <f>Inputs!T30</f>
        <v>-</v>
      </c>
      <c r="U26" s="512" t="str">
        <f>Inputs!U30</f>
        <v>-</v>
      </c>
      <c r="V26" s="512" t="str">
        <f>Inputs!V30</f>
        <v>-</v>
      </c>
      <c r="W26" s="512" t="str">
        <f>Inputs!W30</f>
        <v>-</v>
      </c>
      <c r="X26" s="512" t="str">
        <f>Inputs!X30</f>
        <v>-</v>
      </c>
      <c r="Y26" s="512" t="str">
        <f>Inputs!Y30</f>
        <v>-</v>
      </c>
      <c r="Z26" s="512" t="str">
        <f>Inputs!Z30</f>
        <v>-</v>
      </c>
      <c r="AA26" s="512" t="str">
        <f>Inputs!AA30</f>
        <v>-</v>
      </c>
      <c r="AB26" s="512" t="str">
        <f>Inputs!AB30</f>
        <v>-</v>
      </c>
      <c r="AC26" s="512" t="str">
        <f>Inputs!AC30</f>
        <v>-</v>
      </c>
      <c r="AD26" s="512" t="str">
        <f>Inputs!AD30</f>
        <v>-</v>
      </c>
      <c r="AE26" s="512" t="str">
        <f>Inputs!AE30</f>
        <v>-</v>
      </c>
      <c r="AF26" s="512" t="str">
        <f>Inputs!AF30</f>
        <v>-</v>
      </c>
      <c r="AG26" s="512" t="str">
        <f>Inputs!AG30</f>
        <v>-</v>
      </c>
      <c r="AH26" s="512" t="str">
        <f>Inputs!AH30</f>
        <v>-</v>
      </c>
      <c r="AI26" s="512" t="str">
        <f>Inputs!AI30</f>
        <v>-</v>
      </c>
      <c r="AJ26" s="512" t="str">
        <f>Inputs!AJ30</f>
        <v>-</v>
      </c>
      <c r="AK26" s="512" t="str">
        <f>Inputs!AK30</f>
        <v>-</v>
      </c>
      <c r="AL26" s="512" t="str">
        <f>Inputs!AL30</f>
        <v>-</v>
      </c>
      <c r="AM26" s="512" t="str">
        <f>Inputs!AM30</f>
        <v>-</v>
      </c>
      <c r="AN26" s="512" t="str">
        <f>Inputs!AN30</f>
        <v>-</v>
      </c>
      <c r="AO26" s="512" t="str">
        <f>Inputs!AO30</f>
        <v>-</v>
      </c>
      <c r="AP26" s="512" t="str">
        <f>Inputs!AP30</f>
        <v>-</v>
      </c>
      <c r="AQ26" s="512" t="str">
        <f>Inputs!AQ30</f>
        <v>-</v>
      </c>
      <c r="AR26" s="512" t="str">
        <f>Inputs!AR30</f>
        <v>-</v>
      </c>
      <c r="AS26" s="512" t="str">
        <f>Inputs!AS30</f>
        <v>-</v>
      </c>
      <c r="AT26" s="512" t="str">
        <f>Inputs!AT30</f>
        <v>-</v>
      </c>
      <c r="AU26" s="512" t="str">
        <f>Inputs!AU30</f>
        <v>-</v>
      </c>
      <c r="AV26" s="512" t="str">
        <f>Inputs!AV30</f>
        <v>-</v>
      </c>
      <c r="AW26" s="259"/>
    </row>
    <row r="27">
      <c r="A27" s="122"/>
      <c r="B27" s="123"/>
      <c r="C27" s="131"/>
      <c r="D27" s="131"/>
      <c r="E27" s="257" t="s">
        <v>894</v>
      </c>
      <c r="F27" s="395" t="str">
        <f>Inputs!F31</f>
        <v>%</v>
      </c>
      <c r="G27" s="511" t="str">
        <f>Inputs!G31</f>
        <v>input</v>
      </c>
      <c r="H27" s="215">
        <f>Inputs!H31</f>
        <v>0.35</v>
      </c>
      <c r="I27" s="512" t="str">
        <f>Inputs!I31</f>
        <v>-</v>
      </c>
      <c r="J27" s="512" t="str">
        <f>Inputs!J31</f>
        <v>-</v>
      </c>
      <c r="K27" s="509" t="str">
        <f>Inputs!K31</f>
        <v>-</v>
      </c>
      <c r="L27" s="509" t="str">
        <f>Inputs!L31</f>
        <v>-</v>
      </c>
      <c r="M27" s="512" t="str">
        <f>Inputs!M31</f>
        <v>-</v>
      </c>
      <c r="N27" s="512" t="str">
        <f>Inputs!N31</f>
        <v>-</v>
      </c>
      <c r="O27" s="512" t="str">
        <f>Inputs!O31</f>
        <v>-</v>
      </c>
      <c r="P27" s="512" t="str">
        <f>Inputs!P31</f>
        <v>-</v>
      </c>
      <c r="Q27" s="512" t="str">
        <f>Inputs!Q31</f>
        <v>-</v>
      </c>
      <c r="R27" s="512" t="str">
        <f>Inputs!R31</f>
        <v>-</v>
      </c>
      <c r="S27" s="512" t="str">
        <f>Inputs!S31</f>
        <v>-</v>
      </c>
      <c r="T27" s="512" t="str">
        <f>Inputs!T31</f>
        <v>-</v>
      </c>
      <c r="U27" s="512" t="str">
        <f>Inputs!U31</f>
        <v>-</v>
      </c>
      <c r="V27" s="512" t="str">
        <f>Inputs!V31</f>
        <v>-</v>
      </c>
      <c r="W27" s="512" t="str">
        <f>Inputs!W31</f>
        <v>-</v>
      </c>
      <c r="X27" s="512" t="str">
        <f>Inputs!X31</f>
        <v>-</v>
      </c>
      <c r="Y27" s="512" t="str">
        <f>Inputs!Y31</f>
        <v>-</v>
      </c>
      <c r="Z27" s="512" t="str">
        <f>Inputs!Z31</f>
        <v>-</v>
      </c>
      <c r="AA27" s="512" t="str">
        <f>Inputs!AA31</f>
        <v>-</v>
      </c>
      <c r="AB27" s="512" t="str">
        <f>Inputs!AB31</f>
        <v>-</v>
      </c>
      <c r="AC27" s="512" t="str">
        <f>Inputs!AC31</f>
        <v>-</v>
      </c>
      <c r="AD27" s="512" t="str">
        <f>Inputs!AD31</f>
        <v>-</v>
      </c>
      <c r="AE27" s="512" t="str">
        <f>Inputs!AE31</f>
        <v>-</v>
      </c>
      <c r="AF27" s="512" t="str">
        <f>Inputs!AF31</f>
        <v>-</v>
      </c>
      <c r="AG27" s="512" t="str">
        <f>Inputs!AG31</f>
        <v>-</v>
      </c>
      <c r="AH27" s="512" t="str">
        <f>Inputs!AH31</f>
        <v>-</v>
      </c>
      <c r="AI27" s="512" t="str">
        <f>Inputs!AI31</f>
        <v>-</v>
      </c>
      <c r="AJ27" s="512" t="str">
        <f>Inputs!AJ31</f>
        <v>-</v>
      </c>
      <c r="AK27" s="512" t="str">
        <f>Inputs!AK31</f>
        <v>-</v>
      </c>
      <c r="AL27" s="512" t="str">
        <f>Inputs!AL31</f>
        <v>-</v>
      </c>
      <c r="AM27" s="512" t="str">
        <f>Inputs!AM31</f>
        <v>-</v>
      </c>
      <c r="AN27" s="512" t="str">
        <f>Inputs!AN31</f>
        <v>-</v>
      </c>
      <c r="AO27" s="512" t="str">
        <f>Inputs!AO31</f>
        <v>-</v>
      </c>
      <c r="AP27" s="512" t="str">
        <f>Inputs!AP31</f>
        <v>-</v>
      </c>
      <c r="AQ27" s="512" t="str">
        <f>Inputs!AQ31</f>
        <v>-</v>
      </c>
      <c r="AR27" s="512" t="str">
        <f>Inputs!AR31</f>
        <v>-</v>
      </c>
      <c r="AS27" s="512" t="str">
        <f>Inputs!AS31</f>
        <v>-</v>
      </c>
      <c r="AT27" s="512" t="str">
        <f>Inputs!AT31</f>
        <v>-</v>
      </c>
      <c r="AU27" s="512" t="str">
        <f>Inputs!AU31</f>
        <v>-</v>
      </c>
      <c r="AV27" s="512" t="str">
        <f>Inputs!AV31</f>
        <v>-</v>
      </c>
      <c r="AW27" s="259"/>
    </row>
    <row r="28">
      <c r="A28" s="122"/>
      <c r="B28" s="123"/>
      <c r="C28" s="131"/>
      <c r="D28" s="131"/>
      <c r="E28" s="272" t="s">
        <v>895</v>
      </c>
      <c r="F28" s="489" t="str">
        <f>Inputs!F32</f>
        <v>%</v>
      </c>
      <c r="G28" s="514" t="str">
        <f>Inputs!G32</f>
        <v>input</v>
      </c>
      <c r="H28" s="488">
        <f>Inputs!H32</f>
        <v>0.35</v>
      </c>
      <c r="I28" s="515" t="str">
        <f>Inputs!I32</f>
        <v>-</v>
      </c>
      <c r="J28" s="515" t="str">
        <f>Inputs!J32</f>
        <v>-</v>
      </c>
      <c r="K28" s="515" t="str">
        <f>Inputs!K32</f>
        <v>-</v>
      </c>
      <c r="L28" s="515" t="str">
        <f>Inputs!L32</f>
        <v>-</v>
      </c>
      <c r="M28" s="515" t="str">
        <f>Inputs!M32</f>
        <v>-</v>
      </c>
      <c r="N28" s="515" t="str">
        <f>Inputs!N32</f>
        <v>-</v>
      </c>
      <c r="O28" s="515" t="str">
        <f>Inputs!O32</f>
        <v>-</v>
      </c>
      <c r="P28" s="515" t="str">
        <f>Inputs!P32</f>
        <v>-</v>
      </c>
      <c r="Q28" s="515" t="str">
        <f>Inputs!Q32</f>
        <v>-</v>
      </c>
      <c r="R28" s="515" t="str">
        <f>Inputs!R32</f>
        <v>-</v>
      </c>
      <c r="S28" s="515" t="str">
        <f>Inputs!S32</f>
        <v>-</v>
      </c>
      <c r="T28" s="515" t="str">
        <f>Inputs!T32</f>
        <v>-</v>
      </c>
      <c r="U28" s="515" t="str">
        <f>Inputs!U32</f>
        <v>-</v>
      </c>
      <c r="V28" s="515" t="str">
        <f>Inputs!V32</f>
        <v>-</v>
      </c>
      <c r="W28" s="515" t="str">
        <f>Inputs!W32</f>
        <v>-</v>
      </c>
      <c r="X28" s="515" t="str">
        <f>Inputs!X32</f>
        <v>-</v>
      </c>
      <c r="Y28" s="515" t="str">
        <f>Inputs!Y32</f>
        <v>-</v>
      </c>
      <c r="Z28" s="515" t="str">
        <f>Inputs!Z32</f>
        <v>-</v>
      </c>
      <c r="AA28" s="515" t="str">
        <f>Inputs!AA32</f>
        <v>-</v>
      </c>
      <c r="AB28" s="515" t="str">
        <f>Inputs!AB32</f>
        <v>-</v>
      </c>
      <c r="AC28" s="515" t="str">
        <f>Inputs!AC32</f>
        <v>-</v>
      </c>
      <c r="AD28" s="515" t="str">
        <f>Inputs!AD32</f>
        <v>-</v>
      </c>
      <c r="AE28" s="515" t="str">
        <f>Inputs!AE32</f>
        <v>-</v>
      </c>
      <c r="AF28" s="515" t="str">
        <f>Inputs!AF32</f>
        <v>-</v>
      </c>
      <c r="AG28" s="515" t="str">
        <f>Inputs!AG32</f>
        <v>-</v>
      </c>
      <c r="AH28" s="515" t="str">
        <f>Inputs!AH32</f>
        <v>-</v>
      </c>
      <c r="AI28" s="515" t="str">
        <f>Inputs!AI32</f>
        <v>-</v>
      </c>
      <c r="AJ28" s="515" t="str">
        <f>Inputs!AJ32</f>
        <v>-</v>
      </c>
      <c r="AK28" s="515" t="str">
        <f>Inputs!AK32</f>
        <v>-</v>
      </c>
      <c r="AL28" s="515" t="str">
        <f>Inputs!AL32</f>
        <v>-</v>
      </c>
      <c r="AM28" s="515" t="str">
        <f>Inputs!AM32</f>
        <v>-</v>
      </c>
      <c r="AN28" s="515" t="str">
        <f>Inputs!AN32</f>
        <v>-</v>
      </c>
      <c r="AO28" s="515" t="str">
        <f>Inputs!AO32</f>
        <v>-</v>
      </c>
      <c r="AP28" s="515" t="str">
        <f>Inputs!AP32</f>
        <v>-</v>
      </c>
      <c r="AQ28" s="515" t="str">
        <f>Inputs!AQ32</f>
        <v>-</v>
      </c>
      <c r="AR28" s="515" t="str">
        <f>Inputs!AR32</f>
        <v>-</v>
      </c>
      <c r="AS28" s="515" t="str">
        <f>Inputs!AS32</f>
        <v>-</v>
      </c>
      <c r="AT28" s="515" t="str">
        <f>Inputs!AT32</f>
        <v>-</v>
      </c>
      <c r="AU28" s="515" t="str">
        <f>Inputs!AU32</f>
        <v>-</v>
      </c>
      <c r="AV28" s="515" t="str">
        <f>Inputs!AV32</f>
        <v>-</v>
      </c>
      <c r="AW28" s="274"/>
    </row>
    <row r="29">
      <c r="A29" s="122"/>
      <c r="B29" s="123"/>
      <c r="C29" s="131"/>
      <c r="D29" s="131"/>
      <c r="E29" s="269"/>
      <c r="F29" s="125"/>
      <c r="G29" s="482"/>
      <c r="H29" s="652"/>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2"/>
      <c r="B30" s="123"/>
      <c r="C30" s="131" t="s">
        <v>896</v>
      </c>
      <c r="F30" s="125"/>
      <c r="G30" s="482"/>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2"/>
      <c r="B31" s="123"/>
      <c r="C31" s="131"/>
      <c r="D31" s="131"/>
      <c r="E31" s="254" t="s">
        <v>897</v>
      </c>
      <c r="F31" s="193" t="s">
        <v>72</v>
      </c>
      <c r="G31" s="483" t="s">
        <v>161</v>
      </c>
      <c r="H31" s="255">
        <f>SUMPRODUCT(H19:H22,H25:H28)</f>
        <v>0.69132674</v>
      </c>
      <c r="I31" s="331" t="s">
        <v>162</v>
      </c>
      <c r="J31" s="331" t="s">
        <v>162</v>
      </c>
      <c r="K31" s="331" t="s">
        <v>162</v>
      </c>
      <c r="L31" s="331" t="s">
        <v>162</v>
      </c>
      <c r="M31" s="331" t="s">
        <v>162</v>
      </c>
      <c r="N31" s="331" t="s">
        <v>162</v>
      </c>
      <c r="O31" s="331" t="s">
        <v>162</v>
      </c>
      <c r="P31" s="331" t="s">
        <v>162</v>
      </c>
      <c r="Q31" s="331" t="s">
        <v>162</v>
      </c>
      <c r="R31" s="331" t="s">
        <v>162</v>
      </c>
      <c r="S31" s="331" t="s">
        <v>162</v>
      </c>
      <c r="T31" s="331" t="s">
        <v>162</v>
      </c>
      <c r="U31" s="331" t="s">
        <v>162</v>
      </c>
      <c r="V31" s="331" t="s">
        <v>162</v>
      </c>
      <c r="W31" s="331" t="s">
        <v>162</v>
      </c>
      <c r="X31" s="331" t="s">
        <v>162</v>
      </c>
      <c r="Y31" s="331" t="s">
        <v>162</v>
      </c>
      <c r="Z31" s="331" t="s">
        <v>162</v>
      </c>
      <c r="AA31" s="331" t="s">
        <v>162</v>
      </c>
      <c r="AB31" s="331" t="s">
        <v>162</v>
      </c>
      <c r="AC31" s="331" t="s">
        <v>162</v>
      </c>
      <c r="AD31" s="331" t="s">
        <v>162</v>
      </c>
      <c r="AE31" s="331" t="s">
        <v>162</v>
      </c>
      <c r="AF31" s="331" t="s">
        <v>162</v>
      </c>
      <c r="AG31" s="331" t="s">
        <v>162</v>
      </c>
      <c r="AH31" s="331" t="s">
        <v>162</v>
      </c>
      <c r="AI31" s="331" t="s">
        <v>162</v>
      </c>
      <c r="AJ31" s="331" t="s">
        <v>162</v>
      </c>
      <c r="AK31" s="331" t="s">
        <v>162</v>
      </c>
      <c r="AL31" s="331" t="s">
        <v>162</v>
      </c>
      <c r="AM31" s="331" t="s">
        <v>162</v>
      </c>
      <c r="AN31" s="331" t="s">
        <v>162</v>
      </c>
      <c r="AO31" s="331" t="s">
        <v>162</v>
      </c>
      <c r="AP31" s="331" t="s">
        <v>162</v>
      </c>
      <c r="AQ31" s="331" t="s">
        <v>162</v>
      </c>
      <c r="AR31" s="331" t="s">
        <v>162</v>
      </c>
      <c r="AS31" s="331" t="s">
        <v>162</v>
      </c>
      <c r="AT31" s="331" t="s">
        <v>162</v>
      </c>
      <c r="AU31" s="331" t="s">
        <v>162</v>
      </c>
      <c r="AV31" s="331" t="s">
        <v>162</v>
      </c>
      <c r="AW31" s="256"/>
    </row>
    <row r="32">
      <c r="A32" s="122"/>
      <c r="B32" s="123"/>
      <c r="C32" s="131"/>
      <c r="D32" s="131"/>
      <c r="E32" s="257" t="s">
        <v>898</v>
      </c>
      <c r="F32" s="213" t="s">
        <v>72</v>
      </c>
      <c r="G32" s="485" t="s">
        <v>161</v>
      </c>
      <c r="H32" s="258">
        <f>(H31/H19)-1</f>
        <v>-0.1866744235</v>
      </c>
      <c r="I32" s="220" t="s">
        <v>162</v>
      </c>
      <c r="J32" s="220" t="s">
        <v>162</v>
      </c>
      <c r="K32" s="220" t="s">
        <v>162</v>
      </c>
      <c r="L32" s="220" t="s">
        <v>162</v>
      </c>
      <c r="M32" s="220" t="s">
        <v>162</v>
      </c>
      <c r="N32" s="220" t="s">
        <v>162</v>
      </c>
      <c r="O32" s="220" t="s">
        <v>162</v>
      </c>
      <c r="P32" s="220" t="s">
        <v>162</v>
      </c>
      <c r="Q32" s="220" t="s">
        <v>162</v>
      </c>
      <c r="R32" s="220" t="s">
        <v>162</v>
      </c>
      <c r="S32" s="220" t="s">
        <v>162</v>
      </c>
      <c r="T32" s="220" t="s">
        <v>162</v>
      </c>
      <c r="U32" s="220" t="s">
        <v>162</v>
      </c>
      <c r="V32" s="220" t="s">
        <v>162</v>
      </c>
      <c r="W32" s="220" t="s">
        <v>162</v>
      </c>
      <c r="X32" s="220" t="s">
        <v>162</v>
      </c>
      <c r="Y32" s="220" t="s">
        <v>162</v>
      </c>
      <c r="Z32" s="220" t="s">
        <v>162</v>
      </c>
      <c r="AA32" s="220" t="s">
        <v>162</v>
      </c>
      <c r="AB32" s="220" t="s">
        <v>162</v>
      </c>
      <c r="AC32" s="220" t="s">
        <v>162</v>
      </c>
      <c r="AD32" s="220" t="s">
        <v>162</v>
      </c>
      <c r="AE32" s="220" t="s">
        <v>162</v>
      </c>
      <c r="AF32" s="220" t="s">
        <v>162</v>
      </c>
      <c r="AG32" s="220" t="s">
        <v>162</v>
      </c>
      <c r="AH32" s="220" t="s">
        <v>162</v>
      </c>
      <c r="AI32" s="220" t="s">
        <v>162</v>
      </c>
      <c r="AJ32" s="220" t="s">
        <v>162</v>
      </c>
      <c r="AK32" s="220" t="s">
        <v>162</v>
      </c>
      <c r="AL32" s="220" t="s">
        <v>162</v>
      </c>
      <c r="AM32" s="220" t="s">
        <v>162</v>
      </c>
      <c r="AN32" s="220" t="s">
        <v>162</v>
      </c>
      <c r="AO32" s="220" t="s">
        <v>162</v>
      </c>
      <c r="AP32" s="220" t="s">
        <v>162</v>
      </c>
      <c r="AQ32" s="220" t="s">
        <v>162</v>
      </c>
      <c r="AR32" s="220" t="s">
        <v>162</v>
      </c>
      <c r="AS32" s="220" t="s">
        <v>162</v>
      </c>
      <c r="AT32" s="220" t="s">
        <v>162</v>
      </c>
      <c r="AU32" s="220" t="s">
        <v>162</v>
      </c>
      <c r="AV32" s="220" t="s">
        <v>162</v>
      </c>
      <c r="AW32" s="259"/>
    </row>
    <row r="33">
      <c r="A33" s="122"/>
      <c r="B33" s="123"/>
      <c r="C33" s="131"/>
      <c r="D33" s="131"/>
      <c r="E33" s="257" t="s">
        <v>899</v>
      </c>
      <c r="F33" s="395" t="str">
        <f>Inputs!F33</f>
        <v>%</v>
      </c>
      <c r="G33" s="511" t="str">
        <f>Inputs!G33</f>
        <v>input</v>
      </c>
      <c r="H33" s="215">
        <f>Inputs!H33</f>
        <v>0.75</v>
      </c>
      <c r="I33" s="512" t="str">
        <f>Inputs!I33</f>
        <v>-</v>
      </c>
      <c r="J33" s="512" t="str">
        <f>Inputs!J33</f>
        <v>-</v>
      </c>
      <c r="K33" s="512" t="str">
        <f>Inputs!K32</f>
        <v>-</v>
      </c>
      <c r="L33" s="512" t="str">
        <f>Inputs!L32</f>
        <v>-</v>
      </c>
      <c r="M33" s="512" t="str">
        <f>Inputs!M33</f>
        <v>-</v>
      </c>
      <c r="N33" s="512" t="str">
        <f>Inputs!N33</f>
        <v>-</v>
      </c>
      <c r="O33" s="512" t="str">
        <f>Inputs!O33</f>
        <v>-</v>
      </c>
      <c r="P33" s="512" t="str">
        <f>Inputs!P33</f>
        <v>-</v>
      </c>
      <c r="Q33" s="512" t="str">
        <f>Inputs!Q33</f>
        <v>-</v>
      </c>
      <c r="R33" s="512" t="str">
        <f>Inputs!R33</f>
        <v>-</v>
      </c>
      <c r="S33" s="512" t="str">
        <f>Inputs!S33</f>
        <v>-</v>
      </c>
      <c r="T33" s="512" t="str">
        <f>Inputs!T33</f>
        <v>-</v>
      </c>
      <c r="U33" s="512" t="str">
        <f>Inputs!U33</f>
        <v>-</v>
      </c>
      <c r="V33" s="512" t="str">
        <f>Inputs!V33</f>
        <v>-</v>
      </c>
      <c r="W33" s="512" t="str">
        <f>Inputs!W33</f>
        <v>-</v>
      </c>
      <c r="X33" s="512" t="str">
        <f>Inputs!X33</f>
        <v>-</v>
      </c>
      <c r="Y33" s="512" t="str">
        <f>Inputs!Y33</f>
        <v>-</v>
      </c>
      <c r="Z33" s="512" t="str">
        <f>Inputs!Z33</f>
        <v>-</v>
      </c>
      <c r="AA33" s="512" t="str">
        <f>Inputs!AA33</f>
        <v>-</v>
      </c>
      <c r="AB33" s="512" t="str">
        <f>Inputs!AB33</f>
        <v>-</v>
      </c>
      <c r="AC33" s="512" t="str">
        <f>Inputs!AC33</f>
        <v>-</v>
      </c>
      <c r="AD33" s="512" t="str">
        <f>Inputs!AD33</f>
        <v>-</v>
      </c>
      <c r="AE33" s="512" t="str">
        <f>Inputs!AE33</f>
        <v>-</v>
      </c>
      <c r="AF33" s="512" t="str">
        <f>Inputs!AF33</f>
        <v>-</v>
      </c>
      <c r="AG33" s="512" t="str">
        <f>Inputs!AG33</f>
        <v>-</v>
      </c>
      <c r="AH33" s="512" t="str">
        <f>Inputs!AH33</f>
        <v>-</v>
      </c>
      <c r="AI33" s="512" t="str">
        <f>Inputs!AI33</f>
        <v>-</v>
      </c>
      <c r="AJ33" s="512" t="str">
        <f>Inputs!AJ33</f>
        <v>-</v>
      </c>
      <c r="AK33" s="512" t="str">
        <f>Inputs!AK33</f>
        <v>-</v>
      </c>
      <c r="AL33" s="512" t="str">
        <f>Inputs!AL33</f>
        <v>-</v>
      </c>
      <c r="AM33" s="512" t="str">
        <f>Inputs!AM33</f>
        <v>-</v>
      </c>
      <c r="AN33" s="512" t="str">
        <f>Inputs!AN33</f>
        <v>-</v>
      </c>
      <c r="AO33" s="512" t="str">
        <f>Inputs!AO33</f>
        <v>-</v>
      </c>
      <c r="AP33" s="512" t="str">
        <f>Inputs!AP33</f>
        <v>-</v>
      </c>
      <c r="AQ33" s="512" t="str">
        <f>Inputs!AQ33</f>
        <v>-</v>
      </c>
      <c r="AR33" s="512" t="str">
        <f>Inputs!AR33</f>
        <v>-</v>
      </c>
      <c r="AS33" s="512" t="str">
        <f>Inputs!AS33</f>
        <v>-</v>
      </c>
      <c r="AT33" s="512" t="str">
        <f>Inputs!AT33</f>
        <v>-</v>
      </c>
      <c r="AU33" s="512" t="str">
        <f>Inputs!AU33</f>
        <v>-</v>
      </c>
      <c r="AV33" s="512" t="str">
        <f>Inputs!AV33</f>
        <v>-</v>
      </c>
      <c r="AW33" s="259"/>
    </row>
    <row r="34">
      <c r="A34" s="122"/>
      <c r="B34" s="123"/>
      <c r="C34" s="131"/>
      <c r="D34" s="131"/>
      <c r="E34" s="272" t="s">
        <v>900</v>
      </c>
      <c r="F34" s="200" t="s">
        <v>72</v>
      </c>
      <c r="G34" s="487" t="s">
        <v>161</v>
      </c>
      <c r="H34" s="498">
        <f>H32*H33</f>
        <v>-0.1400058176</v>
      </c>
      <c r="I34" s="493" t="s">
        <v>162</v>
      </c>
      <c r="J34" s="493" t="s">
        <v>162</v>
      </c>
      <c r="K34" s="493" t="s">
        <v>162</v>
      </c>
      <c r="L34" s="493" t="s">
        <v>162</v>
      </c>
      <c r="M34" s="493" t="s">
        <v>162</v>
      </c>
      <c r="N34" s="493" t="s">
        <v>162</v>
      </c>
      <c r="O34" s="493" t="s">
        <v>162</v>
      </c>
      <c r="P34" s="493" t="s">
        <v>162</v>
      </c>
      <c r="Q34" s="493" t="s">
        <v>162</v>
      </c>
      <c r="R34" s="493" t="s">
        <v>162</v>
      </c>
      <c r="S34" s="493" t="s">
        <v>162</v>
      </c>
      <c r="T34" s="493" t="s">
        <v>162</v>
      </c>
      <c r="U34" s="493" t="s">
        <v>162</v>
      </c>
      <c r="V34" s="493" t="s">
        <v>162</v>
      </c>
      <c r="W34" s="493" t="s">
        <v>162</v>
      </c>
      <c r="X34" s="493" t="s">
        <v>162</v>
      </c>
      <c r="Y34" s="493" t="s">
        <v>162</v>
      </c>
      <c r="Z34" s="493" t="s">
        <v>162</v>
      </c>
      <c r="AA34" s="493" t="s">
        <v>162</v>
      </c>
      <c r="AB34" s="493" t="s">
        <v>162</v>
      </c>
      <c r="AC34" s="493" t="s">
        <v>162</v>
      </c>
      <c r="AD34" s="493" t="s">
        <v>162</v>
      </c>
      <c r="AE34" s="493" t="s">
        <v>162</v>
      </c>
      <c r="AF34" s="493" t="s">
        <v>162</v>
      </c>
      <c r="AG34" s="493" t="s">
        <v>162</v>
      </c>
      <c r="AH34" s="493" t="s">
        <v>162</v>
      </c>
      <c r="AI34" s="493" t="s">
        <v>162</v>
      </c>
      <c r="AJ34" s="493" t="s">
        <v>162</v>
      </c>
      <c r="AK34" s="493" t="s">
        <v>162</v>
      </c>
      <c r="AL34" s="493" t="s">
        <v>162</v>
      </c>
      <c r="AM34" s="493" t="s">
        <v>162</v>
      </c>
      <c r="AN34" s="493" t="s">
        <v>162</v>
      </c>
      <c r="AO34" s="493" t="s">
        <v>162</v>
      </c>
      <c r="AP34" s="493" t="s">
        <v>162</v>
      </c>
      <c r="AQ34" s="493" t="s">
        <v>162</v>
      </c>
      <c r="AR34" s="493" t="s">
        <v>162</v>
      </c>
      <c r="AS34" s="493" t="s">
        <v>162</v>
      </c>
      <c r="AT34" s="493" t="s">
        <v>162</v>
      </c>
      <c r="AU34" s="493" t="s">
        <v>162</v>
      </c>
      <c r="AV34" s="493" t="s">
        <v>162</v>
      </c>
      <c r="AW34" s="274"/>
    </row>
    <row r="35">
      <c r="A35" s="122"/>
      <c r="B35" s="123"/>
      <c r="C35" s="131"/>
      <c r="D35" s="131"/>
      <c r="E35" s="269"/>
      <c r="F35" s="125"/>
      <c r="G35" s="482"/>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131" t="s">
        <v>901</v>
      </c>
      <c r="F36" s="125"/>
      <c r="G36" s="482"/>
      <c r="H36" s="127"/>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30"/>
    </row>
    <row r="37">
      <c r="A37" s="122"/>
      <c r="B37" s="123"/>
      <c r="C37" s="131"/>
      <c r="D37" s="131"/>
      <c r="E37" s="254" t="s">
        <v>902</v>
      </c>
      <c r="F37" s="193" t="s">
        <v>72</v>
      </c>
      <c r="G37" s="483" t="s">
        <v>161</v>
      </c>
      <c r="H37" s="255">
        <f t="shared" ref="H37:H41" si="2">H8*(1+H$34)</f>
        <v>0.5675961604</v>
      </c>
      <c r="I37" s="331" t="s">
        <v>162</v>
      </c>
      <c r="J37" s="331" t="s">
        <v>162</v>
      </c>
      <c r="K37" s="331" t="s">
        <v>162</v>
      </c>
      <c r="L37" s="331" t="s">
        <v>162</v>
      </c>
      <c r="M37" s="331" t="s">
        <v>162</v>
      </c>
      <c r="N37" s="331" t="s">
        <v>162</v>
      </c>
      <c r="O37" s="331" t="s">
        <v>162</v>
      </c>
      <c r="P37" s="331" t="s">
        <v>162</v>
      </c>
      <c r="Q37" s="331" t="s">
        <v>162</v>
      </c>
      <c r="R37" s="331" t="s">
        <v>162</v>
      </c>
      <c r="S37" s="331" t="s">
        <v>162</v>
      </c>
      <c r="T37" s="331" t="s">
        <v>162</v>
      </c>
      <c r="U37" s="331" t="s">
        <v>162</v>
      </c>
      <c r="V37" s="331" t="s">
        <v>162</v>
      </c>
      <c r="W37" s="331" t="s">
        <v>162</v>
      </c>
      <c r="X37" s="331" t="s">
        <v>162</v>
      </c>
      <c r="Y37" s="331" t="s">
        <v>162</v>
      </c>
      <c r="Z37" s="331" t="s">
        <v>162</v>
      </c>
      <c r="AA37" s="331" t="s">
        <v>162</v>
      </c>
      <c r="AB37" s="331" t="s">
        <v>162</v>
      </c>
      <c r="AC37" s="331" t="s">
        <v>162</v>
      </c>
      <c r="AD37" s="331" t="s">
        <v>162</v>
      </c>
      <c r="AE37" s="331" t="s">
        <v>162</v>
      </c>
      <c r="AF37" s="331" t="s">
        <v>162</v>
      </c>
      <c r="AG37" s="331" t="s">
        <v>162</v>
      </c>
      <c r="AH37" s="331" t="s">
        <v>162</v>
      </c>
      <c r="AI37" s="331" t="s">
        <v>162</v>
      </c>
      <c r="AJ37" s="331" t="s">
        <v>162</v>
      </c>
      <c r="AK37" s="331" t="s">
        <v>162</v>
      </c>
      <c r="AL37" s="331" t="s">
        <v>162</v>
      </c>
      <c r="AM37" s="331" t="s">
        <v>162</v>
      </c>
      <c r="AN37" s="331" t="s">
        <v>162</v>
      </c>
      <c r="AO37" s="331" t="s">
        <v>162</v>
      </c>
      <c r="AP37" s="331" t="s">
        <v>162</v>
      </c>
      <c r="AQ37" s="331" t="s">
        <v>162</v>
      </c>
      <c r="AR37" s="331" t="s">
        <v>162</v>
      </c>
      <c r="AS37" s="331" t="s">
        <v>162</v>
      </c>
      <c r="AT37" s="331" t="s">
        <v>162</v>
      </c>
      <c r="AU37" s="331" t="s">
        <v>162</v>
      </c>
      <c r="AV37" s="331" t="s">
        <v>162</v>
      </c>
      <c r="AW37" s="256"/>
    </row>
    <row r="38">
      <c r="A38" s="122"/>
      <c r="B38" s="123"/>
      <c r="C38" s="131"/>
      <c r="D38" s="131"/>
      <c r="E38" s="257" t="s">
        <v>903</v>
      </c>
      <c r="F38" s="213" t="s">
        <v>72</v>
      </c>
      <c r="G38" s="485" t="s">
        <v>161</v>
      </c>
      <c r="H38" s="258">
        <f t="shared" si="2"/>
        <v>0.8083945314</v>
      </c>
      <c r="I38" s="220" t="s">
        <v>162</v>
      </c>
      <c r="J38" s="220" t="s">
        <v>162</v>
      </c>
      <c r="K38" s="220" t="s">
        <v>162</v>
      </c>
      <c r="L38" s="331" t="s">
        <v>162</v>
      </c>
      <c r="M38" s="220" t="s">
        <v>162</v>
      </c>
      <c r="N38" s="220" t="s">
        <v>162</v>
      </c>
      <c r="O38" s="220" t="s">
        <v>162</v>
      </c>
      <c r="P38" s="220" t="s">
        <v>162</v>
      </c>
      <c r="Q38" s="220" t="s">
        <v>162</v>
      </c>
      <c r="R38" s="220" t="s">
        <v>162</v>
      </c>
      <c r="S38" s="220" t="s">
        <v>162</v>
      </c>
      <c r="T38" s="220" t="s">
        <v>162</v>
      </c>
      <c r="U38" s="220" t="s">
        <v>162</v>
      </c>
      <c r="V38" s="220" t="s">
        <v>162</v>
      </c>
      <c r="W38" s="220" t="s">
        <v>162</v>
      </c>
      <c r="X38" s="220" t="s">
        <v>162</v>
      </c>
      <c r="Y38" s="220" t="s">
        <v>162</v>
      </c>
      <c r="Z38" s="220" t="s">
        <v>162</v>
      </c>
      <c r="AA38" s="220" t="s">
        <v>162</v>
      </c>
      <c r="AB38" s="220" t="s">
        <v>162</v>
      </c>
      <c r="AC38" s="220" t="s">
        <v>162</v>
      </c>
      <c r="AD38" s="220" t="s">
        <v>162</v>
      </c>
      <c r="AE38" s="220" t="s">
        <v>162</v>
      </c>
      <c r="AF38" s="220" t="s">
        <v>162</v>
      </c>
      <c r="AG38" s="220" t="s">
        <v>162</v>
      </c>
      <c r="AH38" s="220" t="s">
        <v>162</v>
      </c>
      <c r="AI38" s="220" t="s">
        <v>162</v>
      </c>
      <c r="AJ38" s="220" t="s">
        <v>162</v>
      </c>
      <c r="AK38" s="220" t="s">
        <v>162</v>
      </c>
      <c r="AL38" s="220" t="s">
        <v>162</v>
      </c>
      <c r="AM38" s="220" t="s">
        <v>162</v>
      </c>
      <c r="AN38" s="220" t="s">
        <v>162</v>
      </c>
      <c r="AO38" s="220" t="s">
        <v>162</v>
      </c>
      <c r="AP38" s="220" t="s">
        <v>162</v>
      </c>
      <c r="AQ38" s="220" t="s">
        <v>162</v>
      </c>
      <c r="AR38" s="220" t="s">
        <v>162</v>
      </c>
      <c r="AS38" s="220" t="s">
        <v>162</v>
      </c>
      <c r="AT38" s="220" t="s">
        <v>162</v>
      </c>
      <c r="AU38" s="220" t="s">
        <v>162</v>
      </c>
      <c r="AV38" s="220" t="s">
        <v>162</v>
      </c>
      <c r="AW38" s="259"/>
    </row>
    <row r="39">
      <c r="A39" s="122"/>
      <c r="B39" s="123"/>
      <c r="C39" s="131"/>
      <c r="D39" s="131"/>
      <c r="E39" s="257" t="s">
        <v>904</v>
      </c>
      <c r="F39" s="213" t="s">
        <v>72</v>
      </c>
      <c r="G39" s="485" t="s">
        <v>161</v>
      </c>
      <c r="H39" s="258">
        <f t="shared" si="2"/>
        <v>0.7051952295</v>
      </c>
      <c r="I39" s="220" t="s">
        <v>162</v>
      </c>
      <c r="J39" s="220" t="s">
        <v>162</v>
      </c>
      <c r="K39" s="220" t="s">
        <v>162</v>
      </c>
      <c r="L39" s="331" t="s">
        <v>162</v>
      </c>
      <c r="M39" s="220" t="s">
        <v>162</v>
      </c>
      <c r="N39" s="220" t="s">
        <v>162</v>
      </c>
      <c r="O39" s="220" t="s">
        <v>162</v>
      </c>
      <c r="P39" s="220" t="s">
        <v>162</v>
      </c>
      <c r="Q39" s="220" t="s">
        <v>162</v>
      </c>
      <c r="R39" s="220" t="s">
        <v>162</v>
      </c>
      <c r="S39" s="220" t="s">
        <v>162</v>
      </c>
      <c r="T39" s="220" t="s">
        <v>162</v>
      </c>
      <c r="U39" s="220" t="s">
        <v>162</v>
      </c>
      <c r="V39" s="220" t="s">
        <v>162</v>
      </c>
      <c r="W39" s="220" t="s">
        <v>162</v>
      </c>
      <c r="X39" s="220" t="s">
        <v>162</v>
      </c>
      <c r="Y39" s="220" t="s">
        <v>162</v>
      </c>
      <c r="Z39" s="220" t="s">
        <v>162</v>
      </c>
      <c r="AA39" s="220" t="s">
        <v>162</v>
      </c>
      <c r="AB39" s="220" t="s">
        <v>162</v>
      </c>
      <c r="AC39" s="220" t="s">
        <v>162</v>
      </c>
      <c r="AD39" s="220" t="s">
        <v>162</v>
      </c>
      <c r="AE39" s="220" t="s">
        <v>162</v>
      </c>
      <c r="AF39" s="220" t="s">
        <v>162</v>
      </c>
      <c r="AG39" s="220" t="s">
        <v>162</v>
      </c>
      <c r="AH39" s="220" t="s">
        <v>162</v>
      </c>
      <c r="AI39" s="220" t="s">
        <v>162</v>
      </c>
      <c r="AJ39" s="220" t="s">
        <v>162</v>
      </c>
      <c r="AK39" s="220" t="s">
        <v>162</v>
      </c>
      <c r="AL39" s="220" t="s">
        <v>162</v>
      </c>
      <c r="AM39" s="220" t="s">
        <v>162</v>
      </c>
      <c r="AN39" s="220" t="s">
        <v>162</v>
      </c>
      <c r="AO39" s="220" t="s">
        <v>162</v>
      </c>
      <c r="AP39" s="220" t="s">
        <v>162</v>
      </c>
      <c r="AQ39" s="220" t="s">
        <v>162</v>
      </c>
      <c r="AR39" s="220" t="s">
        <v>162</v>
      </c>
      <c r="AS39" s="220" t="s">
        <v>162</v>
      </c>
      <c r="AT39" s="220" t="s">
        <v>162</v>
      </c>
      <c r="AU39" s="220" t="s">
        <v>162</v>
      </c>
      <c r="AV39" s="220" t="s">
        <v>162</v>
      </c>
      <c r="AW39" s="259"/>
    </row>
    <row r="40">
      <c r="A40" s="122"/>
      <c r="B40" s="123"/>
      <c r="C40" s="131"/>
      <c r="D40" s="131"/>
      <c r="E40" s="257" t="s">
        <v>905</v>
      </c>
      <c r="F40" s="213" t="s">
        <v>72</v>
      </c>
      <c r="G40" s="485" t="s">
        <v>161</v>
      </c>
      <c r="H40" s="258">
        <f t="shared" si="2"/>
        <v>0.4084972366</v>
      </c>
      <c r="I40" s="220" t="s">
        <v>162</v>
      </c>
      <c r="J40" s="220" t="s">
        <v>162</v>
      </c>
      <c r="K40" s="220" t="s">
        <v>162</v>
      </c>
      <c r="L40" s="331" t="s">
        <v>162</v>
      </c>
      <c r="M40" s="220" t="s">
        <v>162</v>
      </c>
      <c r="N40" s="220" t="s">
        <v>162</v>
      </c>
      <c r="O40" s="220" t="s">
        <v>162</v>
      </c>
      <c r="P40" s="220" t="s">
        <v>162</v>
      </c>
      <c r="Q40" s="220" t="s">
        <v>162</v>
      </c>
      <c r="R40" s="220" t="s">
        <v>162</v>
      </c>
      <c r="S40" s="220" t="s">
        <v>162</v>
      </c>
      <c r="T40" s="220" t="s">
        <v>162</v>
      </c>
      <c r="U40" s="220" t="s">
        <v>162</v>
      </c>
      <c r="V40" s="220" t="s">
        <v>162</v>
      </c>
      <c r="W40" s="220" t="s">
        <v>162</v>
      </c>
      <c r="X40" s="220" t="s">
        <v>162</v>
      </c>
      <c r="Y40" s="220" t="s">
        <v>162</v>
      </c>
      <c r="Z40" s="220" t="s">
        <v>162</v>
      </c>
      <c r="AA40" s="220" t="s">
        <v>162</v>
      </c>
      <c r="AB40" s="220" t="s">
        <v>162</v>
      </c>
      <c r="AC40" s="220" t="s">
        <v>162</v>
      </c>
      <c r="AD40" s="220" t="s">
        <v>162</v>
      </c>
      <c r="AE40" s="220" t="s">
        <v>162</v>
      </c>
      <c r="AF40" s="220" t="s">
        <v>162</v>
      </c>
      <c r="AG40" s="220" t="s">
        <v>162</v>
      </c>
      <c r="AH40" s="220" t="s">
        <v>162</v>
      </c>
      <c r="AI40" s="220" t="s">
        <v>162</v>
      </c>
      <c r="AJ40" s="220" t="s">
        <v>162</v>
      </c>
      <c r="AK40" s="220" t="s">
        <v>162</v>
      </c>
      <c r="AL40" s="220" t="s">
        <v>162</v>
      </c>
      <c r="AM40" s="220" t="s">
        <v>162</v>
      </c>
      <c r="AN40" s="220" t="s">
        <v>162</v>
      </c>
      <c r="AO40" s="220" t="s">
        <v>162</v>
      </c>
      <c r="AP40" s="220" t="s">
        <v>162</v>
      </c>
      <c r="AQ40" s="220" t="s">
        <v>162</v>
      </c>
      <c r="AR40" s="220" t="s">
        <v>162</v>
      </c>
      <c r="AS40" s="220" t="s">
        <v>162</v>
      </c>
      <c r="AT40" s="220" t="s">
        <v>162</v>
      </c>
      <c r="AU40" s="220" t="s">
        <v>162</v>
      </c>
      <c r="AV40" s="220" t="s">
        <v>162</v>
      </c>
      <c r="AW40" s="259"/>
    </row>
    <row r="41">
      <c r="A41" s="122"/>
      <c r="B41" s="123"/>
      <c r="C41" s="131"/>
      <c r="D41" s="131"/>
      <c r="E41" s="257" t="s">
        <v>906</v>
      </c>
      <c r="F41" s="213" t="s">
        <v>72</v>
      </c>
      <c r="G41" s="485" t="s">
        <v>161</v>
      </c>
      <c r="H41" s="258">
        <f t="shared" si="2"/>
        <v>0.3955973239</v>
      </c>
      <c r="I41" s="220" t="s">
        <v>162</v>
      </c>
      <c r="J41" s="220" t="s">
        <v>162</v>
      </c>
      <c r="K41" s="220" t="s">
        <v>162</v>
      </c>
      <c r="L41" s="331" t="s">
        <v>162</v>
      </c>
      <c r="M41" s="220" t="s">
        <v>162</v>
      </c>
      <c r="N41" s="220" t="s">
        <v>162</v>
      </c>
      <c r="O41" s="220" t="s">
        <v>162</v>
      </c>
      <c r="P41" s="220" t="s">
        <v>162</v>
      </c>
      <c r="Q41" s="220" t="s">
        <v>162</v>
      </c>
      <c r="R41" s="220" t="s">
        <v>162</v>
      </c>
      <c r="S41" s="220" t="s">
        <v>162</v>
      </c>
      <c r="T41" s="220" t="s">
        <v>162</v>
      </c>
      <c r="U41" s="220" t="s">
        <v>162</v>
      </c>
      <c r="V41" s="220" t="s">
        <v>162</v>
      </c>
      <c r="W41" s="220" t="s">
        <v>162</v>
      </c>
      <c r="X41" s="220" t="s">
        <v>162</v>
      </c>
      <c r="Y41" s="220" t="s">
        <v>162</v>
      </c>
      <c r="Z41" s="220" t="s">
        <v>162</v>
      </c>
      <c r="AA41" s="220" t="s">
        <v>162</v>
      </c>
      <c r="AB41" s="220" t="s">
        <v>162</v>
      </c>
      <c r="AC41" s="220" t="s">
        <v>162</v>
      </c>
      <c r="AD41" s="220" t="s">
        <v>162</v>
      </c>
      <c r="AE41" s="220" t="s">
        <v>162</v>
      </c>
      <c r="AF41" s="220" t="s">
        <v>162</v>
      </c>
      <c r="AG41" s="220" t="s">
        <v>162</v>
      </c>
      <c r="AH41" s="220" t="s">
        <v>162</v>
      </c>
      <c r="AI41" s="220" t="s">
        <v>162</v>
      </c>
      <c r="AJ41" s="220" t="s">
        <v>162</v>
      </c>
      <c r="AK41" s="220" t="s">
        <v>162</v>
      </c>
      <c r="AL41" s="220" t="s">
        <v>162</v>
      </c>
      <c r="AM41" s="220" t="s">
        <v>162</v>
      </c>
      <c r="AN41" s="220" t="s">
        <v>162</v>
      </c>
      <c r="AO41" s="220" t="s">
        <v>162</v>
      </c>
      <c r="AP41" s="220" t="s">
        <v>162</v>
      </c>
      <c r="AQ41" s="220" t="s">
        <v>162</v>
      </c>
      <c r="AR41" s="220" t="s">
        <v>162</v>
      </c>
      <c r="AS41" s="220" t="s">
        <v>162</v>
      </c>
      <c r="AT41" s="220" t="s">
        <v>162</v>
      </c>
      <c r="AU41" s="220" t="s">
        <v>162</v>
      </c>
      <c r="AV41" s="220" t="s">
        <v>162</v>
      </c>
      <c r="AW41" s="259"/>
    </row>
    <row r="42">
      <c r="A42" s="122"/>
      <c r="B42" s="123"/>
      <c r="C42" s="131"/>
      <c r="D42" s="131"/>
      <c r="E42" s="272" t="s">
        <v>907</v>
      </c>
      <c r="F42" s="200" t="s">
        <v>72</v>
      </c>
      <c r="G42" s="487" t="s">
        <v>161</v>
      </c>
      <c r="H42" s="498">
        <f>H13*(1+H32)</f>
        <v>0.7319930188</v>
      </c>
      <c r="I42" s="493" t="s">
        <v>162</v>
      </c>
      <c r="J42" s="493" t="s">
        <v>162</v>
      </c>
      <c r="K42" s="493" t="s">
        <v>162</v>
      </c>
      <c r="L42" s="493" t="s">
        <v>162</v>
      </c>
      <c r="M42" s="493" t="s">
        <v>162</v>
      </c>
      <c r="N42" s="493" t="s">
        <v>162</v>
      </c>
      <c r="O42" s="493" t="s">
        <v>162</v>
      </c>
      <c r="P42" s="493" t="s">
        <v>162</v>
      </c>
      <c r="Q42" s="493" t="s">
        <v>162</v>
      </c>
      <c r="R42" s="493" t="s">
        <v>162</v>
      </c>
      <c r="S42" s="493" t="s">
        <v>162</v>
      </c>
      <c r="T42" s="493" t="s">
        <v>162</v>
      </c>
      <c r="U42" s="493" t="s">
        <v>162</v>
      </c>
      <c r="V42" s="493" t="s">
        <v>162</v>
      </c>
      <c r="W42" s="493" t="s">
        <v>162</v>
      </c>
      <c r="X42" s="493" t="s">
        <v>162</v>
      </c>
      <c r="Y42" s="493" t="s">
        <v>162</v>
      </c>
      <c r="Z42" s="493" t="s">
        <v>162</v>
      </c>
      <c r="AA42" s="493" t="s">
        <v>162</v>
      </c>
      <c r="AB42" s="493" t="s">
        <v>162</v>
      </c>
      <c r="AC42" s="493" t="s">
        <v>162</v>
      </c>
      <c r="AD42" s="493" t="s">
        <v>162</v>
      </c>
      <c r="AE42" s="493" t="s">
        <v>162</v>
      </c>
      <c r="AF42" s="493" t="s">
        <v>162</v>
      </c>
      <c r="AG42" s="493" t="s">
        <v>162</v>
      </c>
      <c r="AH42" s="493" t="s">
        <v>162</v>
      </c>
      <c r="AI42" s="493" t="s">
        <v>162</v>
      </c>
      <c r="AJ42" s="493" t="s">
        <v>162</v>
      </c>
      <c r="AK42" s="493" t="s">
        <v>162</v>
      </c>
      <c r="AL42" s="493" t="s">
        <v>162</v>
      </c>
      <c r="AM42" s="493" t="s">
        <v>162</v>
      </c>
      <c r="AN42" s="493" t="s">
        <v>162</v>
      </c>
      <c r="AO42" s="493" t="s">
        <v>162</v>
      </c>
      <c r="AP42" s="493" t="s">
        <v>162</v>
      </c>
      <c r="AQ42" s="493" t="s">
        <v>162</v>
      </c>
      <c r="AR42" s="493" t="s">
        <v>162</v>
      </c>
      <c r="AS42" s="493" t="s">
        <v>162</v>
      </c>
      <c r="AT42" s="493" t="s">
        <v>162</v>
      </c>
      <c r="AU42" s="493" t="s">
        <v>162</v>
      </c>
      <c r="AV42" s="493" t="s">
        <v>162</v>
      </c>
      <c r="AW42" s="274"/>
    </row>
    <row r="43">
      <c r="A43" s="122"/>
      <c r="B43" s="123"/>
      <c r="C43" s="131"/>
      <c r="D43" s="131"/>
      <c r="E43" s="269"/>
      <c r="F43" s="125"/>
      <c r="G43" s="482"/>
      <c r="H43" s="127"/>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908</v>
      </c>
      <c r="B44" s="7"/>
      <c r="C44" s="7"/>
      <c r="D44" s="7"/>
      <c r="E44" s="7"/>
      <c r="F44" s="7"/>
      <c r="G44" s="7"/>
      <c r="H44" s="118"/>
      <c r="I44" s="340"/>
      <c r="J44" s="340"/>
      <c r="K44" s="340"/>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131"/>
      <c r="D45" s="131"/>
      <c r="E45" s="269"/>
      <c r="F45" s="125"/>
      <c r="G45" s="482"/>
      <c r="H45" s="127"/>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43" t="s">
        <v>909</v>
      </c>
      <c r="F46" s="125"/>
      <c r="G46" s="132"/>
      <c r="H46" s="127"/>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2"/>
      <c r="B47" s="123"/>
      <c r="C47" s="131"/>
      <c r="D47" s="131"/>
      <c r="E47" s="490" t="s">
        <v>910</v>
      </c>
      <c r="F47" s="435" t="str">
        <f>Inputs!F36</f>
        <v>%</v>
      </c>
      <c r="G47" s="653" t="str">
        <f>Inputs!G36</f>
        <v>input</v>
      </c>
      <c r="H47" s="519">
        <f>Inputs!H36</f>
        <v>0.95</v>
      </c>
      <c r="I47" s="520" t="str">
        <f>Inputs!I36</f>
        <v>-</v>
      </c>
      <c r="J47" s="520" t="str">
        <f>Inputs!J36</f>
        <v>-</v>
      </c>
      <c r="K47" s="520" t="str">
        <f>Inputs!K36</f>
        <v>-</v>
      </c>
      <c r="L47" s="520" t="str">
        <f>Inputs!L36</f>
        <v>-</v>
      </c>
      <c r="M47" s="520" t="str">
        <f>Inputs!M36</f>
        <v>-</v>
      </c>
      <c r="N47" s="520" t="str">
        <f>Inputs!N36</f>
        <v>-</v>
      </c>
      <c r="O47" s="520" t="str">
        <f>Inputs!O36</f>
        <v>-</v>
      </c>
      <c r="P47" s="520" t="str">
        <f>Inputs!P36</f>
        <v>-</v>
      </c>
      <c r="Q47" s="520" t="str">
        <f>Inputs!Q36</f>
        <v>-</v>
      </c>
      <c r="R47" s="520" t="str">
        <f>Inputs!R36</f>
        <v>-</v>
      </c>
      <c r="S47" s="520" t="str">
        <f>Inputs!S36</f>
        <v>-</v>
      </c>
      <c r="T47" s="520" t="str">
        <f>Inputs!T36</f>
        <v>-</v>
      </c>
      <c r="U47" s="520" t="str">
        <f>Inputs!U36</f>
        <v>-</v>
      </c>
      <c r="V47" s="520" t="str">
        <f>Inputs!V36</f>
        <v>-</v>
      </c>
      <c r="W47" s="520" t="str">
        <f>Inputs!W36</f>
        <v>-</v>
      </c>
      <c r="X47" s="520" t="str">
        <f>Inputs!X36</f>
        <v>-</v>
      </c>
      <c r="Y47" s="520" t="str">
        <f>Inputs!Y36</f>
        <v>-</v>
      </c>
      <c r="Z47" s="520" t="str">
        <f>Inputs!Z36</f>
        <v>-</v>
      </c>
      <c r="AA47" s="520" t="str">
        <f>Inputs!AA36</f>
        <v>-</v>
      </c>
      <c r="AB47" s="520" t="str">
        <f>Inputs!AB36</f>
        <v>-</v>
      </c>
      <c r="AC47" s="520" t="str">
        <f>Inputs!AC36</f>
        <v>-</v>
      </c>
      <c r="AD47" s="520" t="str">
        <f>Inputs!AD36</f>
        <v>-</v>
      </c>
      <c r="AE47" s="520" t="str">
        <f>Inputs!AE36</f>
        <v>-</v>
      </c>
      <c r="AF47" s="520" t="str">
        <f>Inputs!AF36</f>
        <v>-</v>
      </c>
      <c r="AG47" s="520" t="str">
        <f>Inputs!AG36</f>
        <v>-</v>
      </c>
      <c r="AH47" s="520" t="str">
        <f>Inputs!AH36</f>
        <v>-</v>
      </c>
      <c r="AI47" s="520" t="str">
        <f>Inputs!AI36</f>
        <v>-</v>
      </c>
      <c r="AJ47" s="520" t="str">
        <f>Inputs!AJ36</f>
        <v>-</v>
      </c>
      <c r="AK47" s="520" t="str">
        <f>Inputs!AK36</f>
        <v>-</v>
      </c>
      <c r="AL47" s="520" t="str">
        <f>Inputs!AL36</f>
        <v>-</v>
      </c>
      <c r="AM47" s="520" t="str">
        <f>Inputs!AM36</f>
        <v>-</v>
      </c>
      <c r="AN47" s="520" t="str">
        <f>Inputs!AN36</f>
        <v>-</v>
      </c>
      <c r="AO47" s="520" t="str">
        <f>Inputs!AO36</f>
        <v>-</v>
      </c>
      <c r="AP47" s="520" t="str">
        <f>Inputs!AP36</f>
        <v>-</v>
      </c>
      <c r="AQ47" s="520" t="str">
        <f>Inputs!AQ36</f>
        <v>-</v>
      </c>
      <c r="AR47" s="520" t="str">
        <f>Inputs!AR36</f>
        <v>-</v>
      </c>
      <c r="AS47" s="520" t="str">
        <f>Inputs!AS36</f>
        <v>-</v>
      </c>
      <c r="AT47" s="520" t="str">
        <f>Inputs!AT36</f>
        <v>-</v>
      </c>
      <c r="AU47" s="520" t="str">
        <f>Inputs!AU36</f>
        <v>-</v>
      </c>
      <c r="AV47" s="520" t="str">
        <f>Inputs!AV36</f>
        <v>-</v>
      </c>
      <c r="AW47" s="409"/>
    </row>
    <row r="48">
      <c r="A48" s="122"/>
      <c r="B48" s="123"/>
      <c r="C48" s="131"/>
      <c r="D48" s="131"/>
      <c r="E48" s="269"/>
      <c r="F48" s="125"/>
      <c r="G48" s="132"/>
      <c r="H48" s="127"/>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30"/>
    </row>
    <row r="49">
      <c r="A49" s="122"/>
      <c r="B49" s="123"/>
      <c r="C49" s="131" t="s">
        <v>386</v>
      </c>
      <c r="F49" s="125"/>
      <c r="G49" s="132"/>
      <c r="H49" s="127"/>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31"/>
      <c r="D50" s="131"/>
      <c r="E50" s="254" t="s">
        <v>387</v>
      </c>
      <c r="F50" s="193" t="s">
        <v>72</v>
      </c>
      <c r="G50" s="235" t="s">
        <v>161</v>
      </c>
      <c r="H50" s="255">
        <f t="shared" ref="H50:H55" si="3">H37/H$47</f>
        <v>0.5974696425</v>
      </c>
      <c r="I50" s="331" t="s">
        <v>162</v>
      </c>
      <c r="J50" s="331" t="s">
        <v>162</v>
      </c>
      <c r="K50" s="331" t="s">
        <v>162</v>
      </c>
      <c r="L50" s="331" t="s">
        <v>162</v>
      </c>
      <c r="M50" s="331" t="s">
        <v>162</v>
      </c>
      <c r="N50" s="331" t="s">
        <v>162</v>
      </c>
      <c r="O50" s="331" t="s">
        <v>162</v>
      </c>
      <c r="P50" s="331" t="s">
        <v>162</v>
      </c>
      <c r="Q50" s="331" t="s">
        <v>162</v>
      </c>
      <c r="R50" s="331" t="s">
        <v>162</v>
      </c>
      <c r="S50" s="331" t="s">
        <v>162</v>
      </c>
      <c r="T50" s="331" t="s">
        <v>162</v>
      </c>
      <c r="U50" s="331" t="s">
        <v>162</v>
      </c>
      <c r="V50" s="331" t="s">
        <v>162</v>
      </c>
      <c r="W50" s="331" t="s">
        <v>162</v>
      </c>
      <c r="X50" s="331" t="s">
        <v>162</v>
      </c>
      <c r="Y50" s="331" t="s">
        <v>162</v>
      </c>
      <c r="Z50" s="331" t="s">
        <v>162</v>
      </c>
      <c r="AA50" s="331" t="s">
        <v>162</v>
      </c>
      <c r="AB50" s="331" t="s">
        <v>162</v>
      </c>
      <c r="AC50" s="331" t="s">
        <v>162</v>
      </c>
      <c r="AD50" s="331" t="s">
        <v>162</v>
      </c>
      <c r="AE50" s="331" t="s">
        <v>162</v>
      </c>
      <c r="AF50" s="331" t="s">
        <v>162</v>
      </c>
      <c r="AG50" s="331" t="s">
        <v>162</v>
      </c>
      <c r="AH50" s="331" t="s">
        <v>162</v>
      </c>
      <c r="AI50" s="331" t="s">
        <v>162</v>
      </c>
      <c r="AJ50" s="331" t="s">
        <v>162</v>
      </c>
      <c r="AK50" s="331" t="s">
        <v>162</v>
      </c>
      <c r="AL50" s="331" t="s">
        <v>162</v>
      </c>
      <c r="AM50" s="331" t="s">
        <v>162</v>
      </c>
      <c r="AN50" s="331" t="s">
        <v>162</v>
      </c>
      <c r="AO50" s="331" t="s">
        <v>162</v>
      </c>
      <c r="AP50" s="331" t="s">
        <v>162</v>
      </c>
      <c r="AQ50" s="331" t="s">
        <v>162</v>
      </c>
      <c r="AR50" s="331" t="s">
        <v>162</v>
      </c>
      <c r="AS50" s="331" t="s">
        <v>162</v>
      </c>
      <c r="AT50" s="331" t="s">
        <v>162</v>
      </c>
      <c r="AU50" s="331" t="s">
        <v>162</v>
      </c>
      <c r="AV50" s="331" t="s">
        <v>162</v>
      </c>
      <c r="AW50" s="256"/>
    </row>
    <row r="51">
      <c r="A51" s="122"/>
      <c r="B51" s="123"/>
      <c r="C51" s="131"/>
      <c r="D51" s="131"/>
      <c r="E51" s="254" t="s">
        <v>388</v>
      </c>
      <c r="F51" s="213" t="s">
        <v>72</v>
      </c>
      <c r="G51" s="239" t="s">
        <v>161</v>
      </c>
      <c r="H51" s="258">
        <f t="shared" si="3"/>
        <v>0.850941612</v>
      </c>
      <c r="I51" s="220" t="s">
        <v>162</v>
      </c>
      <c r="J51" s="220" t="s">
        <v>162</v>
      </c>
      <c r="K51" s="220" t="s">
        <v>162</v>
      </c>
      <c r="L51" s="220" t="s">
        <v>162</v>
      </c>
      <c r="M51" s="220" t="s">
        <v>162</v>
      </c>
      <c r="N51" s="220" t="s">
        <v>162</v>
      </c>
      <c r="O51" s="220" t="s">
        <v>162</v>
      </c>
      <c r="P51" s="220" t="s">
        <v>162</v>
      </c>
      <c r="Q51" s="220" t="s">
        <v>162</v>
      </c>
      <c r="R51" s="220" t="s">
        <v>162</v>
      </c>
      <c r="S51" s="220" t="s">
        <v>162</v>
      </c>
      <c r="T51" s="220" t="s">
        <v>162</v>
      </c>
      <c r="U51" s="220" t="s">
        <v>162</v>
      </c>
      <c r="V51" s="220" t="s">
        <v>162</v>
      </c>
      <c r="W51" s="220" t="s">
        <v>162</v>
      </c>
      <c r="X51" s="220" t="s">
        <v>162</v>
      </c>
      <c r="Y51" s="220" t="s">
        <v>162</v>
      </c>
      <c r="Z51" s="220" t="s">
        <v>162</v>
      </c>
      <c r="AA51" s="220" t="s">
        <v>162</v>
      </c>
      <c r="AB51" s="220" t="s">
        <v>162</v>
      </c>
      <c r="AC51" s="220" t="s">
        <v>162</v>
      </c>
      <c r="AD51" s="220" t="s">
        <v>162</v>
      </c>
      <c r="AE51" s="220" t="s">
        <v>162</v>
      </c>
      <c r="AF51" s="220" t="s">
        <v>162</v>
      </c>
      <c r="AG51" s="220" t="s">
        <v>162</v>
      </c>
      <c r="AH51" s="220" t="s">
        <v>162</v>
      </c>
      <c r="AI51" s="220" t="s">
        <v>162</v>
      </c>
      <c r="AJ51" s="220" t="s">
        <v>162</v>
      </c>
      <c r="AK51" s="220" t="s">
        <v>162</v>
      </c>
      <c r="AL51" s="220" t="s">
        <v>162</v>
      </c>
      <c r="AM51" s="220" t="s">
        <v>162</v>
      </c>
      <c r="AN51" s="220" t="s">
        <v>162</v>
      </c>
      <c r="AO51" s="220" t="s">
        <v>162</v>
      </c>
      <c r="AP51" s="220" t="s">
        <v>162</v>
      </c>
      <c r="AQ51" s="220" t="s">
        <v>162</v>
      </c>
      <c r="AR51" s="220" t="s">
        <v>162</v>
      </c>
      <c r="AS51" s="220" t="s">
        <v>162</v>
      </c>
      <c r="AT51" s="220" t="s">
        <v>162</v>
      </c>
      <c r="AU51" s="220" t="s">
        <v>162</v>
      </c>
      <c r="AV51" s="220" t="s">
        <v>162</v>
      </c>
      <c r="AW51" s="259"/>
    </row>
    <row r="52">
      <c r="A52" s="122"/>
      <c r="B52" s="123"/>
      <c r="C52" s="131"/>
      <c r="D52" s="131"/>
      <c r="E52" s="254" t="s">
        <v>389</v>
      </c>
      <c r="F52" s="213" t="s">
        <v>72</v>
      </c>
      <c r="G52" s="239" t="s">
        <v>161</v>
      </c>
      <c r="H52" s="258">
        <f t="shared" si="3"/>
        <v>0.7423107679</v>
      </c>
      <c r="I52" s="220" t="s">
        <v>162</v>
      </c>
      <c r="J52" s="220" t="s">
        <v>162</v>
      </c>
      <c r="K52" s="220" t="s">
        <v>162</v>
      </c>
      <c r="L52" s="220" t="s">
        <v>162</v>
      </c>
      <c r="M52" s="220" t="s">
        <v>162</v>
      </c>
      <c r="N52" s="220" t="s">
        <v>162</v>
      </c>
      <c r="O52" s="220" t="s">
        <v>162</v>
      </c>
      <c r="P52" s="220" t="s">
        <v>162</v>
      </c>
      <c r="Q52" s="220" t="s">
        <v>162</v>
      </c>
      <c r="R52" s="220" t="s">
        <v>162</v>
      </c>
      <c r="S52" s="220" t="s">
        <v>162</v>
      </c>
      <c r="T52" s="220" t="s">
        <v>162</v>
      </c>
      <c r="U52" s="220" t="s">
        <v>162</v>
      </c>
      <c r="V52" s="220" t="s">
        <v>162</v>
      </c>
      <c r="W52" s="220" t="s">
        <v>162</v>
      </c>
      <c r="X52" s="220" t="s">
        <v>162</v>
      </c>
      <c r="Y52" s="220" t="s">
        <v>162</v>
      </c>
      <c r="Z52" s="220" t="s">
        <v>162</v>
      </c>
      <c r="AA52" s="220" t="s">
        <v>162</v>
      </c>
      <c r="AB52" s="220" t="s">
        <v>162</v>
      </c>
      <c r="AC52" s="220" t="s">
        <v>162</v>
      </c>
      <c r="AD52" s="220" t="s">
        <v>162</v>
      </c>
      <c r="AE52" s="220" t="s">
        <v>162</v>
      </c>
      <c r="AF52" s="220" t="s">
        <v>162</v>
      </c>
      <c r="AG52" s="220" t="s">
        <v>162</v>
      </c>
      <c r="AH52" s="220" t="s">
        <v>162</v>
      </c>
      <c r="AI52" s="220" t="s">
        <v>162</v>
      </c>
      <c r="AJ52" s="220" t="s">
        <v>162</v>
      </c>
      <c r="AK52" s="220" t="s">
        <v>162</v>
      </c>
      <c r="AL52" s="220" t="s">
        <v>162</v>
      </c>
      <c r="AM52" s="220" t="s">
        <v>162</v>
      </c>
      <c r="AN52" s="220" t="s">
        <v>162</v>
      </c>
      <c r="AO52" s="220" t="s">
        <v>162</v>
      </c>
      <c r="AP52" s="220" t="s">
        <v>162</v>
      </c>
      <c r="AQ52" s="220" t="s">
        <v>162</v>
      </c>
      <c r="AR52" s="220" t="s">
        <v>162</v>
      </c>
      <c r="AS52" s="220" t="s">
        <v>162</v>
      </c>
      <c r="AT52" s="220" t="s">
        <v>162</v>
      </c>
      <c r="AU52" s="220" t="s">
        <v>162</v>
      </c>
      <c r="AV52" s="220" t="s">
        <v>162</v>
      </c>
      <c r="AW52" s="259"/>
    </row>
    <row r="53">
      <c r="A53" s="122"/>
      <c r="B53" s="123"/>
      <c r="C53" s="131"/>
      <c r="D53" s="131"/>
      <c r="E53" s="254" t="s">
        <v>390</v>
      </c>
      <c r="F53" s="213" t="s">
        <v>72</v>
      </c>
      <c r="G53" s="239" t="s">
        <v>161</v>
      </c>
      <c r="H53" s="258">
        <f t="shared" si="3"/>
        <v>0.4299970912</v>
      </c>
      <c r="I53" s="220" t="s">
        <v>162</v>
      </c>
      <c r="J53" s="220" t="s">
        <v>162</v>
      </c>
      <c r="K53" s="220" t="s">
        <v>162</v>
      </c>
      <c r="L53" s="220" t="s">
        <v>162</v>
      </c>
      <c r="M53" s="220" t="s">
        <v>162</v>
      </c>
      <c r="N53" s="220" t="s">
        <v>162</v>
      </c>
      <c r="O53" s="220" t="s">
        <v>162</v>
      </c>
      <c r="P53" s="220" t="s">
        <v>162</v>
      </c>
      <c r="Q53" s="220" t="s">
        <v>162</v>
      </c>
      <c r="R53" s="220" t="s">
        <v>162</v>
      </c>
      <c r="S53" s="220" t="s">
        <v>162</v>
      </c>
      <c r="T53" s="220" t="s">
        <v>162</v>
      </c>
      <c r="U53" s="220" t="s">
        <v>162</v>
      </c>
      <c r="V53" s="220" t="s">
        <v>162</v>
      </c>
      <c r="W53" s="220" t="s">
        <v>162</v>
      </c>
      <c r="X53" s="220" t="s">
        <v>162</v>
      </c>
      <c r="Y53" s="220" t="s">
        <v>162</v>
      </c>
      <c r="Z53" s="220" t="s">
        <v>162</v>
      </c>
      <c r="AA53" s="220" t="s">
        <v>162</v>
      </c>
      <c r="AB53" s="220" t="s">
        <v>162</v>
      </c>
      <c r="AC53" s="220" t="s">
        <v>162</v>
      </c>
      <c r="AD53" s="220" t="s">
        <v>162</v>
      </c>
      <c r="AE53" s="220" t="s">
        <v>162</v>
      </c>
      <c r="AF53" s="220" t="s">
        <v>162</v>
      </c>
      <c r="AG53" s="220" t="s">
        <v>162</v>
      </c>
      <c r="AH53" s="220" t="s">
        <v>162</v>
      </c>
      <c r="AI53" s="220" t="s">
        <v>162</v>
      </c>
      <c r="AJ53" s="220" t="s">
        <v>162</v>
      </c>
      <c r="AK53" s="220" t="s">
        <v>162</v>
      </c>
      <c r="AL53" s="220" t="s">
        <v>162</v>
      </c>
      <c r="AM53" s="220" t="s">
        <v>162</v>
      </c>
      <c r="AN53" s="220" t="s">
        <v>162</v>
      </c>
      <c r="AO53" s="220" t="s">
        <v>162</v>
      </c>
      <c r="AP53" s="220" t="s">
        <v>162</v>
      </c>
      <c r="AQ53" s="220" t="s">
        <v>162</v>
      </c>
      <c r="AR53" s="220" t="s">
        <v>162</v>
      </c>
      <c r="AS53" s="220" t="s">
        <v>162</v>
      </c>
      <c r="AT53" s="220" t="s">
        <v>162</v>
      </c>
      <c r="AU53" s="220" t="s">
        <v>162</v>
      </c>
      <c r="AV53" s="220" t="s">
        <v>162</v>
      </c>
      <c r="AW53" s="259"/>
    </row>
    <row r="54">
      <c r="A54" s="122"/>
      <c r="B54" s="123"/>
      <c r="C54" s="131"/>
      <c r="D54" s="131"/>
      <c r="E54" s="254" t="s">
        <v>391</v>
      </c>
      <c r="F54" s="193" t="s">
        <v>72</v>
      </c>
      <c r="G54" s="235" t="s">
        <v>161</v>
      </c>
      <c r="H54" s="255">
        <f t="shared" si="3"/>
        <v>0.4164182357</v>
      </c>
      <c r="I54" s="331" t="s">
        <v>162</v>
      </c>
      <c r="J54" s="331" t="s">
        <v>162</v>
      </c>
      <c r="K54" s="331" t="s">
        <v>162</v>
      </c>
      <c r="L54" s="220" t="s">
        <v>162</v>
      </c>
      <c r="M54" s="331" t="s">
        <v>162</v>
      </c>
      <c r="N54" s="331" t="s">
        <v>162</v>
      </c>
      <c r="O54" s="331" t="s">
        <v>162</v>
      </c>
      <c r="P54" s="331" t="s">
        <v>162</v>
      </c>
      <c r="Q54" s="331" t="s">
        <v>162</v>
      </c>
      <c r="R54" s="331" t="s">
        <v>162</v>
      </c>
      <c r="S54" s="331" t="s">
        <v>162</v>
      </c>
      <c r="T54" s="331" t="s">
        <v>162</v>
      </c>
      <c r="U54" s="331" t="s">
        <v>162</v>
      </c>
      <c r="V54" s="331" t="s">
        <v>162</v>
      </c>
      <c r="W54" s="331" t="s">
        <v>162</v>
      </c>
      <c r="X54" s="331" t="s">
        <v>162</v>
      </c>
      <c r="Y54" s="331" t="s">
        <v>162</v>
      </c>
      <c r="Z54" s="331" t="s">
        <v>162</v>
      </c>
      <c r="AA54" s="331" t="s">
        <v>162</v>
      </c>
      <c r="AB54" s="331" t="s">
        <v>162</v>
      </c>
      <c r="AC54" s="331" t="s">
        <v>162</v>
      </c>
      <c r="AD54" s="331" t="s">
        <v>162</v>
      </c>
      <c r="AE54" s="331" t="s">
        <v>162</v>
      </c>
      <c r="AF54" s="331" t="s">
        <v>162</v>
      </c>
      <c r="AG54" s="331" t="s">
        <v>162</v>
      </c>
      <c r="AH54" s="331" t="s">
        <v>162</v>
      </c>
      <c r="AI54" s="331" t="s">
        <v>162</v>
      </c>
      <c r="AJ54" s="331" t="s">
        <v>162</v>
      </c>
      <c r="AK54" s="331" t="s">
        <v>162</v>
      </c>
      <c r="AL54" s="331" t="s">
        <v>162</v>
      </c>
      <c r="AM54" s="331" t="s">
        <v>162</v>
      </c>
      <c r="AN54" s="331" t="s">
        <v>162</v>
      </c>
      <c r="AO54" s="331" t="s">
        <v>162</v>
      </c>
      <c r="AP54" s="331" t="s">
        <v>162</v>
      </c>
      <c r="AQ54" s="331" t="s">
        <v>162</v>
      </c>
      <c r="AR54" s="331" t="s">
        <v>162</v>
      </c>
      <c r="AS54" s="331" t="s">
        <v>162</v>
      </c>
      <c r="AT54" s="331" t="s">
        <v>162</v>
      </c>
      <c r="AU54" s="331" t="s">
        <v>162</v>
      </c>
      <c r="AV54" s="331" t="s">
        <v>162</v>
      </c>
      <c r="AW54" s="256"/>
    </row>
    <row r="55">
      <c r="A55" s="122"/>
      <c r="B55" s="123"/>
      <c r="C55" s="131"/>
      <c r="D55" s="131"/>
      <c r="E55" s="272" t="s">
        <v>392</v>
      </c>
      <c r="F55" s="200" t="s">
        <v>72</v>
      </c>
      <c r="G55" s="273" t="s">
        <v>161</v>
      </c>
      <c r="H55" s="498">
        <f t="shared" si="3"/>
        <v>0.7705189672</v>
      </c>
      <c r="I55" s="493" t="s">
        <v>162</v>
      </c>
      <c r="J55" s="493" t="s">
        <v>162</v>
      </c>
      <c r="K55" s="493" t="s">
        <v>162</v>
      </c>
      <c r="L55" s="493" t="s">
        <v>162</v>
      </c>
      <c r="M55" s="493" t="s">
        <v>162</v>
      </c>
      <c r="N55" s="493" t="s">
        <v>162</v>
      </c>
      <c r="O55" s="493" t="s">
        <v>162</v>
      </c>
      <c r="P55" s="493" t="s">
        <v>162</v>
      </c>
      <c r="Q55" s="493" t="s">
        <v>162</v>
      </c>
      <c r="R55" s="493" t="s">
        <v>162</v>
      </c>
      <c r="S55" s="493" t="s">
        <v>162</v>
      </c>
      <c r="T55" s="493" t="s">
        <v>162</v>
      </c>
      <c r="U55" s="493" t="s">
        <v>162</v>
      </c>
      <c r="V55" s="493" t="s">
        <v>162</v>
      </c>
      <c r="W55" s="493" t="s">
        <v>162</v>
      </c>
      <c r="X55" s="493" t="s">
        <v>162</v>
      </c>
      <c r="Y55" s="493" t="s">
        <v>162</v>
      </c>
      <c r="Z55" s="493" t="s">
        <v>162</v>
      </c>
      <c r="AA55" s="493" t="s">
        <v>162</v>
      </c>
      <c r="AB55" s="493" t="s">
        <v>162</v>
      </c>
      <c r="AC55" s="493" t="s">
        <v>162</v>
      </c>
      <c r="AD55" s="493" t="s">
        <v>162</v>
      </c>
      <c r="AE55" s="493" t="s">
        <v>162</v>
      </c>
      <c r="AF55" s="493" t="s">
        <v>162</v>
      </c>
      <c r="AG55" s="493" t="s">
        <v>162</v>
      </c>
      <c r="AH55" s="493" t="s">
        <v>162</v>
      </c>
      <c r="AI55" s="493" t="s">
        <v>162</v>
      </c>
      <c r="AJ55" s="493" t="s">
        <v>162</v>
      </c>
      <c r="AK55" s="493" t="s">
        <v>162</v>
      </c>
      <c r="AL55" s="493" t="s">
        <v>162</v>
      </c>
      <c r="AM55" s="493" t="s">
        <v>162</v>
      </c>
      <c r="AN55" s="493" t="s">
        <v>162</v>
      </c>
      <c r="AO55" s="493" t="s">
        <v>162</v>
      </c>
      <c r="AP55" s="493" t="s">
        <v>162</v>
      </c>
      <c r="AQ55" s="493" t="s">
        <v>162</v>
      </c>
      <c r="AR55" s="493" t="s">
        <v>162</v>
      </c>
      <c r="AS55" s="493" t="s">
        <v>162</v>
      </c>
      <c r="AT55" s="493" t="s">
        <v>162</v>
      </c>
      <c r="AU55" s="493" t="s">
        <v>162</v>
      </c>
      <c r="AV55" s="493" t="s">
        <v>162</v>
      </c>
      <c r="AW55" s="274"/>
    </row>
    <row r="56">
      <c r="A56" s="122"/>
      <c r="B56" s="123"/>
      <c r="C56" s="131"/>
      <c r="D56" s="131"/>
      <c r="E56" s="269"/>
      <c r="F56" s="125"/>
      <c r="G56" s="482"/>
      <c r="H56" s="127"/>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c r="AW56" s="130"/>
    </row>
    <row r="57">
      <c r="A57" s="117" t="s">
        <v>911</v>
      </c>
      <c r="B57" s="7"/>
      <c r="C57" s="7"/>
      <c r="D57" s="7"/>
      <c r="E57" s="7"/>
      <c r="F57" s="7"/>
      <c r="G57" s="7"/>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121"/>
    </row>
    <row r="58">
      <c r="A58" s="122"/>
      <c r="B58" s="123"/>
      <c r="C58" s="131"/>
      <c r="D58" s="131"/>
      <c r="E58" s="269"/>
      <c r="F58" s="125"/>
      <c r="G58" s="482"/>
      <c r="H58" s="127"/>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30"/>
    </row>
    <row r="59">
      <c r="A59" s="122"/>
      <c r="B59" s="123"/>
      <c r="C59" s="131" t="s">
        <v>912</v>
      </c>
      <c r="F59" s="125"/>
      <c r="G59" s="482"/>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c r="D60" s="131"/>
      <c r="E60" s="490" t="s">
        <v>913</v>
      </c>
      <c r="F60" s="134" t="s">
        <v>72</v>
      </c>
      <c r="G60" s="491" t="s">
        <v>161</v>
      </c>
      <c r="H60" s="146" t="s">
        <v>162</v>
      </c>
      <c r="I60" s="407">
        <f>SUMPRODUCT($H8:$H13,'Aggregation across vaccines'!I55:I60)</f>
        <v>0.5798625456</v>
      </c>
      <c r="J60" s="407">
        <f>SUMPRODUCT($H8:$H13,'Aggregation across vaccines'!J55:J60)</f>
        <v>0.5846008681</v>
      </c>
      <c r="K60" s="407">
        <f>SUMPRODUCT($H8:$H13,'Aggregation across vaccines'!K55:K60)</f>
        <v>0.6118228186</v>
      </c>
      <c r="L60" s="407">
        <f>SUMPRODUCT($H8:$H13,'Aggregation across vaccines'!L55:L60)</f>
        <v>0.6030321329</v>
      </c>
      <c r="M60" s="407">
        <f>SUMPRODUCT($H8:$H13,'Aggregation across vaccines'!M55:M60)</f>
        <v>0.571477473</v>
      </c>
      <c r="N60" s="407">
        <f>SUMPRODUCT($H8:$H13,'Aggregation across vaccines'!N55:N60)</f>
        <v>0.6066515311</v>
      </c>
      <c r="O60" s="407">
        <f>SUMPRODUCT($H8:$H13,'Aggregation across vaccines'!O55:O60)</f>
        <v>0.6204621402</v>
      </c>
      <c r="P60" s="407">
        <f>SUMPRODUCT($H8:$H13,'Aggregation across vaccines'!P55:P60)</f>
        <v>0.5882541244</v>
      </c>
      <c r="Q60" s="407">
        <f>SUMPRODUCT($H8:$H13,'Aggregation across vaccines'!Q55:Q60)</f>
        <v>0.6049794497</v>
      </c>
      <c r="R60" s="407">
        <f>SUMPRODUCT($H8:$H13,'Aggregation across vaccines'!R55:R60)</f>
        <v>0.5431148317</v>
      </c>
      <c r="S60" s="407">
        <f>SUMPRODUCT($H8:$H13,'Aggregation across vaccines'!S55:S60)</f>
        <v>0.5699416786</v>
      </c>
      <c r="T60" s="407">
        <f>SUMPRODUCT($H8:$H13,'Aggregation across vaccines'!T55:T60)</f>
        <v>0.6054724965</v>
      </c>
      <c r="U60" s="407">
        <f>SUMPRODUCT($H8:$H13,'Aggregation across vaccines'!U55:U60)</f>
        <v>0.6108941014</v>
      </c>
      <c r="V60" s="407">
        <f>SUMPRODUCT($H8:$H13,'Aggregation across vaccines'!V55:V60)</f>
        <v>0.6112695848</v>
      </c>
      <c r="W60" s="407">
        <f>SUMPRODUCT($H8:$H13,'Aggregation across vaccines'!W55:W60)</f>
        <v>0.5748032785</v>
      </c>
      <c r="X60" s="407">
        <f>SUMPRODUCT($H8:$H13,'Aggregation across vaccines'!X55:X60)</f>
        <v>0.6014754029</v>
      </c>
      <c r="Y60" s="407">
        <f>SUMPRODUCT($H8:$H13,'Aggregation across vaccines'!Y55:Y60)</f>
        <v>0.6213253557</v>
      </c>
      <c r="Z60" s="407">
        <f>SUMPRODUCT($H8:$H13,'Aggregation across vaccines'!Z55:Z60)</f>
        <v>0.5944612943</v>
      </c>
      <c r="AA60" s="407">
        <f>SUMPRODUCT($H8:$H13,'Aggregation across vaccines'!AA55:AA60)</f>
        <v>0.6106202537</v>
      </c>
      <c r="AB60" s="407">
        <f>SUMPRODUCT($H8:$H13,'Aggregation across vaccines'!AB55:AB60)</f>
        <v>0.5949972136</v>
      </c>
      <c r="AC60" s="407">
        <f>SUMPRODUCT($H8:$H13,'Aggregation across vaccines'!AC55:AC60)</f>
        <v>0.596490837</v>
      </c>
      <c r="AD60" s="407">
        <f>SUMPRODUCT($H8:$H13,'Aggregation across vaccines'!AD55:AD60)</f>
        <v>0.63315004</v>
      </c>
      <c r="AE60" s="407">
        <f>SUMPRODUCT($H8:$H13,'Aggregation across vaccines'!AE55:AE60)</f>
        <v>0.5946339697</v>
      </c>
      <c r="AF60" s="407">
        <f>SUMPRODUCT($H8:$H13,'Aggregation across vaccines'!AF55:AF60)</f>
        <v>0.5958783227</v>
      </c>
      <c r="AG60" s="407">
        <f>SUMPRODUCT($H8:$H13,'Aggregation across vaccines'!AG55:AG60)</f>
        <v>0.6030321329</v>
      </c>
      <c r="AH60" s="407">
        <f>SUMPRODUCT($H8:$H13,'Aggregation across vaccines'!AH55:AH60)</f>
        <v>0.6808935875</v>
      </c>
      <c r="AI60" s="407">
        <f>SUMPRODUCT($H8:$H13,'Aggregation across vaccines'!AI55:AI60)</f>
        <v>0.6215409567</v>
      </c>
      <c r="AJ60" s="407">
        <f>SUMPRODUCT($H8:$H13,'Aggregation across vaccines'!AJ55:AJ60)</f>
        <v>0.5991377484</v>
      </c>
      <c r="AK60" s="407">
        <f>SUMPRODUCT($H8:$H13,'Aggregation across vaccines'!AK55:AK60)</f>
        <v>0.6010746359</v>
      </c>
      <c r="AL60" s="407">
        <f>SUMPRODUCT($H8:$H13,'Aggregation across vaccines'!AL55:AL60)</f>
        <v>0.5881582881</v>
      </c>
      <c r="AM60" s="407">
        <f>SUMPRODUCT($H8:$H13,'Aggregation across vaccines'!AM55:AM60)</f>
        <v>0.5881582881</v>
      </c>
      <c r="AN60" s="407">
        <f>SUMPRODUCT($H8:$H13,'Aggregation across vaccines'!AN55:AN60)</f>
        <v>0.5881582881</v>
      </c>
      <c r="AO60" s="407">
        <f>SUMPRODUCT($H8:$H13,'Aggregation across vaccines'!AO55:AO60)</f>
        <v>0.5951995585</v>
      </c>
      <c r="AP60" s="407">
        <f>SUMPRODUCT($H8:$H13,'Aggregation across vaccines'!AP55:AP60)</f>
        <v>0.5784060026</v>
      </c>
      <c r="AQ60" s="407">
        <f>SUMPRODUCT($H8:$H13,'Aggregation across vaccines'!AQ55:AQ60)</f>
        <v>0.6175830342</v>
      </c>
      <c r="AR60" s="407">
        <f>SUMPRODUCT($H8:$H13,'Aggregation across vaccines'!AR55:AR60)</f>
        <v>0.6263134539</v>
      </c>
      <c r="AS60" s="407">
        <f>SUMPRODUCT($H8:$H13,'Aggregation across vaccines'!AS55:AS60)</f>
        <v>0.5891644356</v>
      </c>
      <c r="AT60" s="407">
        <f>SUMPRODUCT($H8:$H13,'Aggregation across vaccines'!AT55:AT60)</f>
        <v>0.5965973664</v>
      </c>
      <c r="AU60" s="407">
        <f>SUMPRODUCT($H8:$H13,'Aggregation across vaccines'!AU55:AU60)</f>
        <v>0.5721049563</v>
      </c>
      <c r="AV60" s="407">
        <f>SUMPRODUCT($H8:$H13,'Aggregation across vaccines'!AV55:AV60)</f>
        <v>0.6362342141</v>
      </c>
      <c r="AW60" s="409"/>
    </row>
    <row r="61">
      <c r="A61" s="123"/>
      <c r="B61" s="123"/>
      <c r="C61" s="131"/>
      <c r="D61" s="131"/>
      <c r="E61" s="269"/>
      <c r="F61" s="141"/>
      <c r="G61" s="448"/>
      <c r="H61" s="188"/>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3"/>
      <c r="B62" s="123"/>
      <c r="C62" s="131" t="s">
        <v>914</v>
      </c>
      <c r="F62" s="141"/>
      <c r="G62" s="448"/>
      <c r="H62" s="188"/>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3"/>
      <c r="B63" s="123"/>
      <c r="C63" s="131"/>
      <c r="D63" s="131"/>
      <c r="E63" s="490" t="s">
        <v>914</v>
      </c>
      <c r="F63" s="134" t="s">
        <v>72</v>
      </c>
      <c r="G63" s="134" t="s">
        <v>161</v>
      </c>
      <c r="H63" s="146" t="s">
        <v>162</v>
      </c>
      <c r="I63" s="407">
        <f t="array" ref="I63">SUMPRODUCT({$H34,$H34,$H34,$H34,$H34,$H32},{'Aggregation across vaccines'!I55,'Aggregation across vaccines'!I56,'Aggregation across vaccines'!I57,'Aggregation across vaccines'!I58,'Aggregation across vaccines'!I59,'Aggregation across vaccines'!I60})</f>
        <v>-0.1425060052</v>
      </c>
      <c r="J63" s="407">
        <f t="array" ref="J63">SUMPRODUCT({$H34,$H34,$H34,$H34,$H34,$H32},{'Aggregation across vaccines'!J55,'Aggregation across vaccines'!J56,'Aggregation across vaccines'!J57,'Aggregation across vaccines'!J58,'Aggregation across vaccines'!J59,'Aggregation across vaccines'!J60})</f>
        <v>-0.141937601</v>
      </c>
      <c r="K63" s="407">
        <f t="array" ref="K63">SUMPRODUCT({$H34,$H34,$H34,$H34,$H34,$H32},{'Aggregation across vaccines'!K55,'Aggregation across vaccines'!K56,'Aggregation across vaccines'!K57,'Aggregation across vaccines'!K58,'Aggregation across vaccines'!K59,'Aggregation across vaccines'!K60})</f>
        <v>-0.1431876937</v>
      </c>
      <c r="L63" s="407">
        <f t="array" ref="L63">SUMPRODUCT({$H34,$H34,$H34,$H34,$H34,$H32},{'Aggregation across vaccines'!AG55,'Aggregation across vaccines'!AG56,'Aggregation across vaccines'!AG57,'Aggregation across vaccines'!AG58,'Aggregation across vaccines'!AG59,'Aggregation across vaccines'!AG60})</f>
        <v>-0.1423143469</v>
      </c>
      <c r="M63" s="407">
        <f t="array" ref="M63">SUMPRODUCT({$H34,$H34,$H34,$H34,$H34,$H32},{'Aggregation across vaccines'!M55,'Aggregation across vaccines'!M56,'Aggregation across vaccines'!M57,'Aggregation across vaccines'!M58,'Aggregation across vaccines'!M59,'Aggregation across vaccines'!M60})</f>
        <v>-0.1414634431</v>
      </c>
      <c r="N63" s="407">
        <f t="array" ref="N63">SUMPRODUCT({$H34,$H34,$H34,$H34,$H34,$H32},{'Aggregation across vaccines'!N55,'Aggregation across vaccines'!N56,'Aggregation across vaccines'!N57,'Aggregation across vaccines'!N58,'Aggregation across vaccines'!N59,'Aggregation across vaccines'!N60})</f>
        <v>-0.1435456042</v>
      </c>
      <c r="O63" s="407">
        <f t="array" ref="O63">SUMPRODUCT({$H34,$H34,$H34,$H34,$H34,$H32},{'Aggregation across vaccines'!O55,'Aggregation across vaccines'!O56,'Aggregation across vaccines'!O57,'Aggregation across vaccines'!O58,'Aggregation across vaccines'!O59,'Aggregation across vaccines'!O60})</f>
        <v>-0.1436303467</v>
      </c>
      <c r="P63" s="407">
        <f t="array" ref="P63">SUMPRODUCT({$H34,$H34,$H34,$H34,$H34,$H32},{'Aggregation across vaccines'!P55,'Aggregation across vaccines'!P56,'Aggregation across vaccines'!P57,'Aggregation across vaccines'!P58,'Aggregation across vaccines'!P59,'Aggregation across vaccines'!P60})</f>
        <v>-0.142654377</v>
      </c>
      <c r="Q63" s="407">
        <f t="array" ref="Q63">SUMPRODUCT({$H34,$H34,$H34,$H34,$H34,$H32},{'Aggregation across vaccines'!Q55,'Aggregation across vaccines'!Q56,'Aggregation across vaccines'!Q57,'Aggregation across vaccines'!Q58,'Aggregation across vaccines'!Q59,'Aggregation across vaccines'!Q60})</f>
        <v>-0.1432197213</v>
      </c>
      <c r="R63" s="407">
        <f t="array" ref="R63">SUMPRODUCT({$H34,$H34,$H34,$H34,$H34,$H32},{'Aggregation across vaccines'!R55,'Aggregation across vaccines'!R56,'Aggregation across vaccines'!R57,'Aggregation across vaccines'!R58,'Aggregation across vaccines'!R59,'Aggregation across vaccines'!R60})</f>
        <v>-0.1376935056</v>
      </c>
      <c r="S63" s="407">
        <f t="array" ref="S63">SUMPRODUCT({$H34,$H34,$H34,$H34,$H34,$H32},{'Aggregation across vaccines'!S55,'Aggregation across vaccines'!S56,'Aggregation across vaccines'!S57,'Aggregation across vaccines'!S58,'Aggregation across vaccines'!S59,'Aggregation across vaccines'!S60})</f>
        <v>-0.1415157829</v>
      </c>
      <c r="T63" s="407">
        <f t="array" ref="T63">SUMPRODUCT({$H34,$H34,$H34,$H34,$H34,$H32},{'Aggregation across vaccines'!T55,'Aggregation across vaccines'!T56,'Aggregation across vaccines'!T57,'Aggregation across vaccines'!T58,'Aggregation across vaccines'!T59,'Aggregation across vaccines'!T60})</f>
        <v>-0.1424115748</v>
      </c>
      <c r="U63" s="407">
        <f t="array" ref="U63">SUMPRODUCT({$H34,$H34,$H34,$H34,$H34,$H32},{'Aggregation across vaccines'!U55,'Aggregation across vaccines'!U56,'Aggregation across vaccines'!U57,'Aggregation across vaccines'!U58,'Aggregation across vaccines'!U59,'Aggregation across vaccines'!U60})</f>
        <v>-0.1416741424</v>
      </c>
      <c r="V63" s="407">
        <f t="array" ref="V63">SUMPRODUCT({$H34,$H34,$H34,$H34,$H34,$H32},{'Aggregation across vaccines'!V55,'Aggregation across vaccines'!V56,'Aggregation across vaccines'!V57,'Aggregation across vaccines'!V58,'Aggregation across vaccines'!V59,'Aggregation across vaccines'!V60})</f>
        <v>-0.1425629106</v>
      </c>
      <c r="W63" s="407">
        <f t="array" ref="W63">SUMPRODUCT({$H34,$H34,$H34,$H34,$H34,$H32},{'Aggregation across vaccines'!W55,'Aggregation across vaccines'!W56,'Aggregation across vaccines'!W57,'Aggregation across vaccines'!W58,'Aggregation across vaccines'!W59,'Aggregation across vaccines'!W60})</f>
        <v>-0.1416195278</v>
      </c>
      <c r="X63" s="407">
        <f t="array" ref="X63">SUMPRODUCT({$H34,$H34,$H34,$H34,$H34,$H32},{'Aggregation across vaccines'!X55,'Aggregation across vaccines'!X56,'Aggregation across vaccines'!X57,'Aggregation across vaccines'!X58,'Aggregation across vaccines'!X59,'Aggregation across vaccines'!X60})</f>
        <v>-0.143072935</v>
      </c>
      <c r="Y63" s="407">
        <f t="array" ref="Y63">SUMPRODUCT({$H34,$H34,$H34,$H34,$H34,$H32},{'Aggregation across vaccines'!Y55,'Aggregation across vaccines'!Y56,'Aggregation across vaccines'!Y57,'Aggregation across vaccines'!Y58,'Aggregation across vaccines'!Y59,'Aggregation across vaccines'!Y60})</f>
        <v>-0.1425719426</v>
      </c>
      <c r="Z63" s="407">
        <f t="array" ref="Z63">SUMPRODUCT({$H34,$H34,$H34,$H34,$H34,$H32},{'Aggregation across vaccines'!Z55,'Aggregation across vaccines'!Z56,'Aggregation across vaccines'!Z57,'Aggregation across vaccines'!Z58,'Aggregation across vaccines'!Z59,'Aggregation across vaccines'!Z60})</f>
        <v>-0.1420427098</v>
      </c>
      <c r="AA63" s="407">
        <f t="array" ref="AA63">SUMPRODUCT({$H34,$H34,$H34,$H34,$H34,$H32},{'Aggregation across vaccines'!AA55,'Aggregation across vaccines'!AA56,'Aggregation across vaccines'!AA57,'Aggregation across vaccines'!AA58,'Aggregation across vaccines'!AA59,'Aggregation across vaccines'!AA60})</f>
        <v>-0.1421328586</v>
      </c>
      <c r="AB63" s="407">
        <f t="array" ref="AB63">SUMPRODUCT({$H34,$H34,$H34,$H34,$H34,$H32},{'Aggregation across vaccines'!AB55,'Aggregation across vaccines'!AB56,'Aggregation across vaccines'!AB57,'Aggregation across vaccines'!AB58,'Aggregation across vaccines'!AB59,'Aggregation across vaccines'!AB60})</f>
        <v>-0.1419273339</v>
      </c>
      <c r="AC63" s="407">
        <f t="array" ref="AC63">SUMPRODUCT({$H34,$H34,$H34,$H34,$H34,$H32},{'Aggregation across vaccines'!AC55,'Aggregation across vaccines'!AC56,'Aggregation across vaccines'!AC57,'Aggregation across vaccines'!AC58,'Aggregation across vaccines'!AC59,'Aggregation across vaccines'!AC60})</f>
        <v>-0.1429498939</v>
      </c>
      <c r="AD63" s="407">
        <f t="array" ref="AD63">SUMPRODUCT({$H34,$H34,$H34,$H34,$H34,$H32},{'Aggregation across vaccines'!AD55,'Aggregation across vaccines'!AD56,'Aggregation across vaccines'!AD57,'Aggregation across vaccines'!AD58,'Aggregation across vaccines'!AD59,'Aggregation across vaccines'!AD60})</f>
        <v>-0.1421060269</v>
      </c>
      <c r="AE63" s="407">
        <f t="array" ref="AE63">SUMPRODUCT({$H34,$H34,$H34,$H34,$H34,$H32},{'Aggregation across vaccines'!AE55,'Aggregation across vaccines'!AE56,'Aggregation across vaccines'!AE57,'Aggregation across vaccines'!AE58,'Aggregation across vaccines'!AE59,'Aggregation across vaccines'!AE60})</f>
        <v>-0.1418061902</v>
      </c>
      <c r="AF63" s="407">
        <f t="array" ref="AF63">SUMPRODUCT({$H34,$H34,$H34,$H34,$H34,$H32},{'Aggregation across vaccines'!AF55,'Aggregation across vaccines'!AF56,'Aggregation across vaccines'!AF57,'Aggregation across vaccines'!AF58,'Aggregation across vaccines'!AF59,'Aggregation across vaccines'!AF60})</f>
        <v>-0.1416612456</v>
      </c>
      <c r="AG63" s="407">
        <f t="array" ref="AG63">SUMPRODUCT({$H34,$H34,$H34,$H34,$H34,$H32},{'Aggregation across vaccines'!AG55,'Aggregation across vaccines'!AG56,'Aggregation across vaccines'!AG57,'Aggregation across vaccines'!AG58,'Aggregation across vaccines'!AG59,'Aggregation across vaccines'!AG60})</f>
        <v>-0.1423143469</v>
      </c>
      <c r="AH63" s="407">
        <f t="array" ref="AH63">SUMPRODUCT({$H34,$H34,$H34,$H34,$H34,$H32},{'Aggregation across vaccines'!AH55,'Aggregation across vaccines'!AH56,'Aggregation across vaccines'!AH57,'Aggregation across vaccines'!AH58,'Aggregation across vaccines'!AH59,'Aggregation across vaccines'!AH60})</f>
        <v>-0.1424878959</v>
      </c>
      <c r="AI63" s="407">
        <f t="array" ref="AI63">SUMPRODUCT({$H34,$H34,$H34,$H34,$H34,$H32},{'Aggregation across vaccines'!AI55,'Aggregation across vaccines'!AI56,'Aggregation across vaccines'!AI57,'Aggregation across vaccines'!AI58,'Aggregation across vaccines'!AI59,'Aggregation across vaccines'!AI60})</f>
        <v>-0.1439415726</v>
      </c>
      <c r="AJ63" s="407">
        <f t="array" ref="AJ63">SUMPRODUCT({$H34,$H34,$H34,$H34,$H34,$H32},{'Aggregation across vaccines'!AJ55,'Aggregation across vaccines'!AJ56,'Aggregation across vaccines'!AJ57,'Aggregation across vaccines'!AJ58,'Aggregation across vaccines'!AJ59,'Aggregation across vaccines'!AJ60})</f>
        <v>-0.1422868046</v>
      </c>
      <c r="AK63" s="407">
        <f t="array" ref="AK63">SUMPRODUCT({$H34,$H34,$H34,$H34,$H34,$H32},{'Aggregation across vaccines'!AK55,'Aggregation across vaccines'!AK56,'Aggregation across vaccines'!AK57,'Aggregation across vaccines'!AK58,'Aggregation across vaccines'!AK59,'Aggregation across vaccines'!AK60})</f>
        <v>-0.1421752733</v>
      </c>
      <c r="AL63" s="407">
        <f t="array" ref="AL63">SUMPRODUCT({$H34,$H34,$H34,$H34,$H34,$H32},{'Aggregation across vaccines'!AL55,'Aggregation across vaccines'!AL56,'Aggregation across vaccines'!AL57,'Aggregation across vaccines'!AL58,'Aggregation across vaccines'!AL59,'Aggregation across vaccines'!AL60})</f>
        <v>-0.1422656982</v>
      </c>
      <c r="AM63" s="407">
        <f t="array" ref="AM63">SUMPRODUCT({$H34,$H34,$H34,$H34,$H34,$H32},{'Aggregation across vaccines'!AM55,'Aggregation across vaccines'!AM56,'Aggregation across vaccines'!AM57,'Aggregation across vaccines'!AM58,'Aggregation across vaccines'!AM59,'Aggregation across vaccines'!AM60})</f>
        <v>-0.1422656982</v>
      </c>
      <c r="AN63" s="407">
        <f t="array" ref="AN63">SUMPRODUCT({$H34,$H34,$H34,$H34,$H34,$H32},{'Aggregation across vaccines'!AN55,'Aggregation across vaccines'!AN56,'Aggregation across vaccines'!AN57,'Aggregation across vaccines'!AN58,'Aggregation across vaccines'!AN59,'Aggregation across vaccines'!AN60})</f>
        <v>-0.1422656982</v>
      </c>
      <c r="AO63" s="407">
        <f t="array" ref="AO63">SUMPRODUCT({$H34,$H34,$H34,$H34,$H34,$H32},{'Aggregation across vaccines'!AO55,'Aggregation across vaccines'!AO56,'Aggregation across vaccines'!AO57,'Aggregation across vaccines'!AO58,'Aggregation across vaccines'!AO59,'Aggregation across vaccines'!AO60})</f>
        <v>-0.1420984991</v>
      </c>
      <c r="AP63" s="407">
        <f t="array" ref="AP63">SUMPRODUCT({$H34,$H34,$H34,$H34,$H34,$H32},{'Aggregation across vaccines'!AP55,'Aggregation across vaccines'!AP56,'Aggregation across vaccines'!AP57,'Aggregation across vaccines'!AP58,'Aggregation across vaccines'!AP59,'Aggregation across vaccines'!AP60})</f>
        <v>-0.1421427442</v>
      </c>
      <c r="AQ63" s="407">
        <f t="array" ref="AQ63">SUMPRODUCT({$H34,$H34,$H34,$H34,$H34,$H32},{'Aggregation across vaccines'!AQ55,'Aggregation across vaccines'!AQ56,'Aggregation across vaccines'!AQ57,'Aggregation across vaccines'!AQ58,'Aggregation across vaccines'!AQ59,'Aggregation across vaccines'!AQ60})</f>
        <v>-0.1426900282</v>
      </c>
      <c r="AR63" s="407">
        <f t="array" ref="AR63">SUMPRODUCT({$H34,$H34,$H34,$H34,$H34,$H32},{'Aggregation across vaccines'!AR55,'Aggregation across vaccines'!AR56,'Aggregation across vaccines'!AR57,'Aggregation across vaccines'!AR58,'Aggregation across vaccines'!AR59,'Aggregation across vaccines'!AR60})</f>
        <v>-0.1427567416</v>
      </c>
      <c r="AS63" s="407">
        <f t="array" ref="AS63">SUMPRODUCT({$H34,$H34,$H34,$H34,$H34,$H32},{'Aggregation across vaccines'!AS55,'Aggregation across vaccines'!AS56,'Aggregation across vaccines'!AS57,'Aggregation across vaccines'!AS58,'Aggregation across vaccines'!AS59,'Aggregation across vaccines'!AS60})</f>
        <v>-0.1421137297</v>
      </c>
      <c r="AT63" s="407">
        <f t="array" ref="AT63">SUMPRODUCT({$H34,$H34,$H34,$H34,$H34,$H32},{'Aggregation across vaccines'!AT55,'Aggregation across vaccines'!AT56,'Aggregation across vaccines'!AT57,'Aggregation across vaccines'!AT58,'Aggregation across vaccines'!AT59,'Aggregation across vaccines'!AT60})</f>
        <v>-0.1420927381</v>
      </c>
      <c r="AU63" s="407">
        <f t="array" ref="AU63">SUMPRODUCT({$H34,$H34,$H34,$H34,$H34,$H32},{'Aggregation across vaccines'!AU55,'Aggregation across vaccines'!AU56,'Aggregation across vaccines'!AU57,'Aggregation across vaccines'!AU58,'Aggregation across vaccines'!AU59,'Aggregation across vaccines'!AU60})</f>
        <v>-0.1416623474</v>
      </c>
      <c r="AV63" s="407">
        <f t="array" ref="AV63">SUMPRODUCT({$H34,$H34,$H34,$H34,$H34,$H32},{'Aggregation across vaccines'!AV55,'Aggregation across vaccines'!AV56,'Aggregation across vaccines'!AV57,'Aggregation across vaccines'!AV58,'Aggregation across vaccines'!AV59,'Aggregation across vaccines'!AV60})</f>
        <v>-0.1439855293</v>
      </c>
      <c r="AW63" s="409"/>
    </row>
    <row r="64">
      <c r="A64" s="432"/>
      <c r="B64" s="433"/>
      <c r="C64" s="654"/>
      <c r="D64" s="654"/>
      <c r="E64" s="490"/>
      <c r="F64" s="435"/>
      <c r="G64" s="518"/>
      <c r="H64" s="406"/>
      <c r="I64" s="502"/>
      <c r="J64" s="502"/>
      <c r="K64" s="502"/>
      <c r="L64" s="502"/>
      <c r="M64" s="502"/>
      <c r="N64" s="502"/>
      <c r="O64" s="502"/>
      <c r="P64" s="502"/>
      <c r="Q64" s="502"/>
      <c r="R64" s="502"/>
      <c r="S64" s="502"/>
      <c r="T64" s="502"/>
      <c r="U64" s="502"/>
      <c r="V64" s="502"/>
      <c r="W64" s="502"/>
      <c r="X64" s="502"/>
      <c r="Y64" s="502"/>
      <c r="Z64" s="502"/>
      <c r="AA64" s="502"/>
      <c r="AB64" s="502"/>
      <c r="AC64" s="502"/>
      <c r="AD64" s="502"/>
      <c r="AE64" s="502"/>
      <c r="AF64" s="502"/>
      <c r="AG64" s="502"/>
      <c r="AH64" s="502"/>
      <c r="AI64" s="502"/>
      <c r="AJ64" s="502"/>
      <c r="AK64" s="502"/>
      <c r="AL64" s="502"/>
      <c r="AM64" s="502"/>
      <c r="AN64" s="502"/>
      <c r="AO64" s="502"/>
      <c r="AP64" s="502"/>
      <c r="AQ64" s="502"/>
      <c r="AR64" s="502"/>
      <c r="AS64" s="502"/>
      <c r="AT64" s="502"/>
      <c r="AU64" s="502"/>
      <c r="AV64" s="502"/>
      <c r="AW64" s="409"/>
    </row>
  </sheetData>
  <mergeCells count="18">
    <mergeCell ref="I1:Q1"/>
    <mergeCell ref="R1:AE1"/>
    <mergeCell ref="AF1:AV1"/>
    <mergeCell ref="A3:E3"/>
    <mergeCell ref="A5:G5"/>
    <mergeCell ref="C6:E6"/>
    <mergeCell ref="C7:E7"/>
    <mergeCell ref="C49:E49"/>
    <mergeCell ref="A57:G57"/>
    <mergeCell ref="C59:E59"/>
    <mergeCell ref="C62:E62"/>
    <mergeCell ref="A16:G16"/>
    <mergeCell ref="C18:E18"/>
    <mergeCell ref="C24:E24"/>
    <mergeCell ref="C30:E30"/>
    <mergeCell ref="C36:E36"/>
    <mergeCell ref="A44:G44"/>
    <mergeCell ref="C46:E46"/>
  </mergeCells>
  <hyperlinks>
    <hyperlink display="BCG vaccine efficacy rate from Abubakar et al. 2013" location="Inputs!E17" ref="E8"/>
    <hyperlink display="DTP vaccine efficacy rate from the LiST meta-analysis (part of the Penta vaccine)" location="Inputs!E18" ref="E9"/>
    <hyperlink display="Hib vaccine efficacy rate from Thumburu et al. 2015 (part of the Penta vaccine)" location="Inputs!E19" ref="E10"/>
    <hyperlink display="PCV vaccine efficacy rate from the LiST meta-analysis" location="Inputs!E20" ref="E11"/>
    <hyperlink display="Rotavirus vaccine efficacy rate from the LiST meta-analysis" location="Inputs!E21" ref="E12"/>
    <hyperlink display="Measles two-dose vaccine efficacy rate, adjusted from the LiST meta-analysis" location="Inputs!E23" ref="E13"/>
    <hyperlink display="Measles single dose vaccine efficacy rate from the LiST meta-analysis" location="Inputs!E22" ref="E14"/>
    <hyperlink display="Measles single dose vaccine efficacy rate from the LiST meta-analysis" location="Inputs!E22" ref="E19"/>
    <hyperlink display="Measles vaccine efficacy rate GiveWell infers from the results of IDinsight's biomarkers pilot, assuming the results are entirely explained by vaccine efficacy" location="Inputs!E26" ref="E20"/>
    <hyperlink display="Measles vaccine efficacy rate implied by the results of Fowotade et al. 2015" location="Inputs!E27" ref="E21"/>
    <hyperlink display="Measles vaccine efficacy rate from Uzicanin and Zimmerman 2011" location="Inputs!E28" ref="E22"/>
    <hyperlink display="Weight assigned to the vaccine efficacy rate from the LiST meta-analysis" location="Inputs!E29" ref="E25"/>
    <hyperlink display="Weight assigned to the vaccine efficacy rate GiveWell infers from the results of IDinsight's biomarkers pilot" location="Inputs!E30" ref="E26"/>
    <hyperlink display="Weight assigned to the vaccine efficacy rate implied by the results of Fowotade et al. 2015" location="Inputs!E31" ref="E27"/>
    <hyperlink display="Weight assigned to the vaccine efficacy rate from Uzicanin and Zimmerman 2011" location="Inputs!E32" ref="E28"/>
    <hyperlink display="Proportion of the adjustment for geography-specific measles vaccine efficacy that applies to other vaccines" location="Inputs!E33" ref="E33"/>
    <hyperlink display="Vaccination coverage rate in the trials informing our vaccine efficacy estimates" location="Inputs!E36" ref="E47"/>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4.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655"/>
      <c r="F2" s="95"/>
      <c r="G2" s="96"/>
      <c r="H2" s="656"/>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657"/>
    </row>
    <row r="3">
      <c r="A3" s="101" t="s">
        <v>915</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658"/>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916</v>
      </c>
      <c r="B5" s="7"/>
      <c r="C5" s="7"/>
      <c r="D5" s="7"/>
      <c r="E5" s="7"/>
      <c r="F5" s="7"/>
      <c r="G5" s="659"/>
      <c r="H5" s="118"/>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660"/>
    </row>
    <row r="6">
      <c r="A6" s="122"/>
      <c r="B6" s="123"/>
      <c r="C6" s="123"/>
      <c r="D6" s="123"/>
      <c r="E6" s="66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35"/>
    </row>
    <row r="7">
      <c r="A7" s="122"/>
      <c r="B7" s="123"/>
      <c r="C7" s="131" t="s">
        <v>157</v>
      </c>
      <c r="F7" s="125"/>
      <c r="G7" s="13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35"/>
    </row>
    <row r="8">
      <c r="A8" s="122"/>
      <c r="B8" s="123"/>
      <c r="C8" s="123"/>
      <c r="D8" s="123"/>
      <c r="E8" s="133" t="s">
        <v>158</v>
      </c>
      <c r="F8" s="134" t="s">
        <v>68</v>
      </c>
      <c r="G8" s="135" t="s">
        <v>165</v>
      </c>
      <c r="H8" s="662">
        <f>Inputs!H8</f>
        <v>1000000</v>
      </c>
      <c r="I8" s="147" t="str">
        <f>Inputs!I8</f>
        <v>-</v>
      </c>
      <c r="J8" s="147" t="str">
        <f>Inputs!J8</f>
        <v>-</v>
      </c>
      <c r="K8" s="147" t="str">
        <f>Inputs!K8</f>
        <v>-</v>
      </c>
      <c r="L8" s="147" t="str">
        <f>Inputs!L8</f>
        <v>-</v>
      </c>
      <c r="M8" s="147" t="str">
        <f>Inputs!M8</f>
        <v>-</v>
      </c>
      <c r="N8" s="147" t="str">
        <f>Inputs!N8</f>
        <v>-</v>
      </c>
      <c r="O8" s="147" t="str">
        <f>Inputs!O8</f>
        <v>-</v>
      </c>
      <c r="P8" s="147" t="str">
        <f>Inputs!P8</f>
        <v>-</v>
      </c>
      <c r="Q8" s="147" t="str">
        <f>Inputs!Q8</f>
        <v>-</v>
      </c>
      <c r="R8" s="147" t="str">
        <f>Inputs!R8</f>
        <v>-</v>
      </c>
      <c r="S8" s="147" t="str">
        <f>Inputs!S8</f>
        <v>-</v>
      </c>
      <c r="T8" s="147" t="str">
        <f>Inputs!T8</f>
        <v>-</v>
      </c>
      <c r="U8" s="147" t="str">
        <f>Inputs!U8</f>
        <v>-</v>
      </c>
      <c r="V8" s="147" t="str">
        <f>Inputs!V8</f>
        <v>-</v>
      </c>
      <c r="W8" s="147" t="str">
        <f>Inputs!W8</f>
        <v>-</v>
      </c>
      <c r="X8" s="147" t="str">
        <f>Inputs!X8</f>
        <v>-</v>
      </c>
      <c r="Y8" s="147" t="str">
        <f>Inputs!Y8</f>
        <v>-</v>
      </c>
      <c r="Z8" s="147" t="str">
        <f>Inputs!Z8</f>
        <v>-</v>
      </c>
      <c r="AA8" s="147" t="str">
        <f>Inputs!AA8</f>
        <v>-</v>
      </c>
      <c r="AB8" s="147" t="str">
        <f>Inputs!AB8</f>
        <v>-</v>
      </c>
      <c r="AC8" s="147" t="str">
        <f>Inputs!AC8</f>
        <v>-</v>
      </c>
      <c r="AD8" s="147" t="str">
        <f>Inputs!AD8</f>
        <v>-</v>
      </c>
      <c r="AE8" s="147" t="str">
        <f>Inputs!AE8</f>
        <v>-</v>
      </c>
      <c r="AF8" s="147" t="str">
        <f>Inputs!AF8</f>
        <v>-</v>
      </c>
      <c r="AG8" s="147" t="str">
        <f>Inputs!AG8</f>
        <v>-</v>
      </c>
      <c r="AH8" s="147" t="str">
        <f>Inputs!AH8</f>
        <v>-</v>
      </c>
      <c r="AI8" s="147" t="str">
        <f>Inputs!AI8</f>
        <v>-</v>
      </c>
      <c r="AJ8" s="147" t="str">
        <f>Inputs!AJ8</f>
        <v>-</v>
      </c>
      <c r="AK8" s="147" t="str">
        <f>Inputs!AK8</f>
        <v>-</v>
      </c>
      <c r="AL8" s="147" t="str">
        <f>Inputs!AL8</f>
        <v>-</v>
      </c>
      <c r="AM8" s="147" t="str">
        <f>Inputs!AM8</f>
        <v>-</v>
      </c>
      <c r="AN8" s="147" t="str">
        <f>Inputs!AN8</f>
        <v>-</v>
      </c>
      <c r="AO8" s="147" t="str">
        <f>Inputs!AO8</f>
        <v>-</v>
      </c>
      <c r="AP8" s="147" t="str">
        <f>Inputs!AP8</f>
        <v>-</v>
      </c>
      <c r="AQ8" s="147" t="str">
        <f>Inputs!AQ8</f>
        <v>-</v>
      </c>
      <c r="AR8" s="147" t="str">
        <f>Inputs!AR8</f>
        <v>-</v>
      </c>
      <c r="AS8" s="147" t="str">
        <f>Inputs!AS8</f>
        <v>-</v>
      </c>
      <c r="AT8" s="147" t="str">
        <f>Inputs!AT8</f>
        <v>-</v>
      </c>
      <c r="AU8" s="147" t="str">
        <f>Inputs!AU8</f>
        <v>-</v>
      </c>
      <c r="AV8" s="147" t="str">
        <f>Inputs!AV8</f>
        <v>-</v>
      </c>
      <c r="AW8" s="47"/>
    </row>
    <row r="9">
      <c r="A9" s="122"/>
      <c r="B9" s="123"/>
      <c r="C9" s="53"/>
      <c r="D9" s="53"/>
      <c r="E9" s="663"/>
      <c r="F9" s="664"/>
      <c r="G9" s="316"/>
      <c r="H9" s="127"/>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35"/>
    </row>
    <row r="10">
      <c r="A10" s="122"/>
      <c r="B10" s="123"/>
      <c r="C10" s="53" t="s">
        <v>917</v>
      </c>
      <c r="F10" s="664"/>
      <c r="G10" s="316"/>
      <c r="H10" s="127"/>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35"/>
    </row>
    <row r="11">
      <c r="A11" s="122"/>
      <c r="B11" s="123"/>
      <c r="C11" s="53"/>
      <c r="D11" s="53"/>
      <c r="E11" s="507" t="s">
        <v>918</v>
      </c>
      <c r="F11" s="665" t="str">
        <f>Inputs!F318</f>
        <v>$</v>
      </c>
      <c r="G11" s="666" t="str">
        <f>Inputs!G318</f>
        <v>input</v>
      </c>
      <c r="H11" s="667">
        <f>Inputs!H318</f>
        <v>34.28598</v>
      </c>
      <c r="I11" s="321" t="str">
        <f>Inputs!I318</f>
        <v>-</v>
      </c>
      <c r="J11" s="321" t="str">
        <f>Inputs!J318</f>
        <v>-</v>
      </c>
      <c r="K11" s="321" t="str">
        <f>Inputs!K318</f>
        <v>-</v>
      </c>
      <c r="L11" s="321" t="str">
        <f>Inputs!L318</f>
        <v>-</v>
      </c>
      <c r="M11" s="321" t="str">
        <f>Inputs!M318</f>
        <v>-</v>
      </c>
      <c r="N11" s="321" t="str">
        <f>Inputs!N318</f>
        <v>-</v>
      </c>
      <c r="O11" s="321" t="str">
        <f>Inputs!O318</f>
        <v>-</v>
      </c>
      <c r="P11" s="321" t="str">
        <f>Inputs!P318</f>
        <v>-</v>
      </c>
      <c r="Q11" s="321" t="str">
        <f>Inputs!Q318</f>
        <v>-</v>
      </c>
      <c r="R11" s="321" t="str">
        <f>Inputs!R318</f>
        <v>-</v>
      </c>
      <c r="S11" s="321" t="str">
        <f>Inputs!S318</f>
        <v>-</v>
      </c>
      <c r="T11" s="321" t="str">
        <f>Inputs!T318</f>
        <v>-</v>
      </c>
      <c r="U11" s="321" t="str">
        <f>Inputs!U318</f>
        <v>-</v>
      </c>
      <c r="V11" s="321" t="str">
        <f>Inputs!V318</f>
        <v>-</v>
      </c>
      <c r="W11" s="321" t="str">
        <f>Inputs!W318</f>
        <v>-</v>
      </c>
      <c r="X11" s="321" t="str">
        <f>Inputs!X318</f>
        <v>-</v>
      </c>
      <c r="Y11" s="321" t="str">
        <f>Inputs!Y318</f>
        <v>-</v>
      </c>
      <c r="Z11" s="321" t="str">
        <f>Inputs!Z318</f>
        <v>-</v>
      </c>
      <c r="AA11" s="321" t="str">
        <f>Inputs!AA318</f>
        <v>-</v>
      </c>
      <c r="AB11" s="321" t="str">
        <f>Inputs!AB318</f>
        <v>-</v>
      </c>
      <c r="AC11" s="321" t="str">
        <f>Inputs!AC318</f>
        <v>-</v>
      </c>
      <c r="AD11" s="321" t="str">
        <f>Inputs!AD318</f>
        <v>-</v>
      </c>
      <c r="AE11" s="321" t="str">
        <f>Inputs!AE318</f>
        <v>-</v>
      </c>
      <c r="AF11" s="321" t="str">
        <f>Inputs!AF318</f>
        <v>-</v>
      </c>
      <c r="AG11" s="321" t="str">
        <f>Inputs!AG318</f>
        <v>-</v>
      </c>
      <c r="AH11" s="321" t="str">
        <f>Inputs!AH318</f>
        <v>-</v>
      </c>
      <c r="AI11" s="321" t="str">
        <f>Inputs!AI318</f>
        <v>-</v>
      </c>
      <c r="AJ11" s="321" t="str">
        <f>Inputs!AJ318</f>
        <v>-</v>
      </c>
      <c r="AK11" s="321" t="str">
        <f>Inputs!AK318</f>
        <v>-</v>
      </c>
      <c r="AL11" s="321" t="str">
        <f>Inputs!AL318</f>
        <v>-</v>
      </c>
      <c r="AM11" s="321" t="str">
        <f>Inputs!AM318</f>
        <v>-</v>
      </c>
      <c r="AN11" s="321" t="str">
        <f>Inputs!AN318</f>
        <v>-</v>
      </c>
      <c r="AO11" s="321" t="str">
        <f>Inputs!AO318</f>
        <v>-</v>
      </c>
      <c r="AP11" s="321" t="str">
        <f>Inputs!AP318</f>
        <v>-</v>
      </c>
      <c r="AQ11" s="321" t="str">
        <f>Inputs!AQ318</f>
        <v>-</v>
      </c>
      <c r="AR11" s="321" t="str">
        <f>Inputs!AR318</f>
        <v>-</v>
      </c>
      <c r="AS11" s="321" t="str">
        <f>Inputs!AS318</f>
        <v>-</v>
      </c>
      <c r="AT11" s="321" t="str">
        <f>Inputs!AT318</f>
        <v>-</v>
      </c>
      <c r="AU11" s="321" t="str">
        <f>Inputs!AU318</f>
        <v>-</v>
      </c>
      <c r="AV11" s="321" t="str">
        <f>Inputs!AV318</f>
        <v>-</v>
      </c>
      <c r="AW11" s="18"/>
    </row>
    <row r="12">
      <c r="A12" s="122"/>
      <c r="B12" s="123"/>
      <c r="C12" s="53"/>
      <c r="D12" s="53"/>
      <c r="E12" s="510" t="s">
        <v>919</v>
      </c>
      <c r="F12" s="329" t="str">
        <f>Inputs!F319</f>
        <v>$</v>
      </c>
      <c r="G12" s="668" t="str">
        <f>Inputs!G319</f>
        <v>input</v>
      </c>
      <c r="H12" s="332">
        <f>Inputs!H319</f>
        <v>28.63798</v>
      </c>
      <c r="I12" s="326" t="str">
        <f>Inputs!I319</f>
        <v>-</v>
      </c>
      <c r="J12" s="326" t="str">
        <f>Inputs!J319</f>
        <v>-</v>
      </c>
      <c r="K12" s="326" t="str">
        <f>Inputs!K319</f>
        <v>-</v>
      </c>
      <c r="L12" s="326" t="str">
        <f>Inputs!L319</f>
        <v>-</v>
      </c>
      <c r="M12" s="326" t="str">
        <f>Inputs!M319</f>
        <v>-</v>
      </c>
      <c r="N12" s="326" t="str">
        <f>Inputs!N319</f>
        <v>-</v>
      </c>
      <c r="O12" s="326" t="str">
        <f>Inputs!O319</f>
        <v>-</v>
      </c>
      <c r="P12" s="326" t="str">
        <f>Inputs!P319</f>
        <v>-</v>
      </c>
      <c r="Q12" s="326" t="str">
        <f>Inputs!Q319</f>
        <v>-</v>
      </c>
      <c r="R12" s="326" t="str">
        <f>Inputs!R319</f>
        <v>-</v>
      </c>
      <c r="S12" s="326" t="str">
        <f>Inputs!S319</f>
        <v>-</v>
      </c>
      <c r="T12" s="326" t="str">
        <f>Inputs!T319</f>
        <v>-</v>
      </c>
      <c r="U12" s="326" t="str">
        <f>Inputs!U319</f>
        <v>-</v>
      </c>
      <c r="V12" s="326" t="str">
        <f>Inputs!V319</f>
        <v>-</v>
      </c>
      <c r="W12" s="326" t="str">
        <f>Inputs!W319</f>
        <v>-</v>
      </c>
      <c r="X12" s="326" t="str">
        <f>Inputs!X319</f>
        <v>-</v>
      </c>
      <c r="Y12" s="326" t="str">
        <f>Inputs!Y319</f>
        <v>-</v>
      </c>
      <c r="Z12" s="326" t="str">
        <f>Inputs!Z319</f>
        <v>-</v>
      </c>
      <c r="AA12" s="326" t="str">
        <f>Inputs!AA319</f>
        <v>-</v>
      </c>
      <c r="AB12" s="326" t="str">
        <f>Inputs!AB319</f>
        <v>-</v>
      </c>
      <c r="AC12" s="326" t="str">
        <f>Inputs!AC319</f>
        <v>-</v>
      </c>
      <c r="AD12" s="326" t="str">
        <f>Inputs!AD319</f>
        <v>-</v>
      </c>
      <c r="AE12" s="326" t="str">
        <f>Inputs!AE319</f>
        <v>-</v>
      </c>
      <c r="AF12" s="326" t="str">
        <f>Inputs!AF319</f>
        <v>-</v>
      </c>
      <c r="AG12" s="326" t="str">
        <f>Inputs!AG319</f>
        <v>-</v>
      </c>
      <c r="AH12" s="326" t="str">
        <f>Inputs!AH319</f>
        <v>-</v>
      </c>
      <c r="AI12" s="326" t="str">
        <f>Inputs!AI319</f>
        <v>-</v>
      </c>
      <c r="AJ12" s="326" t="str">
        <f>Inputs!AJ319</f>
        <v>-</v>
      </c>
      <c r="AK12" s="326" t="str">
        <f>Inputs!AK319</f>
        <v>-</v>
      </c>
      <c r="AL12" s="326" t="str">
        <f>Inputs!AL319</f>
        <v>-</v>
      </c>
      <c r="AM12" s="326" t="str">
        <f>Inputs!AM319</f>
        <v>-</v>
      </c>
      <c r="AN12" s="326" t="str">
        <f>Inputs!AN319</f>
        <v>-</v>
      </c>
      <c r="AO12" s="326" t="str">
        <f>Inputs!AO319</f>
        <v>-</v>
      </c>
      <c r="AP12" s="326" t="str">
        <f>Inputs!AP319</f>
        <v>-</v>
      </c>
      <c r="AQ12" s="326" t="str">
        <f>Inputs!AQ319</f>
        <v>-</v>
      </c>
      <c r="AR12" s="326" t="str">
        <f>Inputs!AR319</f>
        <v>-</v>
      </c>
      <c r="AS12" s="326" t="str">
        <f>Inputs!AS319</f>
        <v>-</v>
      </c>
      <c r="AT12" s="326" t="str">
        <f>Inputs!AT319</f>
        <v>-</v>
      </c>
      <c r="AU12" s="326" t="str">
        <f>Inputs!AU319</f>
        <v>-</v>
      </c>
      <c r="AV12" s="326" t="str">
        <f>Inputs!AV319</f>
        <v>-</v>
      </c>
      <c r="AW12" s="22"/>
    </row>
    <row r="13">
      <c r="A13" s="122"/>
      <c r="B13" s="123"/>
      <c r="C13" s="53"/>
      <c r="D13" s="53"/>
      <c r="E13" s="510" t="s">
        <v>183</v>
      </c>
      <c r="F13" s="329" t="str">
        <f>'Main CEA'!F36</f>
        <v>#</v>
      </c>
      <c r="G13" s="668" t="s">
        <v>920</v>
      </c>
      <c r="H13" s="243" t="str">
        <f>'Main CEA'!H36</f>
        <v>-</v>
      </c>
      <c r="I13" s="361">
        <f>'Main CEA'!I36</f>
        <v>10170.19229</v>
      </c>
      <c r="J13" s="361">
        <f>'Main CEA'!J36</f>
        <v>6586.267192</v>
      </c>
      <c r="K13" s="361">
        <f>'Main CEA'!K36</f>
        <v>7808.432134</v>
      </c>
      <c r="L13" s="361">
        <f>'Main CEA'!L36</f>
        <v>8657.537363</v>
      </c>
      <c r="M13" s="361">
        <f>'Main CEA'!M36</f>
        <v>9207.851148</v>
      </c>
      <c r="N13" s="361">
        <f>'Main CEA'!N36</f>
        <v>10406.03626</v>
      </c>
      <c r="O13" s="361">
        <f>'Main CEA'!O36</f>
        <v>15410.9267</v>
      </c>
      <c r="P13" s="361">
        <f>'Main CEA'!P36</f>
        <v>17312.91567</v>
      </c>
      <c r="Q13" s="361">
        <f>'Main CEA'!Q36</f>
        <v>11289.87163</v>
      </c>
      <c r="R13" s="361">
        <f>'Main CEA'!R36</f>
        <v>1972.899914</v>
      </c>
      <c r="S13" s="361">
        <f>'Main CEA'!S36</f>
        <v>2897.850382</v>
      </c>
      <c r="T13" s="361">
        <f>'Main CEA'!T36</f>
        <v>2520.095288</v>
      </c>
      <c r="U13" s="361">
        <f>'Main CEA'!U36</f>
        <v>3091.293062</v>
      </c>
      <c r="V13" s="361">
        <f>'Main CEA'!V36</f>
        <v>3578.159582</v>
      </c>
      <c r="W13" s="361">
        <f>'Main CEA'!W36</f>
        <v>3592.236945</v>
      </c>
      <c r="X13" s="361">
        <f>'Main CEA'!X36</f>
        <v>8903.09107</v>
      </c>
      <c r="Y13" s="361">
        <f>'Main CEA'!Y36</f>
        <v>1333.153289</v>
      </c>
      <c r="Z13" s="361">
        <f>'Main CEA'!Z36</f>
        <v>3308.810537</v>
      </c>
      <c r="AA13" s="361">
        <f>'Main CEA'!AA36</f>
        <v>181.8904703</v>
      </c>
      <c r="AB13" s="361">
        <f>'Main CEA'!AB36</f>
        <v>1586.458319</v>
      </c>
      <c r="AC13" s="361">
        <f>'Main CEA'!AC36</f>
        <v>884.393084</v>
      </c>
      <c r="AD13" s="361">
        <f>'Main CEA'!AD36</f>
        <v>533.7545447</v>
      </c>
      <c r="AE13" s="361">
        <f>'Main CEA'!AE36</f>
        <v>1498.449086</v>
      </c>
      <c r="AF13" s="361">
        <f>'Main CEA'!AF36</f>
        <v>1096.964907</v>
      </c>
      <c r="AG13" s="361">
        <f>'Main CEA'!AG36</f>
        <v>5354.357893</v>
      </c>
      <c r="AH13" s="361">
        <f>'Main CEA'!AH36</f>
        <v>3142.410604</v>
      </c>
      <c r="AI13" s="361">
        <f>'Main CEA'!AI36</f>
        <v>5676.51253</v>
      </c>
      <c r="AJ13" s="361">
        <f>'Main CEA'!AJ36</f>
        <v>1316.942928</v>
      </c>
      <c r="AK13" s="361">
        <f>'Main CEA'!AK36</f>
        <v>5043.133879</v>
      </c>
      <c r="AL13" s="361">
        <f>'Main CEA'!AL36</f>
        <v>8753.506592</v>
      </c>
      <c r="AM13" s="361">
        <f>'Main CEA'!AM36</f>
        <v>10403.94489</v>
      </c>
      <c r="AN13" s="361">
        <f>'Main CEA'!AN36</f>
        <v>5986.502973</v>
      </c>
      <c r="AO13" s="361">
        <f>'Main CEA'!AO36</f>
        <v>6332.496522</v>
      </c>
      <c r="AP13" s="361">
        <f>'Main CEA'!AP36</f>
        <v>4619.481876</v>
      </c>
      <c r="AQ13" s="361">
        <f>'Main CEA'!AQ36</f>
        <v>1755.782206</v>
      </c>
      <c r="AR13" s="361">
        <f>'Main CEA'!AR36</f>
        <v>4787.654694</v>
      </c>
      <c r="AS13" s="361">
        <f>'Main CEA'!AS36</f>
        <v>3454.173932</v>
      </c>
      <c r="AT13" s="361">
        <f>'Main CEA'!AT36</f>
        <v>1752.589301</v>
      </c>
      <c r="AU13" s="361">
        <f>'Main CEA'!AU36</f>
        <v>5431.083763</v>
      </c>
      <c r="AV13" s="361">
        <f>'Main CEA'!AV36</f>
        <v>8349.936367</v>
      </c>
      <c r="AW13" s="22"/>
    </row>
    <row r="14">
      <c r="A14" s="122"/>
      <c r="B14" s="123"/>
      <c r="C14" s="53"/>
      <c r="D14" s="53"/>
      <c r="E14" s="510" t="s">
        <v>921</v>
      </c>
      <c r="F14" s="329" t="s">
        <v>68</v>
      </c>
      <c r="G14" s="668" t="s">
        <v>161</v>
      </c>
      <c r="H14" s="240" t="s">
        <v>162</v>
      </c>
      <c r="I14" s="669">
        <f t="shared" ref="I14:AV14" si="1">$H11*I$13</f>
        <v>348695.0096</v>
      </c>
      <c r="J14" s="669">
        <f t="shared" si="1"/>
        <v>225816.6252</v>
      </c>
      <c r="K14" s="669">
        <f t="shared" si="1"/>
        <v>267719.748</v>
      </c>
      <c r="L14" s="669">
        <f t="shared" si="1"/>
        <v>296832.1529</v>
      </c>
      <c r="M14" s="669">
        <f t="shared" si="1"/>
        <v>315700.2003</v>
      </c>
      <c r="N14" s="669">
        <f t="shared" si="1"/>
        <v>356781.1511</v>
      </c>
      <c r="O14" s="669">
        <f t="shared" si="1"/>
        <v>528378.7245</v>
      </c>
      <c r="P14" s="669">
        <f t="shared" si="1"/>
        <v>593590.2805</v>
      </c>
      <c r="Q14" s="669">
        <f t="shared" si="1"/>
        <v>387084.3128</v>
      </c>
      <c r="R14" s="669">
        <f t="shared" si="1"/>
        <v>67642.80699</v>
      </c>
      <c r="S14" s="669">
        <f t="shared" si="1"/>
        <v>99355.64025</v>
      </c>
      <c r="T14" s="669">
        <f t="shared" si="1"/>
        <v>86403.93664</v>
      </c>
      <c r="U14" s="669">
        <f t="shared" si="1"/>
        <v>105988.0121</v>
      </c>
      <c r="V14" s="669">
        <f t="shared" si="1"/>
        <v>122680.7079</v>
      </c>
      <c r="W14" s="669">
        <f t="shared" si="1"/>
        <v>123163.3641</v>
      </c>
      <c r="X14" s="669">
        <f t="shared" si="1"/>
        <v>305251.2024</v>
      </c>
      <c r="Y14" s="669">
        <f t="shared" si="1"/>
        <v>45708.46699</v>
      </c>
      <c r="Z14" s="669">
        <f t="shared" si="1"/>
        <v>113445.8119</v>
      </c>
      <c r="AA14" s="669">
        <f t="shared" si="1"/>
        <v>6236.293028</v>
      </c>
      <c r="AB14" s="669">
        <f t="shared" si="1"/>
        <v>54393.27819</v>
      </c>
      <c r="AC14" s="669">
        <f t="shared" si="1"/>
        <v>30322.28359</v>
      </c>
      <c r="AD14" s="669">
        <f t="shared" si="1"/>
        <v>18300.29765</v>
      </c>
      <c r="AE14" s="669">
        <f t="shared" si="1"/>
        <v>51375.79539</v>
      </c>
      <c r="AF14" s="669">
        <f t="shared" si="1"/>
        <v>37610.51686</v>
      </c>
      <c r="AG14" s="669">
        <f t="shared" si="1"/>
        <v>183579.4076</v>
      </c>
      <c r="AH14" s="669">
        <f t="shared" si="1"/>
        <v>107740.6271</v>
      </c>
      <c r="AI14" s="669">
        <f t="shared" si="1"/>
        <v>194624.7951</v>
      </c>
      <c r="AJ14" s="669">
        <f t="shared" si="1"/>
        <v>45152.6789</v>
      </c>
      <c r="AK14" s="669">
        <f t="shared" si="1"/>
        <v>172908.7873</v>
      </c>
      <c r="AL14" s="669">
        <f t="shared" si="1"/>
        <v>300122.552</v>
      </c>
      <c r="AM14" s="669">
        <f t="shared" si="1"/>
        <v>356709.4465</v>
      </c>
      <c r="AN14" s="669">
        <f t="shared" si="1"/>
        <v>205253.1212</v>
      </c>
      <c r="AO14" s="669">
        <f t="shared" si="1"/>
        <v>217115.8491</v>
      </c>
      <c r="AP14" s="669">
        <f t="shared" si="1"/>
        <v>158383.4632</v>
      </c>
      <c r="AQ14" s="669">
        <f t="shared" si="1"/>
        <v>60198.7136</v>
      </c>
      <c r="AR14" s="669">
        <f t="shared" si="1"/>
        <v>164149.4331</v>
      </c>
      <c r="AS14" s="669">
        <f t="shared" si="1"/>
        <v>118429.7384</v>
      </c>
      <c r="AT14" s="669">
        <f t="shared" si="1"/>
        <v>60089.24173</v>
      </c>
      <c r="AU14" s="669">
        <f t="shared" si="1"/>
        <v>186210.0293</v>
      </c>
      <c r="AV14" s="669">
        <f t="shared" si="1"/>
        <v>286285.7513</v>
      </c>
      <c r="AW14" s="22"/>
    </row>
    <row r="15">
      <c r="A15" s="122"/>
      <c r="B15" s="123"/>
      <c r="C15" s="53"/>
      <c r="D15" s="53"/>
      <c r="E15" s="513" t="s">
        <v>922</v>
      </c>
      <c r="F15" s="337" t="s">
        <v>68</v>
      </c>
      <c r="G15" s="670" t="s">
        <v>161</v>
      </c>
      <c r="H15" s="228" t="s">
        <v>162</v>
      </c>
      <c r="I15" s="390">
        <f t="shared" ref="I15:AV15" si="2">$H12*I$13</f>
        <v>291253.7635</v>
      </c>
      <c r="J15" s="390">
        <f t="shared" si="2"/>
        <v>188617.3881</v>
      </c>
      <c r="K15" s="390">
        <f t="shared" si="2"/>
        <v>223617.7233</v>
      </c>
      <c r="L15" s="390">
        <f t="shared" si="2"/>
        <v>247934.3818</v>
      </c>
      <c r="M15" s="390">
        <f t="shared" si="2"/>
        <v>263694.257</v>
      </c>
      <c r="N15" s="390">
        <f t="shared" si="2"/>
        <v>298007.8583</v>
      </c>
      <c r="O15" s="390">
        <f t="shared" si="2"/>
        <v>441337.8105</v>
      </c>
      <c r="P15" s="390">
        <f t="shared" si="2"/>
        <v>495806.9328</v>
      </c>
      <c r="Q15" s="390">
        <f t="shared" si="2"/>
        <v>323319.1179</v>
      </c>
      <c r="R15" s="390">
        <f t="shared" si="2"/>
        <v>56499.86827</v>
      </c>
      <c r="S15" s="390">
        <f t="shared" si="2"/>
        <v>82988.58129</v>
      </c>
      <c r="T15" s="390">
        <f t="shared" si="2"/>
        <v>72170.43845</v>
      </c>
      <c r="U15" s="390">
        <f t="shared" si="2"/>
        <v>88528.38889</v>
      </c>
      <c r="V15" s="390">
        <f t="shared" si="2"/>
        <v>102471.2625</v>
      </c>
      <c r="W15" s="390">
        <f t="shared" si="2"/>
        <v>102874.4098</v>
      </c>
      <c r="X15" s="390">
        <f t="shared" si="2"/>
        <v>254966.544</v>
      </c>
      <c r="Y15" s="390">
        <f t="shared" si="2"/>
        <v>38178.81722</v>
      </c>
      <c r="Z15" s="390">
        <f t="shared" si="2"/>
        <v>94757.64998</v>
      </c>
      <c r="AA15" s="390">
        <f t="shared" si="2"/>
        <v>5208.975652</v>
      </c>
      <c r="AB15" s="390">
        <f t="shared" si="2"/>
        <v>45432.9616</v>
      </c>
      <c r="AC15" s="390">
        <f t="shared" si="2"/>
        <v>25327.23145</v>
      </c>
      <c r="AD15" s="390">
        <f t="shared" si="2"/>
        <v>15285.65198</v>
      </c>
      <c r="AE15" s="390">
        <f t="shared" si="2"/>
        <v>42912.55496</v>
      </c>
      <c r="AF15" s="390">
        <f t="shared" si="2"/>
        <v>31414.85907</v>
      </c>
      <c r="AG15" s="390">
        <f t="shared" si="2"/>
        <v>153337.9943</v>
      </c>
      <c r="AH15" s="390">
        <f t="shared" si="2"/>
        <v>89992.29203</v>
      </c>
      <c r="AI15" s="390">
        <f t="shared" si="2"/>
        <v>162563.8523</v>
      </c>
      <c r="AJ15" s="390">
        <f t="shared" si="2"/>
        <v>37714.58524</v>
      </c>
      <c r="AK15" s="390">
        <f t="shared" si="2"/>
        <v>144425.1672</v>
      </c>
      <c r="AL15" s="390">
        <f t="shared" si="2"/>
        <v>250682.7467</v>
      </c>
      <c r="AM15" s="390">
        <f t="shared" si="2"/>
        <v>297947.9657</v>
      </c>
      <c r="AN15" s="390">
        <f t="shared" si="2"/>
        <v>171441.3524</v>
      </c>
      <c r="AO15" s="390">
        <f t="shared" si="2"/>
        <v>181349.9087</v>
      </c>
      <c r="AP15" s="390">
        <f t="shared" si="2"/>
        <v>132292.6296</v>
      </c>
      <c r="AQ15" s="390">
        <f t="shared" si="2"/>
        <v>50282.0557</v>
      </c>
      <c r="AR15" s="390">
        <f t="shared" si="2"/>
        <v>137108.7594</v>
      </c>
      <c r="AS15" s="390">
        <f t="shared" si="2"/>
        <v>98920.56399</v>
      </c>
      <c r="AT15" s="390">
        <f t="shared" si="2"/>
        <v>50190.61735</v>
      </c>
      <c r="AU15" s="390">
        <f t="shared" si="2"/>
        <v>155535.2682</v>
      </c>
      <c r="AV15" s="390">
        <f t="shared" si="2"/>
        <v>239125.3107</v>
      </c>
      <c r="AW15" s="61"/>
    </row>
    <row r="16">
      <c r="A16" s="122"/>
      <c r="B16" s="123"/>
      <c r="C16" s="123"/>
      <c r="D16" s="123"/>
      <c r="E16" s="269"/>
      <c r="F16" s="141"/>
      <c r="G16" s="179"/>
      <c r="H16" s="671"/>
      <c r="I16" s="189"/>
      <c r="J16" s="189"/>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35"/>
    </row>
    <row r="17">
      <c r="A17" s="122"/>
      <c r="B17" s="123"/>
      <c r="C17" s="143" t="s">
        <v>923</v>
      </c>
      <c r="F17" s="141"/>
      <c r="G17" s="144"/>
      <c r="H17" s="270"/>
      <c r="I17" s="527"/>
      <c r="J17" s="527"/>
      <c r="K17" s="527"/>
      <c r="L17" s="527"/>
      <c r="M17" s="527"/>
      <c r="N17" s="527"/>
      <c r="O17" s="527"/>
      <c r="P17" s="527"/>
      <c r="Q17" s="527"/>
      <c r="R17" s="527"/>
      <c r="S17" s="527"/>
      <c r="T17" s="527"/>
      <c r="U17" s="527"/>
      <c r="V17" s="527"/>
      <c r="W17" s="527"/>
      <c r="X17" s="527"/>
      <c r="Y17" s="527"/>
      <c r="Z17" s="527"/>
      <c r="AA17" s="527"/>
      <c r="AB17" s="527"/>
      <c r="AC17" s="527"/>
      <c r="AD17" s="527"/>
      <c r="AE17" s="527"/>
      <c r="AF17" s="527"/>
      <c r="AG17" s="527"/>
      <c r="AH17" s="527"/>
      <c r="AI17" s="527"/>
      <c r="AJ17" s="527"/>
      <c r="AK17" s="527"/>
      <c r="AL17" s="527"/>
      <c r="AM17" s="527"/>
      <c r="AN17" s="527"/>
      <c r="AO17" s="527"/>
      <c r="AP17" s="527"/>
      <c r="AQ17" s="527"/>
      <c r="AR17" s="527"/>
      <c r="AS17" s="527"/>
      <c r="AT17" s="527"/>
      <c r="AU17" s="527"/>
      <c r="AV17" s="527"/>
      <c r="AW17" s="35"/>
    </row>
    <row r="18">
      <c r="A18" s="122"/>
      <c r="B18" s="123"/>
      <c r="C18" s="143"/>
      <c r="D18" s="123"/>
      <c r="E18" s="490" t="s">
        <v>924</v>
      </c>
      <c r="F18" s="134" t="s">
        <v>72</v>
      </c>
      <c r="G18" s="145" t="s">
        <v>161</v>
      </c>
      <c r="H18" s="672" t="s">
        <v>162</v>
      </c>
      <c r="I18" s="147">
        <f t="shared" ref="I18:AV18" si="3">IF(I8="-",SUM($H8,I14:I15),SUM(I8,I14:I15))</f>
        <v>1639948.773</v>
      </c>
      <c r="J18" s="147">
        <f t="shared" si="3"/>
        <v>1414434.013</v>
      </c>
      <c r="K18" s="147">
        <f t="shared" si="3"/>
        <v>1491337.471</v>
      </c>
      <c r="L18" s="147">
        <f t="shared" si="3"/>
        <v>1544766.535</v>
      </c>
      <c r="M18" s="147">
        <f t="shared" si="3"/>
        <v>1579394.457</v>
      </c>
      <c r="N18" s="147">
        <f t="shared" si="3"/>
        <v>1654789.009</v>
      </c>
      <c r="O18" s="147">
        <f t="shared" si="3"/>
        <v>1969716.535</v>
      </c>
      <c r="P18" s="147">
        <f t="shared" si="3"/>
        <v>2089397.213</v>
      </c>
      <c r="Q18" s="147">
        <f t="shared" si="3"/>
        <v>1710403.431</v>
      </c>
      <c r="R18" s="147">
        <f t="shared" si="3"/>
        <v>1124142.675</v>
      </c>
      <c r="S18" s="147">
        <f t="shared" si="3"/>
        <v>1182344.222</v>
      </c>
      <c r="T18" s="147">
        <f t="shared" si="3"/>
        <v>1158574.375</v>
      </c>
      <c r="U18" s="147">
        <f t="shared" si="3"/>
        <v>1194516.401</v>
      </c>
      <c r="V18" s="147">
        <f t="shared" si="3"/>
        <v>1225151.97</v>
      </c>
      <c r="W18" s="147">
        <f t="shared" si="3"/>
        <v>1226037.774</v>
      </c>
      <c r="X18" s="147">
        <f t="shared" si="3"/>
        <v>1560217.746</v>
      </c>
      <c r="Y18" s="147">
        <f t="shared" si="3"/>
        <v>1083887.284</v>
      </c>
      <c r="Z18" s="147">
        <f t="shared" si="3"/>
        <v>1208203.462</v>
      </c>
      <c r="AA18" s="147">
        <f t="shared" si="3"/>
        <v>1011445.269</v>
      </c>
      <c r="AB18" s="147">
        <f t="shared" si="3"/>
        <v>1099826.24</v>
      </c>
      <c r="AC18" s="147">
        <f t="shared" si="3"/>
        <v>1055649.515</v>
      </c>
      <c r="AD18" s="147">
        <f t="shared" si="3"/>
        <v>1033585.95</v>
      </c>
      <c r="AE18" s="147">
        <f t="shared" si="3"/>
        <v>1094288.35</v>
      </c>
      <c r="AF18" s="147">
        <f t="shared" si="3"/>
        <v>1069025.376</v>
      </c>
      <c r="AG18" s="147">
        <f t="shared" si="3"/>
        <v>1336917.402</v>
      </c>
      <c r="AH18" s="147">
        <f t="shared" si="3"/>
        <v>1197732.919</v>
      </c>
      <c r="AI18" s="147">
        <f t="shared" si="3"/>
        <v>1357188.647</v>
      </c>
      <c r="AJ18" s="147">
        <f t="shared" si="3"/>
        <v>1082867.264</v>
      </c>
      <c r="AK18" s="147">
        <f t="shared" si="3"/>
        <v>1317333.954</v>
      </c>
      <c r="AL18" s="147">
        <f t="shared" si="3"/>
        <v>1550805.299</v>
      </c>
      <c r="AM18" s="147">
        <f t="shared" si="3"/>
        <v>1654657.412</v>
      </c>
      <c r="AN18" s="147">
        <f t="shared" si="3"/>
        <v>1376694.474</v>
      </c>
      <c r="AO18" s="147">
        <f t="shared" si="3"/>
        <v>1398465.758</v>
      </c>
      <c r="AP18" s="147">
        <f t="shared" si="3"/>
        <v>1290676.093</v>
      </c>
      <c r="AQ18" s="147">
        <f t="shared" si="3"/>
        <v>1110480.769</v>
      </c>
      <c r="AR18" s="147">
        <f t="shared" si="3"/>
        <v>1301258.192</v>
      </c>
      <c r="AS18" s="147">
        <f t="shared" si="3"/>
        <v>1217350.302</v>
      </c>
      <c r="AT18" s="147">
        <f t="shared" si="3"/>
        <v>1110279.859</v>
      </c>
      <c r="AU18" s="147">
        <f t="shared" si="3"/>
        <v>1341745.297</v>
      </c>
      <c r="AV18" s="147">
        <f t="shared" si="3"/>
        <v>1525411.062</v>
      </c>
      <c r="AW18" s="47"/>
    </row>
    <row r="19">
      <c r="A19" s="122"/>
      <c r="B19" s="123"/>
      <c r="C19" s="342"/>
      <c r="D19" s="342"/>
      <c r="E19" s="269"/>
      <c r="F19" s="125"/>
      <c r="G19" s="132"/>
      <c r="H19" s="270"/>
      <c r="I19" s="527"/>
      <c r="J19" s="527"/>
      <c r="K19" s="527"/>
      <c r="L19" s="527"/>
      <c r="M19" s="527"/>
      <c r="N19" s="527"/>
      <c r="O19" s="527"/>
      <c r="P19" s="527"/>
      <c r="Q19" s="527"/>
      <c r="R19" s="527"/>
      <c r="S19" s="527"/>
      <c r="T19" s="527"/>
      <c r="U19" s="527"/>
      <c r="V19" s="527"/>
      <c r="W19" s="527"/>
      <c r="X19" s="527"/>
      <c r="Y19" s="527"/>
      <c r="Z19" s="527"/>
      <c r="AA19" s="527"/>
      <c r="AB19" s="527"/>
      <c r="AC19" s="527"/>
      <c r="AD19" s="527"/>
      <c r="AE19" s="527"/>
      <c r="AF19" s="527"/>
      <c r="AG19" s="527"/>
      <c r="AH19" s="527"/>
      <c r="AI19" s="527"/>
      <c r="AJ19" s="527"/>
      <c r="AK19" s="527"/>
      <c r="AL19" s="527"/>
      <c r="AM19" s="527"/>
      <c r="AN19" s="527"/>
      <c r="AO19" s="527"/>
      <c r="AP19" s="527"/>
      <c r="AQ19" s="527"/>
      <c r="AR19" s="527"/>
      <c r="AS19" s="527"/>
      <c r="AT19" s="527"/>
      <c r="AU19" s="527"/>
      <c r="AV19" s="527"/>
      <c r="AW19" s="35"/>
    </row>
    <row r="20">
      <c r="A20" s="122"/>
      <c r="B20" s="123"/>
      <c r="C20" s="342" t="s">
        <v>925</v>
      </c>
      <c r="F20" s="125"/>
      <c r="G20" s="132"/>
      <c r="H20" s="270"/>
      <c r="I20" s="527"/>
      <c r="J20" s="527"/>
      <c r="K20" s="527"/>
      <c r="L20" s="527"/>
      <c r="M20" s="527"/>
      <c r="N20" s="527"/>
      <c r="O20" s="527"/>
      <c r="P20" s="527"/>
      <c r="Q20" s="527"/>
      <c r="R20" s="527"/>
      <c r="S20" s="527"/>
      <c r="T20" s="527"/>
      <c r="U20" s="527"/>
      <c r="V20" s="527"/>
      <c r="W20" s="527"/>
      <c r="X20" s="527"/>
      <c r="Y20" s="527"/>
      <c r="Z20" s="527"/>
      <c r="AA20" s="527"/>
      <c r="AB20" s="527"/>
      <c r="AC20" s="527"/>
      <c r="AD20" s="527"/>
      <c r="AE20" s="527"/>
      <c r="AF20" s="527"/>
      <c r="AG20" s="527"/>
      <c r="AH20" s="527"/>
      <c r="AI20" s="527"/>
      <c r="AJ20" s="527"/>
      <c r="AK20" s="527"/>
      <c r="AL20" s="527"/>
      <c r="AM20" s="527"/>
      <c r="AN20" s="527"/>
      <c r="AO20" s="527"/>
      <c r="AP20" s="527"/>
      <c r="AQ20" s="527"/>
      <c r="AR20" s="527"/>
      <c r="AS20" s="527"/>
      <c r="AT20" s="527"/>
      <c r="AU20" s="527"/>
      <c r="AV20" s="527"/>
      <c r="AW20" s="35"/>
    </row>
    <row r="21">
      <c r="A21" s="122"/>
      <c r="B21" s="123"/>
      <c r="C21" s="123"/>
      <c r="D21" s="123"/>
      <c r="E21" s="254" t="s">
        <v>160</v>
      </c>
      <c r="F21" s="193" t="s">
        <v>68</v>
      </c>
      <c r="G21" s="194" t="s">
        <v>161</v>
      </c>
      <c r="H21" s="236" t="s">
        <v>162</v>
      </c>
      <c r="I21" s="673">
        <f t="shared" ref="I21:AV21" si="4">IF(I8="-",$H8,I8)</f>
        <v>1000000</v>
      </c>
      <c r="J21" s="673">
        <f t="shared" si="4"/>
        <v>1000000</v>
      </c>
      <c r="K21" s="673">
        <f t="shared" si="4"/>
        <v>1000000</v>
      </c>
      <c r="L21" s="673">
        <f t="shared" si="4"/>
        <v>1000000</v>
      </c>
      <c r="M21" s="673">
        <f t="shared" si="4"/>
        <v>1000000</v>
      </c>
      <c r="N21" s="673">
        <f t="shared" si="4"/>
        <v>1000000</v>
      </c>
      <c r="O21" s="673">
        <f t="shared" si="4"/>
        <v>1000000</v>
      </c>
      <c r="P21" s="673">
        <f t="shared" si="4"/>
        <v>1000000</v>
      </c>
      <c r="Q21" s="673">
        <f t="shared" si="4"/>
        <v>1000000</v>
      </c>
      <c r="R21" s="673">
        <f t="shared" si="4"/>
        <v>1000000</v>
      </c>
      <c r="S21" s="673">
        <f t="shared" si="4"/>
        <v>1000000</v>
      </c>
      <c r="T21" s="673">
        <f t="shared" si="4"/>
        <v>1000000</v>
      </c>
      <c r="U21" s="673">
        <f t="shared" si="4"/>
        <v>1000000</v>
      </c>
      <c r="V21" s="673">
        <f t="shared" si="4"/>
        <v>1000000</v>
      </c>
      <c r="W21" s="673">
        <f t="shared" si="4"/>
        <v>1000000</v>
      </c>
      <c r="X21" s="673">
        <f t="shared" si="4"/>
        <v>1000000</v>
      </c>
      <c r="Y21" s="673">
        <f t="shared" si="4"/>
        <v>1000000</v>
      </c>
      <c r="Z21" s="673">
        <f t="shared" si="4"/>
        <v>1000000</v>
      </c>
      <c r="AA21" s="673">
        <f t="shared" si="4"/>
        <v>1000000</v>
      </c>
      <c r="AB21" s="673">
        <f t="shared" si="4"/>
        <v>1000000</v>
      </c>
      <c r="AC21" s="673">
        <f t="shared" si="4"/>
        <v>1000000</v>
      </c>
      <c r="AD21" s="673">
        <f t="shared" si="4"/>
        <v>1000000</v>
      </c>
      <c r="AE21" s="673">
        <f t="shared" si="4"/>
        <v>1000000</v>
      </c>
      <c r="AF21" s="673">
        <f t="shared" si="4"/>
        <v>1000000</v>
      </c>
      <c r="AG21" s="673">
        <f t="shared" si="4"/>
        <v>1000000</v>
      </c>
      <c r="AH21" s="673">
        <f t="shared" si="4"/>
        <v>1000000</v>
      </c>
      <c r="AI21" s="673">
        <f t="shared" si="4"/>
        <v>1000000</v>
      </c>
      <c r="AJ21" s="673">
        <f t="shared" si="4"/>
        <v>1000000</v>
      </c>
      <c r="AK21" s="673">
        <f t="shared" si="4"/>
        <v>1000000</v>
      </c>
      <c r="AL21" s="673">
        <f t="shared" si="4"/>
        <v>1000000</v>
      </c>
      <c r="AM21" s="673">
        <f t="shared" si="4"/>
        <v>1000000</v>
      </c>
      <c r="AN21" s="673">
        <f t="shared" si="4"/>
        <v>1000000</v>
      </c>
      <c r="AO21" s="673">
        <f t="shared" si="4"/>
        <v>1000000</v>
      </c>
      <c r="AP21" s="673">
        <f t="shared" si="4"/>
        <v>1000000</v>
      </c>
      <c r="AQ21" s="673">
        <f t="shared" si="4"/>
        <v>1000000</v>
      </c>
      <c r="AR21" s="673">
        <f t="shared" si="4"/>
        <v>1000000</v>
      </c>
      <c r="AS21" s="673">
        <f t="shared" si="4"/>
        <v>1000000</v>
      </c>
      <c r="AT21" s="673">
        <f t="shared" si="4"/>
        <v>1000000</v>
      </c>
      <c r="AU21" s="673">
        <f t="shared" si="4"/>
        <v>1000000</v>
      </c>
      <c r="AV21" s="673">
        <f t="shared" si="4"/>
        <v>1000000</v>
      </c>
      <c r="AW21" s="18"/>
    </row>
    <row r="22">
      <c r="A22" s="122"/>
      <c r="B22" s="123"/>
      <c r="C22" s="342"/>
      <c r="D22" s="123"/>
      <c r="E22" s="257" t="s">
        <v>926</v>
      </c>
      <c r="F22" s="213" t="s">
        <v>68</v>
      </c>
      <c r="G22" s="632" t="s">
        <v>161</v>
      </c>
      <c r="H22" s="674" t="s">
        <v>162</v>
      </c>
      <c r="I22" s="675">
        <f t="shared" ref="I22:AV22" si="5">I14</f>
        <v>348695.0096</v>
      </c>
      <c r="J22" s="675">
        <f t="shared" si="5"/>
        <v>225816.6252</v>
      </c>
      <c r="K22" s="675">
        <f t="shared" si="5"/>
        <v>267719.748</v>
      </c>
      <c r="L22" s="675">
        <f t="shared" si="5"/>
        <v>296832.1529</v>
      </c>
      <c r="M22" s="675">
        <f t="shared" si="5"/>
        <v>315700.2003</v>
      </c>
      <c r="N22" s="675">
        <f t="shared" si="5"/>
        <v>356781.1511</v>
      </c>
      <c r="O22" s="675">
        <f t="shared" si="5"/>
        <v>528378.7245</v>
      </c>
      <c r="P22" s="675">
        <f t="shared" si="5"/>
        <v>593590.2805</v>
      </c>
      <c r="Q22" s="675">
        <f t="shared" si="5"/>
        <v>387084.3128</v>
      </c>
      <c r="R22" s="675">
        <f t="shared" si="5"/>
        <v>67642.80699</v>
      </c>
      <c r="S22" s="675">
        <f t="shared" si="5"/>
        <v>99355.64025</v>
      </c>
      <c r="T22" s="675">
        <f t="shared" si="5"/>
        <v>86403.93664</v>
      </c>
      <c r="U22" s="675">
        <f t="shared" si="5"/>
        <v>105988.0121</v>
      </c>
      <c r="V22" s="675">
        <f t="shared" si="5"/>
        <v>122680.7079</v>
      </c>
      <c r="W22" s="675">
        <f t="shared" si="5"/>
        <v>123163.3641</v>
      </c>
      <c r="X22" s="675">
        <f t="shared" si="5"/>
        <v>305251.2024</v>
      </c>
      <c r="Y22" s="675">
        <f t="shared" si="5"/>
        <v>45708.46699</v>
      </c>
      <c r="Z22" s="675">
        <f t="shared" si="5"/>
        <v>113445.8119</v>
      </c>
      <c r="AA22" s="675">
        <f t="shared" si="5"/>
        <v>6236.293028</v>
      </c>
      <c r="AB22" s="675">
        <f t="shared" si="5"/>
        <v>54393.27819</v>
      </c>
      <c r="AC22" s="675">
        <f t="shared" si="5"/>
        <v>30322.28359</v>
      </c>
      <c r="AD22" s="675">
        <f t="shared" si="5"/>
        <v>18300.29765</v>
      </c>
      <c r="AE22" s="675">
        <f t="shared" si="5"/>
        <v>51375.79539</v>
      </c>
      <c r="AF22" s="675">
        <f t="shared" si="5"/>
        <v>37610.51686</v>
      </c>
      <c r="AG22" s="675">
        <f t="shared" si="5"/>
        <v>183579.4076</v>
      </c>
      <c r="AH22" s="675">
        <f t="shared" si="5"/>
        <v>107740.6271</v>
      </c>
      <c r="AI22" s="675">
        <f t="shared" si="5"/>
        <v>194624.7951</v>
      </c>
      <c r="AJ22" s="675">
        <f t="shared" si="5"/>
        <v>45152.6789</v>
      </c>
      <c r="AK22" s="675">
        <f t="shared" si="5"/>
        <v>172908.7873</v>
      </c>
      <c r="AL22" s="675">
        <f t="shared" si="5"/>
        <v>300122.552</v>
      </c>
      <c r="AM22" s="675">
        <f t="shared" si="5"/>
        <v>356709.4465</v>
      </c>
      <c r="AN22" s="675">
        <f t="shared" si="5"/>
        <v>205253.1212</v>
      </c>
      <c r="AO22" s="675">
        <f t="shared" si="5"/>
        <v>217115.8491</v>
      </c>
      <c r="AP22" s="675">
        <f t="shared" si="5"/>
        <v>158383.4632</v>
      </c>
      <c r="AQ22" s="675">
        <f t="shared" si="5"/>
        <v>60198.7136</v>
      </c>
      <c r="AR22" s="675">
        <f t="shared" si="5"/>
        <v>164149.4331</v>
      </c>
      <c r="AS22" s="675">
        <f t="shared" si="5"/>
        <v>118429.7384</v>
      </c>
      <c r="AT22" s="675">
        <f t="shared" si="5"/>
        <v>60089.24173</v>
      </c>
      <c r="AU22" s="675">
        <f t="shared" si="5"/>
        <v>186210.0293</v>
      </c>
      <c r="AV22" s="675">
        <f t="shared" si="5"/>
        <v>286285.7513</v>
      </c>
      <c r="AW22" s="22"/>
    </row>
    <row r="23">
      <c r="A23" s="122"/>
      <c r="B23" s="123"/>
      <c r="C23" s="342"/>
      <c r="D23" s="123"/>
      <c r="E23" s="272" t="s">
        <v>927</v>
      </c>
      <c r="F23" s="200" t="s">
        <v>68</v>
      </c>
      <c r="G23" s="629" t="s">
        <v>161</v>
      </c>
      <c r="H23" s="676" t="s">
        <v>162</v>
      </c>
      <c r="I23" s="677">
        <f t="shared" ref="I23:AV23" si="6">I15</f>
        <v>291253.7635</v>
      </c>
      <c r="J23" s="677">
        <f t="shared" si="6"/>
        <v>188617.3881</v>
      </c>
      <c r="K23" s="677">
        <f t="shared" si="6"/>
        <v>223617.7233</v>
      </c>
      <c r="L23" s="677">
        <f t="shared" si="6"/>
        <v>247934.3818</v>
      </c>
      <c r="M23" s="677">
        <f t="shared" si="6"/>
        <v>263694.257</v>
      </c>
      <c r="N23" s="677">
        <f t="shared" si="6"/>
        <v>298007.8583</v>
      </c>
      <c r="O23" s="677">
        <f t="shared" si="6"/>
        <v>441337.8105</v>
      </c>
      <c r="P23" s="677">
        <f t="shared" si="6"/>
        <v>495806.9328</v>
      </c>
      <c r="Q23" s="677">
        <f t="shared" si="6"/>
        <v>323319.1179</v>
      </c>
      <c r="R23" s="677">
        <f t="shared" si="6"/>
        <v>56499.86827</v>
      </c>
      <c r="S23" s="677">
        <f t="shared" si="6"/>
        <v>82988.58129</v>
      </c>
      <c r="T23" s="677">
        <f t="shared" si="6"/>
        <v>72170.43845</v>
      </c>
      <c r="U23" s="677">
        <f t="shared" si="6"/>
        <v>88528.38889</v>
      </c>
      <c r="V23" s="677">
        <f t="shared" si="6"/>
        <v>102471.2625</v>
      </c>
      <c r="W23" s="677">
        <f t="shared" si="6"/>
        <v>102874.4098</v>
      </c>
      <c r="X23" s="677">
        <f t="shared" si="6"/>
        <v>254966.544</v>
      </c>
      <c r="Y23" s="677">
        <f t="shared" si="6"/>
        <v>38178.81722</v>
      </c>
      <c r="Z23" s="677">
        <f t="shared" si="6"/>
        <v>94757.64998</v>
      </c>
      <c r="AA23" s="677">
        <f t="shared" si="6"/>
        <v>5208.975652</v>
      </c>
      <c r="AB23" s="677">
        <f t="shared" si="6"/>
        <v>45432.9616</v>
      </c>
      <c r="AC23" s="677">
        <f t="shared" si="6"/>
        <v>25327.23145</v>
      </c>
      <c r="AD23" s="677">
        <f t="shared" si="6"/>
        <v>15285.65198</v>
      </c>
      <c r="AE23" s="677">
        <f t="shared" si="6"/>
        <v>42912.55496</v>
      </c>
      <c r="AF23" s="677">
        <f t="shared" si="6"/>
        <v>31414.85907</v>
      </c>
      <c r="AG23" s="677">
        <f t="shared" si="6"/>
        <v>153337.9943</v>
      </c>
      <c r="AH23" s="677">
        <f t="shared" si="6"/>
        <v>89992.29203</v>
      </c>
      <c r="AI23" s="677">
        <f t="shared" si="6"/>
        <v>162563.8523</v>
      </c>
      <c r="AJ23" s="677">
        <f t="shared" si="6"/>
        <v>37714.58524</v>
      </c>
      <c r="AK23" s="677">
        <f t="shared" si="6"/>
        <v>144425.1672</v>
      </c>
      <c r="AL23" s="677">
        <f t="shared" si="6"/>
        <v>250682.7467</v>
      </c>
      <c r="AM23" s="677">
        <f t="shared" si="6"/>
        <v>297947.9657</v>
      </c>
      <c r="AN23" s="677">
        <f t="shared" si="6"/>
        <v>171441.3524</v>
      </c>
      <c r="AO23" s="677">
        <f t="shared" si="6"/>
        <v>181349.9087</v>
      </c>
      <c r="AP23" s="677">
        <f t="shared" si="6"/>
        <v>132292.6296</v>
      </c>
      <c r="AQ23" s="677">
        <f t="shared" si="6"/>
        <v>50282.0557</v>
      </c>
      <c r="AR23" s="677">
        <f t="shared" si="6"/>
        <v>137108.7594</v>
      </c>
      <c r="AS23" s="677">
        <f t="shared" si="6"/>
        <v>98920.56399</v>
      </c>
      <c r="AT23" s="677">
        <f t="shared" si="6"/>
        <v>50190.61735</v>
      </c>
      <c r="AU23" s="677">
        <f t="shared" si="6"/>
        <v>155535.2682</v>
      </c>
      <c r="AV23" s="677">
        <f t="shared" si="6"/>
        <v>239125.3107</v>
      </c>
      <c r="AW23" s="61"/>
    </row>
    <row r="24">
      <c r="A24" s="122"/>
      <c r="B24" s="123"/>
      <c r="C24" s="342"/>
      <c r="D24" s="342"/>
      <c r="E24" s="269"/>
      <c r="F24" s="141"/>
      <c r="G24" s="179"/>
      <c r="H24" s="270"/>
      <c r="I24" s="527"/>
      <c r="J24" s="527"/>
      <c r="K24" s="527"/>
      <c r="L24" s="527"/>
      <c r="M24" s="527"/>
      <c r="N24" s="527"/>
      <c r="O24" s="527"/>
      <c r="P24" s="527"/>
      <c r="Q24" s="527"/>
      <c r="R24" s="527"/>
      <c r="S24" s="527"/>
      <c r="T24" s="527"/>
      <c r="U24" s="527"/>
      <c r="V24" s="527"/>
      <c r="W24" s="527"/>
      <c r="X24" s="527"/>
      <c r="Y24" s="527"/>
      <c r="Z24" s="527"/>
      <c r="AA24" s="527"/>
      <c r="AB24" s="527"/>
      <c r="AC24" s="527"/>
      <c r="AD24" s="527"/>
      <c r="AE24" s="527"/>
      <c r="AF24" s="527"/>
      <c r="AG24" s="527"/>
      <c r="AH24" s="527"/>
      <c r="AI24" s="527"/>
      <c r="AJ24" s="527"/>
      <c r="AK24" s="527"/>
      <c r="AL24" s="527"/>
      <c r="AM24" s="527"/>
      <c r="AN24" s="527"/>
      <c r="AO24" s="527"/>
      <c r="AP24" s="527"/>
      <c r="AQ24" s="527"/>
      <c r="AR24" s="527"/>
      <c r="AS24" s="527"/>
      <c r="AT24" s="527"/>
      <c r="AU24" s="527"/>
      <c r="AV24" s="527"/>
      <c r="AW24" s="35"/>
    </row>
    <row r="25">
      <c r="A25" s="122"/>
      <c r="B25" s="123"/>
      <c r="C25" s="342" t="s">
        <v>928</v>
      </c>
      <c r="F25" s="141"/>
      <c r="G25" s="179"/>
      <c r="H25" s="180"/>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35"/>
    </row>
    <row r="26">
      <c r="A26" s="122"/>
      <c r="B26" s="123"/>
      <c r="C26" s="123"/>
      <c r="D26" s="123"/>
      <c r="E26" s="254" t="s">
        <v>929</v>
      </c>
      <c r="F26" s="193" t="s">
        <v>68</v>
      </c>
      <c r="G26" s="634" t="s">
        <v>161</v>
      </c>
      <c r="H26" s="464" t="s">
        <v>162</v>
      </c>
      <c r="I26" s="673">
        <f t="shared" ref="I26:AV26" si="7">I21</f>
        <v>1000000</v>
      </c>
      <c r="J26" s="673">
        <f t="shared" si="7"/>
        <v>1000000</v>
      </c>
      <c r="K26" s="673">
        <f t="shared" si="7"/>
        <v>1000000</v>
      </c>
      <c r="L26" s="673">
        <f t="shared" si="7"/>
        <v>1000000</v>
      </c>
      <c r="M26" s="673">
        <f t="shared" si="7"/>
        <v>1000000</v>
      </c>
      <c r="N26" s="673">
        <f t="shared" si="7"/>
        <v>1000000</v>
      </c>
      <c r="O26" s="673">
        <f t="shared" si="7"/>
        <v>1000000</v>
      </c>
      <c r="P26" s="673">
        <f t="shared" si="7"/>
        <v>1000000</v>
      </c>
      <c r="Q26" s="673">
        <f t="shared" si="7"/>
        <v>1000000</v>
      </c>
      <c r="R26" s="673">
        <f t="shared" si="7"/>
        <v>1000000</v>
      </c>
      <c r="S26" s="673">
        <f t="shared" si="7"/>
        <v>1000000</v>
      </c>
      <c r="T26" s="673">
        <f t="shared" si="7"/>
        <v>1000000</v>
      </c>
      <c r="U26" s="673">
        <f t="shared" si="7"/>
        <v>1000000</v>
      </c>
      <c r="V26" s="673">
        <f t="shared" si="7"/>
        <v>1000000</v>
      </c>
      <c r="W26" s="673">
        <f t="shared" si="7"/>
        <v>1000000</v>
      </c>
      <c r="X26" s="673">
        <f t="shared" si="7"/>
        <v>1000000</v>
      </c>
      <c r="Y26" s="673">
        <f t="shared" si="7"/>
        <v>1000000</v>
      </c>
      <c r="Z26" s="673">
        <f t="shared" si="7"/>
        <v>1000000</v>
      </c>
      <c r="AA26" s="673">
        <f t="shared" si="7"/>
        <v>1000000</v>
      </c>
      <c r="AB26" s="673">
        <f t="shared" si="7"/>
        <v>1000000</v>
      </c>
      <c r="AC26" s="673">
        <f t="shared" si="7"/>
        <v>1000000</v>
      </c>
      <c r="AD26" s="673">
        <f t="shared" si="7"/>
        <v>1000000</v>
      </c>
      <c r="AE26" s="673">
        <f t="shared" si="7"/>
        <v>1000000</v>
      </c>
      <c r="AF26" s="673">
        <f t="shared" si="7"/>
        <v>1000000</v>
      </c>
      <c r="AG26" s="673">
        <f t="shared" si="7"/>
        <v>1000000</v>
      </c>
      <c r="AH26" s="673">
        <f t="shared" si="7"/>
        <v>1000000</v>
      </c>
      <c r="AI26" s="673">
        <f t="shared" si="7"/>
        <v>1000000</v>
      </c>
      <c r="AJ26" s="673">
        <f t="shared" si="7"/>
        <v>1000000</v>
      </c>
      <c r="AK26" s="673">
        <f t="shared" si="7"/>
        <v>1000000</v>
      </c>
      <c r="AL26" s="673">
        <f t="shared" si="7"/>
        <v>1000000</v>
      </c>
      <c r="AM26" s="673">
        <f t="shared" si="7"/>
        <v>1000000</v>
      </c>
      <c r="AN26" s="673">
        <f t="shared" si="7"/>
        <v>1000000</v>
      </c>
      <c r="AO26" s="673">
        <f t="shared" si="7"/>
        <v>1000000</v>
      </c>
      <c r="AP26" s="673">
        <f t="shared" si="7"/>
        <v>1000000</v>
      </c>
      <c r="AQ26" s="673">
        <f t="shared" si="7"/>
        <v>1000000</v>
      </c>
      <c r="AR26" s="673">
        <f t="shared" si="7"/>
        <v>1000000</v>
      </c>
      <c r="AS26" s="673">
        <f t="shared" si="7"/>
        <v>1000000</v>
      </c>
      <c r="AT26" s="673">
        <f t="shared" si="7"/>
        <v>1000000</v>
      </c>
      <c r="AU26" s="673">
        <f t="shared" si="7"/>
        <v>1000000</v>
      </c>
      <c r="AV26" s="673">
        <f t="shared" si="7"/>
        <v>1000000</v>
      </c>
      <c r="AW26" s="18"/>
    </row>
    <row r="27">
      <c r="A27" s="122"/>
      <c r="B27" s="123"/>
      <c r="C27" s="123"/>
      <c r="D27" s="123"/>
      <c r="E27" s="490" t="s">
        <v>930</v>
      </c>
      <c r="F27" s="134" t="s">
        <v>68</v>
      </c>
      <c r="G27" s="678" t="s">
        <v>161</v>
      </c>
      <c r="H27" s="136" t="s">
        <v>162</v>
      </c>
      <c r="I27" s="137">
        <f t="shared" ref="I27:AV27" si="8">SUM(I22:I23)</f>
        <v>639948.7731</v>
      </c>
      <c r="J27" s="137">
        <f t="shared" si="8"/>
        <v>414434.0133</v>
      </c>
      <c r="K27" s="137">
        <f t="shared" si="8"/>
        <v>491337.4713</v>
      </c>
      <c r="L27" s="137">
        <f t="shared" si="8"/>
        <v>544766.5347</v>
      </c>
      <c r="M27" s="137">
        <f t="shared" si="8"/>
        <v>579394.4573</v>
      </c>
      <c r="N27" s="137">
        <f t="shared" si="8"/>
        <v>654789.0094</v>
      </c>
      <c r="O27" s="137">
        <f t="shared" si="8"/>
        <v>969716.535</v>
      </c>
      <c r="P27" s="137">
        <f t="shared" si="8"/>
        <v>1089397.213</v>
      </c>
      <c r="Q27" s="137">
        <f t="shared" si="8"/>
        <v>710403.4307</v>
      </c>
      <c r="R27" s="137">
        <f t="shared" si="8"/>
        <v>124142.6753</v>
      </c>
      <c r="S27" s="137">
        <f t="shared" si="8"/>
        <v>182344.2215</v>
      </c>
      <c r="T27" s="137">
        <f t="shared" si="8"/>
        <v>158574.3751</v>
      </c>
      <c r="U27" s="137">
        <f t="shared" si="8"/>
        <v>194516.401</v>
      </c>
      <c r="V27" s="137">
        <f t="shared" si="8"/>
        <v>225151.9704</v>
      </c>
      <c r="W27" s="137">
        <f t="shared" si="8"/>
        <v>226037.7738</v>
      </c>
      <c r="X27" s="137">
        <f t="shared" si="8"/>
        <v>560217.7464</v>
      </c>
      <c r="Y27" s="137">
        <f t="shared" si="8"/>
        <v>83887.28421</v>
      </c>
      <c r="Z27" s="137">
        <f t="shared" si="8"/>
        <v>208203.4619</v>
      </c>
      <c r="AA27" s="137">
        <f t="shared" si="8"/>
        <v>11445.26868</v>
      </c>
      <c r="AB27" s="137">
        <f t="shared" si="8"/>
        <v>99826.23979</v>
      </c>
      <c r="AC27" s="137">
        <f t="shared" si="8"/>
        <v>55649.51504</v>
      </c>
      <c r="AD27" s="137">
        <f t="shared" si="8"/>
        <v>33585.94962</v>
      </c>
      <c r="AE27" s="137">
        <f t="shared" si="8"/>
        <v>94288.35035</v>
      </c>
      <c r="AF27" s="137">
        <f t="shared" si="8"/>
        <v>69025.37593</v>
      </c>
      <c r="AG27" s="137">
        <f t="shared" si="8"/>
        <v>336917.4019</v>
      </c>
      <c r="AH27" s="137">
        <f t="shared" si="8"/>
        <v>197732.9192</v>
      </c>
      <c r="AI27" s="137">
        <f t="shared" si="8"/>
        <v>357188.6474</v>
      </c>
      <c r="AJ27" s="137">
        <f t="shared" si="8"/>
        <v>82867.26414</v>
      </c>
      <c r="AK27" s="137">
        <f t="shared" si="8"/>
        <v>317333.9545</v>
      </c>
      <c r="AL27" s="137">
        <f t="shared" si="8"/>
        <v>550805.2987</v>
      </c>
      <c r="AM27" s="137">
        <f t="shared" si="8"/>
        <v>654657.4122</v>
      </c>
      <c r="AN27" s="137">
        <f t="shared" si="8"/>
        <v>376694.4736</v>
      </c>
      <c r="AO27" s="137">
        <f t="shared" si="8"/>
        <v>398465.7578</v>
      </c>
      <c r="AP27" s="137">
        <f t="shared" si="8"/>
        <v>290676.0928</v>
      </c>
      <c r="AQ27" s="137">
        <f t="shared" si="8"/>
        <v>110480.7693</v>
      </c>
      <c r="AR27" s="137">
        <f t="shared" si="8"/>
        <v>301258.1925</v>
      </c>
      <c r="AS27" s="137">
        <f t="shared" si="8"/>
        <v>217350.3024</v>
      </c>
      <c r="AT27" s="137">
        <f t="shared" si="8"/>
        <v>110279.8591</v>
      </c>
      <c r="AU27" s="137">
        <f t="shared" si="8"/>
        <v>341745.2975</v>
      </c>
      <c r="AV27" s="137">
        <f t="shared" si="8"/>
        <v>525411.062</v>
      </c>
      <c r="AW27" s="47"/>
    </row>
    <row r="28">
      <c r="A28" s="122"/>
      <c r="B28" s="123"/>
      <c r="C28" s="123"/>
      <c r="D28" s="123"/>
      <c r="E28" s="269"/>
      <c r="F28" s="141"/>
      <c r="G28" s="179"/>
      <c r="H28" s="180"/>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35"/>
    </row>
    <row r="29">
      <c r="A29" s="117" t="s">
        <v>931</v>
      </c>
      <c r="B29" s="7"/>
      <c r="C29" s="7"/>
      <c r="D29" s="7"/>
      <c r="E29" s="7"/>
      <c r="F29" s="7"/>
      <c r="G29" s="659"/>
      <c r="H29" s="17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c r="AH29" s="232"/>
      <c r="AI29" s="232"/>
      <c r="AJ29" s="232"/>
      <c r="AK29" s="232"/>
      <c r="AL29" s="232"/>
      <c r="AM29" s="232"/>
      <c r="AN29" s="232"/>
      <c r="AO29" s="232"/>
      <c r="AP29" s="232"/>
      <c r="AQ29" s="232"/>
      <c r="AR29" s="232"/>
      <c r="AS29" s="232"/>
      <c r="AT29" s="232"/>
      <c r="AU29" s="232"/>
      <c r="AV29" s="232"/>
      <c r="AW29" s="679"/>
    </row>
    <row r="30">
      <c r="A30" s="122"/>
      <c r="B30" s="123"/>
      <c r="C30" s="234"/>
      <c r="D30" s="123"/>
      <c r="E30" s="661"/>
      <c r="F30" s="125"/>
      <c r="G30" s="126"/>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35"/>
    </row>
    <row r="31">
      <c r="A31" s="122"/>
      <c r="B31" s="123"/>
      <c r="C31" s="342" t="s">
        <v>932</v>
      </c>
      <c r="F31" s="125"/>
      <c r="G31" s="132"/>
      <c r="H31" s="680"/>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35"/>
    </row>
    <row r="32">
      <c r="A32" s="122"/>
      <c r="B32" s="123"/>
      <c r="C32" s="123"/>
      <c r="D32" s="123"/>
      <c r="E32" s="254" t="s">
        <v>933</v>
      </c>
      <c r="F32" s="193" t="s">
        <v>72</v>
      </c>
      <c r="G32" s="194" t="s">
        <v>165</v>
      </c>
      <c r="H32" s="255" t="str">
        <f>Inputs!H322</f>
        <v>-</v>
      </c>
      <c r="I32" s="383">
        <f>Inputs!I322</f>
        <v>0.1</v>
      </c>
      <c r="J32" s="383">
        <f>Inputs!J322</f>
        <v>0.1</v>
      </c>
      <c r="K32" s="383">
        <f>Inputs!K322</f>
        <v>0.1</v>
      </c>
      <c r="L32" s="383">
        <f>Inputs!L322</f>
        <v>0.1</v>
      </c>
      <c r="M32" s="383">
        <f>Inputs!M322</f>
        <v>0.1</v>
      </c>
      <c r="N32" s="383">
        <f>Inputs!N322</f>
        <v>0.1</v>
      </c>
      <c r="O32" s="383">
        <f>Inputs!O322</f>
        <v>0.1</v>
      </c>
      <c r="P32" s="383">
        <f>Inputs!P322</f>
        <v>0.1</v>
      </c>
      <c r="Q32" s="383">
        <f>Inputs!Q322</f>
        <v>0.1</v>
      </c>
      <c r="R32" s="383">
        <f>Inputs!R322</f>
        <v>0.1</v>
      </c>
      <c r="S32" s="383">
        <f>Inputs!S322</f>
        <v>0.1</v>
      </c>
      <c r="T32" s="383">
        <f>Inputs!T322</f>
        <v>0.1</v>
      </c>
      <c r="U32" s="383">
        <f>Inputs!U322</f>
        <v>0.1</v>
      </c>
      <c r="V32" s="383">
        <f>Inputs!V322</f>
        <v>0.1</v>
      </c>
      <c r="W32" s="383">
        <f>Inputs!W322</f>
        <v>0.1</v>
      </c>
      <c r="X32" s="383">
        <f>Inputs!X322</f>
        <v>0.1</v>
      </c>
      <c r="Y32" s="383">
        <f>Inputs!Y322</f>
        <v>0.1</v>
      </c>
      <c r="Z32" s="383">
        <f>Inputs!Z322</f>
        <v>0.1</v>
      </c>
      <c r="AA32" s="383">
        <f>Inputs!AA322</f>
        <v>0.1</v>
      </c>
      <c r="AB32" s="383">
        <f>Inputs!AB322</f>
        <v>0.1</v>
      </c>
      <c r="AC32" s="383">
        <f>Inputs!AC322</f>
        <v>0.1</v>
      </c>
      <c r="AD32" s="383">
        <f>Inputs!AD322</f>
        <v>0.1</v>
      </c>
      <c r="AE32" s="383">
        <f>Inputs!AE322</f>
        <v>0.1</v>
      </c>
      <c r="AF32" s="383">
        <f>Inputs!AF322</f>
        <v>0.1</v>
      </c>
      <c r="AG32" s="383">
        <f>Inputs!AG322</f>
        <v>0.1</v>
      </c>
      <c r="AH32" s="383">
        <f>Inputs!AH322</f>
        <v>0.1</v>
      </c>
      <c r="AI32" s="383">
        <f>Inputs!AI322</f>
        <v>0.1</v>
      </c>
      <c r="AJ32" s="383">
        <f>Inputs!AJ322</f>
        <v>0.1</v>
      </c>
      <c r="AK32" s="383">
        <f>Inputs!AK322</f>
        <v>0.1</v>
      </c>
      <c r="AL32" s="383">
        <f>Inputs!AL322</f>
        <v>0.1</v>
      </c>
      <c r="AM32" s="383">
        <f>Inputs!AM322</f>
        <v>0.1</v>
      </c>
      <c r="AN32" s="383">
        <f>Inputs!AN322</f>
        <v>0.1</v>
      </c>
      <c r="AO32" s="383">
        <f>Inputs!AO322</f>
        <v>0.1</v>
      </c>
      <c r="AP32" s="383">
        <f>Inputs!AP322</f>
        <v>0.1</v>
      </c>
      <c r="AQ32" s="383">
        <f>Inputs!AQ322</f>
        <v>0.1</v>
      </c>
      <c r="AR32" s="383">
        <f>Inputs!AR322</f>
        <v>0.1</v>
      </c>
      <c r="AS32" s="383">
        <f>Inputs!AS322</f>
        <v>0.1</v>
      </c>
      <c r="AT32" s="383">
        <f>Inputs!AT322</f>
        <v>0.1</v>
      </c>
      <c r="AU32" s="383">
        <f>Inputs!AU322</f>
        <v>0.1</v>
      </c>
      <c r="AV32" s="383">
        <f>Inputs!AV322</f>
        <v>0.1</v>
      </c>
      <c r="AW32" s="18"/>
    </row>
    <row r="33">
      <c r="A33" s="122"/>
      <c r="B33" s="123"/>
      <c r="C33" s="187"/>
      <c r="D33" s="123"/>
      <c r="E33" s="272" t="s">
        <v>934</v>
      </c>
      <c r="F33" s="200" t="s">
        <v>72</v>
      </c>
      <c r="G33" s="273" t="s">
        <v>161</v>
      </c>
      <c r="H33" s="228" t="s">
        <v>162</v>
      </c>
      <c r="I33" s="385">
        <f t="shared" ref="I33:AV33" si="9">1-SUM(I32)</f>
        <v>0.9</v>
      </c>
      <c r="J33" s="385">
        <f t="shared" si="9"/>
        <v>0.9</v>
      </c>
      <c r="K33" s="385">
        <f t="shared" si="9"/>
        <v>0.9</v>
      </c>
      <c r="L33" s="385">
        <f t="shared" si="9"/>
        <v>0.9</v>
      </c>
      <c r="M33" s="385">
        <f t="shared" si="9"/>
        <v>0.9</v>
      </c>
      <c r="N33" s="385">
        <f t="shared" si="9"/>
        <v>0.9</v>
      </c>
      <c r="O33" s="385">
        <f t="shared" si="9"/>
        <v>0.9</v>
      </c>
      <c r="P33" s="385">
        <f t="shared" si="9"/>
        <v>0.9</v>
      </c>
      <c r="Q33" s="385">
        <f t="shared" si="9"/>
        <v>0.9</v>
      </c>
      <c r="R33" s="385">
        <f t="shared" si="9"/>
        <v>0.9</v>
      </c>
      <c r="S33" s="385">
        <f t="shared" si="9"/>
        <v>0.9</v>
      </c>
      <c r="T33" s="385">
        <f t="shared" si="9"/>
        <v>0.9</v>
      </c>
      <c r="U33" s="385">
        <f t="shared" si="9"/>
        <v>0.9</v>
      </c>
      <c r="V33" s="385">
        <f t="shared" si="9"/>
        <v>0.9</v>
      </c>
      <c r="W33" s="385">
        <f t="shared" si="9"/>
        <v>0.9</v>
      </c>
      <c r="X33" s="385">
        <f t="shared" si="9"/>
        <v>0.9</v>
      </c>
      <c r="Y33" s="385">
        <f t="shared" si="9"/>
        <v>0.9</v>
      </c>
      <c r="Z33" s="385">
        <f t="shared" si="9"/>
        <v>0.9</v>
      </c>
      <c r="AA33" s="385">
        <f t="shared" si="9"/>
        <v>0.9</v>
      </c>
      <c r="AB33" s="385">
        <f t="shared" si="9"/>
        <v>0.9</v>
      </c>
      <c r="AC33" s="385">
        <f t="shared" si="9"/>
        <v>0.9</v>
      </c>
      <c r="AD33" s="385">
        <f t="shared" si="9"/>
        <v>0.9</v>
      </c>
      <c r="AE33" s="385">
        <f t="shared" si="9"/>
        <v>0.9</v>
      </c>
      <c r="AF33" s="385">
        <f t="shared" si="9"/>
        <v>0.9</v>
      </c>
      <c r="AG33" s="385">
        <f t="shared" si="9"/>
        <v>0.9</v>
      </c>
      <c r="AH33" s="385">
        <f t="shared" si="9"/>
        <v>0.9</v>
      </c>
      <c r="AI33" s="385">
        <f t="shared" si="9"/>
        <v>0.9</v>
      </c>
      <c r="AJ33" s="385">
        <f t="shared" si="9"/>
        <v>0.9</v>
      </c>
      <c r="AK33" s="385">
        <f t="shared" si="9"/>
        <v>0.9</v>
      </c>
      <c r="AL33" s="385">
        <f t="shared" si="9"/>
        <v>0.9</v>
      </c>
      <c r="AM33" s="385">
        <f t="shared" si="9"/>
        <v>0.9</v>
      </c>
      <c r="AN33" s="385">
        <f t="shared" si="9"/>
        <v>0.9</v>
      </c>
      <c r="AO33" s="385">
        <f t="shared" si="9"/>
        <v>0.9</v>
      </c>
      <c r="AP33" s="385">
        <f t="shared" si="9"/>
        <v>0.9</v>
      </c>
      <c r="AQ33" s="385">
        <f t="shared" si="9"/>
        <v>0.9</v>
      </c>
      <c r="AR33" s="385">
        <f t="shared" si="9"/>
        <v>0.9</v>
      </c>
      <c r="AS33" s="385">
        <f t="shared" si="9"/>
        <v>0.9</v>
      </c>
      <c r="AT33" s="385">
        <f t="shared" si="9"/>
        <v>0.9</v>
      </c>
      <c r="AU33" s="385">
        <f t="shared" si="9"/>
        <v>0.9</v>
      </c>
      <c r="AV33" s="385">
        <f t="shared" si="9"/>
        <v>0.9</v>
      </c>
      <c r="AW33" s="61"/>
    </row>
    <row r="34">
      <c r="A34" s="68"/>
      <c r="B34" s="13"/>
      <c r="C34" s="13"/>
      <c r="D34" s="13"/>
      <c r="E34" s="635"/>
      <c r="F34" s="13"/>
      <c r="G34" s="35"/>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35"/>
    </row>
    <row r="35">
      <c r="A35" s="68"/>
      <c r="B35" s="13"/>
      <c r="C35" s="53" t="s">
        <v>935</v>
      </c>
      <c r="F35" s="13"/>
      <c r="G35" s="35"/>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35"/>
    </row>
    <row r="36">
      <c r="A36" s="68"/>
      <c r="B36" s="13"/>
      <c r="C36" s="13"/>
      <c r="D36" s="13"/>
      <c r="E36" s="507" t="s">
        <v>933</v>
      </c>
      <c r="F36" s="681" t="s">
        <v>72</v>
      </c>
      <c r="G36" s="682" t="s">
        <v>165</v>
      </c>
      <c r="H36" s="255">
        <f>Inputs!H325</f>
        <v>1</v>
      </c>
      <c r="I36" s="321" t="str">
        <f>Inputs!I325</f>
        <v>-</v>
      </c>
      <c r="J36" s="321" t="str">
        <f>Inputs!J325</f>
        <v>-</v>
      </c>
      <c r="K36" s="321" t="str">
        <f>Inputs!K325</f>
        <v>-</v>
      </c>
      <c r="L36" s="321" t="str">
        <f>Inputs!L325</f>
        <v>-</v>
      </c>
      <c r="M36" s="321" t="str">
        <f>Inputs!M325</f>
        <v>-</v>
      </c>
      <c r="N36" s="321" t="str">
        <f>Inputs!N325</f>
        <v>-</v>
      </c>
      <c r="O36" s="321" t="str">
        <f>Inputs!O325</f>
        <v>-</v>
      </c>
      <c r="P36" s="321" t="str">
        <f>Inputs!P325</f>
        <v>-</v>
      </c>
      <c r="Q36" s="321" t="str">
        <f>Inputs!Q325</f>
        <v>-</v>
      </c>
      <c r="R36" s="321" t="str">
        <f>Inputs!R325</f>
        <v>-</v>
      </c>
      <c r="S36" s="321" t="str">
        <f>Inputs!S325</f>
        <v>-</v>
      </c>
      <c r="T36" s="321" t="str">
        <f>Inputs!T325</f>
        <v>-</v>
      </c>
      <c r="U36" s="321" t="str">
        <f>Inputs!U325</f>
        <v>-</v>
      </c>
      <c r="V36" s="321" t="str">
        <f>Inputs!V325</f>
        <v>-</v>
      </c>
      <c r="W36" s="321" t="str">
        <f>Inputs!W325</f>
        <v>-</v>
      </c>
      <c r="X36" s="321" t="str">
        <f>Inputs!X325</f>
        <v>-</v>
      </c>
      <c r="Y36" s="321" t="str">
        <f>Inputs!Y325</f>
        <v>-</v>
      </c>
      <c r="Z36" s="321" t="str">
        <f>Inputs!Z325</f>
        <v>-</v>
      </c>
      <c r="AA36" s="321" t="str">
        <f>Inputs!AA325</f>
        <v>-</v>
      </c>
      <c r="AB36" s="321" t="str">
        <f>Inputs!AB325</f>
        <v>-</v>
      </c>
      <c r="AC36" s="321" t="str">
        <f>Inputs!AC325</f>
        <v>-</v>
      </c>
      <c r="AD36" s="321" t="str">
        <f>Inputs!AD325</f>
        <v>-</v>
      </c>
      <c r="AE36" s="321" t="str">
        <f>Inputs!AE325</f>
        <v>-</v>
      </c>
      <c r="AF36" s="321" t="str">
        <f>Inputs!AF325</f>
        <v>-</v>
      </c>
      <c r="AG36" s="321" t="str">
        <f>Inputs!AG325</f>
        <v>-</v>
      </c>
      <c r="AH36" s="321" t="str">
        <f>Inputs!AH325</f>
        <v>-</v>
      </c>
      <c r="AI36" s="321" t="str">
        <f>Inputs!AI325</f>
        <v>-</v>
      </c>
      <c r="AJ36" s="321" t="str">
        <f>Inputs!AJ325</f>
        <v>-</v>
      </c>
      <c r="AK36" s="321" t="str">
        <f>Inputs!AK325</f>
        <v>-</v>
      </c>
      <c r="AL36" s="321" t="str">
        <f>Inputs!AL325</f>
        <v>-</v>
      </c>
      <c r="AM36" s="321" t="str">
        <f>Inputs!AM325</f>
        <v>-</v>
      </c>
      <c r="AN36" s="321" t="str">
        <f>Inputs!AN325</f>
        <v>-</v>
      </c>
      <c r="AO36" s="321" t="str">
        <f>Inputs!AO325</f>
        <v>-</v>
      </c>
      <c r="AP36" s="321" t="str">
        <f>Inputs!AP325</f>
        <v>-</v>
      </c>
      <c r="AQ36" s="321" t="str">
        <f>Inputs!AQ325</f>
        <v>-</v>
      </c>
      <c r="AR36" s="321" t="str">
        <f>Inputs!AR325</f>
        <v>-</v>
      </c>
      <c r="AS36" s="321" t="str">
        <f>Inputs!AS325</f>
        <v>-</v>
      </c>
      <c r="AT36" s="321" t="str">
        <f>Inputs!AT325</f>
        <v>-</v>
      </c>
      <c r="AU36" s="321" t="str">
        <f>Inputs!AU325</f>
        <v>-</v>
      </c>
      <c r="AV36" s="321" t="str">
        <f>Inputs!AV325</f>
        <v>-</v>
      </c>
      <c r="AW36" s="18"/>
    </row>
    <row r="37">
      <c r="A37" s="68"/>
      <c r="B37" s="13"/>
      <c r="C37" s="13"/>
      <c r="D37" s="13"/>
      <c r="E37" s="683" t="s">
        <v>934</v>
      </c>
      <c r="F37" s="684" t="s">
        <v>72</v>
      </c>
      <c r="G37" s="685" t="s">
        <v>165</v>
      </c>
      <c r="H37" s="498">
        <f>Inputs!H326</f>
        <v>0</v>
      </c>
      <c r="I37" s="499" t="str">
        <f>Inputs!I326</f>
        <v>-</v>
      </c>
      <c r="J37" s="499" t="str">
        <f>Inputs!J326</f>
        <v>-</v>
      </c>
      <c r="K37" s="499" t="str">
        <f>Inputs!K326</f>
        <v>-</v>
      </c>
      <c r="L37" s="499" t="str">
        <f>Inputs!L326</f>
        <v>-</v>
      </c>
      <c r="M37" s="499" t="str">
        <f>Inputs!M326</f>
        <v>-</v>
      </c>
      <c r="N37" s="499" t="str">
        <f>Inputs!N326</f>
        <v>-</v>
      </c>
      <c r="O37" s="499" t="str">
        <f>Inputs!O326</f>
        <v>-</v>
      </c>
      <c r="P37" s="499" t="str">
        <f>Inputs!P326</f>
        <v>-</v>
      </c>
      <c r="Q37" s="499" t="str">
        <f>Inputs!Q326</f>
        <v>-</v>
      </c>
      <c r="R37" s="499" t="str">
        <f>Inputs!R326</f>
        <v>-</v>
      </c>
      <c r="S37" s="499" t="str">
        <f>Inputs!S326</f>
        <v>-</v>
      </c>
      <c r="T37" s="499" t="str">
        <f>Inputs!T326</f>
        <v>-</v>
      </c>
      <c r="U37" s="499" t="str">
        <f>Inputs!U326</f>
        <v>-</v>
      </c>
      <c r="V37" s="499" t="str">
        <f>Inputs!V326</f>
        <v>-</v>
      </c>
      <c r="W37" s="499" t="str">
        <f>Inputs!W326</f>
        <v>-</v>
      </c>
      <c r="X37" s="499" t="str">
        <f>Inputs!X326</f>
        <v>-</v>
      </c>
      <c r="Y37" s="499" t="str">
        <f>Inputs!Y326</f>
        <v>-</v>
      </c>
      <c r="Z37" s="499" t="str">
        <f>Inputs!Z326</f>
        <v>-</v>
      </c>
      <c r="AA37" s="499" t="str">
        <f>Inputs!AA326</f>
        <v>-</v>
      </c>
      <c r="AB37" s="499" t="str">
        <f>Inputs!AB326</f>
        <v>-</v>
      </c>
      <c r="AC37" s="499" t="str">
        <f>Inputs!AC326</f>
        <v>-</v>
      </c>
      <c r="AD37" s="499" t="str">
        <f>Inputs!AD326</f>
        <v>-</v>
      </c>
      <c r="AE37" s="499" t="str">
        <f>Inputs!AE326</f>
        <v>-</v>
      </c>
      <c r="AF37" s="499" t="str">
        <f>Inputs!AF326</f>
        <v>-</v>
      </c>
      <c r="AG37" s="499" t="str">
        <f>Inputs!AG326</f>
        <v>-</v>
      </c>
      <c r="AH37" s="499" t="str">
        <f>Inputs!AH326</f>
        <v>-</v>
      </c>
      <c r="AI37" s="499" t="str">
        <f>Inputs!AI326</f>
        <v>-</v>
      </c>
      <c r="AJ37" s="499" t="str">
        <f>Inputs!AJ326</f>
        <v>-</v>
      </c>
      <c r="AK37" s="499" t="str">
        <f>Inputs!AK326</f>
        <v>-</v>
      </c>
      <c r="AL37" s="499" t="str">
        <f>Inputs!AL326</f>
        <v>-</v>
      </c>
      <c r="AM37" s="499" t="str">
        <f>Inputs!AM326</f>
        <v>-</v>
      </c>
      <c r="AN37" s="499" t="str">
        <f>Inputs!AN326</f>
        <v>-</v>
      </c>
      <c r="AO37" s="499" t="str">
        <f>Inputs!AO326</f>
        <v>-</v>
      </c>
      <c r="AP37" s="499" t="str">
        <f>Inputs!AP326</f>
        <v>-</v>
      </c>
      <c r="AQ37" s="499" t="str">
        <f>Inputs!AQ326</f>
        <v>-</v>
      </c>
      <c r="AR37" s="499" t="str">
        <f>Inputs!AR326</f>
        <v>-</v>
      </c>
      <c r="AS37" s="499" t="str">
        <f>Inputs!AS326</f>
        <v>-</v>
      </c>
      <c r="AT37" s="499" t="str">
        <f>Inputs!AT326</f>
        <v>-</v>
      </c>
      <c r="AU37" s="499" t="str">
        <f>Inputs!AU326</f>
        <v>-</v>
      </c>
      <c r="AV37" s="499" t="str">
        <f>Inputs!AV326</f>
        <v>-</v>
      </c>
      <c r="AW37" s="61"/>
    </row>
    <row r="38">
      <c r="A38" s="68"/>
      <c r="B38" s="13"/>
      <c r="C38" s="13"/>
      <c r="D38" s="13"/>
      <c r="E38" s="635"/>
      <c r="F38" s="315"/>
      <c r="G38" s="316"/>
      <c r="H38" s="127"/>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35"/>
    </row>
    <row r="39">
      <c r="A39" s="117" t="s">
        <v>936</v>
      </c>
      <c r="B39" s="7"/>
      <c r="C39" s="7"/>
      <c r="D39" s="7"/>
      <c r="E39" s="7"/>
      <c r="F39" s="7"/>
      <c r="G39" s="659"/>
      <c r="H39" s="118"/>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686"/>
    </row>
    <row r="40">
      <c r="A40" s="687"/>
      <c r="B40" s="123"/>
      <c r="C40" s="123"/>
      <c r="D40" s="123"/>
      <c r="E40" s="661"/>
      <c r="F40" s="125"/>
      <c r="G40" s="126"/>
      <c r="H40" s="688"/>
      <c r="I40" s="689"/>
      <c r="J40" s="689"/>
      <c r="K40" s="689"/>
      <c r="L40" s="689"/>
      <c r="M40" s="689"/>
      <c r="N40" s="689"/>
      <c r="O40" s="689"/>
      <c r="P40" s="689"/>
      <c r="Q40" s="689"/>
      <c r="R40" s="689"/>
      <c r="S40" s="689"/>
      <c r="T40" s="689"/>
      <c r="U40" s="689"/>
      <c r="V40" s="689"/>
      <c r="W40" s="689"/>
      <c r="X40" s="689"/>
      <c r="Y40" s="689"/>
      <c r="Z40" s="689"/>
      <c r="AA40" s="689"/>
      <c r="AB40" s="689"/>
      <c r="AC40" s="689"/>
      <c r="AD40" s="689"/>
      <c r="AE40" s="689"/>
      <c r="AF40" s="689"/>
      <c r="AG40" s="689"/>
      <c r="AH40" s="689"/>
      <c r="AI40" s="689"/>
      <c r="AJ40" s="689"/>
      <c r="AK40" s="689"/>
      <c r="AL40" s="689"/>
      <c r="AM40" s="689"/>
      <c r="AN40" s="689"/>
      <c r="AO40" s="689"/>
      <c r="AP40" s="689"/>
      <c r="AQ40" s="689"/>
      <c r="AR40" s="689"/>
      <c r="AS40" s="689"/>
      <c r="AT40" s="689"/>
      <c r="AU40" s="689"/>
      <c r="AV40" s="689"/>
      <c r="AW40" s="126"/>
    </row>
    <row r="41">
      <c r="A41" s="687"/>
      <c r="B41" s="123"/>
      <c r="C41" s="342" t="s">
        <v>937</v>
      </c>
      <c r="F41" s="141"/>
      <c r="G41" s="126"/>
      <c r="H41" s="688"/>
      <c r="I41" s="689"/>
      <c r="J41" s="689"/>
      <c r="K41" s="689"/>
      <c r="L41" s="689"/>
      <c r="M41" s="689"/>
      <c r="N41" s="689"/>
      <c r="O41" s="689"/>
      <c r="P41" s="689"/>
      <c r="Q41" s="689"/>
      <c r="R41" s="689"/>
      <c r="S41" s="689"/>
      <c r="T41" s="689"/>
      <c r="U41" s="689"/>
      <c r="V41" s="689"/>
      <c r="W41" s="689"/>
      <c r="X41" s="689"/>
      <c r="Y41" s="689"/>
      <c r="Z41" s="689"/>
      <c r="AA41" s="689"/>
      <c r="AB41" s="689"/>
      <c r="AC41" s="689"/>
      <c r="AD41" s="689"/>
      <c r="AE41" s="689"/>
      <c r="AF41" s="689"/>
      <c r="AG41" s="689"/>
      <c r="AH41" s="689"/>
      <c r="AI41" s="689"/>
      <c r="AJ41" s="689"/>
      <c r="AK41" s="689"/>
      <c r="AL41" s="689"/>
      <c r="AM41" s="689"/>
      <c r="AN41" s="689"/>
      <c r="AO41" s="689"/>
      <c r="AP41" s="689"/>
      <c r="AQ41" s="689"/>
      <c r="AR41" s="689"/>
      <c r="AS41" s="689"/>
      <c r="AT41" s="689"/>
      <c r="AU41" s="689"/>
      <c r="AV41" s="689"/>
      <c r="AW41" s="126"/>
    </row>
    <row r="42">
      <c r="A42" s="687"/>
      <c r="B42" s="123"/>
      <c r="C42" s="342"/>
      <c r="D42" s="123"/>
      <c r="E42" s="254" t="s">
        <v>284</v>
      </c>
      <c r="F42" s="193" t="s">
        <v>76</v>
      </c>
      <c r="G42" s="235" t="s">
        <v>920</v>
      </c>
      <c r="H42" s="690" t="str">
        <f>'Main CEA'!H176</f>
        <v>-</v>
      </c>
      <c r="I42" s="691">
        <f>'Main CEA'!I176</f>
        <v>0.05536366837</v>
      </c>
      <c r="J42" s="691">
        <f>'Main CEA'!J176</f>
        <v>0.02788508275</v>
      </c>
      <c r="K42" s="691">
        <f>'Main CEA'!K176</f>
        <v>0.04980294755</v>
      </c>
      <c r="L42" s="691">
        <f>'Main CEA'!L176</f>
        <v>0.02574418936</v>
      </c>
      <c r="M42" s="691">
        <f>'Main CEA'!M176</f>
        <v>0.03544733196</v>
      </c>
      <c r="N42" s="691">
        <f>'Main CEA'!N176</f>
        <v>0.04687715804</v>
      </c>
      <c r="O42" s="691">
        <f>'Main CEA'!O176</f>
        <v>0.08058180066</v>
      </c>
      <c r="P42" s="691">
        <f>'Main CEA'!P176</f>
        <v>0.1063509678</v>
      </c>
      <c r="Q42" s="691">
        <f>'Main CEA'!Q176</f>
        <v>0.08554897629</v>
      </c>
      <c r="R42" s="691">
        <f>'Main CEA'!R176</f>
        <v>0.005265538137</v>
      </c>
      <c r="S42" s="691">
        <f>'Main CEA'!S176</f>
        <v>0.01231980833</v>
      </c>
      <c r="T42" s="691">
        <f>'Main CEA'!T176</f>
        <v>0.005173831063</v>
      </c>
      <c r="U42" s="691">
        <f>'Main CEA'!U176</f>
        <v>0.005896177923</v>
      </c>
      <c r="V42" s="691">
        <f>'Main CEA'!V176</f>
        <v>0.008687773449</v>
      </c>
      <c r="W42" s="691">
        <f>'Main CEA'!W176</f>
        <v>0.009696286443</v>
      </c>
      <c r="X42" s="691">
        <f>'Main CEA'!X176</f>
        <v>0.01758144028</v>
      </c>
      <c r="Y42" s="691">
        <f>'Main CEA'!Y176</f>
        <v>0.004410933759</v>
      </c>
      <c r="Z42" s="691">
        <f>'Main CEA'!Z176</f>
        <v>0.006836791936</v>
      </c>
      <c r="AA42" s="691">
        <f>'Main CEA'!AA176</f>
        <v>0.002866215478</v>
      </c>
      <c r="AB42" s="691">
        <f>'Main CEA'!AB176</f>
        <v>0.00465044175</v>
      </c>
      <c r="AC42" s="691">
        <f>'Main CEA'!AC176</f>
        <v>0.003499510364</v>
      </c>
      <c r="AD42" s="691">
        <f>'Main CEA'!AD176</f>
        <v>0.002980111134</v>
      </c>
      <c r="AE42" s="691">
        <f>'Main CEA'!AE176</f>
        <v>0.004320945361</v>
      </c>
      <c r="AF42" s="691">
        <f>'Main CEA'!AF176</f>
        <v>0.003407319976</v>
      </c>
      <c r="AG42" s="691">
        <f>'Main CEA'!AG176</f>
        <v>0.01686530703</v>
      </c>
      <c r="AH42" s="691">
        <f>'Main CEA'!AH176</f>
        <v>0.007333298837</v>
      </c>
      <c r="AI42" s="691">
        <f>'Main CEA'!AI176</f>
        <v>0.007296230608</v>
      </c>
      <c r="AJ42" s="691">
        <f>'Main CEA'!AJ176</f>
        <v>0.003330537895</v>
      </c>
      <c r="AK42" s="691">
        <f>'Main CEA'!AK176</f>
        <v>0.01093881765</v>
      </c>
      <c r="AL42" s="691">
        <f>'Main CEA'!AL176</f>
        <v>0.0236335736</v>
      </c>
      <c r="AM42" s="691">
        <f>'Main CEA'!AM176</f>
        <v>0.02762333369</v>
      </c>
      <c r="AN42" s="691">
        <f>'Main CEA'!AN176</f>
        <v>0.01694463489</v>
      </c>
      <c r="AO42" s="691">
        <f>'Main CEA'!AO176</f>
        <v>0.008722536325</v>
      </c>
      <c r="AP42" s="691">
        <f>'Main CEA'!AP176</f>
        <v>0.007449173008</v>
      </c>
      <c r="AQ42" s="691">
        <f>'Main CEA'!AQ176</f>
        <v>0.003581614366</v>
      </c>
      <c r="AR42" s="691">
        <f>'Main CEA'!AR176</f>
        <v>0.006233762602</v>
      </c>
      <c r="AS42" s="691">
        <f>'Main CEA'!AS176</f>
        <v>0.007225872465</v>
      </c>
      <c r="AT42" s="691">
        <f>'Main CEA'!AT176</f>
        <v>0.004761110967</v>
      </c>
      <c r="AU42" s="691">
        <f>'Main CEA'!AU176</f>
        <v>0.02246187846</v>
      </c>
      <c r="AV42" s="691">
        <f>'Main CEA'!AV176</f>
        <v>0.03474052068</v>
      </c>
      <c r="AW42" s="394"/>
    </row>
    <row r="43">
      <c r="A43" s="687"/>
      <c r="B43" s="123"/>
      <c r="C43" s="342"/>
      <c r="D43" s="123"/>
      <c r="E43" s="257" t="s">
        <v>309</v>
      </c>
      <c r="F43" s="213" t="s">
        <v>72</v>
      </c>
      <c r="G43" s="239" t="s">
        <v>920</v>
      </c>
      <c r="H43" s="692">
        <f>'Main CEA'!H208</f>
        <v>-0.07</v>
      </c>
      <c r="I43" s="693" t="str">
        <f>'Main CEA'!I208</f>
        <v>-</v>
      </c>
      <c r="J43" s="693" t="str">
        <f>'Main CEA'!J208</f>
        <v>-</v>
      </c>
      <c r="K43" s="693" t="str">
        <f>'Main CEA'!K208</f>
        <v>-</v>
      </c>
      <c r="L43" s="693" t="str">
        <f>'Main CEA'!L208</f>
        <v>-</v>
      </c>
      <c r="M43" s="693" t="str">
        <f>'Main CEA'!M208</f>
        <v>-</v>
      </c>
      <c r="N43" s="693" t="str">
        <f>'Main CEA'!N208</f>
        <v>-</v>
      </c>
      <c r="O43" s="693" t="str">
        <f>'Main CEA'!O208</f>
        <v>-</v>
      </c>
      <c r="P43" s="693" t="str">
        <f>'Main CEA'!P208</f>
        <v>-</v>
      </c>
      <c r="Q43" s="693" t="str">
        <f>'Main CEA'!Q208</f>
        <v>-</v>
      </c>
      <c r="R43" s="693" t="str">
        <f>'Main CEA'!R208</f>
        <v>-</v>
      </c>
      <c r="S43" s="693" t="str">
        <f>'Main CEA'!S208</f>
        <v>-</v>
      </c>
      <c r="T43" s="693" t="str">
        <f>'Main CEA'!T208</f>
        <v>-</v>
      </c>
      <c r="U43" s="693" t="str">
        <f>'Main CEA'!U208</f>
        <v>-</v>
      </c>
      <c r="V43" s="693" t="str">
        <f>'Main CEA'!V208</f>
        <v>-</v>
      </c>
      <c r="W43" s="693" t="str">
        <f>'Main CEA'!W208</f>
        <v>-</v>
      </c>
      <c r="X43" s="693" t="str">
        <f>'Main CEA'!X208</f>
        <v>-</v>
      </c>
      <c r="Y43" s="693" t="str">
        <f>'Main CEA'!Y208</f>
        <v>-</v>
      </c>
      <c r="Z43" s="693" t="str">
        <f>'Main CEA'!Z208</f>
        <v>-</v>
      </c>
      <c r="AA43" s="693" t="str">
        <f>'Main CEA'!AA208</f>
        <v>-</v>
      </c>
      <c r="AB43" s="693" t="str">
        <f>'Main CEA'!AB208</f>
        <v>-</v>
      </c>
      <c r="AC43" s="693" t="str">
        <f>'Main CEA'!AC208</f>
        <v>-</v>
      </c>
      <c r="AD43" s="693" t="str">
        <f>'Main CEA'!AD208</f>
        <v>-</v>
      </c>
      <c r="AE43" s="693" t="str">
        <f>'Main CEA'!AE208</f>
        <v>-</v>
      </c>
      <c r="AF43" s="693" t="str">
        <f>'Main CEA'!AF208</f>
        <v>-</v>
      </c>
      <c r="AG43" s="693" t="str">
        <f>'Main CEA'!AG208</f>
        <v>-</v>
      </c>
      <c r="AH43" s="693" t="str">
        <f>'Main CEA'!AH208</f>
        <v>-</v>
      </c>
      <c r="AI43" s="693" t="str">
        <f>'Main CEA'!AI208</f>
        <v>-</v>
      </c>
      <c r="AJ43" s="693" t="str">
        <f>'Main CEA'!AJ208</f>
        <v>-</v>
      </c>
      <c r="AK43" s="693" t="str">
        <f>'Main CEA'!AK208</f>
        <v>-</v>
      </c>
      <c r="AL43" s="693" t="str">
        <f>'Main CEA'!AL208</f>
        <v>-</v>
      </c>
      <c r="AM43" s="693" t="str">
        <f>'Main CEA'!AM208</f>
        <v>-</v>
      </c>
      <c r="AN43" s="693" t="str">
        <f>'Main CEA'!AN208</f>
        <v>-</v>
      </c>
      <c r="AO43" s="693" t="str">
        <f>'Main CEA'!AO208</f>
        <v>-</v>
      </c>
      <c r="AP43" s="693" t="str">
        <f>'Main CEA'!AP208</f>
        <v>-</v>
      </c>
      <c r="AQ43" s="693" t="str">
        <f>'Main CEA'!AQ208</f>
        <v>-</v>
      </c>
      <c r="AR43" s="693" t="str">
        <f>'Main CEA'!AR208</f>
        <v>-</v>
      </c>
      <c r="AS43" s="693" t="str">
        <f>'Main CEA'!AS208</f>
        <v>-</v>
      </c>
      <c r="AT43" s="693" t="str">
        <f>'Main CEA'!AT208</f>
        <v>-</v>
      </c>
      <c r="AU43" s="693" t="str">
        <f>'Main CEA'!AU208</f>
        <v>-</v>
      </c>
      <c r="AV43" s="693" t="str">
        <f>'Main CEA'!AV208</f>
        <v>-</v>
      </c>
      <c r="AW43" s="396"/>
    </row>
    <row r="44">
      <c r="A44" s="687"/>
      <c r="B44" s="123"/>
      <c r="C44" s="342"/>
      <c r="D44" s="123"/>
      <c r="E44" s="257" t="s">
        <v>327</v>
      </c>
      <c r="F44" s="213" t="s">
        <v>72</v>
      </c>
      <c r="G44" s="239" t="s">
        <v>920</v>
      </c>
      <c r="H44" s="694" t="str">
        <f>'Main CEA'!H228</f>
        <v>-</v>
      </c>
      <c r="I44" s="693">
        <f>'Main CEA'!I228</f>
        <v>0.503</v>
      </c>
      <c r="J44" s="693">
        <f>'Main CEA'!J228</f>
        <v>0.503</v>
      </c>
      <c r="K44" s="693">
        <f>'Main CEA'!K228</f>
        <v>0.503</v>
      </c>
      <c r="L44" s="693">
        <f>'Main CEA'!L228</f>
        <v>0.503</v>
      </c>
      <c r="M44" s="693">
        <f>'Main CEA'!M228</f>
        <v>0.503</v>
      </c>
      <c r="N44" s="693">
        <f>'Main CEA'!N228</f>
        <v>0.503</v>
      </c>
      <c r="O44" s="693">
        <f>'Main CEA'!O228</f>
        <v>0.503</v>
      </c>
      <c r="P44" s="693">
        <f>'Main CEA'!P228</f>
        <v>0.503</v>
      </c>
      <c r="Q44" s="693">
        <f>'Main CEA'!Q228</f>
        <v>0.503</v>
      </c>
      <c r="R44" s="693">
        <f>'Main CEA'!R228</f>
        <v>0.3163333333</v>
      </c>
      <c r="S44" s="693">
        <f>'Main CEA'!S228</f>
        <v>0.3163333333</v>
      </c>
      <c r="T44" s="693">
        <f>'Main CEA'!T228</f>
        <v>0.3163333333</v>
      </c>
      <c r="U44" s="693">
        <f>'Main CEA'!U228</f>
        <v>0.3163333333</v>
      </c>
      <c r="V44" s="693">
        <f>'Main CEA'!V228</f>
        <v>0.3163333333</v>
      </c>
      <c r="W44" s="693">
        <f>'Main CEA'!W228</f>
        <v>0.3163333333</v>
      </c>
      <c r="X44" s="693">
        <f>'Main CEA'!X228</f>
        <v>0.3163333333</v>
      </c>
      <c r="Y44" s="693">
        <f>'Main CEA'!Y228</f>
        <v>0.3163333333</v>
      </c>
      <c r="Z44" s="693">
        <f>'Main CEA'!Z228</f>
        <v>0.3163333333</v>
      </c>
      <c r="AA44" s="693">
        <f>'Main CEA'!AA228</f>
        <v>0.3163333333</v>
      </c>
      <c r="AB44" s="693">
        <f>'Main CEA'!AB228</f>
        <v>0.3163333333</v>
      </c>
      <c r="AC44" s="693">
        <f>'Main CEA'!AC228</f>
        <v>0.3163333333</v>
      </c>
      <c r="AD44" s="693">
        <f>'Main CEA'!AD228</f>
        <v>0.3163333333</v>
      </c>
      <c r="AE44" s="693">
        <f>'Main CEA'!AE228</f>
        <v>0.3163333333</v>
      </c>
      <c r="AF44" s="693">
        <f>'Main CEA'!AF228</f>
        <v>0.3163333333</v>
      </c>
      <c r="AG44" s="693">
        <f>'Main CEA'!AG228</f>
        <v>0.3163333333</v>
      </c>
      <c r="AH44" s="693">
        <f>'Main CEA'!AH228</f>
        <v>0.3163333333</v>
      </c>
      <c r="AI44" s="693">
        <f>'Main CEA'!AI228</f>
        <v>0.3163333333</v>
      </c>
      <c r="AJ44" s="693">
        <f>'Main CEA'!AJ228</f>
        <v>0.3163333333</v>
      </c>
      <c r="AK44" s="693">
        <f>'Main CEA'!AK228</f>
        <v>0.3163333333</v>
      </c>
      <c r="AL44" s="693">
        <f>'Main CEA'!AL228</f>
        <v>0.353</v>
      </c>
      <c r="AM44" s="693">
        <f>'Main CEA'!AM228</f>
        <v>0.393</v>
      </c>
      <c r="AN44" s="693">
        <f>'Main CEA'!AN228</f>
        <v>0.353</v>
      </c>
      <c r="AO44" s="693">
        <f>'Main CEA'!AO228</f>
        <v>0.3163333333</v>
      </c>
      <c r="AP44" s="693">
        <f>'Main CEA'!AP228</f>
        <v>0.3163333333</v>
      </c>
      <c r="AQ44" s="693">
        <f>'Main CEA'!AQ228</f>
        <v>0.3163333333</v>
      </c>
      <c r="AR44" s="693">
        <f>'Main CEA'!AR228</f>
        <v>0.3163333333</v>
      </c>
      <c r="AS44" s="693">
        <f>'Main CEA'!AS228</f>
        <v>0.3163333333</v>
      </c>
      <c r="AT44" s="693">
        <f>'Main CEA'!AT228</f>
        <v>0.3163333333</v>
      </c>
      <c r="AU44" s="693">
        <f>'Main CEA'!AU228</f>
        <v>0.203</v>
      </c>
      <c r="AV44" s="693">
        <f>'Main CEA'!AV228</f>
        <v>0.393</v>
      </c>
      <c r="AW44" s="396"/>
    </row>
    <row r="45">
      <c r="A45" s="687"/>
      <c r="B45" s="123"/>
      <c r="C45" s="342"/>
      <c r="D45" s="123"/>
      <c r="E45" s="272" t="s">
        <v>938</v>
      </c>
      <c r="F45" s="200" t="s">
        <v>76</v>
      </c>
      <c r="G45" s="273" t="s">
        <v>161</v>
      </c>
      <c r="H45" s="695" t="s">
        <v>162</v>
      </c>
      <c r="I45" s="696">
        <f t="shared" ref="I45:AV45" si="10">I42*(1+$H43)*(1+I44)</f>
        <v>0.07738678202</v>
      </c>
      <c r="J45" s="696">
        <f t="shared" si="10"/>
        <v>0.03897748981</v>
      </c>
      <c r="K45" s="696">
        <f t="shared" si="10"/>
        <v>0.06961406206</v>
      </c>
      <c r="L45" s="696">
        <f t="shared" si="10"/>
        <v>0.03598497044</v>
      </c>
      <c r="M45" s="696">
        <f t="shared" si="10"/>
        <v>0.04954792614</v>
      </c>
      <c r="N45" s="696">
        <f t="shared" si="10"/>
        <v>0.06552442274</v>
      </c>
      <c r="O45" s="696">
        <f t="shared" si="10"/>
        <v>0.1126364351</v>
      </c>
      <c r="P45" s="696">
        <f t="shared" si="10"/>
        <v>0.1486563193</v>
      </c>
      <c r="Q45" s="696">
        <f t="shared" si="10"/>
        <v>0.1195795036</v>
      </c>
      <c r="R45" s="696">
        <f t="shared" si="10"/>
        <v>0.006446019132</v>
      </c>
      <c r="S45" s="696">
        <f t="shared" si="10"/>
        <v>0.01508178617</v>
      </c>
      <c r="T45" s="696">
        <f t="shared" si="10"/>
        <v>0.006333752249</v>
      </c>
      <c r="U45" s="696">
        <f t="shared" si="10"/>
        <v>0.007218042052</v>
      </c>
      <c r="V45" s="696">
        <f t="shared" si="10"/>
        <v>0.01063548538</v>
      </c>
      <c r="W45" s="696">
        <f t="shared" si="10"/>
        <v>0.0118700969</v>
      </c>
      <c r="X45" s="696">
        <f t="shared" si="10"/>
        <v>0.02152302338</v>
      </c>
      <c r="Y45" s="696">
        <f t="shared" si="10"/>
        <v>0.005399820998</v>
      </c>
      <c r="Z45" s="696">
        <f t="shared" si="10"/>
        <v>0.00836953232</v>
      </c>
      <c r="AA45" s="696">
        <f t="shared" si="10"/>
        <v>0.003508792326</v>
      </c>
      <c r="AB45" s="696">
        <f t="shared" si="10"/>
        <v>0.005693024286</v>
      </c>
      <c r="AC45" s="696">
        <f t="shared" si="10"/>
        <v>0.004284065593</v>
      </c>
      <c r="AD45" s="696">
        <f t="shared" si="10"/>
        <v>0.00364822225</v>
      </c>
      <c r="AE45" s="696">
        <f t="shared" si="10"/>
        <v>0.005289658101</v>
      </c>
      <c r="AF45" s="696">
        <f t="shared" si="10"/>
        <v>0.004171207041</v>
      </c>
      <c r="AG45" s="696">
        <f t="shared" si="10"/>
        <v>0.02064634021</v>
      </c>
      <c r="AH45" s="696">
        <f t="shared" si="10"/>
        <v>0.008977351103</v>
      </c>
      <c r="AI45" s="696">
        <f t="shared" si="10"/>
        <v>0.008931972548</v>
      </c>
      <c r="AJ45" s="696">
        <f t="shared" si="10"/>
        <v>0.004077211186</v>
      </c>
      <c r="AK45" s="696">
        <f t="shared" si="10"/>
        <v>0.01339119117</v>
      </c>
      <c r="AL45" s="696">
        <f t="shared" si="10"/>
        <v>0.02973788932</v>
      </c>
      <c r="AM45" s="696">
        <f t="shared" si="10"/>
        <v>0.03578575257</v>
      </c>
      <c r="AN45" s="696">
        <f t="shared" si="10"/>
        <v>0.02132126464</v>
      </c>
      <c r="AO45" s="696">
        <f t="shared" si="10"/>
        <v>0.01067804174</v>
      </c>
      <c r="AP45" s="696">
        <f t="shared" si="10"/>
        <v>0.009119203104</v>
      </c>
      <c r="AQ45" s="696">
        <f t="shared" si="10"/>
        <v>0.004384576491</v>
      </c>
      <c r="AR45" s="696">
        <f t="shared" si="10"/>
        <v>0.007631309839</v>
      </c>
      <c r="AS45" s="696">
        <f t="shared" si="10"/>
        <v>0.008845840813</v>
      </c>
      <c r="AT45" s="696">
        <f t="shared" si="10"/>
        <v>0.005828504435</v>
      </c>
      <c r="AU45" s="696">
        <f t="shared" si="10"/>
        <v>0.02513012501</v>
      </c>
      <c r="AV45" s="696">
        <f t="shared" si="10"/>
        <v>0.04500599713</v>
      </c>
      <c r="AW45" s="697"/>
    </row>
    <row r="46">
      <c r="A46" s="687"/>
      <c r="B46" s="123"/>
      <c r="C46" s="342"/>
      <c r="D46" s="123"/>
      <c r="E46" s="661"/>
      <c r="F46" s="141"/>
      <c r="G46" s="126"/>
      <c r="H46" s="688"/>
      <c r="I46" s="689"/>
      <c r="J46" s="689"/>
      <c r="K46" s="689"/>
      <c r="L46" s="689"/>
      <c r="M46" s="689"/>
      <c r="N46" s="689"/>
      <c r="O46" s="689"/>
      <c r="P46" s="689"/>
      <c r="Q46" s="689"/>
      <c r="R46" s="689"/>
      <c r="S46" s="689"/>
      <c r="T46" s="689"/>
      <c r="U46" s="689"/>
      <c r="V46" s="689"/>
      <c r="W46" s="689"/>
      <c r="X46" s="689"/>
      <c r="Y46" s="689"/>
      <c r="Z46" s="689"/>
      <c r="AA46" s="689"/>
      <c r="AB46" s="689"/>
      <c r="AC46" s="689"/>
      <c r="AD46" s="689"/>
      <c r="AE46" s="689"/>
      <c r="AF46" s="689"/>
      <c r="AG46" s="689"/>
      <c r="AH46" s="689"/>
      <c r="AI46" s="689"/>
      <c r="AJ46" s="689"/>
      <c r="AK46" s="689"/>
      <c r="AL46" s="689"/>
      <c r="AM46" s="689"/>
      <c r="AN46" s="689"/>
      <c r="AO46" s="689"/>
      <c r="AP46" s="689"/>
      <c r="AQ46" s="689"/>
      <c r="AR46" s="689"/>
      <c r="AS46" s="689"/>
      <c r="AT46" s="689"/>
      <c r="AU46" s="689"/>
      <c r="AV46" s="689"/>
      <c r="AW46" s="126"/>
    </row>
    <row r="47">
      <c r="A47" s="687"/>
      <c r="B47" s="123"/>
      <c r="C47" s="342" t="s">
        <v>939</v>
      </c>
      <c r="F47" s="141"/>
      <c r="G47" s="126"/>
      <c r="H47" s="688"/>
      <c r="I47" s="689"/>
      <c r="J47" s="689"/>
      <c r="K47" s="689"/>
      <c r="L47" s="689"/>
      <c r="M47" s="689"/>
      <c r="N47" s="689"/>
      <c r="O47" s="689"/>
      <c r="P47" s="689"/>
      <c r="Q47" s="689"/>
      <c r="R47" s="689"/>
      <c r="S47" s="689"/>
      <c r="T47" s="689"/>
      <c r="U47" s="689"/>
      <c r="V47" s="689"/>
      <c r="W47" s="689"/>
      <c r="X47" s="689"/>
      <c r="Y47" s="689"/>
      <c r="Z47" s="689"/>
      <c r="AA47" s="689"/>
      <c r="AB47" s="689"/>
      <c r="AC47" s="689"/>
      <c r="AD47" s="689"/>
      <c r="AE47" s="689"/>
      <c r="AF47" s="689"/>
      <c r="AG47" s="689"/>
      <c r="AH47" s="689"/>
      <c r="AI47" s="689"/>
      <c r="AJ47" s="689"/>
      <c r="AK47" s="689"/>
      <c r="AL47" s="689"/>
      <c r="AM47" s="689"/>
      <c r="AN47" s="689"/>
      <c r="AO47" s="689"/>
      <c r="AP47" s="689"/>
      <c r="AQ47" s="689"/>
      <c r="AR47" s="689"/>
      <c r="AS47" s="689"/>
      <c r="AT47" s="689"/>
      <c r="AU47" s="689"/>
      <c r="AV47" s="689"/>
      <c r="AW47" s="126"/>
    </row>
    <row r="48">
      <c r="A48" s="687"/>
      <c r="B48" s="123"/>
      <c r="C48" s="342"/>
      <c r="D48" s="123"/>
      <c r="E48" s="698" t="str">
        <f>'Main CEA'!E190</f>
        <v>Total lives saved (before final adjustments)</v>
      </c>
      <c r="F48" s="193" t="str">
        <f>'Main CEA'!F190</f>
        <v>#</v>
      </c>
      <c r="G48" s="235" t="s">
        <v>920</v>
      </c>
      <c r="H48" s="699" t="str">
        <f>'Main CEA'!H190</f>
        <v>-</v>
      </c>
      <c r="I48" s="700">
        <f>'Main CEA'!I190</f>
        <v>375.8530454</v>
      </c>
      <c r="J48" s="700">
        <f>'Main CEA'!J190</f>
        <v>180.1063445</v>
      </c>
      <c r="K48" s="700">
        <f>'Main CEA'!K190</f>
        <v>332.1630269</v>
      </c>
      <c r="L48" s="700">
        <f>'Main CEA'!L190</f>
        <v>163.0458619</v>
      </c>
      <c r="M48" s="700">
        <f>'Main CEA'!M190</f>
        <v>230.4506308</v>
      </c>
      <c r="N48" s="700">
        <f>'Main CEA'!N190</f>
        <v>316.5938966</v>
      </c>
      <c r="O48" s="700">
        <f>'Main CEA'!O190</f>
        <v>557.9237058</v>
      </c>
      <c r="P48" s="700">
        <f>'Main CEA'!P190</f>
        <v>736.0464981</v>
      </c>
      <c r="Q48" s="700">
        <f>'Main CEA'!Q190</f>
        <v>584.5540557</v>
      </c>
      <c r="R48" s="700">
        <f>'Main CEA'!R190</f>
        <v>20.15366238</v>
      </c>
      <c r="S48" s="700">
        <f>'Main CEA'!S190</f>
        <v>69.51249107</v>
      </c>
      <c r="T48" s="700">
        <f>'Main CEA'!T190</f>
        <v>20.29127292</v>
      </c>
      <c r="U48" s="700">
        <f>'Main CEA'!U190</f>
        <v>25.30868778</v>
      </c>
      <c r="V48" s="700">
        <f>'Main CEA'!V190</f>
        <v>45.38312815</v>
      </c>
      <c r="W48" s="700">
        <f>'Main CEA'!W190</f>
        <v>53.2206431</v>
      </c>
      <c r="X48" s="700">
        <f>'Main CEA'!X190</f>
        <v>113.0517922</v>
      </c>
      <c r="Y48" s="700">
        <f>'Main CEA'!Y190</f>
        <v>14.79309222</v>
      </c>
      <c r="Z48" s="700">
        <f>'Main CEA'!Z190</f>
        <v>31.73584159</v>
      </c>
      <c r="AA48" s="700">
        <f>'Main CEA'!AA190</f>
        <v>2.8261961</v>
      </c>
      <c r="AB48" s="700">
        <f>'Main CEA'!AB190</f>
        <v>15.66953144</v>
      </c>
      <c r="AC48" s="700">
        <f>'Main CEA'!AC190</f>
        <v>7.563487406</v>
      </c>
      <c r="AD48" s="700">
        <f>'Main CEA'!AD190</f>
        <v>3.883896987</v>
      </c>
      <c r="AE48" s="700">
        <f>'Main CEA'!AE190</f>
        <v>13.19277146</v>
      </c>
      <c r="AF48" s="700">
        <f>'Main CEA'!AF190</f>
        <v>7.061772716</v>
      </c>
      <c r="AG48" s="700">
        <f>'Main CEA'!AG190</f>
        <v>100.8376702</v>
      </c>
      <c r="AH48" s="700">
        <f>'Main CEA'!AH190</f>
        <v>35.55343014</v>
      </c>
      <c r="AI48" s="700">
        <f>'Main CEA'!AI190</f>
        <v>37.86199922</v>
      </c>
      <c r="AJ48" s="700">
        <f>'Main CEA'!AJ190</f>
        <v>6.417828385</v>
      </c>
      <c r="AK48" s="700">
        <f>'Main CEA'!AK190</f>
        <v>61.45840735</v>
      </c>
      <c r="AL48" s="700">
        <f>'Main CEA'!AL190</f>
        <v>154.1366414</v>
      </c>
      <c r="AM48" s="700">
        <f>'Main CEA'!AM190</f>
        <v>183.1984823</v>
      </c>
      <c r="AN48" s="700">
        <f>'Main CEA'!AN190</f>
        <v>105.4136936</v>
      </c>
      <c r="AO48" s="700">
        <f>'Main CEA'!AO190</f>
        <v>48.21127949</v>
      </c>
      <c r="AP48" s="700">
        <f>'Main CEA'!AP190</f>
        <v>37.71190507</v>
      </c>
      <c r="AQ48" s="700">
        <f>'Main CEA'!AQ190</f>
        <v>8.739767126</v>
      </c>
      <c r="AR48" s="700">
        <f>'Main CEA'!AR190</f>
        <v>28.62760996</v>
      </c>
      <c r="AS48" s="700">
        <f>'Main CEA'!AS190</f>
        <v>35.39630191</v>
      </c>
      <c r="AT48" s="700">
        <f>'Main CEA'!AT190</f>
        <v>16.61426503</v>
      </c>
      <c r="AU48" s="700">
        <f>'Main CEA'!AU190</f>
        <v>139.8173852</v>
      </c>
      <c r="AV48" s="700">
        <f>'Main CEA'!AV190</f>
        <v>233.1375204</v>
      </c>
      <c r="AW48" s="394"/>
    </row>
    <row r="49">
      <c r="A49" s="687"/>
      <c r="B49" s="123"/>
      <c r="C49" s="342"/>
      <c r="D49" s="123"/>
      <c r="E49" s="701" t="str">
        <f>'Main CEA'!D208</f>
        <v>Total supplemental grantee-level adjustment</v>
      </c>
      <c r="F49" s="213" t="str">
        <f>'Main CEA'!F208</f>
        <v>%</v>
      </c>
      <c r="G49" s="239" t="s">
        <v>920</v>
      </c>
      <c r="H49" s="702">
        <f>'Main CEA'!H208</f>
        <v>-0.07</v>
      </c>
      <c r="I49" s="703" t="str">
        <f>'Main CEA'!I208</f>
        <v>-</v>
      </c>
      <c r="J49" s="703" t="str">
        <f>'Main CEA'!J208</f>
        <v>-</v>
      </c>
      <c r="K49" s="703" t="str">
        <f>'Main CEA'!K208</f>
        <v>-</v>
      </c>
      <c r="L49" s="703" t="str">
        <f>'Main CEA'!L208</f>
        <v>-</v>
      </c>
      <c r="M49" s="703" t="str">
        <f>'Main CEA'!M208</f>
        <v>-</v>
      </c>
      <c r="N49" s="703" t="str">
        <f>'Main CEA'!N208</f>
        <v>-</v>
      </c>
      <c r="O49" s="703" t="str">
        <f>'Main CEA'!O208</f>
        <v>-</v>
      </c>
      <c r="P49" s="703" t="str">
        <f>'Main CEA'!P208</f>
        <v>-</v>
      </c>
      <c r="Q49" s="703" t="str">
        <f>'Main CEA'!Q208</f>
        <v>-</v>
      </c>
      <c r="R49" s="703" t="str">
        <f>'Main CEA'!R208</f>
        <v>-</v>
      </c>
      <c r="S49" s="703" t="str">
        <f>'Main CEA'!S208</f>
        <v>-</v>
      </c>
      <c r="T49" s="703" t="str">
        <f>'Main CEA'!T208</f>
        <v>-</v>
      </c>
      <c r="U49" s="703" t="str">
        <f>'Main CEA'!U208</f>
        <v>-</v>
      </c>
      <c r="V49" s="703" t="str">
        <f>'Main CEA'!V208</f>
        <v>-</v>
      </c>
      <c r="W49" s="703" t="str">
        <f>'Main CEA'!W208</f>
        <v>-</v>
      </c>
      <c r="X49" s="703" t="str">
        <f>'Main CEA'!X208</f>
        <v>-</v>
      </c>
      <c r="Y49" s="703" t="str">
        <f>'Main CEA'!Y208</f>
        <v>-</v>
      </c>
      <c r="Z49" s="703" t="str">
        <f>'Main CEA'!Z208</f>
        <v>-</v>
      </c>
      <c r="AA49" s="703" t="str">
        <f>'Main CEA'!AA208</f>
        <v>-</v>
      </c>
      <c r="AB49" s="703" t="str">
        <f>'Main CEA'!AB208</f>
        <v>-</v>
      </c>
      <c r="AC49" s="703" t="str">
        <f>'Main CEA'!AC208</f>
        <v>-</v>
      </c>
      <c r="AD49" s="703" t="str">
        <f>'Main CEA'!AD208</f>
        <v>-</v>
      </c>
      <c r="AE49" s="703" t="str">
        <f>'Main CEA'!AE208</f>
        <v>-</v>
      </c>
      <c r="AF49" s="703" t="str">
        <f>'Main CEA'!AF208</f>
        <v>-</v>
      </c>
      <c r="AG49" s="703" t="str">
        <f>'Main CEA'!AG208</f>
        <v>-</v>
      </c>
      <c r="AH49" s="703" t="str">
        <f>'Main CEA'!AH208</f>
        <v>-</v>
      </c>
      <c r="AI49" s="703" t="str">
        <f>'Main CEA'!AI208</f>
        <v>-</v>
      </c>
      <c r="AJ49" s="703" t="str">
        <f>'Main CEA'!AJ208</f>
        <v>-</v>
      </c>
      <c r="AK49" s="703" t="str">
        <f>'Main CEA'!AK208</f>
        <v>-</v>
      </c>
      <c r="AL49" s="703" t="str">
        <f>'Main CEA'!AL208</f>
        <v>-</v>
      </c>
      <c r="AM49" s="703" t="str">
        <f>'Main CEA'!AM208</f>
        <v>-</v>
      </c>
      <c r="AN49" s="703" t="str">
        <f>'Main CEA'!AN208</f>
        <v>-</v>
      </c>
      <c r="AO49" s="703" t="str">
        <f>'Main CEA'!AO208</f>
        <v>-</v>
      </c>
      <c r="AP49" s="703" t="str">
        <f>'Main CEA'!AP208</f>
        <v>-</v>
      </c>
      <c r="AQ49" s="703" t="str">
        <f>'Main CEA'!AQ208</f>
        <v>-</v>
      </c>
      <c r="AR49" s="703" t="str">
        <f>'Main CEA'!AR208</f>
        <v>-</v>
      </c>
      <c r="AS49" s="703" t="str">
        <f>'Main CEA'!AS208</f>
        <v>-</v>
      </c>
      <c r="AT49" s="703" t="str">
        <f>'Main CEA'!AT208</f>
        <v>-</v>
      </c>
      <c r="AU49" s="703" t="str">
        <f>'Main CEA'!AU208</f>
        <v>-</v>
      </c>
      <c r="AV49" s="703" t="str">
        <f>'Main CEA'!AV208</f>
        <v>-</v>
      </c>
      <c r="AW49" s="396"/>
    </row>
    <row r="50">
      <c r="A50" s="687"/>
      <c r="B50" s="123"/>
      <c r="C50" s="342"/>
      <c r="D50" s="123"/>
      <c r="E50" s="701" t="str">
        <f>'Main CEA'!E253</f>
        <v>Total supplemental intervention-level adjustment affecting lives saved</v>
      </c>
      <c r="F50" s="213" t="str">
        <f>'Main CEA'!F253</f>
        <v>%</v>
      </c>
      <c r="G50" s="239" t="s">
        <v>920</v>
      </c>
      <c r="H50" s="704" t="str">
        <f>'Main CEA'!H253</f>
        <v>-</v>
      </c>
      <c r="I50" s="693">
        <f>'Main CEA'!I253</f>
        <v>0.236</v>
      </c>
      <c r="J50" s="693">
        <f>'Main CEA'!J253</f>
        <v>0.236</v>
      </c>
      <c r="K50" s="693">
        <f>'Main CEA'!K253</f>
        <v>0.236</v>
      </c>
      <c r="L50" s="693">
        <f>'Main CEA'!L253</f>
        <v>0.236</v>
      </c>
      <c r="M50" s="693">
        <f>'Main CEA'!M253</f>
        <v>0.236</v>
      </c>
      <c r="N50" s="693">
        <f>'Main CEA'!N253</f>
        <v>0.236</v>
      </c>
      <c r="O50" s="693">
        <f>'Main CEA'!O253</f>
        <v>0.236</v>
      </c>
      <c r="P50" s="693">
        <f>'Main CEA'!P253</f>
        <v>0.236</v>
      </c>
      <c r="Q50" s="693">
        <f>'Main CEA'!Q253</f>
        <v>0.236</v>
      </c>
      <c r="R50" s="693">
        <f>'Main CEA'!R253</f>
        <v>0.04933333333</v>
      </c>
      <c r="S50" s="693">
        <f>'Main CEA'!S253</f>
        <v>0.04933333333</v>
      </c>
      <c r="T50" s="693">
        <f>'Main CEA'!T253</f>
        <v>0.04933333333</v>
      </c>
      <c r="U50" s="693">
        <f>'Main CEA'!U253</f>
        <v>0.04933333333</v>
      </c>
      <c r="V50" s="693">
        <f>'Main CEA'!V253</f>
        <v>0.04933333333</v>
      </c>
      <c r="W50" s="693">
        <f>'Main CEA'!W253</f>
        <v>0.04933333333</v>
      </c>
      <c r="X50" s="693">
        <f>'Main CEA'!X253</f>
        <v>0.04933333333</v>
      </c>
      <c r="Y50" s="693">
        <f>'Main CEA'!Y253</f>
        <v>0.04933333333</v>
      </c>
      <c r="Z50" s="693">
        <f>'Main CEA'!Z253</f>
        <v>0.04933333333</v>
      </c>
      <c r="AA50" s="693">
        <f>'Main CEA'!AA253</f>
        <v>0.04933333333</v>
      </c>
      <c r="AB50" s="693">
        <f>'Main CEA'!AB253</f>
        <v>0.04933333333</v>
      </c>
      <c r="AC50" s="693">
        <f>'Main CEA'!AC253</f>
        <v>0.04933333333</v>
      </c>
      <c r="AD50" s="693">
        <f>'Main CEA'!AD253</f>
        <v>0.04933333333</v>
      </c>
      <c r="AE50" s="693">
        <f>'Main CEA'!AE253</f>
        <v>0.04933333333</v>
      </c>
      <c r="AF50" s="693">
        <f>'Main CEA'!AF253</f>
        <v>0.04933333333</v>
      </c>
      <c r="AG50" s="693">
        <f>'Main CEA'!AG253</f>
        <v>0.04933333333</v>
      </c>
      <c r="AH50" s="693">
        <f>'Main CEA'!AH253</f>
        <v>0.04933333333</v>
      </c>
      <c r="AI50" s="693">
        <f>'Main CEA'!AI253</f>
        <v>0.04933333333</v>
      </c>
      <c r="AJ50" s="693">
        <f>'Main CEA'!AJ253</f>
        <v>0.04933333333</v>
      </c>
      <c r="AK50" s="693">
        <f>'Main CEA'!AK253</f>
        <v>0.04933333333</v>
      </c>
      <c r="AL50" s="693">
        <f>'Main CEA'!AL253</f>
        <v>0.086</v>
      </c>
      <c r="AM50" s="693">
        <f>'Main CEA'!AM253</f>
        <v>0.126</v>
      </c>
      <c r="AN50" s="693">
        <f>'Main CEA'!AN253</f>
        <v>0.086</v>
      </c>
      <c r="AO50" s="693">
        <f>'Main CEA'!AO253</f>
        <v>0.04933333333</v>
      </c>
      <c r="AP50" s="693">
        <f>'Main CEA'!AP253</f>
        <v>0.04933333333</v>
      </c>
      <c r="AQ50" s="693">
        <f>'Main CEA'!AQ253</f>
        <v>0.04933333333</v>
      </c>
      <c r="AR50" s="693">
        <f>'Main CEA'!AR253</f>
        <v>0.04933333333</v>
      </c>
      <c r="AS50" s="693">
        <f>'Main CEA'!AS253</f>
        <v>0.04933333333</v>
      </c>
      <c r="AT50" s="693">
        <f>'Main CEA'!AT253</f>
        <v>0.04933333333</v>
      </c>
      <c r="AU50" s="693">
        <f>'Main CEA'!AU253</f>
        <v>-0.064</v>
      </c>
      <c r="AV50" s="693">
        <f>'Main CEA'!AV253</f>
        <v>0.126</v>
      </c>
      <c r="AW50" s="396"/>
    </row>
    <row r="51">
      <c r="A51" s="687"/>
      <c r="B51" s="123"/>
      <c r="C51" s="342"/>
      <c r="D51" s="123"/>
      <c r="E51" s="272" t="s">
        <v>940</v>
      </c>
      <c r="F51" s="200" t="s">
        <v>62</v>
      </c>
      <c r="G51" s="273" t="s">
        <v>161</v>
      </c>
      <c r="H51" s="695" t="s">
        <v>162</v>
      </c>
      <c r="I51" s="705">
        <f t="shared" ref="I51:AV51" si="11">I48*(1+$H49)*(1+I50)</f>
        <v>432.0355587</v>
      </c>
      <c r="J51" s="705">
        <f t="shared" si="11"/>
        <v>207.0286408</v>
      </c>
      <c r="K51" s="705">
        <f t="shared" si="11"/>
        <v>381.8147561</v>
      </c>
      <c r="L51" s="705">
        <f t="shared" si="11"/>
        <v>187.4179574</v>
      </c>
      <c r="M51" s="705">
        <f t="shared" si="11"/>
        <v>264.8983911</v>
      </c>
      <c r="N51" s="705">
        <f t="shared" si="11"/>
        <v>363.9183523</v>
      </c>
      <c r="O51" s="705">
        <f t="shared" si="11"/>
        <v>641.3221413</v>
      </c>
      <c r="P51" s="705">
        <f t="shared" si="11"/>
        <v>846.0707286</v>
      </c>
      <c r="Q51" s="705">
        <f t="shared" si="11"/>
        <v>671.933196</v>
      </c>
      <c r="R51" s="705">
        <f t="shared" si="11"/>
        <v>19.66755604</v>
      </c>
      <c r="S51" s="705">
        <f t="shared" si="11"/>
        <v>67.83584978</v>
      </c>
      <c r="T51" s="705">
        <f t="shared" si="11"/>
        <v>19.80184742</v>
      </c>
      <c r="U51" s="705">
        <f t="shared" si="11"/>
        <v>24.69824223</v>
      </c>
      <c r="V51" s="705">
        <f t="shared" si="11"/>
        <v>44.2884871</v>
      </c>
      <c r="W51" s="705">
        <f t="shared" si="11"/>
        <v>51.93696119</v>
      </c>
      <c r="X51" s="705">
        <f t="shared" si="11"/>
        <v>110.324983</v>
      </c>
      <c r="Y51" s="705">
        <f t="shared" si="11"/>
        <v>14.43628284</v>
      </c>
      <c r="Z51" s="705">
        <f t="shared" si="11"/>
        <v>30.97037309</v>
      </c>
      <c r="AA51" s="705">
        <f t="shared" si="11"/>
        <v>2.75802825</v>
      </c>
      <c r="AB51" s="705">
        <f t="shared" si="11"/>
        <v>15.29158234</v>
      </c>
      <c r="AC51" s="705">
        <f t="shared" si="11"/>
        <v>7.38105609</v>
      </c>
      <c r="AD51" s="705">
        <f t="shared" si="11"/>
        <v>3.790217392</v>
      </c>
      <c r="AE51" s="705">
        <f t="shared" si="11"/>
        <v>12.87456181</v>
      </c>
      <c r="AF51" s="705">
        <f t="shared" si="11"/>
        <v>6.891442758</v>
      </c>
      <c r="AG51" s="705">
        <f t="shared" si="11"/>
        <v>98.40546563</v>
      </c>
      <c r="AH51" s="705">
        <f t="shared" si="11"/>
        <v>34.6958814</v>
      </c>
      <c r="AI51" s="705">
        <f t="shared" si="11"/>
        <v>36.9487678</v>
      </c>
      <c r="AJ51" s="705">
        <f t="shared" si="11"/>
        <v>6.263030364</v>
      </c>
      <c r="AK51" s="705">
        <f t="shared" si="11"/>
        <v>59.97603057</v>
      </c>
      <c r="AL51" s="705">
        <f t="shared" si="11"/>
        <v>155.6749251</v>
      </c>
      <c r="AM51" s="705">
        <f t="shared" si="11"/>
        <v>191.8417867</v>
      </c>
      <c r="AN51" s="705">
        <f t="shared" si="11"/>
        <v>106.4657223</v>
      </c>
      <c r="AO51" s="705">
        <f t="shared" si="11"/>
        <v>47.04842343</v>
      </c>
      <c r="AP51" s="705">
        <f t="shared" si="11"/>
        <v>36.80229392</v>
      </c>
      <c r="AQ51" s="705">
        <f t="shared" si="11"/>
        <v>8.528963943</v>
      </c>
      <c r="AR51" s="705">
        <f t="shared" si="11"/>
        <v>27.93711201</v>
      </c>
      <c r="AS51" s="705">
        <f t="shared" si="11"/>
        <v>34.54254311</v>
      </c>
      <c r="AT51" s="705">
        <f t="shared" si="11"/>
        <v>16.21352896</v>
      </c>
      <c r="AU51" s="705">
        <f t="shared" si="11"/>
        <v>121.7082375</v>
      </c>
      <c r="AV51" s="705">
        <f t="shared" si="11"/>
        <v>244.1369486</v>
      </c>
      <c r="AW51" s="697"/>
    </row>
    <row r="52">
      <c r="A52" s="687"/>
      <c r="B52" s="123"/>
      <c r="C52" s="342"/>
      <c r="D52" s="123"/>
      <c r="E52" s="661"/>
      <c r="F52" s="141"/>
      <c r="G52" s="126"/>
      <c r="H52" s="688"/>
      <c r="I52" s="689"/>
      <c r="J52" s="689"/>
      <c r="K52" s="689"/>
      <c r="L52" s="689"/>
      <c r="M52" s="689"/>
      <c r="N52" s="689"/>
      <c r="O52" s="689"/>
      <c r="P52" s="689"/>
      <c r="Q52" s="689"/>
      <c r="R52" s="689"/>
      <c r="S52" s="689"/>
      <c r="T52" s="689"/>
      <c r="U52" s="689"/>
      <c r="V52" s="689"/>
      <c r="W52" s="689"/>
      <c r="X52" s="689"/>
      <c r="Y52" s="689"/>
      <c r="Z52" s="689"/>
      <c r="AA52" s="689"/>
      <c r="AB52" s="689"/>
      <c r="AC52" s="689"/>
      <c r="AD52" s="689"/>
      <c r="AE52" s="689"/>
      <c r="AF52" s="689"/>
      <c r="AG52" s="689"/>
      <c r="AH52" s="689"/>
      <c r="AI52" s="689"/>
      <c r="AJ52" s="689"/>
      <c r="AK52" s="689"/>
      <c r="AL52" s="689"/>
      <c r="AM52" s="689"/>
      <c r="AN52" s="689"/>
      <c r="AO52" s="689"/>
      <c r="AP52" s="689"/>
      <c r="AQ52" s="689"/>
      <c r="AR52" s="689"/>
      <c r="AS52" s="689"/>
      <c r="AT52" s="689"/>
      <c r="AU52" s="689"/>
      <c r="AV52" s="689"/>
      <c r="AW52" s="126"/>
    </row>
    <row r="53">
      <c r="A53" s="687"/>
      <c r="B53" s="123"/>
      <c r="C53" s="342" t="s">
        <v>941</v>
      </c>
      <c r="F53" s="141"/>
      <c r="G53" s="126"/>
      <c r="H53" s="688"/>
      <c r="I53" s="689"/>
      <c r="J53" s="689"/>
      <c r="K53" s="689"/>
      <c r="L53" s="689"/>
      <c r="M53" s="689"/>
      <c r="N53" s="689"/>
      <c r="O53" s="689"/>
      <c r="P53" s="689"/>
      <c r="Q53" s="689"/>
      <c r="R53" s="689"/>
      <c r="S53" s="689"/>
      <c r="T53" s="689"/>
      <c r="U53" s="689"/>
      <c r="V53" s="689"/>
      <c r="W53" s="689"/>
      <c r="X53" s="689"/>
      <c r="Y53" s="689"/>
      <c r="Z53" s="689"/>
      <c r="AA53" s="689"/>
      <c r="AB53" s="689"/>
      <c r="AC53" s="689"/>
      <c r="AD53" s="689"/>
      <c r="AE53" s="689"/>
      <c r="AF53" s="689"/>
      <c r="AG53" s="689"/>
      <c r="AH53" s="689"/>
      <c r="AI53" s="689"/>
      <c r="AJ53" s="689"/>
      <c r="AK53" s="689"/>
      <c r="AL53" s="689"/>
      <c r="AM53" s="689"/>
      <c r="AN53" s="689"/>
      <c r="AO53" s="689"/>
      <c r="AP53" s="689"/>
      <c r="AQ53" s="689"/>
      <c r="AR53" s="689"/>
      <c r="AS53" s="689"/>
      <c r="AT53" s="689"/>
      <c r="AU53" s="689"/>
      <c r="AV53" s="689"/>
      <c r="AW53" s="126"/>
    </row>
    <row r="54">
      <c r="A54" s="687"/>
      <c r="B54" s="123"/>
      <c r="C54" s="123"/>
      <c r="D54" s="123"/>
      <c r="E54" s="254" t="s">
        <v>942</v>
      </c>
      <c r="F54" s="193" t="s">
        <v>76</v>
      </c>
      <c r="G54" s="235" t="s">
        <v>165</v>
      </c>
      <c r="H54" s="706">
        <f>Inputs!H329</f>
        <v>0.005057</v>
      </c>
      <c r="I54" s="707" t="str">
        <f>Inputs!I329</f>
        <v>-</v>
      </c>
      <c r="J54" s="707" t="str">
        <f>Inputs!J329</f>
        <v>-</v>
      </c>
      <c r="K54" s="707" t="str">
        <f>Inputs!K329</f>
        <v>-</v>
      </c>
      <c r="L54" s="707" t="str">
        <f>Inputs!L329</f>
        <v>-</v>
      </c>
      <c r="M54" s="707" t="str">
        <f>Inputs!M329</f>
        <v>-</v>
      </c>
      <c r="N54" s="707" t="str">
        <f>Inputs!N329</f>
        <v>-</v>
      </c>
      <c r="O54" s="707" t="str">
        <f>Inputs!O329</f>
        <v>-</v>
      </c>
      <c r="P54" s="707" t="str">
        <f>Inputs!P329</f>
        <v>-</v>
      </c>
      <c r="Q54" s="707" t="str">
        <f>Inputs!Q329</f>
        <v>-</v>
      </c>
      <c r="R54" s="707" t="str">
        <f>Inputs!R329</f>
        <v>-</v>
      </c>
      <c r="S54" s="707" t="str">
        <f>Inputs!S329</f>
        <v>-</v>
      </c>
      <c r="T54" s="707" t="str">
        <f>Inputs!T329</f>
        <v>-</v>
      </c>
      <c r="U54" s="707" t="str">
        <f>Inputs!U329</f>
        <v>-</v>
      </c>
      <c r="V54" s="707" t="str">
        <f>Inputs!V329</f>
        <v>-</v>
      </c>
      <c r="W54" s="707" t="str">
        <f>Inputs!W329</f>
        <v>-</v>
      </c>
      <c r="X54" s="707" t="str">
        <f>Inputs!X329</f>
        <v>-</v>
      </c>
      <c r="Y54" s="707" t="str">
        <f>Inputs!Y329</f>
        <v>-</v>
      </c>
      <c r="Z54" s="707" t="str">
        <f>Inputs!Z329</f>
        <v>-</v>
      </c>
      <c r="AA54" s="707" t="str">
        <f>Inputs!AA329</f>
        <v>-</v>
      </c>
      <c r="AB54" s="707" t="str">
        <f>Inputs!AB329</f>
        <v>-</v>
      </c>
      <c r="AC54" s="707" t="str">
        <f>Inputs!AC329</f>
        <v>-</v>
      </c>
      <c r="AD54" s="707" t="str">
        <f>Inputs!AD329</f>
        <v>-</v>
      </c>
      <c r="AE54" s="707" t="str">
        <f>Inputs!AE329</f>
        <v>-</v>
      </c>
      <c r="AF54" s="707" t="str">
        <f>Inputs!AF329</f>
        <v>-</v>
      </c>
      <c r="AG54" s="707" t="str">
        <f>Inputs!AG329</f>
        <v>-</v>
      </c>
      <c r="AH54" s="707" t="str">
        <f>Inputs!AH329</f>
        <v>-</v>
      </c>
      <c r="AI54" s="707" t="str">
        <f>Inputs!AI329</f>
        <v>-</v>
      </c>
      <c r="AJ54" s="707" t="str">
        <f>Inputs!AJ329</f>
        <v>-</v>
      </c>
      <c r="AK54" s="707" t="str">
        <f>Inputs!AK329</f>
        <v>-</v>
      </c>
      <c r="AL54" s="707" t="str">
        <f>Inputs!AL329</f>
        <v>-</v>
      </c>
      <c r="AM54" s="707" t="str">
        <f>Inputs!AM329</f>
        <v>-</v>
      </c>
      <c r="AN54" s="707" t="str">
        <f>Inputs!AN329</f>
        <v>-</v>
      </c>
      <c r="AO54" s="707" t="str">
        <f>Inputs!AO329</f>
        <v>-</v>
      </c>
      <c r="AP54" s="707" t="str">
        <f>Inputs!AP329</f>
        <v>-</v>
      </c>
      <c r="AQ54" s="707" t="str">
        <f>Inputs!AQ329</f>
        <v>-</v>
      </c>
      <c r="AR54" s="707" t="str">
        <f>Inputs!AR329</f>
        <v>-</v>
      </c>
      <c r="AS54" s="707" t="str">
        <f>Inputs!AS329</f>
        <v>-</v>
      </c>
      <c r="AT54" s="707" t="str">
        <f>Inputs!AT329</f>
        <v>-</v>
      </c>
      <c r="AU54" s="707" t="str">
        <f>Inputs!AU329</f>
        <v>-</v>
      </c>
      <c r="AV54" s="707" t="str">
        <f>Inputs!AV329</f>
        <v>-</v>
      </c>
      <c r="AW54" s="394"/>
    </row>
    <row r="55">
      <c r="A55" s="687"/>
      <c r="B55" s="123"/>
      <c r="C55" s="123"/>
      <c r="D55" s="123"/>
      <c r="E55" s="490" t="s">
        <v>943</v>
      </c>
      <c r="F55" s="134" t="s">
        <v>76</v>
      </c>
      <c r="G55" s="145" t="s">
        <v>165</v>
      </c>
      <c r="H55" s="708">
        <f>Inputs!H330</f>
        <v>0.007</v>
      </c>
      <c r="I55" s="709" t="str">
        <f>Inputs!I330</f>
        <v>-</v>
      </c>
      <c r="J55" s="709" t="str">
        <f>Inputs!J330</f>
        <v>-</v>
      </c>
      <c r="K55" s="709" t="str">
        <f>Inputs!K330</f>
        <v>-</v>
      </c>
      <c r="L55" s="709" t="str">
        <f>Inputs!L330</f>
        <v>-</v>
      </c>
      <c r="M55" s="709" t="str">
        <f>Inputs!M330</f>
        <v>-</v>
      </c>
      <c r="N55" s="709" t="str">
        <f>Inputs!N330</f>
        <v>-</v>
      </c>
      <c r="O55" s="709" t="str">
        <f>Inputs!O330</f>
        <v>-</v>
      </c>
      <c r="P55" s="709" t="str">
        <f>Inputs!P330</f>
        <v>-</v>
      </c>
      <c r="Q55" s="709" t="str">
        <f>Inputs!Q330</f>
        <v>-</v>
      </c>
      <c r="R55" s="709" t="str">
        <f>Inputs!R330</f>
        <v>-</v>
      </c>
      <c r="S55" s="709" t="str">
        <f>Inputs!S330</f>
        <v>-</v>
      </c>
      <c r="T55" s="709" t="str">
        <f>Inputs!T330</f>
        <v>-</v>
      </c>
      <c r="U55" s="709" t="str">
        <f>Inputs!U330</f>
        <v>-</v>
      </c>
      <c r="V55" s="709" t="str">
        <f>Inputs!V330</f>
        <v>-</v>
      </c>
      <c r="W55" s="709" t="str">
        <f>Inputs!W330</f>
        <v>-</v>
      </c>
      <c r="X55" s="709" t="str">
        <f>Inputs!X330</f>
        <v>-</v>
      </c>
      <c r="Y55" s="709" t="str">
        <f>Inputs!Y330</f>
        <v>-</v>
      </c>
      <c r="Z55" s="709" t="str">
        <f>Inputs!Z330</f>
        <v>-</v>
      </c>
      <c r="AA55" s="709" t="str">
        <f>Inputs!AA330</f>
        <v>-</v>
      </c>
      <c r="AB55" s="709" t="str">
        <f>Inputs!AB330</f>
        <v>-</v>
      </c>
      <c r="AC55" s="709" t="str">
        <f>Inputs!AC330</f>
        <v>-</v>
      </c>
      <c r="AD55" s="709" t="str">
        <f>Inputs!AD330</f>
        <v>-</v>
      </c>
      <c r="AE55" s="709" t="str">
        <f>Inputs!AE330</f>
        <v>-</v>
      </c>
      <c r="AF55" s="709" t="str">
        <f>Inputs!AF330</f>
        <v>-</v>
      </c>
      <c r="AG55" s="709" t="str">
        <f>Inputs!AG330</f>
        <v>-</v>
      </c>
      <c r="AH55" s="709" t="str">
        <f>Inputs!AH330</f>
        <v>-</v>
      </c>
      <c r="AI55" s="709" t="str">
        <f>Inputs!AI330</f>
        <v>-</v>
      </c>
      <c r="AJ55" s="709" t="str">
        <f>Inputs!AJ330</f>
        <v>-</v>
      </c>
      <c r="AK55" s="709" t="str">
        <f>Inputs!AK330</f>
        <v>-</v>
      </c>
      <c r="AL55" s="709" t="str">
        <f>Inputs!AL330</f>
        <v>-</v>
      </c>
      <c r="AM55" s="709" t="str">
        <f>Inputs!AM330</f>
        <v>-</v>
      </c>
      <c r="AN55" s="709" t="str">
        <f>Inputs!AN330</f>
        <v>-</v>
      </c>
      <c r="AO55" s="709" t="str">
        <f>Inputs!AO330</f>
        <v>-</v>
      </c>
      <c r="AP55" s="709" t="str">
        <f>Inputs!AP330</f>
        <v>-</v>
      </c>
      <c r="AQ55" s="709" t="str">
        <f>Inputs!AQ330</f>
        <v>-</v>
      </c>
      <c r="AR55" s="709" t="str">
        <f>Inputs!AR330</f>
        <v>-</v>
      </c>
      <c r="AS55" s="709" t="str">
        <f>Inputs!AS330</f>
        <v>-</v>
      </c>
      <c r="AT55" s="709" t="str">
        <f>Inputs!AT330</f>
        <v>-</v>
      </c>
      <c r="AU55" s="709" t="str">
        <f>Inputs!AU330</f>
        <v>-</v>
      </c>
      <c r="AV55" s="709" t="str">
        <f>Inputs!AV330</f>
        <v>-</v>
      </c>
      <c r="AW55" s="436"/>
    </row>
    <row r="56">
      <c r="A56" s="687"/>
      <c r="B56" s="123"/>
      <c r="C56" s="123"/>
      <c r="D56" s="123"/>
      <c r="E56" s="661"/>
      <c r="F56" s="125"/>
      <c r="G56" s="126"/>
      <c r="H56" s="688"/>
      <c r="I56" s="689"/>
      <c r="J56" s="689"/>
      <c r="K56" s="689"/>
      <c r="L56" s="689"/>
      <c r="M56" s="689"/>
      <c r="N56" s="689"/>
      <c r="O56" s="689"/>
      <c r="P56" s="689"/>
      <c r="Q56" s="689"/>
      <c r="R56" s="689"/>
      <c r="S56" s="689"/>
      <c r="T56" s="689"/>
      <c r="U56" s="689"/>
      <c r="V56" s="689"/>
      <c r="W56" s="689"/>
      <c r="X56" s="689"/>
      <c r="Y56" s="689"/>
      <c r="Z56" s="689"/>
      <c r="AA56" s="689"/>
      <c r="AB56" s="689"/>
      <c r="AC56" s="689"/>
      <c r="AD56" s="689"/>
      <c r="AE56" s="689"/>
      <c r="AF56" s="689"/>
      <c r="AG56" s="689"/>
      <c r="AH56" s="689"/>
      <c r="AI56" s="689"/>
      <c r="AJ56" s="689"/>
      <c r="AK56" s="689"/>
      <c r="AL56" s="689"/>
      <c r="AM56" s="689"/>
      <c r="AN56" s="689"/>
      <c r="AO56" s="689"/>
      <c r="AP56" s="689"/>
      <c r="AQ56" s="689"/>
      <c r="AR56" s="689"/>
      <c r="AS56" s="689"/>
      <c r="AT56" s="689"/>
      <c r="AU56" s="689"/>
      <c r="AV56" s="689"/>
      <c r="AW56" s="126"/>
    </row>
    <row r="57">
      <c r="A57" s="117" t="s">
        <v>944</v>
      </c>
      <c r="B57" s="7"/>
      <c r="C57" s="7"/>
      <c r="D57" s="7"/>
      <c r="E57" s="7"/>
      <c r="F57" s="7"/>
      <c r="G57" s="659"/>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686"/>
    </row>
    <row r="58">
      <c r="A58" s="710"/>
      <c r="B58" s="711"/>
      <c r="C58" s="712"/>
      <c r="D58" s="712"/>
      <c r="E58" s="269"/>
      <c r="F58" s="713"/>
      <c r="G58" s="714"/>
      <c r="H58" s="715"/>
      <c r="I58" s="716"/>
      <c r="J58" s="716"/>
      <c r="K58" s="716"/>
      <c r="L58" s="716"/>
      <c r="M58" s="716"/>
      <c r="N58" s="716"/>
      <c r="O58" s="716"/>
      <c r="P58" s="716"/>
      <c r="Q58" s="716"/>
      <c r="R58" s="716"/>
      <c r="S58" s="716"/>
      <c r="T58" s="716"/>
      <c r="U58" s="716"/>
      <c r="V58" s="716"/>
      <c r="W58" s="716"/>
      <c r="X58" s="716"/>
      <c r="Y58" s="716"/>
      <c r="Z58" s="716"/>
      <c r="AA58" s="716"/>
      <c r="AB58" s="716"/>
      <c r="AC58" s="716"/>
      <c r="AD58" s="716"/>
      <c r="AE58" s="716"/>
      <c r="AF58" s="716"/>
      <c r="AG58" s="716"/>
      <c r="AH58" s="716"/>
      <c r="AI58" s="716"/>
      <c r="AJ58" s="716"/>
      <c r="AK58" s="716"/>
      <c r="AL58" s="716"/>
      <c r="AM58" s="716"/>
      <c r="AN58" s="716"/>
      <c r="AO58" s="716"/>
      <c r="AP58" s="716"/>
      <c r="AQ58" s="716"/>
      <c r="AR58" s="716"/>
      <c r="AS58" s="716"/>
      <c r="AT58" s="716"/>
      <c r="AU58" s="716"/>
      <c r="AV58" s="716"/>
      <c r="AW58" s="717"/>
    </row>
    <row r="59">
      <c r="A59" s="710"/>
      <c r="B59" s="711"/>
      <c r="C59" s="342" t="s">
        <v>945</v>
      </c>
      <c r="F59" s="713"/>
      <c r="G59" s="714"/>
      <c r="H59" s="715"/>
      <c r="I59" s="716"/>
      <c r="J59" s="716"/>
      <c r="K59" s="716"/>
      <c r="L59" s="716"/>
      <c r="M59" s="716"/>
      <c r="N59" s="716"/>
      <c r="O59" s="716"/>
      <c r="P59" s="716"/>
      <c r="Q59" s="716"/>
      <c r="R59" s="716"/>
      <c r="S59" s="716"/>
      <c r="T59" s="716"/>
      <c r="U59" s="716"/>
      <c r="V59" s="716"/>
      <c r="W59" s="716"/>
      <c r="X59" s="716"/>
      <c r="Y59" s="716"/>
      <c r="Z59" s="716"/>
      <c r="AA59" s="716"/>
      <c r="AB59" s="716"/>
      <c r="AC59" s="716"/>
      <c r="AD59" s="716"/>
      <c r="AE59" s="716"/>
      <c r="AF59" s="716"/>
      <c r="AG59" s="716"/>
      <c r="AH59" s="716"/>
      <c r="AI59" s="716"/>
      <c r="AJ59" s="716"/>
      <c r="AK59" s="716"/>
      <c r="AL59" s="716"/>
      <c r="AM59" s="716"/>
      <c r="AN59" s="716"/>
      <c r="AO59" s="716"/>
      <c r="AP59" s="716"/>
      <c r="AQ59" s="716"/>
      <c r="AR59" s="716"/>
      <c r="AS59" s="716"/>
      <c r="AT59" s="716"/>
      <c r="AU59" s="716"/>
      <c r="AV59" s="716"/>
      <c r="AW59" s="717"/>
    </row>
    <row r="60">
      <c r="A60" s="710"/>
      <c r="B60" s="711"/>
      <c r="C60" s="712"/>
      <c r="D60" s="718" t="s">
        <v>946</v>
      </c>
      <c r="E60" s="42"/>
      <c r="F60" s="451"/>
      <c r="G60" s="719"/>
      <c r="H60" s="236"/>
      <c r="I60" s="371"/>
      <c r="J60" s="371"/>
      <c r="K60" s="371"/>
      <c r="L60" s="371"/>
      <c r="M60" s="371"/>
      <c r="N60" s="371"/>
      <c r="O60" s="371"/>
      <c r="P60" s="371"/>
      <c r="Q60" s="371"/>
      <c r="R60" s="371"/>
      <c r="S60" s="371"/>
      <c r="T60" s="371"/>
      <c r="U60" s="371"/>
      <c r="V60" s="371"/>
      <c r="W60" s="371"/>
      <c r="X60" s="371"/>
      <c r="Y60" s="371"/>
      <c r="Z60" s="371"/>
      <c r="AA60" s="371"/>
      <c r="AB60" s="371"/>
      <c r="AC60" s="371"/>
      <c r="AD60" s="371"/>
      <c r="AE60" s="371"/>
      <c r="AF60" s="371"/>
      <c r="AG60" s="371"/>
      <c r="AH60" s="371"/>
      <c r="AI60" s="371"/>
      <c r="AJ60" s="371"/>
      <c r="AK60" s="371"/>
      <c r="AL60" s="371"/>
      <c r="AM60" s="371"/>
      <c r="AN60" s="371"/>
      <c r="AO60" s="371"/>
      <c r="AP60" s="371"/>
      <c r="AQ60" s="371"/>
      <c r="AR60" s="371"/>
      <c r="AS60" s="371"/>
      <c r="AT60" s="371"/>
      <c r="AU60" s="371"/>
      <c r="AV60" s="371"/>
      <c r="AW60" s="720"/>
    </row>
    <row r="61">
      <c r="A61" s="710"/>
      <c r="B61" s="711"/>
      <c r="C61" s="712"/>
      <c r="D61" s="712"/>
      <c r="E61" s="254" t="s">
        <v>947</v>
      </c>
      <c r="F61" s="451" t="s">
        <v>68</v>
      </c>
      <c r="G61" s="719" t="s">
        <v>161</v>
      </c>
      <c r="H61" s="236" t="s">
        <v>162</v>
      </c>
      <c r="I61" s="371">
        <f t="shared" ref="I61:AV61" si="12">I21</f>
        <v>1000000</v>
      </c>
      <c r="J61" s="371">
        <f t="shared" si="12"/>
        <v>1000000</v>
      </c>
      <c r="K61" s="371">
        <f t="shared" si="12"/>
        <v>1000000</v>
      </c>
      <c r="L61" s="371">
        <f t="shared" si="12"/>
        <v>1000000</v>
      </c>
      <c r="M61" s="371">
        <f t="shared" si="12"/>
        <v>1000000</v>
      </c>
      <c r="N61" s="371">
        <f t="shared" si="12"/>
        <v>1000000</v>
      </c>
      <c r="O61" s="371">
        <f t="shared" si="12"/>
        <v>1000000</v>
      </c>
      <c r="P61" s="371">
        <f t="shared" si="12"/>
        <v>1000000</v>
      </c>
      <c r="Q61" s="371">
        <f t="shared" si="12"/>
        <v>1000000</v>
      </c>
      <c r="R61" s="371">
        <f t="shared" si="12"/>
        <v>1000000</v>
      </c>
      <c r="S61" s="371">
        <f t="shared" si="12"/>
        <v>1000000</v>
      </c>
      <c r="T61" s="371">
        <f t="shared" si="12"/>
        <v>1000000</v>
      </c>
      <c r="U61" s="371">
        <f t="shared" si="12"/>
        <v>1000000</v>
      </c>
      <c r="V61" s="371">
        <f t="shared" si="12"/>
        <v>1000000</v>
      </c>
      <c r="W61" s="371">
        <f t="shared" si="12"/>
        <v>1000000</v>
      </c>
      <c r="X61" s="371">
        <f t="shared" si="12"/>
        <v>1000000</v>
      </c>
      <c r="Y61" s="371">
        <f t="shared" si="12"/>
        <v>1000000</v>
      </c>
      <c r="Z61" s="371">
        <f t="shared" si="12"/>
        <v>1000000</v>
      </c>
      <c r="AA61" s="371">
        <f t="shared" si="12"/>
        <v>1000000</v>
      </c>
      <c r="AB61" s="371">
        <f t="shared" si="12"/>
        <v>1000000</v>
      </c>
      <c r="AC61" s="371">
        <f t="shared" si="12"/>
        <v>1000000</v>
      </c>
      <c r="AD61" s="371">
        <f t="shared" si="12"/>
        <v>1000000</v>
      </c>
      <c r="AE61" s="371">
        <f t="shared" si="12"/>
        <v>1000000</v>
      </c>
      <c r="AF61" s="371">
        <f t="shared" si="12"/>
        <v>1000000</v>
      </c>
      <c r="AG61" s="371">
        <f t="shared" si="12"/>
        <v>1000000</v>
      </c>
      <c r="AH61" s="371">
        <f t="shared" si="12"/>
        <v>1000000</v>
      </c>
      <c r="AI61" s="371">
        <f t="shared" si="12"/>
        <v>1000000</v>
      </c>
      <c r="AJ61" s="371">
        <f t="shared" si="12"/>
        <v>1000000</v>
      </c>
      <c r="AK61" s="371">
        <f t="shared" si="12"/>
        <v>1000000</v>
      </c>
      <c r="AL61" s="371">
        <f t="shared" si="12"/>
        <v>1000000</v>
      </c>
      <c r="AM61" s="371">
        <f t="shared" si="12"/>
        <v>1000000</v>
      </c>
      <c r="AN61" s="371">
        <f t="shared" si="12"/>
        <v>1000000</v>
      </c>
      <c r="AO61" s="371">
        <f t="shared" si="12"/>
        <v>1000000</v>
      </c>
      <c r="AP61" s="371">
        <f t="shared" si="12"/>
        <v>1000000</v>
      </c>
      <c r="AQ61" s="371">
        <f t="shared" si="12"/>
        <v>1000000</v>
      </c>
      <c r="AR61" s="371">
        <f t="shared" si="12"/>
        <v>1000000</v>
      </c>
      <c r="AS61" s="371">
        <f t="shared" si="12"/>
        <v>1000000</v>
      </c>
      <c r="AT61" s="371">
        <f t="shared" si="12"/>
        <v>1000000</v>
      </c>
      <c r="AU61" s="371">
        <f t="shared" si="12"/>
        <v>1000000</v>
      </c>
      <c r="AV61" s="371">
        <f t="shared" si="12"/>
        <v>1000000</v>
      </c>
      <c r="AW61" s="720"/>
    </row>
    <row r="62">
      <c r="A62" s="710"/>
      <c r="B62" s="711"/>
      <c r="C62" s="712"/>
      <c r="D62" s="712"/>
      <c r="E62" s="257" t="s">
        <v>948</v>
      </c>
      <c r="F62" s="454" t="s">
        <v>76</v>
      </c>
      <c r="G62" s="721" t="s">
        <v>161</v>
      </c>
      <c r="H62" s="240" t="s">
        <v>162</v>
      </c>
      <c r="I62" s="361">
        <f t="shared" ref="I62:AV62" si="13">I61*I45</f>
        <v>77386.78202</v>
      </c>
      <c r="J62" s="361">
        <f t="shared" si="13"/>
        <v>38977.48981</v>
      </c>
      <c r="K62" s="361">
        <f t="shared" si="13"/>
        <v>69614.06206</v>
      </c>
      <c r="L62" s="361">
        <f t="shared" si="13"/>
        <v>35984.97044</v>
      </c>
      <c r="M62" s="361">
        <f t="shared" si="13"/>
        <v>49547.92614</v>
      </c>
      <c r="N62" s="361">
        <f t="shared" si="13"/>
        <v>65524.42274</v>
      </c>
      <c r="O62" s="361">
        <f t="shared" si="13"/>
        <v>112636.4351</v>
      </c>
      <c r="P62" s="361">
        <f t="shared" si="13"/>
        <v>148656.3193</v>
      </c>
      <c r="Q62" s="361">
        <f t="shared" si="13"/>
        <v>119579.5036</v>
      </c>
      <c r="R62" s="361">
        <f t="shared" si="13"/>
        <v>6446.019132</v>
      </c>
      <c r="S62" s="361">
        <f t="shared" si="13"/>
        <v>15081.78617</v>
      </c>
      <c r="T62" s="361">
        <f t="shared" si="13"/>
        <v>6333.752249</v>
      </c>
      <c r="U62" s="361">
        <f t="shared" si="13"/>
        <v>7218.042052</v>
      </c>
      <c r="V62" s="361">
        <f t="shared" si="13"/>
        <v>10635.48538</v>
      </c>
      <c r="W62" s="361">
        <f t="shared" si="13"/>
        <v>11870.0969</v>
      </c>
      <c r="X62" s="361">
        <f t="shared" si="13"/>
        <v>21523.02338</v>
      </c>
      <c r="Y62" s="361">
        <f t="shared" si="13"/>
        <v>5399.820998</v>
      </c>
      <c r="Z62" s="361">
        <f t="shared" si="13"/>
        <v>8369.53232</v>
      </c>
      <c r="AA62" s="361">
        <f t="shared" si="13"/>
        <v>3508.792326</v>
      </c>
      <c r="AB62" s="361">
        <f t="shared" si="13"/>
        <v>5693.024286</v>
      </c>
      <c r="AC62" s="361">
        <f t="shared" si="13"/>
        <v>4284.065593</v>
      </c>
      <c r="AD62" s="361">
        <f t="shared" si="13"/>
        <v>3648.22225</v>
      </c>
      <c r="AE62" s="361">
        <f t="shared" si="13"/>
        <v>5289.658101</v>
      </c>
      <c r="AF62" s="361">
        <f t="shared" si="13"/>
        <v>4171.207041</v>
      </c>
      <c r="AG62" s="361">
        <f t="shared" si="13"/>
        <v>20646.34021</v>
      </c>
      <c r="AH62" s="361">
        <f t="shared" si="13"/>
        <v>8977.351103</v>
      </c>
      <c r="AI62" s="361">
        <f t="shared" si="13"/>
        <v>8931.972548</v>
      </c>
      <c r="AJ62" s="361">
        <f t="shared" si="13"/>
        <v>4077.211186</v>
      </c>
      <c r="AK62" s="361">
        <f t="shared" si="13"/>
        <v>13391.19117</v>
      </c>
      <c r="AL62" s="361">
        <f t="shared" si="13"/>
        <v>29737.88932</v>
      </c>
      <c r="AM62" s="361">
        <f t="shared" si="13"/>
        <v>35785.75257</v>
      </c>
      <c r="AN62" s="361">
        <f t="shared" si="13"/>
        <v>21321.26464</v>
      </c>
      <c r="AO62" s="361">
        <f t="shared" si="13"/>
        <v>10678.04174</v>
      </c>
      <c r="AP62" s="361">
        <f t="shared" si="13"/>
        <v>9119.203104</v>
      </c>
      <c r="AQ62" s="361">
        <f t="shared" si="13"/>
        <v>4384.576491</v>
      </c>
      <c r="AR62" s="361">
        <f t="shared" si="13"/>
        <v>7631.309839</v>
      </c>
      <c r="AS62" s="361">
        <f t="shared" si="13"/>
        <v>8845.840813</v>
      </c>
      <c r="AT62" s="361">
        <f t="shared" si="13"/>
        <v>5828.504435</v>
      </c>
      <c r="AU62" s="361">
        <f t="shared" si="13"/>
        <v>25130.12501</v>
      </c>
      <c r="AV62" s="361">
        <f t="shared" si="13"/>
        <v>45005.99713</v>
      </c>
      <c r="AW62" s="722"/>
    </row>
    <row r="63">
      <c r="A63" s="710"/>
      <c r="B63" s="711"/>
      <c r="C63" s="712"/>
      <c r="D63" s="712"/>
      <c r="E63" s="257" t="s">
        <v>949</v>
      </c>
      <c r="F63" s="454" t="s">
        <v>76</v>
      </c>
      <c r="G63" s="721" t="s">
        <v>161</v>
      </c>
      <c r="H63" s="240" t="s">
        <v>162</v>
      </c>
      <c r="I63" s="361">
        <f t="shared" ref="I63:AV63" si="14">I61*$H54</f>
        <v>5057</v>
      </c>
      <c r="J63" s="361">
        <f t="shared" si="14"/>
        <v>5057</v>
      </c>
      <c r="K63" s="361">
        <f t="shared" si="14"/>
        <v>5057</v>
      </c>
      <c r="L63" s="361">
        <f t="shared" si="14"/>
        <v>5057</v>
      </c>
      <c r="M63" s="361">
        <f t="shared" si="14"/>
        <v>5057</v>
      </c>
      <c r="N63" s="361">
        <f t="shared" si="14"/>
        <v>5057</v>
      </c>
      <c r="O63" s="361">
        <f t="shared" si="14"/>
        <v>5057</v>
      </c>
      <c r="P63" s="361">
        <f t="shared" si="14"/>
        <v>5057</v>
      </c>
      <c r="Q63" s="361">
        <f t="shared" si="14"/>
        <v>5057</v>
      </c>
      <c r="R63" s="361">
        <f t="shared" si="14"/>
        <v>5057</v>
      </c>
      <c r="S63" s="361">
        <f t="shared" si="14"/>
        <v>5057</v>
      </c>
      <c r="T63" s="361">
        <f t="shared" si="14"/>
        <v>5057</v>
      </c>
      <c r="U63" s="361">
        <f t="shared" si="14"/>
        <v>5057</v>
      </c>
      <c r="V63" s="361">
        <f t="shared" si="14"/>
        <v>5057</v>
      </c>
      <c r="W63" s="361">
        <f t="shared" si="14"/>
        <v>5057</v>
      </c>
      <c r="X63" s="361">
        <f t="shared" si="14"/>
        <v>5057</v>
      </c>
      <c r="Y63" s="361">
        <f t="shared" si="14"/>
        <v>5057</v>
      </c>
      <c r="Z63" s="361">
        <f t="shared" si="14"/>
        <v>5057</v>
      </c>
      <c r="AA63" s="361">
        <f t="shared" si="14"/>
        <v>5057</v>
      </c>
      <c r="AB63" s="361">
        <f t="shared" si="14"/>
        <v>5057</v>
      </c>
      <c r="AC63" s="361">
        <f t="shared" si="14"/>
        <v>5057</v>
      </c>
      <c r="AD63" s="361">
        <f t="shared" si="14"/>
        <v>5057</v>
      </c>
      <c r="AE63" s="361">
        <f t="shared" si="14"/>
        <v>5057</v>
      </c>
      <c r="AF63" s="361">
        <f t="shared" si="14"/>
        <v>5057</v>
      </c>
      <c r="AG63" s="361">
        <f t="shared" si="14"/>
        <v>5057</v>
      </c>
      <c r="AH63" s="361">
        <f t="shared" si="14"/>
        <v>5057</v>
      </c>
      <c r="AI63" s="361">
        <f t="shared" si="14"/>
        <v>5057</v>
      </c>
      <c r="AJ63" s="361">
        <f t="shared" si="14"/>
        <v>5057</v>
      </c>
      <c r="AK63" s="361">
        <f t="shared" si="14"/>
        <v>5057</v>
      </c>
      <c r="AL63" s="361">
        <f t="shared" si="14"/>
        <v>5057</v>
      </c>
      <c r="AM63" s="361">
        <f t="shared" si="14"/>
        <v>5057</v>
      </c>
      <c r="AN63" s="361">
        <f t="shared" si="14"/>
        <v>5057</v>
      </c>
      <c r="AO63" s="361">
        <f t="shared" si="14"/>
        <v>5057</v>
      </c>
      <c r="AP63" s="361">
        <f t="shared" si="14"/>
        <v>5057</v>
      </c>
      <c r="AQ63" s="361">
        <f t="shared" si="14"/>
        <v>5057</v>
      </c>
      <c r="AR63" s="361">
        <f t="shared" si="14"/>
        <v>5057</v>
      </c>
      <c r="AS63" s="361">
        <f t="shared" si="14"/>
        <v>5057</v>
      </c>
      <c r="AT63" s="361">
        <f t="shared" si="14"/>
        <v>5057</v>
      </c>
      <c r="AU63" s="361">
        <f t="shared" si="14"/>
        <v>5057</v>
      </c>
      <c r="AV63" s="361">
        <f t="shared" si="14"/>
        <v>5057</v>
      </c>
      <c r="AW63" s="722"/>
    </row>
    <row r="64">
      <c r="A64" s="710"/>
      <c r="B64" s="711"/>
      <c r="C64" s="712"/>
      <c r="D64" s="712"/>
      <c r="E64" s="257" t="s">
        <v>950</v>
      </c>
      <c r="F64" s="454" t="s">
        <v>76</v>
      </c>
      <c r="G64" s="721" t="s">
        <v>161</v>
      </c>
      <c r="H64" s="240" t="s">
        <v>162</v>
      </c>
      <c r="I64" s="361">
        <f t="shared" ref="I64:AV64" si="15">I62-I63</f>
        <v>72329.78202</v>
      </c>
      <c r="J64" s="361">
        <f t="shared" si="15"/>
        <v>33920.48981</v>
      </c>
      <c r="K64" s="361">
        <f t="shared" si="15"/>
        <v>64557.06206</v>
      </c>
      <c r="L64" s="361">
        <f t="shared" si="15"/>
        <v>30927.97044</v>
      </c>
      <c r="M64" s="361">
        <f t="shared" si="15"/>
        <v>44490.92614</v>
      </c>
      <c r="N64" s="361">
        <f t="shared" si="15"/>
        <v>60467.42274</v>
      </c>
      <c r="O64" s="361">
        <f t="shared" si="15"/>
        <v>107579.4351</v>
      </c>
      <c r="P64" s="361">
        <f t="shared" si="15"/>
        <v>143599.3193</v>
      </c>
      <c r="Q64" s="361">
        <f t="shared" si="15"/>
        <v>114522.5036</v>
      </c>
      <c r="R64" s="361">
        <f t="shared" si="15"/>
        <v>1389.019132</v>
      </c>
      <c r="S64" s="361">
        <f t="shared" si="15"/>
        <v>10024.78617</v>
      </c>
      <c r="T64" s="361">
        <f t="shared" si="15"/>
        <v>1276.752249</v>
      </c>
      <c r="U64" s="361">
        <f t="shared" si="15"/>
        <v>2161.042052</v>
      </c>
      <c r="V64" s="361">
        <f t="shared" si="15"/>
        <v>5578.485379</v>
      </c>
      <c r="W64" s="361">
        <f t="shared" si="15"/>
        <v>6813.0969</v>
      </c>
      <c r="X64" s="361">
        <f t="shared" si="15"/>
        <v>16466.02338</v>
      </c>
      <c r="Y64" s="361">
        <f t="shared" si="15"/>
        <v>342.8209982</v>
      </c>
      <c r="Z64" s="361">
        <f t="shared" si="15"/>
        <v>3312.53232</v>
      </c>
      <c r="AA64" s="361">
        <f t="shared" si="15"/>
        <v>-1548.207674</v>
      </c>
      <c r="AB64" s="361">
        <f t="shared" si="15"/>
        <v>636.0242858</v>
      </c>
      <c r="AC64" s="361">
        <f t="shared" si="15"/>
        <v>-772.9344072</v>
      </c>
      <c r="AD64" s="361">
        <f t="shared" si="15"/>
        <v>-1408.77775</v>
      </c>
      <c r="AE64" s="361">
        <f t="shared" si="15"/>
        <v>232.6581012</v>
      </c>
      <c r="AF64" s="361">
        <f t="shared" si="15"/>
        <v>-885.792959</v>
      </c>
      <c r="AG64" s="361">
        <f t="shared" si="15"/>
        <v>15589.34021</v>
      </c>
      <c r="AH64" s="361">
        <f t="shared" si="15"/>
        <v>3920.351103</v>
      </c>
      <c r="AI64" s="361">
        <f t="shared" si="15"/>
        <v>3874.972548</v>
      </c>
      <c r="AJ64" s="361">
        <f t="shared" si="15"/>
        <v>-979.7888143</v>
      </c>
      <c r="AK64" s="361">
        <f t="shared" si="15"/>
        <v>8334.191173</v>
      </c>
      <c r="AL64" s="361">
        <f t="shared" si="15"/>
        <v>24680.88932</v>
      </c>
      <c r="AM64" s="361">
        <f t="shared" si="15"/>
        <v>30728.75257</v>
      </c>
      <c r="AN64" s="361">
        <f t="shared" si="15"/>
        <v>16264.26464</v>
      </c>
      <c r="AO64" s="361">
        <f t="shared" si="15"/>
        <v>5621.041744</v>
      </c>
      <c r="AP64" s="361">
        <f t="shared" si="15"/>
        <v>4062.203104</v>
      </c>
      <c r="AQ64" s="361">
        <f t="shared" si="15"/>
        <v>-672.4235094</v>
      </c>
      <c r="AR64" s="361">
        <f t="shared" si="15"/>
        <v>2574.309839</v>
      </c>
      <c r="AS64" s="361">
        <f t="shared" si="15"/>
        <v>3788.840813</v>
      </c>
      <c r="AT64" s="361">
        <f t="shared" si="15"/>
        <v>771.5044352</v>
      </c>
      <c r="AU64" s="361">
        <f t="shared" si="15"/>
        <v>20073.12501</v>
      </c>
      <c r="AV64" s="361">
        <f t="shared" si="15"/>
        <v>39948.99713</v>
      </c>
      <c r="AW64" s="722"/>
    </row>
    <row r="65">
      <c r="A65" s="710"/>
      <c r="B65" s="711"/>
      <c r="C65" s="712"/>
      <c r="D65" s="712"/>
      <c r="E65" s="257" t="s">
        <v>951</v>
      </c>
      <c r="F65" s="454" t="s">
        <v>76</v>
      </c>
      <c r="G65" s="721" t="s">
        <v>161</v>
      </c>
      <c r="H65" s="240" t="s">
        <v>162</v>
      </c>
      <c r="I65" s="361">
        <f t="shared" ref="I65:AV65" si="16">-I64</f>
        <v>-72329.78202</v>
      </c>
      <c r="J65" s="361">
        <f t="shared" si="16"/>
        <v>-33920.48981</v>
      </c>
      <c r="K65" s="361">
        <f t="shared" si="16"/>
        <v>-64557.06206</v>
      </c>
      <c r="L65" s="361">
        <f t="shared" si="16"/>
        <v>-30927.97044</v>
      </c>
      <c r="M65" s="361">
        <f t="shared" si="16"/>
        <v>-44490.92614</v>
      </c>
      <c r="N65" s="361">
        <f t="shared" si="16"/>
        <v>-60467.42274</v>
      </c>
      <c r="O65" s="361">
        <f t="shared" si="16"/>
        <v>-107579.4351</v>
      </c>
      <c r="P65" s="361">
        <f t="shared" si="16"/>
        <v>-143599.3193</v>
      </c>
      <c r="Q65" s="361">
        <f t="shared" si="16"/>
        <v>-114522.5036</v>
      </c>
      <c r="R65" s="361">
        <f t="shared" si="16"/>
        <v>-1389.019132</v>
      </c>
      <c r="S65" s="361">
        <f t="shared" si="16"/>
        <v>-10024.78617</v>
      </c>
      <c r="T65" s="361">
        <f t="shared" si="16"/>
        <v>-1276.752249</v>
      </c>
      <c r="U65" s="361">
        <f t="shared" si="16"/>
        <v>-2161.042052</v>
      </c>
      <c r="V65" s="361">
        <f t="shared" si="16"/>
        <v>-5578.485379</v>
      </c>
      <c r="W65" s="361">
        <f t="shared" si="16"/>
        <v>-6813.0969</v>
      </c>
      <c r="X65" s="361">
        <f t="shared" si="16"/>
        <v>-16466.02338</v>
      </c>
      <c r="Y65" s="361">
        <f t="shared" si="16"/>
        <v>-342.8209982</v>
      </c>
      <c r="Z65" s="361">
        <f t="shared" si="16"/>
        <v>-3312.53232</v>
      </c>
      <c r="AA65" s="361">
        <f t="shared" si="16"/>
        <v>1548.207674</v>
      </c>
      <c r="AB65" s="361">
        <f t="shared" si="16"/>
        <v>-636.0242858</v>
      </c>
      <c r="AC65" s="361">
        <f t="shared" si="16"/>
        <v>772.9344072</v>
      </c>
      <c r="AD65" s="361">
        <f t="shared" si="16"/>
        <v>1408.77775</v>
      </c>
      <c r="AE65" s="361">
        <f t="shared" si="16"/>
        <v>-232.6581012</v>
      </c>
      <c r="AF65" s="361">
        <f t="shared" si="16"/>
        <v>885.792959</v>
      </c>
      <c r="AG65" s="361">
        <f t="shared" si="16"/>
        <v>-15589.34021</v>
      </c>
      <c r="AH65" s="361">
        <f t="shared" si="16"/>
        <v>-3920.351103</v>
      </c>
      <c r="AI65" s="361">
        <f t="shared" si="16"/>
        <v>-3874.972548</v>
      </c>
      <c r="AJ65" s="361">
        <f t="shared" si="16"/>
        <v>979.7888143</v>
      </c>
      <c r="AK65" s="361">
        <f t="shared" si="16"/>
        <v>-8334.191173</v>
      </c>
      <c r="AL65" s="361">
        <f t="shared" si="16"/>
        <v>-24680.88932</v>
      </c>
      <c r="AM65" s="361">
        <f t="shared" si="16"/>
        <v>-30728.75257</v>
      </c>
      <c r="AN65" s="361">
        <f t="shared" si="16"/>
        <v>-16264.26464</v>
      </c>
      <c r="AO65" s="361">
        <f t="shared" si="16"/>
        <v>-5621.041744</v>
      </c>
      <c r="AP65" s="361">
        <f t="shared" si="16"/>
        <v>-4062.203104</v>
      </c>
      <c r="AQ65" s="361">
        <f t="shared" si="16"/>
        <v>672.4235094</v>
      </c>
      <c r="AR65" s="361">
        <f t="shared" si="16"/>
        <v>-2574.309839</v>
      </c>
      <c r="AS65" s="361">
        <f t="shared" si="16"/>
        <v>-3788.840813</v>
      </c>
      <c r="AT65" s="361">
        <f t="shared" si="16"/>
        <v>-771.5044352</v>
      </c>
      <c r="AU65" s="361">
        <f t="shared" si="16"/>
        <v>-20073.12501</v>
      </c>
      <c r="AV65" s="361">
        <f t="shared" si="16"/>
        <v>-39948.99713</v>
      </c>
      <c r="AW65" s="722"/>
    </row>
    <row r="66">
      <c r="A66" s="710"/>
      <c r="B66" s="711"/>
      <c r="C66" s="712"/>
      <c r="D66" s="712"/>
      <c r="E66" s="257" t="s">
        <v>952</v>
      </c>
      <c r="F66" s="454" t="s">
        <v>72</v>
      </c>
      <c r="G66" s="721" t="s">
        <v>155</v>
      </c>
      <c r="H66" s="215" t="str">
        <f t="shared" ref="H66:AV66" si="17">H32</f>
        <v>-</v>
      </c>
      <c r="I66" s="241">
        <f t="shared" si="17"/>
        <v>0.1</v>
      </c>
      <c r="J66" s="241">
        <f t="shared" si="17"/>
        <v>0.1</v>
      </c>
      <c r="K66" s="241">
        <f t="shared" si="17"/>
        <v>0.1</v>
      </c>
      <c r="L66" s="241">
        <f t="shared" si="17"/>
        <v>0.1</v>
      </c>
      <c r="M66" s="241">
        <f t="shared" si="17"/>
        <v>0.1</v>
      </c>
      <c r="N66" s="241">
        <f t="shared" si="17"/>
        <v>0.1</v>
      </c>
      <c r="O66" s="241">
        <f t="shared" si="17"/>
        <v>0.1</v>
      </c>
      <c r="P66" s="241">
        <f t="shared" si="17"/>
        <v>0.1</v>
      </c>
      <c r="Q66" s="241">
        <f t="shared" si="17"/>
        <v>0.1</v>
      </c>
      <c r="R66" s="241">
        <f t="shared" si="17"/>
        <v>0.1</v>
      </c>
      <c r="S66" s="241">
        <f t="shared" si="17"/>
        <v>0.1</v>
      </c>
      <c r="T66" s="241">
        <f t="shared" si="17"/>
        <v>0.1</v>
      </c>
      <c r="U66" s="241">
        <f t="shared" si="17"/>
        <v>0.1</v>
      </c>
      <c r="V66" s="241">
        <f t="shared" si="17"/>
        <v>0.1</v>
      </c>
      <c r="W66" s="241">
        <f t="shared" si="17"/>
        <v>0.1</v>
      </c>
      <c r="X66" s="241">
        <f t="shared" si="17"/>
        <v>0.1</v>
      </c>
      <c r="Y66" s="241">
        <f t="shared" si="17"/>
        <v>0.1</v>
      </c>
      <c r="Z66" s="241">
        <f t="shared" si="17"/>
        <v>0.1</v>
      </c>
      <c r="AA66" s="241">
        <f t="shared" si="17"/>
        <v>0.1</v>
      </c>
      <c r="AB66" s="241">
        <f t="shared" si="17"/>
        <v>0.1</v>
      </c>
      <c r="AC66" s="241">
        <f t="shared" si="17"/>
        <v>0.1</v>
      </c>
      <c r="AD66" s="241">
        <f t="shared" si="17"/>
        <v>0.1</v>
      </c>
      <c r="AE66" s="241">
        <f t="shared" si="17"/>
        <v>0.1</v>
      </c>
      <c r="AF66" s="241">
        <f t="shared" si="17"/>
        <v>0.1</v>
      </c>
      <c r="AG66" s="241">
        <f t="shared" si="17"/>
        <v>0.1</v>
      </c>
      <c r="AH66" s="241">
        <f t="shared" si="17"/>
        <v>0.1</v>
      </c>
      <c r="AI66" s="241">
        <f t="shared" si="17"/>
        <v>0.1</v>
      </c>
      <c r="AJ66" s="241">
        <f t="shared" si="17"/>
        <v>0.1</v>
      </c>
      <c r="AK66" s="241">
        <f t="shared" si="17"/>
        <v>0.1</v>
      </c>
      <c r="AL66" s="241">
        <f t="shared" si="17"/>
        <v>0.1</v>
      </c>
      <c r="AM66" s="241">
        <f t="shared" si="17"/>
        <v>0.1</v>
      </c>
      <c r="AN66" s="241">
        <f t="shared" si="17"/>
        <v>0.1</v>
      </c>
      <c r="AO66" s="241">
        <f t="shared" si="17"/>
        <v>0.1</v>
      </c>
      <c r="AP66" s="241">
        <f t="shared" si="17"/>
        <v>0.1</v>
      </c>
      <c r="AQ66" s="241">
        <f t="shared" si="17"/>
        <v>0.1</v>
      </c>
      <c r="AR66" s="241">
        <f t="shared" si="17"/>
        <v>0.1</v>
      </c>
      <c r="AS66" s="241">
        <f t="shared" si="17"/>
        <v>0.1</v>
      </c>
      <c r="AT66" s="241">
        <f t="shared" si="17"/>
        <v>0.1</v>
      </c>
      <c r="AU66" s="241">
        <f t="shared" si="17"/>
        <v>0.1</v>
      </c>
      <c r="AV66" s="241">
        <f t="shared" si="17"/>
        <v>0.1</v>
      </c>
      <c r="AW66" s="722"/>
    </row>
    <row r="67">
      <c r="A67" s="710"/>
      <c r="B67" s="711"/>
      <c r="C67" s="712"/>
      <c r="D67" s="712"/>
      <c r="E67" s="272" t="s">
        <v>953</v>
      </c>
      <c r="F67" s="460" t="s">
        <v>76</v>
      </c>
      <c r="G67" s="723" t="s">
        <v>161</v>
      </c>
      <c r="H67" s="228" t="s">
        <v>162</v>
      </c>
      <c r="I67" s="338">
        <f t="shared" ref="I67:AV67" si="18">I65*I66</f>
        <v>-7232.978202</v>
      </c>
      <c r="J67" s="338">
        <f t="shared" si="18"/>
        <v>-3392.048981</v>
      </c>
      <c r="K67" s="338">
        <f t="shared" si="18"/>
        <v>-6455.706206</v>
      </c>
      <c r="L67" s="338">
        <f t="shared" si="18"/>
        <v>-3092.797044</v>
      </c>
      <c r="M67" s="338">
        <f t="shared" si="18"/>
        <v>-4449.092614</v>
      </c>
      <c r="N67" s="338">
        <f t="shared" si="18"/>
        <v>-6046.742274</v>
      </c>
      <c r="O67" s="338">
        <f t="shared" si="18"/>
        <v>-10757.94351</v>
      </c>
      <c r="P67" s="338">
        <f t="shared" si="18"/>
        <v>-14359.93193</v>
      </c>
      <c r="Q67" s="338">
        <f t="shared" si="18"/>
        <v>-11452.25036</v>
      </c>
      <c r="R67" s="338">
        <f t="shared" si="18"/>
        <v>-138.9019132</v>
      </c>
      <c r="S67" s="338">
        <f t="shared" si="18"/>
        <v>-1002.478617</v>
      </c>
      <c r="T67" s="338">
        <f t="shared" si="18"/>
        <v>-127.6752249</v>
      </c>
      <c r="U67" s="338">
        <f t="shared" si="18"/>
        <v>-216.1042052</v>
      </c>
      <c r="V67" s="338">
        <f t="shared" si="18"/>
        <v>-557.8485379</v>
      </c>
      <c r="W67" s="338">
        <f t="shared" si="18"/>
        <v>-681.30969</v>
      </c>
      <c r="X67" s="338">
        <f t="shared" si="18"/>
        <v>-1646.602338</v>
      </c>
      <c r="Y67" s="338">
        <f t="shared" si="18"/>
        <v>-34.28209982</v>
      </c>
      <c r="Z67" s="338">
        <f t="shared" si="18"/>
        <v>-331.253232</v>
      </c>
      <c r="AA67" s="338">
        <f t="shared" si="18"/>
        <v>154.8207674</v>
      </c>
      <c r="AB67" s="338">
        <f t="shared" si="18"/>
        <v>-63.60242858</v>
      </c>
      <c r="AC67" s="338">
        <f t="shared" si="18"/>
        <v>77.29344072</v>
      </c>
      <c r="AD67" s="338">
        <f t="shared" si="18"/>
        <v>140.877775</v>
      </c>
      <c r="AE67" s="338">
        <f t="shared" si="18"/>
        <v>-23.26581012</v>
      </c>
      <c r="AF67" s="338">
        <f t="shared" si="18"/>
        <v>88.5792959</v>
      </c>
      <c r="AG67" s="338">
        <f t="shared" si="18"/>
        <v>-1558.934021</v>
      </c>
      <c r="AH67" s="338">
        <f t="shared" si="18"/>
        <v>-392.0351103</v>
      </c>
      <c r="AI67" s="338">
        <f t="shared" si="18"/>
        <v>-387.4972548</v>
      </c>
      <c r="AJ67" s="338">
        <f t="shared" si="18"/>
        <v>97.97888143</v>
      </c>
      <c r="AK67" s="338">
        <f t="shared" si="18"/>
        <v>-833.4191173</v>
      </c>
      <c r="AL67" s="338">
        <f t="shared" si="18"/>
        <v>-2468.088932</v>
      </c>
      <c r="AM67" s="338">
        <f t="shared" si="18"/>
        <v>-3072.875257</v>
      </c>
      <c r="AN67" s="338">
        <f t="shared" si="18"/>
        <v>-1626.426464</v>
      </c>
      <c r="AO67" s="338">
        <f t="shared" si="18"/>
        <v>-562.1041744</v>
      </c>
      <c r="AP67" s="338">
        <f t="shared" si="18"/>
        <v>-406.2203104</v>
      </c>
      <c r="AQ67" s="338">
        <f t="shared" si="18"/>
        <v>67.24235094</v>
      </c>
      <c r="AR67" s="338">
        <f t="shared" si="18"/>
        <v>-257.4309839</v>
      </c>
      <c r="AS67" s="338">
        <f t="shared" si="18"/>
        <v>-378.8840813</v>
      </c>
      <c r="AT67" s="338">
        <f t="shared" si="18"/>
        <v>-77.15044352</v>
      </c>
      <c r="AU67" s="338">
        <f t="shared" si="18"/>
        <v>-2007.312501</v>
      </c>
      <c r="AV67" s="338">
        <f t="shared" si="18"/>
        <v>-3994.899713</v>
      </c>
      <c r="AW67" s="724"/>
    </row>
    <row r="68">
      <c r="A68" s="710"/>
      <c r="B68" s="711"/>
      <c r="C68" s="712"/>
      <c r="D68" s="712"/>
      <c r="E68" s="269"/>
      <c r="F68" s="713"/>
      <c r="G68" s="714"/>
      <c r="H68" s="715"/>
      <c r="I68" s="716"/>
      <c r="J68" s="716"/>
      <c r="K68" s="716"/>
      <c r="L68" s="716"/>
      <c r="M68" s="716"/>
      <c r="N68" s="716"/>
      <c r="O68" s="716"/>
      <c r="P68" s="716"/>
      <c r="Q68" s="716"/>
      <c r="R68" s="716"/>
      <c r="S68" s="716"/>
      <c r="T68" s="716"/>
      <c r="U68" s="716"/>
      <c r="V68" s="716"/>
      <c r="W68" s="716"/>
      <c r="X68" s="716"/>
      <c r="Y68" s="716"/>
      <c r="Z68" s="716"/>
      <c r="AA68" s="716"/>
      <c r="AB68" s="716"/>
      <c r="AC68" s="716"/>
      <c r="AD68" s="716"/>
      <c r="AE68" s="716"/>
      <c r="AF68" s="716"/>
      <c r="AG68" s="716"/>
      <c r="AH68" s="716"/>
      <c r="AI68" s="716"/>
      <c r="AJ68" s="716"/>
      <c r="AK68" s="716"/>
      <c r="AL68" s="716"/>
      <c r="AM68" s="716"/>
      <c r="AN68" s="716"/>
      <c r="AO68" s="716"/>
      <c r="AP68" s="716"/>
      <c r="AQ68" s="716"/>
      <c r="AR68" s="716"/>
      <c r="AS68" s="716"/>
      <c r="AT68" s="716"/>
      <c r="AU68" s="716"/>
      <c r="AV68" s="716"/>
      <c r="AW68" s="717"/>
    </row>
    <row r="69">
      <c r="A69" s="710"/>
      <c r="B69" s="711"/>
      <c r="C69" s="342" t="s">
        <v>954</v>
      </c>
      <c r="F69" s="713"/>
      <c r="G69" s="714"/>
      <c r="H69" s="715"/>
      <c r="I69" s="716"/>
      <c r="J69" s="716"/>
      <c r="K69" s="716"/>
      <c r="L69" s="716"/>
      <c r="M69" s="716"/>
      <c r="N69" s="716"/>
      <c r="O69" s="716"/>
      <c r="P69" s="716"/>
      <c r="Q69" s="716"/>
      <c r="R69" s="716"/>
      <c r="S69" s="716"/>
      <c r="T69" s="716"/>
      <c r="U69" s="716"/>
      <c r="V69" s="716"/>
      <c r="W69" s="716"/>
      <c r="X69" s="716"/>
      <c r="Y69" s="716"/>
      <c r="Z69" s="716"/>
      <c r="AA69" s="716"/>
      <c r="AB69" s="716"/>
      <c r="AC69" s="716"/>
      <c r="AD69" s="716"/>
      <c r="AE69" s="716"/>
      <c r="AF69" s="716"/>
      <c r="AG69" s="716"/>
      <c r="AH69" s="716"/>
      <c r="AI69" s="716"/>
      <c r="AJ69" s="716"/>
      <c r="AK69" s="716"/>
      <c r="AL69" s="716"/>
      <c r="AM69" s="716"/>
      <c r="AN69" s="716"/>
      <c r="AO69" s="716"/>
      <c r="AP69" s="716"/>
      <c r="AQ69" s="716"/>
      <c r="AR69" s="716"/>
      <c r="AS69" s="716"/>
      <c r="AT69" s="716"/>
      <c r="AU69" s="716"/>
      <c r="AV69" s="716"/>
      <c r="AW69" s="717"/>
    </row>
    <row r="70">
      <c r="A70" s="710"/>
      <c r="B70" s="711"/>
      <c r="C70" s="712"/>
      <c r="D70" s="718" t="s">
        <v>946</v>
      </c>
      <c r="E70" s="42"/>
      <c r="F70" s="451"/>
      <c r="G70" s="719"/>
      <c r="H70" s="236"/>
      <c r="I70" s="371"/>
      <c r="J70" s="371"/>
      <c r="K70" s="371"/>
      <c r="L70" s="371"/>
      <c r="M70" s="371"/>
      <c r="N70" s="371"/>
      <c r="O70" s="371"/>
      <c r="P70" s="371"/>
      <c r="Q70" s="371"/>
      <c r="R70" s="371"/>
      <c r="S70" s="371"/>
      <c r="T70" s="371"/>
      <c r="U70" s="371"/>
      <c r="V70" s="371"/>
      <c r="W70" s="371"/>
      <c r="X70" s="371"/>
      <c r="Y70" s="371"/>
      <c r="Z70" s="371"/>
      <c r="AA70" s="371"/>
      <c r="AB70" s="371"/>
      <c r="AC70" s="371"/>
      <c r="AD70" s="371"/>
      <c r="AE70" s="371"/>
      <c r="AF70" s="371"/>
      <c r="AG70" s="371"/>
      <c r="AH70" s="371"/>
      <c r="AI70" s="371"/>
      <c r="AJ70" s="371"/>
      <c r="AK70" s="371"/>
      <c r="AL70" s="371"/>
      <c r="AM70" s="371"/>
      <c r="AN70" s="371"/>
      <c r="AO70" s="371"/>
      <c r="AP70" s="371"/>
      <c r="AQ70" s="371"/>
      <c r="AR70" s="371"/>
      <c r="AS70" s="371"/>
      <c r="AT70" s="371"/>
      <c r="AU70" s="371"/>
      <c r="AV70" s="371"/>
      <c r="AW70" s="720"/>
    </row>
    <row r="71">
      <c r="A71" s="710"/>
      <c r="B71" s="711"/>
      <c r="C71" s="712"/>
      <c r="D71" s="712"/>
      <c r="E71" s="254" t="s">
        <v>955</v>
      </c>
      <c r="F71" s="451" t="s">
        <v>68</v>
      </c>
      <c r="G71" s="719" t="s">
        <v>161</v>
      </c>
      <c r="H71" s="236" t="s">
        <v>162</v>
      </c>
      <c r="I71" s="371">
        <f t="shared" ref="I71:AV71" si="19">I14</f>
        <v>348695.0096</v>
      </c>
      <c r="J71" s="371">
        <f t="shared" si="19"/>
        <v>225816.6252</v>
      </c>
      <c r="K71" s="371">
        <f t="shared" si="19"/>
        <v>267719.748</v>
      </c>
      <c r="L71" s="371">
        <f t="shared" si="19"/>
        <v>296832.1529</v>
      </c>
      <c r="M71" s="371">
        <f t="shared" si="19"/>
        <v>315700.2003</v>
      </c>
      <c r="N71" s="371">
        <f t="shared" si="19"/>
        <v>356781.1511</v>
      </c>
      <c r="O71" s="371">
        <f t="shared" si="19"/>
        <v>528378.7245</v>
      </c>
      <c r="P71" s="371">
        <f t="shared" si="19"/>
        <v>593590.2805</v>
      </c>
      <c r="Q71" s="371">
        <f t="shared" si="19"/>
        <v>387084.3128</v>
      </c>
      <c r="R71" s="371">
        <f t="shared" si="19"/>
        <v>67642.80699</v>
      </c>
      <c r="S71" s="371">
        <f t="shared" si="19"/>
        <v>99355.64025</v>
      </c>
      <c r="T71" s="371">
        <f t="shared" si="19"/>
        <v>86403.93664</v>
      </c>
      <c r="U71" s="371">
        <f t="shared" si="19"/>
        <v>105988.0121</v>
      </c>
      <c r="V71" s="371">
        <f t="shared" si="19"/>
        <v>122680.7079</v>
      </c>
      <c r="W71" s="371">
        <f t="shared" si="19"/>
        <v>123163.3641</v>
      </c>
      <c r="X71" s="371">
        <f t="shared" si="19"/>
        <v>305251.2024</v>
      </c>
      <c r="Y71" s="371">
        <f t="shared" si="19"/>
        <v>45708.46699</v>
      </c>
      <c r="Z71" s="371">
        <f t="shared" si="19"/>
        <v>113445.8119</v>
      </c>
      <c r="AA71" s="371">
        <f t="shared" si="19"/>
        <v>6236.293028</v>
      </c>
      <c r="AB71" s="371">
        <f t="shared" si="19"/>
        <v>54393.27819</v>
      </c>
      <c r="AC71" s="371">
        <f t="shared" si="19"/>
        <v>30322.28359</v>
      </c>
      <c r="AD71" s="371">
        <f t="shared" si="19"/>
        <v>18300.29765</v>
      </c>
      <c r="AE71" s="371">
        <f t="shared" si="19"/>
        <v>51375.79539</v>
      </c>
      <c r="AF71" s="371">
        <f t="shared" si="19"/>
        <v>37610.51686</v>
      </c>
      <c r="AG71" s="371">
        <f t="shared" si="19"/>
        <v>183579.4076</v>
      </c>
      <c r="AH71" s="371">
        <f t="shared" si="19"/>
        <v>107740.6271</v>
      </c>
      <c r="AI71" s="371">
        <f t="shared" si="19"/>
        <v>194624.7951</v>
      </c>
      <c r="AJ71" s="371">
        <f t="shared" si="19"/>
        <v>45152.6789</v>
      </c>
      <c r="AK71" s="371">
        <f t="shared" si="19"/>
        <v>172908.7873</v>
      </c>
      <c r="AL71" s="371">
        <f t="shared" si="19"/>
        <v>300122.552</v>
      </c>
      <c r="AM71" s="371">
        <f t="shared" si="19"/>
        <v>356709.4465</v>
      </c>
      <c r="AN71" s="371">
        <f t="shared" si="19"/>
        <v>205253.1212</v>
      </c>
      <c r="AO71" s="371">
        <f t="shared" si="19"/>
        <v>217115.8491</v>
      </c>
      <c r="AP71" s="371">
        <f t="shared" si="19"/>
        <v>158383.4632</v>
      </c>
      <c r="AQ71" s="371">
        <f t="shared" si="19"/>
        <v>60198.7136</v>
      </c>
      <c r="AR71" s="371">
        <f t="shared" si="19"/>
        <v>164149.4331</v>
      </c>
      <c r="AS71" s="371">
        <f t="shared" si="19"/>
        <v>118429.7384</v>
      </c>
      <c r="AT71" s="371">
        <f t="shared" si="19"/>
        <v>60089.24173</v>
      </c>
      <c r="AU71" s="371">
        <f t="shared" si="19"/>
        <v>186210.0293</v>
      </c>
      <c r="AV71" s="371">
        <f t="shared" si="19"/>
        <v>286285.7513</v>
      </c>
      <c r="AW71" s="720"/>
    </row>
    <row r="72">
      <c r="A72" s="710"/>
      <c r="B72" s="711"/>
      <c r="C72" s="712"/>
      <c r="D72" s="712"/>
      <c r="E72" s="257" t="s">
        <v>956</v>
      </c>
      <c r="F72" s="454" t="s">
        <v>76</v>
      </c>
      <c r="G72" s="721" t="s">
        <v>161</v>
      </c>
      <c r="H72" s="240" t="s">
        <v>162</v>
      </c>
      <c r="I72" s="361">
        <f t="shared" ref="I72:AV72" si="20">I71*$H54</f>
        <v>1763.350663</v>
      </c>
      <c r="J72" s="361">
        <f t="shared" si="20"/>
        <v>1141.954674</v>
      </c>
      <c r="K72" s="361">
        <f t="shared" si="20"/>
        <v>1353.858766</v>
      </c>
      <c r="L72" s="361">
        <f t="shared" si="20"/>
        <v>1501.080197</v>
      </c>
      <c r="M72" s="361">
        <f t="shared" si="20"/>
        <v>1596.495913</v>
      </c>
      <c r="N72" s="361">
        <f t="shared" si="20"/>
        <v>1804.242281</v>
      </c>
      <c r="O72" s="361">
        <f t="shared" si="20"/>
        <v>2672.01121</v>
      </c>
      <c r="P72" s="361">
        <f t="shared" si="20"/>
        <v>3001.786048</v>
      </c>
      <c r="Q72" s="361">
        <f t="shared" si="20"/>
        <v>1957.48537</v>
      </c>
      <c r="R72" s="361">
        <f t="shared" si="20"/>
        <v>342.0696749</v>
      </c>
      <c r="S72" s="361">
        <f t="shared" si="20"/>
        <v>502.4414728</v>
      </c>
      <c r="T72" s="361">
        <f t="shared" si="20"/>
        <v>436.9447076</v>
      </c>
      <c r="U72" s="361">
        <f t="shared" si="20"/>
        <v>535.9813772</v>
      </c>
      <c r="V72" s="361">
        <f t="shared" si="20"/>
        <v>620.3963397</v>
      </c>
      <c r="W72" s="361">
        <f t="shared" si="20"/>
        <v>622.837132</v>
      </c>
      <c r="X72" s="361">
        <f t="shared" si="20"/>
        <v>1543.65533</v>
      </c>
      <c r="Y72" s="361">
        <f t="shared" si="20"/>
        <v>231.1477176</v>
      </c>
      <c r="Z72" s="361">
        <f t="shared" si="20"/>
        <v>573.6954707</v>
      </c>
      <c r="AA72" s="361">
        <f t="shared" si="20"/>
        <v>31.53693384</v>
      </c>
      <c r="AB72" s="361">
        <f t="shared" si="20"/>
        <v>275.0668078</v>
      </c>
      <c r="AC72" s="361">
        <f t="shared" si="20"/>
        <v>153.3397881</v>
      </c>
      <c r="AD72" s="361">
        <f t="shared" si="20"/>
        <v>92.54460519</v>
      </c>
      <c r="AE72" s="361">
        <f t="shared" si="20"/>
        <v>259.8073973</v>
      </c>
      <c r="AF72" s="361">
        <f t="shared" si="20"/>
        <v>190.1963838</v>
      </c>
      <c r="AG72" s="361">
        <f t="shared" si="20"/>
        <v>928.3610644</v>
      </c>
      <c r="AH72" s="361">
        <f t="shared" si="20"/>
        <v>544.8443514</v>
      </c>
      <c r="AI72" s="361">
        <f t="shared" si="20"/>
        <v>984.2175888</v>
      </c>
      <c r="AJ72" s="361">
        <f t="shared" si="20"/>
        <v>228.3370972</v>
      </c>
      <c r="AK72" s="361">
        <f t="shared" si="20"/>
        <v>874.3997374</v>
      </c>
      <c r="AL72" s="361">
        <f t="shared" si="20"/>
        <v>1517.719745</v>
      </c>
      <c r="AM72" s="361">
        <f t="shared" si="20"/>
        <v>1803.879671</v>
      </c>
      <c r="AN72" s="361">
        <f t="shared" si="20"/>
        <v>1037.965034</v>
      </c>
      <c r="AO72" s="361">
        <f t="shared" si="20"/>
        <v>1097.954849</v>
      </c>
      <c r="AP72" s="361">
        <f t="shared" si="20"/>
        <v>800.9451735</v>
      </c>
      <c r="AQ72" s="361">
        <f t="shared" si="20"/>
        <v>304.4248947</v>
      </c>
      <c r="AR72" s="361">
        <f t="shared" si="20"/>
        <v>830.1036832</v>
      </c>
      <c r="AS72" s="361">
        <f t="shared" si="20"/>
        <v>598.8991869</v>
      </c>
      <c r="AT72" s="361">
        <f t="shared" si="20"/>
        <v>303.8712954</v>
      </c>
      <c r="AU72" s="361">
        <f t="shared" si="20"/>
        <v>941.664118</v>
      </c>
      <c r="AV72" s="361">
        <f t="shared" si="20"/>
        <v>1447.747044</v>
      </c>
      <c r="AW72" s="722"/>
    </row>
    <row r="73">
      <c r="A73" s="710"/>
      <c r="B73" s="711"/>
      <c r="C73" s="712"/>
      <c r="D73" s="712"/>
      <c r="E73" s="257" t="s">
        <v>957</v>
      </c>
      <c r="F73" s="454" t="s">
        <v>76</v>
      </c>
      <c r="G73" s="721" t="s">
        <v>161</v>
      </c>
      <c r="H73" s="240" t="s">
        <v>162</v>
      </c>
      <c r="I73" s="266">
        <v>0.0</v>
      </c>
      <c r="J73" s="266">
        <v>0.0</v>
      </c>
      <c r="K73" s="266">
        <v>0.0</v>
      </c>
      <c r="L73" s="266">
        <v>0.0</v>
      </c>
      <c r="M73" s="266">
        <v>0.0</v>
      </c>
      <c r="N73" s="266">
        <v>0.0</v>
      </c>
      <c r="O73" s="266">
        <v>0.0</v>
      </c>
      <c r="P73" s="266">
        <v>0.0</v>
      </c>
      <c r="Q73" s="266">
        <v>0.0</v>
      </c>
      <c r="R73" s="266">
        <v>0.0</v>
      </c>
      <c r="S73" s="266">
        <v>0.0</v>
      </c>
      <c r="T73" s="266">
        <v>0.0</v>
      </c>
      <c r="U73" s="266">
        <v>0.0</v>
      </c>
      <c r="V73" s="266">
        <v>0.0</v>
      </c>
      <c r="W73" s="266">
        <v>0.0</v>
      </c>
      <c r="X73" s="266">
        <v>0.0</v>
      </c>
      <c r="Y73" s="266">
        <v>0.0</v>
      </c>
      <c r="Z73" s="266">
        <v>0.0</v>
      </c>
      <c r="AA73" s="266">
        <v>0.0</v>
      </c>
      <c r="AB73" s="266">
        <v>0.0</v>
      </c>
      <c r="AC73" s="266">
        <v>0.0</v>
      </c>
      <c r="AD73" s="266">
        <v>0.0</v>
      </c>
      <c r="AE73" s="266">
        <v>0.0</v>
      </c>
      <c r="AF73" s="266">
        <v>0.0</v>
      </c>
      <c r="AG73" s="266">
        <v>0.0</v>
      </c>
      <c r="AH73" s="266">
        <v>0.0</v>
      </c>
      <c r="AI73" s="266">
        <v>0.0</v>
      </c>
      <c r="AJ73" s="266">
        <v>0.0</v>
      </c>
      <c r="AK73" s="266">
        <v>0.0</v>
      </c>
      <c r="AL73" s="266">
        <v>0.0</v>
      </c>
      <c r="AM73" s="266">
        <v>0.0</v>
      </c>
      <c r="AN73" s="266">
        <v>0.0</v>
      </c>
      <c r="AO73" s="266">
        <v>0.0</v>
      </c>
      <c r="AP73" s="266">
        <v>0.0</v>
      </c>
      <c r="AQ73" s="266">
        <v>0.0</v>
      </c>
      <c r="AR73" s="266">
        <v>0.0</v>
      </c>
      <c r="AS73" s="266">
        <v>0.0</v>
      </c>
      <c r="AT73" s="266">
        <v>0.0</v>
      </c>
      <c r="AU73" s="266">
        <v>0.0</v>
      </c>
      <c r="AV73" s="266">
        <v>0.0</v>
      </c>
      <c r="AW73" s="722"/>
    </row>
    <row r="74">
      <c r="A74" s="710"/>
      <c r="B74" s="711"/>
      <c r="C74" s="712"/>
      <c r="D74" s="712"/>
      <c r="E74" s="257" t="s">
        <v>958</v>
      </c>
      <c r="F74" s="454" t="s">
        <v>76</v>
      </c>
      <c r="G74" s="721" t="s">
        <v>161</v>
      </c>
      <c r="H74" s="240" t="s">
        <v>162</v>
      </c>
      <c r="I74" s="361">
        <f t="shared" ref="I74:AV74" si="21">I72-I73</f>
        <v>1763.350663</v>
      </c>
      <c r="J74" s="361">
        <f t="shared" si="21"/>
        <v>1141.954674</v>
      </c>
      <c r="K74" s="361">
        <f t="shared" si="21"/>
        <v>1353.858766</v>
      </c>
      <c r="L74" s="361">
        <f t="shared" si="21"/>
        <v>1501.080197</v>
      </c>
      <c r="M74" s="361">
        <f t="shared" si="21"/>
        <v>1596.495913</v>
      </c>
      <c r="N74" s="361">
        <f t="shared" si="21"/>
        <v>1804.242281</v>
      </c>
      <c r="O74" s="361">
        <f t="shared" si="21"/>
        <v>2672.01121</v>
      </c>
      <c r="P74" s="361">
        <f t="shared" si="21"/>
        <v>3001.786048</v>
      </c>
      <c r="Q74" s="361">
        <f t="shared" si="21"/>
        <v>1957.48537</v>
      </c>
      <c r="R74" s="361">
        <f t="shared" si="21"/>
        <v>342.0696749</v>
      </c>
      <c r="S74" s="361">
        <f t="shared" si="21"/>
        <v>502.4414728</v>
      </c>
      <c r="T74" s="361">
        <f t="shared" si="21"/>
        <v>436.9447076</v>
      </c>
      <c r="U74" s="361">
        <f t="shared" si="21"/>
        <v>535.9813772</v>
      </c>
      <c r="V74" s="361">
        <f t="shared" si="21"/>
        <v>620.3963397</v>
      </c>
      <c r="W74" s="361">
        <f t="shared" si="21"/>
        <v>622.837132</v>
      </c>
      <c r="X74" s="361">
        <f t="shared" si="21"/>
        <v>1543.65533</v>
      </c>
      <c r="Y74" s="361">
        <f t="shared" si="21"/>
        <v>231.1477176</v>
      </c>
      <c r="Z74" s="361">
        <f t="shared" si="21"/>
        <v>573.6954707</v>
      </c>
      <c r="AA74" s="361">
        <f t="shared" si="21"/>
        <v>31.53693384</v>
      </c>
      <c r="AB74" s="361">
        <f t="shared" si="21"/>
        <v>275.0668078</v>
      </c>
      <c r="AC74" s="361">
        <f t="shared" si="21"/>
        <v>153.3397881</v>
      </c>
      <c r="AD74" s="361">
        <f t="shared" si="21"/>
        <v>92.54460519</v>
      </c>
      <c r="AE74" s="361">
        <f t="shared" si="21"/>
        <v>259.8073973</v>
      </c>
      <c r="AF74" s="361">
        <f t="shared" si="21"/>
        <v>190.1963838</v>
      </c>
      <c r="AG74" s="361">
        <f t="shared" si="21"/>
        <v>928.3610644</v>
      </c>
      <c r="AH74" s="361">
        <f t="shared" si="21"/>
        <v>544.8443514</v>
      </c>
      <c r="AI74" s="361">
        <f t="shared" si="21"/>
        <v>984.2175888</v>
      </c>
      <c r="AJ74" s="361">
        <f t="shared" si="21"/>
        <v>228.3370972</v>
      </c>
      <c r="AK74" s="361">
        <f t="shared" si="21"/>
        <v>874.3997374</v>
      </c>
      <c r="AL74" s="361">
        <f t="shared" si="21"/>
        <v>1517.719745</v>
      </c>
      <c r="AM74" s="361">
        <f t="shared" si="21"/>
        <v>1803.879671</v>
      </c>
      <c r="AN74" s="361">
        <f t="shared" si="21"/>
        <v>1037.965034</v>
      </c>
      <c r="AO74" s="361">
        <f t="shared" si="21"/>
        <v>1097.954849</v>
      </c>
      <c r="AP74" s="361">
        <f t="shared" si="21"/>
        <v>800.9451735</v>
      </c>
      <c r="AQ74" s="361">
        <f t="shared" si="21"/>
        <v>304.4248947</v>
      </c>
      <c r="AR74" s="361">
        <f t="shared" si="21"/>
        <v>830.1036832</v>
      </c>
      <c r="AS74" s="361">
        <f t="shared" si="21"/>
        <v>598.8991869</v>
      </c>
      <c r="AT74" s="361">
        <f t="shared" si="21"/>
        <v>303.8712954</v>
      </c>
      <c r="AU74" s="361">
        <f t="shared" si="21"/>
        <v>941.664118</v>
      </c>
      <c r="AV74" s="361">
        <f t="shared" si="21"/>
        <v>1447.747044</v>
      </c>
      <c r="AW74" s="722"/>
    </row>
    <row r="75">
      <c r="A75" s="710"/>
      <c r="B75" s="711"/>
      <c r="C75" s="712"/>
      <c r="D75" s="718" t="s">
        <v>946</v>
      </c>
      <c r="E75" s="42"/>
      <c r="F75" s="451"/>
      <c r="G75" s="719"/>
      <c r="H75" s="236"/>
      <c r="I75" s="371"/>
      <c r="J75" s="371"/>
      <c r="K75" s="371"/>
      <c r="L75" s="371"/>
      <c r="M75" s="371"/>
      <c r="N75" s="371"/>
      <c r="O75" s="371"/>
      <c r="P75" s="371"/>
      <c r="Q75" s="371"/>
      <c r="R75" s="371"/>
      <c r="S75" s="371"/>
      <c r="T75" s="371"/>
      <c r="U75" s="371"/>
      <c r="V75" s="371"/>
      <c r="W75" s="371"/>
      <c r="X75" s="371"/>
      <c r="Y75" s="371"/>
      <c r="Z75" s="371"/>
      <c r="AA75" s="371"/>
      <c r="AB75" s="371"/>
      <c r="AC75" s="371"/>
      <c r="AD75" s="371"/>
      <c r="AE75" s="371"/>
      <c r="AF75" s="371"/>
      <c r="AG75" s="371"/>
      <c r="AH75" s="371"/>
      <c r="AI75" s="371"/>
      <c r="AJ75" s="371"/>
      <c r="AK75" s="371"/>
      <c r="AL75" s="371"/>
      <c r="AM75" s="371"/>
      <c r="AN75" s="371"/>
      <c r="AO75" s="371"/>
      <c r="AP75" s="371"/>
      <c r="AQ75" s="371"/>
      <c r="AR75" s="371"/>
      <c r="AS75" s="371"/>
      <c r="AT75" s="371"/>
      <c r="AU75" s="371"/>
      <c r="AV75" s="371"/>
      <c r="AW75" s="720"/>
    </row>
    <row r="76">
      <c r="A76" s="710"/>
      <c r="B76" s="711"/>
      <c r="C76" s="712"/>
      <c r="D76" s="712"/>
      <c r="E76" s="254" t="s">
        <v>959</v>
      </c>
      <c r="F76" s="451" t="s">
        <v>68</v>
      </c>
      <c r="G76" s="719" t="s">
        <v>161</v>
      </c>
      <c r="H76" s="236" t="s">
        <v>162</v>
      </c>
      <c r="I76" s="371">
        <f t="shared" ref="I76:AV76" si="22">I23</f>
        <v>291253.7635</v>
      </c>
      <c r="J76" s="371">
        <f t="shared" si="22"/>
        <v>188617.3881</v>
      </c>
      <c r="K76" s="371">
        <f t="shared" si="22"/>
        <v>223617.7233</v>
      </c>
      <c r="L76" s="371">
        <f t="shared" si="22"/>
        <v>247934.3818</v>
      </c>
      <c r="M76" s="371">
        <f t="shared" si="22"/>
        <v>263694.257</v>
      </c>
      <c r="N76" s="371">
        <f t="shared" si="22"/>
        <v>298007.8583</v>
      </c>
      <c r="O76" s="371">
        <f t="shared" si="22"/>
        <v>441337.8105</v>
      </c>
      <c r="P76" s="371">
        <f t="shared" si="22"/>
        <v>495806.9328</v>
      </c>
      <c r="Q76" s="371">
        <f t="shared" si="22"/>
        <v>323319.1179</v>
      </c>
      <c r="R76" s="371">
        <f t="shared" si="22"/>
        <v>56499.86827</v>
      </c>
      <c r="S76" s="371">
        <f t="shared" si="22"/>
        <v>82988.58129</v>
      </c>
      <c r="T76" s="371">
        <f t="shared" si="22"/>
        <v>72170.43845</v>
      </c>
      <c r="U76" s="371">
        <f t="shared" si="22"/>
        <v>88528.38889</v>
      </c>
      <c r="V76" s="371">
        <f t="shared" si="22"/>
        <v>102471.2625</v>
      </c>
      <c r="W76" s="371">
        <f t="shared" si="22"/>
        <v>102874.4098</v>
      </c>
      <c r="X76" s="371">
        <f t="shared" si="22"/>
        <v>254966.544</v>
      </c>
      <c r="Y76" s="371">
        <f t="shared" si="22"/>
        <v>38178.81722</v>
      </c>
      <c r="Z76" s="371">
        <f t="shared" si="22"/>
        <v>94757.64998</v>
      </c>
      <c r="AA76" s="371">
        <f t="shared" si="22"/>
        <v>5208.975652</v>
      </c>
      <c r="AB76" s="371">
        <f t="shared" si="22"/>
        <v>45432.9616</v>
      </c>
      <c r="AC76" s="371">
        <f t="shared" si="22"/>
        <v>25327.23145</v>
      </c>
      <c r="AD76" s="371">
        <f t="shared" si="22"/>
        <v>15285.65198</v>
      </c>
      <c r="AE76" s="371">
        <f t="shared" si="22"/>
        <v>42912.55496</v>
      </c>
      <c r="AF76" s="371">
        <f t="shared" si="22"/>
        <v>31414.85907</v>
      </c>
      <c r="AG76" s="371">
        <f t="shared" si="22"/>
        <v>153337.9943</v>
      </c>
      <c r="AH76" s="371">
        <f t="shared" si="22"/>
        <v>89992.29203</v>
      </c>
      <c r="AI76" s="371">
        <f t="shared" si="22"/>
        <v>162563.8523</v>
      </c>
      <c r="AJ76" s="371">
        <f t="shared" si="22"/>
        <v>37714.58524</v>
      </c>
      <c r="AK76" s="371">
        <f t="shared" si="22"/>
        <v>144425.1672</v>
      </c>
      <c r="AL76" s="371">
        <f t="shared" si="22"/>
        <v>250682.7467</v>
      </c>
      <c r="AM76" s="371">
        <f t="shared" si="22"/>
        <v>297947.9657</v>
      </c>
      <c r="AN76" s="371">
        <f t="shared" si="22"/>
        <v>171441.3524</v>
      </c>
      <c r="AO76" s="371">
        <f t="shared" si="22"/>
        <v>181349.9087</v>
      </c>
      <c r="AP76" s="371">
        <f t="shared" si="22"/>
        <v>132292.6296</v>
      </c>
      <c r="AQ76" s="371">
        <f t="shared" si="22"/>
        <v>50282.0557</v>
      </c>
      <c r="AR76" s="371">
        <f t="shared" si="22"/>
        <v>137108.7594</v>
      </c>
      <c r="AS76" s="371">
        <f t="shared" si="22"/>
        <v>98920.56399</v>
      </c>
      <c r="AT76" s="371">
        <f t="shared" si="22"/>
        <v>50190.61735</v>
      </c>
      <c r="AU76" s="371">
        <f t="shared" si="22"/>
        <v>155535.2682</v>
      </c>
      <c r="AV76" s="371">
        <f t="shared" si="22"/>
        <v>239125.3107</v>
      </c>
      <c r="AW76" s="720"/>
    </row>
    <row r="77">
      <c r="A77" s="710"/>
      <c r="B77" s="711"/>
      <c r="C77" s="712"/>
      <c r="D77" s="712"/>
      <c r="E77" s="257" t="s">
        <v>960</v>
      </c>
      <c r="F77" s="454" t="s">
        <v>76</v>
      </c>
      <c r="G77" s="721" t="s">
        <v>161</v>
      </c>
      <c r="H77" s="240" t="s">
        <v>162</v>
      </c>
      <c r="I77" s="361">
        <f t="shared" ref="I77:AV77" si="23">I76*$H55</f>
        <v>2038.776345</v>
      </c>
      <c r="J77" s="361">
        <f t="shared" si="23"/>
        <v>1320.321717</v>
      </c>
      <c r="K77" s="361">
        <f t="shared" si="23"/>
        <v>1565.324063</v>
      </c>
      <c r="L77" s="361">
        <f t="shared" si="23"/>
        <v>1735.540673</v>
      </c>
      <c r="M77" s="361">
        <f t="shared" si="23"/>
        <v>1845.859799</v>
      </c>
      <c r="N77" s="361">
        <f t="shared" si="23"/>
        <v>2086.055008</v>
      </c>
      <c r="O77" s="361">
        <f t="shared" si="23"/>
        <v>3089.364674</v>
      </c>
      <c r="P77" s="361">
        <f t="shared" si="23"/>
        <v>3470.648529</v>
      </c>
      <c r="Q77" s="361">
        <f t="shared" si="23"/>
        <v>2263.233825</v>
      </c>
      <c r="R77" s="361">
        <f t="shared" si="23"/>
        <v>395.4990779</v>
      </c>
      <c r="S77" s="361">
        <f t="shared" si="23"/>
        <v>580.9200691</v>
      </c>
      <c r="T77" s="361">
        <f t="shared" si="23"/>
        <v>505.1930692</v>
      </c>
      <c r="U77" s="361">
        <f t="shared" si="23"/>
        <v>619.6987222</v>
      </c>
      <c r="V77" s="361">
        <f t="shared" si="23"/>
        <v>717.2988378</v>
      </c>
      <c r="W77" s="361">
        <f t="shared" si="23"/>
        <v>720.1208685</v>
      </c>
      <c r="X77" s="361">
        <f t="shared" si="23"/>
        <v>1784.765808</v>
      </c>
      <c r="Y77" s="361">
        <f t="shared" si="23"/>
        <v>267.2517205</v>
      </c>
      <c r="Z77" s="361">
        <f t="shared" si="23"/>
        <v>663.3035498</v>
      </c>
      <c r="AA77" s="361">
        <f t="shared" si="23"/>
        <v>36.46282956</v>
      </c>
      <c r="AB77" s="361">
        <f t="shared" si="23"/>
        <v>318.0307312</v>
      </c>
      <c r="AC77" s="361">
        <f t="shared" si="23"/>
        <v>177.2906202</v>
      </c>
      <c r="AD77" s="361">
        <f t="shared" si="23"/>
        <v>106.9995638</v>
      </c>
      <c r="AE77" s="361">
        <f t="shared" si="23"/>
        <v>300.3878847</v>
      </c>
      <c r="AF77" s="361">
        <f t="shared" si="23"/>
        <v>219.9040135</v>
      </c>
      <c r="AG77" s="361">
        <f t="shared" si="23"/>
        <v>1073.36596</v>
      </c>
      <c r="AH77" s="361">
        <f t="shared" si="23"/>
        <v>629.9460442</v>
      </c>
      <c r="AI77" s="361">
        <f t="shared" si="23"/>
        <v>1137.946966</v>
      </c>
      <c r="AJ77" s="361">
        <f t="shared" si="23"/>
        <v>264.0020967</v>
      </c>
      <c r="AK77" s="361">
        <f t="shared" si="23"/>
        <v>1010.97617</v>
      </c>
      <c r="AL77" s="361">
        <f t="shared" si="23"/>
        <v>1754.779227</v>
      </c>
      <c r="AM77" s="361">
        <f t="shared" si="23"/>
        <v>2085.63576</v>
      </c>
      <c r="AN77" s="361">
        <f t="shared" si="23"/>
        <v>1200.089467</v>
      </c>
      <c r="AO77" s="361">
        <f t="shared" si="23"/>
        <v>1269.449361</v>
      </c>
      <c r="AP77" s="361">
        <f t="shared" si="23"/>
        <v>926.0484071</v>
      </c>
      <c r="AQ77" s="361">
        <f t="shared" si="23"/>
        <v>351.9743899</v>
      </c>
      <c r="AR77" s="361">
        <f t="shared" si="23"/>
        <v>959.7613157</v>
      </c>
      <c r="AS77" s="361">
        <f t="shared" si="23"/>
        <v>692.443948</v>
      </c>
      <c r="AT77" s="361">
        <f t="shared" si="23"/>
        <v>351.3343215</v>
      </c>
      <c r="AU77" s="361">
        <f t="shared" si="23"/>
        <v>1088.746877</v>
      </c>
      <c r="AV77" s="361">
        <f t="shared" si="23"/>
        <v>1673.877175</v>
      </c>
      <c r="AW77" s="722"/>
    </row>
    <row r="78">
      <c r="A78" s="710"/>
      <c r="B78" s="711"/>
      <c r="C78" s="712"/>
      <c r="D78" s="712"/>
      <c r="E78" s="257" t="s">
        <v>961</v>
      </c>
      <c r="F78" s="454" t="s">
        <v>76</v>
      </c>
      <c r="G78" s="721" t="s">
        <v>161</v>
      </c>
      <c r="H78" s="240" t="s">
        <v>162</v>
      </c>
      <c r="I78" s="266">
        <v>0.0</v>
      </c>
      <c r="J78" s="266">
        <v>0.0</v>
      </c>
      <c r="K78" s="266">
        <v>0.0</v>
      </c>
      <c r="L78" s="266">
        <v>0.0</v>
      </c>
      <c r="M78" s="266">
        <v>0.0</v>
      </c>
      <c r="N78" s="266">
        <v>0.0</v>
      </c>
      <c r="O78" s="266">
        <v>0.0</v>
      </c>
      <c r="P78" s="266">
        <v>0.0</v>
      </c>
      <c r="Q78" s="266">
        <v>0.0</v>
      </c>
      <c r="R78" s="266">
        <v>0.0</v>
      </c>
      <c r="S78" s="266">
        <v>0.0</v>
      </c>
      <c r="T78" s="266">
        <v>0.0</v>
      </c>
      <c r="U78" s="266">
        <v>0.0</v>
      </c>
      <c r="V78" s="266">
        <v>0.0</v>
      </c>
      <c r="W78" s="266">
        <v>0.0</v>
      </c>
      <c r="X78" s="266">
        <v>0.0</v>
      </c>
      <c r="Y78" s="266">
        <v>0.0</v>
      </c>
      <c r="Z78" s="266">
        <v>0.0</v>
      </c>
      <c r="AA78" s="266">
        <v>0.0</v>
      </c>
      <c r="AB78" s="266">
        <v>0.0</v>
      </c>
      <c r="AC78" s="266">
        <v>0.0</v>
      </c>
      <c r="AD78" s="266">
        <v>0.0</v>
      </c>
      <c r="AE78" s="266">
        <v>0.0</v>
      </c>
      <c r="AF78" s="266">
        <v>0.0</v>
      </c>
      <c r="AG78" s="266">
        <v>0.0</v>
      </c>
      <c r="AH78" s="266">
        <v>0.0</v>
      </c>
      <c r="AI78" s="266">
        <v>0.0</v>
      </c>
      <c r="AJ78" s="266">
        <v>0.0</v>
      </c>
      <c r="AK78" s="266">
        <v>0.0</v>
      </c>
      <c r="AL78" s="266">
        <v>0.0</v>
      </c>
      <c r="AM78" s="266">
        <v>0.0</v>
      </c>
      <c r="AN78" s="266">
        <v>0.0</v>
      </c>
      <c r="AO78" s="266">
        <v>0.0</v>
      </c>
      <c r="AP78" s="266">
        <v>0.0</v>
      </c>
      <c r="AQ78" s="266">
        <v>0.0</v>
      </c>
      <c r="AR78" s="266">
        <v>0.0</v>
      </c>
      <c r="AS78" s="266">
        <v>0.0</v>
      </c>
      <c r="AT78" s="266">
        <v>0.0</v>
      </c>
      <c r="AU78" s="266">
        <v>0.0</v>
      </c>
      <c r="AV78" s="266">
        <v>0.0</v>
      </c>
      <c r="AW78" s="722"/>
    </row>
    <row r="79">
      <c r="A79" s="710"/>
      <c r="B79" s="711"/>
      <c r="C79" s="712"/>
      <c r="D79" s="712"/>
      <c r="E79" s="257" t="s">
        <v>962</v>
      </c>
      <c r="F79" s="454" t="s">
        <v>76</v>
      </c>
      <c r="G79" s="721" t="s">
        <v>161</v>
      </c>
      <c r="H79" s="240" t="s">
        <v>162</v>
      </c>
      <c r="I79" s="361">
        <f t="shared" ref="I79:AV79" si="24">I77-I78</f>
        <v>2038.776345</v>
      </c>
      <c r="J79" s="361">
        <f t="shared" si="24"/>
        <v>1320.321717</v>
      </c>
      <c r="K79" s="361">
        <f t="shared" si="24"/>
        <v>1565.324063</v>
      </c>
      <c r="L79" s="361">
        <f t="shared" si="24"/>
        <v>1735.540673</v>
      </c>
      <c r="M79" s="361">
        <f t="shared" si="24"/>
        <v>1845.859799</v>
      </c>
      <c r="N79" s="361">
        <f t="shared" si="24"/>
        <v>2086.055008</v>
      </c>
      <c r="O79" s="361">
        <f t="shared" si="24"/>
        <v>3089.364674</v>
      </c>
      <c r="P79" s="361">
        <f t="shared" si="24"/>
        <v>3470.648529</v>
      </c>
      <c r="Q79" s="361">
        <f t="shared" si="24"/>
        <v>2263.233825</v>
      </c>
      <c r="R79" s="361">
        <f t="shared" si="24"/>
        <v>395.4990779</v>
      </c>
      <c r="S79" s="361">
        <f t="shared" si="24"/>
        <v>580.9200691</v>
      </c>
      <c r="T79" s="361">
        <f t="shared" si="24"/>
        <v>505.1930692</v>
      </c>
      <c r="U79" s="361">
        <f t="shared" si="24"/>
        <v>619.6987222</v>
      </c>
      <c r="V79" s="361">
        <f t="shared" si="24"/>
        <v>717.2988378</v>
      </c>
      <c r="W79" s="361">
        <f t="shared" si="24"/>
        <v>720.1208685</v>
      </c>
      <c r="X79" s="361">
        <f t="shared" si="24"/>
        <v>1784.765808</v>
      </c>
      <c r="Y79" s="361">
        <f t="shared" si="24"/>
        <v>267.2517205</v>
      </c>
      <c r="Z79" s="361">
        <f t="shared" si="24"/>
        <v>663.3035498</v>
      </c>
      <c r="AA79" s="361">
        <f t="shared" si="24"/>
        <v>36.46282956</v>
      </c>
      <c r="AB79" s="361">
        <f t="shared" si="24"/>
        <v>318.0307312</v>
      </c>
      <c r="AC79" s="361">
        <f t="shared" si="24"/>
        <v>177.2906202</v>
      </c>
      <c r="AD79" s="361">
        <f t="shared" si="24"/>
        <v>106.9995638</v>
      </c>
      <c r="AE79" s="361">
        <f t="shared" si="24"/>
        <v>300.3878847</v>
      </c>
      <c r="AF79" s="361">
        <f t="shared" si="24"/>
        <v>219.9040135</v>
      </c>
      <c r="AG79" s="361">
        <f t="shared" si="24"/>
        <v>1073.36596</v>
      </c>
      <c r="AH79" s="361">
        <f t="shared" si="24"/>
        <v>629.9460442</v>
      </c>
      <c r="AI79" s="361">
        <f t="shared" si="24"/>
        <v>1137.946966</v>
      </c>
      <c r="AJ79" s="361">
        <f t="shared" si="24"/>
        <v>264.0020967</v>
      </c>
      <c r="AK79" s="361">
        <f t="shared" si="24"/>
        <v>1010.97617</v>
      </c>
      <c r="AL79" s="361">
        <f t="shared" si="24"/>
        <v>1754.779227</v>
      </c>
      <c r="AM79" s="361">
        <f t="shared" si="24"/>
        <v>2085.63576</v>
      </c>
      <c r="AN79" s="361">
        <f t="shared" si="24"/>
        <v>1200.089467</v>
      </c>
      <c r="AO79" s="361">
        <f t="shared" si="24"/>
        <v>1269.449361</v>
      </c>
      <c r="AP79" s="361">
        <f t="shared" si="24"/>
        <v>926.0484071</v>
      </c>
      <c r="AQ79" s="361">
        <f t="shared" si="24"/>
        <v>351.9743899</v>
      </c>
      <c r="AR79" s="361">
        <f t="shared" si="24"/>
        <v>959.7613157</v>
      </c>
      <c r="AS79" s="361">
        <f t="shared" si="24"/>
        <v>692.443948</v>
      </c>
      <c r="AT79" s="361">
        <f t="shared" si="24"/>
        <v>351.3343215</v>
      </c>
      <c r="AU79" s="361">
        <f t="shared" si="24"/>
        <v>1088.746877</v>
      </c>
      <c r="AV79" s="361">
        <f t="shared" si="24"/>
        <v>1673.877175</v>
      </c>
      <c r="AW79" s="722"/>
    </row>
    <row r="80">
      <c r="A80" s="710"/>
      <c r="B80" s="711"/>
      <c r="C80" s="712"/>
      <c r="D80" s="718" t="s">
        <v>963</v>
      </c>
      <c r="E80" s="42"/>
      <c r="F80" s="454"/>
      <c r="G80" s="721"/>
      <c r="H80" s="240"/>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c r="AG80" s="361"/>
      <c r="AH80" s="361"/>
      <c r="AI80" s="361"/>
      <c r="AJ80" s="361"/>
      <c r="AK80" s="361"/>
      <c r="AL80" s="361"/>
      <c r="AM80" s="361"/>
      <c r="AN80" s="361"/>
      <c r="AO80" s="361"/>
      <c r="AP80" s="361"/>
      <c r="AQ80" s="361"/>
      <c r="AR80" s="361"/>
      <c r="AS80" s="361"/>
      <c r="AT80" s="361"/>
      <c r="AU80" s="361"/>
      <c r="AV80" s="361"/>
      <c r="AW80" s="722"/>
    </row>
    <row r="81">
      <c r="A81" s="710"/>
      <c r="B81" s="711"/>
      <c r="C81" s="712"/>
      <c r="D81" s="712"/>
      <c r="E81" s="257" t="s">
        <v>951</v>
      </c>
      <c r="F81" s="454" t="s">
        <v>76</v>
      </c>
      <c r="G81" s="721" t="s">
        <v>161</v>
      </c>
      <c r="H81" s="240" t="s">
        <v>162</v>
      </c>
      <c r="I81" s="361">
        <f t="shared" ref="I81:AV81" si="25">-SUM(I74,I79)</f>
        <v>-3802.127008</v>
      </c>
      <c r="J81" s="361">
        <f t="shared" si="25"/>
        <v>-2462.276391</v>
      </c>
      <c r="K81" s="361">
        <f t="shared" si="25"/>
        <v>-2919.182829</v>
      </c>
      <c r="L81" s="361">
        <f t="shared" si="25"/>
        <v>-3236.62087</v>
      </c>
      <c r="M81" s="361">
        <f t="shared" si="25"/>
        <v>-3442.355712</v>
      </c>
      <c r="N81" s="361">
        <f t="shared" si="25"/>
        <v>-3890.297289</v>
      </c>
      <c r="O81" s="361">
        <f t="shared" si="25"/>
        <v>-5761.375883</v>
      </c>
      <c r="P81" s="361">
        <f t="shared" si="25"/>
        <v>-6472.434578</v>
      </c>
      <c r="Q81" s="361">
        <f t="shared" si="25"/>
        <v>-4220.719195</v>
      </c>
      <c r="R81" s="361">
        <f t="shared" si="25"/>
        <v>-737.5687529</v>
      </c>
      <c r="S81" s="361">
        <f t="shared" si="25"/>
        <v>-1083.361542</v>
      </c>
      <c r="T81" s="361">
        <f t="shared" si="25"/>
        <v>-942.1377768</v>
      </c>
      <c r="U81" s="361">
        <f t="shared" si="25"/>
        <v>-1155.680099</v>
      </c>
      <c r="V81" s="361">
        <f t="shared" si="25"/>
        <v>-1337.695178</v>
      </c>
      <c r="W81" s="361">
        <f t="shared" si="25"/>
        <v>-1342.958001</v>
      </c>
      <c r="X81" s="361">
        <f t="shared" si="25"/>
        <v>-3328.421138</v>
      </c>
      <c r="Y81" s="361">
        <f t="shared" si="25"/>
        <v>-498.3994381</v>
      </c>
      <c r="Z81" s="361">
        <f t="shared" si="25"/>
        <v>-1236.999021</v>
      </c>
      <c r="AA81" s="361">
        <f t="shared" si="25"/>
        <v>-67.99976341</v>
      </c>
      <c r="AB81" s="361">
        <f t="shared" si="25"/>
        <v>-593.097539</v>
      </c>
      <c r="AC81" s="361">
        <f t="shared" si="25"/>
        <v>-330.6304083</v>
      </c>
      <c r="AD81" s="361">
        <f t="shared" si="25"/>
        <v>-199.544169</v>
      </c>
      <c r="AE81" s="361">
        <f t="shared" si="25"/>
        <v>-560.195282</v>
      </c>
      <c r="AF81" s="361">
        <f t="shared" si="25"/>
        <v>-410.1003973</v>
      </c>
      <c r="AG81" s="361">
        <f t="shared" si="25"/>
        <v>-2001.727024</v>
      </c>
      <c r="AH81" s="361">
        <f t="shared" si="25"/>
        <v>-1174.790396</v>
      </c>
      <c r="AI81" s="361">
        <f t="shared" si="25"/>
        <v>-2122.164555</v>
      </c>
      <c r="AJ81" s="361">
        <f t="shared" si="25"/>
        <v>-492.3391939</v>
      </c>
      <c r="AK81" s="361">
        <f t="shared" si="25"/>
        <v>-1885.375907</v>
      </c>
      <c r="AL81" s="361">
        <f t="shared" si="25"/>
        <v>-3272.498972</v>
      </c>
      <c r="AM81" s="361">
        <f t="shared" si="25"/>
        <v>-3889.515431</v>
      </c>
      <c r="AN81" s="361">
        <f t="shared" si="25"/>
        <v>-2238.054501</v>
      </c>
      <c r="AO81" s="361">
        <f t="shared" si="25"/>
        <v>-2367.40421</v>
      </c>
      <c r="AP81" s="361">
        <f t="shared" si="25"/>
        <v>-1726.993581</v>
      </c>
      <c r="AQ81" s="361">
        <f t="shared" si="25"/>
        <v>-656.3992846</v>
      </c>
      <c r="AR81" s="361">
        <f t="shared" si="25"/>
        <v>-1789.864999</v>
      </c>
      <c r="AS81" s="361">
        <f t="shared" si="25"/>
        <v>-1291.343135</v>
      </c>
      <c r="AT81" s="361">
        <f t="shared" si="25"/>
        <v>-655.2056169</v>
      </c>
      <c r="AU81" s="361">
        <f t="shared" si="25"/>
        <v>-2030.410995</v>
      </c>
      <c r="AV81" s="361">
        <f t="shared" si="25"/>
        <v>-3121.624219</v>
      </c>
      <c r="AW81" s="722"/>
    </row>
    <row r="82">
      <c r="A82" s="710"/>
      <c r="B82" s="711"/>
      <c r="C82" s="712"/>
      <c r="D82" s="712"/>
      <c r="E82" s="257" t="s">
        <v>952</v>
      </c>
      <c r="F82" s="454" t="s">
        <v>72</v>
      </c>
      <c r="G82" s="721" t="s">
        <v>155</v>
      </c>
      <c r="H82" s="725" t="str">
        <f t="shared" ref="H82:AV82" si="26">H33</f>
        <v>-</v>
      </c>
      <c r="I82" s="241">
        <f t="shared" si="26"/>
        <v>0.9</v>
      </c>
      <c r="J82" s="241">
        <f t="shared" si="26"/>
        <v>0.9</v>
      </c>
      <c r="K82" s="241">
        <f t="shared" si="26"/>
        <v>0.9</v>
      </c>
      <c r="L82" s="241">
        <f t="shared" si="26"/>
        <v>0.9</v>
      </c>
      <c r="M82" s="241">
        <f t="shared" si="26"/>
        <v>0.9</v>
      </c>
      <c r="N82" s="241">
        <f t="shared" si="26"/>
        <v>0.9</v>
      </c>
      <c r="O82" s="241">
        <f t="shared" si="26"/>
        <v>0.9</v>
      </c>
      <c r="P82" s="241">
        <f t="shared" si="26"/>
        <v>0.9</v>
      </c>
      <c r="Q82" s="241">
        <f t="shared" si="26"/>
        <v>0.9</v>
      </c>
      <c r="R82" s="241">
        <f t="shared" si="26"/>
        <v>0.9</v>
      </c>
      <c r="S82" s="241">
        <f t="shared" si="26"/>
        <v>0.9</v>
      </c>
      <c r="T82" s="241">
        <f t="shared" si="26"/>
        <v>0.9</v>
      </c>
      <c r="U82" s="241">
        <f t="shared" si="26"/>
        <v>0.9</v>
      </c>
      <c r="V82" s="241">
        <f t="shared" si="26"/>
        <v>0.9</v>
      </c>
      <c r="W82" s="241">
        <f t="shared" si="26"/>
        <v>0.9</v>
      </c>
      <c r="X82" s="241">
        <f t="shared" si="26"/>
        <v>0.9</v>
      </c>
      <c r="Y82" s="241">
        <f t="shared" si="26"/>
        <v>0.9</v>
      </c>
      <c r="Z82" s="241">
        <f t="shared" si="26"/>
        <v>0.9</v>
      </c>
      <c r="AA82" s="241">
        <f t="shared" si="26"/>
        <v>0.9</v>
      </c>
      <c r="AB82" s="241">
        <f t="shared" si="26"/>
        <v>0.9</v>
      </c>
      <c r="AC82" s="241">
        <f t="shared" si="26"/>
        <v>0.9</v>
      </c>
      <c r="AD82" s="241">
        <f t="shared" si="26"/>
        <v>0.9</v>
      </c>
      <c r="AE82" s="241">
        <f t="shared" si="26"/>
        <v>0.9</v>
      </c>
      <c r="AF82" s="241">
        <f t="shared" si="26"/>
        <v>0.9</v>
      </c>
      <c r="AG82" s="241">
        <f t="shared" si="26"/>
        <v>0.9</v>
      </c>
      <c r="AH82" s="241">
        <f t="shared" si="26"/>
        <v>0.9</v>
      </c>
      <c r="AI82" s="241">
        <f t="shared" si="26"/>
        <v>0.9</v>
      </c>
      <c r="AJ82" s="241">
        <f t="shared" si="26"/>
        <v>0.9</v>
      </c>
      <c r="AK82" s="241">
        <f t="shared" si="26"/>
        <v>0.9</v>
      </c>
      <c r="AL82" s="241">
        <f t="shared" si="26"/>
        <v>0.9</v>
      </c>
      <c r="AM82" s="241">
        <f t="shared" si="26"/>
        <v>0.9</v>
      </c>
      <c r="AN82" s="241">
        <f t="shared" si="26"/>
        <v>0.9</v>
      </c>
      <c r="AO82" s="241">
        <f t="shared" si="26"/>
        <v>0.9</v>
      </c>
      <c r="AP82" s="241">
        <f t="shared" si="26"/>
        <v>0.9</v>
      </c>
      <c r="AQ82" s="241">
        <f t="shared" si="26"/>
        <v>0.9</v>
      </c>
      <c r="AR82" s="241">
        <f t="shared" si="26"/>
        <v>0.9</v>
      </c>
      <c r="AS82" s="241">
        <f t="shared" si="26"/>
        <v>0.9</v>
      </c>
      <c r="AT82" s="241">
        <f t="shared" si="26"/>
        <v>0.9</v>
      </c>
      <c r="AU82" s="241">
        <f t="shared" si="26"/>
        <v>0.9</v>
      </c>
      <c r="AV82" s="241">
        <f t="shared" si="26"/>
        <v>0.9</v>
      </c>
      <c r="AW82" s="722"/>
    </row>
    <row r="83">
      <c r="A83" s="710"/>
      <c r="B83" s="711"/>
      <c r="C83" s="712"/>
      <c r="D83" s="712"/>
      <c r="E83" s="272" t="s">
        <v>964</v>
      </c>
      <c r="F83" s="460" t="s">
        <v>76</v>
      </c>
      <c r="G83" s="723" t="s">
        <v>161</v>
      </c>
      <c r="H83" s="228" t="s">
        <v>162</v>
      </c>
      <c r="I83" s="338">
        <f t="shared" ref="I83:AV83" si="27">I81*I82</f>
        <v>-3421.914307</v>
      </c>
      <c r="J83" s="338">
        <f t="shared" si="27"/>
        <v>-2216.048752</v>
      </c>
      <c r="K83" s="338">
        <f t="shared" si="27"/>
        <v>-2627.264546</v>
      </c>
      <c r="L83" s="338">
        <f t="shared" si="27"/>
        <v>-2912.958783</v>
      </c>
      <c r="M83" s="338">
        <f t="shared" si="27"/>
        <v>-3098.120141</v>
      </c>
      <c r="N83" s="338">
        <f t="shared" si="27"/>
        <v>-3501.26756</v>
      </c>
      <c r="O83" s="338">
        <f t="shared" si="27"/>
        <v>-5185.238295</v>
      </c>
      <c r="P83" s="338">
        <f t="shared" si="27"/>
        <v>-5825.19112</v>
      </c>
      <c r="Q83" s="338">
        <f t="shared" si="27"/>
        <v>-3798.647276</v>
      </c>
      <c r="R83" s="338">
        <f t="shared" si="27"/>
        <v>-663.8118776</v>
      </c>
      <c r="S83" s="338">
        <f t="shared" si="27"/>
        <v>-975.0253876</v>
      </c>
      <c r="T83" s="338">
        <f t="shared" si="27"/>
        <v>-847.9239991</v>
      </c>
      <c r="U83" s="338">
        <f t="shared" si="27"/>
        <v>-1040.112089</v>
      </c>
      <c r="V83" s="338">
        <f t="shared" si="27"/>
        <v>-1203.92566</v>
      </c>
      <c r="W83" s="338">
        <f t="shared" si="27"/>
        <v>-1208.662201</v>
      </c>
      <c r="X83" s="338">
        <f t="shared" si="27"/>
        <v>-2995.579025</v>
      </c>
      <c r="Y83" s="338">
        <f t="shared" si="27"/>
        <v>-448.5594943</v>
      </c>
      <c r="Z83" s="338">
        <f t="shared" si="27"/>
        <v>-1113.299118</v>
      </c>
      <c r="AA83" s="338">
        <f t="shared" si="27"/>
        <v>-61.19978707</v>
      </c>
      <c r="AB83" s="338">
        <f t="shared" si="27"/>
        <v>-533.7877851</v>
      </c>
      <c r="AC83" s="338">
        <f t="shared" si="27"/>
        <v>-297.5673674</v>
      </c>
      <c r="AD83" s="338">
        <f t="shared" si="27"/>
        <v>-179.5897521</v>
      </c>
      <c r="AE83" s="338">
        <f t="shared" si="27"/>
        <v>-504.1757538</v>
      </c>
      <c r="AF83" s="338">
        <f t="shared" si="27"/>
        <v>-369.0903575</v>
      </c>
      <c r="AG83" s="338">
        <f t="shared" si="27"/>
        <v>-1801.554322</v>
      </c>
      <c r="AH83" s="338">
        <f t="shared" si="27"/>
        <v>-1057.311356</v>
      </c>
      <c r="AI83" s="338">
        <f t="shared" si="27"/>
        <v>-1909.948099</v>
      </c>
      <c r="AJ83" s="338">
        <f t="shared" si="27"/>
        <v>-443.1052745</v>
      </c>
      <c r="AK83" s="338">
        <f t="shared" si="27"/>
        <v>-1696.838317</v>
      </c>
      <c r="AL83" s="338">
        <f t="shared" si="27"/>
        <v>-2945.249075</v>
      </c>
      <c r="AM83" s="338">
        <f t="shared" si="27"/>
        <v>-3500.563888</v>
      </c>
      <c r="AN83" s="338">
        <f t="shared" si="27"/>
        <v>-2014.249051</v>
      </c>
      <c r="AO83" s="338">
        <f t="shared" si="27"/>
        <v>-2130.663789</v>
      </c>
      <c r="AP83" s="338">
        <f t="shared" si="27"/>
        <v>-1554.294222</v>
      </c>
      <c r="AQ83" s="338">
        <f t="shared" si="27"/>
        <v>-590.7593561</v>
      </c>
      <c r="AR83" s="338">
        <f t="shared" si="27"/>
        <v>-1610.878499</v>
      </c>
      <c r="AS83" s="338">
        <f t="shared" si="27"/>
        <v>-1162.208821</v>
      </c>
      <c r="AT83" s="338">
        <f t="shared" si="27"/>
        <v>-589.6850552</v>
      </c>
      <c r="AU83" s="338">
        <f t="shared" si="27"/>
        <v>-1827.369896</v>
      </c>
      <c r="AV83" s="338">
        <f t="shared" si="27"/>
        <v>-2809.461797</v>
      </c>
      <c r="AW83" s="724"/>
    </row>
    <row r="84">
      <c r="A84" s="710"/>
      <c r="B84" s="711"/>
      <c r="C84" s="712"/>
      <c r="D84" s="712"/>
      <c r="E84" s="269"/>
      <c r="F84" s="713"/>
      <c r="G84" s="714"/>
      <c r="H84" s="715"/>
      <c r="I84" s="716"/>
      <c r="J84" s="716"/>
      <c r="K84" s="716"/>
      <c r="L84" s="716"/>
      <c r="M84" s="716"/>
      <c r="N84" s="716"/>
      <c r="O84" s="716"/>
      <c r="P84" s="716"/>
      <c r="Q84" s="716"/>
      <c r="R84" s="716"/>
      <c r="S84" s="716"/>
      <c r="T84" s="716"/>
      <c r="U84" s="716"/>
      <c r="V84" s="716"/>
      <c r="W84" s="716"/>
      <c r="X84" s="716"/>
      <c r="Y84" s="716"/>
      <c r="Z84" s="716"/>
      <c r="AA84" s="716"/>
      <c r="AB84" s="716"/>
      <c r="AC84" s="716"/>
      <c r="AD84" s="716"/>
      <c r="AE84" s="716"/>
      <c r="AF84" s="716"/>
      <c r="AG84" s="716"/>
      <c r="AH84" s="716"/>
      <c r="AI84" s="716"/>
      <c r="AJ84" s="716"/>
      <c r="AK84" s="716"/>
      <c r="AL84" s="716"/>
      <c r="AM84" s="716"/>
      <c r="AN84" s="716"/>
      <c r="AO84" s="716"/>
      <c r="AP84" s="716"/>
      <c r="AQ84" s="716"/>
      <c r="AR84" s="716"/>
      <c r="AS84" s="716"/>
      <c r="AT84" s="716"/>
      <c r="AU84" s="716"/>
      <c r="AV84" s="716"/>
      <c r="AW84" s="717"/>
    </row>
    <row r="85">
      <c r="A85" s="726" t="s">
        <v>965</v>
      </c>
      <c r="B85" s="7"/>
      <c r="C85" s="7"/>
      <c r="D85" s="7"/>
      <c r="E85" s="7"/>
      <c r="F85" s="7"/>
      <c r="G85" s="659"/>
      <c r="H85" s="727"/>
      <c r="I85" s="728"/>
      <c r="J85" s="728"/>
      <c r="K85" s="728"/>
      <c r="L85" s="728"/>
      <c r="M85" s="728"/>
      <c r="N85" s="728"/>
      <c r="O85" s="728"/>
      <c r="P85" s="728"/>
      <c r="Q85" s="728"/>
      <c r="R85" s="728"/>
      <c r="S85" s="728"/>
      <c r="T85" s="728"/>
      <c r="U85" s="728"/>
      <c r="V85" s="728"/>
      <c r="W85" s="728"/>
      <c r="X85" s="728"/>
      <c r="Y85" s="728"/>
      <c r="Z85" s="728"/>
      <c r="AA85" s="728"/>
      <c r="AB85" s="728"/>
      <c r="AC85" s="728"/>
      <c r="AD85" s="728"/>
      <c r="AE85" s="728"/>
      <c r="AF85" s="728"/>
      <c r="AG85" s="728"/>
      <c r="AH85" s="728"/>
      <c r="AI85" s="728"/>
      <c r="AJ85" s="728"/>
      <c r="AK85" s="728"/>
      <c r="AL85" s="728"/>
      <c r="AM85" s="728"/>
      <c r="AN85" s="728"/>
      <c r="AO85" s="728"/>
      <c r="AP85" s="728"/>
      <c r="AQ85" s="728"/>
      <c r="AR85" s="728"/>
      <c r="AS85" s="728"/>
      <c r="AT85" s="728"/>
      <c r="AU85" s="728"/>
      <c r="AV85" s="728"/>
      <c r="AW85" s="729"/>
    </row>
    <row r="86">
      <c r="A86" s="710"/>
      <c r="B86" s="711"/>
      <c r="C86" s="342"/>
      <c r="D86" s="712"/>
      <c r="E86" s="269"/>
      <c r="F86" s="713"/>
      <c r="G86" s="714"/>
      <c r="H86" s="715"/>
      <c r="I86" s="730"/>
      <c r="J86" s="730"/>
      <c r="K86" s="730"/>
      <c r="L86" s="730"/>
      <c r="M86" s="730"/>
      <c r="N86" s="730"/>
      <c r="O86" s="730"/>
      <c r="P86" s="730"/>
      <c r="Q86" s="730"/>
      <c r="R86" s="730"/>
      <c r="S86" s="730"/>
      <c r="T86" s="730"/>
      <c r="U86" s="730"/>
      <c r="V86" s="730"/>
      <c r="W86" s="730"/>
      <c r="X86" s="730"/>
      <c r="Y86" s="730"/>
      <c r="Z86" s="730"/>
      <c r="AA86" s="730"/>
      <c r="AB86" s="730"/>
      <c r="AC86" s="730"/>
      <c r="AD86" s="730"/>
      <c r="AE86" s="730"/>
      <c r="AF86" s="730"/>
      <c r="AG86" s="730"/>
      <c r="AH86" s="730"/>
      <c r="AI86" s="730"/>
      <c r="AJ86" s="730"/>
      <c r="AK86" s="730"/>
      <c r="AL86" s="730"/>
      <c r="AM86" s="730"/>
      <c r="AN86" s="730"/>
      <c r="AO86" s="730"/>
      <c r="AP86" s="730"/>
      <c r="AQ86" s="730"/>
      <c r="AR86" s="730"/>
      <c r="AS86" s="730"/>
      <c r="AT86" s="730"/>
      <c r="AU86" s="730"/>
      <c r="AV86" s="730"/>
      <c r="AW86" s="717"/>
    </row>
    <row r="87">
      <c r="A87" s="710"/>
      <c r="B87" s="711"/>
      <c r="C87" s="342" t="s">
        <v>966</v>
      </c>
      <c r="F87" s="713"/>
      <c r="G87" s="714"/>
      <c r="H87" s="715"/>
      <c r="I87" s="716"/>
      <c r="J87" s="716"/>
      <c r="K87" s="716"/>
      <c r="L87" s="716"/>
      <c r="M87" s="716"/>
      <c r="N87" s="716"/>
      <c r="O87" s="716"/>
      <c r="P87" s="716"/>
      <c r="Q87" s="716"/>
      <c r="R87" s="716"/>
      <c r="S87" s="716"/>
      <c r="T87" s="716"/>
      <c r="U87" s="716"/>
      <c r="V87" s="716"/>
      <c r="W87" s="716"/>
      <c r="X87" s="716"/>
      <c r="Y87" s="716"/>
      <c r="Z87" s="716"/>
      <c r="AA87" s="716"/>
      <c r="AB87" s="716"/>
      <c r="AC87" s="716"/>
      <c r="AD87" s="716"/>
      <c r="AE87" s="716"/>
      <c r="AF87" s="716"/>
      <c r="AG87" s="716"/>
      <c r="AH87" s="716"/>
      <c r="AI87" s="716"/>
      <c r="AJ87" s="716"/>
      <c r="AK87" s="716"/>
      <c r="AL87" s="716"/>
      <c r="AM87" s="716"/>
      <c r="AN87" s="716"/>
      <c r="AO87" s="716"/>
      <c r="AP87" s="716"/>
      <c r="AQ87" s="716"/>
      <c r="AR87" s="716"/>
      <c r="AS87" s="716"/>
      <c r="AT87" s="716"/>
      <c r="AU87" s="716"/>
      <c r="AV87" s="716"/>
      <c r="AW87" s="717"/>
    </row>
    <row r="88">
      <c r="A88" s="710"/>
      <c r="B88" s="711"/>
      <c r="C88" s="712"/>
      <c r="D88" s="712"/>
      <c r="E88" s="254" t="s">
        <v>967</v>
      </c>
      <c r="F88" s="451" t="s">
        <v>76</v>
      </c>
      <c r="G88" s="719" t="s">
        <v>161</v>
      </c>
      <c r="H88" s="236" t="s">
        <v>162</v>
      </c>
      <c r="I88" s="358">
        <f t="shared" ref="I88:AV88" si="28">I21*I45</f>
        <v>77386.78202</v>
      </c>
      <c r="J88" s="358">
        <f t="shared" si="28"/>
        <v>38977.48981</v>
      </c>
      <c r="K88" s="358">
        <f t="shared" si="28"/>
        <v>69614.06206</v>
      </c>
      <c r="L88" s="358">
        <f t="shared" si="28"/>
        <v>35984.97044</v>
      </c>
      <c r="M88" s="358">
        <f t="shared" si="28"/>
        <v>49547.92614</v>
      </c>
      <c r="N88" s="358">
        <f t="shared" si="28"/>
        <v>65524.42274</v>
      </c>
      <c r="O88" s="358">
        <f t="shared" si="28"/>
        <v>112636.4351</v>
      </c>
      <c r="P88" s="358">
        <f t="shared" si="28"/>
        <v>148656.3193</v>
      </c>
      <c r="Q88" s="358">
        <f t="shared" si="28"/>
        <v>119579.5036</v>
      </c>
      <c r="R88" s="358">
        <f t="shared" si="28"/>
        <v>6446.019132</v>
      </c>
      <c r="S88" s="358">
        <f t="shared" si="28"/>
        <v>15081.78617</v>
      </c>
      <c r="T88" s="358">
        <f t="shared" si="28"/>
        <v>6333.752249</v>
      </c>
      <c r="U88" s="358">
        <f t="shared" si="28"/>
        <v>7218.042052</v>
      </c>
      <c r="V88" s="358">
        <f t="shared" si="28"/>
        <v>10635.48538</v>
      </c>
      <c r="W88" s="358">
        <f t="shared" si="28"/>
        <v>11870.0969</v>
      </c>
      <c r="X88" s="358">
        <f t="shared" si="28"/>
        <v>21523.02338</v>
      </c>
      <c r="Y88" s="358">
        <f t="shared" si="28"/>
        <v>5399.820998</v>
      </c>
      <c r="Z88" s="358">
        <f t="shared" si="28"/>
        <v>8369.53232</v>
      </c>
      <c r="AA88" s="358">
        <f t="shared" si="28"/>
        <v>3508.792326</v>
      </c>
      <c r="AB88" s="358">
        <f t="shared" si="28"/>
        <v>5693.024286</v>
      </c>
      <c r="AC88" s="358">
        <f t="shared" si="28"/>
        <v>4284.065593</v>
      </c>
      <c r="AD88" s="358">
        <f t="shared" si="28"/>
        <v>3648.22225</v>
      </c>
      <c r="AE88" s="358">
        <f t="shared" si="28"/>
        <v>5289.658101</v>
      </c>
      <c r="AF88" s="358">
        <f t="shared" si="28"/>
        <v>4171.207041</v>
      </c>
      <c r="AG88" s="358">
        <f t="shared" si="28"/>
        <v>20646.34021</v>
      </c>
      <c r="AH88" s="358">
        <f t="shared" si="28"/>
        <v>8977.351103</v>
      </c>
      <c r="AI88" s="358">
        <f t="shared" si="28"/>
        <v>8931.972548</v>
      </c>
      <c r="AJ88" s="358">
        <f t="shared" si="28"/>
        <v>4077.211186</v>
      </c>
      <c r="AK88" s="358">
        <f t="shared" si="28"/>
        <v>13391.19117</v>
      </c>
      <c r="AL88" s="358">
        <f t="shared" si="28"/>
        <v>29737.88932</v>
      </c>
      <c r="AM88" s="358">
        <f t="shared" si="28"/>
        <v>35785.75257</v>
      </c>
      <c r="AN88" s="358">
        <f t="shared" si="28"/>
        <v>21321.26464</v>
      </c>
      <c r="AO88" s="358">
        <f t="shared" si="28"/>
        <v>10678.04174</v>
      </c>
      <c r="AP88" s="358">
        <f t="shared" si="28"/>
        <v>9119.203104</v>
      </c>
      <c r="AQ88" s="358">
        <f t="shared" si="28"/>
        <v>4384.576491</v>
      </c>
      <c r="AR88" s="358">
        <f t="shared" si="28"/>
        <v>7631.309839</v>
      </c>
      <c r="AS88" s="358">
        <f t="shared" si="28"/>
        <v>8845.840813</v>
      </c>
      <c r="AT88" s="358">
        <f t="shared" si="28"/>
        <v>5828.504435</v>
      </c>
      <c r="AU88" s="358">
        <f t="shared" si="28"/>
        <v>25130.12501</v>
      </c>
      <c r="AV88" s="358">
        <f t="shared" si="28"/>
        <v>45005.99713</v>
      </c>
      <c r="AW88" s="720"/>
    </row>
    <row r="89">
      <c r="A89" s="710"/>
      <c r="B89" s="711"/>
      <c r="C89" s="712"/>
      <c r="D89" s="712"/>
      <c r="E89" s="254" t="s">
        <v>968</v>
      </c>
      <c r="F89" s="451" t="s">
        <v>76</v>
      </c>
      <c r="G89" s="719" t="s">
        <v>161</v>
      </c>
      <c r="H89" s="236" t="s">
        <v>162</v>
      </c>
      <c r="I89" s="358">
        <f t="shared" ref="I89:AV89" si="29">I83</f>
        <v>-3421.914307</v>
      </c>
      <c r="J89" s="358">
        <f t="shared" si="29"/>
        <v>-2216.048752</v>
      </c>
      <c r="K89" s="358">
        <f t="shared" si="29"/>
        <v>-2627.264546</v>
      </c>
      <c r="L89" s="358">
        <f t="shared" si="29"/>
        <v>-2912.958783</v>
      </c>
      <c r="M89" s="358">
        <f t="shared" si="29"/>
        <v>-3098.120141</v>
      </c>
      <c r="N89" s="358">
        <f t="shared" si="29"/>
        <v>-3501.26756</v>
      </c>
      <c r="O89" s="358">
        <f t="shared" si="29"/>
        <v>-5185.238295</v>
      </c>
      <c r="P89" s="358">
        <f t="shared" si="29"/>
        <v>-5825.19112</v>
      </c>
      <c r="Q89" s="358">
        <f t="shared" si="29"/>
        <v>-3798.647276</v>
      </c>
      <c r="R89" s="358">
        <f t="shared" si="29"/>
        <v>-663.8118776</v>
      </c>
      <c r="S89" s="358">
        <f t="shared" si="29"/>
        <v>-975.0253876</v>
      </c>
      <c r="T89" s="358">
        <f t="shared" si="29"/>
        <v>-847.9239991</v>
      </c>
      <c r="U89" s="358">
        <f t="shared" si="29"/>
        <v>-1040.112089</v>
      </c>
      <c r="V89" s="358">
        <f t="shared" si="29"/>
        <v>-1203.92566</v>
      </c>
      <c r="W89" s="358">
        <f t="shared" si="29"/>
        <v>-1208.662201</v>
      </c>
      <c r="X89" s="358">
        <f t="shared" si="29"/>
        <v>-2995.579025</v>
      </c>
      <c r="Y89" s="358">
        <f t="shared" si="29"/>
        <v>-448.5594943</v>
      </c>
      <c r="Z89" s="358">
        <f t="shared" si="29"/>
        <v>-1113.299118</v>
      </c>
      <c r="AA89" s="358">
        <f t="shared" si="29"/>
        <v>-61.19978707</v>
      </c>
      <c r="AB89" s="358">
        <f t="shared" si="29"/>
        <v>-533.7877851</v>
      </c>
      <c r="AC89" s="358">
        <f t="shared" si="29"/>
        <v>-297.5673674</v>
      </c>
      <c r="AD89" s="358">
        <f t="shared" si="29"/>
        <v>-179.5897521</v>
      </c>
      <c r="AE89" s="358">
        <f t="shared" si="29"/>
        <v>-504.1757538</v>
      </c>
      <c r="AF89" s="358">
        <f t="shared" si="29"/>
        <v>-369.0903575</v>
      </c>
      <c r="AG89" s="358">
        <f t="shared" si="29"/>
        <v>-1801.554322</v>
      </c>
      <c r="AH89" s="358">
        <f t="shared" si="29"/>
        <v>-1057.311356</v>
      </c>
      <c r="AI89" s="358">
        <f t="shared" si="29"/>
        <v>-1909.948099</v>
      </c>
      <c r="AJ89" s="358">
        <f t="shared" si="29"/>
        <v>-443.1052745</v>
      </c>
      <c r="AK89" s="358">
        <f t="shared" si="29"/>
        <v>-1696.838317</v>
      </c>
      <c r="AL89" s="358">
        <f t="shared" si="29"/>
        <v>-2945.249075</v>
      </c>
      <c r="AM89" s="358">
        <f t="shared" si="29"/>
        <v>-3500.563888</v>
      </c>
      <c r="AN89" s="358">
        <f t="shared" si="29"/>
        <v>-2014.249051</v>
      </c>
      <c r="AO89" s="358">
        <f t="shared" si="29"/>
        <v>-2130.663789</v>
      </c>
      <c r="AP89" s="358">
        <f t="shared" si="29"/>
        <v>-1554.294222</v>
      </c>
      <c r="AQ89" s="358">
        <f t="shared" si="29"/>
        <v>-590.7593561</v>
      </c>
      <c r="AR89" s="358">
        <f t="shared" si="29"/>
        <v>-1610.878499</v>
      </c>
      <c r="AS89" s="358">
        <f t="shared" si="29"/>
        <v>-1162.208821</v>
      </c>
      <c r="AT89" s="358">
        <f t="shared" si="29"/>
        <v>-589.6850552</v>
      </c>
      <c r="AU89" s="358">
        <f t="shared" si="29"/>
        <v>-1827.369896</v>
      </c>
      <c r="AV89" s="358">
        <f t="shared" si="29"/>
        <v>-2809.461797</v>
      </c>
      <c r="AW89" s="720"/>
    </row>
    <row r="90">
      <c r="A90" s="710"/>
      <c r="B90" s="711"/>
      <c r="C90" s="712"/>
      <c r="D90" s="712"/>
      <c r="E90" s="254" t="s">
        <v>969</v>
      </c>
      <c r="F90" s="451" t="s">
        <v>76</v>
      </c>
      <c r="G90" s="719" t="s">
        <v>161</v>
      </c>
      <c r="H90" s="236" t="s">
        <v>162</v>
      </c>
      <c r="I90" s="358">
        <f t="shared" ref="I90:AV90" si="30">I67</f>
        <v>-7232.978202</v>
      </c>
      <c r="J90" s="358">
        <f t="shared" si="30"/>
        <v>-3392.048981</v>
      </c>
      <c r="K90" s="358">
        <f t="shared" si="30"/>
        <v>-6455.706206</v>
      </c>
      <c r="L90" s="358">
        <f t="shared" si="30"/>
        <v>-3092.797044</v>
      </c>
      <c r="M90" s="358">
        <f t="shared" si="30"/>
        <v>-4449.092614</v>
      </c>
      <c r="N90" s="358">
        <f t="shared" si="30"/>
        <v>-6046.742274</v>
      </c>
      <c r="O90" s="358">
        <f t="shared" si="30"/>
        <v>-10757.94351</v>
      </c>
      <c r="P90" s="358">
        <f t="shared" si="30"/>
        <v>-14359.93193</v>
      </c>
      <c r="Q90" s="358">
        <f t="shared" si="30"/>
        <v>-11452.25036</v>
      </c>
      <c r="R90" s="358">
        <f t="shared" si="30"/>
        <v>-138.9019132</v>
      </c>
      <c r="S90" s="358">
        <f t="shared" si="30"/>
        <v>-1002.478617</v>
      </c>
      <c r="T90" s="358">
        <f t="shared" si="30"/>
        <v>-127.6752249</v>
      </c>
      <c r="U90" s="358">
        <f t="shared" si="30"/>
        <v>-216.1042052</v>
      </c>
      <c r="V90" s="358">
        <f t="shared" si="30"/>
        <v>-557.8485379</v>
      </c>
      <c r="W90" s="358">
        <f t="shared" si="30"/>
        <v>-681.30969</v>
      </c>
      <c r="X90" s="358">
        <f t="shared" si="30"/>
        <v>-1646.602338</v>
      </c>
      <c r="Y90" s="358">
        <f t="shared" si="30"/>
        <v>-34.28209982</v>
      </c>
      <c r="Z90" s="358">
        <f t="shared" si="30"/>
        <v>-331.253232</v>
      </c>
      <c r="AA90" s="358">
        <f t="shared" si="30"/>
        <v>154.8207674</v>
      </c>
      <c r="AB90" s="358">
        <f t="shared" si="30"/>
        <v>-63.60242858</v>
      </c>
      <c r="AC90" s="358">
        <f t="shared" si="30"/>
        <v>77.29344072</v>
      </c>
      <c r="AD90" s="358">
        <f t="shared" si="30"/>
        <v>140.877775</v>
      </c>
      <c r="AE90" s="358">
        <f t="shared" si="30"/>
        <v>-23.26581012</v>
      </c>
      <c r="AF90" s="358">
        <f t="shared" si="30"/>
        <v>88.5792959</v>
      </c>
      <c r="AG90" s="358">
        <f t="shared" si="30"/>
        <v>-1558.934021</v>
      </c>
      <c r="AH90" s="358">
        <f t="shared" si="30"/>
        <v>-392.0351103</v>
      </c>
      <c r="AI90" s="358">
        <f t="shared" si="30"/>
        <v>-387.4972548</v>
      </c>
      <c r="AJ90" s="358">
        <f t="shared" si="30"/>
        <v>97.97888143</v>
      </c>
      <c r="AK90" s="358">
        <f t="shared" si="30"/>
        <v>-833.4191173</v>
      </c>
      <c r="AL90" s="358">
        <f t="shared" si="30"/>
        <v>-2468.088932</v>
      </c>
      <c r="AM90" s="358">
        <f t="shared" si="30"/>
        <v>-3072.875257</v>
      </c>
      <c r="AN90" s="358">
        <f t="shared" si="30"/>
        <v>-1626.426464</v>
      </c>
      <c r="AO90" s="358">
        <f t="shared" si="30"/>
        <v>-562.1041744</v>
      </c>
      <c r="AP90" s="358">
        <f t="shared" si="30"/>
        <v>-406.2203104</v>
      </c>
      <c r="AQ90" s="358">
        <f t="shared" si="30"/>
        <v>67.24235094</v>
      </c>
      <c r="AR90" s="358">
        <f t="shared" si="30"/>
        <v>-257.4309839</v>
      </c>
      <c r="AS90" s="358">
        <f t="shared" si="30"/>
        <v>-378.8840813</v>
      </c>
      <c r="AT90" s="358">
        <f t="shared" si="30"/>
        <v>-77.15044352</v>
      </c>
      <c r="AU90" s="358">
        <f t="shared" si="30"/>
        <v>-2007.312501</v>
      </c>
      <c r="AV90" s="358">
        <f t="shared" si="30"/>
        <v>-3994.899713</v>
      </c>
      <c r="AW90" s="720"/>
    </row>
    <row r="91">
      <c r="A91" s="710"/>
      <c r="B91" s="711"/>
      <c r="C91" s="712"/>
      <c r="D91" s="712"/>
      <c r="E91" s="257" t="s">
        <v>970</v>
      </c>
      <c r="F91" s="454" t="s">
        <v>76</v>
      </c>
      <c r="G91" s="721" t="s">
        <v>161</v>
      </c>
      <c r="H91" s="240" t="s">
        <v>162</v>
      </c>
      <c r="I91" s="361">
        <f t="shared" ref="I91:AV91" si="31">SUM(I67,I83)</f>
        <v>-10654.89251</v>
      </c>
      <c r="J91" s="361">
        <f t="shared" si="31"/>
        <v>-5608.097733</v>
      </c>
      <c r="K91" s="361">
        <f t="shared" si="31"/>
        <v>-9082.970751</v>
      </c>
      <c r="L91" s="361">
        <f t="shared" si="31"/>
        <v>-6005.755827</v>
      </c>
      <c r="M91" s="361">
        <f t="shared" si="31"/>
        <v>-7547.212755</v>
      </c>
      <c r="N91" s="361">
        <f t="shared" si="31"/>
        <v>-9548.009834</v>
      </c>
      <c r="O91" s="361">
        <f t="shared" si="31"/>
        <v>-15943.18181</v>
      </c>
      <c r="P91" s="361">
        <f t="shared" si="31"/>
        <v>-20185.12305</v>
      </c>
      <c r="Q91" s="361">
        <f t="shared" si="31"/>
        <v>-15250.89763</v>
      </c>
      <c r="R91" s="361">
        <f t="shared" si="31"/>
        <v>-802.7137908</v>
      </c>
      <c r="S91" s="361">
        <f t="shared" si="31"/>
        <v>-1977.504004</v>
      </c>
      <c r="T91" s="361">
        <f t="shared" si="31"/>
        <v>-975.599224</v>
      </c>
      <c r="U91" s="361">
        <f t="shared" si="31"/>
        <v>-1256.216295</v>
      </c>
      <c r="V91" s="361">
        <f t="shared" si="31"/>
        <v>-1761.774198</v>
      </c>
      <c r="W91" s="361">
        <f t="shared" si="31"/>
        <v>-1889.971891</v>
      </c>
      <c r="X91" s="361">
        <f t="shared" si="31"/>
        <v>-4642.181363</v>
      </c>
      <c r="Y91" s="361">
        <f t="shared" si="31"/>
        <v>-482.8415941</v>
      </c>
      <c r="Z91" s="361">
        <f t="shared" si="31"/>
        <v>-1444.55235</v>
      </c>
      <c r="AA91" s="361">
        <f t="shared" si="31"/>
        <v>93.62098031</v>
      </c>
      <c r="AB91" s="361">
        <f t="shared" si="31"/>
        <v>-597.3902137</v>
      </c>
      <c r="AC91" s="361">
        <f t="shared" si="31"/>
        <v>-220.2739267</v>
      </c>
      <c r="AD91" s="361">
        <f t="shared" si="31"/>
        <v>-38.71197708</v>
      </c>
      <c r="AE91" s="361">
        <f t="shared" si="31"/>
        <v>-527.4415639</v>
      </c>
      <c r="AF91" s="361">
        <f t="shared" si="31"/>
        <v>-280.5110616</v>
      </c>
      <c r="AG91" s="361">
        <f t="shared" si="31"/>
        <v>-3360.488343</v>
      </c>
      <c r="AH91" s="361">
        <f t="shared" si="31"/>
        <v>-1449.346466</v>
      </c>
      <c r="AI91" s="361">
        <f t="shared" si="31"/>
        <v>-2297.445354</v>
      </c>
      <c r="AJ91" s="361">
        <f t="shared" si="31"/>
        <v>-345.1263931</v>
      </c>
      <c r="AK91" s="361">
        <f t="shared" si="31"/>
        <v>-2530.257434</v>
      </c>
      <c r="AL91" s="361">
        <f t="shared" si="31"/>
        <v>-5413.338007</v>
      </c>
      <c r="AM91" s="361">
        <f t="shared" si="31"/>
        <v>-6573.439144</v>
      </c>
      <c r="AN91" s="361">
        <f t="shared" si="31"/>
        <v>-3640.675514</v>
      </c>
      <c r="AO91" s="361">
        <f t="shared" si="31"/>
        <v>-2692.767963</v>
      </c>
      <c r="AP91" s="361">
        <f t="shared" si="31"/>
        <v>-1960.514533</v>
      </c>
      <c r="AQ91" s="361">
        <f t="shared" si="31"/>
        <v>-523.5170052</v>
      </c>
      <c r="AR91" s="361">
        <f t="shared" si="31"/>
        <v>-1868.309483</v>
      </c>
      <c r="AS91" s="361">
        <f t="shared" si="31"/>
        <v>-1541.092903</v>
      </c>
      <c r="AT91" s="361">
        <f t="shared" si="31"/>
        <v>-666.8354987</v>
      </c>
      <c r="AU91" s="361">
        <f t="shared" si="31"/>
        <v>-3834.682396</v>
      </c>
      <c r="AV91" s="361">
        <f t="shared" si="31"/>
        <v>-6804.36151</v>
      </c>
      <c r="AW91" s="722"/>
    </row>
    <row r="92">
      <c r="A92" s="710"/>
      <c r="B92" s="711"/>
      <c r="C92" s="712"/>
      <c r="D92" s="712"/>
      <c r="E92" s="490" t="s">
        <v>334</v>
      </c>
      <c r="F92" s="731" t="s">
        <v>971</v>
      </c>
      <c r="G92" s="731" t="s">
        <v>161</v>
      </c>
      <c r="H92" s="146" t="s">
        <v>162</v>
      </c>
      <c r="I92" s="732">
        <f t="shared" ref="I92:AV92" si="32">SUM(I88,I91)</f>
        <v>66731.88951</v>
      </c>
      <c r="J92" s="732">
        <f t="shared" si="32"/>
        <v>33369.39208</v>
      </c>
      <c r="K92" s="732">
        <f t="shared" si="32"/>
        <v>60531.0913</v>
      </c>
      <c r="L92" s="732">
        <f t="shared" si="32"/>
        <v>29979.21462</v>
      </c>
      <c r="M92" s="732">
        <f t="shared" si="32"/>
        <v>42000.71339</v>
      </c>
      <c r="N92" s="732">
        <f t="shared" si="32"/>
        <v>55976.41291</v>
      </c>
      <c r="O92" s="732">
        <f t="shared" si="32"/>
        <v>96693.25334</v>
      </c>
      <c r="P92" s="732">
        <f t="shared" si="32"/>
        <v>128471.1963</v>
      </c>
      <c r="Q92" s="732">
        <f t="shared" si="32"/>
        <v>104328.6059</v>
      </c>
      <c r="R92" s="732">
        <f t="shared" si="32"/>
        <v>5643.305341</v>
      </c>
      <c r="S92" s="732">
        <f t="shared" si="32"/>
        <v>13104.28216</v>
      </c>
      <c r="T92" s="732">
        <f t="shared" si="32"/>
        <v>5358.153025</v>
      </c>
      <c r="U92" s="732">
        <f t="shared" si="32"/>
        <v>5961.825757</v>
      </c>
      <c r="V92" s="732">
        <f t="shared" si="32"/>
        <v>8873.711181</v>
      </c>
      <c r="W92" s="732">
        <f t="shared" si="32"/>
        <v>9980.12501</v>
      </c>
      <c r="X92" s="732">
        <f t="shared" si="32"/>
        <v>16880.84202</v>
      </c>
      <c r="Y92" s="732">
        <f t="shared" si="32"/>
        <v>4916.979404</v>
      </c>
      <c r="Z92" s="732">
        <f t="shared" si="32"/>
        <v>6924.979969</v>
      </c>
      <c r="AA92" s="732">
        <f t="shared" si="32"/>
        <v>3602.413307</v>
      </c>
      <c r="AB92" s="732">
        <f t="shared" si="32"/>
        <v>5095.634072</v>
      </c>
      <c r="AC92" s="732">
        <f t="shared" si="32"/>
        <v>4063.791666</v>
      </c>
      <c r="AD92" s="732">
        <f t="shared" si="32"/>
        <v>3609.510272</v>
      </c>
      <c r="AE92" s="732">
        <f t="shared" si="32"/>
        <v>4762.216537</v>
      </c>
      <c r="AF92" s="732">
        <f t="shared" si="32"/>
        <v>3890.695979</v>
      </c>
      <c r="AG92" s="732">
        <f t="shared" si="32"/>
        <v>17285.85187</v>
      </c>
      <c r="AH92" s="732">
        <f t="shared" si="32"/>
        <v>7528.004637</v>
      </c>
      <c r="AI92" s="732">
        <f t="shared" si="32"/>
        <v>6634.527194</v>
      </c>
      <c r="AJ92" s="732">
        <f t="shared" si="32"/>
        <v>3732.084793</v>
      </c>
      <c r="AK92" s="732">
        <f t="shared" si="32"/>
        <v>10860.93374</v>
      </c>
      <c r="AL92" s="732">
        <f t="shared" si="32"/>
        <v>24324.55132</v>
      </c>
      <c r="AM92" s="732">
        <f t="shared" si="32"/>
        <v>29212.31342</v>
      </c>
      <c r="AN92" s="732">
        <f t="shared" si="32"/>
        <v>17680.58912</v>
      </c>
      <c r="AO92" s="732">
        <f t="shared" si="32"/>
        <v>7985.273781</v>
      </c>
      <c r="AP92" s="732">
        <f t="shared" si="32"/>
        <v>7158.688571</v>
      </c>
      <c r="AQ92" s="732">
        <f t="shared" si="32"/>
        <v>3861.059485</v>
      </c>
      <c r="AR92" s="732">
        <f t="shared" si="32"/>
        <v>5763.000356</v>
      </c>
      <c r="AS92" s="732">
        <f t="shared" si="32"/>
        <v>7304.74791</v>
      </c>
      <c r="AT92" s="732">
        <f t="shared" si="32"/>
        <v>5161.668936</v>
      </c>
      <c r="AU92" s="732">
        <f t="shared" si="32"/>
        <v>21295.44261</v>
      </c>
      <c r="AV92" s="732">
        <f t="shared" si="32"/>
        <v>38201.63562</v>
      </c>
      <c r="AW92" s="733"/>
    </row>
    <row r="93">
      <c r="A93" s="710"/>
      <c r="B93" s="711"/>
      <c r="C93" s="712"/>
      <c r="D93" s="712"/>
      <c r="E93" s="269"/>
      <c r="F93" s="713"/>
      <c r="G93" s="713"/>
      <c r="H93" s="188"/>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717"/>
    </row>
    <row r="94">
      <c r="A94" s="710"/>
      <c r="B94" s="711"/>
      <c r="C94" s="342" t="s">
        <v>965</v>
      </c>
      <c r="F94" s="713"/>
      <c r="G94" s="713"/>
      <c r="H94" s="188"/>
      <c r="AW94" s="225"/>
    </row>
    <row r="95">
      <c r="A95" s="710"/>
      <c r="B95" s="711"/>
      <c r="C95" s="712"/>
      <c r="D95" s="712"/>
      <c r="E95" s="254" t="s">
        <v>329</v>
      </c>
      <c r="F95" s="451" t="s">
        <v>72</v>
      </c>
      <c r="G95" s="719" t="s">
        <v>161</v>
      </c>
      <c r="H95" s="236" t="s">
        <v>162</v>
      </c>
      <c r="I95" s="383">
        <f t="shared" ref="I95:AV95" si="33">I89/I88</f>
        <v>-0.04421833055</v>
      </c>
      <c r="J95" s="383">
        <f t="shared" si="33"/>
        <v>-0.05685457843</v>
      </c>
      <c r="K95" s="383">
        <f t="shared" si="33"/>
        <v>-0.0377404287</v>
      </c>
      <c r="L95" s="383">
        <f t="shared" si="33"/>
        <v>-0.08094931709</v>
      </c>
      <c r="M95" s="383">
        <f t="shared" si="33"/>
        <v>-0.062527746</v>
      </c>
      <c r="N95" s="383">
        <f t="shared" si="33"/>
        <v>-0.05343454263</v>
      </c>
      <c r="O95" s="383">
        <f t="shared" si="33"/>
        <v>-0.04603517759</v>
      </c>
      <c r="P95" s="383">
        <f t="shared" si="33"/>
        <v>-0.03918562727</v>
      </c>
      <c r="Q95" s="383">
        <f t="shared" si="33"/>
        <v>-0.03176670886</v>
      </c>
      <c r="R95" s="383">
        <f t="shared" si="33"/>
        <v>-0.1029801284</v>
      </c>
      <c r="S95" s="383">
        <f t="shared" si="33"/>
        <v>-0.06464919851</v>
      </c>
      <c r="T95" s="383">
        <f t="shared" si="33"/>
        <v>-0.1338738817</v>
      </c>
      <c r="U95" s="383">
        <f t="shared" si="33"/>
        <v>-0.1440989235</v>
      </c>
      <c r="V95" s="383">
        <f t="shared" si="33"/>
        <v>-0.1131989389</v>
      </c>
      <c r="W95" s="383">
        <f t="shared" si="33"/>
        <v>-0.1018241225</v>
      </c>
      <c r="X95" s="383">
        <f t="shared" si="33"/>
        <v>-0.1391802151</v>
      </c>
      <c r="Y95" s="383">
        <f t="shared" si="33"/>
        <v>-0.08306932664</v>
      </c>
      <c r="Z95" s="383">
        <f t="shared" si="33"/>
        <v>-0.1330180799</v>
      </c>
      <c r="AA95" s="383">
        <f t="shared" si="33"/>
        <v>-0.01744183793</v>
      </c>
      <c r="AB95" s="383">
        <f t="shared" si="33"/>
        <v>-0.09376172634</v>
      </c>
      <c r="AC95" s="383">
        <f t="shared" si="33"/>
        <v>-0.06945910631</v>
      </c>
      <c r="AD95" s="383">
        <f t="shared" si="33"/>
        <v>-0.0492266479</v>
      </c>
      <c r="AE95" s="383">
        <f t="shared" si="33"/>
        <v>-0.09531348608</v>
      </c>
      <c r="AF95" s="383">
        <f t="shared" si="33"/>
        <v>-0.08848526431</v>
      </c>
      <c r="AG95" s="383">
        <f t="shared" si="33"/>
        <v>-0.0872578047</v>
      </c>
      <c r="AH95" s="383">
        <f t="shared" si="33"/>
        <v>-0.1177754266</v>
      </c>
      <c r="AI95" s="383">
        <f t="shared" si="33"/>
        <v>-0.2138327328</v>
      </c>
      <c r="AJ95" s="383">
        <f t="shared" si="33"/>
        <v>-0.1086785193</v>
      </c>
      <c r="AK95" s="383">
        <f t="shared" si="33"/>
        <v>-0.1267130231</v>
      </c>
      <c r="AL95" s="383">
        <f t="shared" si="33"/>
        <v>-0.09904028638</v>
      </c>
      <c r="AM95" s="383">
        <f t="shared" si="33"/>
        <v>-0.09782004392</v>
      </c>
      <c r="AN95" s="383">
        <f t="shared" si="33"/>
        <v>-0.0944713686</v>
      </c>
      <c r="AO95" s="383">
        <f t="shared" si="33"/>
        <v>-0.1995369413</v>
      </c>
      <c r="AP95" s="383">
        <f t="shared" si="33"/>
        <v>-0.1704418911</v>
      </c>
      <c r="AQ95" s="383">
        <f t="shared" si="33"/>
        <v>-0.1347357852</v>
      </c>
      <c r="AR95" s="383">
        <f t="shared" si="33"/>
        <v>-0.2110880744</v>
      </c>
      <c r="AS95" s="383">
        <f t="shared" si="33"/>
        <v>-0.1313847769</v>
      </c>
      <c r="AT95" s="383">
        <f t="shared" si="33"/>
        <v>-0.1011726184</v>
      </c>
      <c r="AU95" s="383">
        <f t="shared" si="33"/>
        <v>-0.07271630744</v>
      </c>
      <c r="AV95" s="383">
        <f t="shared" si="33"/>
        <v>-0.06242416514</v>
      </c>
      <c r="AW95" s="720"/>
    </row>
    <row r="96">
      <c r="A96" s="710"/>
      <c r="B96" s="711"/>
      <c r="C96" s="712"/>
      <c r="D96" s="712"/>
      <c r="E96" s="254" t="s">
        <v>330</v>
      </c>
      <c r="F96" s="451" t="s">
        <v>72</v>
      </c>
      <c r="G96" s="719" t="s">
        <v>161</v>
      </c>
      <c r="H96" s="236" t="s">
        <v>162</v>
      </c>
      <c r="I96" s="317">
        <f t="shared" ref="I96:AV96" si="34">I90/I88</f>
        <v>-0.0934652923</v>
      </c>
      <c r="J96" s="317">
        <f t="shared" si="34"/>
        <v>-0.08702584485</v>
      </c>
      <c r="K96" s="317">
        <f t="shared" si="34"/>
        <v>-0.0927356631</v>
      </c>
      <c r="L96" s="317">
        <f t="shared" si="34"/>
        <v>-0.08594691079</v>
      </c>
      <c r="M96" s="317">
        <f t="shared" si="34"/>
        <v>-0.08979372015</v>
      </c>
      <c r="N96" s="317">
        <f t="shared" si="34"/>
        <v>-0.092282267</v>
      </c>
      <c r="O96" s="317">
        <f t="shared" si="34"/>
        <v>-0.09551033376</v>
      </c>
      <c r="P96" s="317">
        <f t="shared" si="34"/>
        <v>-0.09659819372</v>
      </c>
      <c r="Q96" s="317">
        <f t="shared" si="34"/>
        <v>-0.09577101439</v>
      </c>
      <c r="R96" s="317">
        <f t="shared" si="34"/>
        <v>-0.02154847982</v>
      </c>
      <c r="S96" s="317">
        <f t="shared" si="34"/>
        <v>-0.06646948879</v>
      </c>
      <c r="T96" s="317">
        <f t="shared" si="34"/>
        <v>-0.02015791271</v>
      </c>
      <c r="U96" s="317">
        <f t="shared" si="34"/>
        <v>-0.02993944946</v>
      </c>
      <c r="V96" s="317">
        <f t="shared" si="34"/>
        <v>-0.05245162943</v>
      </c>
      <c r="W96" s="317">
        <f t="shared" si="34"/>
        <v>-0.05739714644</v>
      </c>
      <c r="X96" s="317">
        <f t="shared" si="34"/>
        <v>-0.07650423033</v>
      </c>
      <c r="Y96" s="317">
        <f t="shared" si="34"/>
        <v>-0.006348747455</v>
      </c>
      <c r="Z96" s="317">
        <f t="shared" si="34"/>
        <v>-0.0395784638</v>
      </c>
      <c r="AA96" s="317">
        <f t="shared" si="34"/>
        <v>0.04412366221</v>
      </c>
      <c r="AB96" s="317">
        <f t="shared" si="34"/>
        <v>-0.0111719932</v>
      </c>
      <c r="AC96" s="317">
        <f t="shared" si="34"/>
        <v>0.01804207687</v>
      </c>
      <c r="AD96" s="317">
        <f t="shared" si="34"/>
        <v>0.03861545855</v>
      </c>
      <c r="AE96" s="317">
        <f t="shared" si="34"/>
        <v>-0.004398358018</v>
      </c>
      <c r="AF96" s="317">
        <f t="shared" si="34"/>
        <v>0.02123589048</v>
      </c>
      <c r="AG96" s="317">
        <f t="shared" si="34"/>
        <v>-0.07550655492</v>
      </c>
      <c r="AH96" s="317">
        <f t="shared" si="34"/>
        <v>-0.04366935255</v>
      </c>
      <c r="AI96" s="317">
        <f t="shared" si="34"/>
        <v>-0.04338316679</v>
      </c>
      <c r="AJ96" s="317">
        <f t="shared" si="34"/>
        <v>0.0240308576</v>
      </c>
      <c r="AK96" s="317">
        <f t="shared" si="34"/>
        <v>-0.06223636916</v>
      </c>
      <c r="AL96" s="317">
        <f t="shared" si="34"/>
        <v>-0.08299475815</v>
      </c>
      <c r="AM96" s="317">
        <f t="shared" si="34"/>
        <v>-0.08586867779</v>
      </c>
      <c r="AN96" s="317">
        <f t="shared" si="34"/>
        <v>-0.07628189469</v>
      </c>
      <c r="AO96" s="317">
        <f t="shared" si="34"/>
        <v>-0.05264112914</v>
      </c>
      <c r="AP96" s="317">
        <f t="shared" si="34"/>
        <v>-0.04454559305</v>
      </c>
      <c r="AQ96" s="317">
        <f t="shared" si="34"/>
        <v>0.01533611082</v>
      </c>
      <c r="AR96" s="317">
        <f t="shared" si="34"/>
        <v>-0.03373352535</v>
      </c>
      <c r="AS96" s="317">
        <f t="shared" si="34"/>
        <v>-0.04283189007</v>
      </c>
      <c r="AT96" s="317">
        <f t="shared" si="34"/>
        <v>-0.01323674784</v>
      </c>
      <c r="AU96" s="317">
        <f t="shared" si="34"/>
        <v>-0.07987674156</v>
      </c>
      <c r="AV96" s="317">
        <f t="shared" si="34"/>
        <v>-0.08876371968</v>
      </c>
      <c r="AW96" s="717"/>
    </row>
    <row r="97">
      <c r="A97" s="710"/>
      <c r="B97" s="711"/>
      <c r="C97" s="712"/>
      <c r="D97" s="712"/>
      <c r="E97" s="272" t="s">
        <v>331</v>
      </c>
      <c r="F97" s="460" t="s">
        <v>72</v>
      </c>
      <c r="G97" s="723" t="s">
        <v>161</v>
      </c>
      <c r="H97" s="228" t="s">
        <v>162</v>
      </c>
      <c r="I97" s="385">
        <f t="shared" ref="I97:AV97" si="35">I91/I88</f>
        <v>-0.1376836229</v>
      </c>
      <c r="J97" s="385">
        <f t="shared" si="35"/>
        <v>-0.1438804233</v>
      </c>
      <c r="K97" s="385">
        <f t="shared" si="35"/>
        <v>-0.1304760918</v>
      </c>
      <c r="L97" s="385">
        <f t="shared" si="35"/>
        <v>-0.1668962279</v>
      </c>
      <c r="M97" s="385">
        <f t="shared" si="35"/>
        <v>-0.1523214662</v>
      </c>
      <c r="N97" s="385">
        <f t="shared" si="35"/>
        <v>-0.1457168096</v>
      </c>
      <c r="O97" s="385">
        <f t="shared" si="35"/>
        <v>-0.1415455114</v>
      </c>
      <c r="P97" s="385">
        <f t="shared" si="35"/>
        <v>-0.135783821</v>
      </c>
      <c r="Q97" s="385">
        <f t="shared" si="35"/>
        <v>-0.1275377233</v>
      </c>
      <c r="R97" s="385">
        <f t="shared" si="35"/>
        <v>-0.1245286082</v>
      </c>
      <c r="S97" s="385">
        <f t="shared" si="35"/>
        <v>-0.1311186873</v>
      </c>
      <c r="T97" s="385">
        <f t="shared" si="35"/>
        <v>-0.1540317944</v>
      </c>
      <c r="U97" s="385">
        <f t="shared" si="35"/>
        <v>-0.174038373</v>
      </c>
      <c r="V97" s="385">
        <f t="shared" si="35"/>
        <v>-0.1656505683</v>
      </c>
      <c r="W97" s="385">
        <f t="shared" si="35"/>
        <v>-0.1592212689</v>
      </c>
      <c r="X97" s="385">
        <f t="shared" si="35"/>
        <v>-0.2156844455</v>
      </c>
      <c r="Y97" s="385">
        <f t="shared" si="35"/>
        <v>-0.08941807409</v>
      </c>
      <c r="Z97" s="385">
        <f t="shared" si="35"/>
        <v>-0.1725965437</v>
      </c>
      <c r="AA97" s="385">
        <f t="shared" si="35"/>
        <v>0.02668182429</v>
      </c>
      <c r="AB97" s="385">
        <f t="shared" si="35"/>
        <v>-0.1049337195</v>
      </c>
      <c r="AC97" s="385">
        <f t="shared" si="35"/>
        <v>-0.05141702944</v>
      </c>
      <c r="AD97" s="385">
        <f t="shared" si="35"/>
        <v>-0.01061118935</v>
      </c>
      <c r="AE97" s="385">
        <f t="shared" si="35"/>
        <v>-0.0997118441</v>
      </c>
      <c r="AF97" s="385">
        <f t="shared" si="35"/>
        <v>-0.06724937383</v>
      </c>
      <c r="AG97" s="385">
        <f t="shared" si="35"/>
        <v>-0.1627643596</v>
      </c>
      <c r="AH97" s="385">
        <f t="shared" si="35"/>
        <v>-0.1614447792</v>
      </c>
      <c r="AI97" s="385">
        <f t="shared" si="35"/>
        <v>-0.2572158996</v>
      </c>
      <c r="AJ97" s="385">
        <f t="shared" si="35"/>
        <v>-0.08464766168</v>
      </c>
      <c r="AK97" s="385">
        <f t="shared" si="35"/>
        <v>-0.1889493923</v>
      </c>
      <c r="AL97" s="385">
        <f t="shared" si="35"/>
        <v>-0.1820350445</v>
      </c>
      <c r="AM97" s="385">
        <f t="shared" si="35"/>
        <v>-0.1836887217</v>
      </c>
      <c r="AN97" s="385">
        <f t="shared" si="35"/>
        <v>-0.1707532633</v>
      </c>
      <c r="AO97" s="385">
        <f t="shared" si="35"/>
        <v>-0.2521780705</v>
      </c>
      <c r="AP97" s="385">
        <f t="shared" si="35"/>
        <v>-0.2149874842</v>
      </c>
      <c r="AQ97" s="385">
        <f t="shared" si="35"/>
        <v>-0.1193996744</v>
      </c>
      <c r="AR97" s="385">
        <f t="shared" si="35"/>
        <v>-0.2448215997</v>
      </c>
      <c r="AS97" s="385">
        <f t="shared" si="35"/>
        <v>-0.1742166669</v>
      </c>
      <c r="AT97" s="385">
        <f t="shared" si="35"/>
        <v>-0.1144093663</v>
      </c>
      <c r="AU97" s="385">
        <f t="shared" si="35"/>
        <v>-0.152593049</v>
      </c>
      <c r="AV97" s="385">
        <f t="shared" si="35"/>
        <v>-0.1511878848</v>
      </c>
      <c r="AW97" s="724"/>
    </row>
    <row r="98">
      <c r="A98" s="710"/>
      <c r="B98" s="711"/>
      <c r="C98" s="712"/>
      <c r="D98" s="712"/>
      <c r="E98" s="269"/>
      <c r="F98" s="713"/>
      <c r="G98" s="714"/>
      <c r="H98" s="715"/>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c r="AR98" s="317"/>
      <c r="AS98" s="317"/>
      <c r="AT98" s="317"/>
      <c r="AU98" s="317"/>
      <c r="AV98" s="317"/>
      <c r="AW98" s="717"/>
    </row>
    <row r="99">
      <c r="A99" s="710"/>
      <c r="B99" s="711"/>
      <c r="C99" s="342" t="s">
        <v>339</v>
      </c>
      <c r="F99" s="713"/>
      <c r="G99" s="713"/>
      <c r="H99" s="715"/>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c r="AR99" s="317"/>
      <c r="AS99" s="317"/>
      <c r="AT99" s="317"/>
      <c r="AU99" s="317"/>
      <c r="AV99" s="317"/>
      <c r="AW99" s="717"/>
    </row>
    <row r="100">
      <c r="A100" s="710"/>
      <c r="B100" s="711"/>
      <c r="C100" s="712"/>
      <c r="D100" s="712"/>
      <c r="E100" s="490" t="s">
        <v>339</v>
      </c>
      <c r="F100" s="731" t="s">
        <v>72</v>
      </c>
      <c r="G100" s="731" t="s">
        <v>161</v>
      </c>
      <c r="H100" s="146" t="s">
        <v>162</v>
      </c>
      <c r="I100" s="407">
        <f t="shared" ref="I100:AV100" si="36">((MIN(I65,0)*I66)+I89)/I88</f>
        <v>-0.1376836229</v>
      </c>
      <c r="J100" s="407">
        <f t="shared" si="36"/>
        <v>-0.1438804233</v>
      </c>
      <c r="K100" s="407">
        <f t="shared" si="36"/>
        <v>-0.1304760918</v>
      </c>
      <c r="L100" s="407">
        <f t="shared" si="36"/>
        <v>-0.1668962279</v>
      </c>
      <c r="M100" s="407">
        <f t="shared" si="36"/>
        <v>-0.1523214662</v>
      </c>
      <c r="N100" s="407">
        <f t="shared" si="36"/>
        <v>-0.1457168096</v>
      </c>
      <c r="O100" s="407">
        <f t="shared" si="36"/>
        <v>-0.1415455114</v>
      </c>
      <c r="P100" s="407">
        <f t="shared" si="36"/>
        <v>-0.135783821</v>
      </c>
      <c r="Q100" s="407">
        <f t="shared" si="36"/>
        <v>-0.1275377233</v>
      </c>
      <c r="R100" s="407">
        <f t="shared" si="36"/>
        <v>-0.1245286082</v>
      </c>
      <c r="S100" s="407">
        <f t="shared" si="36"/>
        <v>-0.1311186873</v>
      </c>
      <c r="T100" s="407">
        <f t="shared" si="36"/>
        <v>-0.1540317944</v>
      </c>
      <c r="U100" s="407">
        <f t="shared" si="36"/>
        <v>-0.174038373</v>
      </c>
      <c r="V100" s="407">
        <f t="shared" si="36"/>
        <v>-0.1656505683</v>
      </c>
      <c r="W100" s="407">
        <f t="shared" si="36"/>
        <v>-0.1592212689</v>
      </c>
      <c r="X100" s="407">
        <f t="shared" si="36"/>
        <v>-0.2156844455</v>
      </c>
      <c r="Y100" s="407">
        <f t="shared" si="36"/>
        <v>-0.08941807409</v>
      </c>
      <c r="Z100" s="407">
        <f t="shared" si="36"/>
        <v>-0.1725965437</v>
      </c>
      <c r="AA100" s="407">
        <f t="shared" si="36"/>
        <v>-0.01744183793</v>
      </c>
      <c r="AB100" s="407">
        <f t="shared" si="36"/>
        <v>-0.1049337195</v>
      </c>
      <c r="AC100" s="407">
        <f t="shared" si="36"/>
        <v>-0.06945910631</v>
      </c>
      <c r="AD100" s="407">
        <f t="shared" si="36"/>
        <v>-0.0492266479</v>
      </c>
      <c r="AE100" s="407">
        <f t="shared" si="36"/>
        <v>-0.0997118441</v>
      </c>
      <c r="AF100" s="407">
        <f t="shared" si="36"/>
        <v>-0.08848526431</v>
      </c>
      <c r="AG100" s="407">
        <f t="shared" si="36"/>
        <v>-0.1627643596</v>
      </c>
      <c r="AH100" s="407">
        <f t="shared" si="36"/>
        <v>-0.1614447792</v>
      </c>
      <c r="AI100" s="407">
        <f t="shared" si="36"/>
        <v>-0.2572158996</v>
      </c>
      <c r="AJ100" s="407">
        <f t="shared" si="36"/>
        <v>-0.1086785193</v>
      </c>
      <c r="AK100" s="407">
        <f t="shared" si="36"/>
        <v>-0.1889493923</v>
      </c>
      <c r="AL100" s="407">
        <f t="shared" si="36"/>
        <v>-0.1820350445</v>
      </c>
      <c r="AM100" s="407">
        <f t="shared" si="36"/>
        <v>-0.1836887217</v>
      </c>
      <c r="AN100" s="407">
        <f t="shared" si="36"/>
        <v>-0.1707532633</v>
      </c>
      <c r="AO100" s="407">
        <f t="shared" si="36"/>
        <v>-0.2521780705</v>
      </c>
      <c r="AP100" s="407">
        <f t="shared" si="36"/>
        <v>-0.2149874842</v>
      </c>
      <c r="AQ100" s="407">
        <f t="shared" si="36"/>
        <v>-0.1347357852</v>
      </c>
      <c r="AR100" s="407">
        <f t="shared" si="36"/>
        <v>-0.2448215997</v>
      </c>
      <c r="AS100" s="407">
        <f t="shared" si="36"/>
        <v>-0.1742166669</v>
      </c>
      <c r="AT100" s="407">
        <f t="shared" si="36"/>
        <v>-0.1144093663</v>
      </c>
      <c r="AU100" s="407">
        <f t="shared" si="36"/>
        <v>-0.152593049</v>
      </c>
      <c r="AV100" s="407">
        <f t="shared" si="36"/>
        <v>-0.1511878848</v>
      </c>
      <c r="AW100" s="733"/>
    </row>
    <row r="101">
      <c r="A101" s="734"/>
      <c r="B101" s="735"/>
      <c r="C101" s="736"/>
      <c r="D101" s="736"/>
      <c r="E101" s="490"/>
      <c r="F101" s="731"/>
      <c r="G101" s="731"/>
      <c r="H101" s="737"/>
      <c r="I101" s="732"/>
      <c r="J101" s="732"/>
      <c r="K101" s="732"/>
      <c r="L101" s="732"/>
      <c r="M101" s="732"/>
      <c r="N101" s="732"/>
      <c r="O101" s="732"/>
      <c r="P101" s="732"/>
      <c r="Q101" s="732"/>
      <c r="R101" s="732"/>
      <c r="S101" s="732"/>
      <c r="T101" s="732"/>
      <c r="U101" s="732"/>
      <c r="V101" s="732"/>
      <c r="W101" s="732"/>
      <c r="X101" s="732"/>
      <c r="Y101" s="732"/>
      <c r="Z101" s="732"/>
      <c r="AA101" s="732"/>
      <c r="AB101" s="732"/>
      <c r="AC101" s="732"/>
      <c r="AD101" s="732"/>
      <c r="AE101" s="732"/>
      <c r="AF101" s="732"/>
      <c r="AG101" s="732"/>
      <c r="AH101" s="732"/>
      <c r="AI101" s="732"/>
      <c r="AJ101" s="732"/>
      <c r="AK101" s="732"/>
      <c r="AL101" s="732"/>
      <c r="AM101" s="732"/>
      <c r="AN101" s="732"/>
      <c r="AO101" s="732"/>
      <c r="AP101" s="732"/>
      <c r="AQ101" s="732"/>
      <c r="AR101" s="732"/>
      <c r="AS101" s="732"/>
      <c r="AT101" s="732"/>
      <c r="AU101" s="732"/>
      <c r="AV101" s="732"/>
      <c r="AW101" s="733"/>
    </row>
  </sheetData>
  <mergeCells count="28">
    <mergeCell ref="I1:Q1"/>
    <mergeCell ref="R1:AE1"/>
    <mergeCell ref="AF1:AV1"/>
    <mergeCell ref="A3:E3"/>
    <mergeCell ref="A5:G5"/>
    <mergeCell ref="C7:E7"/>
    <mergeCell ref="C10:E10"/>
    <mergeCell ref="C17:E17"/>
    <mergeCell ref="C20:E20"/>
    <mergeCell ref="C25:E25"/>
    <mergeCell ref="A29:G29"/>
    <mergeCell ref="C31:E31"/>
    <mergeCell ref="C35:E35"/>
    <mergeCell ref="A39:G39"/>
    <mergeCell ref="D70:E70"/>
    <mergeCell ref="D75:E75"/>
    <mergeCell ref="D80:E80"/>
    <mergeCell ref="A85:G85"/>
    <mergeCell ref="C87:E87"/>
    <mergeCell ref="C94:E94"/>
    <mergeCell ref="C99:E99"/>
    <mergeCell ref="C41:E41"/>
    <mergeCell ref="C47:E47"/>
    <mergeCell ref="C53:E53"/>
    <mergeCell ref="A57:G57"/>
    <mergeCell ref="C59:E59"/>
    <mergeCell ref="D60:E60"/>
    <mergeCell ref="C69:E69"/>
  </mergeCells>
  <hyperlinks>
    <hyperlink display="Grant size" location="Inputs!E8" ref="E8"/>
    <hyperlink display="Domestic government costs incurred per child counterfactually vaccinated" location="Inputs!E318" ref="E11"/>
    <hyperlink display="Gavi costs incurred per child counterfactually vaccinated" location="Inputs!E319" ref="E12"/>
    <hyperlink display="Children counterfactually vaccinated" location="'Main CEA'!E36" ref="E13"/>
    <hyperlink display="Scenario 1: Domestic governments would replace the grantee's costs" location="Inputs!E322" ref="E32"/>
    <hyperlink display="Scenario 1: Domestic governments would replace the grantee's costs" location="Inputs!E325" ref="E36"/>
    <hyperlink display="Scenario 2: Distributions would go unfunded" location="Inputs!E326" ref="E37"/>
    <hyperlink display="Units of value generated per dollar (before final adjustments)" location="'Main CEA'!E176" ref="E42"/>
    <hyperlink display="Total supplemental grantee-level adjustment" location="'Main CEA'!D208" ref="E43"/>
    <hyperlink display="Total supplemental intervention-level adjustment" location="'Main CEA'!D228" ref="E44"/>
    <hyperlink display="Counterfactual value per dollar spent by domestic governments on immunization programs" location="Inputs!E329" ref="E54"/>
    <hyperlink display="Counterfactual value per dollar spent by Gavi" location="Inputs!E330" ref="E55"/>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63"/>
    <col customWidth="1" min="40" max="40" width="13.25"/>
    <col customWidth="1" min="41" max="48" width="12.13"/>
    <col customWidth="1" min="49" max="49" width="3.63"/>
    <col customWidth="1" min="50" max="50" width="17.38"/>
    <col customWidth="1" min="51" max="51" width="48.25"/>
  </cols>
  <sheetData>
    <row r="1">
      <c r="A1" s="83"/>
      <c r="B1" s="84"/>
      <c r="C1" s="84"/>
      <c r="D1" s="84"/>
      <c r="E1" s="85"/>
      <c r="F1" s="86"/>
      <c r="G1" s="87"/>
      <c r="H1" s="88"/>
      <c r="I1" s="89" t="s">
        <v>107</v>
      </c>
      <c r="J1" s="45"/>
      <c r="K1" s="45"/>
      <c r="L1" s="45"/>
      <c r="M1" s="45"/>
      <c r="N1" s="45"/>
      <c r="O1" s="45"/>
      <c r="P1" s="45"/>
      <c r="Q1" s="45"/>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738"/>
      <c r="AX1" s="739"/>
      <c r="AY1" s="740"/>
    </row>
    <row r="2">
      <c r="A2" s="92"/>
      <c r="B2" s="93"/>
      <c r="C2" s="93"/>
      <c r="D2" s="93"/>
      <c r="E2" s="438"/>
      <c r="F2" s="95"/>
      <c r="G2" s="95"/>
      <c r="H2" s="656"/>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741"/>
      <c r="AX2" s="739"/>
      <c r="AY2" s="742"/>
    </row>
    <row r="3">
      <c r="A3" s="101" t="s">
        <v>16</v>
      </c>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743"/>
      <c r="AX3" s="744" t="s">
        <v>972</v>
      </c>
      <c r="AY3" s="745" t="s">
        <v>973</v>
      </c>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5">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746"/>
      <c r="AX4" s="747"/>
      <c r="AY4" s="748"/>
    </row>
    <row r="5">
      <c r="A5" s="117" t="s">
        <v>916</v>
      </c>
      <c r="B5" s="7"/>
      <c r="C5" s="7"/>
      <c r="D5" s="7"/>
      <c r="E5" s="7"/>
      <c r="F5" s="7"/>
      <c r="G5" s="659"/>
      <c r="H5" s="749"/>
      <c r="I5" s="750"/>
      <c r="J5" s="750"/>
      <c r="K5" s="750"/>
      <c r="L5" s="750"/>
      <c r="M5" s="750"/>
      <c r="N5" s="750"/>
      <c r="O5" s="750"/>
      <c r="P5" s="750"/>
      <c r="Q5" s="686"/>
      <c r="R5" s="750"/>
      <c r="S5" s="750"/>
      <c r="T5" s="750"/>
      <c r="U5" s="750"/>
      <c r="V5" s="750"/>
      <c r="W5" s="750"/>
      <c r="X5" s="750"/>
      <c r="Y5" s="750"/>
      <c r="Z5" s="750"/>
      <c r="AA5" s="750"/>
      <c r="AB5" s="750"/>
      <c r="AC5" s="750"/>
      <c r="AD5" s="750"/>
      <c r="AE5" s="750"/>
      <c r="AF5" s="750"/>
      <c r="AG5" s="750"/>
      <c r="AH5" s="750"/>
      <c r="AI5" s="750"/>
      <c r="AJ5" s="750"/>
      <c r="AK5" s="750"/>
      <c r="AL5" s="750"/>
      <c r="AM5" s="750"/>
      <c r="AN5" s="750"/>
      <c r="AO5" s="750"/>
      <c r="AP5" s="750"/>
      <c r="AQ5" s="750"/>
      <c r="AR5" s="750"/>
      <c r="AS5" s="750"/>
      <c r="AT5" s="750"/>
      <c r="AU5" s="750"/>
      <c r="AV5" s="750"/>
      <c r="AW5" s="751"/>
      <c r="AX5" s="747"/>
      <c r="AY5" s="752"/>
    </row>
    <row r="6">
      <c r="A6" s="122"/>
      <c r="B6" s="123"/>
      <c r="C6" s="123"/>
      <c r="D6" s="123"/>
      <c r="E6" s="445"/>
      <c r="F6" s="125"/>
      <c r="G6" s="126"/>
      <c r="H6" s="753"/>
      <c r="I6" s="315"/>
      <c r="J6" s="315"/>
      <c r="K6" s="315"/>
      <c r="L6" s="315"/>
      <c r="M6" s="315"/>
      <c r="N6" s="315"/>
      <c r="O6" s="315"/>
      <c r="P6" s="315"/>
      <c r="Q6" s="316"/>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68"/>
      <c r="AX6" s="754"/>
      <c r="AY6" s="755"/>
    </row>
    <row r="7">
      <c r="A7" s="122"/>
      <c r="B7" s="123"/>
      <c r="C7" s="131" t="s">
        <v>157</v>
      </c>
      <c r="F7" s="125"/>
      <c r="G7" s="132"/>
      <c r="H7" s="753"/>
      <c r="I7" s="315"/>
      <c r="J7" s="315"/>
      <c r="K7" s="315"/>
      <c r="L7" s="315"/>
      <c r="M7" s="315"/>
      <c r="N7" s="315"/>
      <c r="O7" s="315"/>
      <c r="P7" s="315"/>
      <c r="Q7" s="316"/>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68"/>
      <c r="AX7" s="754"/>
      <c r="AY7" s="755"/>
    </row>
    <row r="8">
      <c r="A8" s="122"/>
      <c r="B8" s="123"/>
      <c r="C8" s="123"/>
      <c r="D8" s="123"/>
      <c r="E8" s="133" t="s">
        <v>158</v>
      </c>
      <c r="F8" s="134" t="s">
        <v>68</v>
      </c>
      <c r="G8" s="135" t="s">
        <v>165</v>
      </c>
      <c r="H8" s="756">
        <v>1000000.0</v>
      </c>
      <c r="I8" s="757" t="s">
        <v>162</v>
      </c>
      <c r="J8" s="757" t="s">
        <v>162</v>
      </c>
      <c r="K8" s="757" t="s">
        <v>162</v>
      </c>
      <c r="L8" s="757" t="s">
        <v>162</v>
      </c>
      <c r="M8" s="757" t="s">
        <v>162</v>
      </c>
      <c r="N8" s="757" t="s">
        <v>162</v>
      </c>
      <c r="O8" s="757" t="s">
        <v>162</v>
      </c>
      <c r="P8" s="757" t="s">
        <v>162</v>
      </c>
      <c r="Q8" s="758" t="s">
        <v>162</v>
      </c>
      <c r="R8" s="757" t="s">
        <v>162</v>
      </c>
      <c r="S8" s="757" t="s">
        <v>162</v>
      </c>
      <c r="T8" s="757" t="s">
        <v>162</v>
      </c>
      <c r="U8" s="757" t="s">
        <v>162</v>
      </c>
      <c r="V8" s="757" t="s">
        <v>162</v>
      </c>
      <c r="W8" s="757" t="s">
        <v>162</v>
      </c>
      <c r="X8" s="757" t="s">
        <v>162</v>
      </c>
      <c r="Y8" s="757" t="s">
        <v>162</v>
      </c>
      <c r="Z8" s="757" t="s">
        <v>162</v>
      </c>
      <c r="AA8" s="757" t="s">
        <v>162</v>
      </c>
      <c r="AB8" s="757" t="s">
        <v>162</v>
      </c>
      <c r="AC8" s="757" t="s">
        <v>162</v>
      </c>
      <c r="AD8" s="757" t="s">
        <v>162</v>
      </c>
      <c r="AE8" s="757" t="s">
        <v>162</v>
      </c>
      <c r="AF8" s="757" t="s">
        <v>162</v>
      </c>
      <c r="AG8" s="757" t="s">
        <v>162</v>
      </c>
      <c r="AH8" s="757" t="s">
        <v>162</v>
      </c>
      <c r="AI8" s="757" t="s">
        <v>162</v>
      </c>
      <c r="AJ8" s="757" t="s">
        <v>162</v>
      </c>
      <c r="AK8" s="757" t="s">
        <v>162</v>
      </c>
      <c r="AL8" s="757" t="s">
        <v>162</v>
      </c>
      <c r="AM8" s="757" t="s">
        <v>162</v>
      </c>
      <c r="AN8" s="757" t="s">
        <v>162</v>
      </c>
      <c r="AO8" s="757" t="s">
        <v>162</v>
      </c>
      <c r="AP8" s="757" t="s">
        <v>162</v>
      </c>
      <c r="AQ8" s="757" t="s">
        <v>162</v>
      </c>
      <c r="AR8" s="757" t="s">
        <v>162</v>
      </c>
      <c r="AS8" s="757" t="s">
        <v>162</v>
      </c>
      <c r="AT8" s="757" t="s">
        <v>162</v>
      </c>
      <c r="AU8" s="757" t="s">
        <v>162</v>
      </c>
      <c r="AV8" s="757" t="s">
        <v>162</v>
      </c>
      <c r="AW8" s="81"/>
      <c r="AX8" s="759" t="s">
        <v>974</v>
      </c>
      <c r="AY8" s="760"/>
    </row>
    <row r="9">
      <c r="A9" s="122"/>
      <c r="B9" s="123"/>
      <c r="C9" s="13"/>
      <c r="D9" s="13"/>
      <c r="E9" s="51"/>
      <c r="F9" s="664"/>
      <c r="G9" s="316"/>
      <c r="H9" s="761"/>
      <c r="I9" s="315"/>
      <c r="J9" s="315"/>
      <c r="K9" s="315"/>
      <c r="L9" s="315"/>
      <c r="M9" s="315"/>
      <c r="N9" s="315"/>
      <c r="O9" s="315"/>
      <c r="P9" s="315"/>
      <c r="Q9" s="316"/>
      <c r="R9" s="315"/>
      <c r="S9" s="315"/>
      <c r="T9" s="315"/>
      <c r="U9" s="315"/>
      <c r="V9" s="315"/>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68"/>
      <c r="AX9" s="754"/>
      <c r="AY9" s="755"/>
    </row>
    <row r="10">
      <c r="A10" s="122"/>
      <c r="B10" s="123"/>
      <c r="C10" s="143" t="s">
        <v>975</v>
      </c>
      <c r="F10" s="125"/>
      <c r="G10" s="126"/>
      <c r="H10" s="753"/>
      <c r="I10" s="315"/>
      <c r="J10" s="315"/>
      <c r="K10" s="315"/>
      <c r="L10" s="315"/>
      <c r="M10" s="315"/>
      <c r="N10" s="315"/>
      <c r="O10" s="315"/>
      <c r="P10" s="315"/>
      <c r="Q10" s="316"/>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68"/>
      <c r="AX10" s="754"/>
      <c r="AY10" s="755"/>
    </row>
    <row r="11">
      <c r="A11" s="122"/>
      <c r="B11" s="123"/>
      <c r="C11" s="123"/>
      <c r="D11" s="538"/>
      <c r="E11" s="762" t="s">
        <v>164</v>
      </c>
      <c r="F11" s="763" t="s">
        <v>68</v>
      </c>
      <c r="G11" s="764" t="s">
        <v>165</v>
      </c>
      <c r="H11" s="765">
        <v>16.26</v>
      </c>
      <c r="I11" s="766" t="s">
        <v>162</v>
      </c>
      <c r="J11" s="766" t="s">
        <v>162</v>
      </c>
      <c r="K11" s="766" t="s">
        <v>162</v>
      </c>
      <c r="L11" s="766" t="s">
        <v>162</v>
      </c>
      <c r="M11" s="766" t="s">
        <v>162</v>
      </c>
      <c r="N11" s="766" t="s">
        <v>162</v>
      </c>
      <c r="O11" s="766" t="s">
        <v>162</v>
      </c>
      <c r="P11" s="766" t="s">
        <v>162</v>
      </c>
      <c r="Q11" s="767" t="s">
        <v>162</v>
      </c>
      <c r="R11" s="766" t="s">
        <v>162</v>
      </c>
      <c r="S11" s="766" t="s">
        <v>162</v>
      </c>
      <c r="T11" s="766" t="s">
        <v>162</v>
      </c>
      <c r="U11" s="766" t="s">
        <v>162</v>
      </c>
      <c r="V11" s="766" t="s">
        <v>162</v>
      </c>
      <c r="W11" s="766" t="s">
        <v>162</v>
      </c>
      <c r="X11" s="766" t="s">
        <v>162</v>
      </c>
      <c r="Y11" s="766" t="s">
        <v>162</v>
      </c>
      <c r="Z11" s="766" t="s">
        <v>162</v>
      </c>
      <c r="AA11" s="766" t="s">
        <v>162</v>
      </c>
      <c r="AB11" s="766" t="s">
        <v>162</v>
      </c>
      <c r="AC11" s="766" t="s">
        <v>162</v>
      </c>
      <c r="AD11" s="766" t="s">
        <v>162</v>
      </c>
      <c r="AE11" s="766" t="s">
        <v>162</v>
      </c>
      <c r="AF11" s="766" t="s">
        <v>162</v>
      </c>
      <c r="AG11" s="766" t="s">
        <v>162</v>
      </c>
      <c r="AH11" s="766" t="s">
        <v>162</v>
      </c>
      <c r="AI11" s="766" t="s">
        <v>162</v>
      </c>
      <c r="AJ11" s="766" t="s">
        <v>162</v>
      </c>
      <c r="AK11" s="766" t="s">
        <v>162</v>
      </c>
      <c r="AL11" s="766" t="s">
        <v>162</v>
      </c>
      <c r="AM11" s="766" t="s">
        <v>162</v>
      </c>
      <c r="AN11" s="766" t="s">
        <v>162</v>
      </c>
      <c r="AO11" s="766" t="s">
        <v>162</v>
      </c>
      <c r="AP11" s="766" t="s">
        <v>162</v>
      </c>
      <c r="AQ11" s="766" t="s">
        <v>162</v>
      </c>
      <c r="AR11" s="766" t="s">
        <v>162</v>
      </c>
      <c r="AS11" s="766" t="s">
        <v>162</v>
      </c>
      <c r="AT11" s="766" t="s">
        <v>162</v>
      </c>
      <c r="AU11" s="766" t="s">
        <v>162</v>
      </c>
      <c r="AV11" s="766" t="s">
        <v>162</v>
      </c>
      <c r="AW11" s="81"/>
      <c r="AX11" s="759" t="s">
        <v>976</v>
      </c>
      <c r="AY11" s="768"/>
    </row>
    <row r="12">
      <c r="A12" s="122"/>
      <c r="B12" s="123"/>
      <c r="C12" s="123"/>
      <c r="D12" s="538"/>
      <c r="E12" s="762" t="s">
        <v>166</v>
      </c>
      <c r="F12" s="763" t="s">
        <v>72</v>
      </c>
      <c r="G12" s="764" t="s">
        <v>165</v>
      </c>
      <c r="H12" s="769">
        <v>0.107211</v>
      </c>
      <c r="I12" s="766"/>
      <c r="J12" s="766"/>
      <c r="K12" s="766"/>
      <c r="L12" s="766"/>
      <c r="M12" s="766"/>
      <c r="N12" s="766"/>
      <c r="O12" s="766"/>
      <c r="P12" s="766"/>
      <c r="Q12" s="767"/>
      <c r="R12" s="766"/>
      <c r="S12" s="766"/>
      <c r="T12" s="766"/>
      <c r="U12" s="766"/>
      <c r="V12" s="766"/>
      <c r="W12" s="766"/>
      <c r="X12" s="766"/>
      <c r="Y12" s="766"/>
      <c r="Z12" s="766"/>
      <c r="AA12" s="766"/>
      <c r="AB12" s="766"/>
      <c r="AC12" s="766"/>
      <c r="AD12" s="766"/>
      <c r="AE12" s="766"/>
      <c r="AF12" s="766"/>
      <c r="AG12" s="766"/>
      <c r="AH12" s="766"/>
      <c r="AI12" s="766"/>
      <c r="AJ12" s="766"/>
      <c r="AK12" s="766"/>
      <c r="AL12" s="766"/>
      <c r="AM12" s="766"/>
      <c r="AN12" s="766"/>
      <c r="AO12" s="766"/>
      <c r="AP12" s="766"/>
      <c r="AQ12" s="766"/>
      <c r="AR12" s="766"/>
      <c r="AS12" s="766"/>
      <c r="AT12" s="766"/>
      <c r="AU12" s="766"/>
      <c r="AV12" s="766"/>
      <c r="AW12" s="81"/>
      <c r="AX12" s="759" t="s">
        <v>977</v>
      </c>
      <c r="AY12" s="770" t="s">
        <v>93</v>
      </c>
    </row>
    <row r="13">
      <c r="A13" s="122"/>
      <c r="B13" s="123"/>
      <c r="C13" s="13"/>
      <c r="D13" s="13"/>
      <c r="E13" s="51"/>
      <c r="F13" s="315"/>
      <c r="G13" s="316"/>
      <c r="H13" s="753"/>
      <c r="I13" s="315"/>
      <c r="J13" s="315"/>
      <c r="K13" s="315"/>
      <c r="L13" s="315"/>
      <c r="M13" s="315"/>
      <c r="N13" s="315"/>
      <c r="O13" s="315"/>
      <c r="P13" s="315"/>
      <c r="Q13" s="316"/>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68"/>
      <c r="AX13" s="754"/>
      <c r="AY13" s="755"/>
    </row>
    <row r="14">
      <c r="A14" s="117" t="s">
        <v>12</v>
      </c>
      <c r="B14" s="7"/>
      <c r="C14" s="7"/>
      <c r="D14" s="7"/>
      <c r="E14" s="7"/>
      <c r="F14" s="7"/>
      <c r="G14" s="659"/>
      <c r="H14" s="771"/>
      <c r="I14" s="772"/>
      <c r="J14" s="772"/>
      <c r="K14" s="772"/>
      <c r="L14" s="772"/>
      <c r="M14" s="772"/>
      <c r="N14" s="772"/>
      <c r="O14" s="772"/>
      <c r="P14" s="772"/>
      <c r="Q14" s="679"/>
      <c r="R14" s="772"/>
      <c r="S14" s="772"/>
      <c r="T14" s="772"/>
      <c r="U14" s="772"/>
      <c r="V14" s="772"/>
      <c r="W14" s="772"/>
      <c r="X14" s="772"/>
      <c r="Y14" s="772"/>
      <c r="Z14" s="772"/>
      <c r="AA14" s="772"/>
      <c r="AB14" s="772"/>
      <c r="AC14" s="772"/>
      <c r="AD14" s="772"/>
      <c r="AE14" s="772"/>
      <c r="AF14" s="772"/>
      <c r="AG14" s="772"/>
      <c r="AH14" s="772"/>
      <c r="AI14" s="772"/>
      <c r="AJ14" s="772"/>
      <c r="AK14" s="772"/>
      <c r="AL14" s="772"/>
      <c r="AM14" s="772"/>
      <c r="AN14" s="772"/>
      <c r="AO14" s="772"/>
      <c r="AP14" s="772"/>
      <c r="AQ14" s="772"/>
      <c r="AR14" s="772"/>
      <c r="AS14" s="772"/>
      <c r="AT14" s="772"/>
      <c r="AU14" s="772"/>
      <c r="AV14" s="772"/>
      <c r="AW14" s="773"/>
      <c r="AX14" s="774"/>
      <c r="AY14" s="775"/>
    </row>
    <row r="15">
      <c r="A15" s="776"/>
      <c r="B15" s="538"/>
      <c r="C15" s="538"/>
      <c r="D15" s="538"/>
      <c r="E15" s="777"/>
      <c r="F15" s="533"/>
      <c r="G15" s="534"/>
      <c r="H15" s="680"/>
      <c r="I15" s="482"/>
      <c r="J15" s="482"/>
      <c r="K15" s="482"/>
      <c r="L15" s="482"/>
      <c r="M15" s="482"/>
      <c r="N15" s="482"/>
      <c r="O15" s="482"/>
      <c r="P15" s="482"/>
      <c r="Q15" s="13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778"/>
      <c r="AX15" s="779"/>
      <c r="AY15" s="780"/>
    </row>
    <row r="16">
      <c r="A16" s="776"/>
      <c r="B16" s="538"/>
      <c r="C16" s="143" t="s">
        <v>878</v>
      </c>
      <c r="F16" s="533"/>
      <c r="G16" s="534"/>
      <c r="H16" s="781"/>
      <c r="I16" s="482"/>
      <c r="J16" s="482"/>
      <c r="K16" s="482"/>
      <c r="L16" s="482"/>
      <c r="M16" s="482"/>
      <c r="N16" s="482"/>
      <c r="O16" s="482"/>
      <c r="P16" s="482"/>
      <c r="Q16" s="13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778"/>
      <c r="AX16" s="779"/>
      <c r="AY16" s="780"/>
    </row>
    <row r="17">
      <c r="A17" s="776"/>
      <c r="B17" s="538"/>
      <c r="C17" s="538"/>
      <c r="D17" s="538"/>
      <c r="E17" s="782" t="s">
        <v>879</v>
      </c>
      <c r="F17" s="539" t="s">
        <v>72</v>
      </c>
      <c r="G17" s="540" t="s">
        <v>165</v>
      </c>
      <c r="H17" s="783">
        <v>0.66</v>
      </c>
      <c r="I17" s="483" t="s">
        <v>162</v>
      </c>
      <c r="J17" s="483" t="s">
        <v>162</v>
      </c>
      <c r="K17" s="483" t="s">
        <v>162</v>
      </c>
      <c r="L17" s="483" t="s">
        <v>162</v>
      </c>
      <c r="M17" s="483" t="s">
        <v>162</v>
      </c>
      <c r="N17" s="483" t="s">
        <v>162</v>
      </c>
      <c r="O17" s="483" t="s">
        <v>162</v>
      </c>
      <c r="P17" s="483" t="s">
        <v>162</v>
      </c>
      <c r="Q17" s="194" t="s">
        <v>162</v>
      </c>
      <c r="R17" s="483" t="s">
        <v>162</v>
      </c>
      <c r="S17" s="483" t="s">
        <v>162</v>
      </c>
      <c r="T17" s="483" t="s">
        <v>162</v>
      </c>
      <c r="U17" s="483" t="s">
        <v>162</v>
      </c>
      <c r="V17" s="483" t="s">
        <v>162</v>
      </c>
      <c r="W17" s="483" t="s">
        <v>162</v>
      </c>
      <c r="X17" s="483" t="s">
        <v>162</v>
      </c>
      <c r="Y17" s="483" t="s">
        <v>162</v>
      </c>
      <c r="Z17" s="483" t="s">
        <v>162</v>
      </c>
      <c r="AA17" s="483" t="s">
        <v>162</v>
      </c>
      <c r="AB17" s="483" t="s">
        <v>162</v>
      </c>
      <c r="AC17" s="483" t="s">
        <v>162</v>
      </c>
      <c r="AD17" s="483" t="s">
        <v>162</v>
      </c>
      <c r="AE17" s="483" t="s">
        <v>162</v>
      </c>
      <c r="AF17" s="483" t="s">
        <v>162</v>
      </c>
      <c r="AG17" s="483" t="s">
        <v>162</v>
      </c>
      <c r="AH17" s="483" t="s">
        <v>162</v>
      </c>
      <c r="AI17" s="483" t="s">
        <v>162</v>
      </c>
      <c r="AJ17" s="483" t="s">
        <v>162</v>
      </c>
      <c r="AK17" s="483" t="s">
        <v>162</v>
      </c>
      <c r="AL17" s="483" t="s">
        <v>162</v>
      </c>
      <c r="AM17" s="483" t="s">
        <v>162</v>
      </c>
      <c r="AN17" s="483" t="s">
        <v>162</v>
      </c>
      <c r="AO17" s="483" t="s">
        <v>162</v>
      </c>
      <c r="AP17" s="483" t="s">
        <v>162</v>
      </c>
      <c r="AQ17" s="483" t="s">
        <v>162</v>
      </c>
      <c r="AR17" s="483" t="s">
        <v>162</v>
      </c>
      <c r="AS17" s="483" t="s">
        <v>162</v>
      </c>
      <c r="AT17" s="483" t="s">
        <v>162</v>
      </c>
      <c r="AU17" s="483" t="s">
        <v>162</v>
      </c>
      <c r="AV17" s="483" t="s">
        <v>162</v>
      </c>
      <c r="AW17" s="784"/>
      <c r="AX17" s="785" t="s">
        <v>978</v>
      </c>
      <c r="AY17" s="786"/>
    </row>
    <row r="18">
      <c r="A18" s="776"/>
      <c r="B18" s="538"/>
      <c r="C18" s="538"/>
      <c r="D18" s="538"/>
      <c r="E18" s="475" t="s">
        <v>880</v>
      </c>
      <c r="F18" s="554" t="s">
        <v>72</v>
      </c>
      <c r="G18" s="555" t="s">
        <v>165</v>
      </c>
      <c r="H18" s="787">
        <v>0.94</v>
      </c>
      <c r="I18" s="485" t="s">
        <v>162</v>
      </c>
      <c r="J18" s="485" t="s">
        <v>162</v>
      </c>
      <c r="K18" s="485" t="s">
        <v>162</v>
      </c>
      <c r="L18" s="485" t="s">
        <v>162</v>
      </c>
      <c r="M18" s="485" t="s">
        <v>162</v>
      </c>
      <c r="N18" s="485" t="s">
        <v>162</v>
      </c>
      <c r="O18" s="485" t="s">
        <v>162</v>
      </c>
      <c r="P18" s="485" t="s">
        <v>162</v>
      </c>
      <c r="Q18" s="214" t="s">
        <v>162</v>
      </c>
      <c r="R18" s="485" t="s">
        <v>162</v>
      </c>
      <c r="S18" s="485" t="s">
        <v>162</v>
      </c>
      <c r="T18" s="485" t="s">
        <v>162</v>
      </c>
      <c r="U18" s="485" t="s">
        <v>162</v>
      </c>
      <c r="V18" s="485" t="s">
        <v>162</v>
      </c>
      <c r="W18" s="485" t="s">
        <v>162</v>
      </c>
      <c r="X18" s="485" t="s">
        <v>162</v>
      </c>
      <c r="Y18" s="485" t="s">
        <v>162</v>
      </c>
      <c r="Z18" s="485" t="s">
        <v>162</v>
      </c>
      <c r="AA18" s="485" t="s">
        <v>162</v>
      </c>
      <c r="AB18" s="485" t="s">
        <v>162</v>
      </c>
      <c r="AC18" s="485" t="s">
        <v>162</v>
      </c>
      <c r="AD18" s="485" t="s">
        <v>162</v>
      </c>
      <c r="AE18" s="485" t="s">
        <v>162</v>
      </c>
      <c r="AF18" s="485" t="s">
        <v>162</v>
      </c>
      <c r="AG18" s="485" t="s">
        <v>162</v>
      </c>
      <c r="AH18" s="485" t="s">
        <v>162</v>
      </c>
      <c r="AI18" s="485" t="s">
        <v>162</v>
      </c>
      <c r="AJ18" s="485" t="s">
        <v>162</v>
      </c>
      <c r="AK18" s="485" t="s">
        <v>162</v>
      </c>
      <c r="AL18" s="483" t="s">
        <v>162</v>
      </c>
      <c r="AM18" s="483" t="s">
        <v>162</v>
      </c>
      <c r="AN18" s="483" t="s">
        <v>162</v>
      </c>
      <c r="AO18" s="485" t="s">
        <v>162</v>
      </c>
      <c r="AP18" s="485" t="s">
        <v>162</v>
      </c>
      <c r="AQ18" s="485" t="s">
        <v>162</v>
      </c>
      <c r="AR18" s="485" t="s">
        <v>162</v>
      </c>
      <c r="AS18" s="485" t="s">
        <v>162</v>
      </c>
      <c r="AT18" s="485" t="s">
        <v>162</v>
      </c>
      <c r="AU18" s="485" t="s">
        <v>162</v>
      </c>
      <c r="AV18" s="485" t="s">
        <v>162</v>
      </c>
      <c r="AW18" s="788"/>
      <c r="AX18" s="789" t="s">
        <v>979</v>
      </c>
      <c r="AY18" s="790"/>
    </row>
    <row r="19">
      <c r="A19" s="776"/>
      <c r="B19" s="538"/>
      <c r="C19" s="538"/>
      <c r="D19" s="538"/>
      <c r="E19" s="475" t="s">
        <v>881</v>
      </c>
      <c r="F19" s="554" t="s">
        <v>72</v>
      </c>
      <c r="G19" s="555" t="s">
        <v>165</v>
      </c>
      <c r="H19" s="787">
        <v>0.82</v>
      </c>
      <c r="I19" s="485" t="s">
        <v>162</v>
      </c>
      <c r="J19" s="485" t="s">
        <v>162</v>
      </c>
      <c r="K19" s="485" t="s">
        <v>162</v>
      </c>
      <c r="L19" s="485" t="s">
        <v>162</v>
      </c>
      <c r="M19" s="485" t="s">
        <v>162</v>
      </c>
      <c r="N19" s="485" t="s">
        <v>162</v>
      </c>
      <c r="O19" s="485" t="s">
        <v>162</v>
      </c>
      <c r="P19" s="485" t="s">
        <v>162</v>
      </c>
      <c r="Q19" s="214" t="s">
        <v>162</v>
      </c>
      <c r="R19" s="485" t="s">
        <v>162</v>
      </c>
      <c r="S19" s="485" t="s">
        <v>162</v>
      </c>
      <c r="T19" s="485" t="s">
        <v>162</v>
      </c>
      <c r="U19" s="485" t="s">
        <v>162</v>
      </c>
      <c r="V19" s="485" t="s">
        <v>162</v>
      </c>
      <c r="W19" s="485" t="s">
        <v>162</v>
      </c>
      <c r="X19" s="485" t="s">
        <v>162</v>
      </c>
      <c r="Y19" s="485" t="s">
        <v>162</v>
      </c>
      <c r="Z19" s="485" t="s">
        <v>162</v>
      </c>
      <c r="AA19" s="485" t="s">
        <v>162</v>
      </c>
      <c r="AB19" s="485" t="s">
        <v>162</v>
      </c>
      <c r="AC19" s="485" t="s">
        <v>162</v>
      </c>
      <c r="AD19" s="485" t="s">
        <v>162</v>
      </c>
      <c r="AE19" s="485" t="s">
        <v>162</v>
      </c>
      <c r="AF19" s="485" t="s">
        <v>162</v>
      </c>
      <c r="AG19" s="485" t="s">
        <v>162</v>
      </c>
      <c r="AH19" s="485" t="s">
        <v>162</v>
      </c>
      <c r="AI19" s="485" t="s">
        <v>162</v>
      </c>
      <c r="AJ19" s="485" t="s">
        <v>162</v>
      </c>
      <c r="AK19" s="485" t="s">
        <v>162</v>
      </c>
      <c r="AL19" s="483" t="s">
        <v>162</v>
      </c>
      <c r="AM19" s="483" t="s">
        <v>162</v>
      </c>
      <c r="AN19" s="483" t="s">
        <v>162</v>
      </c>
      <c r="AO19" s="485" t="s">
        <v>162</v>
      </c>
      <c r="AP19" s="485" t="s">
        <v>162</v>
      </c>
      <c r="AQ19" s="485" t="s">
        <v>162</v>
      </c>
      <c r="AR19" s="485" t="s">
        <v>162</v>
      </c>
      <c r="AS19" s="485" t="s">
        <v>162</v>
      </c>
      <c r="AT19" s="485" t="s">
        <v>162</v>
      </c>
      <c r="AU19" s="485" t="s">
        <v>162</v>
      </c>
      <c r="AV19" s="485" t="s">
        <v>162</v>
      </c>
      <c r="AW19" s="788"/>
      <c r="AX19" s="789" t="s">
        <v>980</v>
      </c>
      <c r="AY19" s="790"/>
    </row>
    <row r="20">
      <c r="A20" s="776"/>
      <c r="B20" s="538"/>
      <c r="C20" s="538"/>
      <c r="D20" s="538"/>
      <c r="E20" s="475" t="s">
        <v>882</v>
      </c>
      <c r="F20" s="554" t="s">
        <v>72</v>
      </c>
      <c r="G20" s="555" t="s">
        <v>165</v>
      </c>
      <c r="H20" s="787">
        <v>0.475</v>
      </c>
      <c r="I20" s="485" t="s">
        <v>162</v>
      </c>
      <c r="J20" s="485" t="s">
        <v>162</v>
      </c>
      <c r="K20" s="485" t="s">
        <v>162</v>
      </c>
      <c r="L20" s="485" t="s">
        <v>162</v>
      </c>
      <c r="M20" s="485" t="s">
        <v>162</v>
      </c>
      <c r="N20" s="485" t="s">
        <v>162</v>
      </c>
      <c r="O20" s="485" t="s">
        <v>162</v>
      </c>
      <c r="P20" s="485" t="s">
        <v>162</v>
      </c>
      <c r="Q20" s="214" t="s">
        <v>162</v>
      </c>
      <c r="R20" s="485" t="s">
        <v>162</v>
      </c>
      <c r="S20" s="485" t="s">
        <v>162</v>
      </c>
      <c r="T20" s="485" t="s">
        <v>162</v>
      </c>
      <c r="U20" s="485" t="s">
        <v>162</v>
      </c>
      <c r="V20" s="485" t="s">
        <v>162</v>
      </c>
      <c r="W20" s="485" t="s">
        <v>162</v>
      </c>
      <c r="X20" s="485" t="s">
        <v>162</v>
      </c>
      <c r="Y20" s="485" t="s">
        <v>162</v>
      </c>
      <c r="Z20" s="485" t="s">
        <v>162</v>
      </c>
      <c r="AA20" s="485" t="s">
        <v>162</v>
      </c>
      <c r="AB20" s="485" t="s">
        <v>162</v>
      </c>
      <c r="AC20" s="485" t="s">
        <v>162</v>
      </c>
      <c r="AD20" s="485" t="s">
        <v>162</v>
      </c>
      <c r="AE20" s="485" t="s">
        <v>162</v>
      </c>
      <c r="AF20" s="485" t="s">
        <v>162</v>
      </c>
      <c r="AG20" s="485" t="s">
        <v>162</v>
      </c>
      <c r="AH20" s="485" t="s">
        <v>162</v>
      </c>
      <c r="AI20" s="485" t="s">
        <v>162</v>
      </c>
      <c r="AJ20" s="485" t="s">
        <v>162</v>
      </c>
      <c r="AK20" s="485" t="s">
        <v>162</v>
      </c>
      <c r="AL20" s="483" t="s">
        <v>162</v>
      </c>
      <c r="AM20" s="483" t="s">
        <v>162</v>
      </c>
      <c r="AN20" s="483" t="s">
        <v>162</v>
      </c>
      <c r="AO20" s="485" t="s">
        <v>162</v>
      </c>
      <c r="AP20" s="485" t="s">
        <v>162</v>
      </c>
      <c r="AQ20" s="485" t="s">
        <v>162</v>
      </c>
      <c r="AR20" s="485" t="s">
        <v>162</v>
      </c>
      <c r="AS20" s="485" t="s">
        <v>162</v>
      </c>
      <c r="AT20" s="485" t="s">
        <v>162</v>
      </c>
      <c r="AU20" s="485" t="s">
        <v>162</v>
      </c>
      <c r="AV20" s="485" t="s">
        <v>162</v>
      </c>
      <c r="AW20" s="788"/>
      <c r="AX20" s="791" t="s">
        <v>981</v>
      </c>
      <c r="AY20" s="790"/>
    </row>
    <row r="21">
      <c r="A21" s="776"/>
      <c r="B21" s="538"/>
      <c r="C21" s="538"/>
      <c r="D21" s="538"/>
      <c r="E21" s="475" t="s">
        <v>883</v>
      </c>
      <c r="F21" s="554" t="s">
        <v>72</v>
      </c>
      <c r="G21" s="555" t="s">
        <v>165</v>
      </c>
      <c r="H21" s="787">
        <v>0.46</v>
      </c>
      <c r="I21" s="485" t="s">
        <v>162</v>
      </c>
      <c r="J21" s="485" t="s">
        <v>162</v>
      </c>
      <c r="K21" s="485" t="s">
        <v>162</v>
      </c>
      <c r="L21" s="485" t="s">
        <v>162</v>
      </c>
      <c r="M21" s="485" t="s">
        <v>162</v>
      </c>
      <c r="N21" s="485" t="s">
        <v>162</v>
      </c>
      <c r="O21" s="485" t="s">
        <v>162</v>
      </c>
      <c r="P21" s="485" t="s">
        <v>162</v>
      </c>
      <c r="Q21" s="214" t="s">
        <v>162</v>
      </c>
      <c r="R21" s="485" t="s">
        <v>162</v>
      </c>
      <c r="S21" s="485" t="s">
        <v>162</v>
      </c>
      <c r="T21" s="485" t="s">
        <v>162</v>
      </c>
      <c r="U21" s="485" t="s">
        <v>162</v>
      </c>
      <c r="V21" s="485" t="s">
        <v>162</v>
      </c>
      <c r="W21" s="485" t="s">
        <v>162</v>
      </c>
      <c r="X21" s="485" t="s">
        <v>162</v>
      </c>
      <c r="Y21" s="485" t="s">
        <v>162</v>
      </c>
      <c r="Z21" s="485" t="s">
        <v>162</v>
      </c>
      <c r="AA21" s="485" t="s">
        <v>162</v>
      </c>
      <c r="AB21" s="485" t="s">
        <v>162</v>
      </c>
      <c r="AC21" s="485" t="s">
        <v>162</v>
      </c>
      <c r="AD21" s="485" t="s">
        <v>162</v>
      </c>
      <c r="AE21" s="485" t="s">
        <v>162</v>
      </c>
      <c r="AF21" s="485" t="s">
        <v>162</v>
      </c>
      <c r="AG21" s="485" t="s">
        <v>162</v>
      </c>
      <c r="AH21" s="485" t="s">
        <v>162</v>
      </c>
      <c r="AI21" s="485" t="s">
        <v>162</v>
      </c>
      <c r="AJ21" s="485" t="s">
        <v>162</v>
      </c>
      <c r="AK21" s="485" t="s">
        <v>162</v>
      </c>
      <c r="AL21" s="483" t="s">
        <v>162</v>
      </c>
      <c r="AM21" s="483" t="s">
        <v>162</v>
      </c>
      <c r="AN21" s="483" t="s">
        <v>162</v>
      </c>
      <c r="AO21" s="485" t="s">
        <v>162</v>
      </c>
      <c r="AP21" s="485" t="s">
        <v>162</v>
      </c>
      <c r="AQ21" s="485" t="s">
        <v>162</v>
      </c>
      <c r="AR21" s="485" t="s">
        <v>162</v>
      </c>
      <c r="AS21" s="485" t="s">
        <v>162</v>
      </c>
      <c r="AT21" s="485" t="s">
        <v>162</v>
      </c>
      <c r="AU21" s="485" t="s">
        <v>162</v>
      </c>
      <c r="AV21" s="485" t="s">
        <v>162</v>
      </c>
      <c r="AW21" s="788"/>
      <c r="AX21" s="789" t="s">
        <v>979</v>
      </c>
      <c r="AY21" s="790"/>
    </row>
    <row r="22">
      <c r="A22" s="776"/>
      <c r="B22" s="538"/>
      <c r="C22" s="538"/>
      <c r="D22" s="538"/>
      <c r="E22" s="475" t="s">
        <v>885</v>
      </c>
      <c r="F22" s="554" t="s">
        <v>72</v>
      </c>
      <c r="G22" s="555" t="s">
        <v>165</v>
      </c>
      <c r="H22" s="787">
        <v>0.85</v>
      </c>
      <c r="I22" s="485" t="s">
        <v>162</v>
      </c>
      <c r="J22" s="485" t="s">
        <v>162</v>
      </c>
      <c r="K22" s="485" t="s">
        <v>162</v>
      </c>
      <c r="L22" s="485" t="s">
        <v>162</v>
      </c>
      <c r="M22" s="485" t="s">
        <v>162</v>
      </c>
      <c r="N22" s="485" t="s">
        <v>162</v>
      </c>
      <c r="O22" s="485" t="s">
        <v>162</v>
      </c>
      <c r="P22" s="485" t="s">
        <v>162</v>
      </c>
      <c r="Q22" s="214" t="s">
        <v>162</v>
      </c>
      <c r="R22" s="485" t="s">
        <v>162</v>
      </c>
      <c r="S22" s="485" t="s">
        <v>162</v>
      </c>
      <c r="T22" s="485" t="s">
        <v>162</v>
      </c>
      <c r="U22" s="485" t="s">
        <v>162</v>
      </c>
      <c r="V22" s="485" t="s">
        <v>162</v>
      </c>
      <c r="W22" s="485" t="s">
        <v>162</v>
      </c>
      <c r="X22" s="485" t="s">
        <v>162</v>
      </c>
      <c r="Y22" s="485" t="s">
        <v>162</v>
      </c>
      <c r="Z22" s="485" t="s">
        <v>162</v>
      </c>
      <c r="AA22" s="485" t="s">
        <v>162</v>
      </c>
      <c r="AB22" s="485" t="s">
        <v>162</v>
      </c>
      <c r="AC22" s="485" t="s">
        <v>162</v>
      </c>
      <c r="AD22" s="485" t="s">
        <v>162</v>
      </c>
      <c r="AE22" s="485" t="s">
        <v>162</v>
      </c>
      <c r="AF22" s="485" t="s">
        <v>162</v>
      </c>
      <c r="AG22" s="485" t="s">
        <v>162</v>
      </c>
      <c r="AH22" s="485" t="s">
        <v>162</v>
      </c>
      <c r="AI22" s="485" t="s">
        <v>162</v>
      </c>
      <c r="AJ22" s="485" t="s">
        <v>162</v>
      </c>
      <c r="AK22" s="485" t="s">
        <v>162</v>
      </c>
      <c r="AL22" s="485" t="s">
        <v>162</v>
      </c>
      <c r="AM22" s="485" t="s">
        <v>162</v>
      </c>
      <c r="AN22" s="485" t="s">
        <v>162</v>
      </c>
      <c r="AO22" s="485" t="s">
        <v>162</v>
      </c>
      <c r="AP22" s="485" t="s">
        <v>162</v>
      </c>
      <c r="AQ22" s="485" t="s">
        <v>162</v>
      </c>
      <c r="AR22" s="485" t="s">
        <v>162</v>
      </c>
      <c r="AS22" s="485" t="s">
        <v>162</v>
      </c>
      <c r="AT22" s="485" t="s">
        <v>162</v>
      </c>
      <c r="AU22" s="485" t="s">
        <v>162</v>
      </c>
      <c r="AV22" s="485" t="s">
        <v>162</v>
      </c>
      <c r="AW22" s="788"/>
      <c r="AX22" s="789" t="s">
        <v>979</v>
      </c>
      <c r="AY22" s="790"/>
    </row>
    <row r="23">
      <c r="A23" s="776"/>
      <c r="B23" s="538"/>
      <c r="C23" s="538"/>
      <c r="D23" s="538"/>
      <c r="E23" s="792" t="s">
        <v>884</v>
      </c>
      <c r="F23" s="559" t="s">
        <v>72</v>
      </c>
      <c r="G23" s="560" t="s">
        <v>165</v>
      </c>
      <c r="H23" s="793">
        <v>0.9</v>
      </c>
      <c r="I23" s="487" t="s">
        <v>162</v>
      </c>
      <c r="J23" s="487" t="s">
        <v>162</v>
      </c>
      <c r="K23" s="487" t="s">
        <v>162</v>
      </c>
      <c r="L23" s="487" t="s">
        <v>162</v>
      </c>
      <c r="M23" s="487" t="s">
        <v>162</v>
      </c>
      <c r="N23" s="487" t="s">
        <v>162</v>
      </c>
      <c r="O23" s="487" t="s">
        <v>162</v>
      </c>
      <c r="P23" s="487" t="s">
        <v>162</v>
      </c>
      <c r="Q23" s="201" t="s">
        <v>162</v>
      </c>
      <c r="R23" s="487" t="s">
        <v>162</v>
      </c>
      <c r="S23" s="487" t="s">
        <v>162</v>
      </c>
      <c r="T23" s="487" t="s">
        <v>162</v>
      </c>
      <c r="U23" s="487" t="s">
        <v>162</v>
      </c>
      <c r="V23" s="487" t="s">
        <v>162</v>
      </c>
      <c r="W23" s="487" t="s">
        <v>162</v>
      </c>
      <c r="X23" s="487" t="s">
        <v>162</v>
      </c>
      <c r="Y23" s="487" t="s">
        <v>162</v>
      </c>
      <c r="Z23" s="487" t="s">
        <v>162</v>
      </c>
      <c r="AA23" s="487" t="s">
        <v>162</v>
      </c>
      <c r="AB23" s="487" t="s">
        <v>162</v>
      </c>
      <c r="AC23" s="487" t="s">
        <v>162</v>
      </c>
      <c r="AD23" s="487" t="s">
        <v>162</v>
      </c>
      <c r="AE23" s="487" t="s">
        <v>162</v>
      </c>
      <c r="AF23" s="487" t="s">
        <v>162</v>
      </c>
      <c r="AG23" s="487" t="s">
        <v>162</v>
      </c>
      <c r="AH23" s="487" t="s">
        <v>162</v>
      </c>
      <c r="AI23" s="487" t="s">
        <v>162</v>
      </c>
      <c r="AJ23" s="487" t="s">
        <v>162</v>
      </c>
      <c r="AK23" s="487" t="s">
        <v>162</v>
      </c>
      <c r="AL23" s="487" t="s">
        <v>162</v>
      </c>
      <c r="AM23" s="487" t="s">
        <v>162</v>
      </c>
      <c r="AN23" s="487" t="s">
        <v>162</v>
      </c>
      <c r="AO23" s="487" t="s">
        <v>162</v>
      </c>
      <c r="AP23" s="487" t="s">
        <v>162</v>
      </c>
      <c r="AQ23" s="487" t="s">
        <v>162</v>
      </c>
      <c r="AR23" s="487" t="s">
        <v>162</v>
      </c>
      <c r="AS23" s="487" t="s">
        <v>162</v>
      </c>
      <c r="AT23" s="487" t="s">
        <v>162</v>
      </c>
      <c r="AU23" s="487" t="s">
        <v>162</v>
      </c>
      <c r="AV23" s="487" t="s">
        <v>162</v>
      </c>
      <c r="AW23" s="794"/>
      <c r="AX23" s="795" t="s">
        <v>979</v>
      </c>
      <c r="AY23" s="796"/>
    </row>
    <row r="24">
      <c r="A24" s="776"/>
      <c r="B24" s="538"/>
      <c r="C24" s="538"/>
      <c r="D24" s="538"/>
      <c r="E24" s="777"/>
      <c r="F24" s="533"/>
      <c r="G24" s="534"/>
      <c r="H24" s="680"/>
      <c r="I24" s="404"/>
      <c r="J24" s="482"/>
      <c r="K24" s="482"/>
      <c r="L24" s="482"/>
      <c r="M24" s="482"/>
      <c r="N24" s="482"/>
      <c r="O24" s="482"/>
      <c r="P24" s="482"/>
      <c r="Q24" s="132"/>
      <c r="R24" s="482"/>
      <c r="S24" s="482"/>
      <c r="T24" s="482"/>
      <c r="U24" s="482"/>
      <c r="V24" s="482"/>
      <c r="W24" s="482"/>
      <c r="X24" s="482"/>
      <c r="Y24" s="482"/>
      <c r="Z24" s="482"/>
      <c r="AA24" s="482"/>
      <c r="AB24" s="482"/>
      <c r="AC24" s="482"/>
      <c r="AD24" s="482"/>
      <c r="AE24" s="482"/>
      <c r="AF24" s="482"/>
      <c r="AG24" s="482"/>
      <c r="AH24" s="482"/>
      <c r="AI24" s="482"/>
      <c r="AJ24" s="482"/>
      <c r="AK24" s="482"/>
      <c r="AL24" s="482"/>
      <c r="AM24" s="482"/>
      <c r="AN24" s="482"/>
      <c r="AO24" s="482"/>
      <c r="AP24" s="482"/>
      <c r="AQ24" s="482"/>
      <c r="AR24" s="482"/>
      <c r="AS24" s="482"/>
      <c r="AT24" s="482"/>
      <c r="AU24" s="482"/>
      <c r="AV24" s="482"/>
      <c r="AW24" s="778"/>
      <c r="AX24" s="779"/>
      <c r="AY24" s="780"/>
    </row>
    <row r="25">
      <c r="A25" s="776"/>
      <c r="B25" s="538"/>
      <c r="C25" s="131" t="s">
        <v>896</v>
      </c>
      <c r="F25" s="533"/>
      <c r="G25" s="534"/>
      <c r="H25" s="680"/>
      <c r="I25" s="482"/>
      <c r="J25" s="482"/>
      <c r="K25" s="482"/>
      <c r="L25" s="482"/>
      <c r="M25" s="482"/>
      <c r="N25" s="482"/>
      <c r="O25" s="482"/>
      <c r="P25" s="482"/>
      <c r="Q25" s="132"/>
      <c r="R25" s="482"/>
      <c r="S25" s="482"/>
      <c r="T25" s="482"/>
      <c r="U25" s="482"/>
      <c r="V25" s="482"/>
      <c r="W25" s="482"/>
      <c r="X25" s="482"/>
      <c r="Y25" s="482"/>
      <c r="Z25" s="482"/>
      <c r="AA25" s="482"/>
      <c r="AB25" s="482"/>
      <c r="AC25" s="482"/>
      <c r="AD25" s="482"/>
      <c r="AE25" s="482"/>
      <c r="AF25" s="482"/>
      <c r="AG25" s="482"/>
      <c r="AH25" s="482"/>
      <c r="AI25" s="482"/>
      <c r="AJ25" s="482"/>
      <c r="AK25" s="482"/>
      <c r="AL25" s="482"/>
      <c r="AM25" s="482"/>
      <c r="AN25" s="482"/>
      <c r="AO25" s="482"/>
      <c r="AP25" s="482"/>
      <c r="AQ25" s="482"/>
      <c r="AR25" s="482"/>
      <c r="AS25" s="482"/>
      <c r="AT25" s="482"/>
      <c r="AU25" s="482"/>
      <c r="AV25" s="482"/>
      <c r="AW25" s="778"/>
      <c r="AX25" s="779"/>
      <c r="AY25" s="780"/>
    </row>
    <row r="26">
      <c r="A26" s="776"/>
      <c r="B26" s="538"/>
      <c r="C26" s="538"/>
      <c r="D26" s="538"/>
      <c r="E26" s="782" t="s">
        <v>888</v>
      </c>
      <c r="F26" s="539" t="s">
        <v>72</v>
      </c>
      <c r="G26" s="540" t="s">
        <v>165</v>
      </c>
      <c r="H26" s="783">
        <v>0.2572674</v>
      </c>
      <c r="I26" s="483" t="s">
        <v>162</v>
      </c>
      <c r="J26" s="483" t="s">
        <v>162</v>
      </c>
      <c r="K26" s="483" t="s">
        <v>162</v>
      </c>
      <c r="L26" s="483" t="s">
        <v>162</v>
      </c>
      <c r="M26" s="483" t="s">
        <v>162</v>
      </c>
      <c r="N26" s="483" t="s">
        <v>162</v>
      </c>
      <c r="O26" s="483" t="s">
        <v>162</v>
      </c>
      <c r="P26" s="483" t="s">
        <v>162</v>
      </c>
      <c r="Q26" s="194" t="s">
        <v>162</v>
      </c>
      <c r="R26" s="483" t="s">
        <v>162</v>
      </c>
      <c r="S26" s="483" t="s">
        <v>162</v>
      </c>
      <c r="T26" s="483" t="s">
        <v>162</v>
      </c>
      <c r="U26" s="483" t="s">
        <v>162</v>
      </c>
      <c r="V26" s="483" t="s">
        <v>162</v>
      </c>
      <c r="W26" s="483" t="s">
        <v>162</v>
      </c>
      <c r="X26" s="483" t="s">
        <v>162</v>
      </c>
      <c r="Y26" s="483" t="s">
        <v>162</v>
      </c>
      <c r="Z26" s="483" t="s">
        <v>162</v>
      </c>
      <c r="AA26" s="483" t="s">
        <v>162</v>
      </c>
      <c r="AB26" s="483" t="s">
        <v>162</v>
      </c>
      <c r="AC26" s="483" t="s">
        <v>162</v>
      </c>
      <c r="AD26" s="483" t="s">
        <v>162</v>
      </c>
      <c r="AE26" s="483" t="s">
        <v>162</v>
      </c>
      <c r="AF26" s="483" t="s">
        <v>162</v>
      </c>
      <c r="AG26" s="483" t="s">
        <v>162</v>
      </c>
      <c r="AH26" s="483" t="s">
        <v>162</v>
      </c>
      <c r="AI26" s="483" t="s">
        <v>162</v>
      </c>
      <c r="AJ26" s="483" t="s">
        <v>162</v>
      </c>
      <c r="AK26" s="483" t="s">
        <v>162</v>
      </c>
      <c r="AL26" s="483" t="s">
        <v>162</v>
      </c>
      <c r="AM26" s="483" t="s">
        <v>162</v>
      </c>
      <c r="AN26" s="483" t="s">
        <v>162</v>
      </c>
      <c r="AO26" s="483" t="s">
        <v>162</v>
      </c>
      <c r="AP26" s="483" t="s">
        <v>162</v>
      </c>
      <c r="AQ26" s="483" t="s">
        <v>162</v>
      </c>
      <c r="AR26" s="483" t="s">
        <v>162</v>
      </c>
      <c r="AS26" s="483" t="s">
        <v>162</v>
      </c>
      <c r="AT26" s="483" t="s">
        <v>162</v>
      </c>
      <c r="AU26" s="483" t="s">
        <v>162</v>
      </c>
      <c r="AV26" s="483" t="s">
        <v>162</v>
      </c>
      <c r="AW26" s="784"/>
      <c r="AX26" s="797" t="s">
        <v>977</v>
      </c>
      <c r="AY26" s="64" t="s">
        <v>94</v>
      </c>
    </row>
    <row r="27">
      <c r="A27" s="776"/>
      <c r="B27" s="538"/>
      <c r="C27" s="538"/>
      <c r="D27" s="538"/>
      <c r="E27" s="475" t="s">
        <v>889</v>
      </c>
      <c r="F27" s="554" t="s">
        <v>72</v>
      </c>
      <c r="G27" s="555" t="s">
        <v>165</v>
      </c>
      <c r="H27" s="787">
        <v>0.686</v>
      </c>
      <c r="I27" s="485" t="s">
        <v>162</v>
      </c>
      <c r="J27" s="485" t="s">
        <v>162</v>
      </c>
      <c r="K27" s="483" t="s">
        <v>162</v>
      </c>
      <c r="L27" s="483" t="s">
        <v>162</v>
      </c>
      <c r="M27" s="485" t="s">
        <v>162</v>
      </c>
      <c r="N27" s="485" t="s">
        <v>162</v>
      </c>
      <c r="O27" s="485" t="s">
        <v>162</v>
      </c>
      <c r="P27" s="485" t="s">
        <v>162</v>
      </c>
      <c r="Q27" s="214" t="s">
        <v>162</v>
      </c>
      <c r="R27" s="485" t="s">
        <v>162</v>
      </c>
      <c r="S27" s="485" t="s">
        <v>162</v>
      </c>
      <c r="T27" s="485" t="s">
        <v>162</v>
      </c>
      <c r="U27" s="485" t="s">
        <v>162</v>
      </c>
      <c r="V27" s="485" t="s">
        <v>162</v>
      </c>
      <c r="W27" s="485" t="s">
        <v>162</v>
      </c>
      <c r="X27" s="485" t="s">
        <v>162</v>
      </c>
      <c r="Y27" s="485" t="s">
        <v>162</v>
      </c>
      <c r="Z27" s="485" t="s">
        <v>162</v>
      </c>
      <c r="AA27" s="485" t="s">
        <v>162</v>
      </c>
      <c r="AB27" s="485" t="s">
        <v>162</v>
      </c>
      <c r="AC27" s="485" t="s">
        <v>162</v>
      </c>
      <c r="AD27" s="485" t="s">
        <v>162</v>
      </c>
      <c r="AE27" s="485" t="s">
        <v>162</v>
      </c>
      <c r="AF27" s="485" t="s">
        <v>162</v>
      </c>
      <c r="AG27" s="485" t="s">
        <v>162</v>
      </c>
      <c r="AH27" s="485" t="s">
        <v>162</v>
      </c>
      <c r="AI27" s="485" t="s">
        <v>162</v>
      </c>
      <c r="AJ27" s="485" t="s">
        <v>162</v>
      </c>
      <c r="AK27" s="485" t="s">
        <v>162</v>
      </c>
      <c r="AL27" s="483" t="s">
        <v>162</v>
      </c>
      <c r="AM27" s="483" t="s">
        <v>162</v>
      </c>
      <c r="AN27" s="483" t="s">
        <v>162</v>
      </c>
      <c r="AO27" s="485" t="s">
        <v>162</v>
      </c>
      <c r="AP27" s="485" t="s">
        <v>162</v>
      </c>
      <c r="AQ27" s="485" t="s">
        <v>162</v>
      </c>
      <c r="AR27" s="485" t="s">
        <v>162</v>
      </c>
      <c r="AS27" s="485" t="s">
        <v>162</v>
      </c>
      <c r="AT27" s="485" t="s">
        <v>162</v>
      </c>
      <c r="AU27" s="485" t="s">
        <v>162</v>
      </c>
      <c r="AV27" s="485" t="s">
        <v>162</v>
      </c>
      <c r="AW27" s="788"/>
      <c r="AX27" s="789" t="s">
        <v>982</v>
      </c>
      <c r="AY27" s="790"/>
    </row>
    <row r="28">
      <c r="A28" s="776"/>
      <c r="B28" s="538"/>
      <c r="C28" s="538"/>
      <c r="D28" s="538"/>
      <c r="E28" s="475" t="s">
        <v>890</v>
      </c>
      <c r="F28" s="554" t="s">
        <v>72</v>
      </c>
      <c r="G28" s="555" t="s">
        <v>165</v>
      </c>
      <c r="H28" s="787">
        <v>0.73</v>
      </c>
      <c r="I28" s="485" t="s">
        <v>162</v>
      </c>
      <c r="J28" s="485" t="s">
        <v>162</v>
      </c>
      <c r="K28" s="483" t="s">
        <v>162</v>
      </c>
      <c r="L28" s="483" t="s">
        <v>162</v>
      </c>
      <c r="M28" s="485" t="s">
        <v>162</v>
      </c>
      <c r="N28" s="485" t="s">
        <v>162</v>
      </c>
      <c r="O28" s="485" t="s">
        <v>162</v>
      </c>
      <c r="P28" s="485" t="s">
        <v>162</v>
      </c>
      <c r="Q28" s="214" t="s">
        <v>162</v>
      </c>
      <c r="R28" s="485" t="s">
        <v>162</v>
      </c>
      <c r="S28" s="485" t="s">
        <v>162</v>
      </c>
      <c r="T28" s="485" t="s">
        <v>162</v>
      </c>
      <c r="U28" s="485" t="s">
        <v>162</v>
      </c>
      <c r="V28" s="485" t="s">
        <v>162</v>
      </c>
      <c r="W28" s="485" t="s">
        <v>162</v>
      </c>
      <c r="X28" s="485" t="s">
        <v>162</v>
      </c>
      <c r="Y28" s="485" t="s">
        <v>162</v>
      </c>
      <c r="Z28" s="485" t="s">
        <v>162</v>
      </c>
      <c r="AA28" s="485" t="s">
        <v>162</v>
      </c>
      <c r="AB28" s="485" t="s">
        <v>162</v>
      </c>
      <c r="AC28" s="485" t="s">
        <v>162</v>
      </c>
      <c r="AD28" s="485" t="s">
        <v>162</v>
      </c>
      <c r="AE28" s="485" t="s">
        <v>162</v>
      </c>
      <c r="AF28" s="485" t="s">
        <v>162</v>
      </c>
      <c r="AG28" s="485" t="s">
        <v>162</v>
      </c>
      <c r="AH28" s="485" t="s">
        <v>162</v>
      </c>
      <c r="AI28" s="485" t="s">
        <v>162</v>
      </c>
      <c r="AJ28" s="485" t="s">
        <v>162</v>
      </c>
      <c r="AK28" s="485" t="s">
        <v>162</v>
      </c>
      <c r="AL28" s="483" t="s">
        <v>162</v>
      </c>
      <c r="AM28" s="483" t="s">
        <v>162</v>
      </c>
      <c r="AN28" s="483" t="s">
        <v>162</v>
      </c>
      <c r="AO28" s="485" t="s">
        <v>162</v>
      </c>
      <c r="AP28" s="485" t="s">
        <v>162</v>
      </c>
      <c r="AQ28" s="485" t="s">
        <v>162</v>
      </c>
      <c r="AR28" s="485" t="s">
        <v>162</v>
      </c>
      <c r="AS28" s="485" t="s">
        <v>162</v>
      </c>
      <c r="AT28" s="485" t="s">
        <v>162</v>
      </c>
      <c r="AU28" s="485" t="s">
        <v>162</v>
      </c>
      <c r="AV28" s="485" t="s">
        <v>162</v>
      </c>
      <c r="AW28" s="788"/>
      <c r="AX28" s="789" t="s">
        <v>983</v>
      </c>
      <c r="AY28" s="790"/>
    </row>
    <row r="29">
      <c r="A29" s="776"/>
      <c r="B29" s="538"/>
      <c r="C29" s="538"/>
      <c r="D29" s="538"/>
      <c r="E29" s="475" t="s">
        <v>892</v>
      </c>
      <c r="F29" s="554" t="s">
        <v>72</v>
      </c>
      <c r="G29" s="555" t="s">
        <v>165</v>
      </c>
      <c r="H29" s="787">
        <v>0.2</v>
      </c>
      <c r="I29" s="485" t="s">
        <v>162</v>
      </c>
      <c r="J29" s="485" t="s">
        <v>162</v>
      </c>
      <c r="K29" s="483" t="s">
        <v>162</v>
      </c>
      <c r="L29" s="483" t="s">
        <v>162</v>
      </c>
      <c r="M29" s="485" t="s">
        <v>162</v>
      </c>
      <c r="N29" s="485" t="s">
        <v>162</v>
      </c>
      <c r="O29" s="485" t="s">
        <v>162</v>
      </c>
      <c r="P29" s="485" t="s">
        <v>162</v>
      </c>
      <c r="Q29" s="214" t="s">
        <v>162</v>
      </c>
      <c r="R29" s="485" t="s">
        <v>162</v>
      </c>
      <c r="S29" s="485" t="s">
        <v>162</v>
      </c>
      <c r="T29" s="485" t="s">
        <v>162</v>
      </c>
      <c r="U29" s="485" t="s">
        <v>162</v>
      </c>
      <c r="V29" s="485" t="s">
        <v>162</v>
      </c>
      <c r="W29" s="485" t="s">
        <v>162</v>
      </c>
      <c r="X29" s="485" t="s">
        <v>162</v>
      </c>
      <c r="Y29" s="485" t="s">
        <v>162</v>
      </c>
      <c r="Z29" s="485" t="s">
        <v>162</v>
      </c>
      <c r="AA29" s="485" t="s">
        <v>162</v>
      </c>
      <c r="AB29" s="485" t="s">
        <v>162</v>
      </c>
      <c r="AC29" s="485" t="s">
        <v>162</v>
      </c>
      <c r="AD29" s="485" t="s">
        <v>162</v>
      </c>
      <c r="AE29" s="485" t="s">
        <v>162</v>
      </c>
      <c r="AF29" s="485" t="s">
        <v>162</v>
      </c>
      <c r="AG29" s="485" t="s">
        <v>162</v>
      </c>
      <c r="AH29" s="485" t="s">
        <v>162</v>
      </c>
      <c r="AI29" s="485" t="s">
        <v>162</v>
      </c>
      <c r="AJ29" s="485" t="s">
        <v>162</v>
      </c>
      <c r="AK29" s="485" t="s">
        <v>162</v>
      </c>
      <c r="AL29" s="483" t="s">
        <v>162</v>
      </c>
      <c r="AM29" s="483" t="s">
        <v>162</v>
      </c>
      <c r="AN29" s="483" t="s">
        <v>162</v>
      </c>
      <c r="AO29" s="485" t="s">
        <v>162</v>
      </c>
      <c r="AP29" s="485" t="s">
        <v>162</v>
      </c>
      <c r="AQ29" s="485" t="s">
        <v>162</v>
      </c>
      <c r="AR29" s="485" t="s">
        <v>162</v>
      </c>
      <c r="AS29" s="485" t="s">
        <v>162</v>
      </c>
      <c r="AT29" s="485" t="s">
        <v>162</v>
      </c>
      <c r="AU29" s="485" t="s">
        <v>162</v>
      </c>
      <c r="AV29" s="485" t="s">
        <v>162</v>
      </c>
      <c r="AW29" s="788"/>
      <c r="AX29" s="798" t="s">
        <v>984</v>
      </c>
      <c r="AY29" s="790"/>
    </row>
    <row r="30">
      <c r="A30" s="776"/>
      <c r="B30" s="538"/>
      <c r="C30" s="538"/>
      <c r="D30" s="538"/>
      <c r="E30" s="475" t="s">
        <v>893</v>
      </c>
      <c r="F30" s="554" t="s">
        <v>72</v>
      </c>
      <c r="G30" s="555" t="s">
        <v>165</v>
      </c>
      <c r="H30" s="787">
        <v>0.1</v>
      </c>
      <c r="I30" s="485" t="s">
        <v>162</v>
      </c>
      <c r="J30" s="485" t="s">
        <v>162</v>
      </c>
      <c r="K30" s="483" t="s">
        <v>162</v>
      </c>
      <c r="L30" s="483" t="s">
        <v>162</v>
      </c>
      <c r="M30" s="485" t="s">
        <v>162</v>
      </c>
      <c r="N30" s="485" t="s">
        <v>162</v>
      </c>
      <c r="O30" s="485" t="s">
        <v>162</v>
      </c>
      <c r="P30" s="485" t="s">
        <v>162</v>
      </c>
      <c r="Q30" s="214" t="s">
        <v>162</v>
      </c>
      <c r="R30" s="485" t="s">
        <v>162</v>
      </c>
      <c r="S30" s="485" t="s">
        <v>162</v>
      </c>
      <c r="T30" s="485" t="s">
        <v>162</v>
      </c>
      <c r="U30" s="485" t="s">
        <v>162</v>
      </c>
      <c r="V30" s="485" t="s">
        <v>162</v>
      </c>
      <c r="W30" s="485" t="s">
        <v>162</v>
      </c>
      <c r="X30" s="485" t="s">
        <v>162</v>
      </c>
      <c r="Y30" s="485" t="s">
        <v>162</v>
      </c>
      <c r="Z30" s="485" t="s">
        <v>162</v>
      </c>
      <c r="AA30" s="485" t="s">
        <v>162</v>
      </c>
      <c r="AB30" s="485" t="s">
        <v>162</v>
      </c>
      <c r="AC30" s="485" t="s">
        <v>162</v>
      </c>
      <c r="AD30" s="485" t="s">
        <v>162</v>
      </c>
      <c r="AE30" s="485" t="s">
        <v>162</v>
      </c>
      <c r="AF30" s="485" t="s">
        <v>162</v>
      </c>
      <c r="AG30" s="485" t="s">
        <v>162</v>
      </c>
      <c r="AH30" s="485" t="s">
        <v>162</v>
      </c>
      <c r="AI30" s="485" t="s">
        <v>162</v>
      </c>
      <c r="AJ30" s="485" t="s">
        <v>162</v>
      </c>
      <c r="AK30" s="485" t="s">
        <v>162</v>
      </c>
      <c r="AL30" s="483" t="s">
        <v>162</v>
      </c>
      <c r="AM30" s="483" t="s">
        <v>162</v>
      </c>
      <c r="AN30" s="483" t="s">
        <v>162</v>
      </c>
      <c r="AO30" s="485" t="s">
        <v>162</v>
      </c>
      <c r="AP30" s="485" t="s">
        <v>162</v>
      </c>
      <c r="AQ30" s="485" t="s">
        <v>162</v>
      </c>
      <c r="AR30" s="485" t="s">
        <v>162</v>
      </c>
      <c r="AS30" s="485" t="s">
        <v>162</v>
      </c>
      <c r="AT30" s="485" t="s">
        <v>162</v>
      </c>
      <c r="AU30" s="485" t="s">
        <v>162</v>
      </c>
      <c r="AV30" s="485" t="s">
        <v>162</v>
      </c>
      <c r="AW30" s="788"/>
      <c r="AX30" s="798" t="s">
        <v>984</v>
      </c>
      <c r="AY30" s="790"/>
    </row>
    <row r="31">
      <c r="A31" s="776"/>
      <c r="B31" s="538"/>
      <c r="C31" s="538"/>
      <c r="D31" s="538"/>
      <c r="E31" s="475" t="s">
        <v>894</v>
      </c>
      <c r="F31" s="554" t="s">
        <v>72</v>
      </c>
      <c r="G31" s="555" t="s">
        <v>165</v>
      </c>
      <c r="H31" s="787">
        <v>0.35</v>
      </c>
      <c r="I31" s="485" t="s">
        <v>162</v>
      </c>
      <c r="J31" s="485" t="s">
        <v>162</v>
      </c>
      <c r="K31" s="483" t="s">
        <v>162</v>
      </c>
      <c r="L31" s="483" t="s">
        <v>162</v>
      </c>
      <c r="M31" s="485" t="s">
        <v>162</v>
      </c>
      <c r="N31" s="485" t="s">
        <v>162</v>
      </c>
      <c r="O31" s="485" t="s">
        <v>162</v>
      </c>
      <c r="P31" s="485" t="s">
        <v>162</v>
      </c>
      <c r="Q31" s="214" t="s">
        <v>162</v>
      </c>
      <c r="R31" s="485" t="s">
        <v>162</v>
      </c>
      <c r="S31" s="485" t="s">
        <v>162</v>
      </c>
      <c r="T31" s="485" t="s">
        <v>162</v>
      </c>
      <c r="U31" s="485" t="s">
        <v>162</v>
      </c>
      <c r="V31" s="485" t="s">
        <v>162</v>
      </c>
      <c r="W31" s="485" t="s">
        <v>162</v>
      </c>
      <c r="X31" s="485" t="s">
        <v>162</v>
      </c>
      <c r="Y31" s="485" t="s">
        <v>162</v>
      </c>
      <c r="Z31" s="485" t="s">
        <v>162</v>
      </c>
      <c r="AA31" s="485" t="s">
        <v>162</v>
      </c>
      <c r="AB31" s="485" t="s">
        <v>162</v>
      </c>
      <c r="AC31" s="485" t="s">
        <v>162</v>
      </c>
      <c r="AD31" s="485" t="s">
        <v>162</v>
      </c>
      <c r="AE31" s="485" t="s">
        <v>162</v>
      </c>
      <c r="AF31" s="485" t="s">
        <v>162</v>
      </c>
      <c r="AG31" s="485" t="s">
        <v>162</v>
      </c>
      <c r="AH31" s="485" t="s">
        <v>162</v>
      </c>
      <c r="AI31" s="485" t="s">
        <v>162</v>
      </c>
      <c r="AJ31" s="485" t="s">
        <v>162</v>
      </c>
      <c r="AK31" s="485" t="s">
        <v>162</v>
      </c>
      <c r="AL31" s="483" t="s">
        <v>162</v>
      </c>
      <c r="AM31" s="483" t="s">
        <v>162</v>
      </c>
      <c r="AN31" s="483" t="s">
        <v>162</v>
      </c>
      <c r="AO31" s="485" t="s">
        <v>162</v>
      </c>
      <c r="AP31" s="485" t="s">
        <v>162</v>
      </c>
      <c r="AQ31" s="485" t="s">
        <v>162</v>
      </c>
      <c r="AR31" s="485" t="s">
        <v>162</v>
      </c>
      <c r="AS31" s="485" t="s">
        <v>162</v>
      </c>
      <c r="AT31" s="485" t="s">
        <v>162</v>
      </c>
      <c r="AU31" s="485" t="s">
        <v>162</v>
      </c>
      <c r="AV31" s="485" t="s">
        <v>162</v>
      </c>
      <c r="AW31" s="788"/>
      <c r="AX31" s="798" t="s">
        <v>984</v>
      </c>
      <c r="AY31" s="790"/>
    </row>
    <row r="32">
      <c r="A32" s="776"/>
      <c r="B32" s="538"/>
      <c r="C32" s="538"/>
      <c r="D32" s="538"/>
      <c r="E32" s="475" t="s">
        <v>895</v>
      </c>
      <c r="F32" s="554" t="s">
        <v>72</v>
      </c>
      <c r="G32" s="555" t="s">
        <v>165</v>
      </c>
      <c r="H32" s="787">
        <v>0.35</v>
      </c>
      <c r="I32" s="485" t="s">
        <v>162</v>
      </c>
      <c r="J32" s="485" t="s">
        <v>162</v>
      </c>
      <c r="K32" s="487" t="s">
        <v>162</v>
      </c>
      <c r="L32" s="487" t="s">
        <v>162</v>
      </c>
      <c r="M32" s="485" t="s">
        <v>162</v>
      </c>
      <c r="N32" s="485" t="s">
        <v>162</v>
      </c>
      <c r="O32" s="485" t="s">
        <v>162</v>
      </c>
      <c r="P32" s="485" t="s">
        <v>162</v>
      </c>
      <c r="Q32" s="214" t="s">
        <v>162</v>
      </c>
      <c r="R32" s="485" t="s">
        <v>162</v>
      </c>
      <c r="S32" s="485" t="s">
        <v>162</v>
      </c>
      <c r="T32" s="485" t="s">
        <v>162</v>
      </c>
      <c r="U32" s="485" t="s">
        <v>162</v>
      </c>
      <c r="V32" s="485" t="s">
        <v>162</v>
      </c>
      <c r="W32" s="485" t="s">
        <v>162</v>
      </c>
      <c r="X32" s="485" t="s">
        <v>162</v>
      </c>
      <c r="Y32" s="485" t="s">
        <v>162</v>
      </c>
      <c r="Z32" s="485" t="s">
        <v>162</v>
      </c>
      <c r="AA32" s="485" t="s">
        <v>162</v>
      </c>
      <c r="AB32" s="485" t="s">
        <v>162</v>
      </c>
      <c r="AC32" s="485" t="s">
        <v>162</v>
      </c>
      <c r="AD32" s="485" t="s">
        <v>162</v>
      </c>
      <c r="AE32" s="485" t="s">
        <v>162</v>
      </c>
      <c r="AF32" s="485" t="s">
        <v>162</v>
      </c>
      <c r="AG32" s="485" t="s">
        <v>162</v>
      </c>
      <c r="AH32" s="485" t="s">
        <v>162</v>
      </c>
      <c r="AI32" s="485" t="s">
        <v>162</v>
      </c>
      <c r="AJ32" s="485" t="s">
        <v>162</v>
      </c>
      <c r="AK32" s="485" t="s">
        <v>162</v>
      </c>
      <c r="AL32" s="483" t="s">
        <v>162</v>
      </c>
      <c r="AM32" s="483" t="s">
        <v>162</v>
      </c>
      <c r="AN32" s="483" t="s">
        <v>162</v>
      </c>
      <c r="AO32" s="485" t="s">
        <v>162</v>
      </c>
      <c r="AP32" s="485" t="s">
        <v>162</v>
      </c>
      <c r="AQ32" s="485" t="s">
        <v>162</v>
      </c>
      <c r="AR32" s="485" t="s">
        <v>162</v>
      </c>
      <c r="AS32" s="485" t="s">
        <v>162</v>
      </c>
      <c r="AT32" s="485" t="s">
        <v>162</v>
      </c>
      <c r="AU32" s="485" t="s">
        <v>162</v>
      </c>
      <c r="AV32" s="485" t="s">
        <v>162</v>
      </c>
      <c r="AW32" s="788"/>
      <c r="AX32" s="798" t="s">
        <v>984</v>
      </c>
      <c r="AY32" s="790"/>
    </row>
    <row r="33">
      <c r="A33" s="776"/>
      <c r="B33" s="538"/>
      <c r="C33" s="538"/>
      <c r="D33" s="538"/>
      <c r="E33" s="792" t="s">
        <v>899</v>
      </c>
      <c r="F33" s="559" t="s">
        <v>72</v>
      </c>
      <c r="G33" s="560" t="s">
        <v>165</v>
      </c>
      <c r="H33" s="793">
        <v>0.75</v>
      </c>
      <c r="I33" s="487" t="s">
        <v>162</v>
      </c>
      <c r="J33" s="487" t="s">
        <v>162</v>
      </c>
      <c r="K33" s="487" t="s">
        <v>162</v>
      </c>
      <c r="L33" s="487" t="s">
        <v>162</v>
      </c>
      <c r="M33" s="487" t="s">
        <v>162</v>
      </c>
      <c r="N33" s="487" t="s">
        <v>162</v>
      </c>
      <c r="O33" s="487" t="s">
        <v>162</v>
      </c>
      <c r="P33" s="487" t="s">
        <v>162</v>
      </c>
      <c r="Q33" s="201" t="s">
        <v>162</v>
      </c>
      <c r="R33" s="487" t="s">
        <v>162</v>
      </c>
      <c r="S33" s="487" t="s">
        <v>162</v>
      </c>
      <c r="T33" s="487" t="s">
        <v>162</v>
      </c>
      <c r="U33" s="487" t="s">
        <v>162</v>
      </c>
      <c r="V33" s="487" t="s">
        <v>162</v>
      </c>
      <c r="W33" s="487" t="s">
        <v>162</v>
      </c>
      <c r="X33" s="487" t="s">
        <v>162</v>
      </c>
      <c r="Y33" s="487" t="s">
        <v>162</v>
      </c>
      <c r="Z33" s="487" t="s">
        <v>162</v>
      </c>
      <c r="AA33" s="487" t="s">
        <v>162</v>
      </c>
      <c r="AB33" s="487" t="s">
        <v>162</v>
      </c>
      <c r="AC33" s="487" t="s">
        <v>162</v>
      </c>
      <c r="AD33" s="487" t="s">
        <v>162</v>
      </c>
      <c r="AE33" s="487" t="s">
        <v>162</v>
      </c>
      <c r="AF33" s="487" t="s">
        <v>162</v>
      </c>
      <c r="AG33" s="487" t="s">
        <v>162</v>
      </c>
      <c r="AH33" s="487" t="s">
        <v>162</v>
      </c>
      <c r="AI33" s="487" t="s">
        <v>162</v>
      </c>
      <c r="AJ33" s="487" t="s">
        <v>162</v>
      </c>
      <c r="AK33" s="487" t="s">
        <v>162</v>
      </c>
      <c r="AL33" s="487" t="s">
        <v>162</v>
      </c>
      <c r="AM33" s="487" t="s">
        <v>162</v>
      </c>
      <c r="AN33" s="487" t="s">
        <v>162</v>
      </c>
      <c r="AO33" s="487" t="s">
        <v>162</v>
      </c>
      <c r="AP33" s="487" t="s">
        <v>162</v>
      </c>
      <c r="AQ33" s="487" t="s">
        <v>162</v>
      </c>
      <c r="AR33" s="487" t="s">
        <v>162</v>
      </c>
      <c r="AS33" s="487" t="s">
        <v>162</v>
      </c>
      <c r="AT33" s="487" t="s">
        <v>162</v>
      </c>
      <c r="AU33" s="487" t="s">
        <v>162</v>
      </c>
      <c r="AV33" s="487" t="s">
        <v>162</v>
      </c>
      <c r="AW33" s="794"/>
      <c r="AX33" s="799" t="s">
        <v>984</v>
      </c>
      <c r="AY33" s="796"/>
    </row>
    <row r="34">
      <c r="A34" s="776"/>
      <c r="B34" s="538"/>
      <c r="C34" s="538"/>
      <c r="D34" s="538"/>
      <c r="E34" s="777"/>
      <c r="F34" s="533"/>
      <c r="G34" s="534"/>
      <c r="H34" s="680"/>
      <c r="I34" s="482"/>
      <c r="J34" s="482"/>
      <c r="K34" s="482"/>
      <c r="L34" s="482"/>
      <c r="M34" s="482"/>
      <c r="N34" s="482"/>
      <c r="O34" s="482"/>
      <c r="P34" s="482"/>
      <c r="Q34" s="132"/>
      <c r="R34" s="482"/>
      <c r="S34" s="482"/>
      <c r="T34" s="482"/>
      <c r="U34" s="482"/>
      <c r="V34" s="482"/>
      <c r="W34" s="482"/>
      <c r="X34" s="482"/>
      <c r="Y34" s="482"/>
      <c r="Z34" s="482"/>
      <c r="AA34" s="482"/>
      <c r="AB34" s="482"/>
      <c r="AC34" s="482"/>
      <c r="AD34" s="482"/>
      <c r="AE34" s="482"/>
      <c r="AF34" s="482"/>
      <c r="AG34" s="482"/>
      <c r="AH34" s="482"/>
      <c r="AI34" s="482"/>
      <c r="AJ34" s="482"/>
      <c r="AK34" s="482"/>
      <c r="AL34" s="482"/>
      <c r="AM34" s="482"/>
      <c r="AN34" s="482"/>
      <c r="AO34" s="482"/>
      <c r="AP34" s="482"/>
      <c r="AQ34" s="482"/>
      <c r="AR34" s="482"/>
      <c r="AS34" s="482"/>
      <c r="AT34" s="482"/>
      <c r="AU34" s="482"/>
      <c r="AV34" s="482"/>
      <c r="AW34" s="778"/>
      <c r="AX34" s="779"/>
      <c r="AY34" s="780"/>
    </row>
    <row r="35">
      <c r="A35" s="776"/>
      <c r="B35" s="538"/>
      <c r="C35" s="143" t="s">
        <v>909</v>
      </c>
      <c r="F35" s="533"/>
      <c r="G35" s="534"/>
      <c r="H35" s="680"/>
      <c r="I35" s="482"/>
      <c r="J35" s="482"/>
      <c r="K35" s="482"/>
      <c r="L35" s="482"/>
      <c r="M35" s="482"/>
      <c r="N35" s="482"/>
      <c r="O35" s="482"/>
      <c r="P35" s="482"/>
      <c r="Q35" s="132"/>
      <c r="R35" s="482"/>
      <c r="S35" s="482"/>
      <c r="T35" s="482"/>
      <c r="U35" s="482"/>
      <c r="V35" s="482"/>
      <c r="W35" s="482"/>
      <c r="X35" s="482"/>
      <c r="Y35" s="482"/>
      <c r="Z35" s="482"/>
      <c r="AA35" s="482"/>
      <c r="AB35" s="482"/>
      <c r="AC35" s="482"/>
      <c r="AD35" s="482"/>
      <c r="AE35" s="482"/>
      <c r="AF35" s="482"/>
      <c r="AG35" s="482"/>
      <c r="AH35" s="482"/>
      <c r="AI35" s="482"/>
      <c r="AJ35" s="482"/>
      <c r="AK35" s="482"/>
      <c r="AL35" s="482"/>
      <c r="AM35" s="482"/>
      <c r="AN35" s="482"/>
      <c r="AO35" s="482"/>
      <c r="AP35" s="482"/>
      <c r="AQ35" s="482"/>
      <c r="AR35" s="482"/>
      <c r="AS35" s="482"/>
      <c r="AT35" s="482"/>
      <c r="AU35" s="482"/>
      <c r="AV35" s="482"/>
      <c r="AW35" s="778"/>
      <c r="AX35" s="779"/>
      <c r="AY35" s="780"/>
    </row>
    <row r="36">
      <c r="A36" s="776"/>
      <c r="B36" s="538"/>
      <c r="C36" s="538"/>
      <c r="D36" s="538"/>
      <c r="E36" s="800" t="s">
        <v>910</v>
      </c>
      <c r="F36" s="801" t="s">
        <v>72</v>
      </c>
      <c r="G36" s="802" t="s">
        <v>165</v>
      </c>
      <c r="H36" s="803">
        <v>0.95</v>
      </c>
      <c r="I36" s="491" t="s">
        <v>162</v>
      </c>
      <c r="J36" s="491" t="s">
        <v>162</v>
      </c>
      <c r="K36" s="491" t="s">
        <v>162</v>
      </c>
      <c r="L36" s="491" t="s">
        <v>162</v>
      </c>
      <c r="M36" s="491" t="s">
        <v>162</v>
      </c>
      <c r="N36" s="491" t="s">
        <v>162</v>
      </c>
      <c r="O36" s="491" t="s">
        <v>162</v>
      </c>
      <c r="P36" s="491" t="s">
        <v>162</v>
      </c>
      <c r="Q36" s="184" t="s">
        <v>162</v>
      </c>
      <c r="R36" s="491" t="s">
        <v>162</v>
      </c>
      <c r="S36" s="491" t="s">
        <v>162</v>
      </c>
      <c r="T36" s="491" t="s">
        <v>162</v>
      </c>
      <c r="U36" s="491" t="s">
        <v>162</v>
      </c>
      <c r="V36" s="491" t="s">
        <v>162</v>
      </c>
      <c r="W36" s="491" t="s">
        <v>162</v>
      </c>
      <c r="X36" s="491" t="s">
        <v>162</v>
      </c>
      <c r="Y36" s="491" t="s">
        <v>162</v>
      </c>
      <c r="Z36" s="491" t="s">
        <v>162</v>
      </c>
      <c r="AA36" s="491" t="s">
        <v>162</v>
      </c>
      <c r="AB36" s="491" t="s">
        <v>162</v>
      </c>
      <c r="AC36" s="491" t="s">
        <v>162</v>
      </c>
      <c r="AD36" s="491" t="s">
        <v>162</v>
      </c>
      <c r="AE36" s="491" t="s">
        <v>162</v>
      </c>
      <c r="AF36" s="491" t="s">
        <v>162</v>
      </c>
      <c r="AG36" s="491" t="s">
        <v>162</v>
      </c>
      <c r="AH36" s="491" t="s">
        <v>162</v>
      </c>
      <c r="AI36" s="491" t="s">
        <v>162</v>
      </c>
      <c r="AJ36" s="491" t="s">
        <v>162</v>
      </c>
      <c r="AK36" s="491" t="s">
        <v>162</v>
      </c>
      <c r="AL36" s="491" t="s">
        <v>162</v>
      </c>
      <c r="AM36" s="491" t="s">
        <v>162</v>
      </c>
      <c r="AN36" s="491" t="s">
        <v>162</v>
      </c>
      <c r="AO36" s="491" t="s">
        <v>162</v>
      </c>
      <c r="AP36" s="491" t="s">
        <v>162</v>
      </c>
      <c r="AQ36" s="491" t="s">
        <v>162</v>
      </c>
      <c r="AR36" s="491" t="s">
        <v>162</v>
      </c>
      <c r="AS36" s="491" t="s">
        <v>162</v>
      </c>
      <c r="AT36" s="491" t="s">
        <v>162</v>
      </c>
      <c r="AU36" s="491" t="s">
        <v>162</v>
      </c>
      <c r="AV36" s="491" t="s">
        <v>162</v>
      </c>
      <c r="AW36" s="804"/>
      <c r="AX36" s="805" t="s">
        <v>984</v>
      </c>
      <c r="AY36" s="806"/>
    </row>
    <row r="37">
      <c r="A37" s="776"/>
      <c r="B37" s="538"/>
      <c r="C37" s="538"/>
      <c r="D37" s="538"/>
      <c r="E37" s="777"/>
      <c r="F37" s="533"/>
      <c r="G37" s="534"/>
      <c r="H37" s="680"/>
      <c r="I37" s="482"/>
      <c r="J37" s="482"/>
      <c r="K37" s="482"/>
      <c r="L37" s="482"/>
      <c r="M37" s="482"/>
      <c r="N37" s="482"/>
      <c r="O37" s="482"/>
      <c r="P37" s="482"/>
      <c r="Q37" s="132"/>
      <c r="R37" s="482"/>
      <c r="S37" s="482"/>
      <c r="T37" s="482"/>
      <c r="U37" s="482"/>
      <c r="V37" s="482"/>
      <c r="W37" s="482"/>
      <c r="X37" s="482"/>
      <c r="Y37" s="482"/>
      <c r="Z37" s="482"/>
      <c r="AA37" s="482"/>
      <c r="AB37" s="482"/>
      <c r="AC37" s="482"/>
      <c r="AD37" s="482"/>
      <c r="AE37" s="482"/>
      <c r="AF37" s="482"/>
      <c r="AG37" s="482"/>
      <c r="AH37" s="482"/>
      <c r="AI37" s="482"/>
      <c r="AJ37" s="482"/>
      <c r="AK37" s="482"/>
      <c r="AL37" s="482"/>
      <c r="AM37" s="482"/>
      <c r="AN37" s="482"/>
      <c r="AO37" s="482"/>
      <c r="AP37" s="482"/>
      <c r="AQ37" s="482"/>
      <c r="AR37" s="482"/>
      <c r="AS37" s="482"/>
      <c r="AT37" s="482"/>
      <c r="AU37" s="482"/>
      <c r="AV37" s="482"/>
      <c r="AW37" s="778"/>
      <c r="AX37" s="779"/>
      <c r="AY37" s="780"/>
    </row>
    <row r="38">
      <c r="A38" s="117" t="s">
        <v>985</v>
      </c>
      <c r="B38" s="7"/>
      <c r="C38" s="7"/>
      <c r="D38" s="7"/>
      <c r="E38" s="7"/>
      <c r="F38" s="7"/>
      <c r="G38" s="659"/>
      <c r="H38" s="771"/>
      <c r="I38" s="772"/>
      <c r="J38" s="772"/>
      <c r="K38" s="772"/>
      <c r="L38" s="772"/>
      <c r="M38" s="772"/>
      <c r="N38" s="772"/>
      <c r="O38" s="772"/>
      <c r="P38" s="772"/>
      <c r="Q38" s="679"/>
      <c r="R38" s="772"/>
      <c r="S38" s="772"/>
      <c r="T38" s="772"/>
      <c r="U38" s="772"/>
      <c r="V38" s="772"/>
      <c r="W38" s="772"/>
      <c r="X38" s="772"/>
      <c r="Y38" s="772"/>
      <c r="Z38" s="772"/>
      <c r="AA38" s="772"/>
      <c r="AB38" s="772"/>
      <c r="AC38" s="772"/>
      <c r="AD38" s="772"/>
      <c r="AE38" s="772"/>
      <c r="AF38" s="772"/>
      <c r="AG38" s="772"/>
      <c r="AH38" s="772"/>
      <c r="AI38" s="772"/>
      <c r="AJ38" s="772"/>
      <c r="AK38" s="772"/>
      <c r="AL38" s="772"/>
      <c r="AM38" s="772"/>
      <c r="AN38" s="772"/>
      <c r="AO38" s="772"/>
      <c r="AP38" s="772"/>
      <c r="AQ38" s="772"/>
      <c r="AR38" s="772"/>
      <c r="AS38" s="772"/>
      <c r="AT38" s="772"/>
      <c r="AU38" s="772"/>
      <c r="AV38" s="772"/>
      <c r="AW38" s="773"/>
      <c r="AX38" s="774"/>
      <c r="AY38" s="775"/>
    </row>
    <row r="39">
      <c r="A39" s="776"/>
      <c r="B39" s="538"/>
      <c r="C39" s="538"/>
      <c r="D39" s="538"/>
      <c r="E39" s="777"/>
      <c r="F39" s="533"/>
      <c r="G39" s="534"/>
      <c r="H39" s="680"/>
      <c r="I39" s="482"/>
      <c r="J39" s="482"/>
      <c r="K39" s="482"/>
      <c r="L39" s="482"/>
      <c r="M39" s="482"/>
      <c r="N39" s="482"/>
      <c r="O39" s="482"/>
      <c r="P39" s="482"/>
      <c r="Q39" s="132"/>
      <c r="R39" s="482"/>
      <c r="S39" s="482"/>
      <c r="T39" s="482"/>
      <c r="U39" s="482"/>
      <c r="V39" s="482"/>
      <c r="W39" s="482"/>
      <c r="X39" s="482"/>
      <c r="Y39" s="482"/>
      <c r="Z39" s="482"/>
      <c r="AA39" s="482"/>
      <c r="AB39" s="482"/>
      <c r="AC39" s="482"/>
      <c r="AD39" s="482"/>
      <c r="AE39" s="482"/>
      <c r="AF39" s="482"/>
      <c r="AG39" s="482"/>
      <c r="AH39" s="482"/>
      <c r="AI39" s="482"/>
      <c r="AJ39" s="482"/>
      <c r="AK39" s="482"/>
      <c r="AL39" s="482"/>
      <c r="AM39" s="482"/>
      <c r="AN39" s="482"/>
      <c r="AO39" s="482"/>
      <c r="AP39" s="482"/>
      <c r="AQ39" s="482"/>
      <c r="AR39" s="482"/>
      <c r="AS39" s="482"/>
      <c r="AT39" s="482"/>
      <c r="AU39" s="482"/>
      <c r="AV39" s="482"/>
      <c r="AW39" s="778"/>
      <c r="AX39" s="779"/>
      <c r="AY39" s="780"/>
    </row>
    <row r="40">
      <c r="A40" s="776"/>
      <c r="B40" s="538"/>
      <c r="C40" s="131" t="s">
        <v>772</v>
      </c>
      <c r="F40" s="125"/>
      <c r="G40" s="132"/>
      <c r="H40" s="680"/>
      <c r="I40" s="482"/>
      <c r="J40" s="482"/>
      <c r="K40" s="482"/>
      <c r="L40" s="482"/>
      <c r="M40" s="482"/>
      <c r="N40" s="482"/>
      <c r="O40" s="482"/>
      <c r="P40" s="482"/>
      <c r="Q40" s="132"/>
      <c r="R40" s="482"/>
      <c r="S40" s="482"/>
      <c r="T40" s="482"/>
      <c r="U40" s="482"/>
      <c r="V40" s="482"/>
      <c r="W40" s="482"/>
      <c r="X40" s="482"/>
      <c r="Y40" s="482"/>
      <c r="Z40" s="482"/>
      <c r="AA40" s="482"/>
      <c r="AB40" s="482"/>
      <c r="AC40" s="482"/>
      <c r="AD40" s="482"/>
      <c r="AE40" s="482"/>
      <c r="AF40" s="482"/>
      <c r="AG40" s="482"/>
      <c r="AH40" s="482"/>
      <c r="AI40" s="482"/>
      <c r="AJ40" s="482"/>
      <c r="AK40" s="482"/>
      <c r="AL40" s="482"/>
      <c r="AM40" s="482"/>
      <c r="AN40" s="482"/>
      <c r="AO40" s="482"/>
      <c r="AP40" s="482"/>
      <c r="AQ40" s="482"/>
      <c r="AR40" s="482"/>
      <c r="AS40" s="482"/>
      <c r="AT40" s="482"/>
      <c r="AU40" s="482"/>
      <c r="AV40" s="482"/>
      <c r="AW40" s="778"/>
      <c r="AX40" s="779"/>
      <c r="AY40" s="780"/>
    </row>
    <row r="41">
      <c r="A41" s="776"/>
      <c r="B41" s="538"/>
      <c r="C41" s="131"/>
      <c r="D41" s="131"/>
      <c r="E41" s="807" t="s">
        <v>773</v>
      </c>
      <c r="F41" s="193" t="s">
        <v>62</v>
      </c>
      <c r="G41" s="194" t="s">
        <v>165</v>
      </c>
      <c r="H41" s="808" t="s">
        <v>162</v>
      </c>
      <c r="I41" s="483">
        <v>20.0</v>
      </c>
      <c r="J41" s="483">
        <v>11.0</v>
      </c>
      <c r="K41" s="483">
        <v>27.0</v>
      </c>
      <c r="L41" s="483">
        <v>6.0</v>
      </c>
      <c r="M41" s="483">
        <v>44.0</v>
      </c>
      <c r="N41" s="483">
        <v>34.0</v>
      </c>
      <c r="O41" s="483">
        <v>21.0</v>
      </c>
      <c r="P41" s="483">
        <v>23.0</v>
      </c>
      <c r="Q41" s="194">
        <v>14.0</v>
      </c>
      <c r="R41" s="483">
        <v>17.0</v>
      </c>
      <c r="S41" s="483">
        <v>21.0</v>
      </c>
      <c r="T41" s="483">
        <v>31.0</v>
      </c>
      <c r="U41" s="483">
        <v>21.0</v>
      </c>
      <c r="V41" s="483">
        <v>8.0</v>
      </c>
      <c r="W41" s="483">
        <v>23.0</v>
      </c>
      <c r="X41" s="483">
        <v>27.0</v>
      </c>
      <c r="Y41" s="483">
        <v>18.0</v>
      </c>
      <c r="Z41" s="483">
        <v>25.0</v>
      </c>
      <c r="AA41" s="483">
        <v>12.0</v>
      </c>
      <c r="AB41" s="483">
        <v>18.0</v>
      </c>
      <c r="AC41" s="483">
        <v>16.0</v>
      </c>
      <c r="AD41" s="483">
        <v>17.0</v>
      </c>
      <c r="AE41" s="483">
        <v>6.0</v>
      </c>
      <c r="AF41" s="483">
        <v>27.0</v>
      </c>
      <c r="AG41" s="483">
        <v>23.0</v>
      </c>
      <c r="AH41" s="483">
        <v>21.0</v>
      </c>
      <c r="AI41" s="483">
        <v>16.0</v>
      </c>
      <c r="AJ41" s="483">
        <v>20.0</v>
      </c>
      <c r="AK41" s="483">
        <v>13.0</v>
      </c>
      <c r="AL41" s="483">
        <v>25.0</v>
      </c>
      <c r="AM41" s="483">
        <v>12.0</v>
      </c>
      <c r="AN41" s="483">
        <v>6.0</v>
      </c>
      <c r="AO41" s="483">
        <v>20.0</v>
      </c>
      <c r="AP41" s="483">
        <v>18.0</v>
      </c>
      <c r="AQ41" s="483">
        <v>30.0</v>
      </c>
      <c r="AR41" s="483">
        <v>33.0</v>
      </c>
      <c r="AS41" s="483">
        <v>17.0</v>
      </c>
      <c r="AT41" s="483">
        <v>23.0</v>
      </c>
      <c r="AU41" s="483">
        <v>16.0</v>
      </c>
      <c r="AV41" s="483">
        <v>17.0</v>
      </c>
      <c r="AW41" s="784"/>
      <c r="AX41" s="809" t="s">
        <v>986</v>
      </c>
      <c r="AY41" s="786"/>
    </row>
    <row r="42">
      <c r="A42" s="776"/>
      <c r="B42" s="538"/>
      <c r="C42" s="131"/>
      <c r="D42" s="131"/>
      <c r="E42" s="810" t="s">
        <v>987</v>
      </c>
      <c r="F42" s="213" t="s">
        <v>62</v>
      </c>
      <c r="G42" s="214" t="s">
        <v>165</v>
      </c>
      <c r="H42" s="811" t="s">
        <v>162</v>
      </c>
      <c r="I42" s="485">
        <v>20.0</v>
      </c>
      <c r="J42" s="485">
        <v>11.0</v>
      </c>
      <c r="K42" s="485">
        <v>23.0</v>
      </c>
      <c r="L42" s="485">
        <v>6.0</v>
      </c>
      <c r="M42" s="485">
        <v>44.0</v>
      </c>
      <c r="N42" s="485">
        <v>12.0</v>
      </c>
      <c r="O42" s="485">
        <v>16.0</v>
      </c>
      <c r="P42" s="485">
        <v>14.0</v>
      </c>
      <c r="Q42" s="214">
        <v>1.0</v>
      </c>
      <c r="R42" s="485">
        <v>0.0</v>
      </c>
      <c r="S42" s="485">
        <v>18.0</v>
      </c>
      <c r="T42" s="485">
        <v>0.0</v>
      </c>
      <c r="U42" s="485">
        <v>0.0</v>
      </c>
      <c r="V42" s="485">
        <v>0.0</v>
      </c>
      <c r="W42" s="485">
        <v>0.0</v>
      </c>
      <c r="X42" s="485">
        <v>0.0</v>
      </c>
      <c r="Y42" s="485">
        <v>0.0</v>
      </c>
      <c r="Z42" s="485">
        <v>0.0</v>
      </c>
      <c r="AA42" s="485">
        <v>0.0</v>
      </c>
      <c r="AB42" s="485">
        <v>0.0</v>
      </c>
      <c r="AC42" s="485">
        <v>0.0</v>
      </c>
      <c r="AD42" s="485">
        <v>0.0</v>
      </c>
      <c r="AE42" s="485">
        <v>0.0</v>
      </c>
      <c r="AF42" s="485">
        <v>0.0</v>
      </c>
      <c r="AG42" s="485">
        <v>18.0</v>
      </c>
      <c r="AH42" s="485">
        <v>0.0</v>
      </c>
      <c r="AI42" s="485">
        <v>0.0</v>
      </c>
      <c r="AJ42" s="485">
        <v>0.0</v>
      </c>
      <c r="AK42" s="485">
        <v>0.0</v>
      </c>
      <c r="AL42" s="812">
        <v>18.0</v>
      </c>
      <c r="AM42" s="485">
        <v>12.0</v>
      </c>
      <c r="AN42" s="485">
        <v>6.0</v>
      </c>
      <c r="AO42" s="485">
        <v>0.0</v>
      </c>
      <c r="AP42" s="485">
        <v>0.0</v>
      </c>
      <c r="AQ42" s="485">
        <v>0.0</v>
      </c>
      <c r="AR42" s="485">
        <v>0.0</v>
      </c>
      <c r="AS42" s="485">
        <v>0.0</v>
      </c>
      <c r="AT42" s="485">
        <v>0.0</v>
      </c>
      <c r="AU42" s="485">
        <v>9.0</v>
      </c>
      <c r="AV42" s="485">
        <v>10.0</v>
      </c>
      <c r="AW42" s="788"/>
      <c r="AX42" s="798" t="s">
        <v>977</v>
      </c>
      <c r="AY42" s="813" t="s">
        <v>99</v>
      </c>
    </row>
    <row r="43">
      <c r="A43" s="776"/>
      <c r="B43" s="538"/>
      <c r="C43" s="131"/>
      <c r="D43" s="131"/>
      <c r="E43" s="614" t="s">
        <v>778</v>
      </c>
      <c r="F43" s="213" t="s">
        <v>62</v>
      </c>
      <c r="G43" s="214" t="s">
        <v>165</v>
      </c>
      <c r="H43" s="617" t="s">
        <v>162</v>
      </c>
      <c r="I43" s="618">
        <v>2022.0</v>
      </c>
      <c r="J43" s="618">
        <v>2022.0</v>
      </c>
      <c r="K43" s="618">
        <v>2021.0</v>
      </c>
      <c r="L43" s="618">
        <v>2023.0</v>
      </c>
      <c r="M43" s="618">
        <v>2022.0</v>
      </c>
      <c r="N43" s="618">
        <v>2021.0</v>
      </c>
      <c r="O43" s="618">
        <v>2023.0</v>
      </c>
      <c r="P43" s="618">
        <v>2022.0</v>
      </c>
      <c r="Q43" s="814">
        <v>2022.0</v>
      </c>
      <c r="R43" s="618">
        <v>0.0</v>
      </c>
      <c r="S43" s="618">
        <v>2023.0</v>
      </c>
      <c r="T43" s="618">
        <v>0.0</v>
      </c>
      <c r="U43" s="618">
        <v>0.0</v>
      </c>
      <c r="V43" s="618">
        <v>0.0</v>
      </c>
      <c r="W43" s="618">
        <v>0.0</v>
      </c>
      <c r="X43" s="618">
        <v>0.0</v>
      </c>
      <c r="Y43" s="618">
        <v>0.0</v>
      </c>
      <c r="Z43" s="618">
        <v>0.0</v>
      </c>
      <c r="AA43" s="618">
        <v>0.0</v>
      </c>
      <c r="AB43" s="618">
        <v>0.0</v>
      </c>
      <c r="AC43" s="618">
        <v>0.0</v>
      </c>
      <c r="AD43" s="618">
        <v>0.0</v>
      </c>
      <c r="AE43" s="618">
        <v>0.0</v>
      </c>
      <c r="AF43" s="618">
        <v>0.0</v>
      </c>
      <c r="AG43" s="618">
        <v>2023.0</v>
      </c>
      <c r="AH43" s="618">
        <v>0.0</v>
      </c>
      <c r="AI43" s="618">
        <v>0.0</v>
      </c>
      <c r="AJ43" s="618">
        <v>0.0</v>
      </c>
      <c r="AK43" s="618">
        <v>0.0</v>
      </c>
      <c r="AL43" s="154">
        <v>2024.0</v>
      </c>
      <c r="AM43" s="618">
        <v>2024.0</v>
      </c>
      <c r="AN43" s="618">
        <v>2024.0</v>
      </c>
      <c r="AO43" s="618">
        <v>0.0</v>
      </c>
      <c r="AP43" s="618">
        <v>0.0</v>
      </c>
      <c r="AQ43" s="618">
        <v>0.0</v>
      </c>
      <c r="AR43" s="618">
        <v>0.0</v>
      </c>
      <c r="AS43" s="618">
        <v>0.0</v>
      </c>
      <c r="AT43" s="618">
        <v>0.0</v>
      </c>
      <c r="AU43" s="618">
        <v>2023.0</v>
      </c>
      <c r="AV43" s="815" t="s">
        <v>988</v>
      </c>
      <c r="AW43" s="816"/>
      <c r="AX43" s="817" t="s">
        <v>989</v>
      </c>
      <c r="AY43" s="818"/>
    </row>
    <row r="44">
      <c r="A44" s="776"/>
      <c r="B44" s="538"/>
      <c r="C44" s="131"/>
      <c r="D44" s="131"/>
      <c r="E44" s="621" t="s">
        <v>779</v>
      </c>
      <c r="F44" s="213" t="s">
        <v>62</v>
      </c>
      <c r="G44" s="214" t="s">
        <v>165</v>
      </c>
      <c r="H44" s="617" t="s">
        <v>162</v>
      </c>
      <c r="I44" s="618">
        <v>2022.0</v>
      </c>
      <c r="J44" s="618">
        <v>2023.0</v>
      </c>
      <c r="K44" s="618">
        <v>2022.0</v>
      </c>
      <c r="L44" s="618">
        <v>2023.0</v>
      </c>
      <c r="M44" s="618">
        <v>2023.0</v>
      </c>
      <c r="N44" s="618">
        <v>2022.0</v>
      </c>
      <c r="O44" s="618">
        <v>2023.0</v>
      </c>
      <c r="P44" s="618">
        <v>2022.0</v>
      </c>
      <c r="Q44" s="814">
        <v>2022.0</v>
      </c>
      <c r="R44" s="618">
        <v>0.0</v>
      </c>
      <c r="S44" s="618">
        <v>2023.0</v>
      </c>
      <c r="T44" s="618">
        <v>0.0</v>
      </c>
      <c r="U44" s="618">
        <v>0.0</v>
      </c>
      <c r="V44" s="618">
        <v>0.0</v>
      </c>
      <c r="W44" s="618">
        <v>0.0</v>
      </c>
      <c r="X44" s="618">
        <v>0.0</v>
      </c>
      <c r="Y44" s="618">
        <v>0.0</v>
      </c>
      <c r="Z44" s="618">
        <v>0.0</v>
      </c>
      <c r="AA44" s="618">
        <v>0.0</v>
      </c>
      <c r="AB44" s="618">
        <v>0.0</v>
      </c>
      <c r="AC44" s="618">
        <v>0.0</v>
      </c>
      <c r="AD44" s="618">
        <v>0.0</v>
      </c>
      <c r="AE44" s="618">
        <v>0.0</v>
      </c>
      <c r="AF44" s="618">
        <v>0.0</v>
      </c>
      <c r="AG44" s="618">
        <v>2023.0</v>
      </c>
      <c r="AH44" s="618">
        <v>0.0</v>
      </c>
      <c r="AI44" s="618">
        <v>0.0</v>
      </c>
      <c r="AJ44" s="618">
        <v>0.0</v>
      </c>
      <c r="AK44" s="618">
        <v>0.0</v>
      </c>
      <c r="AL44" s="154">
        <v>2024.0</v>
      </c>
      <c r="AM44" s="618">
        <v>2024.0</v>
      </c>
      <c r="AN44" s="618">
        <v>2024.0</v>
      </c>
      <c r="AO44" s="618">
        <v>0.0</v>
      </c>
      <c r="AP44" s="618">
        <v>0.0</v>
      </c>
      <c r="AQ44" s="618">
        <v>0.0</v>
      </c>
      <c r="AR44" s="618">
        <v>0.0</v>
      </c>
      <c r="AS44" s="618">
        <v>0.0</v>
      </c>
      <c r="AT44" s="618">
        <v>0.0</v>
      </c>
      <c r="AU44" s="618">
        <v>2023.0</v>
      </c>
      <c r="AV44" s="155">
        <v>2024.0</v>
      </c>
      <c r="AW44" s="816"/>
      <c r="AX44" s="817" t="s">
        <v>989</v>
      </c>
      <c r="AY44" s="818"/>
    </row>
    <row r="45">
      <c r="A45" s="776"/>
      <c r="B45" s="538"/>
      <c r="C45" s="131"/>
      <c r="D45" s="131"/>
      <c r="E45" s="819" t="s">
        <v>776</v>
      </c>
      <c r="F45" s="200" t="s">
        <v>72</v>
      </c>
      <c r="G45" s="487" t="s">
        <v>165</v>
      </c>
      <c r="H45" s="793">
        <v>0.5</v>
      </c>
      <c r="I45" s="487" t="s">
        <v>162</v>
      </c>
      <c r="J45" s="487" t="s">
        <v>162</v>
      </c>
      <c r="K45" s="487" t="s">
        <v>162</v>
      </c>
      <c r="L45" s="487" t="s">
        <v>162</v>
      </c>
      <c r="M45" s="487" t="s">
        <v>162</v>
      </c>
      <c r="N45" s="487" t="s">
        <v>162</v>
      </c>
      <c r="O45" s="487" t="s">
        <v>162</v>
      </c>
      <c r="P45" s="487" t="s">
        <v>162</v>
      </c>
      <c r="Q45" s="201" t="s">
        <v>162</v>
      </c>
      <c r="R45" s="487" t="s">
        <v>162</v>
      </c>
      <c r="S45" s="487" t="s">
        <v>162</v>
      </c>
      <c r="T45" s="487" t="s">
        <v>162</v>
      </c>
      <c r="U45" s="487" t="s">
        <v>162</v>
      </c>
      <c r="V45" s="487" t="s">
        <v>162</v>
      </c>
      <c r="W45" s="487" t="s">
        <v>162</v>
      </c>
      <c r="X45" s="487" t="s">
        <v>162</v>
      </c>
      <c r="Y45" s="487" t="s">
        <v>162</v>
      </c>
      <c r="Z45" s="487" t="s">
        <v>162</v>
      </c>
      <c r="AA45" s="487" t="s">
        <v>162</v>
      </c>
      <c r="AB45" s="487" t="s">
        <v>162</v>
      </c>
      <c r="AC45" s="487" t="s">
        <v>162</v>
      </c>
      <c r="AD45" s="487" t="s">
        <v>162</v>
      </c>
      <c r="AE45" s="487" t="s">
        <v>162</v>
      </c>
      <c r="AF45" s="487" t="s">
        <v>162</v>
      </c>
      <c r="AG45" s="487" t="s">
        <v>162</v>
      </c>
      <c r="AH45" s="487" t="s">
        <v>162</v>
      </c>
      <c r="AI45" s="487" t="s">
        <v>162</v>
      </c>
      <c r="AJ45" s="487" t="s">
        <v>162</v>
      </c>
      <c r="AK45" s="487" t="s">
        <v>162</v>
      </c>
      <c r="AL45" s="487" t="s">
        <v>162</v>
      </c>
      <c r="AM45" s="487" t="s">
        <v>162</v>
      </c>
      <c r="AN45" s="487" t="s">
        <v>162</v>
      </c>
      <c r="AO45" s="487" t="s">
        <v>162</v>
      </c>
      <c r="AP45" s="487" t="s">
        <v>162</v>
      </c>
      <c r="AQ45" s="487" t="s">
        <v>162</v>
      </c>
      <c r="AR45" s="487" t="s">
        <v>162</v>
      </c>
      <c r="AS45" s="487" t="s">
        <v>162</v>
      </c>
      <c r="AT45" s="487" t="s">
        <v>162</v>
      </c>
      <c r="AU45" s="487" t="s">
        <v>162</v>
      </c>
      <c r="AV45" s="487" t="s">
        <v>162</v>
      </c>
      <c r="AW45" s="794"/>
      <c r="AX45" s="799" t="s">
        <v>984</v>
      </c>
      <c r="AY45" s="796"/>
    </row>
    <row r="46">
      <c r="A46" s="776"/>
      <c r="B46" s="538"/>
      <c r="C46" s="131"/>
      <c r="D46" s="131"/>
      <c r="E46" s="450"/>
      <c r="F46" s="141"/>
      <c r="G46" s="142"/>
      <c r="H46" s="680"/>
      <c r="I46" s="482"/>
      <c r="J46" s="482"/>
      <c r="K46" s="482"/>
      <c r="L46" s="482"/>
      <c r="M46" s="482"/>
      <c r="N46" s="482"/>
      <c r="O46" s="482"/>
      <c r="P46" s="482"/>
      <c r="Q46" s="132"/>
      <c r="R46" s="482"/>
      <c r="S46" s="482"/>
      <c r="T46" s="482"/>
      <c r="U46" s="482"/>
      <c r="V46" s="482"/>
      <c r="W46" s="482"/>
      <c r="X46" s="482"/>
      <c r="Y46" s="482"/>
      <c r="Z46" s="482"/>
      <c r="AA46" s="482"/>
      <c r="AB46" s="482"/>
      <c r="AC46" s="482"/>
      <c r="AD46" s="482"/>
      <c r="AE46" s="482"/>
      <c r="AF46" s="482"/>
      <c r="AG46" s="482"/>
      <c r="AH46" s="482"/>
      <c r="AI46" s="482"/>
      <c r="AJ46" s="482"/>
      <c r="AK46" s="482"/>
      <c r="AL46" s="482"/>
      <c r="AM46" s="482"/>
      <c r="AN46" s="482"/>
      <c r="AO46" s="482"/>
      <c r="AP46" s="482"/>
      <c r="AQ46" s="482"/>
      <c r="AR46" s="482"/>
      <c r="AS46" s="482"/>
      <c r="AT46" s="482"/>
      <c r="AU46" s="482"/>
      <c r="AV46" s="482"/>
      <c r="AW46" s="778"/>
      <c r="AX46" s="779"/>
      <c r="AY46" s="780"/>
    </row>
    <row r="47">
      <c r="A47" s="538"/>
      <c r="B47" s="538"/>
      <c r="C47" s="131" t="s">
        <v>780</v>
      </c>
      <c r="F47" s="125"/>
      <c r="G47" s="482"/>
      <c r="H47" s="680"/>
      <c r="I47" s="482"/>
      <c r="J47" s="482"/>
      <c r="K47" s="536"/>
      <c r="L47" s="536"/>
      <c r="M47" s="536"/>
      <c r="N47" s="536"/>
      <c r="O47" s="536"/>
      <c r="P47" s="536"/>
      <c r="Q47" s="132"/>
      <c r="R47" s="482"/>
      <c r="S47" s="482"/>
      <c r="T47" s="482"/>
      <c r="U47" s="482"/>
      <c r="V47" s="482"/>
      <c r="W47" s="482"/>
      <c r="X47" s="482"/>
      <c r="Y47" s="482"/>
      <c r="Z47" s="482"/>
      <c r="AA47" s="482"/>
      <c r="AB47" s="482"/>
      <c r="AC47" s="482"/>
      <c r="AD47" s="482"/>
      <c r="AE47" s="482"/>
      <c r="AF47" s="482"/>
      <c r="AG47" s="482"/>
      <c r="AH47" s="482"/>
      <c r="AI47" s="482"/>
      <c r="AJ47" s="482"/>
      <c r="AK47" s="482"/>
      <c r="AL47" s="482"/>
      <c r="AM47" s="536"/>
      <c r="AN47" s="536"/>
      <c r="AO47" s="536"/>
      <c r="AP47" s="536"/>
      <c r="AQ47" s="536"/>
      <c r="AR47" s="536"/>
      <c r="AS47" s="482"/>
      <c r="AT47" s="482"/>
      <c r="AU47" s="482"/>
      <c r="AV47" s="482"/>
      <c r="AW47" s="778"/>
      <c r="AX47" s="779"/>
      <c r="AY47" s="780"/>
    </row>
    <row r="48">
      <c r="A48" s="776"/>
      <c r="B48" s="538"/>
      <c r="C48" s="131"/>
      <c r="D48" s="131"/>
      <c r="E48" s="807" t="s">
        <v>781</v>
      </c>
      <c r="F48" s="193" t="s">
        <v>72</v>
      </c>
      <c r="G48" s="194" t="s">
        <v>165</v>
      </c>
      <c r="H48" s="808" t="s">
        <v>162</v>
      </c>
      <c r="I48" s="820">
        <v>0.5521</v>
      </c>
      <c r="J48" s="820">
        <v>0.7284</v>
      </c>
      <c r="K48" s="820">
        <v>0.6074</v>
      </c>
      <c r="L48" s="820">
        <v>0.6377</v>
      </c>
      <c r="M48" s="820">
        <v>0.6149</v>
      </c>
      <c r="N48" s="820">
        <v>0.4236</v>
      </c>
      <c r="O48" s="820">
        <v>0.4004</v>
      </c>
      <c r="P48" s="820">
        <v>0.3495</v>
      </c>
      <c r="Q48" s="821">
        <v>0.214</v>
      </c>
      <c r="R48" s="483" t="s">
        <v>162</v>
      </c>
      <c r="S48" s="820">
        <v>0.8902</v>
      </c>
      <c r="T48" s="483" t="s">
        <v>162</v>
      </c>
      <c r="U48" s="483" t="s">
        <v>162</v>
      </c>
      <c r="V48" s="820" t="s">
        <v>162</v>
      </c>
      <c r="W48" s="820" t="s">
        <v>162</v>
      </c>
      <c r="X48" s="820" t="s">
        <v>162</v>
      </c>
      <c r="Y48" s="820" t="s">
        <v>162</v>
      </c>
      <c r="Z48" s="820" t="s">
        <v>162</v>
      </c>
      <c r="AA48" s="820" t="s">
        <v>162</v>
      </c>
      <c r="AB48" s="820" t="s">
        <v>162</v>
      </c>
      <c r="AC48" s="820" t="s">
        <v>162</v>
      </c>
      <c r="AD48" s="820" t="s">
        <v>162</v>
      </c>
      <c r="AE48" s="820" t="s">
        <v>162</v>
      </c>
      <c r="AF48" s="820" t="s">
        <v>162</v>
      </c>
      <c r="AG48" s="820">
        <v>0.77</v>
      </c>
      <c r="AH48" s="820" t="s">
        <v>162</v>
      </c>
      <c r="AI48" s="820" t="s">
        <v>162</v>
      </c>
      <c r="AJ48" s="820" t="s">
        <v>162</v>
      </c>
      <c r="AK48" s="820" t="s">
        <v>162</v>
      </c>
      <c r="AL48" s="820">
        <v>0.6645</v>
      </c>
      <c r="AM48" s="820">
        <v>0.616</v>
      </c>
      <c r="AN48" s="820">
        <v>0.7582</v>
      </c>
      <c r="AO48" s="820" t="s">
        <v>162</v>
      </c>
      <c r="AP48" s="820" t="s">
        <v>162</v>
      </c>
      <c r="AQ48" s="820" t="s">
        <v>162</v>
      </c>
      <c r="AR48" s="820" t="s">
        <v>162</v>
      </c>
      <c r="AS48" s="820" t="s">
        <v>162</v>
      </c>
      <c r="AT48" s="820" t="s">
        <v>162</v>
      </c>
      <c r="AU48" s="820">
        <v>0.7636</v>
      </c>
      <c r="AV48" s="822">
        <v>0.6278</v>
      </c>
      <c r="AW48" s="784"/>
      <c r="AX48" s="823" t="s">
        <v>977</v>
      </c>
      <c r="AY48" s="64" t="s">
        <v>99</v>
      </c>
    </row>
    <row r="49">
      <c r="A49" s="776"/>
      <c r="B49" s="538"/>
      <c r="C49" s="131"/>
      <c r="D49" s="131"/>
      <c r="E49" s="807" t="s">
        <v>782</v>
      </c>
      <c r="F49" s="193" t="s">
        <v>72</v>
      </c>
      <c r="G49" s="194" t="s">
        <v>165</v>
      </c>
      <c r="H49" s="808" t="s">
        <v>162</v>
      </c>
      <c r="I49" s="820">
        <v>0.4931</v>
      </c>
      <c r="J49" s="820">
        <v>0.6764</v>
      </c>
      <c r="K49" s="820">
        <v>0.572</v>
      </c>
      <c r="L49" s="820">
        <v>0.5973</v>
      </c>
      <c r="M49" s="820">
        <v>0.5621</v>
      </c>
      <c r="N49" s="820">
        <v>0.3916</v>
      </c>
      <c r="O49" s="820">
        <v>0.3379</v>
      </c>
      <c r="P49" s="820">
        <v>0.2712</v>
      </c>
      <c r="Q49" s="821">
        <v>0.1376</v>
      </c>
      <c r="R49" s="483" t="s">
        <v>162</v>
      </c>
      <c r="S49" s="820">
        <v>0.8611</v>
      </c>
      <c r="T49" s="483" t="s">
        <v>162</v>
      </c>
      <c r="U49" s="483" t="s">
        <v>162</v>
      </c>
      <c r="V49" s="820" t="s">
        <v>162</v>
      </c>
      <c r="W49" s="820" t="s">
        <v>162</v>
      </c>
      <c r="X49" s="820" t="s">
        <v>162</v>
      </c>
      <c r="Y49" s="820" t="s">
        <v>162</v>
      </c>
      <c r="Z49" s="820" t="s">
        <v>162</v>
      </c>
      <c r="AA49" s="820" t="s">
        <v>162</v>
      </c>
      <c r="AB49" s="820" t="s">
        <v>162</v>
      </c>
      <c r="AC49" s="820" t="s">
        <v>162</v>
      </c>
      <c r="AD49" s="820" t="s">
        <v>162</v>
      </c>
      <c r="AE49" s="820" t="s">
        <v>162</v>
      </c>
      <c r="AF49" s="820" t="s">
        <v>162</v>
      </c>
      <c r="AG49" s="820">
        <v>0.74</v>
      </c>
      <c r="AH49" s="820" t="s">
        <v>162</v>
      </c>
      <c r="AI49" s="820" t="s">
        <v>162</v>
      </c>
      <c r="AJ49" s="820" t="s">
        <v>162</v>
      </c>
      <c r="AK49" s="820" t="s">
        <v>162</v>
      </c>
      <c r="AL49" s="820">
        <v>0.6285</v>
      </c>
      <c r="AM49" s="820">
        <v>0.5652</v>
      </c>
      <c r="AN49" s="820">
        <v>0.751</v>
      </c>
      <c r="AO49" s="820" t="s">
        <v>162</v>
      </c>
      <c r="AP49" s="820" t="s">
        <v>162</v>
      </c>
      <c r="AQ49" s="820" t="s">
        <v>162</v>
      </c>
      <c r="AR49" s="820" t="s">
        <v>162</v>
      </c>
      <c r="AS49" s="820" t="s">
        <v>162</v>
      </c>
      <c r="AT49" s="820" t="s">
        <v>162</v>
      </c>
      <c r="AU49" s="820">
        <v>0.7279</v>
      </c>
      <c r="AV49" s="824">
        <v>0.5899</v>
      </c>
      <c r="AW49" s="784"/>
      <c r="AX49" s="825" t="s">
        <v>977</v>
      </c>
      <c r="AY49" s="64" t="s">
        <v>99</v>
      </c>
    </row>
    <row r="50">
      <c r="A50" s="776"/>
      <c r="B50" s="538"/>
      <c r="C50" s="131"/>
      <c r="D50" s="131"/>
      <c r="E50" s="810" t="s">
        <v>783</v>
      </c>
      <c r="F50" s="213" t="s">
        <v>72</v>
      </c>
      <c r="G50" s="214" t="s">
        <v>165</v>
      </c>
      <c r="H50" s="811" t="s">
        <v>162</v>
      </c>
      <c r="I50" s="567">
        <v>0.4471</v>
      </c>
      <c r="J50" s="567">
        <v>0.6332</v>
      </c>
      <c r="K50" s="567">
        <v>0.5154</v>
      </c>
      <c r="L50" s="567">
        <v>0.507</v>
      </c>
      <c r="M50" s="567">
        <v>0.4824</v>
      </c>
      <c r="N50" s="567">
        <v>0.374</v>
      </c>
      <c r="O50" s="567">
        <v>0.2428</v>
      </c>
      <c r="P50" s="567">
        <v>0.2598</v>
      </c>
      <c r="Q50" s="826">
        <v>0.1256</v>
      </c>
      <c r="R50" s="485" t="s">
        <v>162</v>
      </c>
      <c r="S50" s="567">
        <v>0.7904</v>
      </c>
      <c r="T50" s="485" t="s">
        <v>162</v>
      </c>
      <c r="U50" s="485" t="s">
        <v>162</v>
      </c>
      <c r="V50" s="567" t="s">
        <v>162</v>
      </c>
      <c r="W50" s="567" t="s">
        <v>162</v>
      </c>
      <c r="X50" s="567" t="s">
        <v>162</v>
      </c>
      <c r="Y50" s="567" t="s">
        <v>162</v>
      </c>
      <c r="Z50" s="567" t="s">
        <v>162</v>
      </c>
      <c r="AA50" s="567" t="s">
        <v>162</v>
      </c>
      <c r="AB50" s="567" t="s">
        <v>162</v>
      </c>
      <c r="AC50" s="567" t="s">
        <v>162</v>
      </c>
      <c r="AD50" s="567" t="s">
        <v>162</v>
      </c>
      <c r="AE50" s="567" t="s">
        <v>162</v>
      </c>
      <c r="AF50" s="567" t="s">
        <v>162</v>
      </c>
      <c r="AG50" s="567">
        <v>0.67</v>
      </c>
      <c r="AH50" s="567" t="s">
        <v>162</v>
      </c>
      <c r="AI50" s="567" t="s">
        <v>162</v>
      </c>
      <c r="AJ50" s="567" t="s">
        <v>162</v>
      </c>
      <c r="AK50" s="567" t="s">
        <v>162</v>
      </c>
      <c r="AL50" s="820">
        <v>0.5276</v>
      </c>
      <c r="AM50" s="820">
        <v>0.4625</v>
      </c>
      <c r="AN50" s="820">
        <v>0.6535</v>
      </c>
      <c r="AO50" s="567" t="s">
        <v>162</v>
      </c>
      <c r="AP50" s="567" t="s">
        <v>162</v>
      </c>
      <c r="AQ50" s="567" t="s">
        <v>162</v>
      </c>
      <c r="AR50" s="567" t="s">
        <v>162</v>
      </c>
      <c r="AS50" s="567" t="s">
        <v>162</v>
      </c>
      <c r="AT50" s="567" t="s">
        <v>162</v>
      </c>
      <c r="AU50" s="567">
        <v>0.6596</v>
      </c>
      <c r="AV50" s="824">
        <v>0.4777</v>
      </c>
      <c r="AW50" s="788"/>
      <c r="AX50" s="825" t="s">
        <v>977</v>
      </c>
      <c r="AY50" s="64" t="s">
        <v>99</v>
      </c>
    </row>
    <row r="51">
      <c r="A51" s="776"/>
      <c r="B51" s="538"/>
      <c r="C51" s="131"/>
      <c r="D51" s="131"/>
      <c r="E51" s="810" t="s">
        <v>784</v>
      </c>
      <c r="F51" s="213" t="s">
        <v>72</v>
      </c>
      <c r="G51" s="214" t="s">
        <v>165</v>
      </c>
      <c r="H51" s="811" t="s">
        <v>162</v>
      </c>
      <c r="I51" s="567">
        <v>0.354</v>
      </c>
      <c r="J51" s="567">
        <v>0.5015</v>
      </c>
      <c r="K51" s="567">
        <v>0.3966</v>
      </c>
      <c r="L51" s="567">
        <v>0.4094</v>
      </c>
      <c r="M51" s="567">
        <v>0.3687</v>
      </c>
      <c r="N51" s="567">
        <v>0.2963</v>
      </c>
      <c r="O51" s="567">
        <v>0.1543</v>
      </c>
      <c r="P51" s="567">
        <v>0.1881</v>
      </c>
      <c r="Q51" s="826">
        <v>0.0876</v>
      </c>
      <c r="R51" s="485" t="s">
        <v>162</v>
      </c>
      <c r="S51" s="567">
        <v>0.6962</v>
      </c>
      <c r="T51" s="485" t="s">
        <v>162</v>
      </c>
      <c r="U51" s="485" t="s">
        <v>162</v>
      </c>
      <c r="V51" s="567" t="s">
        <v>162</v>
      </c>
      <c r="W51" s="567" t="s">
        <v>162</v>
      </c>
      <c r="X51" s="567" t="s">
        <v>162</v>
      </c>
      <c r="Y51" s="567" t="s">
        <v>162</v>
      </c>
      <c r="Z51" s="567" t="s">
        <v>162</v>
      </c>
      <c r="AA51" s="567" t="s">
        <v>162</v>
      </c>
      <c r="AB51" s="567" t="s">
        <v>162</v>
      </c>
      <c r="AC51" s="567" t="s">
        <v>162</v>
      </c>
      <c r="AD51" s="567" t="s">
        <v>162</v>
      </c>
      <c r="AE51" s="567" t="s">
        <v>162</v>
      </c>
      <c r="AF51" s="567" t="s">
        <v>162</v>
      </c>
      <c r="AG51" s="567">
        <v>0.58</v>
      </c>
      <c r="AH51" s="567" t="s">
        <v>162</v>
      </c>
      <c r="AI51" s="567" t="s">
        <v>162</v>
      </c>
      <c r="AJ51" s="567" t="s">
        <v>162</v>
      </c>
      <c r="AK51" s="567" t="s">
        <v>162</v>
      </c>
      <c r="AL51" s="820">
        <v>0.3906</v>
      </c>
      <c r="AM51" s="820">
        <v>0.3363</v>
      </c>
      <c r="AN51" s="820">
        <v>0.4955</v>
      </c>
      <c r="AO51" s="567" t="s">
        <v>162</v>
      </c>
      <c r="AP51" s="567" t="s">
        <v>162</v>
      </c>
      <c r="AQ51" s="567" t="s">
        <v>162</v>
      </c>
      <c r="AR51" s="567" t="s">
        <v>162</v>
      </c>
      <c r="AS51" s="567" t="s">
        <v>162</v>
      </c>
      <c r="AT51" s="567" t="s">
        <v>162</v>
      </c>
      <c r="AU51" s="567">
        <v>0.5581</v>
      </c>
      <c r="AV51" s="824">
        <v>0.3791</v>
      </c>
      <c r="AW51" s="788"/>
      <c r="AX51" s="825" t="s">
        <v>977</v>
      </c>
      <c r="AY51" s="64" t="s">
        <v>99</v>
      </c>
    </row>
    <row r="52">
      <c r="A52" s="776"/>
      <c r="B52" s="538"/>
      <c r="C52" s="131"/>
      <c r="D52" s="131"/>
      <c r="E52" s="819" t="s">
        <v>785</v>
      </c>
      <c r="F52" s="200" t="s">
        <v>72</v>
      </c>
      <c r="G52" s="201" t="s">
        <v>165</v>
      </c>
      <c r="H52" s="827" t="s">
        <v>162</v>
      </c>
      <c r="I52" s="828">
        <v>0.3526</v>
      </c>
      <c r="J52" s="828">
        <v>0.4886</v>
      </c>
      <c r="K52" s="828">
        <v>0.3738</v>
      </c>
      <c r="L52" s="828">
        <v>0.323</v>
      </c>
      <c r="M52" s="828">
        <v>0.3228</v>
      </c>
      <c r="N52" s="828">
        <v>0.2629</v>
      </c>
      <c r="O52" s="828">
        <v>0.2326</v>
      </c>
      <c r="P52" s="828">
        <v>0.2126</v>
      </c>
      <c r="Q52" s="829">
        <v>0.1405</v>
      </c>
      <c r="R52" s="487" t="s">
        <v>162</v>
      </c>
      <c r="S52" s="828">
        <v>0.5884</v>
      </c>
      <c r="T52" s="487" t="s">
        <v>162</v>
      </c>
      <c r="U52" s="487" t="s">
        <v>162</v>
      </c>
      <c r="V52" s="828" t="s">
        <v>162</v>
      </c>
      <c r="W52" s="828" t="s">
        <v>162</v>
      </c>
      <c r="X52" s="828" t="s">
        <v>162</v>
      </c>
      <c r="Y52" s="828" t="s">
        <v>162</v>
      </c>
      <c r="Z52" s="828" t="s">
        <v>162</v>
      </c>
      <c r="AA52" s="828" t="s">
        <v>162</v>
      </c>
      <c r="AB52" s="828" t="s">
        <v>162</v>
      </c>
      <c r="AC52" s="828" t="s">
        <v>162</v>
      </c>
      <c r="AD52" s="828" t="s">
        <v>162</v>
      </c>
      <c r="AE52" s="828" t="s">
        <v>162</v>
      </c>
      <c r="AF52" s="828" t="s">
        <v>162</v>
      </c>
      <c r="AG52" s="828">
        <v>0.54</v>
      </c>
      <c r="AH52" s="828" t="s">
        <v>162</v>
      </c>
      <c r="AI52" s="828" t="s">
        <v>162</v>
      </c>
      <c r="AJ52" s="828" t="s">
        <v>162</v>
      </c>
      <c r="AK52" s="828" t="s">
        <v>162</v>
      </c>
      <c r="AL52" s="828">
        <v>0.3553</v>
      </c>
      <c r="AM52" s="828">
        <v>0.308</v>
      </c>
      <c r="AN52" s="828">
        <v>0.4466</v>
      </c>
      <c r="AO52" s="828" t="s">
        <v>162</v>
      </c>
      <c r="AP52" s="828" t="s">
        <v>162</v>
      </c>
      <c r="AQ52" s="828" t="s">
        <v>162</v>
      </c>
      <c r="AR52" s="828" t="s">
        <v>162</v>
      </c>
      <c r="AS52" s="828" t="s">
        <v>162</v>
      </c>
      <c r="AT52" s="828" t="s">
        <v>162</v>
      </c>
      <c r="AU52" s="828">
        <v>0.5086</v>
      </c>
      <c r="AV52" s="830">
        <v>0.3495</v>
      </c>
      <c r="AW52" s="794"/>
      <c r="AX52" s="831" t="s">
        <v>977</v>
      </c>
      <c r="AY52" s="770" t="s">
        <v>99</v>
      </c>
    </row>
    <row r="53">
      <c r="A53" s="776"/>
      <c r="B53" s="538"/>
      <c r="C53" s="538"/>
      <c r="D53" s="538"/>
      <c r="E53" s="777"/>
      <c r="F53" s="533"/>
      <c r="G53" s="534"/>
      <c r="H53" s="680"/>
      <c r="I53" s="482"/>
      <c r="J53" s="482"/>
      <c r="K53" s="482"/>
      <c r="L53" s="536"/>
      <c r="M53" s="482"/>
      <c r="N53" s="482"/>
      <c r="O53" s="482"/>
      <c r="P53" s="482"/>
      <c r="Q53" s="132"/>
      <c r="R53" s="482"/>
      <c r="S53" s="482"/>
      <c r="T53" s="482"/>
      <c r="U53" s="482"/>
      <c r="V53" s="482"/>
      <c r="W53" s="482"/>
      <c r="X53" s="482"/>
      <c r="Y53" s="482"/>
      <c r="Z53" s="482"/>
      <c r="AA53" s="482"/>
      <c r="AB53" s="482"/>
      <c r="AC53" s="482"/>
      <c r="AD53" s="482"/>
      <c r="AE53" s="482"/>
      <c r="AF53" s="482"/>
      <c r="AG53" s="482"/>
      <c r="AH53" s="482"/>
      <c r="AI53" s="482"/>
      <c r="AJ53" s="482"/>
      <c r="AK53" s="482"/>
      <c r="AL53" s="482"/>
      <c r="AM53" s="536"/>
      <c r="AN53" s="832"/>
      <c r="AO53" s="482"/>
      <c r="AP53" s="482"/>
      <c r="AQ53" s="482"/>
      <c r="AR53" s="482"/>
      <c r="AS53" s="482"/>
      <c r="AT53" s="482"/>
      <c r="AU53" s="482"/>
      <c r="AV53" s="482"/>
      <c r="AW53" s="778"/>
      <c r="AX53" s="779"/>
      <c r="AY53" s="780"/>
    </row>
    <row r="54">
      <c r="A54" s="776"/>
      <c r="B54" s="538"/>
      <c r="C54" s="131" t="s">
        <v>786</v>
      </c>
      <c r="F54" s="533"/>
      <c r="G54" s="534"/>
      <c r="H54" s="680"/>
      <c r="I54" s="482"/>
      <c r="J54" s="482"/>
      <c r="K54" s="482"/>
      <c r="L54" s="482"/>
      <c r="M54" s="482"/>
      <c r="N54" s="482"/>
      <c r="O54" s="482"/>
      <c r="P54" s="482"/>
      <c r="Q54" s="132"/>
      <c r="R54" s="482"/>
      <c r="S54" s="482"/>
      <c r="T54" s="482"/>
      <c r="U54" s="482"/>
      <c r="V54" s="482"/>
      <c r="W54" s="482"/>
      <c r="X54" s="482"/>
      <c r="Y54" s="482"/>
      <c r="Z54" s="482"/>
      <c r="AA54" s="482"/>
      <c r="AB54" s="482"/>
      <c r="AC54" s="482"/>
      <c r="AD54" s="482"/>
      <c r="AE54" s="482"/>
      <c r="AF54" s="482"/>
      <c r="AG54" s="482"/>
      <c r="AH54" s="482"/>
      <c r="AI54" s="482"/>
      <c r="AJ54" s="482"/>
      <c r="AK54" s="482"/>
      <c r="AL54" s="482"/>
      <c r="AM54" s="482"/>
      <c r="AN54" s="482"/>
      <c r="AO54" s="482"/>
      <c r="AP54" s="482"/>
      <c r="AQ54" s="482"/>
      <c r="AR54" s="482"/>
      <c r="AS54" s="482"/>
      <c r="AT54" s="482"/>
      <c r="AU54" s="482"/>
      <c r="AV54" s="482"/>
      <c r="AW54" s="778"/>
      <c r="AX54" s="779"/>
      <c r="AY54" s="780"/>
    </row>
    <row r="55">
      <c r="A55" s="776"/>
      <c r="B55" s="538"/>
      <c r="C55" s="538"/>
      <c r="D55" s="538"/>
      <c r="E55" s="800" t="s">
        <v>787</v>
      </c>
      <c r="F55" s="544" t="s">
        <v>72</v>
      </c>
      <c r="G55" s="545" t="s">
        <v>165</v>
      </c>
      <c r="H55" s="769">
        <v>5.9E-4</v>
      </c>
      <c r="I55" s="491" t="s">
        <v>162</v>
      </c>
      <c r="J55" s="491" t="s">
        <v>162</v>
      </c>
      <c r="K55" s="491" t="s">
        <v>162</v>
      </c>
      <c r="L55" s="491" t="s">
        <v>162</v>
      </c>
      <c r="M55" s="491" t="s">
        <v>162</v>
      </c>
      <c r="N55" s="491" t="s">
        <v>162</v>
      </c>
      <c r="O55" s="491" t="s">
        <v>162</v>
      </c>
      <c r="P55" s="491" t="s">
        <v>162</v>
      </c>
      <c r="Q55" s="184" t="s">
        <v>162</v>
      </c>
      <c r="R55" s="491" t="s">
        <v>162</v>
      </c>
      <c r="S55" s="491" t="s">
        <v>162</v>
      </c>
      <c r="T55" s="491" t="s">
        <v>162</v>
      </c>
      <c r="U55" s="491" t="s">
        <v>162</v>
      </c>
      <c r="V55" s="491" t="s">
        <v>162</v>
      </c>
      <c r="W55" s="491" t="s">
        <v>162</v>
      </c>
      <c r="X55" s="491" t="s">
        <v>162</v>
      </c>
      <c r="Y55" s="491" t="s">
        <v>162</v>
      </c>
      <c r="Z55" s="491" t="s">
        <v>162</v>
      </c>
      <c r="AA55" s="491" t="s">
        <v>162</v>
      </c>
      <c r="AB55" s="491" t="s">
        <v>162</v>
      </c>
      <c r="AC55" s="491" t="s">
        <v>162</v>
      </c>
      <c r="AD55" s="491" t="s">
        <v>162</v>
      </c>
      <c r="AE55" s="491" t="s">
        <v>162</v>
      </c>
      <c r="AF55" s="491" t="s">
        <v>162</v>
      </c>
      <c r="AG55" s="491" t="s">
        <v>162</v>
      </c>
      <c r="AH55" s="491" t="s">
        <v>162</v>
      </c>
      <c r="AI55" s="491" t="s">
        <v>162</v>
      </c>
      <c r="AJ55" s="491" t="s">
        <v>162</v>
      </c>
      <c r="AK55" s="491" t="s">
        <v>162</v>
      </c>
      <c r="AL55" s="491" t="s">
        <v>162</v>
      </c>
      <c r="AM55" s="491" t="s">
        <v>162</v>
      </c>
      <c r="AN55" s="491" t="s">
        <v>162</v>
      </c>
      <c r="AO55" s="491" t="s">
        <v>162</v>
      </c>
      <c r="AP55" s="491" t="s">
        <v>162</v>
      </c>
      <c r="AQ55" s="491" t="s">
        <v>162</v>
      </c>
      <c r="AR55" s="491" t="s">
        <v>162</v>
      </c>
      <c r="AS55" s="491" t="s">
        <v>162</v>
      </c>
      <c r="AT55" s="491" t="s">
        <v>162</v>
      </c>
      <c r="AU55" s="491" t="s">
        <v>162</v>
      </c>
      <c r="AV55" s="491" t="s">
        <v>162</v>
      </c>
      <c r="AW55" s="804"/>
      <c r="AX55" s="805" t="s">
        <v>977</v>
      </c>
      <c r="AY55" s="770" t="s">
        <v>99</v>
      </c>
    </row>
    <row r="56">
      <c r="A56" s="776"/>
      <c r="B56" s="538"/>
      <c r="C56" s="538"/>
      <c r="D56" s="538"/>
      <c r="E56" s="777"/>
      <c r="F56" s="833"/>
      <c r="G56" s="534"/>
      <c r="H56" s="680"/>
      <c r="I56" s="482"/>
      <c r="J56" s="482"/>
      <c r="K56" s="482"/>
      <c r="L56" s="482"/>
      <c r="M56" s="482"/>
      <c r="N56" s="482"/>
      <c r="O56" s="482"/>
      <c r="P56" s="482"/>
      <c r="Q56" s="132"/>
      <c r="R56" s="482"/>
      <c r="S56" s="482"/>
      <c r="T56" s="482"/>
      <c r="U56" s="482"/>
      <c r="V56" s="482"/>
      <c r="W56" s="482"/>
      <c r="X56" s="482"/>
      <c r="Y56" s="482"/>
      <c r="Z56" s="482"/>
      <c r="AA56" s="482"/>
      <c r="AB56" s="482"/>
      <c r="AC56" s="482"/>
      <c r="AD56" s="482"/>
      <c r="AE56" s="482"/>
      <c r="AF56" s="482"/>
      <c r="AG56" s="482"/>
      <c r="AH56" s="482"/>
      <c r="AI56" s="482"/>
      <c r="AJ56" s="482"/>
      <c r="AK56" s="482"/>
      <c r="AL56" s="482"/>
      <c r="AM56" s="482"/>
      <c r="AN56" s="482"/>
      <c r="AO56" s="482"/>
      <c r="AP56" s="482"/>
      <c r="AQ56" s="482"/>
      <c r="AR56" s="482"/>
      <c r="AS56" s="482"/>
      <c r="AT56" s="482"/>
      <c r="AU56" s="482"/>
      <c r="AV56" s="482"/>
      <c r="AW56" s="778"/>
      <c r="AX56" s="779"/>
      <c r="AY56" s="780"/>
    </row>
    <row r="57">
      <c r="A57" s="538"/>
      <c r="B57" s="538"/>
      <c r="C57" s="131" t="s">
        <v>990</v>
      </c>
      <c r="F57" s="533"/>
      <c r="G57" s="533"/>
      <c r="H57" s="680"/>
      <c r="I57" s="482"/>
      <c r="J57" s="482"/>
      <c r="K57" s="482"/>
      <c r="L57" s="482"/>
      <c r="M57" s="482"/>
      <c r="N57" s="482"/>
      <c r="O57" s="482"/>
      <c r="P57" s="482"/>
      <c r="Q57" s="132"/>
      <c r="R57" s="482"/>
      <c r="S57" s="482"/>
      <c r="T57" s="482"/>
      <c r="U57" s="482"/>
      <c r="V57" s="482"/>
      <c r="W57" s="482"/>
      <c r="X57" s="482"/>
      <c r="Y57" s="482"/>
      <c r="Z57" s="482"/>
      <c r="AA57" s="482"/>
      <c r="AB57" s="482"/>
      <c r="AC57" s="482"/>
      <c r="AD57" s="482"/>
      <c r="AE57" s="482"/>
      <c r="AF57" s="482"/>
      <c r="AG57" s="482"/>
      <c r="AH57" s="482"/>
      <c r="AI57" s="482"/>
      <c r="AJ57" s="482"/>
      <c r="AK57" s="482"/>
      <c r="AL57" s="482"/>
      <c r="AM57" s="482"/>
      <c r="AN57" s="482"/>
      <c r="AO57" s="482"/>
      <c r="AP57" s="482"/>
      <c r="AQ57" s="482"/>
      <c r="AR57" s="482"/>
      <c r="AS57" s="482"/>
      <c r="AT57" s="482"/>
      <c r="AU57" s="482"/>
      <c r="AV57" s="482"/>
      <c r="AW57" s="778"/>
      <c r="AX57" s="779"/>
      <c r="AY57" s="780"/>
    </row>
    <row r="58">
      <c r="A58" s="776"/>
      <c r="B58" s="538"/>
      <c r="C58" s="538"/>
      <c r="D58" s="538"/>
      <c r="E58" s="782" t="s">
        <v>795</v>
      </c>
      <c r="F58" s="539" t="s">
        <v>72</v>
      </c>
      <c r="G58" s="540" t="s">
        <v>165</v>
      </c>
      <c r="H58" s="808" t="s">
        <v>162</v>
      </c>
      <c r="I58" s="820">
        <v>0.491</v>
      </c>
      <c r="J58" s="820">
        <v>0.59</v>
      </c>
      <c r="K58" s="820">
        <v>0.635</v>
      </c>
      <c r="L58" s="820">
        <f t="shared" ref="L58:L66" si="1">AG58</f>
        <v>0.781</v>
      </c>
      <c r="M58" s="820">
        <v>0.603</v>
      </c>
      <c r="N58" s="820">
        <v>0.569</v>
      </c>
      <c r="O58" s="820">
        <v>0.636</v>
      </c>
      <c r="P58" s="820">
        <v>0.337</v>
      </c>
      <c r="Q58" s="821">
        <v>0.508</v>
      </c>
      <c r="R58" s="820">
        <v>0.905</v>
      </c>
      <c r="S58" s="820">
        <v>0.836</v>
      </c>
      <c r="T58" s="820">
        <v>0.856</v>
      </c>
      <c r="U58" s="820">
        <v>0.844</v>
      </c>
      <c r="V58" s="820">
        <v>0.789</v>
      </c>
      <c r="W58" s="820">
        <v>0.817</v>
      </c>
      <c r="X58" s="820">
        <v>0.648</v>
      </c>
      <c r="Y58" s="820">
        <v>0.931</v>
      </c>
      <c r="Z58" s="820">
        <v>0.835</v>
      </c>
      <c r="AA58" s="820">
        <v>0.993</v>
      </c>
      <c r="AB58" s="820">
        <v>0.923</v>
      </c>
      <c r="AC58" s="820">
        <v>0.99</v>
      </c>
      <c r="AD58" s="820">
        <v>0.991</v>
      </c>
      <c r="AE58" s="820">
        <v>0.952</v>
      </c>
      <c r="AF58" s="820">
        <v>0.947</v>
      </c>
      <c r="AG58" s="820">
        <v>0.781</v>
      </c>
      <c r="AH58" s="820">
        <v>0.923</v>
      </c>
      <c r="AI58" s="820">
        <v>0.723</v>
      </c>
      <c r="AJ58" s="820">
        <v>0.944</v>
      </c>
      <c r="AK58" s="820">
        <v>0.792</v>
      </c>
      <c r="AL58" s="820">
        <v>0.667</v>
      </c>
      <c r="AM58" s="820">
        <v>0.667</v>
      </c>
      <c r="AN58" s="820">
        <v>0.667</v>
      </c>
      <c r="AO58" s="820">
        <v>0.723</v>
      </c>
      <c r="AP58" s="820">
        <v>0.751</v>
      </c>
      <c r="AQ58" s="820">
        <v>0.93</v>
      </c>
      <c r="AR58" s="820">
        <v>0.825</v>
      </c>
      <c r="AS58" s="820">
        <v>0.877</v>
      </c>
      <c r="AT58" s="820">
        <v>0.903</v>
      </c>
      <c r="AU58" s="820">
        <v>0.711</v>
      </c>
      <c r="AV58" s="820">
        <v>0.752</v>
      </c>
      <c r="AW58" s="784"/>
      <c r="AX58" s="809" t="s">
        <v>991</v>
      </c>
      <c r="AY58" s="786"/>
    </row>
    <row r="59">
      <c r="A59" s="776"/>
      <c r="B59" s="538"/>
      <c r="C59" s="538"/>
      <c r="D59" s="538"/>
      <c r="E59" s="475" t="s">
        <v>796</v>
      </c>
      <c r="F59" s="554" t="s">
        <v>72</v>
      </c>
      <c r="G59" s="555" t="s">
        <v>165</v>
      </c>
      <c r="H59" s="811" t="s">
        <v>162</v>
      </c>
      <c r="I59" s="567">
        <v>0.423</v>
      </c>
      <c r="J59" s="567">
        <v>0.542</v>
      </c>
      <c r="K59" s="567">
        <v>0.614</v>
      </c>
      <c r="L59" s="820">
        <f t="shared" si="1"/>
        <v>0.726</v>
      </c>
      <c r="M59" s="567">
        <v>0.549</v>
      </c>
      <c r="N59" s="567">
        <v>0.53</v>
      </c>
      <c r="O59" s="567">
        <v>0.595</v>
      </c>
      <c r="P59" s="567">
        <v>0.288</v>
      </c>
      <c r="Q59" s="826">
        <v>0.45</v>
      </c>
      <c r="R59" s="567">
        <v>0.882</v>
      </c>
      <c r="S59" s="567">
        <v>0.75</v>
      </c>
      <c r="T59" s="567">
        <v>0.862</v>
      </c>
      <c r="U59" s="567">
        <v>0.829</v>
      </c>
      <c r="V59" s="567">
        <v>0.775</v>
      </c>
      <c r="W59" s="567">
        <v>0.808</v>
      </c>
      <c r="X59" s="567">
        <v>0.579</v>
      </c>
      <c r="Y59" s="567">
        <v>0.931</v>
      </c>
      <c r="Z59" s="567">
        <v>0.81</v>
      </c>
      <c r="AA59" s="567">
        <v>0.991</v>
      </c>
      <c r="AB59" s="567">
        <v>0.922</v>
      </c>
      <c r="AC59" s="567">
        <v>0.946</v>
      </c>
      <c r="AD59" s="567">
        <v>0.985</v>
      </c>
      <c r="AE59" s="567">
        <v>0.905</v>
      </c>
      <c r="AF59" s="567">
        <v>0.941</v>
      </c>
      <c r="AG59" s="567">
        <v>0.726</v>
      </c>
      <c r="AH59" s="567">
        <v>0.862</v>
      </c>
      <c r="AI59" s="567">
        <v>0.663</v>
      </c>
      <c r="AJ59" s="567">
        <v>0.924</v>
      </c>
      <c r="AK59" s="567">
        <v>0.719</v>
      </c>
      <c r="AL59" s="567">
        <v>0.621</v>
      </c>
      <c r="AM59" s="567">
        <v>0.621</v>
      </c>
      <c r="AN59" s="567">
        <v>0.621</v>
      </c>
      <c r="AO59" s="567">
        <v>0.667</v>
      </c>
      <c r="AP59" s="567">
        <v>0.734</v>
      </c>
      <c r="AQ59" s="567">
        <v>0.914</v>
      </c>
      <c r="AR59" s="567">
        <v>0.756</v>
      </c>
      <c r="AS59" s="567">
        <v>0.8</v>
      </c>
      <c r="AT59" s="567">
        <v>0.896</v>
      </c>
      <c r="AU59" s="567">
        <v>0.715</v>
      </c>
      <c r="AV59" s="567">
        <v>0.738</v>
      </c>
      <c r="AW59" s="788"/>
      <c r="AX59" s="809" t="s">
        <v>991</v>
      </c>
      <c r="AY59" s="790"/>
    </row>
    <row r="60">
      <c r="A60" s="776"/>
      <c r="B60" s="538"/>
      <c r="C60" s="538"/>
      <c r="D60" s="538"/>
      <c r="E60" s="475" t="s">
        <v>797</v>
      </c>
      <c r="F60" s="554" t="s">
        <v>72</v>
      </c>
      <c r="G60" s="555" t="s">
        <v>165</v>
      </c>
      <c r="H60" s="811" t="s">
        <v>162</v>
      </c>
      <c r="I60" s="567">
        <v>0.376</v>
      </c>
      <c r="J60" s="567">
        <v>0.512</v>
      </c>
      <c r="K60" s="567">
        <v>0.564</v>
      </c>
      <c r="L60" s="820">
        <f t="shared" si="1"/>
        <v>0.665</v>
      </c>
      <c r="M60" s="567">
        <v>0.47</v>
      </c>
      <c r="N60" s="567">
        <v>0.466</v>
      </c>
      <c r="O60" s="567">
        <v>0.584</v>
      </c>
      <c r="P60" s="567">
        <v>0.184</v>
      </c>
      <c r="Q60" s="826">
        <v>0.353</v>
      </c>
      <c r="R60" s="567">
        <v>0.86</v>
      </c>
      <c r="S60" s="567">
        <v>0.666</v>
      </c>
      <c r="T60" s="567">
        <v>0.823</v>
      </c>
      <c r="U60" s="567">
        <v>0.754</v>
      </c>
      <c r="V60" s="567">
        <v>0.76</v>
      </c>
      <c r="W60" s="567">
        <v>0.745</v>
      </c>
      <c r="X60" s="567">
        <v>0.453</v>
      </c>
      <c r="Y60" s="567">
        <v>0.918</v>
      </c>
      <c r="Z60" s="567">
        <v>0.755</v>
      </c>
      <c r="AA60" s="567">
        <v>0.99</v>
      </c>
      <c r="AB60" s="567">
        <v>0.908</v>
      </c>
      <c r="AC60" s="567">
        <v>0.943</v>
      </c>
      <c r="AD60" s="567">
        <v>0.967</v>
      </c>
      <c r="AE60" s="567">
        <v>0.872</v>
      </c>
      <c r="AF60" s="567">
        <v>0.932</v>
      </c>
      <c r="AG60" s="567">
        <v>0.665</v>
      </c>
      <c r="AH60" s="567">
        <v>0.74</v>
      </c>
      <c r="AI60" s="567">
        <v>0.641</v>
      </c>
      <c r="AJ60" s="567">
        <v>0.901</v>
      </c>
      <c r="AK60" s="567">
        <v>0.647</v>
      </c>
      <c r="AL60" s="567">
        <v>0.497</v>
      </c>
      <c r="AM60" s="567">
        <v>0.497</v>
      </c>
      <c r="AN60" s="567">
        <v>0.497</v>
      </c>
      <c r="AO60" s="567">
        <v>0.58</v>
      </c>
      <c r="AP60" s="567">
        <v>0.682</v>
      </c>
      <c r="AQ60" s="567">
        <v>0.882</v>
      </c>
      <c r="AR60" s="567">
        <v>0.642</v>
      </c>
      <c r="AS60" s="567">
        <v>0.779</v>
      </c>
      <c r="AT60" s="567">
        <v>0.871</v>
      </c>
      <c r="AU60" s="567">
        <v>0.653</v>
      </c>
      <c r="AV60" s="567">
        <v>0.712</v>
      </c>
      <c r="AW60" s="788"/>
      <c r="AX60" s="809" t="s">
        <v>991</v>
      </c>
      <c r="AY60" s="790"/>
    </row>
    <row r="61">
      <c r="A61" s="776"/>
      <c r="B61" s="538"/>
      <c r="C61" s="538"/>
      <c r="D61" s="538"/>
      <c r="E61" s="475" t="s">
        <v>798</v>
      </c>
      <c r="F61" s="554" t="s">
        <v>72</v>
      </c>
      <c r="G61" s="555" t="s">
        <v>165</v>
      </c>
      <c r="H61" s="811" t="s">
        <v>162</v>
      </c>
      <c r="I61" s="567">
        <v>0.313</v>
      </c>
      <c r="J61" s="567">
        <v>0.38</v>
      </c>
      <c r="K61" s="567">
        <v>0.488</v>
      </c>
      <c r="L61" s="820">
        <f t="shared" si="1"/>
        <v>0.603</v>
      </c>
      <c r="M61" s="567">
        <v>0.424</v>
      </c>
      <c r="N61" s="567">
        <v>0.412</v>
      </c>
      <c r="O61" s="567">
        <v>0.551</v>
      </c>
      <c r="P61" s="567">
        <v>0.115</v>
      </c>
      <c r="Q61" s="826">
        <v>0.248</v>
      </c>
      <c r="R61" s="567">
        <v>0.75</v>
      </c>
      <c r="S61" s="567">
        <v>0.539</v>
      </c>
      <c r="T61" s="567">
        <v>0.731</v>
      </c>
      <c r="U61" s="567">
        <v>0.736</v>
      </c>
      <c r="V61" s="567">
        <v>0.702</v>
      </c>
      <c r="W61" s="567">
        <v>0.628</v>
      </c>
      <c r="X61" s="567">
        <v>0.301</v>
      </c>
      <c r="Y61" s="567">
        <v>0.75</v>
      </c>
      <c r="Z61" s="567">
        <v>0.699</v>
      </c>
      <c r="AA61" s="567">
        <v>0.987</v>
      </c>
      <c r="AB61" s="567">
        <v>0.827</v>
      </c>
      <c r="AC61" s="567">
        <v>0.849</v>
      </c>
      <c r="AD61" s="567">
        <v>0.908</v>
      </c>
      <c r="AE61" s="567">
        <v>0.796</v>
      </c>
      <c r="AF61" s="567">
        <v>0.888</v>
      </c>
      <c r="AG61" s="567">
        <v>0.603</v>
      </c>
      <c r="AH61" s="567">
        <v>0.632</v>
      </c>
      <c r="AI61" s="567">
        <v>0.551</v>
      </c>
      <c r="AJ61" s="567">
        <v>0.847</v>
      </c>
      <c r="AK61" s="567">
        <v>0.54</v>
      </c>
      <c r="AL61" s="567">
        <v>0.394</v>
      </c>
      <c r="AM61" s="567">
        <v>0.394</v>
      </c>
      <c r="AN61" s="567">
        <v>0.394</v>
      </c>
      <c r="AO61" s="567">
        <v>0.413</v>
      </c>
      <c r="AP61" s="567">
        <v>0.626</v>
      </c>
      <c r="AQ61" s="567">
        <v>0.815</v>
      </c>
      <c r="AR61" s="567">
        <v>0.569</v>
      </c>
      <c r="AS61" s="567">
        <v>0.654</v>
      </c>
      <c r="AT61" s="567">
        <v>0.781</v>
      </c>
      <c r="AU61" s="567">
        <v>0.524</v>
      </c>
      <c r="AV61" s="567">
        <v>0.642</v>
      </c>
      <c r="AW61" s="788"/>
      <c r="AX61" s="809" t="s">
        <v>991</v>
      </c>
      <c r="AY61" s="790"/>
    </row>
    <row r="62">
      <c r="A62" s="776"/>
      <c r="B62" s="538"/>
      <c r="C62" s="538"/>
      <c r="D62" s="538"/>
      <c r="E62" s="782" t="s">
        <v>799</v>
      </c>
      <c r="F62" s="539" t="s">
        <v>72</v>
      </c>
      <c r="G62" s="540" t="s">
        <v>165</v>
      </c>
      <c r="H62" s="808" t="s">
        <v>162</v>
      </c>
      <c r="I62" s="820">
        <v>0.415</v>
      </c>
      <c r="J62" s="820">
        <v>0.522</v>
      </c>
      <c r="K62" s="820">
        <v>0.606</v>
      </c>
      <c r="L62" s="820">
        <f t="shared" si="1"/>
        <v>0.72</v>
      </c>
      <c r="M62" s="820">
        <v>0.544</v>
      </c>
      <c r="N62" s="820">
        <v>0.518</v>
      </c>
      <c r="O62" s="820">
        <v>0.596</v>
      </c>
      <c r="P62" s="820">
        <v>0.218</v>
      </c>
      <c r="Q62" s="821">
        <v>0.459</v>
      </c>
      <c r="R62" s="820">
        <v>0.888</v>
      </c>
      <c r="S62" s="820">
        <v>0.747</v>
      </c>
      <c r="T62" s="820">
        <v>0.843</v>
      </c>
      <c r="U62" s="820">
        <v>0.829</v>
      </c>
      <c r="V62" s="820">
        <v>0.771</v>
      </c>
      <c r="W62" s="820">
        <v>0.788</v>
      </c>
      <c r="X62" s="820">
        <v>0.539</v>
      </c>
      <c r="Y62" s="820">
        <v>0.931</v>
      </c>
      <c r="Z62" s="820">
        <v>0.792</v>
      </c>
      <c r="AA62" s="820">
        <v>0.992</v>
      </c>
      <c r="AB62" s="820">
        <v>0.895</v>
      </c>
      <c r="AC62" s="820">
        <v>0.956</v>
      </c>
      <c r="AD62" s="820">
        <v>0.985</v>
      </c>
      <c r="AE62" s="820">
        <v>0.913</v>
      </c>
      <c r="AF62" s="820">
        <v>0.935</v>
      </c>
      <c r="AG62" s="820">
        <v>0.72</v>
      </c>
      <c r="AH62" s="820">
        <v>0.847</v>
      </c>
      <c r="AI62" s="820">
        <v>0.636</v>
      </c>
      <c r="AJ62" s="820">
        <v>0.924</v>
      </c>
      <c r="AK62" s="820">
        <v>0.709</v>
      </c>
      <c r="AL62" s="820">
        <v>0.575</v>
      </c>
      <c r="AM62" s="820">
        <v>0.575</v>
      </c>
      <c r="AN62" s="820">
        <v>0.575</v>
      </c>
      <c r="AO62" s="820">
        <v>0.647</v>
      </c>
      <c r="AP62" s="820">
        <v>0.721</v>
      </c>
      <c r="AQ62" s="820">
        <v>0.906</v>
      </c>
      <c r="AR62" s="820">
        <v>0.751</v>
      </c>
      <c r="AS62" s="820">
        <v>0.786</v>
      </c>
      <c r="AT62" s="820">
        <v>0.895</v>
      </c>
      <c r="AU62" s="820">
        <v>0.708</v>
      </c>
      <c r="AV62" s="820">
        <v>0.72</v>
      </c>
      <c r="AW62" s="784"/>
      <c r="AX62" s="809" t="s">
        <v>991</v>
      </c>
      <c r="AY62" s="786"/>
    </row>
    <row r="63">
      <c r="A63" s="776"/>
      <c r="B63" s="538"/>
      <c r="C63" s="538"/>
      <c r="D63" s="538"/>
      <c r="E63" s="475" t="s">
        <v>800</v>
      </c>
      <c r="F63" s="554" t="s">
        <v>72</v>
      </c>
      <c r="G63" s="555" t="s">
        <v>165</v>
      </c>
      <c r="H63" s="811" t="s">
        <v>162</v>
      </c>
      <c r="I63" s="567">
        <v>0.38</v>
      </c>
      <c r="J63" s="567">
        <v>0.467</v>
      </c>
      <c r="K63" s="567">
        <v>0.555</v>
      </c>
      <c r="L63" s="820">
        <f t="shared" si="1"/>
        <v>0.647</v>
      </c>
      <c r="M63" s="567">
        <v>0.466</v>
      </c>
      <c r="N63" s="567">
        <v>0.439</v>
      </c>
      <c r="O63" s="567">
        <v>0.569</v>
      </c>
      <c r="P63" s="567">
        <v>0.142</v>
      </c>
      <c r="Q63" s="826">
        <v>0.355</v>
      </c>
      <c r="R63" s="567">
        <v>0.851</v>
      </c>
      <c r="S63" s="567">
        <v>0.669</v>
      </c>
      <c r="T63" s="567">
        <v>0.816</v>
      </c>
      <c r="U63" s="567">
        <v>0.75</v>
      </c>
      <c r="V63" s="567">
        <v>0.751</v>
      </c>
      <c r="W63" s="567">
        <v>0.711</v>
      </c>
      <c r="X63" s="567">
        <v>0.378</v>
      </c>
      <c r="Y63" s="567">
        <v>0.918</v>
      </c>
      <c r="Z63" s="567">
        <v>0.734</v>
      </c>
      <c r="AA63" s="567">
        <v>0.99</v>
      </c>
      <c r="AB63" s="567">
        <v>0.855</v>
      </c>
      <c r="AC63" s="567">
        <v>0.895</v>
      </c>
      <c r="AD63" s="567">
        <v>0.959</v>
      </c>
      <c r="AE63" s="567">
        <v>0.872</v>
      </c>
      <c r="AF63" s="567">
        <v>0.912</v>
      </c>
      <c r="AG63" s="567">
        <v>0.647</v>
      </c>
      <c r="AH63" s="567">
        <v>0.719</v>
      </c>
      <c r="AI63" s="567">
        <v>0.607</v>
      </c>
      <c r="AJ63" s="567">
        <v>0.886</v>
      </c>
      <c r="AK63" s="567">
        <v>0.634</v>
      </c>
      <c r="AL63" s="567">
        <v>0.498</v>
      </c>
      <c r="AM63" s="567">
        <v>0.498</v>
      </c>
      <c r="AN63" s="567">
        <v>0.498</v>
      </c>
      <c r="AO63" s="567">
        <v>0.566</v>
      </c>
      <c r="AP63" s="567">
        <v>0.656</v>
      </c>
      <c r="AQ63" s="567">
        <v>0.828</v>
      </c>
      <c r="AR63" s="567">
        <v>0.626</v>
      </c>
      <c r="AS63" s="567">
        <v>0.687</v>
      </c>
      <c r="AT63" s="567">
        <v>0.853</v>
      </c>
      <c r="AU63" s="567">
        <v>0.619</v>
      </c>
      <c r="AV63" s="567">
        <v>0.681</v>
      </c>
      <c r="AW63" s="788"/>
      <c r="AX63" s="809" t="s">
        <v>991</v>
      </c>
      <c r="AY63" s="790"/>
    </row>
    <row r="64">
      <c r="A64" s="776"/>
      <c r="B64" s="538"/>
      <c r="C64" s="538"/>
      <c r="D64" s="538"/>
      <c r="E64" s="475" t="s">
        <v>801</v>
      </c>
      <c r="F64" s="554" t="s">
        <v>72</v>
      </c>
      <c r="G64" s="555" t="s">
        <v>165</v>
      </c>
      <c r="H64" s="811" t="s">
        <v>162</v>
      </c>
      <c r="I64" s="567">
        <v>0.313</v>
      </c>
      <c r="J64" s="567">
        <v>0.369</v>
      </c>
      <c r="K64" s="567">
        <v>0.483</v>
      </c>
      <c r="L64" s="820">
        <f t="shared" si="1"/>
        <v>0.59</v>
      </c>
      <c r="M64" s="567">
        <v>0.399</v>
      </c>
      <c r="N64" s="567">
        <v>0.391</v>
      </c>
      <c r="O64" s="567">
        <v>0.539</v>
      </c>
      <c r="P64" s="567">
        <v>0.1</v>
      </c>
      <c r="Q64" s="826">
        <v>0.268</v>
      </c>
      <c r="R64" s="567">
        <v>0.665</v>
      </c>
      <c r="S64" s="567">
        <v>0.538</v>
      </c>
      <c r="T64" s="567">
        <v>0.705</v>
      </c>
      <c r="U64" s="567">
        <v>0.736</v>
      </c>
      <c r="V64" s="567">
        <v>0.665</v>
      </c>
      <c r="W64" s="567">
        <v>0.563</v>
      </c>
      <c r="X64" s="567">
        <v>0.305</v>
      </c>
      <c r="Y64" s="567">
        <v>0.732</v>
      </c>
      <c r="Z64" s="567">
        <v>0.693</v>
      </c>
      <c r="AA64" s="567">
        <v>0.987</v>
      </c>
      <c r="AB64" s="567">
        <v>0.774</v>
      </c>
      <c r="AC64" s="567">
        <v>0.83</v>
      </c>
      <c r="AD64" s="567">
        <v>0.906</v>
      </c>
      <c r="AE64" s="567">
        <v>0.796</v>
      </c>
      <c r="AF64" s="567">
        <v>0.855</v>
      </c>
      <c r="AG64" s="567">
        <v>0.59</v>
      </c>
      <c r="AH64" s="567">
        <v>0.621</v>
      </c>
      <c r="AI64" s="567">
        <v>0.532</v>
      </c>
      <c r="AJ64" s="567">
        <v>0.799</v>
      </c>
      <c r="AK64" s="567">
        <v>0.507</v>
      </c>
      <c r="AL64" s="567">
        <v>0.396</v>
      </c>
      <c r="AM64" s="567">
        <v>0.396</v>
      </c>
      <c r="AN64" s="567">
        <v>0.396</v>
      </c>
      <c r="AO64" s="567">
        <v>0.396</v>
      </c>
      <c r="AP64" s="567">
        <v>0.61</v>
      </c>
      <c r="AQ64" s="567">
        <v>0.689</v>
      </c>
      <c r="AR64" s="567">
        <v>0.57</v>
      </c>
      <c r="AS64" s="567">
        <v>0.61</v>
      </c>
      <c r="AT64" s="567">
        <v>0.789</v>
      </c>
      <c r="AU64" s="567">
        <v>0.504</v>
      </c>
      <c r="AV64" s="567">
        <v>0.631</v>
      </c>
      <c r="AW64" s="788"/>
      <c r="AX64" s="809" t="s">
        <v>991</v>
      </c>
      <c r="AY64" s="790"/>
    </row>
    <row r="65">
      <c r="A65" s="776"/>
      <c r="B65" s="538"/>
      <c r="C65" s="538"/>
      <c r="D65" s="538"/>
      <c r="E65" s="475" t="s">
        <v>802</v>
      </c>
      <c r="F65" s="554" t="s">
        <v>72</v>
      </c>
      <c r="G65" s="555" t="s">
        <v>165</v>
      </c>
      <c r="H65" s="811" t="s">
        <v>162</v>
      </c>
      <c r="I65" s="567">
        <v>0.308</v>
      </c>
      <c r="J65" s="567">
        <v>0.367</v>
      </c>
      <c r="K65" s="567">
        <v>0.559</v>
      </c>
      <c r="L65" s="820">
        <f t="shared" si="1"/>
        <v>0.567</v>
      </c>
      <c r="M65" s="567">
        <v>0.405</v>
      </c>
      <c r="N65" s="567">
        <v>0.437</v>
      </c>
      <c r="O65" s="567">
        <v>0.632</v>
      </c>
      <c r="P65" s="567">
        <v>0.191</v>
      </c>
      <c r="Q65" s="826">
        <v>0.46</v>
      </c>
      <c r="R65" s="567">
        <v>0.749</v>
      </c>
      <c r="S65" s="567">
        <v>0.613</v>
      </c>
      <c r="T65" s="567">
        <v>0.72</v>
      </c>
      <c r="U65" s="567">
        <v>0.671</v>
      </c>
      <c r="V65" s="567">
        <v>0.664</v>
      </c>
      <c r="W65" s="567">
        <v>0.68</v>
      </c>
      <c r="X65" s="567">
        <v>0.387</v>
      </c>
      <c r="Y65" s="567">
        <v>0.796</v>
      </c>
      <c r="Z65" s="567">
        <v>0.732</v>
      </c>
      <c r="AA65" s="567">
        <v>0.923</v>
      </c>
      <c r="AB65" s="567">
        <v>0.798</v>
      </c>
      <c r="AC65" s="567">
        <v>0.945</v>
      </c>
      <c r="AD65" s="567">
        <v>0.796</v>
      </c>
      <c r="AE65" s="567">
        <v>0.895</v>
      </c>
      <c r="AF65" s="567">
        <v>0.753</v>
      </c>
      <c r="AG65" s="567">
        <v>0.567</v>
      </c>
      <c r="AH65" s="567">
        <v>0.723</v>
      </c>
      <c r="AI65" s="567">
        <v>0.642</v>
      </c>
      <c r="AJ65" s="567">
        <v>0.863</v>
      </c>
      <c r="AK65" s="567">
        <v>0.566</v>
      </c>
      <c r="AL65" s="567">
        <v>0.546</v>
      </c>
      <c r="AM65" s="567">
        <v>0.546</v>
      </c>
      <c r="AN65" s="567">
        <v>0.546</v>
      </c>
      <c r="AO65" s="567">
        <v>0.56</v>
      </c>
      <c r="AP65" s="567">
        <v>0.66</v>
      </c>
      <c r="AQ65" s="567">
        <v>0.804</v>
      </c>
      <c r="AR65" s="567">
        <v>0.611</v>
      </c>
      <c r="AS65" s="567">
        <v>0.703</v>
      </c>
      <c r="AT65" s="567">
        <v>0.846</v>
      </c>
      <c r="AU65" s="567">
        <v>0.654</v>
      </c>
      <c r="AV65" s="567">
        <v>0.713</v>
      </c>
      <c r="AW65" s="788"/>
      <c r="AX65" s="809" t="s">
        <v>991</v>
      </c>
      <c r="AY65" s="790"/>
    </row>
    <row r="66">
      <c r="A66" s="776"/>
      <c r="B66" s="538"/>
      <c r="C66" s="538"/>
      <c r="D66" s="538"/>
      <c r="E66" s="792" t="s">
        <v>803</v>
      </c>
      <c r="F66" s="559" t="s">
        <v>72</v>
      </c>
      <c r="G66" s="560" t="s">
        <v>165</v>
      </c>
      <c r="H66" s="827" t="s">
        <v>162</v>
      </c>
      <c r="I66" s="828">
        <v>0.108</v>
      </c>
      <c r="J66" s="828">
        <v>0.178</v>
      </c>
      <c r="K66" s="828">
        <v>0.327</v>
      </c>
      <c r="L66" s="834">
        <f t="shared" si="1"/>
        <v>0.309</v>
      </c>
      <c r="M66" s="828">
        <v>0.142</v>
      </c>
      <c r="N66" s="828">
        <v>0.247</v>
      </c>
      <c r="O66" s="828">
        <v>0.549</v>
      </c>
      <c r="P66" s="828">
        <v>0.185</v>
      </c>
      <c r="Q66" s="829">
        <v>0.325</v>
      </c>
      <c r="R66" s="828">
        <v>0.609</v>
      </c>
      <c r="S66" s="828">
        <v>0.305</v>
      </c>
      <c r="T66" s="828">
        <v>0.451</v>
      </c>
      <c r="U66" s="828">
        <v>0.648</v>
      </c>
      <c r="V66" s="828">
        <v>0.567</v>
      </c>
      <c r="W66" s="828">
        <v>0.324</v>
      </c>
      <c r="X66" s="828">
        <v>0.175</v>
      </c>
      <c r="Y66" s="828">
        <v>0.534</v>
      </c>
      <c r="Z66" s="828">
        <v>0.511</v>
      </c>
      <c r="AA66" s="828">
        <v>0.664</v>
      </c>
      <c r="AB66" s="828">
        <v>0.491</v>
      </c>
      <c r="AC66" s="828">
        <v>0.655</v>
      </c>
      <c r="AD66" s="828">
        <v>0.655</v>
      </c>
      <c r="AE66" s="828">
        <v>0.463</v>
      </c>
      <c r="AF66" s="828">
        <v>0.405</v>
      </c>
      <c r="AG66" s="828">
        <v>0.309</v>
      </c>
      <c r="AH66" s="828">
        <v>0.571</v>
      </c>
      <c r="AI66" s="828">
        <v>0.34</v>
      </c>
      <c r="AJ66" s="828">
        <v>0.675</v>
      </c>
      <c r="AK66" s="828">
        <v>0.268</v>
      </c>
      <c r="AL66" s="828">
        <v>0.2</v>
      </c>
      <c r="AM66" s="828">
        <f>AL66</f>
        <v>0.2</v>
      </c>
      <c r="AN66" s="828">
        <f>AL66</f>
        <v>0.2</v>
      </c>
      <c r="AO66" s="828">
        <v>0.415</v>
      </c>
      <c r="AP66" s="828">
        <v>0.497</v>
      </c>
      <c r="AQ66" s="828">
        <v>0.542</v>
      </c>
      <c r="AR66" s="828">
        <v>0.443</v>
      </c>
      <c r="AS66" s="828">
        <v>0.26</v>
      </c>
      <c r="AT66" s="828">
        <v>0.536</v>
      </c>
      <c r="AU66" s="828">
        <v>0.386</v>
      </c>
      <c r="AV66" s="828">
        <v>0.484</v>
      </c>
      <c r="AW66" s="794"/>
      <c r="AX66" s="835" t="s">
        <v>991</v>
      </c>
      <c r="AY66" s="796"/>
    </row>
    <row r="67">
      <c r="A67" s="776"/>
      <c r="B67" s="538"/>
      <c r="C67" s="538"/>
      <c r="D67" s="538"/>
      <c r="E67" s="777"/>
      <c r="F67" s="533"/>
      <c r="G67" s="534"/>
      <c r="H67" s="680"/>
      <c r="I67" s="482"/>
      <c r="J67" s="482"/>
      <c r="K67" s="482"/>
      <c r="L67" s="482"/>
      <c r="M67" s="482"/>
      <c r="N67" s="482"/>
      <c r="O67" s="482"/>
      <c r="P67" s="482"/>
      <c r="Q67" s="132"/>
      <c r="R67" s="482"/>
      <c r="S67" s="482"/>
      <c r="T67" s="482"/>
      <c r="U67" s="482"/>
      <c r="V67" s="482"/>
      <c r="W67" s="482"/>
      <c r="X67" s="482"/>
      <c r="Y67" s="482"/>
      <c r="Z67" s="482"/>
      <c r="AA67" s="482"/>
      <c r="AB67" s="482"/>
      <c r="AC67" s="482"/>
      <c r="AD67" s="482"/>
      <c r="AE67" s="482"/>
      <c r="AF67" s="482"/>
      <c r="AG67" s="482"/>
      <c r="AH67" s="482"/>
      <c r="AI67" s="482"/>
      <c r="AJ67" s="482"/>
      <c r="AK67" s="482"/>
      <c r="AL67" s="482"/>
      <c r="AM67" s="482"/>
      <c r="AN67" s="482"/>
      <c r="AO67" s="482"/>
      <c r="AP67" s="482"/>
      <c r="AQ67" s="482"/>
      <c r="AR67" s="482"/>
      <c r="AS67" s="482"/>
      <c r="AT67" s="482"/>
      <c r="AU67" s="482"/>
      <c r="AV67" s="482"/>
      <c r="AW67" s="778"/>
      <c r="AX67" s="779"/>
      <c r="AY67" s="780"/>
    </row>
    <row r="68">
      <c r="A68" s="776"/>
      <c r="B68" s="538"/>
      <c r="C68" s="131" t="s">
        <v>992</v>
      </c>
      <c r="F68" s="533"/>
      <c r="G68" s="534"/>
      <c r="H68" s="680"/>
      <c r="I68" s="482"/>
      <c r="J68" s="482"/>
      <c r="K68" s="482"/>
      <c r="L68" s="482"/>
      <c r="M68" s="482"/>
      <c r="N68" s="482"/>
      <c r="O68" s="482"/>
      <c r="P68" s="482"/>
      <c r="Q68" s="13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c r="AS68" s="482"/>
      <c r="AT68" s="482"/>
      <c r="AU68" s="482"/>
      <c r="AV68" s="482"/>
      <c r="AW68" s="778"/>
      <c r="AX68" s="779"/>
      <c r="AY68" s="780"/>
    </row>
    <row r="69">
      <c r="A69" s="776"/>
      <c r="B69" s="538"/>
      <c r="C69" s="538"/>
      <c r="D69" s="538"/>
      <c r="E69" s="782" t="s">
        <v>819</v>
      </c>
      <c r="F69" s="539" t="s">
        <v>72</v>
      </c>
      <c r="G69" s="540" t="s">
        <v>165</v>
      </c>
      <c r="H69" s="836" t="s">
        <v>162</v>
      </c>
      <c r="I69" s="820">
        <v>0.353</v>
      </c>
      <c r="J69" s="820">
        <v>0.447</v>
      </c>
      <c r="K69" s="820">
        <v>0.195</v>
      </c>
      <c r="L69" s="820">
        <f t="shared" ref="L69:L73" si="2">AG69</f>
        <v>0.437</v>
      </c>
      <c r="M69" s="820">
        <v>0.279</v>
      </c>
      <c r="N69" s="820">
        <v>0.282</v>
      </c>
      <c r="O69" s="820">
        <v>0.202</v>
      </c>
      <c r="P69" s="820">
        <v>0.094</v>
      </c>
      <c r="Q69" s="821">
        <v>0.147</v>
      </c>
      <c r="R69" s="820">
        <v>0.816</v>
      </c>
      <c r="S69" s="820">
        <v>0.566</v>
      </c>
      <c r="T69" s="820">
        <v>0.802</v>
      </c>
      <c r="U69" s="820">
        <v>0.895</v>
      </c>
      <c r="V69" s="820">
        <v>0.612</v>
      </c>
      <c r="W69" s="820">
        <v>0.683</v>
      </c>
      <c r="X69" s="820">
        <v>0.729</v>
      </c>
      <c r="Y69" s="820">
        <v>0.835</v>
      </c>
      <c r="Z69" s="820">
        <v>0.757</v>
      </c>
      <c r="AA69" s="820">
        <v>0.797</v>
      </c>
      <c r="AB69" s="820">
        <v>0.886</v>
      </c>
      <c r="AC69" s="820">
        <v>0.871</v>
      </c>
      <c r="AD69" s="820">
        <v>0.849</v>
      </c>
      <c r="AE69" s="820">
        <v>0.877</v>
      </c>
      <c r="AF69" s="820">
        <v>0.881</v>
      </c>
      <c r="AG69" s="820">
        <v>0.437</v>
      </c>
      <c r="AH69" s="820">
        <v>0.637</v>
      </c>
      <c r="AI69" s="820">
        <v>0.708</v>
      </c>
      <c r="AJ69" s="820">
        <v>0.936</v>
      </c>
      <c r="AK69" s="820">
        <v>0.564</v>
      </c>
      <c r="AL69" s="820">
        <v>0.363</v>
      </c>
      <c r="AM69" s="820">
        <v>0.363</v>
      </c>
      <c r="AN69" s="820">
        <v>0.363</v>
      </c>
      <c r="AO69" s="820">
        <v>0.711</v>
      </c>
      <c r="AP69" s="820">
        <v>0.764</v>
      </c>
      <c r="AQ69" s="820">
        <v>0.831</v>
      </c>
      <c r="AR69" s="820">
        <v>0.691</v>
      </c>
      <c r="AS69" s="820">
        <v>0.699</v>
      </c>
      <c r="AT69" s="820">
        <v>0.82</v>
      </c>
      <c r="AU69" s="820">
        <v>0.359</v>
      </c>
      <c r="AV69" s="820">
        <v>0.175</v>
      </c>
      <c r="AW69" s="784"/>
      <c r="AX69" s="809" t="s">
        <v>993</v>
      </c>
      <c r="AY69" s="786"/>
    </row>
    <row r="70">
      <c r="A70" s="776"/>
      <c r="B70" s="538"/>
      <c r="C70" s="538"/>
      <c r="D70" s="538"/>
      <c r="E70" s="475" t="s">
        <v>820</v>
      </c>
      <c r="F70" s="554" t="s">
        <v>72</v>
      </c>
      <c r="G70" s="555" t="s">
        <v>165</v>
      </c>
      <c r="H70" s="837" t="s">
        <v>162</v>
      </c>
      <c r="I70" s="567">
        <v>0.252</v>
      </c>
      <c r="J70" s="567">
        <v>0.291</v>
      </c>
      <c r="K70" s="567">
        <v>0.09</v>
      </c>
      <c r="L70" s="820">
        <f t="shared" si="2"/>
        <v>0.325</v>
      </c>
      <c r="M70" s="567">
        <v>0.209</v>
      </c>
      <c r="N70" s="567">
        <v>0.183</v>
      </c>
      <c r="O70" s="567">
        <v>0.167</v>
      </c>
      <c r="P70" s="567">
        <v>0.052</v>
      </c>
      <c r="Q70" s="826">
        <v>0.095</v>
      </c>
      <c r="R70" s="567">
        <v>0.686</v>
      </c>
      <c r="S70" s="567">
        <v>0.503</v>
      </c>
      <c r="T70" s="567">
        <v>0.734</v>
      </c>
      <c r="U70" s="567">
        <v>0.824</v>
      </c>
      <c r="V70" s="567">
        <v>0.503</v>
      </c>
      <c r="W70" s="567">
        <v>0.595</v>
      </c>
      <c r="X70" s="567">
        <v>0.639</v>
      </c>
      <c r="Y70" s="567">
        <v>0.769</v>
      </c>
      <c r="Z70" s="567">
        <v>0.637</v>
      </c>
      <c r="AA70" s="567">
        <v>0.662</v>
      </c>
      <c r="AB70" s="567">
        <v>0.861</v>
      </c>
      <c r="AC70" s="567">
        <v>0.801</v>
      </c>
      <c r="AD70" s="567">
        <v>0.786</v>
      </c>
      <c r="AE70" s="567">
        <v>0.719</v>
      </c>
      <c r="AF70" s="567">
        <v>0.717</v>
      </c>
      <c r="AG70" s="567">
        <v>0.325</v>
      </c>
      <c r="AH70" s="567">
        <v>0.476</v>
      </c>
      <c r="AI70" s="567">
        <v>0.613</v>
      </c>
      <c r="AJ70" s="567">
        <v>0.856</v>
      </c>
      <c r="AK70" s="567">
        <v>0.447</v>
      </c>
      <c r="AL70" s="567">
        <v>0.306</v>
      </c>
      <c r="AM70" s="567">
        <v>0.306</v>
      </c>
      <c r="AN70" s="567">
        <v>0.306</v>
      </c>
      <c r="AO70" s="567">
        <v>0.589</v>
      </c>
      <c r="AP70" s="567">
        <v>0.714</v>
      </c>
      <c r="AQ70" s="567">
        <v>0.657</v>
      </c>
      <c r="AR70" s="567">
        <v>0.649</v>
      </c>
      <c r="AS70" s="567">
        <v>0.571</v>
      </c>
      <c r="AT70" s="567">
        <v>0.728</v>
      </c>
      <c r="AU70" s="567">
        <v>0.2</v>
      </c>
      <c r="AV70" s="567">
        <v>0.113</v>
      </c>
      <c r="AW70" s="788"/>
      <c r="AX70" s="809" t="s">
        <v>993</v>
      </c>
      <c r="AY70" s="790"/>
    </row>
    <row r="71">
      <c r="A71" s="776"/>
      <c r="B71" s="538"/>
      <c r="C71" s="538"/>
      <c r="D71" s="538"/>
      <c r="E71" s="475" t="s">
        <v>821</v>
      </c>
      <c r="F71" s="554" t="s">
        <v>72</v>
      </c>
      <c r="G71" s="555" t="s">
        <v>165</v>
      </c>
      <c r="H71" s="837" t="s">
        <v>162</v>
      </c>
      <c r="I71" s="567">
        <v>0.185</v>
      </c>
      <c r="J71" s="567">
        <v>0.25</v>
      </c>
      <c r="K71" s="567">
        <v>0.071</v>
      </c>
      <c r="L71" s="820">
        <f t="shared" si="2"/>
        <v>0.295</v>
      </c>
      <c r="M71" s="567">
        <v>0.159</v>
      </c>
      <c r="N71" s="567">
        <v>0.121</v>
      </c>
      <c r="O71" s="567">
        <v>0.113</v>
      </c>
      <c r="P71" s="567">
        <v>0.029</v>
      </c>
      <c r="Q71" s="826">
        <v>0.089</v>
      </c>
      <c r="R71" s="567">
        <v>0.548</v>
      </c>
      <c r="S71" s="567">
        <v>0.379</v>
      </c>
      <c r="T71" s="567">
        <v>0.684</v>
      </c>
      <c r="U71" s="567">
        <v>0.762</v>
      </c>
      <c r="V71" s="567">
        <v>0.426</v>
      </c>
      <c r="W71" s="567">
        <v>0.574</v>
      </c>
      <c r="X71" s="567">
        <v>0.477</v>
      </c>
      <c r="Y71" s="567">
        <v>0.695</v>
      </c>
      <c r="Z71" s="567">
        <v>0.572</v>
      </c>
      <c r="AA71" s="567">
        <v>0.544</v>
      </c>
      <c r="AB71" s="567">
        <v>0.745</v>
      </c>
      <c r="AC71" s="567">
        <v>0.722</v>
      </c>
      <c r="AD71" s="567">
        <v>0.738</v>
      </c>
      <c r="AE71" s="567">
        <v>0.657</v>
      </c>
      <c r="AF71" s="567">
        <v>0.656</v>
      </c>
      <c r="AG71" s="567">
        <v>0.295</v>
      </c>
      <c r="AH71" s="567">
        <v>0.384</v>
      </c>
      <c r="AI71" s="567">
        <v>0.491</v>
      </c>
      <c r="AJ71" s="567">
        <v>0.802</v>
      </c>
      <c r="AK71" s="567">
        <v>0.349</v>
      </c>
      <c r="AL71" s="567">
        <v>0.2</v>
      </c>
      <c r="AM71" s="567">
        <v>0.2</v>
      </c>
      <c r="AN71" s="567">
        <v>0.2</v>
      </c>
      <c r="AO71" s="567">
        <v>0.521</v>
      </c>
      <c r="AP71" s="567">
        <v>0.662</v>
      </c>
      <c r="AQ71" s="567">
        <v>0.6</v>
      </c>
      <c r="AR71" s="567">
        <v>0.541</v>
      </c>
      <c r="AS71" s="567">
        <v>0.452</v>
      </c>
      <c r="AT71" s="567">
        <v>0.66</v>
      </c>
      <c r="AU71" s="567">
        <v>0.164</v>
      </c>
      <c r="AV71" s="567">
        <v>0.087</v>
      </c>
      <c r="AW71" s="788"/>
      <c r="AX71" s="809" t="s">
        <v>993</v>
      </c>
      <c r="AY71" s="790"/>
    </row>
    <row r="72">
      <c r="A72" s="776"/>
      <c r="B72" s="538"/>
      <c r="C72" s="538"/>
      <c r="D72" s="538"/>
      <c r="E72" s="475" t="s">
        <v>818</v>
      </c>
      <c r="F72" s="554" t="s">
        <v>72</v>
      </c>
      <c r="G72" s="555" t="s">
        <v>165</v>
      </c>
      <c r="H72" s="837" t="s">
        <v>162</v>
      </c>
      <c r="I72" s="567">
        <v>0.412</v>
      </c>
      <c r="J72" s="567">
        <v>0.544</v>
      </c>
      <c r="K72" s="567">
        <v>0.256</v>
      </c>
      <c r="L72" s="820">
        <f t="shared" si="2"/>
        <v>0.514</v>
      </c>
      <c r="M72" s="567">
        <v>0.337</v>
      </c>
      <c r="N72" s="567">
        <v>0.285</v>
      </c>
      <c r="O72" s="567">
        <v>0.226</v>
      </c>
      <c r="P72" s="567">
        <v>0.163</v>
      </c>
      <c r="Q72" s="826">
        <v>0.19</v>
      </c>
      <c r="R72" s="567">
        <v>0.871</v>
      </c>
      <c r="S72" s="567">
        <v>0.674</v>
      </c>
      <c r="T72" s="567">
        <v>0.824</v>
      </c>
      <c r="U72" s="567">
        <v>0.885</v>
      </c>
      <c r="V72" s="567">
        <v>0.659</v>
      </c>
      <c r="W72" s="567">
        <v>0.664</v>
      </c>
      <c r="X72" s="567">
        <v>0.806</v>
      </c>
      <c r="Y72" s="567">
        <v>0.882</v>
      </c>
      <c r="Z72" s="567">
        <v>0.809</v>
      </c>
      <c r="AA72" s="567">
        <v>0.825</v>
      </c>
      <c r="AB72" s="567">
        <v>0.967</v>
      </c>
      <c r="AC72" s="567">
        <v>0.865</v>
      </c>
      <c r="AD72" s="567">
        <v>0.932</v>
      </c>
      <c r="AE72" s="567">
        <v>0.875</v>
      </c>
      <c r="AF72" s="567">
        <v>0.956</v>
      </c>
      <c r="AG72" s="567">
        <v>0.514</v>
      </c>
      <c r="AH72" s="567">
        <v>0.733</v>
      </c>
      <c r="AI72" s="567">
        <v>0.721</v>
      </c>
      <c r="AJ72" s="567">
        <v>0.929</v>
      </c>
      <c r="AK72" s="567">
        <v>0.638</v>
      </c>
      <c r="AL72" s="567">
        <v>0.381</v>
      </c>
      <c r="AM72" s="567">
        <v>0.381</v>
      </c>
      <c r="AN72" s="567">
        <v>0.381</v>
      </c>
      <c r="AO72" s="567">
        <v>0.8</v>
      </c>
      <c r="AP72" s="567">
        <v>0.831</v>
      </c>
      <c r="AQ72" s="567">
        <v>0.875</v>
      </c>
      <c r="AR72" s="567">
        <v>0.771</v>
      </c>
      <c r="AS72" s="567">
        <v>0.801</v>
      </c>
      <c r="AT72" s="567">
        <v>0.82</v>
      </c>
      <c r="AU72" s="567">
        <v>0.397</v>
      </c>
      <c r="AV72" s="567">
        <v>0.163</v>
      </c>
      <c r="AW72" s="788"/>
      <c r="AX72" s="809" t="s">
        <v>993</v>
      </c>
      <c r="AY72" s="790"/>
    </row>
    <row r="73">
      <c r="A73" s="776"/>
      <c r="B73" s="538"/>
      <c r="C73" s="538"/>
      <c r="D73" s="538"/>
      <c r="E73" s="792" t="s">
        <v>822</v>
      </c>
      <c r="F73" s="559" t="s">
        <v>72</v>
      </c>
      <c r="G73" s="560" t="s">
        <v>165</v>
      </c>
      <c r="H73" s="827" t="s">
        <v>162</v>
      </c>
      <c r="I73" s="828">
        <v>0.222</v>
      </c>
      <c r="J73" s="828">
        <v>0.324</v>
      </c>
      <c r="K73" s="828">
        <v>0.104</v>
      </c>
      <c r="L73" s="834">
        <f t="shared" si="2"/>
        <v>0.431</v>
      </c>
      <c r="M73" s="828">
        <v>0.241</v>
      </c>
      <c r="N73" s="828">
        <v>0.211</v>
      </c>
      <c r="O73" s="828">
        <v>0.255</v>
      </c>
      <c r="P73" s="828">
        <v>0.098</v>
      </c>
      <c r="Q73" s="829">
        <v>0.162</v>
      </c>
      <c r="R73" s="828">
        <v>0.704</v>
      </c>
      <c r="S73" s="828">
        <v>0.488</v>
      </c>
      <c r="T73" s="828">
        <v>0.637</v>
      </c>
      <c r="U73" s="828">
        <v>0.75</v>
      </c>
      <c r="V73" s="828">
        <v>0.516</v>
      </c>
      <c r="W73" s="828">
        <v>0.536</v>
      </c>
      <c r="X73" s="828">
        <v>0.581</v>
      </c>
      <c r="Y73" s="828">
        <v>0.737</v>
      </c>
      <c r="Z73" s="828">
        <v>0.637</v>
      </c>
      <c r="AA73" s="828">
        <v>0.576</v>
      </c>
      <c r="AB73" s="828">
        <v>0.861</v>
      </c>
      <c r="AC73" s="828">
        <v>0.801</v>
      </c>
      <c r="AD73" s="828">
        <v>0.812</v>
      </c>
      <c r="AE73" s="828">
        <v>0.763</v>
      </c>
      <c r="AF73" s="828">
        <v>0.746</v>
      </c>
      <c r="AG73" s="828">
        <v>0.431</v>
      </c>
      <c r="AH73" s="828">
        <v>0.65</v>
      </c>
      <c r="AI73" s="828">
        <v>0.669</v>
      </c>
      <c r="AJ73" s="828">
        <v>0.88</v>
      </c>
      <c r="AK73" s="828">
        <v>0.497</v>
      </c>
      <c r="AL73" s="828">
        <v>0.312</v>
      </c>
      <c r="AM73" s="828">
        <v>0.312</v>
      </c>
      <c r="AN73" s="828">
        <v>0.312</v>
      </c>
      <c r="AO73" s="828">
        <v>0.587</v>
      </c>
      <c r="AP73" s="828">
        <v>0.722</v>
      </c>
      <c r="AQ73" s="828">
        <v>0.67</v>
      </c>
      <c r="AR73" s="828">
        <v>0.531</v>
      </c>
      <c r="AS73" s="828">
        <v>0.653</v>
      </c>
      <c r="AT73" s="828">
        <v>0.707</v>
      </c>
      <c r="AU73" s="828">
        <v>0.292</v>
      </c>
      <c r="AV73" s="828">
        <v>0.147</v>
      </c>
      <c r="AW73" s="794"/>
      <c r="AX73" s="835" t="s">
        <v>993</v>
      </c>
      <c r="AY73" s="796"/>
    </row>
    <row r="74">
      <c r="A74" s="776"/>
      <c r="B74" s="538"/>
      <c r="C74" s="538"/>
      <c r="D74" s="538"/>
      <c r="E74" s="777"/>
      <c r="F74" s="533"/>
      <c r="G74" s="534"/>
      <c r="H74" s="680"/>
      <c r="I74" s="482"/>
      <c r="J74" s="482"/>
      <c r="K74" s="482"/>
      <c r="L74" s="482"/>
      <c r="M74" s="482"/>
      <c r="N74" s="482"/>
      <c r="O74" s="482"/>
      <c r="P74" s="482"/>
      <c r="Q74" s="132"/>
      <c r="R74" s="482"/>
      <c r="S74" s="482"/>
      <c r="T74" s="482"/>
      <c r="U74" s="482"/>
      <c r="V74" s="482"/>
      <c r="W74" s="482"/>
      <c r="X74" s="482"/>
      <c r="Y74" s="482"/>
      <c r="Z74" s="482"/>
      <c r="AA74" s="482"/>
      <c r="AB74" s="482"/>
      <c r="AC74" s="482"/>
      <c r="AD74" s="482"/>
      <c r="AE74" s="482"/>
      <c r="AF74" s="482"/>
      <c r="AG74" s="482"/>
      <c r="AH74" s="482"/>
      <c r="AI74" s="482"/>
      <c r="AJ74" s="482"/>
      <c r="AK74" s="482"/>
      <c r="AL74" s="482"/>
      <c r="AM74" s="482"/>
      <c r="AN74" s="482"/>
      <c r="AO74" s="482"/>
      <c r="AP74" s="482"/>
      <c r="AQ74" s="482"/>
      <c r="AR74" s="482"/>
      <c r="AS74" s="482"/>
      <c r="AT74" s="482"/>
      <c r="AU74" s="482"/>
      <c r="AV74" s="482"/>
      <c r="AW74" s="778"/>
      <c r="AX74" s="779"/>
      <c r="AY74" s="780"/>
    </row>
    <row r="75">
      <c r="A75" s="776"/>
      <c r="B75" s="538"/>
      <c r="C75" s="143" t="s">
        <v>994</v>
      </c>
      <c r="F75" s="533"/>
      <c r="G75" s="534"/>
      <c r="H75" s="680"/>
      <c r="I75" s="482"/>
      <c r="J75" s="482"/>
      <c r="K75" s="482"/>
      <c r="L75" s="482"/>
      <c r="M75" s="482"/>
      <c r="N75" s="482"/>
      <c r="O75" s="482"/>
      <c r="P75" s="482"/>
      <c r="Q75" s="132"/>
      <c r="R75" s="482"/>
      <c r="S75" s="482"/>
      <c r="T75" s="482"/>
      <c r="U75" s="482"/>
      <c r="V75" s="482"/>
      <c r="W75" s="482"/>
      <c r="X75" s="482"/>
      <c r="Y75" s="482"/>
      <c r="Z75" s="482"/>
      <c r="AA75" s="482"/>
      <c r="AB75" s="482"/>
      <c r="AC75" s="482"/>
      <c r="AD75" s="482"/>
      <c r="AE75" s="482"/>
      <c r="AF75" s="482"/>
      <c r="AG75" s="482"/>
      <c r="AH75" s="482"/>
      <c r="AI75" s="482"/>
      <c r="AJ75" s="482"/>
      <c r="AK75" s="482"/>
      <c r="AL75" s="482"/>
      <c r="AM75" s="482"/>
      <c r="AN75" s="482"/>
      <c r="AO75" s="482"/>
      <c r="AP75" s="482"/>
      <c r="AQ75" s="482"/>
      <c r="AR75" s="482"/>
      <c r="AS75" s="482"/>
      <c r="AT75" s="482"/>
      <c r="AU75" s="482"/>
      <c r="AV75" s="482"/>
      <c r="AW75" s="778"/>
      <c r="AX75" s="779"/>
      <c r="AY75" s="780"/>
    </row>
    <row r="76">
      <c r="A76" s="776"/>
      <c r="B76" s="538"/>
      <c r="C76" s="538"/>
      <c r="D76" s="538"/>
      <c r="E76" s="782" t="s">
        <v>805</v>
      </c>
      <c r="F76" s="539" t="s">
        <v>72</v>
      </c>
      <c r="G76" s="540" t="s">
        <v>165</v>
      </c>
      <c r="H76" s="783">
        <v>0.217176</v>
      </c>
      <c r="I76" s="483" t="s">
        <v>162</v>
      </c>
      <c r="J76" s="483" t="s">
        <v>162</v>
      </c>
      <c r="K76" s="483" t="s">
        <v>162</v>
      </c>
      <c r="L76" s="483" t="s">
        <v>162</v>
      </c>
      <c r="M76" s="483" t="s">
        <v>162</v>
      </c>
      <c r="N76" s="483" t="s">
        <v>162</v>
      </c>
      <c r="O76" s="483" t="s">
        <v>162</v>
      </c>
      <c r="P76" s="483" t="s">
        <v>162</v>
      </c>
      <c r="Q76" s="194" t="s">
        <v>162</v>
      </c>
      <c r="R76" s="483" t="s">
        <v>162</v>
      </c>
      <c r="S76" s="483" t="s">
        <v>162</v>
      </c>
      <c r="T76" s="483" t="s">
        <v>162</v>
      </c>
      <c r="U76" s="483" t="s">
        <v>162</v>
      </c>
      <c r="V76" s="483" t="s">
        <v>162</v>
      </c>
      <c r="W76" s="483" t="s">
        <v>162</v>
      </c>
      <c r="X76" s="483" t="s">
        <v>162</v>
      </c>
      <c r="Y76" s="483" t="s">
        <v>162</v>
      </c>
      <c r="Z76" s="483" t="s">
        <v>162</v>
      </c>
      <c r="AA76" s="483" t="s">
        <v>162</v>
      </c>
      <c r="AB76" s="483" t="s">
        <v>162</v>
      </c>
      <c r="AC76" s="483" t="s">
        <v>162</v>
      </c>
      <c r="AD76" s="483" t="s">
        <v>162</v>
      </c>
      <c r="AE76" s="483" t="s">
        <v>162</v>
      </c>
      <c r="AF76" s="483" t="s">
        <v>162</v>
      </c>
      <c r="AG76" s="483" t="s">
        <v>162</v>
      </c>
      <c r="AH76" s="483" t="s">
        <v>162</v>
      </c>
      <c r="AI76" s="483" t="s">
        <v>162</v>
      </c>
      <c r="AJ76" s="483" t="s">
        <v>162</v>
      </c>
      <c r="AK76" s="483" t="s">
        <v>162</v>
      </c>
      <c r="AL76" s="483" t="s">
        <v>162</v>
      </c>
      <c r="AM76" s="483" t="s">
        <v>162</v>
      </c>
      <c r="AN76" s="483" t="s">
        <v>162</v>
      </c>
      <c r="AO76" s="483" t="s">
        <v>162</v>
      </c>
      <c r="AP76" s="483" t="s">
        <v>162</v>
      </c>
      <c r="AQ76" s="483" t="s">
        <v>162</v>
      </c>
      <c r="AR76" s="483" t="s">
        <v>162</v>
      </c>
      <c r="AS76" s="483" t="s">
        <v>162</v>
      </c>
      <c r="AT76" s="483" t="s">
        <v>162</v>
      </c>
      <c r="AU76" s="483" t="s">
        <v>162</v>
      </c>
      <c r="AV76" s="483" t="s">
        <v>162</v>
      </c>
      <c r="AW76" s="784"/>
      <c r="AX76" s="797" t="s">
        <v>977</v>
      </c>
      <c r="AY76" s="64" t="s">
        <v>95</v>
      </c>
    </row>
    <row r="77">
      <c r="A77" s="776"/>
      <c r="B77" s="538"/>
      <c r="C77" s="538"/>
      <c r="D77" s="538"/>
      <c r="E77" s="792" t="s">
        <v>824</v>
      </c>
      <c r="F77" s="559" t="s">
        <v>72</v>
      </c>
      <c r="G77" s="560" t="s">
        <v>165</v>
      </c>
      <c r="H77" s="793">
        <v>0.4415068</v>
      </c>
      <c r="I77" s="487" t="s">
        <v>162</v>
      </c>
      <c r="J77" s="487" t="s">
        <v>162</v>
      </c>
      <c r="K77" s="487" t="s">
        <v>162</v>
      </c>
      <c r="L77" s="487" t="s">
        <v>162</v>
      </c>
      <c r="M77" s="487" t="s">
        <v>162</v>
      </c>
      <c r="N77" s="487" t="s">
        <v>162</v>
      </c>
      <c r="O77" s="487" t="s">
        <v>162</v>
      </c>
      <c r="P77" s="487" t="s">
        <v>162</v>
      </c>
      <c r="Q77" s="201" t="s">
        <v>162</v>
      </c>
      <c r="R77" s="487" t="s">
        <v>162</v>
      </c>
      <c r="S77" s="487" t="s">
        <v>162</v>
      </c>
      <c r="T77" s="487" t="s">
        <v>162</v>
      </c>
      <c r="U77" s="487" t="s">
        <v>162</v>
      </c>
      <c r="V77" s="487" t="s">
        <v>162</v>
      </c>
      <c r="W77" s="487" t="s">
        <v>162</v>
      </c>
      <c r="X77" s="487" t="s">
        <v>162</v>
      </c>
      <c r="Y77" s="487" t="s">
        <v>162</v>
      </c>
      <c r="Z77" s="487" t="s">
        <v>162</v>
      </c>
      <c r="AA77" s="487" t="s">
        <v>162</v>
      </c>
      <c r="AB77" s="487" t="s">
        <v>162</v>
      </c>
      <c r="AC77" s="487" t="s">
        <v>162</v>
      </c>
      <c r="AD77" s="487" t="s">
        <v>162</v>
      </c>
      <c r="AE77" s="487" t="s">
        <v>162</v>
      </c>
      <c r="AF77" s="487" t="s">
        <v>162</v>
      </c>
      <c r="AG77" s="487" t="s">
        <v>162</v>
      </c>
      <c r="AH77" s="487" t="s">
        <v>162</v>
      </c>
      <c r="AI77" s="487" t="s">
        <v>162</v>
      </c>
      <c r="AJ77" s="487" t="s">
        <v>162</v>
      </c>
      <c r="AK77" s="487" t="s">
        <v>162</v>
      </c>
      <c r="AL77" s="487" t="s">
        <v>162</v>
      </c>
      <c r="AM77" s="487" t="s">
        <v>162</v>
      </c>
      <c r="AN77" s="487" t="s">
        <v>162</v>
      </c>
      <c r="AO77" s="487" t="s">
        <v>162</v>
      </c>
      <c r="AP77" s="487" t="s">
        <v>162</v>
      </c>
      <c r="AQ77" s="487" t="s">
        <v>162</v>
      </c>
      <c r="AR77" s="487" t="s">
        <v>162</v>
      </c>
      <c r="AS77" s="487" t="s">
        <v>162</v>
      </c>
      <c r="AT77" s="487" t="s">
        <v>162</v>
      </c>
      <c r="AU77" s="487" t="s">
        <v>162</v>
      </c>
      <c r="AV77" s="487" t="s">
        <v>162</v>
      </c>
      <c r="AW77" s="794"/>
      <c r="AX77" s="799" t="s">
        <v>977</v>
      </c>
      <c r="AY77" s="770" t="s">
        <v>95</v>
      </c>
    </row>
    <row r="78">
      <c r="A78" s="776"/>
      <c r="B78" s="538"/>
      <c r="C78" s="538"/>
      <c r="D78" s="538"/>
      <c r="E78" s="777"/>
      <c r="F78" s="533"/>
      <c r="G78" s="534"/>
      <c r="H78" s="680"/>
      <c r="I78" s="482"/>
      <c r="J78" s="482"/>
      <c r="K78" s="482"/>
      <c r="L78" s="482"/>
      <c r="M78" s="482"/>
      <c r="N78" s="482"/>
      <c r="O78" s="482"/>
      <c r="P78" s="482"/>
      <c r="Q78" s="132"/>
      <c r="R78" s="482"/>
      <c r="S78" s="482"/>
      <c r="T78" s="482"/>
      <c r="U78" s="482"/>
      <c r="V78" s="482"/>
      <c r="W78" s="482"/>
      <c r="X78" s="482"/>
      <c r="Y78" s="482"/>
      <c r="Z78" s="482"/>
      <c r="AA78" s="482"/>
      <c r="AB78" s="482"/>
      <c r="AC78" s="482"/>
      <c r="AD78" s="482"/>
      <c r="AE78" s="482"/>
      <c r="AF78" s="482"/>
      <c r="AG78" s="482"/>
      <c r="AH78" s="482"/>
      <c r="AI78" s="482"/>
      <c r="AJ78" s="482"/>
      <c r="AK78" s="482"/>
      <c r="AL78" s="482"/>
      <c r="AM78" s="482"/>
      <c r="AN78" s="482"/>
      <c r="AO78" s="482"/>
      <c r="AP78" s="482"/>
      <c r="AQ78" s="482"/>
      <c r="AR78" s="482"/>
      <c r="AS78" s="482"/>
      <c r="AT78" s="482"/>
      <c r="AU78" s="482"/>
      <c r="AV78" s="482"/>
      <c r="AW78" s="778"/>
      <c r="AX78" s="838"/>
      <c r="AY78" s="780"/>
    </row>
    <row r="79">
      <c r="A79" s="776"/>
      <c r="B79" s="538"/>
      <c r="C79" s="143" t="s">
        <v>995</v>
      </c>
      <c r="F79" s="533"/>
      <c r="G79" s="534"/>
      <c r="H79" s="680"/>
      <c r="I79" s="482"/>
      <c r="J79" s="482"/>
      <c r="K79" s="482"/>
      <c r="L79" s="482"/>
      <c r="M79" s="482"/>
      <c r="N79" s="482"/>
      <c r="O79" s="482"/>
      <c r="P79" s="482"/>
      <c r="Q79" s="132"/>
      <c r="R79" s="482"/>
      <c r="S79" s="482"/>
      <c r="T79" s="482"/>
      <c r="U79" s="482"/>
      <c r="V79" s="482"/>
      <c r="W79" s="482"/>
      <c r="X79" s="482"/>
      <c r="Y79" s="482"/>
      <c r="Z79" s="482"/>
      <c r="AA79" s="482"/>
      <c r="AB79" s="482"/>
      <c r="AC79" s="482"/>
      <c r="AD79" s="482"/>
      <c r="AE79" s="482"/>
      <c r="AF79" s="482"/>
      <c r="AG79" s="482"/>
      <c r="AH79" s="482"/>
      <c r="AI79" s="482"/>
      <c r="AJ79" s="482"/>
      <c r="AK79" s="482"/>
      <c r="AL79" s="482"/>
      <c r="AM79" s="482"/>
      <c r="AN79" s="482"/>
      <c r="AO79" s="482"/>
      <c r="AP79" s="482"/>
      <c r="AQ79" s="482"/>
      <c r="AR79" s="482"/>
      <c r="AS79" s="482"/>
      <c r="AT79" s="482"/>
      <c r="AU79" s="482"/>
      <c r="AV79" s="482"/>
      <c r="AW79" s="778"/>
      <c r="AX79" s="838"/>
      <c r="AY79" s="780"/>
    </row>
    <row r="80">
      <c r="A80" s="776"/>
      <c r="B80" s="538"/>
      <c r="C80" s="538"/>
      <c r="D80" s="538"/>
      <c r="E80" s="839" t="s">
        <v>996</v>
      </c>
      <c r="F80" s="840" t="s">
        <v>72</v>
      </c>
      <c r="G80" s="841" t="s">
        <v>165</v>
      </c>
      <c r="H80" s="842">
        <v>-0.05</v>
      </c>
      <c r="I80" s="483" t="s">
        <v>162</v>
      </c>
      <c r="J80" s="483" t="s">
        <v>162</v>
      </c>
      <c r="K80" s="483" t="s">
        <v>162</v>
      </c>
      <c r="L80" s="483" t="s">
        <v>162</v>
      </c>
      <c r="M80" s="483" t="s">
        <v>162</v>
      </c>
      <c r="N80" s="483" t="s">
        <v>162</v>
      </c>
      <c r="O80" s="483" t="s">
        <v>162</v>
      </c>
      <c r="P80" s="483" t="s">
        <v>162</v>
      </c>
      <c r="Q80" s="194" t="s">
        <v>162</v>
      </c>
      <c r="R80" s="483" t="s">
        <v>162</v>
      </c>
      <c r="S80" s="483" t="s">
        <v>162</v>
      </c>
      <c r="T80" s="483" t="s">
        <v>162</v>
      </c>
      <c r="U80" s="483" t="s">
        <v>162</v>
      </c>
      <c r="V80" s="483" t="s">
        <v>162</v>
      </c>
      <c r="W80" s="483" t="s">
        <v>162</v>
      </c>
      <c r="X80" s="483" t="s">
        <v>162</v>
      </c>
      <c r="Y80" s="483" t="s">
        <v>162</v>
      </c>
      <c r="Z80" s="483" t="s">
        <v>162</v>
      </c>
      <c r="AA80" s="483" t="s">
        <v>162</v>
      </c>
      <c r="AB80" s="483" t="s">
        <v>162</v>
      </c>
      <c r="AC80" s="483" t="s">
        <v>162</v>
      </c>
      <c r="AD80" s="483" t="s">
        <v>162</v>
      </c>
      <c r="AE80" s="483" t="s">
        <v>162</v>
      </c>
      <c r="AF80" s="483" t="s">
        <v>162</v>
      </c>
      <c r="AG80" s="483" t="s">
        <v>162</v>
      </c>
      <c r="AH80" s="483" t="s">
        <v>162</v>
      </c>
      <c r="AI80" s="483" t="s">
        <v>162</v>
      </c>
      <c r="AJ80" s="483" t="s">
        <v>162</v>
      </c>
      <c r="AK80" s="483" t="s">
        <v>162</v>
      </c>
      <c r="AL80" s="483" t="s">
        <v>162</v>
      </c>
      <c r="AM80" s="483" t="s">
        <v>162</v>
      </c>
      <c r="AN80" s="483" t="s">
        <v>162</v>
      </c>
      <c r="AO80" s="483" t="s">
        <v>162</v>
      </c>
      <c r="AP80" s="483" t="s">
        <v>162</v>
      </c>
      <c r="AQ80" s="483" t="s">
        <v>162</v>
      </c>
      <c r="AR80" s="483" t="s">
        <v>162</v>
      </c>
      <c r="AS80" s="483" t="s">
        <v>162</v>
      </c>
      <c r="AT80" s="483" t="s">
        <v>162</v>
      </c>
      <c r="AU80" s="483" t="s">
        <v>162</v>
      </c>
      <c r="AV80" s="483" t="s">
        <v>162</v>
      </c>
      <c r="AW80" s="843"/>
      <c r="AX80" s="844" t="s">
        <v>984</v>
      </c>
      <c r="AY80" s="845"/>
    </row>
    <row r="81">
      <c r="A81" s="776"/>
      <c r="B81" s="538"/>
      <c r="C81" s="538"/>
      <c r="D81" s="538"/>
      <c r="E81" s="777"/>
      <c r="F81" s="533"/>
      <c r="G81" s="534"/>
      <c r="H81" s="680"/>
      <c r="I81" s="482"/>
      <c r="J81" s="482"/>
      <c r="K81" s="482"/>
      <c r="L81" s="482"/>
      <c r="M81" s="482"/>
      <c r="N81" s="482"/>
      <c r="O81" s="482"/>
      <c r="P81" s="482"/>
      <c r="Q81" s="132"/>
      <c r="R81" s="482"/>
      <c r="S81" s="482"/>
      <c r="T81" s="482"/>
      <c r="U81" s="482"/>
      <c r="V81" s="482"/>
      <c r="W81" s="482"/>
      <c r="X81" s="482"/>
      <c r="Y81" s="482"/>
      <c r="Z81" s="482"/>
      <c r="AA81" s="482"/>
      <c r="AB81" s="482"/>
      <c r="AC81" s="482"/>
      <c r="AD81" s="482"/>
      <c r="AE81" s="482"/>
      <c r="AF81" s="482"/>
      <c r="AG81" s="482"/>
      <c r="AH81" s="482"/>
      <c r="AI81" s="482"/>
      <c r="AJ81" s="482"/>
      <c r="AK81" s="482"/>
      <c r="AL81" s="482"/>
      <c r="AM81" s="482"/>
      <c r="AN81" s="482"/>
      <c r="AO81" s="482"/>
      <c r="AP81" s="482"/>
      <c r="AQ81" s="482"/>
      <c r="AR81" s="482"/>
      <c r="AS81" s="482"/>
      <c r="AT81" s="482"/>
      <c r="AU81" s="482"/>
      <c r="AV81" s="482"/>
      <c r="AW81" s="778"/>
      <c r="AX81" s="838"/>
      <c r="AY81" s="780"/>
    </row>
    <row r="82">
      <c r="A82" s="776"/>
      <c r="B82" s="538"/>
      <c r="C82" s="342" t="s">
        <v>853</v>
      </c>
      <c r="F82" s="533"/>
      <c r="G82" s="534"/>
      <c r="H82" s="680"/>
      <c r="I82" s="482"/>
      <c r="J82" s="482"/>
      <c r="K82" s="482"/>
      <c r="L82" s="482"/>
      <c r="M82" s="482"/>
      <c r="N82" s="482"/>
      <c r="O82" s="482"/>
      <c r="P82" s="482"/>
      <c r="Q82" s="132"/>
      <c r="R82" s="482"/>
      <c r="S82" s="482"/>
      <c r="T82" s="482"/>
      <c r="U82" s="482"/>
      <c r="V82" s="482"/>
      <c r="W82" s="482"/>
      <c r="X82" s="482"/>
      <c r="Y82" s="482"/>
      <c r="Z82" s="482"/>
      <c r="AA82" s="482"/>
      <c r="AB82" s="482"/>
      <c r="AC82" s="482"/>
      <c r="AD82" s="482"/>
      <c r="AE82" s="482"/>
      <c r="AF82" s="482"/>
      <c r="AG82" s="482"/>
      <c r="AH82" s="482"/>
      <c r="AI82" s="482"/>
      <c r="AJ82" s="482"/>
      <c r="AK82" s="482"/>
      <c r="AL82" s="482"/>
      <c r="AM82" s="482"/>
      <c r="AN82" s="482"/>
      <c r="AO82" s="482"/>
      <c r="AP82" s="482"/>
      <c r="AQ82" s="482"/>
      <c r="AR82" s="482"/>
      <c r="AS82" s="482"/>
      <c r="AT82" s="482"/>
      <c r="AU82" s="482"/>
      <c r="AV82" s="482"/>
      <c r="AW82" s="778"/>
      <c r="AX82" s="779"/>
      <c r="AY82" s="780"/>
    </row>
    <row r="83">
      <c r="A83" s="776"/>
      <c r="B83" s="538"/>
      <c r="C83" s="538"/>
      <c r="D83" s="538"/>
      <c r="E83" s="782" t="s">
        <v>854</v>
      </c>
      <c r="F83" s="539" t="s">
        <v>72</v>
      </c>
      <c r="G83" s="540" t="s">
        <v>165</v>
      </c>
      <c r="H83" s="783">
        <v>0.5</v>
      </c>
      <c r="I83" s="483" t="s">
        <v>162</v>
      </c>
      <c r="J83" s="483" t="s">
        <v>162</v>
      </c>
      <c r="K83" s="483" t="s">
        <v>162</v>
      </c>
      <c r="L83" s="483" t="s">
        <v>162</v>
      </c>
      <c r="M83" s="483" t="s">
        <v>162</v>
      </c>
      <c r="N83" s="483" t="s">
        <v>162</v>
      </c>
      <c r="O83" s="483" t="s">
        <v>162</v>
      </c>
      <c r="P83" s="483" t="s">
        <v>162</v>
      </c>
      <c r="Q83" s="194" t="s">
        <v>162</v>
      </c>
      <c r="R83" s="483" t="s">
        <v>162</v>
      </c>
      <c r="S83" s="483" t="s">
        <v>162</v>
      </c>
      <c r="T83" s="483" t="s">
        <v>162</v>
      </c>
      <c r="U83" s="483" t="s">
        <v>162</v>
      </c>
      <c r="V83" s="483" t="s">
        <v>162</v>
      </c>
      <c r="W83" s="483" t="s">
        <v>162</v>
      </c>
      <c r="X83" s="483" t="s">
        <v>162</v>
      </c>
      <c r="Y83" s="483" t="s">
        <v>162</v>
      </c>
      <c r="Z83" s="483" t="s">
        <v>162</v>
      </c>
      <c r="AA83" s="483" t="s">
        <v>162</v>
      </c>
      <c r="AB83" s="483" t="s">
        <v>162</v>
      </c>
      <c r="AC83" s="483" t="s">
        <v>162</v>
      </c>
      <c r="AD83" s="483" t="s">
        <v>162</v>
      </c>
      <c r="AE83" s="483" t="s">
        <v>162</v>
      </c>
      <c r="AF83" s="483" t="s">
        <v>162</v>
      </c>
      <c r="AG83" s="483" t="s">
        <v>162</v>
      </c>
      <c r="AH83" s="483" t="s">
        <v>162</v>
      </c>
      <c r="AI83" s="483" t="s">
        <v>162</v>
      </c>
      <c r="AJ83" s="483" t="s">
        <v>162</v>
      </c>
      <c r="AK83" s="483" t="s">
        <v>162</v>
      </c>
      <c r="AL83" s="483" t="s">
        <v>162</v>
      </c>
      <c r="AM83" s="483" t="s">
        <v>162</v>
      </c>
      <c r="AN83" s="483" t="s">
        <v>162</v>
      </c>
      <c r="AO83" s="483" t="s">
        <v>162</v>
      </c>
      <c r="AP83" s="483" t="s">
        <v>162</v>
      </c>
      <c r="AQ83" s="483" t="s">
        <v>162</v>
      </c>
      <c r="AR83" s="483" t="s">
        <v>162</v>
      </c>
      <c r="AS83" s="483" t="s">
        <v>162</v>
      </c>
      <c r="AT83" s="483" t="s">
        <v>162</v>
      </c>
      <c r="AU83" s="483" t="s">
        <v>162</v>
      </c>
      <c r="AV83" s="483" t="s">
        <v>162</v>
      </c>
      <c r="AW83" s="784"/>
      <c r="AX83" s="797" t="s">
        <v>984</v>
      </c>
      <c r="AY83" s="786"/>
    </row>
    <row r="84">
      <c r="A84" s="776"/>
      <c r="B84" s="538"/>
      <c r="C84" s="538"/>
      <c r="D84" s="538"/>
      <c r="E84" s="792" t="s">
        <v>855</v>
      </c>
      <c r="F84" s="559" t="s">
        <v>72</v>
      </c>
      <c r="G84" s="560" t="s">
        <v>165</v>
      </c>
      <c r="H84" s="793">
        <f>1-H83</f>
        <v>0.5</v>
      </c>
      <c r="I84" s="487" t="s">
        <v>162</v>
      </c>
      <c r="J84" s="487" t="s">
        <v>162</v>
      </c>
      <c r="K84" s="487" t="s">
        <v>162</v>
      </c>
      <c r="L84" s="487" t="s">
        <v>162</v>
      </c>
      <c r="M84" s="487" t="s">
        <v>162</v>
      </c>
      <c r="N84" s="487" t="s">
        <v>162</v>
      </c>
      <c r="O84" s="487" t="s">
        <v>162</v>
      </c>
      <c r="P84" s="487" t="s">
        <v>162</v>
      </c>
      <c r="Q84" s="201" t="s">
        <v>162</v>
      </c>
      <c r="R84" s="487" t="s">
        <v>162</v>
      </c>
      <c r="S84" s="487" t="s">
        <v>162</v>
      </c>
      <c r="T84" s="487" t="s">
        <v>162</v>
      </c>
      <c r="U84" s="487" t="s">
        <v>162</v>
      </c>
      <c r="V84" s="487" t="s">
        <v>162</v>
      </c>
      <c r="W84" s="487" t="s">
        <v>162</v>
      </c>
      <c r="X84" s="487" t="s">
        <v>162</v>
      </c>
      <c r="Y84" s="487" t="s">
        <v>162</v>
      </c>
      <c r="Z84" s="487" t="s">
        <v>162</v>
      </c>
      <c r="AA84" s="487" t="s">
        <v>162</v>
      </c>
      <c r="AB84" s="487" t="s">
        <v>162</v>
      </c>
      <c r="AC84" s="487" t="s">
        <v>162</v>
      </c>
      <c r="AD84" s="487" t="s">
        <v>162</v>
      </c>
      <c r="AE84" s="487" t="s">
        <v>162</v>
      </c>
      <c r="AF84" s="487" t="s">
        <v>162</v>
      </c>
      <c r="AG84" s="487" t="s">
        <v>162</v>
      </c>
      <c r="AH84" s="487" t="s">
        <v>162</v>
      </c>
      <c r="AI84" s="487" t="s">
        <v>162</v>
      </c>
      <c r="AJ84" s="487" t="s">
        <v>162</v>
      </c>
      <c r="AK84" s="487" t="s">
        <v>162</v>
      </c>
      <c r="AL84" s="487" t="s">
        <v>162</v>
      </c>
      <c r="AM84" s="487" t="s">
        <v>162</v>
      </c>
      <c r="AN84" s="487" t="s">
        <v>162</v>
      </c>
      <c r="AO84" s="487" t="s">
        <v>162</v>
      </c>
      <c r="AP84" s="487" t="s">
        <v>162</v>
      </c>
      <c r="AQ84" s="487" t="s">
        <v>162</v>
      </c>
      <c r="AR84" s="487" t="s">
        <v>162</v>
      </c>
      <c r="AS84" s="487" t="s">
        <v>162</v>
      </c>
      <c r="AT84" s="487" t="s">
        <v>162</v>
      </c>
      <c r="AU84" s="487" t="s">
        <v>162</v>
      </c>
      <c r="AV84" s="487" t="s">
        <v>162</v>
      </c>
      <c r="AW84" s="794"/>
      <c r="AX84" s="799" t="s">
        <v>984</v>
      </c>
      <c r="AY84" s="796"/>
    </row>
    <row r="85">
      <c r="A85" s="776"/>
      <c r="B85" s="538"/>
      <c r="C85" s="538"/>
      <c r="D85" s="538"/>
      <c r="E85" s="777"/>
      <c r="F85" s="533"/>
      <c r="G85" s="534"/>
      <c r="H85" s="680"/>
      <c r="I85" s="482"/>
      <c r="J85" s="482"/>
      <c r="K85" s="482"/>
      <c r="L85" s="482"/>
      <c r="M85" s="482"/>
      <c r="N85" s="482"/>
      <c r="O85" s="482"/>
      <c r="P85" s="482"/>
      <c r="Q85" s="132"/>
      <c r="R85" s="482"/>
      <c r="S85" s="482"/>
      <c r="T85" s="482"/>
      <c r="U85" s="482"/>
      <c r="V85" s="482"/>
      <c r="W85" s="482"/>
      <c r="X85" s="482"/>
      <c r="Y85" s="482"/>
      <c r="Z85" s="482"/>
      <c r="AA85" s="482"/>
      <c r="AB85" s="482"/>
      <c r="AC85" s="482"/>
      <c r="AD85" s="482"/>
      <c r="AE85" s="482"/>
      <c r="AF85" s="482"/>
      <c r="AG85" s="482"/>
      <c r="AH85" s="482"/>
      <c r="AI85" s="482"/>
      <c r="AJ85" s="482"/>
      <c r="AK85" s="482"/>
      <c r="AL85" s="482"/>
      <c r="AM85" s="482"/>
      <c r="AN85" s="482"/>
      <c r="AO85" s="482"/>
      <c r="AP85" s="482"/>
      <c r="AQ85" s="482"/>
      <c r="AR85" s="482"/>
      <c r="AS85" s="482"/>
      <c r="AT85" s="482"/>
      <c r="AU85" s="482"/>
      <c r="AV85" s="482"/>
      <c r="AW85" s="778"/>
      <c r="AX85" s="779"/>
      <c r="AY85" s="780"/>
    </row>
    <row r="86">
      <c r="A86" s="776"/>
      <c r="B86" s="538"/>
      <c r="C86" s="143" t="s">
        <v>997</v>
      </c>
      <c r="F86" s="533"/>
      <c r="G86" s="534"/>
      <c r="H86" s="680"/>
      <c r="I86" s="482"/>
      <c r="J86" s="482"/>
      <c r="K86" s="482"/>
      <c r="L86" s="482"/>
      <c r="M86" s="482"/>
      <c r="N86" s="482"/>
      <c r="O86" s="482"/>
      <c r="P86" s="482"/>
      <c r="Q86" s="132"/>
      <c r="R86" s="482"/>
      <c r="S86" s="482"/>
      <c r="T86" s="482"/>
      <c r="U86" s="482"/>
      <c r="V86" s="482"/>
      <c r="W86" s="482"/>
      <c r="X86" s="482"/>
      <c r="Y86" s="482"/>
      <c r="Z86" s="482"/>
      <c r="AA86" s="482"/>
      <c r="AB86" s="482"/>
      <c r="AC86" s="482"/>
      <c r="AD86" s="482"/>
      <c r="AE86" s="482"/>
      <c r="AF86" s="482"/>
      <c r="AG86" s="482"/>
      <c r="AH86" s="482"/>
      <c r="AI86" s="482"/>
      <c r="AJ86" s="482"/>
      <c r="AK86" s="482"/>
      <c r="AL86" s="482"/>
      <c r="AM86" s="482"/>
      <c r="AN86" s="482"/>
      <c r="AO86" s="482"/>
      <c r="AP86" s="482"/>
      <c r="AQ86" s="482"/>
      <c r="AR86" s="482"/>
      <c r="AS86" s="482"/>
      <c r="AT86" s="482"/>
      <c r="AU86" s="482"/>
      <c r="AV86" s="482"/>
      <c r="AW86" s="778"/>
      <c r="AX86" s="779"/>
      <c r="AY86" s="780"/>
    </row>
    <row r="87">
      <c r="A87" s="776"/>
      <c r="B87" s="538"/>
      <c r="C87" s="538"/>
      <c r="D87" s="538"/>
      <c r="E87" s="782" t="s">
        <v>873</v>
      </c>
      <c r="F87" s="539" t="s">
        <v>72</v>
      </c>
      <c r="G87" s="540" t="s">
        <v>165</v>
      </c>
      <c r="H87" s="783">
        <v>0.0</v>
      </c>
      <c r="I87" s="483" t="s">
        <v>162</v>
      </c>
      <c r="J87" s="483" t="s">
        <v>162</v>
      </c>
      <c r="K87" s="483" t="s">
        <v>162</v>
      </c>
      <c r="L87" s="483" t="s">
        <v>162</v>
      </c>
      <c r="M87" s="483" t="s">
        <v>162</v>
      </c>
      <c r="N87" s="483" t="s">
        <v>162</v>
      </c>
      <c r="O87" s="483" t="s">
        <v>162</v>
      </c>
      <c r="P87" s="483" t="s">
        <v>162</v>
      </c>
      <c r="Q87" s="194" t="s">
        <v>162</v>
      </c>
      <c r="R87" s="483" t="s">
        <v>162</v>
      </c>
      <c r="S87" s="483" t="s">
        <v>162</v>
      </c>
      <c r="T87" s="483" t="s">
        <v>162</v>
      </c>
      <c r="U87" s="483" t="s">
        <v>162</v>
      </c>
      <c r="V87" s="483" t="s">
        <v>162</v>
      </c>
      <c r="W87" s="483" t="s">
        <v>162</v>
      </c>
      <c r="X87" s="483" t="s">
        <v>162</v>
      </c>
      <c r="Y87" s="483" t="s">
        <v>162</v>
      </c>
      <c r="Z87" s="483" t="s">
        <v>162</v>
      </c>
      <c r="AA87" s="483" t="s">
        <v>162</v>
      </c>
      <c r="AB87" s="483" t="s">
        <v>162</v>
      </c>
      <c r="AC87" s="483" t="s">
        <v>162</v>
      </c>
      <c r="AD87" s="483" t="s">
        <v>162</v>
      </c>
      <c r="AE87" s="483" t="s">
        <v>162</v>
      </c>
      <c r="AF87" s="483" t="s">
        <v>162</v>
      </c>
      <c r="AG87" s="483" t="s">
        <v>162</v>
      </c>
      <c r="AH87" s="483" t="s">
        <v>162</v>
      </c>
      <c r="AI87" s="483" t="s">
        <v>162</v>
      </c>
      <c r="AJ87" s="483" t="s">
        <v>162</v>
      </c>
      <c r="AK87" s="483" t="s">
        <v>162</v>
      </c>
      <c r="AL87" s="483" t="s">
        <v>162</v>
      </c>
      <c r="AM87" s="483" t="s">
        <v>162</v>
      </c>
      <c r="AN87" s="483" t="s">
        <v>162</v>
      </c>
      <c r="AO87" s="483" t="s">
        <v>162</v>
      </c>
      <c r="AP87" s="483" t="s">
        <v>162</v>
      </c>
      <c r="AQ87" s="483" t="s">
        <v>162</v>
      </c>
      <c r="AR87" s="483" t="s">
        <v>162</v>
      </c>
      <c r="AS87" s="483" t="s">
        <v>162</v>
      </c>
      <c r="AT87" s="483" t="s">
        <v>162</v>
      </c>
      <c r="AU87" s="483" t="s">
        <v>162</v>
      </c>
      <c r="AV87" s="483" t="s">
        <v>162</v>
      </c>
      <c r="AW87" s="784"/>
      <c r="AX87" s="797" t="s">
        <v>984</v>
      </c>
      <c r="AY87" s="786"/>
    </row>
    <row r="88">
      <c r="A88" s="776"/>
      <c r="B88" s="538"/>
      <c r="C88" s="538"/>
      <c r="D88" s="538"/>
      <c r="E88" s="475" t="s">
        <v>874</v>
      </c>
      <c r="F88" s="554" t="s">
        <v>72</v>
      </c>
      <c r="G88" s="555" t="s">
        <v>165</v>
      </c>
      <c r="H88" s="787">
        <v>0.0</v>
      </c>
      <c r="I88" s="485" t="s">
        <v>162</v>
      </c>
      <c r="J88" s="485" t="s">
        <v>162</v>
      </c>
      <c r="K88" s="485" t="s">
        <v>162</v>
      </c>
      <c r="L88" s="485" t="s">
        <v>162</v>
      </c>
      <c r="M88" s="485" t="s">
        <v>162</v>
      </c>
      <c r="N88" s="485" t="s">
        <v>162</v>
      </c>
      <c r="O88" s="485" t="s">
        <v>162</v>
      </c>
      <c r="P88" s="485" t="s">
        <v>162</v>
      </c>
      <c r="Q88" s="214" t="s">
        <v>162</v>
      </c>
      <c r="R88" s="485" t="s">
        <v>162</v>
      </c>
      <c r="S88" s="485" t="s">
        <v>162</v>
      </c>
      <c r="T88" s="485" t="s">
        <v>162</v>
      </c>
      <c r="U88" s="485" t="s">
        <v>162</v>
      </c>
      <c r="V88" s="485" t="s">
        <v>162</v>
      </c>
      <c r="W88" s="485" t="s">
        <v>162</v>
      </c>
      <c r="X88" s="485" t="s">
        <v>162</v>
      </c>
      <c r="Y88" s="485" t="s">
        <v>162</v>
      </c>
      <c r="Z88" s="485" t="s">
        <v>162</v>
      </c>
      <c r="AA88" s="485" t="s">
        <v>162</v>
      </c>
      <c r="AB88" s="485" t="s">
        <v>162</v>
      </c>
      <c r="AC88" s="485" t="s">
        <v>162</v>
      </c>
      <c r="AD88" s="485" t="s">
        <v>162</v>
      </c>
      <c r="AE88" s="485" t="s">
        <v>162</v>
      </c>
      <c r="AF88" s="485" t="s">
        <v>162</v>
      </c>
      <c r="AG88" s="485" t="s">
        <v>162</v>
      </c>
      <c r="AH88" s="485" t="s">
        <v>162</v>
      </c>
      <c r="AI88" s="485" t="s">
        <v>162</v>
      </c>
      <c r="AJ88" s="485" t="s">
        <v>162</v>
      </c>
      <c r="AK88" s="485" t="s">
        <v>162</v>
      </c>
      <c r="AL88" s="485" t="s">
        <v>162</v>
      </c>
      <c r="AM88" s="485" t="s">
        <v>162</v>
      </c>
      <c r="AN88" s="485" t="s">
        <v>162</v>
      </c>
      <c r="AO88" s="485" t="s">
        <v>162</v>
      </c>
      <c r="AP88" s="485" t="s">
        <v>162</v>
      </c>
      <c r="AQ88" s="485" t="s">
        <v>162</v>
      </c>
      <c r="AR88" s="485" t="s">
        <v>162</v>
      </c>
      <c r="AS88" s="485" t="s">
        <v>162</v>
      </c>
      <c r="AT88" s="485" t="s">
        <v>162</v>
      </c>
      <c r="AU88" s="485" t="s">
        <v>162</v>
      </c>
      <c r="AV88" s="485" t="s">
        <v>162</v>
      </c>
      <c r="AW88" s="788"/>
      <c r="AX88" s="798" t="s">
        <v>984</v>
      </c>
      <c r="AY88" s="790"/>
    </row>
    <row r="89">
      <c r="A89" s="776"/>
      <c r="B89" s="538"/>
      <c r="C89" s="538"/>
      <c r="D89" s="538"/>
      <c r="E89" s="792" t="s">
        <v>875</v>
      </c>
      <c r="F89" s="559" t="s">
        <v>72</v>
      </c>
      <c r="G89" s="560" t="s">
        <v>165</v>
      </c>
      <c r="H89" s="793">
        <v>0.0</v>
      </c>
      <c r="I89" s="487" t="s">
        <v>162</v>
      </c>
      <c r="J89" s="487" t="s">
        <v>162</v>
      </c>
      <c r="K89" s="487" t="s">
        <v>162</v>
      </c>
      <c r="L89" s="487" t="s">
        <v>162</v>
      </c>
      <c r="M89" s="487" t="s">
        <v>162</v>
      </c>
      <c r="N89" s="487" t="s">
        <v>162</v>
      </c>
      <c r="O89" s="487" t="s">
        <v>162</v>
      </c>
      <c r="P89" s="487" t="s">
        <v>162</v>
      </c>
      <c r="Q89" s="201" t="s">
        <v>162</v>
      </c>
      <c r="R89" s="487" t="s">
        <v>162</v>
      </c>
      <c r="S89" s="487" t="s">
        <v>162</v>
      </c>
      <c r="T89" s="487" t="s">
        <v>162</v>
      </c>
      <c r="U89" s="487" t="s">
        <v>162</v>
      </c>
      <c r="V89" s="487" t="s">
        <v>162</v>
      </c>
      <c r="W89" s="487" t="s">
        <v>162</v>
      </c>
      <c r="X89" s="487" t="s">
        <v>162</v>
      </c>
      <c r="Y89" s="487" t="s">
        <v>162</v>
      </c>
      <c r="Z89" s="487" t="s">
        <v>162</v>
      </c>
      <c r="AA89" s="487" t="s">
        <v>162</v>
      </c>
      <c r="AB89" s="487" t="s">
        <v>162</v>
      </c>
      <c r="AC89" s="487" t="s">
        <v>162</v>
      </c>
      <c r="AD89" s="487" t="s">
        <v>162</v>
      </c>
      <c r="AE89" s="487" t="s">
        <v>162</v>
      </c>
      <c r="AF89" s="487" t="s">
        <v>162</v>
      </c>
      <c r="AG89" s="487" t="s">
        <v>162</v>
      </c>
      <c r="AH89" s="487" t="s">
        <v>162</v>
      </c>
      <c r="AI89" s="487" t="s">
        <v>162</v>
      </c>
      <c r="AJ89" s="487" t="s">
        <v>162</v>
      </c>
      <c r="AK89" s="487" t="s">
        <v>162</v>
      </c>
      <c r="AL89" s="487" t="s">
        <v>162</v>
      </c>
      <c r="AM89" s="487" t="s">
        <v>162</v>
      </c>
      <c r="AN89" s="487" t="s">
        <v>162</v>
      </c>
      <c r="AO89" s="487" t="s">
        <v>162</v>
      </c>
      <c r="AP89" s="487" t="s">
        <v>162</v>
      </c>
      <c r="AQ89" s="487" t="s">
        <v>162</v>
      </c>
      <c r="AR89" s="487" t="s">
        <v>162</v>
      </c>
      <c r="AS89" s="487" t="s">
        <v>162</v>
      </c>
      <c r="AT89" s="487" t="s">
        <v>162</v>
      </c>
      <c r="AU89" s="487" t="s">
        <v>162</v>
      </c>
      <c r="AV89" s="487" t="s">
        <v>162</v>
      </c>
      <c r="AW89" s="794"/>
      <c r="AX89" s="799" t="s">
        <v>984</v>
      </c>
      <c r="AY89" s="796"/>
    </row>
    <row r="90">
      <c r="A90" s="776"/>
      <c r="B90" s="538"/>
      <c r="C90" s="538"/>
      <c r="D90" s="538"/>
      <c r="E90" s="777"/>
      <c r="F90" s="533"/>
      <c r="G90" s="534"/>
      <c r="H90" s="680"/>
      <c r="I90" s="482"/>
      <c r="J90" s="482"/>
      <c r="K90" s="482"/>
      <c r="L90" s="482"/>
      <c r="M90" s="482"/>
      <c r="N90" s="482"/>
      <c r="O90" s="482"/>
      <c r="P90" s="482"/>
      <c r="Q90" s="13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c r="AV90" s="482"/>
      <c r="AW90" s="778"/>
      <c r="AX90" s="779"/>
      <c r="AY90" s="780"/>
    </row>
    <row r="91">
      <c r="A91" s="776"/>
      <c r="B91" s="538"/>
      <c r="C91" s="342" t="s">
        <v>998</v>
      </c>
      <c r="F91" s="533"/>
      <c r="G91" s="534"/>
      <c r="H91" s="680"/>
      <c r="I91" s="482"/>
      <c r="J91" s="482"/>
      <c r="K91" s="482"/>
      <c r="L91" s="482"/>
      <c r="M91" s="482"/>
      <c r="N91" s="482"/>
      <c r="O91" s="482"/>
      <c r="P91" s="482"/>
      <c r="Q91" s="13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c r="AT91" s="482"/>
      <c r="AU91" s="482"/>
      <c r="AV91" s="482"/>
      <c r="AW91" s="778"/>
      <c r="AX91" s="779"/>
      <c r="AY91" s="780"/>
    </row>
    <row r="92">
      <c r="A92" s="776"/>
      <c r="B92" s="538"/>
      <c r="C92" s="538"/>
      <c r="D92" s="538"/>
      <c r="E92" s="782" t="s">
        <v>857</v>
      </c>
      <c r="F92" s="539" t="s">
        <v>72</v>
      </c>
      <c r="G92" s="540" t="s">
        <v>165</v>
      </c>
      <c r="H92" s="783">
        <v>0.0</v>
      </c>
      <c r="I92" s="483" t="s">
        <v>162</v>
      </c>
      <c r="J92" s="483" t="s">
        <v>162</v>
      </c>
      <c r="K92" s="483" t="s">
        <v>162</v>
      </c>
      <c r="L92" s="483" t="s">
        <v>162</v>
      </c>
      <c r="M92" s="483" t="s">
        <v>162</v>
      </c>
      <c r="N92" s="483" t="s">
        <v>162</v>
      </c>
      <c r="O92" s="483" t="s">
        <v>162</v>
      </c>
      <c r="P92" s="483" t="s">
        <v>162</v>
      </c>
      <c r="Q92" s="194" t="s">
        <v>162</v>
      </c>
      <c r="R92" s="483" t="s">
        <v>162</v>
      </c>
      <c r="S92" s="483" t="s">
        <v>162</v>
      </c>
      <c r="T92" s="483" t="s">
        <v>162</v>
      </c>
      <c r="U92" s="483" t="s">
        <v>162</v>
      </c>
      <c r="V92" s="483" t="s">
        <v>162</v>
      </c>
      <c r="W92" s="483" t="s">
        <v>162</v>
      </c>
      <c r="X92" s="483" t="s">
        <v>162</v>
      </c>
      <c r="Y92" s="483" t="s">
        <v>162</v>
      </c>
      <c r="Z92" s="483" t="s">
        <v>162</v>
      </c>
      <c r="AA92" s="483" t="s">
        <v>162</v>
      </c>
      <c r="AB92" s="483" t="s">
        <v>162</v>
      </c>
      <c r="AC92" s="483" t="s">
        <v>162</v>
      </c>
      <c r="AD92" s="483" t="s">
        <v>162</v>
      </c>
      <c r="AE92" s="483" t="s">
        <v>162</v>
      </c>
      <c r="AF92" s="483" t="s">
        <v>162</v>
      </c>
      <c r="AG92" s="483" t="s">
        <v>162</v>
      </c>
      <c r="AH92" s="483" t="s">
        <v>162</v>
      </c>
      <c r="AI92" s="483" t="s">
        <v>162</v>
      </c>
      <c r="AJ92" s="483" t="s">
        <v>162</v>
      </c>
      <c r="AK92" s="483" t="s">
        <v>162</v>
      </c>
      <c r="AL92" s="483" t="s">
        <v>162</v>
      </c>
      <c r="AM92" s="483" t="s">
        <v>162</v>
      </c>
      <c r="AN92" s="483" t="s">
        <v>162</v>
      </c>
      <c r="AO92" s="483" t="s">
        <v>162</v>
      </c>
      <c r="AP92" s="483" t="s">
        <v>162</v>
      </c>
      <c r="AQ92" s="483" t="s">
        <v>162</v>
      </c>
      <c r="AR92" s="483" t="s">
        <v>162</v>
      </c>
      <c r="AS92" s="483" t="s">
        <v>162</v>
      </c>
      <c r="AT92" s="483" t="s">
        <v>162</v>
      </c>
      <c r="AU92" s="483" t="s">
        <v>162</v>
      </c>
      <c r="AV92" s="483" t="s">
        <v>162</v>
      </c>
      <c r="AW92" s="784"/>
      <c r="AX92" s="797" t="s">
        <v>984</v>
      </c>
      <c r="AY92" s="786"/>
    </row>
    <row r="93">
      <c r="A93" s="776"/>
      <c r="B93" s="538"/>
      <c r="C93" s="538"/>
      <c r="D93" s="538"/>
      <c r="E93" s="792" t="s">
        <v>858</v>
      </c>
      <c r="F93" s="559" t="s">
        <v>72</v>
      </c>
      <c r="G93" s="560" t="s">
        <v>165</v>
      </c>
      <c r="H93" s="793">
        <v>1.0</v>
      </c>
      <c r="I93" s="487" t="s">
        <v>162</v>
      </c>
      <c r="J93" s="487" t="s">
        <v>162</v>
      </c>
      <c r="K93" s="487" t="s">
        <v>162</v>
      </c>
      <c r="L93" s="487" t="s">
        <v>162</v>
      </c>
      <c r="M93" s="487" t="s">
        <v>162</v>
      </c>
      <c r="N93" s="487" t="s">
        <v>162</v>
      </c>
      <c r="O93" s="487" t="s">
        <v>162</v>
      </c>
      <c r="P93" s="487" t="s">
        <v>162</v>
      </c>
      <c r="Q93" s="201" t="s">
        <v>162</v>
      </c>
      <c r="R93" s="487" t="s">
        <v>162</v>
      </c>
      <c r="S93" s="487" t="s">
        <v>162</v>
      </c>
      <c r="T93" s="487" t="s">
        <v>162</v>
      </c>
      <c r="U93" s="487" t="s">
        <v>162</v>
      </c>
      <c r="V93" s="487" t="s">
        <v>162</v>
      </c>
      <c r="W93" s="487" t="s">
        <v>162</v>
      </c>
      <c r="X93" s="487" t="s">
        <v>162</v>
      </c>
      <c r="Y93" s="487" t="s">
        <v>162</v>
      </c>
      <c r="Z93" s="487" t="s">
        <v>162</v>
      </c>
      <c r="AA93" s="487" t="s">
        <v>162</v>
      </c>
      <c r="AB93" s="487" t="s">
        <v>162</v>
      </c>
      <c r="AC93" s="487" t="s">
        <v>162</v>
      </c>
      <c r="AD93" s="487" t="s">
        <v>162</v>
      </c>
      <c r="AE93" s="487" t="s">
        <v>162</v>
      </c>
      <c r="AF93" s="487" t="s">
        <v>162</v>
      </c>
      <c r="AG93" s="487" t="s">
        <v>162</v>
      </c>
      <c r="AH93" s="487" t="s">
        <v>162</v>
      </c>
      <c r="AI93" s="487" t="s">
        <v>162</v>
      </c>
      <c r="AJ93" s="487" t="s">
        <v>162</v>
      </c>
      <c r="AK93" s="487" t="s">
        <v>162</v>
      </c>
      <c r="AL93" s="487" t="s">
        <v>162</v>
      </c>
      <c r="AM93" s="487" t="s">
        <v>162</v>
      </c>
      <c r="AN93" s="487" t="s">
        <v>162</v>
      </c>
      <c r="AO93" s="487" t="s">
        <v>162</v>
      </c>
      <c r="AP93" s="487" t="s">
        <v>162</v>
      </c>
      <c r="AQ93" s="487" t="s">
        <v>162</v>
      </c>
      <c r="AR93" s="487" t="s">
        <v>162</v>
      </c>
      <c r="AS93" s="487" t="s">
        <v>162</v>
      </c>
      <c r="AT93" s="487" t="s">
        <v>162</v>
      </c>
      <c r="AU93" s="487" t="s">
        <v>162</v>
      </c>
      <c r="AV93" s="487" t="s">
        <v>162</v>
      </c>
      <c r="AW93" s="794"/>
      <c r="AX93" s="799" t="s">
        <v>984</v>
      </c>
      <c r="AY93" s="796"/>
    </row>
    <row r="94">
      <c r="A94" s="776"/>
      <c r="B94" s="538"/>
      <c r="C94" s="538"/>
      <c r="D94" s="538"/>
      <c r="E94" s="777"/>
      <c r="F94" s="533"/>
      <c r="G94" s="534"/>
      <c r="H94" s="680"/>
      <c r="I94" s="482"/>
      <c r="J94" s="482"/>
      <c r="K94" s="482"/>
      <c r="L94" s="482"/>
      <c r="M94" s="482"/>
      <c r="N94" s="482"/>
      <c r="O94" s="482"/>
      <c r="P94" s="482"/>
      <c r="Q94" s="132"/>
      <c r="R94" s="482"/>
      <c r="S94" s="482"/>
      <c r="T94" s="482"/>
      <c r="U94" s="482"/>
      <c r="V94" s="482"/>
      <c r="W94" s="482"/>
      <c r="X94" s="482"/>
      <c r="Y94" s="482"/>
      <c r="Z94" s="482"/>
      <c r="AA94" s="482"/>
      <c r="AB94" s="482"/>
      <c r="AC94" s="482"/>
      <c r="AD94" s="482"/>
      <c r="AE94" s="482"/>
      <c r="AF94" s="482"/>
      <c r="AG94" s="482"/>
      <c r="AH94" s="482"/>
      <c r="AI94" s="482"/>
      <c r="AJ94" s="482"/>
      <c r="AK94" s="482"/>
      <c r="AL94" s="482"/>
      <c r="AM94" s="482"/>
      <c r="AN94" s="482"/>
      <c r="AO94" s="482"/>
      <c r="AP94" s="482"/>
      <c r="AQ94" s="482"/>
      <c r="AR94" s="482"/>
      <c r="AS94" s="482"/>
      <c r="AT94" s="482"/>
      <c r="AU94" s="482"/>
      <c r="AV94" s="482"/>
      <c r="AW94" s="778"/>
      <c r="AX94" s="779"/>
      <c r="AY94" s="780"/>
    </row>
    <row r="95">
      <c r="A95" s="776"/>
      <c r="B95" s="538"/>
      <c r="C95" s="143" t="s">
        <v>759</v>
      </c>
      <c r="F95" s="533"/>
      <c r="G95" s="534"/>
      <c r="H95" s="846"/>
      <c r="I95" s="448"/>
      <c r="J95" s="448"/>
      <c r="K95" s="448"/>
      <c r="L95" s="448"/>
      <c r="M95" s="448"/>
      <c r="N95" s="448"/>
      <c r="O95" s="448"/>
      <c r="P95" s="448"/>
      <c r="Q95" s="142"/>
      <c r="R95" s="448"/>
      <c r="S95" s="448"/>
      <c r="T95" s="448"/>
      <c r="U95" s="448"/>
      <c r="V95" s="448"/>
      <c r="W95" s="448"/>
      <c r="X95" s="448"/>
      <c r="Y95" s="448"/>
      <c r="Z95" s="448"/>
      <c r="AA95" s="448"/>
      <c r="AB95" s="448"/>
      <c r="AC95" s="448"/>
      <c r="AD95" s="448"/>
      <c r="AE95" s="448"/>
      <c r="AF95" s="448"/>
      <c r="AG95" s="448"/>
      <c r="AH95" s="448"/>
      <c r="AI95" s="448"/>
      <c r="AJ95" s="448"/>
      <c r="AK95" s="448"/>
      <c r="AL95" s="448"/>
      <c r="AM95" s="448"/>
      <c r="AN95" s="448"/>
      <c r="AO95" s="448"/>
      <c r="AP95" s="448"/>
      <c r="AQ95" s="448"/>
      <c r="AR95" s="448"/>
      <c r="AS95" s="448"/>
      <c r="AT95" s="448"/>
      <c r="AU95" s="448"/>
      <c r="AV95" s="448"/>
      <c r="AW95" s="778"/>
      <c r="AX95" s="847"/>
      <c r="AY95" s="780"/>
    </row>
    <row r="96">
      <c r="A96" s="776"/>
      <c r="B96" s="538"/>
      <c r="C96" s="538"/>
      <c r="D96" s="538"/>
      <c r="E96" s="782" t="s">
        <v>760</v>
      </c>
      <c r="F96" s="539" t="s">
        <v>72</v>
      </c>
      <c r="G96" s="540" t="s">
        <v>165</v>
      </c>
      <c r="H96" s="783">
        <v>0.35</v>
      </c>
      <c r="I96" s="483" t="s">
        <v>162</v>
      </c>
      <c r="J96" s="483" t="s">
        <v>162</v>
      </c>
      <c r="K96" s="483" t="s">
        <v>162</v>
      </c>
      <c r="L96" s="483" t="s">
        <v>162</v>
      </c>
      <c r="M96" s="483" t="s">
        <v>162</v>
      </c>
      <c r="N96" s="483" t="s">
        <v>162</v>
      </c>
      <c r="O96" s="483" t="s">
        <v>162</v>
      </c>
      <c r="P96" s="483" t="s">
        <v>162</v>
      </c>
      <c r="Q96" s="194" t="s">
        <v>162</v>
      </c>
      <c r="R96" s="483" t="s">
        <v>162</v>
      </c>
      <c r="S96" s="483" t="s">
        <v>162</v>
      </c>
      <c r="T96" s="483" t="s">
        <v>162</v>
      </c>
      <c r="U96" s="483" t="s">
        <v>162</v>
      </c>
      <c r="V96" s="483" t="s">
        <v>162</v>
      </c>
      <c r="W96" s="483" t="s">
        <v>162</v>
      </c>
      <c r="X96" s="483" t="s">
        <v>162</v>
      </c>
      <c r="Y96" s="483" t="s">
        <v>162</v>
      </c>
      <c r="Z96" s="483" t="s">
        <v>162</v>
      </c>
      <c r="AA96" s="483" t="s">
        <v>162</v>
      </c>
      <c r="AB96" s="483" t="s">
        <v>162</v>
      </c>
      <c r="AC96" s="483" t="s">
        <v>162</v>
      </c>
      <c r="AD96" s="483" t="s">
        <v>162</v>
      </c>
      <c r="AE96" s="483" t="s">
        <v>162</v>
      </c>
      <c r="AF96" s="483" t="s">
        <v>162</v>
      </c>
      <c r="AG96" s="483" t="s">
        <v>162</v>
      </c>
      <c r="AH96" s="483" t="s">
        <v>162</v>
      </c>
      <c r="AI96" s="483" t="s">
        <v>162</v>
      </c>
      <c r="AJ96" s="483" t="s">
        <v>162</v>
      </c>
      <c r="AK96" s="483" t="s">
        <v>162</v>
      </c>
      <c r="AL96" s="483" t="s">
        <v>162</v>
      </c>
      <c r="AM96" s="483" t="s">
        <v>162</v>
      </c>
      <c r="AN96" s="483" t="s">
        <v>162</v>
      </c>
      <c r="AO96" s="483" t="s">
        <v>162</v>
      </c>
      <c r="AP96" s="483" t="s">
        <v>162</v>
      </c>
      <c r="AQ96" s="483" t="s">
        <v>162</v>
      </c>
      <c r="AR96" s="483" t="s">
        <v>162</v>
      </c>
      <c r="AS96" s="483" t="s">
        <v>162</v>
      </c>
      <c r="AT96" s="483" t="s">
        <v>162</v>
      </c>
      <c r="AU96" s="483" t="s">
        <v>162</v>
      </c>
      <c r="AV96" s="483" t="s">
        <v>162</v>
      </c>
      <c r="AW96" s="784"/>
      <c r="AX96" s="797" t="s">
        <v>984</v>
      </c>
      <c r="AY96" s="848"/>
    </row>
    <row r="97">
      <c r="A97" s="776"/>
      <c r="B97" s="538"/>
      <c r="C97" s="538"/>
      <c r="D97" s="538"/>
      <c r="E97" s="475" t="s">
        <v>761</v>
      </c>
      <c r="F97" s="554" t="s">
        <v>72</v>
      </c>
      <c r="G97" s="555" t="s">
        <v>165</v>
      </c>
      <c r="H97" s="787">
        <v>0.55</v>
      </c>
      <c r="I97" s="485" t="s">
        <v>162</v>
      </c>
      <c r="J97" s="485" t="s">
        <v>162</v>
      </c>
      <c r="K97" s="485" t="s">
        <v>162</v>
      </c>
      <c r="L97" s="485" t="s">
        <v>162</v>
      </c>
      <c r="M97" s="485" t="s">
        <v>162</v>
      </c>
      <c r="N97" s="485" t="s">
        <v>162</v>
      </c>
      <c r="O97" s="485" t="s">
        <v>162</v>
      </c>
      <c r="P97" s="485" t="s">
        <v>162</v>
      </c>
      <c r="Q97" s="214" t="s">
        <v>162</v>
      </c>
      <c r="R97" s="485" t="s">
        <v>162</v>
      </c>
      <c r="S97" s="485" t="s">
        <v>162</v>
      </c>
      <c r="T97" s="485" t="s">
        <v>162</v>
      </c>
      <c r="U97" s="485" t="s">
        <v>162</v>
      </c>
      <c r="V97" s="485" t="s">
        <v>162</v>
      </c>
      <c r="W97" s="485" t="s">
        <v>162</v>
      </c>
      <c r="X97" s="485" t="s">
        <v>162</v>
      </c>
      <c r="Y97" s="485" t="s">
        <v>162</v>
      </c>
      <c r="Z97" s="485" t="s">
        <v>162</v>
      </c>
      <c r="AA97" s="485" t="s">
        <v>162</v>
      </c>
      <c r="AB97" s="485" t="s">
        <v>162</v>
      </c>
      <c r="AC97" s="485" t="s">
        <v>162</v>
      </c>
      <c r="AD97" s="485" t="s">
        <v>162</v>
      </c>
      <c r="AE97" s="485" t="s">
        <v>162</v>
      </c>
      <c r="AF97" s="485" t="s">
        <v>162</v>
      </c>
      <c r="AG97" s="485" t="s">
        <v>162</v>
      </c>
      <c r="AH97" s="485" t="s">
        <v>162</v>
      </c>
      <c r="AI97" s="485" t="s">
        <v>162</v>
      </c>
      <c r="AJ97" s="485" t="s">
        <v>162</v>
      </c>
      <c r="AK97" s="485" t="s">
        <v>162</v>
      </c>
      <c r="AL97" s="483" t="s">
        <v>162</v>
      </c>
      <c r="AM97" s="483" t="s">
        <v>162</v>
      </c>
      <c r="AN97" s="483" t="s">
        <v>162</v>
      </c>
      <c r="AO97" s="485" t="s">
        <v>162</v>
      </c>
      <c r="AP97" s="485" t="s">
        <v>162</v>
      </c>
      <c r="AQ97" s="485" t="s">
        <v>162</v>
      </c>
      <c r="AR97" s="485" t="s">
        <v>162</v>
      </c>
      <c r="AS97" s="485" t="s">
        <v>162</v>
      </c>
      <c r="AT97" s="485" t="s">
        <v>162</v>
      </c>
      <c r="AU97" s="485" t="s">
        <v>162</v>
      </c>
      <c r="AV97" s="485" t="s">
        <v>162</v>
      </c>
      <c r="AW97" s="788"/>
      <c r="AX97" s="798" t="s">
        <v>984</v>
      </c>
      <c r="AY97" s="849"/>
    </row>
    <row r="98">
      <c r="A98" s="776"/>
      <c r="B98" s="538"/>
      <c r="C98" s="538"/>
      <c r="D98" s="538"/>
      <c r="E98" s="475" t="s">
        <v>762</v>
      </c>
      <c r="F98" s="554" t="s">
        <v>72</v>
      </c>
      <c r="G98" s="555" t="s">
        <v>165</v>
      </c>
      <c r="H98" s="787">
        <v>0.1</v>
      </c>
      <c r="I98" s="485" t="s">
        <v>162</v>
      </c>
      <c r="J98" s="485" t="s">
        <v>162</v>
      </c>
      <c r="K98" s="485" t="s">
        <v>162</v>
      </c>
      <c r="L98" s="485" t="s">
        <v>162</v>
      </c>
      <c r="M98" s="485" t="s">
        <v>162</v>
      </c>
      <c r="N98" s="485" t="s">
        <v>162</v>
      </c>
      <c r="O98" s="485" t="s">
        <v>162</v>
      </c>
      <c r="P98" s="485" t="s">
        <v>162</v>
      </c>
      <c r="Q98" s="214" t="s">
        <v>162</v>
      </c>
      <c r="R98" s="485" t="s">
        <v>162</v>
      </c>
      <c r="S98" s="485" t="s">
        <v>162</v>
      </c>
      <c r="T98" s="485" t="s">
        <v>162</v>
      </c>
      <c r="U98" s="485" t="s">
        <v>162</v>
      </c>
      <c r="V98" s="485" t="s">
        <v>162</v>
      </c>
      <c r="W98" s="485" t="s">
        <v>162</v>
      </c>
      <c r="X98" s="485" t="s">
        <v>162</v>
      </c>
      <c r="Y98" s="485" t="s">
        <v>162</v>
      </c>
      <c r="Z98" s="485" t="s">
        <v>162</v>
      </c>
      <c r="AA98" s="485" t="s">
        <v>162</v>
      </c>
      <c r="AB98" s="485" t="s">
        <v>162</v>
      </c>
      <c r="AC98" s="485" t="s">
        <v>162</v>
      </c>
      <c r="AD98" s="485" t="s">
        <v>162</v>
      </c>
      <c r="AE98" s="485" t="s">
        <v>162</v>
      </c>
      <c r="AF98" s="485" t="s">
        <v>162</v>
      </c>
      <c r="AG98" s="485" t="s">
        <v>162</v>
      </c>
      <c r="AH98" s="485" t="s">
        <v>162</v>
      </c>
      <c r="AI98" s="485" t="s">
        <v>162</v>
      </c>
      <c r="AJ98" s="485" t="s">
        <v>162</v>
      </c>
      <c r="AK98" s="485" t="s">
        <v>162</v>
      </c>
      <c r="AL98" s="483" t="s">
        <v>162</v>
      </c>
      <c r="AM98" s="483" t="s">
        <v>162</v>
      </c>
      <c r="AN98" s="483" t="s">
        <v>162</v>
      </c>
      <c r="AO98" s="485" t="s">
        <v>162</v>
      </c>
      <c r="AP98" s="485" t="s">
        <v>162</v>
      </c>
      <c r="AQ98" s="485" t="s">
        <v>162</v>
      </c>
      <c r="AR98" s="485" t="s">
        <v>162</v>
      </c>
      <c r="AS98" s="485" t="s">
        <v>162</v>
      </c>
      <c r="AT98" s="485" t="s">
        <v>162</v>
      </c>
      <c r="AU98" s="485" t="s">
        <v>162</v>
      </c>
      <c r="AV98" s="485" t="s">
        <v>162</v>
      </c>
      <c r="AW98" s="788"/>
      <c r="AX98" s="798" t="s">
        <v>984</v>
      </c>
      <c r="AY98" s="849"/>
    </row>
    <row r="99">
      <c r="A99" s="776"/>
      <c r="B99" s="538"/>
      <c r="C99" s="538"/>
      <c r="D99" s="538"/>
      <c r="E99" s="475" t="s">
        <v>763</v>
      </c>
      <c r="F99" s="554" t="s">
        <v>72</v>
      </c>
      <c r="G99" s="555" t="s">
        <v>165</v>
      </c>
      <c r="H99" s="787">
        <v>0.35</v>
      </c>
      <c r="I99" s="485" t="s">
        <v>162</v>
      </c>
      <c r="J99" s="485" t="s">
        <v>162</v>
      </c>
      <c r="K99" s="485" t="s">
        <v>162</v>
      </c>
      <c r="L99" s="485" t="s">
        <v>162</v>
      </c>
      <c r="M99" s="485" t="s">
        <v>162</v>
      </c>
      <c r="N99" s="485" t="s">
        <v>162</v>
      </c>
      <c r="O99" s="485" t="s">
        <v>162</v>
      </c>
      <c r="P99" s="485" t="s">
        <v>162</v>
      </c>
      <c r="Q99" s="214" t="s">
        <v>162</v>
      </c>
      <c r="R99" s="485" t="s">
        <v>162</v>
      </c>
      <c r="S99" s="485" t="s">
        <v>162</v>
      </c>
      <c r="T99" s="485" t="s">
        <v>162</v>
      </c>
      <c r="U99" s="485" t="s">
        <v>162</v>
      </c>
      <c r="V99" s="485" t="s">
        <v>162</v>
      </c>
      <c r="W99" s="485" t="s">
        <v>162</v>
      </c>
      <c r="X99" s="485" t="s">
        <v>162</v>
      </c>
      <c r="Y99" s="485" t="s">
        <v>162</v>
      </c>
      <c r="Z99" s="485" t="s">
        <v>162</v>
      </c>
      <c r="AA99" s="485" t="s">
        <v>162</v>
      </c>
      <c r="AB99" s="485" t="s">
        <v>162</v>
      </c>
      <c r="AC99" s="485" t="s">
        <v>162</v>
      </c>
      <c r="AD99" s="485" t="s">
        <v>162</v>
      </c>
      <c r="AE99" s="485" t="s">
        <v>162</v>
      </c>
      <c r="AF99" s="485" t="s">
        <v>162</v>
      </c>
      <c r="AG99" s="485" t="s">
        <v>162</v>
      </c>
      <c r="AH99" s="485" t="s">
        <v>162</v>
      </c>
      <c r="AI99" s="485" t="s">
        <v>162</v>
      </c>
      <c r="AJ99" s="485" t="s">
        <v>162</v>
      </c>
      <c r="AK99" s="485" t="s">
        <v>162</v>
      </c>
      <c r="AL99" s="483" t="s">
        <v>162</v>
      </c>
      <c r="AM99" s="483" t="s">
        <v>162</v>
      </c>
      <c r="AN99" s="483" t="s">
        <v>162</v>
      </c>
      <c r="AO99" s="485" t="s">
        <v>162</v>
      </c>
      <c r="AP99" s="485" t="s">
        <v>162</v>
      </c>
      <c r="AQ99" s="485" t="s">
        <v>162</v>
      </c>
      <c r="AR99" s="485" t="s">
        <v>162</v>
      </c>
      <c r="AS99" s="485" t="s">
        <v>162</v>
      </c>
      <c r="AT99" s="485" t="s">
        <v>162</v>
      </c>
      <c r="AU99" s="485" t="s">
        <v>162</v>
      </c>
      <c r="AV99" s="485" t="s">
        <v>162</v>
      </c>
      <c r="AW99" s="788"/>
      <c r="AX99" s="798" t="s">
        <v>984</v>
      </c>
      <c r="AY99" s="850"/>
    </row>
    <row r="100">
      <c r="A100" s="776"/>
      <c r="B100" s="538"/>
      <c r="C100" s="538"/>
      <c r="D100" s="538"/>
      <c r="E100" s="475" t="s">
        <v>764</v>
      </c>
      <c r="F100" s="554" t="s">
        <v>72</v>
      </c>
      <c r="G100" s="555" t="s">
        <v>165</v>
      </c>
      <c r="H100" s="787">
        <v>0.55</v>
      </c>
      <c r="I100" s="485" t="s">
        <v>162</v>
      </c>
      <c r="J100" s="485" t="s">
        <v>162</v>
      </c>
      <c r="K100" s="485" t="s">
        <v>162</v>
      </c>
      <c r="L100" s="485" t="s">
        <v>162</v>
      </c>
      <c r="M100" s="485" t="s">
        <v>162</v>
      </c>
      <c r="N100" s="485" t="s">
        <v>162</v>
      </c>
      <c r="O100" s="485" t="s">
        <v>162</v>
      </c>
      <c r="P100" s="485" t="s">
        <v>162</v>
      </c>
      <c r="Q100" s="214" t="s">
        <v>162</v>
      </c>
      <c r="R100" s="485" t="s">
        <v>162</v>
      </c>
      <c r="S100" s="485" t="s">
        <v>162</v>
      </c>
      <c r="T100" s="485" t="s">
        <v>162</v>
      </c>
      <c r="U100" s="485" t="s">
        <v>162</v>
      </c>
      <c r="V100" s="485" t="s">
        <v>162</v>
      </c>
      <c r="W100" s="485" t="s">
        <v>162</v>
      </c>
      <c r="X100" s="485" t="s">
        <v>162</v>
      </c>
      <c r="Y100" s="485" t="s">
        <v>162</v>
      </c>
      <c r="Z100" s="485" t="s">
        <v>162</v>
      </c>
      <c r="AA100" s="485" t="s">
        <v>162</v>
      </c>
      <c r="AB100" s="485" t="s">
        <v>162</v>
      </c>
      <c r="AC100" s="485" t="s">
        <v>162</v>
      </c>
      <c r="AD100" s="485" t="s">
        <v>162</v>
      </c>
      <c r="AE100" s="485" t="s">
        <v>162</v>
      </c>
      <c r="AF100" s="485" t="s">
        <v>162</v>
      </c>
      <c r="AG100" s="485" t="s">
        <v>162</v>
      </c>
      <c r="AH100" s="485" t="s">
        <v>162</v>
      </c>
      <c r="AI100" s="485" t="s">
        <v>162</v>
      </c>
      <c r="AJ100" s="485" t="s">
        <v>162</v>
      </c>
      <c r="AK100" s="485" t="s">
        <v>162</v>
      </c>
      <c r="AL100" s="483" t="s">
        <v>162</v>
      </c>
      <c r="AM100" s="483" t="s">
        <v>162</v>
      </c>
      <c r="AN100" s="483" t="s">
        <v>162</v>
      </c>
      <c r="AO100" s="485" t="s">
        <v>162</v>
      </c>
      <c r="AP100" s="485" t="s">
        <v>162</v>
      </c>
      <c r="AQ100" s="485" t="s">
        <v>162</v>
      </c>
      <c r="AR100" s="485" t="s">
        <v>162</v>
      </c>
      <c r="AS100" s="485" t="s">
        <v>162</v>
      </c>
      <c r="AT100" s="485" t="s">
        <v>162</v>
      </c>
      <c r="AU100" s="485" t="s">
        <v>162</v>
      </c>
      <c r="AV100" s="485" t="s">
        <v>162</v>
      </c>
      <c r="AW100" s="788"/>
      <c r="AX100" s="798" t="s">
        <v>984</v>
      </c>
      <c r="AY100" s="850"/>
    </row>
    <row r="101">
      <c r="A101" s="776"/>
      <c r="B101" s="538"/>
      <c r="C101" s="538"/>
      <c r="D101" s="538"/>
      <c r="E101" s="475" t="s">
        <v>765</v>
      </c>
      <c r="F101" s="554" t="s">
        <v>72</v>
      </c>
      <c r="G101" s="555" t="s">
        <v>165</v>
      </c>
      <c r="H101" s="787">
        <v>0.1</v>
      </c>
      <c r="I101" s="485" t="s">
        <v>162</v>
      </c>
      <c r="J101" s="485" t="s">
        <v>162</v>
      </c>
      <c r="K101" s="485" t="s">
        <v>162</v>
      </c>
      <c r="L101" s="485" t="s">
        <v>162</v>
      </c>
      <c r="M101" s="485" t="s">
        <v>162</v>
      </c>
      <c r="N101" s="485" t="s">
        <v>162</v>
      </c>
      <c r="O101" s="485" t="s">
        <v>162</v>
      </c>
      <c r="P101" s="485" t="s">
        <v>162</v>
      </c>
      <c r="Q101" s="214" t="s">
        <v>162</v>
      </c>
      <c r="R101" s="485" t="s">
        <v>162</v>
      </c>
      <c r="S101" s="485" t="s">
        <v>162</v>
      </c>
      <c r="T101" s="485" t="s">
        <v>162</v>
      </c>
      <c r="U101" s="485" t="s">
        <v>162</v>
      </c>
      <c r="V101" s="485" t="s">
        <v>162</v>
      </c>
      <c r="W101" s="485" t="s">
        <v>162</v>
      </c>
      <c r="X101" s="485" t="s">
        <v>162</v>
      </c>
      <c r="Y101" s="485" t="s">
        <v>162</v>
      </c>
      <c r="Z101" s="485" t="s">
        <v>162</v>
      </c>
      <c r="AA101" s="485" t="s">
        <v>162</v>
      </c>
      <c r="AB101" s="485" t="s">
        <v>162</v>
      </c>
      <c r="AC101" s="485" t="s">
        <v>162</v>
      </c>
      <c r="AD101" s="485" t="s">
        <v>162</v>
      </c>
      <c r="AE101" s="485" t="s">
        <v>162</v>
      </c>
      <c r="AF101" s="485" t="s">
        <v>162</v>
      </c>
      <c r="AG101" s="485" t="s">
        <v>162</v>
      </c>
      <c r="AH101" s="485" t="s">
        <v>162</v>
      </c>
      <c r="AI101" s="485" t="s">
        <v>162</v>
      </c>
      <c r="AJ101" s="485" t="s">
        <v>162</v>
      </c>
      <c r="AK101" s="485" t="s">
        <v>162</v>
      </c>
      <c r="AL101" s="483" t="s">
        <v>162</v>
      </c>
      <c r="AM101" s="483" t="s">
        <v>162</v>
      </c>
      <c r="AN101" s="483" t="s">
        <v>162</v>
      </c>
      <c r="AO101" s="485" t="s">
        <v>162</v>
      </c>
      <c r="AP101" s="485" t="s">
        <v>162</v>
      </c>
      <c r="AQ101" s="485" t="s">
        <v>162</v>
      </c>
      <c r="AR101" s="485" t="s">
        <v>162</v>
      </c>
      <c r="AS101" s="485" t="s">
        <v>162</v>
      </c>
      <c r="AT101" s="485" t="s">
        <v>162</v>
      </c>
      <c r="AU101" s="485" t="s">
        <v>162</v>
      </c>
      <c r="AV101" s="485" t="s">
        <v>162</v>
      </c>
      <c r="AW101" s="788"/>
      <c r="AX101" s="798" t="s">
        <v>984</v>
      </c>
      <c r="AY101" s="851"/>
    </row>
    <row r="102">
      <c r="A102" s="776"/>
      <c r="B102" s="538"/>
      <c r="C102" s="538"/>
      <c r="D102" s="538"/>
      <c r="E102" s="475" t="s">
        <v>766</v>
      </c>
      <c r="F102" s="554" t="s">
        <v>72</v>
      </c>
      <c r="G102" s="555" t="s">
        <v>165</v>
      </c>
      <c r="H102" s="787">
        <v>0.75</v>
      </c>
      <c r="I102" s="485" t="s">
        <v>162</v>
      </c>
      <c r="J102" s="485" t="s">
        <v>162</v>
      </c>
      <c r="K102" s="485" t="s">
        <v>162</v>
      </c>
      <c r="L102" s="485" t="s">
        <v>162</v>
      </c>
      <c r="M102" s="485" t="s">
        <v>162</v>
      </c>
      <c r="N102" s="485" t="s">
        <v>162</v>
      </c>
      <c r="O102" s="485" t="s">
        <v>162</v>
      </c>
      <c r="P102" s="485" t="s">
        <v>162</v>
      </c>
      <c r="Q102" s="214" t="s">
        <v>162</v>
      </c>
      <c r="R102" s="485" t="s">
        <v>162</v>
      </c>
      <c r="S102" s="485" t="s">
        <v>162</v>
      </c>
      <c r="T102" s="485" t="s">
        <v>162</v>
      </c>
      <c r="U102" s="485" t="s">
        <v>162</v>
      </c>
      <c r="V102" s="485" t="s">
        <v>162</v>
      </c>
      <c r="W102" s="485" t="s">
        <v>162</v>
      </c>
      <c r="X102" s="485" t="s">
        <v>162</v>
      </c>
      <c r="Y102" s="485" t="s">
        <v>162</v>
      </c>
      <c r="Z102" s="485" t="s">
        <v>162</v>
      </c>
      <c r="AA102" s="485" t="s">
        <v>162</v>
      </c>
      <c r="AB102" s="485" t="s">
        <v>162</v>
      </c>
      <c r="AC102" s="485" t="s">
        <v>162</v>
      </c>
      <c r="AD102" s="485" t="s">
        <v>162</v>
      </c>
      <c r="AE102" s="485" t="s">
        <v>162</v>
      </c>
      <c r="AF102" s="485" t="s">
        <v>162</v>
      </c>
      <c r="AG102" s="485" t="s">
        <v>162</v>
      </c>
      <c r="AH102" s="485" t="s">
        <v>162</v>
      </c>
      <c r="AI102" s="485" t="s">
        <v>162</v>
      </c>
      <c r="AJ102" s="485" t="s">
        <v>162</v>
      </c>
      <c r="AK102" s="485" t="s">
        <v>162</v>
      </c>
      <c r="AL102" s="483" t="s">
        <v>162</v>
      </c>
      <c r="AM102" s="483" t="s">
        <v>162</v>
      </c>
      <c r="AN102" s="483" t="s">
        <v>162</v>
      </c>
      <c r="AO102" s="485" t="s">
        <v>162</v>
      </c>
      <c r="AP102" s="485" t="s">
        <v>162</v>
      </c>
      <c r="AQ102" s="485" t="s">
        <v>162</v>
      </c>
      <c r="AR102" s="485" t="s">
        <v>162</v>
      </c>
      <c r="AS102" s="485" t="s">
        <v>162</v>
      </c>
      <c r="AT102" s="485" t="s">
        <v>162</v>
      </c>
      <c r="AU102" s="485" t="s">
        <v>162</v>
      </c>
      <c r="AV102" s="485" t="s">
        <v>162</v>
      </c>
      <c r="AW102" s="788"/>
      <c r="AX102" s="798" t="s">
        <v>984</v>
      </c>
      <c r="AY102" s="851"/>
    </row>
    <row r="103">
      <c r="A103" s="776"/>
      <c r="B103" s="538"/>
      <c r="C103" s="538"/>
      <c r="D103" s="538"/>
      <c r="E103" s="475" t="s">
        <v>767</v>
      </c>
      <c r="F103" s="554" t="s">
        <v>72</v>
      </c>
      <c r="G103" s="555" t="s">
        <v>165</v>
      </c>
      <c r="H103" s="787">
        <v>0.15</v>
      </c>
      <c r="I103" s="485" t="s">
        <v>162</v>
      </c>
      <c r="J103" s="485" t="s">
        <v>162</v>
      </c>
      <c r="K103" s="485" t="s">
        <v>162</v>
      </c>
      <c r="L103" s="485" t="s">
        <v>162</v>
      </c>
      <c r="M103" s="485" t="s">
        <v>162</v>
      </c>
      <c r="N103" s="485" t="s">
        <v>162</v>
      </c>
      <c r="O103" s="485" t="s">
        <v>162</v>
      </c>
      <c r="P103" s="485" t="s">
        <v>162</v>
      </c>
      <c r="Q103" s="214" t="s">
        <v>162</v>
      </c>
      <c r="R103" s="485" t="s">
        <v>162</v>
      </c>
      <c r="S103" s="485" t="s">
        <v>162</v>
      </c>
      <c r="T103" s="485" t="s">
        <v>162</v>
      </c>
      <c r="U103" s="485" t="s">
        <v>162</v>
      </c>
      <c r="V103" s="485" t="s">
        <v>162</v>
      </c>
      <c r="W103" s="485" t="s">
        <v>162</v>
      </c>
      <c r="X103" s="485" t="s">
        <v>162</v>
      </c>
      <c r="Y103" s="485" t="s">
        <v>162</v>
      </c>
      <c r="Z103" s="485" t="s">
        <v>162</v>
      </c>
      <c r="AA103" s="485" t="s">
        <v>162</v>
      </c>
      <c r="AB103" s="485" t="s">
        <v>162</v>
      </c>
      <c r="AC103" s="485" t="s">
        <v>162</v>
      </c>
      <c r="AD103" s="485" t="s">
        <v>162</v>
      </c>
      <c r="AE103" s="485" t="s">
        <v>162</v>
      </c>
      <c r="AF103" s="485" t="s">
        <v>162</v>
      </c>
      <c r="AG103" s="485" t="s">
        <v>162</v>
      </c>
      <c r="AH103" s="485" t="s">
        <v>162</v>
      </c>
      <c r="AI103" s="485" t="s">
        <v>162</v>
      </c>
      <c r="AJ103" s="485" t="s">
        <v>162</v>
      </c>
      <c r="AK103" s="485" t="s">
        <v>162</v>
      </c>
      <c r="AL103" s="483" t="s">
        <v>162</v>
      </c>
      <c r="AM103" s="483" t="s">
        <v>162</v>
      </c>
      <c r="AN103" s="483" t="s">
        <v>162</v>
      </c>
      <c r="AO103" s="485" t="s">
        <v>162</v>
      </c>
      <c r="AP103" s="485" t="s">
        <v>162</v>
      </c>
      <c r="AQ103" s="485" t="s">
        <v>162</v>
      </c>
      <c r="AR103" s="485" t="s">
        <v>162</v>
      </c>
      <c r="AS103" s="485" t="s">
        <v>162</v>
      </c>
      <c r="AT103" s="485" t="s">
        <v>162</v>
      </c>
      <c r="AU103" s="485" t="s">
        <v>162</v>
      </c>
      <c r="AV103" s="485" t="s">
        <v>162</v>
      </c>
      <c r="AW103" s="788"/>
      <c r="AX103" s="798" t="s">
        <v>984</v>
      </c>
      <c r="AY103" s="790"/>
    </row>
    <row r="104">
      <c r="A104" s="776"/>
      <c r="B104" s="538"/>
      <c r="C104" s="538"/>
      <c r="D104" s="538"/>
      <c r="E104" s="475" t="s">
        <v>768</v>
      </c>
      <c r="F104" s="554" t="s">
        <v>72</v>
      </c>
      <c r="G104" s="555" t="s">
        <v>165</v>
      </c>
      <c r="H104" s="787">
        <v>0.1</v>
      </c>
      <c r="I104" s="485" t="s">
        <v>162</v>
      </c>
      <c r="J104" s="485" t="s">
        <v>162</v>
      </c>
      <c r="K104" s="485" t="s">
        <v>162</v>
      </c>
      <c r="L104" s="485" t="s">
        <v>162</v>
      </c>
      <c r="M104" s="485" t="s">
        <v>162</v>
      </c>
      <c r="N104" s="485" t="s">
        <v>162</v>
      </c>
      <c r="O104" s="485" t="s">
        <v>162</v>
      </c>
      <c r="P104" s="485" t="s">
        <v>162</v>
      </c>
      <c r="Q104" s="214" t="s">
        <v>162</v>
      </c>
      <c r="R104" s="485" t="s">
        <v>162</v>
      </c>
      <c r="S104" s="485" t="s">
        <v>162</v>
      </c>
      <c r="T104" s="485" t="s">
        <v>162</v>
      </c>
      <c r="U104" s="485" t="s">
        <v>162</v>
      </c>
      <c r="V104" s="485" t="s">
        <v>162</v>
      </c>
      <c r="W104" s="485" t="s">
        <v>162</v>
      </c>
      <c r="X104" s="485" t="s">
        <v>162</v>
      </c>
      <c r="Y104" s="485" t="s">
        <v>162</v>
      </c>
      <c r="Z104" s="485" t="s">
        <v>162</v>
      </c>
      <c r="AA104" s="485" t="s">
        <v>162</v>
      </c>
      <c r="AB104" s="485" t="s">
        <v>162</v>
      </c>
      <c r="AC104" s="485" t="s">
        <v>162</v>
      </c>
      <c r="AD104" s="485" t="s">
        <v>162</v>
      </c>
      <c r="AE104" s="485" t="s">
        <v>162</v>
      </c>
      <c r="AF104" s="485" t="s">
        <v>162</v>
      </c>
      <c r="AG104" s="485" t="s">
        <v>162</v>
      </c>
      <c r="AH104" s="485" t="s">
        <v>162</v>
      </c>
      <c r="AI104" s="485" t="s">
        <v>162</v>
      </c>
      <c r="AJ104" s="485" t="s">
        <v>162</v>
      </c>
      <c r="AK104" s="485" t="s">
        <v>162</v>
      </c>
      <c r="AL104" s="483" t="s">
        <v>162</v>
      </c>
      <c r="AM104" s="483" t="s">
        <v>162</v>
      </c>
      <c r="AN104" s="483" t="s">
        <v>162</v>
      </c>
      <c r="AO104" s="485" t="s">
        <v>162</v>
      </c>
      <c r="AP104" s="485" t="s">
        <v>162</v>
      </c>
      <c r="AQ104" s="485" t="s">
        <v>162</v>
      </c>
      <c r="AR104" s="485" t="s">
        <v>162</v>
      </c>
      <c r="AS104" s="485" t="s">
        <v>162</v>
      </c>
      <c r="AT104" s="485" t="s">
        <v>162</v>
      </c>
      <c r="AU104" s="485" t="s">
        <v>162</v>
      </c>
      <c r="AV104" s="485" t="s">
        <v>162</v>
      </c>
      <c r="AW104" s="788"/>
      <c r="AX104" s="798" t="s">
        <v>984</v>
      </c>
      <c r="AY104" s="851"/>
    </row>
    <row r="105">
      <c r="A105" s="776"/>
      <c r="B105" s="538"/>
      <c r="C105" s="538"/>
      <c r="D105" s="538"/>
      <c r="E105" s="475" t="s">
        <v>769</v>
      </c>
      <c r="F105" s="554" t="s">
        <v>72</v>
      </c>
      <c r="G105" s="555" t="s">
        <v>161</v>
      </c>
      <c r="H105" s="787">
        <f>H22/H23</f>
        <v>0.9444444444</v>
      </c>
      <c r="I105" s="485" t="s">
        <v>162</v>
      </c>
      <c r="J105" s="485" t="s">
        <v>162</v>
      </c>
      <c r="K105" s="485" t="s">
        <v>162</v>
      </c>
      <c r="L105" s="485" t="s">
        <v>162</v>
      </c>
      <c r="M105" s="485" t="s">
        <v>162</v>
      </c>
      <c r="N105" s="485" t="s">
        <v>162</v>
      </c>
      <c r="O105" s="485" t="s">
        <v>162</v>
      </c>
      <c r="P105" s="485" t="s">
        <v>162</v>
      </c>
      <c r="Q105" s="214" t="s">
        <v>162</v>
      </c>
      <c r="R105" s="485" t="s">
        <v>162</v>
      </c>
      <c r="S105" s="485" t="s">
        <v>162</v>
      </c>
      <c r="T105" s="485" t="s">
        <v>162</v>
      </c>
      <c r="U105" s="485" t="s">
        <v>162</v>
      </c>
      <c r="V105" s="485" t="s">
        <v>162</v>
      </c>
      <c r="W105" s="485" t="s">
        <v>162</v>
      </c>
      <c r="X105" s="485" t="s">
        <v>162</v>
      </c>
      <c r="Y105" s="485" t="s">
        <v>162</v>
      </c>
      <c r="Z105" s="485" t="s">
        <v>162</v>
      </c>
      <c r="AA105" s="485" t="s">
        <v>162</v>
      </c>
      <c r="AB105" s="485" t="s">
        <v>162</v>
      </c>
      <c r="AC105" s="485" t="s">
        <v>162</v>
      </c>
      <c r="AD105" s="485" t="s">
        <v>162</v>
      </c>
      <c r="AE105" s="485" t="s">
        <v>162</v>
      </c>
      <c r="AF105" s="485" t="s">
        <v>162</v>
      </c>
      <c r="AG105" s="485" t="s">
        <v>162</v>
      </c>
      <c r="AH105" s="485" t="s">
        <v>162</v>
      </c>
      <c r="AI105" s="485" t="s">
        <v>162</v>
      </c>
      <c r="AJ105" s="485" t="s">
        <v>162</v>
      </c>
      <c r="AK105" s="485" t="s">
        <v>162</v>
      </c>
      <c r="AL105" s="485" t="s">
        <v>162</v>
      </c>
      <c r="AM105" s="485" t="s">
        <v>162</v>
      </c>
      <c r="AN105" s="485" t="s">
        <v>162</v>
      </c>
      <c r="AO105" s="485" t="s">
        <v>162</v>
      </c>
      <c r="AP105" s="485" t="s">
        <v>162</v>
      </c>
      <c r="AQ105" s="485" t="s">
        <v>162</v>
      </c>
      <c r="AR105" s="485" t="s">
        <v>162</v>
      </c>
      <c r="AS105" s="485" t="s">
        <v>162</v>
      </c>
      <c r="AT105" s="485" t="s">
        <v>162</v>
      </c>
      <c r="AU105" s="485" t="s">
        <v>162</v>
      </c>
      <c r="AV105" s="485" t="s">
        <v>162</v>
      </c>
      <c r="AW105" s="788"/>
      <c r="AX105" s="798" t="s">
        <v>984</v>
      </c>
      <c r="AY105" s="790"/>
    </row>
    <row r="106">
      <c r="A106" s="776"/>
      <c r="B106" s="538"/>
      <c r="C106" s="538"/>
      <c r="D106" s="538"/>
      <c r="E106" s="792" t="s">
        <v>770</v>
      </c>
      <c r="F106" s="559" t="s">
        <v>72</v>
      </c>
      <c r="G106" s="560" t="s">
        <v>161</v>
      </c>
      <c r="H106" s="793">
        <f>1-H105</f>
        <v>0.05555555556</v>
      </c>
      <c r="I106" s="487" t="s">
        <v>162</v>
      </c>
      <c r="J106" s="487" t="s">
        <v>162</v>
      </c>
      <c r="K106" s="487" t="s">
        <v>162</v>
      </c>
      <c r="L106" s="487" t="s">
        <v>162</v>
      </c>
      <c r="M106" s="487" t="s">
        <v>162</v>
      </c>
      <c r="N106" s="487" t="s">
        <v>162</v>
      </c>
      <c r="O106" s="487" t="s">
        <v>162</v>
      </c>
      <c r="P106" s="487" t="s">
        <v>162</v>
      </c>
      <c r="Q106" s="201" t="s">
        <v>162</v>
      </c>
      <c r="R106" s="487" t="s">
        <v>162</v>
      </c>
      <c r="S106" s="487" t="s">
        <v>162</v>
      </c>
      <c r="T106" s="487" t="s">
        <v>162</v>
      </c>
      <c r="U106" s="487" t="s">
        <v>162</v>
      </c>
      <c r="V106" s="487" t="s">
        <v>162</v>
      </c>
      <c r="W106" s="487" t="s">
        <v>162</v>
      </c>
      <c r="X106" s="487" t="s">
        <v>162</v>
      </c>
      <c r="Y106" s="487" t="s">
        <v>162</v>
      </c>
      <c r="Z106" s="487" t="s">
        <v>162</v>
      </c>
      <c r="AA106" s="487" t="s">
        <v>162</v>
      </c>
      <c r="AB106" s="487" t="s">
        <v>162</v>
      </c>
      <c r="AC106" s="487" t="s">
        <v>162</v>
      </c>
      <c r="AD106" s="487" t="s">
        <v>162</v>
      </c>
      <c r="AE106" s="487" t="s">
        <v>162</v>
      </c>
      <c r="AF106" s="487" t="s">
        <v>162</v>
      </c>
      <c r="AG106" s="487" t="s">
        <v>162</v>
      </c>
      <c r="AH106" s="487" t="s">
        <v>162</v>
      </c>
      <c r="AI106" s="487" t="s">
        <v>162</v>
      </c>
      <c r="AJ106" s="487" t="s">
        <v>162</v>
      </c>
      <c r="AK106" s="487" t="s">
        <v>162</v>
      </c>
      <c r="AL106" s="487" t="s">
        <v>162</v>
      </c>
      <c r="AM106" s="487" t="s">
        <v>162</v>
      </c>
      <c r="AN106" s="487" t="s">
        <v>162</v>
      </c>
      <c r="AO106" s="487" t="s">
        <v>162</v>
      </c>
      <c r="AP106" s="487" t="s">
        <v>162</v>
      </c>
      <c r="AQ106" s="487" t="s">
        <v>162</v>
      </c>
      <c r="AR106" s="487" t="s">
        <v>162</v>
      </c>
      <c r="AS106" s="487" t="s">
        <v>162</v>
      </c>
      <c r="AT106" s="487" t="s">
        <v>162</v>
      </c>
      <c r="AU106" s="487" t="s">
        <v>162</v>
      </c>
      <c r="AV106" s="487" t="s">
        <v>162</v>
      </c>
      <c r="AW106" s="794"/>
      <c r="AX106" s="799" t="s">
        <v>984</v>
      </c>
      <c r="AY106" s="796"/>
    </row>
    <row r="107">
      <c r="A107" s="687"/>
      <c r="B107" s="852"/>
      <c r="C107" s="852"/>
      <c r="D107" s="852"/>
      <c r="E107" s="853"/>
      <c r="F107" s="854"/>
      <c r="G107" s="855"/>
      <c r="H107" s="680"/>
      <c r="I107" s="482"/>
      <c r="J107" s="482"/>
      <c r="K107" s="482"/>
      <c r="L107" s="482"/>
      <c r="M107" s="482"/>
      <c r="N107" s="482"/>
      <c r="O107" s="482"/>
      <c r="P107" s="482"/>
      <c r="Q107" s="13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778"/>
      <c r="AX107" s="779"/>
      <c r="AY107" s="780"/>
    </row>
    <row r="108">
      <c r="A108" s="117" t="s">
        <v>8</v>
      </c>
      <c r="B108" s="7"/>
      <c r="C108" s="7"/>
      <c r="D108" s="7"/>
      <c r="E108" s="7"/>
      <c r="F108" s="7"/>
      <c r="G108" s="659"/>
      <c r="H108" s="771"/>
      <c r="I108" s="772"/>
      <c r="J108" s="772"/>
      <c r="K108" s="772"/>
      <c r="L108" s="772"/>
      <c r="M108" s="772"/>
      <c r="N108" s="772"/>
      <c r="O108" s="772"/>
      <c r="P108" s="772"/>
      <c r="Q108" s="679"/>
      <c r="R108" s="772"/>
      <c r="S108" s="772"/>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2"/>
      <c r="AQ108" s="772"/>
      <c r="AR108" s="772"/>
      <c r="AS108" s="772"/>
      <c r="AT108" s="772"/>
      <c r="AU108" s="772"/>
      <c r="AV108" s="772"/>
      <c r="AW108" s="773"/>
      <c r="AX108" s="774"/>
      <c r="AY108" s="775"/>
    </row>
    <row r="109">
      <c r="A109" s="776"/>
      <c r="B109" s="538"/>
      <c r="C109" s="538"/>
      <c r="D109" s="538"/>
      <c r="E109" s="777"/>
      <c r="F109" s="533"/>
      <c r="G109" s="534"/>
      <c r="H109" s="680"/>
      <c r="I109" s="482"/>
      <c r="J109" s="482"/>
      <c r="K109" s="482"/>
      <c r="L109" s="482"/>
      <c r="M109" s="482"/>
      <c r="N109" s="482"/>
      <c r="O109" s="482"/>
      <c r="P109" s="482"/>
      <c r="Q109" s="13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778"/>
      <c r="AX109" s="779"/>
      <c r="AY109" s="780"/>
    </row>
    <row r="110">
      <c r="A110" s="538"/>
      <c r="B110" s="538"/>
      <c r="C110" s="143" t="s">
        <v>530</v>
      </c>
      <c r="F110" s="533"/>
      <c r="G110" s="533"/>
      <c r="H110" s="680"/>
      <c r="I110" s="552"/>
      <c r="J110" s="552"/>
      <c r="K110" s="552"/>
      <c r="L110" s="552"/>
      <c r="M110" s="552"/>
      <c r="N110" s="552"/>
      <c r="O110" s="552"/>
      <c r="P110" s="552"/>
      <c r="Q110" s="553"/>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778"/>
      <c r="AX110" s="779"/>
      <c r="AY110" s="780"/>
    </row>
    <row r="111">
      <c r="A111" s="776"/>
      <c r="B111" s="538"/>
      <c r="C111" s="538"/>
      <c r="D111" s="538"/>
      <c r="E111" s="782" t="s">
        <v>532</v>
      </c>
      <c r="F111" s="539" t="s">
        <v>72</v>
      </c>
      <c r="G111" s="540" t="s">
        <v>165</v>
      </c>
      <c r="H111" s="808" t="s">
        <v>162</v>
      </c>
      <c r="I111" s="542">
        <f>IFERROR(__xludf.DUMMYFUNCTION("FILTER('GBD estimates'!$G$3:$G$1371,'GBD estimates'!$B$3:$B$1371=I$3,'GBD estimates'!$E$3:$E$1371=""Tuberculosis"",'GBD estimates'!$D$3:$D$1371=""Under 5"")"),0.003629763)</f>
        <v>0.003629763</v>
      </c>
      <c r="J111" s="542">
        <f>IFERROR(__xludf.DUMMYFUNCTION("FILTER('GBD estimates'!$G$3:$G$1371,'GBD estimates'!$B$3:$B$1371=J$3,'GBD estimates'!$E$3:$E$1371=""Tuberculosis"",'GBD estimates'!$D$3:$D$1371=""Under 5"")"),0.001693533)</f>
        <v>0.001693533</v>
      </c>
      <c r="K111" s="542">
        <f>IFERROR(__xludf.DUMMYFUNCTION("FILTER('GBD estimates'!$G$3:$G$1371,'GBD estimates'!$B$3:$B$1371=K$3,'GBD estimates'!$E$3:$E$1371=""Tuberculosis"",'GBD estimates'!$D$3:$D$1371=""Under 5"")"),0.004321809)</f>
        <v>0.004321809</v>
      </c>
      <c r="L111" s="542">
        <f t="shared" ref="L111:L115" si="4">AG111</f>
        <v>0.000876042</v>
      </c>
      <c r="M111" s="542">
        <f>IFERROR(__xludf.DUMMYFUNCTION("FILTER('GBD estimates'!$G$3:$G$1371,'GBD estimates'!$B$3:$B$1371=M$3,'GBD estimates'!$E$3:$E$1371=""Tuberculosis"",'GBD estimates'!$D$3:$D$1371=""Under 5"")"),0.001723095)</f>
        <v>0.001723095</v>
      </c>
      <c r="N111" s="542">
        <f>IFERROR(__xludf.DUMMYFUNCTION("FILTER('GBD estimates'!$G$3:$G$1371,'GBD estimates'!$B$3:$B$1371=N$3,'GBD estimates'!$E$3:$E$1371=""Tuberculosis"",'GBD estimates'!$D$3:$D$1371=""Under 5"")"),0.002687563)</f>
        <v>0.002687563</v>
      </c>
      <c r="O111" s="542">
        <f>IFERROR(__xludf.DUMMYFUNCTION("FILTER('GBD estimates'!$G$3:$G$1371,'GBD estimates'!$B$3:$B$1371=O$3,'GBD estimates'!$E$3:$E$1371=""Tuberculosis"",'GBD estimates'!$D$3:$D$1371=""Under 5"")"),0.002755632)</f>
        <v>0.002755632</v>
      </c>
      <c r="P111" s="542">
        <f>IFERROR(__xludf.DUMMYFUNCTION("FILTER('GBD estimates'!$G$3:$G$1371,'GBD estimates'!$B$3:$B$1371=P$3,'GBD estimates'!$E$3:$E$1371=""Tuberculosis"",'GBD estimates'!$D$3:$D$1371=""Under 5"")"),0.004692335)</f>
        <v>0.004692335</v>
      </c>
      <c r="Q111" s="543">
        <f>IFERROR(__xludf.DUMMYFUNCTION("FILTER('GBD estimates'!$G$3:$G$1371,'GBD estimates'!$B$3:$B$1371=Q$3,'GBD estimates'!$E$3:$E$1371=""Tuberculosis"",'GBD estimates'!$D$3:$D$1371=""Under 5"")"),0.005920174)</f>
        <v>0.005920174</v>
      </c>
      <c r="R111" s="542">
        <f>IFERROR(__xludf.DUMMYFUNCTION("FILTER('GBD estimates'!$G$3:$G$1371,'GBD estimates'!$B$3:$B$1371=R$3,'GBD estimates'!$E$3:$E$1371=""Tuberculosis"",'GBD estimates'!$D$3:$D$1371=""Under 5"")"),3.40487E-4)</f>
        <v>0.000340487</v>
      </c>
      <c r="S111" s="542">
        <f>IFERROR(__xludf.DUMMYFUNCTION("FILTER('GBD estimates'!$G$3:$G$1371,'GBD estimates'!$B$3:$B$1371=S$3,'GBD estimates'!$E$3:$E$1371=""Tuberculosis"",'GBD estimates'!$D$3:$D$1371=""Under 5"")"),0.001242071)</f>
        <v>0.001242071</v>
      </c>
      <c r="T111" s="542">
        <f>IFERROR(__xludf.DUMMYFUNCTION("FILTER('GBD estimates'!$G$3:$G$1371,'GBD estimates'!$B$3:$B$1371=T$3,'GBD estimates'!$E$3:$E$1371=""Tuberculosis"",'GBD estimates'!$D$3:$D$1371=""Under 5"")"),2.32857E-4)</f>
        <v>0.000232857</v>
      </c>
      <c r="U111" s="542">
        <f>IFERROR(__xludf.DUMMYFUNCTION("FILTER('GBD estimates'!$G$3:$G$1371,'GBD estimates'!$B$3:$B$1371=U$3,'GBD estimates'!$E$3:$E$1371=""Tuberculosis"",'GBD estimates'!$D$3:$D$1371=""Under 5"")"),2.36873E-4)</f>
        <v>0.000236873</v>
      </c>
      <c r="V111" s="542">
        <f>IFERROR(__xludf.DUMMYFUNCTION("FILTER('GBD estimates'!$G$3:$G$1371,'GBD estimates'!$B$3:$B$1371=V$3,'GBD estimates'!$E$3:$E$1371=""Tuberculosis"",'GBD estimates'!$D$3:$D$1371=""Under 5"")"),3.42083E-4)</f>
        <v>0.000342083</v>
      </c>
      <c r="W111" s="542">
        <f>IFERROR(__xludf.DUMMYFUNCTION("FILTER('GBD estimates'!$G$3:$G$1371,'GBD estimates'!$B$3:$B$1371=W$3,'GBD estimates'!$E$3:$E$1371=""Tuberculosis"",'GBD estimates'!$D$3:$D$1371=""Under 5"")"),5.61141E-4)</f>
        <v>0.000561141</v>
      </c>
      <c r="X111" s="542">
        <f>IFERROR(__xludf.DUMMYFUNCTION("FILTER('GBD estimates'!$G$3:$G$1371,'GBD estimates'!$B$3:$B$1371=X$3,'GBD estimates'!$E$3:$E$1371=""Tuberculosis"",'GBD estimates'!$D$3:$D$1371=""Under 5"")"),5.40748E-4)</f>
        <v>0.000540748</v>
      </c>
      <c r="Y111" s="542">
        <f>IFERROR(__xludf.DUMMYFUNCTION("FILTER('GBD estimates'!$G$3:$G$1371,'GBD estimates'!$B$3:$B$1371=Y$3,'GBD estimates'!$E$3:$E$1371=""Tuberculosis"",'GBD estimates'!$D$3:$D$1371=""Under 5"")"),3.08884E-4)</f>
        <v>0.000308884</v>
      </c>
      <c r="Z111" s="542">
        <f>IFERROR(__xludf.DUMMYFUNCTION("FILTER('GBD estimates'!$G$3:$G$1371,'GBD estimates'!$B$3:$B$1371=Z$3,'GBD estimates'!$E$3:$E$1371=""Tuberculosis"",'GBD estimates'!$D$3:$D$1371=""Under 5"")"),3.4876E-4)</f>
        <v>0.00034876</v>
      </c>
      <c r="AA111" s="542">
        <f>IFERROR(__xludf.DUMMYFUNCTION("FILTER('GBD estimates'!$G$3:$G$1371,'GBD estimates'!$B$3:$B$1371=AA$3,'GBD estimates'!$E$3:$E$1371=""Tuberculosis"",'GBD estimates'!$D$3:$D$1371=""Under 5"")"),4.84387E-4)</f>
        <v>0.000484387</v>
      </c>
      <c r="AB111" s="542">
        <f>IFERROR(__xludf.DUMMYFUNCTION("FILTER('GBD estimates'!$G$3:$G$1371,'GBD estimates'!$B$3:$B$1371=AB$3,'GBD estimates'!$E$3:$E$1371=""Tuberculosis"",'GBD estimates'!$D$3:$D$1371=""Under 5"")"),3.27009E-4)</f>
        <v>0.000327009</v>
      </c>
      <c r="AC111" s="542">
        <f>IFERROR(__xludf.DUMMYFUNCTION("FILTER('GBD estimates'!$G$3:$G$1371,'GBD estimates'!$B$3:$B$1371=AC$3,'GBD estimates'!$E$3:$E$1371=""Tuberculosis"",'GBD estimates'!$D$3:$D$1371=""Under 5"")"),2.93915E-4)</f>
        <v>0.000293915</v>
      </c>
      <c r="AD111" s="542">
        <f>IFERROR(__xludf.DUMMYFUNCTION("FILTER('GBD estimates'!$G$3:$G$1371,'GBD estimates'!$B$3:$B$1371=AD$3,'GBD estimates'!$E$3:$E$1371=""Tuberculosis"",'GBD estimates'!$D$3:$D$1371=""Under 5"")"),1.73117E-4)</f>
        <v>0.000173117</v>
      </c>
      <c r="AE111" s="542">
        <f>IFERROR(__xludf.DUMMYFUNCTION("FILTER('GBD estimates'!$G$3:$G$1371,'GBD estimates'!$B$3:$B$1371=AE$3,'GBD estimates'!$E$3:$E$1371=""Tuberculosis"",'GBD estimates'!$D$3:$D$1371=""Under 5"")"),3.02269E-4)</f>
        <v>0.000302269</v>
      </c>
      <c r="AF111" s="542">
        <f>IFERROR(__xludf.DUMMYFUNCTION("FILTER('GBD estimates'!$G$3:$G$1371,'GBD estimates'!$B$3:$B$1371=AF$3,'GBD estimates'!$E$3:$E$1371=""Tuberculosis"",'GBD estimates'!$D$3:$D$1371=""Under 5"")"),1.86819E-4)</f>
        <v>0.000186819</v>
      </c>
      <c r="AG111" s="542">
        <f>IFERROR(__xludf.DUMMYFUNCTION("FILTER('GBD estimates'!$G$3:$G$1371,'GBD estimates'!$B$3:$B$1371=AG$3,'GBD estimates'!$E$3:$E$1371=""Tuberculosis"",'GBD estimates'!$D$3:$D$1371=""Under 5"")"),8.76042E-4)</f>
        <v>0.000876042</v>
      </c>
      <c r="AH111" s="542">
        <f>IFERROR(__xludf.DUMMYFUNCTION("FILTER('GBD estimates'!$G$3:$G$1371,'GBD estimates'!$B$3:$B$1371=AH$3,'GBD estimates'!$E$3:$E$1371=""Tuberculosis"",'GBD estimates'!$D$3:$D$1371=""Under 5"")"),2.43976E-4)</f>
        <v>0.000243976</v>
      </c>
      <c r="AI111" s="542">
        <f>IFERROR(__xludf.DUMMYFUNCTION("FILTER('GBD estimates'!$G$3:$G$1371,'GBD estimates'!$B$3:$B$1371=AI$3,'GBD estimates'!$E$3:$E$1371=""Tuberculosis"",'GBD estimates'!$D$3:$D$1371=""Under 5"")"),1.89327E-4)</f>
        <v>0.000189327</v>
      </c>
      <c r="AJ111" s="542">
        <f>IFERROR(__xludf.DUMMYFUNCTION("FILTER('GBD estimates'!$G$3:$G$1371,'GBD estimates'!$B$3:$B$1371=AJ$3,'GBD estimates'!$E$3:$E$1371=""Tuberculosis"",'GBD estimates'!$D$3:$D$1371=""Under 5"")"),1.25611E-4)</f>
        <v>0.000125611</v>
      </c>
      <c r="AK111" s="542">
        <f>IFERROR(__xludf.DUMMYFUNCTION("FILTER('GBD estimates'!$G$3:$G$1371,'GBD estimates'!$B$3:$B$1371=AK$3,'GBD estimates'!$E$3:$E$1371=""Tuberculosis"",'GBD estimates'!$D$3:$D$1371=""Under 5"")"),5.19729E-4)</f>
        <v>0.000519729</v>
      </c>
      <c r="AL111" s="542">
        <f>IFERROR(__xludf.DUMMYFUNCTION("FILTER('GBD estimates'!$G$3:$G$1371,'GBD estimates'!$B$3:$B$1371=AL$3,'GBD estimates'!$E$3:$E$1371=""Tuberculosis"",'GBD estimates'!$D$3:$D$1371=""Under 5"")"),9.03152E-4)</f>
        <v>0.000903152</v>
      </c>
      <c r="AM111" s="542">
        <f t="shared" ref="AM111:AN111" si="3">AL111</f>
        <v>0.000903152</v>
      </c>
      <c r="AN111" s="542">
        <f t="shared" si="3"/>
        <v>0.000903152</v>
      </c>
      <c r="AO111" s="542">
        <f>IFERROR(__xludf.DUMMYFUNCTION("FILTER('GBD estimates'!$G$3:$G$1371,'GBD estimates'!$B$3:$B$1371=AO$3,'GBD estimates'!$E$3:$E$1371=""Tuberculosis"",'GBD estimates'!$D$3:$D$1371=""Under 5"")"),2.4853E-4)</f>
        <v>0.00024853</v>
      </c>
      <c r="AP111" s="542">
        <f>IFERROR(__xludf.DUMMYFUNCTION("FILTER('GBD estimates'!$G$3:$G$1371,'GBD estimates'!$B$3:$B$1371=AP$3,'GBD estimates'!$E$3:$E$1371=""Tuberculosis"",'GBD estimates'!$D$3:$D$1371=""Under 5"")"),2.98102E-4)</f>
        <v>0.000298102</v>
      </c>
      <c r="AQ111" s="542">
        <f>IFERROR(__xludf.DUMMYFUNCTION("FILTER('GBD estimates'!$G$3:$G$1371,'GBD estimates'!$B$3:$B$1371=AQ$3,'GBD estimates'!$E$3:$E$1371=""Tuberculosis"",'GBD estimates'!$D$3:$D$1371=""Under 5"")"),1.32551E-4)</f>
        <v>0.000132551</v>
      </c>
      <c r="AR111" s="542">
        <f>IFERROR(__xludf.DUMMYFUNCTION("FILTER('GBD estimates'!$G$3:$G$1371,'GBD estimates'!$B$3:$B$1371=AR$3,'GBD estimates'!$E$3:$E$1371=""Tuberculosis"",'GBD estimates'!$D$3:$D$1371=""Under 5"")"),1.38701E-4)</f>
        <v>0.000138701</v>
      </c>
      <c r="AS111" s="542">
        <f>IFERROR(__xludf.DUMMYFUNCTION("FILTER('GBD estimates'!$G$3:$G$1371,'GBD estimates'!$B$3:$B$1371=AS$3,'GBD estimates'!$E$3:$E$1371=""Tuberculosis"",'GBD estimates'!$D$3:$D$1371=""Under 5"")"),3.83821E-4)</f>
        <v>0.000383821</v>
      </c>
      <c r="AT111" s="542">
        <f>IFERROR(__xludf.DUMMYFUNCTION("FILTER('GBD estimates'!$G$3:$G$1371,'GBD estimates'!$B$3:$B$1371=AT$3,'GBD estimates'!$E$3:$E$1371=""Tuberculosis"",'GBD estimates'!$D$3:$D$1371=""Under 5"")"),3.22044E-4)</f>
        <v>0.000322044</v>
      </c>
      <c r="AU111" s="542">
        <f>IFERROR(__xludf.DUMMYFUNCTION("FILTER('GBD estimates'!$G$3:$G$1371,'GBD estimates'!$B$3:$B$1371=AU$3,'GBD estimates'!$E$3:$E$1371=""Tuberculosis"",'GBD estimates'!$D$3:$D$1371=""Under 5"")"),0.001380717)</f>
        <v>0.001380717</v>
      </c>
      <c r="AV111" s="542">
        <f>IFERROR(__xludf.DUMMYFUNCTION("FILTER('GBD estimates'!$G$3:$G$1371,'GBD estimates'!$B$3:$B$1371=AV$3,'GBD estimates'!$E$3:$E$1371=""Tuberculosis"",'GBD estimates'!$D$3:$D$1371=""Under 5"")"),0.00187352)</f>
        <v>0.00187352</v>
      </c>
      <c r="AW111" s="784"/>
      <c r="AX111" s="797" t="s">
        <v>999</v>
      </c>
      <c r="AY111" s="786"/>
    </row>
    <row r="112">
      <c r="A112" s="776"/>
      <c r="B112" s="538"/>
      <c r="C112" s="538"/>
      <c r="D112" s="538"/>
      <c r="E112" s="782" t="s">
        <v>533</v>
      </c>
      <c r="F112" s="539" t="s">
        <v>72</v>
      </c>
      <c r="G112" s="540" t="s">
        <v>165</v>
      </c>
      <c r="H112" s="808" t="s">
        <v>162</v>
      </c>
      <c r="I112" s="542">
        <f>IFERROR(__xludf.DUMMYFUNCTION("FILTER('GBD estimates'!$G$3:$G$1371,'GBD estimates'!$B$3:$B$1371=I$3,'GBD estimates'!$E$3:$E$1371=""Tuberculosis"",'GBD estimates'!$D$3:$D$1371=""5-14 years"")"),5.31146E-4)</f>
        <v>0.000531146</v>
      </c>
      <c r="J112" s="542">
        <f>IFERROR(__xludf.DUMMYFUNCTION("FILTER('GBD estimates'!$G$3:$G$1371,'GBD estimates'!$B$3:$B$1371=J$3,'GBD estimates'!$E$3:$E$1371=""Tuberculosis"",'GBD estimates'!$D$3:$D$1371=""5-14 years"")"),2.60845E-4)</f>
        <v>0.000260845</v>
      </c>
      <c r="K112" s="542">
        <f>IFERROR(__xludf.DUMMYFUNCTION("FILTER('GBD estimates'!$G$3:$G$1371,'GBD estimates'!$B$3:$B$1371=K$3,'GBD estimates'!$E$3:$E$1371=""Tuberculosis"",'GBD estimates'!$D$3:$D$1371=""5-14 years"")"),5.99109E-4)</f>
        <v>0.000599109</v>
      </c>
      <c r="L112" s="542">
        <f t="shared" si="4"/>
        <v>0.000139527</v>
      </c>
      <c r="M112" s="542">
        <f>IFERROR(__xludf.DUMMYFUNCTION("FILTER('GBD estimates'!$G$3:$G$1371,'GBD estimates'!$B$3:$B$1371=M$3,'GBD estimates'!$E$3:$E$1371=""Tuberculosis"",'GBD estimates'!$D$3:$D$1371=""5-14 years"")"),2.83003E-4)</f>
        <v>0.000283003</v>
      </c>
      <c r="N112" s="542">
        <f>IFERROR(__xludf.DUMMYFUNCTION("FILTER('GBD estimates'!$G$3:$G$1371,'GBD estimates'!$B$3:$B$1371=N$3,'GBD estimates'!$E$3:$E$1371=""Tuberculosis"",'GBD estimates'!$D$3:$D$1371=""5-14 years"")"),4.11465E-4)</f>
        <v>0.000411465</v>
      </c>
      <c r="O112" s="542">
        <f>IFERROR(__xludf.DUMMYFUNCTION("FILTER('GBD estimates'!$G$3:$G$1371,'GBD estimates'!$B$3:$B$1371=O$3,'GBD estimates'!$E$3:$E$1371=""Tuberculosis"",'GBD estimates'!$D$3:$D$1371=""5-14 years"")"),4.46374E-4)</f>
        <v>0.000446374</v>
      </c>
      <c r="P112" s="542">
        <f>IFERROR(__xludf.DUMMYFUNCTION("FILTER('GBD estimates'!$G$3:$G$1371,'GBD estimates'!$B$3:$B$1371=P$3,'GBD estimates'!$E$3:$E$1371=""Tuberculosis"",'GBD estimates'!$D$3:$D$1371=""5-14 years"")"),6.62009E-4)</f>
        <v>0.000662009</v>
      </c>
      <c r="Q112" s="543">
        <f>IFERROR(__xludf.DUMMYFUNCTION("FILTER('GBD estimates'!$G$3:$G$1371,'GBD estimates'!$B$3:$B$1371=Q$3,'GBD estimates'!$E$3:$E$1371=""Tuberculosis"",'GBD estimates'!$D$3:$D$1371=""5-14 years"")"),7.43129E-4)</f>
        <v>0.000743129</v>
      </c>
      <c r="R112" s="542">
        <f>IFERROR(__xludf.DUMMYFUNCTION("FILTER('GBD estimates'!$G$3:$G$1371,'GBD estimates'!$B$3:$B$1371=R$3,'GBD estimates'!$E$3:$E$1371=""Tuberculosis"",'GBD estimates'!$D$3:$D$1371=""5-14 years"")"),6.21E-5)</f>
        <v>0.0000621</v>
      </c>
      <c r="S112" s="542">
        <f>IFERROR(__xludf.DUMMYFUNCTION("FILTER('GBD estimates'!$G$3:$G$1371,'GBD estimates'!$B$3:$B$1371=S$3,'GBD estimates'!$E$3:$E$1371=""Tuberculosis"",'GBD estimates'!$D$3:$D$1371=""5-14 years"")"),2.09726E-4)</f>
        <v>0.000209726</v>
      </c>
      <c r="T112" s="542">
        <f>IFERROR(__xludf.DUMMYFUNCTION("FILTER('GBD estimates'!$G$3:$G$1371,'GBD estimates'!$B$3:$B$1371=T$3,'GBD estimates'!$E$3:$E$1371=""Tuberculosis"",'GBD estimates'!$D$3:$D$1371=""5-14 years"")"),5.57E-5)</f>
        <v>0.0000557</v>
      </c>
      <c r="U112" s="542">
        <f>IFERROR(__xludf.DUMMYFUNCTION("FILTER('GBD estimates'!$G$3:$G$1371,'GBD estimates'!$B$3:$B$1371=U$3,'GBD estimates'!$E$3:$E$1371=""Tuberculosis"",'GBD estimates'!$D$3:$D$1371=""5-14 years"")"),6.09E-5)</f>
        <v>0.0000609</v>
      </c>
      <c r="V112" s="542">
        <f>IFERROR(__xludf.DUMMYFUNCTION("FILTER('GBD estimates'!$G$3:$G$1371,'GBD estimates'!$B$3:$B$1371=V$3,'GBD estimates'!$E$3:$E$1371=""Tuberculosis"",'GBD estimates'!$D$3:$D$1371=""5-14 years"")"),6.31E-5)</f>
        <v>0.0000631</v>
      </c>
      <c r="W112" s="542">
        <f>IFERROR(__xludf.DUMMYFUNCTION("FILTER('GBD estimates'!$G$3:$G$1371,'GBD estimates'!$B$3:$B$1371=W$3,'GBD estimates'!$E$3:$E$1371=""Tuberculosis"",'GBD estimates'!$D$3:$D$1371=""5-14 years"")"),1.51165E-4)</f>
        <v>0.000151165</v>
      </c>
      <c r="X112" s="542">
        <f>IFERROR(__xludf.DUMMYFUNCTION("FILTER('GBD estimates'!$G$3:$G$1371,'GBD estimates'!$B$3:$B$1371=X$3,'GBD estimates'!$E$3:$E$1371=""Tuberculosis"",'GBD estimates'!$D$3:$D$1371=""5-14 years"")"),1.39579E-4)</f>
        <v>0.000139579</v>
      </c>
      <c r="Y112" s="542">
        <f>IFERROR(__xludf.DUMMYFUNCTION("FILTER('GBD estimates'!$G$3:$G$1371,'GBD estimates'!$B$3:$B$1371=Y$3,'GBD estimates'!$E$3:$E$1371=""Tuberculosis"",'GBD estimates'!$D$3:$D$1371=""5-14 years"")"),6.49E-5)</f>
        <v>0.0000649</v>
      </c>
      <c r="Z112" s="542">
        <f>IFERROR(__xludf.DUMMYFUNCTION("FILTER('GBD estimates'!$G$3:$G$1371,'GBD estimates'!$B$3:$B$1371=Z$3,'GBD estimates'!$E$3:$E$1371=""Tuberculosis"",'GBD estimates'!$D$3:$D$1371=""5-14 years"")"),7.6E-5)</f>
        <v>0.000076</v>
      </c>
      <c r="AA112" s="542">
        <f>IFERROR(__xludf.DUMMYFUNCTION("FILTER('GBD estimates'!$G$3:$G$1371,'GBD estimates'!$B$3:$B$1371=AA$3,'GBD estimates'!$E$3:$E$1371=""Tuberculosis"",'GBD estimates'!$D$3:$D$1371=""5-14 years"")"),1.16521E-4)</f>
        <v>0.000116521</v>
      </c>
      <c r="AB112" s="542">
        <f>IFERROR(__xludf.DUMMYFUNCTION("FILTER('GBD estimates'!$G$3:$G$1371,'GBD estimates'!$B$3:$B$1371=AB$3,'GBD estimates'!$E$3:$E$1371=""Tuberculosis"",'GBD estimates'!$D$3:$D$1371=""5-14 years"")"),6.15E-5)</f>
        <v>0.0000615</v>
      </c>
      <c r="AC112" s="542">
        <f>IFERROR(__xludf.DUMMYFUNCTION("FILTER('GBD estimates'!$G$3:$G$1371,'GBD estimates'!$B$3:$B$1371=AC$3,'GBD estimates'!$E$3:$E$1371=""Tuberculosis"",'GBD estimates'!$D$3:$D$1371=""5-14 years"")"),5.64E-5)</f>
        <v>0.0000564</v>
      </c>
      <c r="AD112" s="542">
        <f>IFERROR(__xludf.DUMMYFUNCTION("FILTER('GBD estimates'!$G$3:$G$1371,'GBD estimates'!$B$3:$B$1371=AD$3,'GBD estimates'!$E$3:$E$1371=""Tuberculosis"",'GBD estimates'!$D$3:$D$1371=""5-14 years"")"),5.95E-5)</f>
        <v>0.0000595</v>
      </c>
      <c r="AE112" s="542">
        <f>IFERROR(__xludf.DUMMYFUNCTION("FILTER('GBD estimates'!$G$3:$G$1371,'GBD estimates'!$B$3:$B$1371=AE$3,'GBD estimates'!$E$3:$E$1371=""Tuberculosis"",'GBD estimates'!$D$3:$D$1371=""5-14 years"")"),7.68E-5)</f>
        <v>0.0000768</v>
      </c>
      <c r="AF112" s="542">
        <f>IFERROR(__xludf.DUMMYFUNCTION("FILTER('GBD estimates'!$G$3:$G$1371,'GBD estimates'!$B$3:$B$1371=AF$3,'GBD estimates'!$E$3:$E$1371=""Tuberculosis"",'GBD estimates'!$D$3:$D$1371=""5-14 years"")"),5.32E-5)</f>
        <v>0.0000532</v>
      </c>
      <c r="AG112" s="542">
        <f>IFERROR(__xludf.DUMMYFUNCTION("FILTER('GBD estimates'!$G$3:$G$1371,'GBD estimates'!$B$3:$B$1371=AG$3,'GBD estimates'!$E$3:$E$1371=""Tuberculosis"",'GBD estimates'!$D$3:$D$1371=""5-14 years"")"),1.39527E-4)</f>
        <v>0.000139527</v>
      </c>
      <c r="AH112" s="542">
        <f>IFERROR(__xludf.DUMMYFUNCTION("FILTER('GBD estimates'!$G$3:$G$1371,'GBD estimates'!$B$3:$B$1371=AH$3,'GBD estimates'!$E$3:$E$1371=""Tuberculosis"",'GBD estimates'!$D$3:$D$1371=""5-14 years"")"),5.79E-5)</f>
        <v>0.0000579</v>
      </c>
      <c r="AI112" s="542">
        <f>IFERROR(__xludf.DUMMYFUNCTION("FILTER('GBD estimates'!$G$3:$G$1371,'GBD estimates'!$B$3:$B$1371=AI$3,'GBD estimates'!$E$3:$E$1371=""Tuberculosis"",'GBD estimates'!$D$3:$D$1371=""5-14 years"")"),5.45E-5)</f>
        <v>0.0000545</v>
      </c>
      <c r="AJ112" s="542">
        <f>IFERROR(__xludf.DUMMYFUNCTION("FILTER('GBD estimates'!$G$3:$G$1371,'GBD estimates'!$B$3:$B$1371=AJ$3,'GBD estimates'!$E$3:$E$1371=""Tuberculosis"",'GBD estimates'!$D$3:$D$1371=""5-14 years"")"),4.73E-5)</f>
        <v>0.0000473</v>
      </c>
      <c r="AK112" s="542">
        <f>IFERROR(__xludf.DUMMYFUNCTION("FILTER('GBD estimates'!$G$3:$G$1371,'GBD estimates'!$B$3:$B$1371=AK$3,'GBD estimates'!$E$3:$E$1371=""Tuberculosis"",'GBD estimates'!$D$3:$D$1371=""5-14 years"")"),1.16059E-4)</f>
        <v>0.000116059</v>
      </c>
      <c r="AL112" s="542">
        <f>IFERROR(__xludf.DUMMYFUNCTION("FILTER('GBD estimates'!$G$3:$G$1371,'GBD estimates'!$B$3:$B$1371=AL$3,'GBD estimates'!$E$3:$E$1371=""Tuberculosis"",'GBD estimates'!$D$3:$D$1371=""5-14 years"")"),1.79674E-4)</f>
        <v>0.000179674</v>
      </c>
      <c r="AM112" s="542">
        <f t="shared" ref="AM112:AN112" si="5">AL112</f>
        <v>0.000179674</v>
      </c>
      <c r="AN112" s="542">
        <f t="shared" si="5"/>
        <v>0.000179674</v>
      </c>
      <c r="AO112" s="542">
        <f>IFERROR(__xludf.DUMMYFUNCTION("FILTER('GBD estimates'!$G$3:$G$1371,'GBD estimates'!$B$3:$B$1371=AO$3,'GBD estimates'!$E$3:$E$1371=""Tuberculosis"",'GBD estimates'!$D$3:$D$1371=""5-14 years"")"),7.43E-5)</f>
        <v>0.0000743</v>
      </c>
      <c r="AP112" s="542">
        <f>IFERROR(__xludf.DUMMYFUNCTION("FILTER('GBD estimates'!$G$3:$G$1371,'GBD estimates'!$B$3:$B$1371=AP$3,'GBD estimates'!$E$3:$E$1371=""Tuberculosis"",'GBD estimates'!$D$3:$D$1371=""5-14 years"")"),6.96E-5)</f>
        <v>0.0000696</v>
      </c>
      <c r="AQ112" s="542">
        <f>IFERROR(__xludf.DUMMYFUNCTION("FILTER('GBD estimates'!$G$3:$G$1371,'GBD estimates'!$B$3:$B$1371=AQ$3,'GBD estimates'!$E$3:$E$1371=""Tuberculosis"",'GBD estimates'!$D$3:$D$1371=""5-14 years"")"),3.91E-5)</f>
        <v>0.0000391</v>
      </c>
      <c r="AR112" s="542">
        <f>IFERROR(__xludf.DUMMYFUNCTION("FILTER('GBD estimates'!$G$3:$G$1371,'GBD estimates'!$B$3:$B$1371=AR$3,'GBD estimates'!$E$3:$E$1371=""Tuberculosis"",'GBD estimates'!$D$3:$D$1371=""5-14 years"")"),3.29E-5)</f>
        <v>0.0000329</v>
      </c>
      <c r="AS112" s="542">
        <f>IFERROR(__xludf.DUMMYFUNCTION("FILTER('GBD estimates'!$G$3:$G$1371,'GBD estimates'!$B$3:$B$1371=AS$3,'GBD estimates'!$E$3:$E$1371=""Tuberculosis"",'GBD estimates'!$D$3:$D$1371=""5-14 years"")"),1.14084E-4)</f>
        <v>0.000114084</v>
      </c>
      <c r="AT112" s="542">
        <f>IFERROR(__xludf.DUMMYFUNCTION("FILTER('GBD estimates'!$G$3:$G$1371,'GBD estimates'!$B$3:$B$1371=AT$3,'GBD estimates'!$E$3:$E$1371=""Tuberculosis"",'GBD estimates'!$D$3:$D$1371=""5-14 years"")"),6.51E-5)</f>
        <v>0.0000651</v>
      </c>
      <c r="AU112" s="542">
        <f>IFERROR(__xludf.DUMMYFUNCTION("FILTER('GBD estimates'!$G$3:$G$1371,'GBD estimates'!$B$3:$B$1371=AU$3,'GBD estimates'!$E$3:$E$1371=""Tuberculosis"",'GBD estimates'!$D$3:$D$1371=""5-14 years"")"),2.35176E-4)</f>
        <v>0.000235176</v>
      </c>
      <c r="AV112" s="542">
        <f>IFERROR(__xludf.DUMMYFUNCTION("FILTER('GBD estimates'!$G$3:$G$1371,'GBD estimates'!$B$3:$B$1371=AV$3,'GBD estimates'!$E$3:$E$1371=""Tuberculosis"",'GBD estimates'!$D$3:$D$1371=""5-14 years"")"),3.88626E-4)</f>
        <v>0.000388626</v>
      </c>
      <c r="AW112" s="784"/>
      <c r="AX112" s="797" t="s">
        <v>999</v>
      </c>
      <c r="AY112" s="786"/>
    </row>
    <row r="113">
      <c r="A113" s="776"/>
      <c r="B113" s="538"/>
      <c r="C113" s="538"/>
      <c r="D113" s="538"/>
      <c r="E113" s="782" t="s">
        <v>534</v>
      </c>
      <c r="F113" s="539" t="s">
        <v>72</v>
      </c>
      <c r="G113" s="540" t="s">
        <v>165</v>
      </c>
      <c r="H113" s="808" t="s">
        <v>162</v>
      </c>
      <c r="I113" s="542">
        <f>IFERROR(__xludf.DUMMYFUNCTION("FILTER('GBD estimates'!$G$3:$G$1371,'GBD estimates'!$B$3:$B$1371=I$3,'GBD estimates'!$E$3:$E$1371=""Tuberculosis"",'GBD estimates'!$D$3:$D$1371=""15-49 years"")"),0.007150253)</f>
        <v>0.007150253</v>
      </c>
      <c r="J113" s="542">
        <f>IFERROR(__xludf.DUMMYFUNCTION("FILTER('GBD estimates'!$G$3:$G$1371,'GBD estimates'!$B$3:$B$1371=J$3,'GBD estimates'!$E$3:$E$1371=""Tuberculosis"",'GBD estimates'!$D$3:$D$1371=""15-49 years"")"),0.004007767)</f>
        <v>0.004007767</v>
      </c>
      <c r="K113" s="542">
        <f>IFERROR(__xludf.DUMMYFUNCTION("FILTER('GBD estimates'!$G$3:$G$1371,'GBD estimates'!$B$3:$B$1371=K$3,'GBD estimates'!$E$3:$E$1371=""Tuberculosis"",'GBD estimates'!$D$3:$D$1371=""15-49 years"")"),0.008685948)</f>
        <v>0.008685948</v>
      </c>
      <c r="L113" s="542">
        <f t="shared" si="4"/>
        <v>0.002843472</v>
      </c>
      <c r="M113" s="542">
        <f>IFERROR(__xludf.DUMMYFUNCTION("FILTER('GBD estimates'!$G$3:$G$1371,'GBD estimates'!$B$3:$B$1371=M$3,'GBD estimates'!$E$3:$E$1371=""Tuberculosis"",'GBD estimates'!$D$3:$D$1371=""15-49 years"")"),0.003815045)</f>
        <v>0.003815045</v>
      </c>
      <c r="N113" s="542">
        <f>IFERROR(__xludf.DUMMYFUNCTION("FILTER('GBD estimates'!$G$3:$G$1371,'GBD estimates'!$B$3:$B$1371=N$3,'GBD estimates'!$E$3:$E$1371=""Tuberculosis"",'GBD estimates'!$D$3:$D$1371=""15-49 years"")"),0.006867301)</f>
        <v>0.006867301</v>
      </c>
      <c r="O113" s="542">
        <f>IFERROR(__xludf.DUMMYFUNCTION("FILTER('GBD estimates'!$G$3:$G$1371,'GBD estimates'!$B$3:$B$1371=O$3,'GBD estimates'!$E$3:$E$1371=""Tuberculosis"",'GBD estimates'!$D$3:$D$1371=""15-49 years"")"),0.007345394)</f>
        <v>0.007345394</v>
      </c>
      <c r="P113" s="542">
        <f>IFERROR(__xludf.DUMMYFUNCTION("FILTER('GBD estimates'!$G$3:$G$1371,'GBD estimates'!$B$3:$B$1371=P$3,'GBD estimates'!$E$3:$E$1371=""Tuberculosis"",'GBD estimates'!$D$3:$D$1371=""15-49 years"")"),0.010104002)</f>
        <v>0.010104002</v>
      </c>
      <c r="Q113" s="543">
        <f>IFERROR(__xludf.DUMMYFUNCTION("FILTER('GBD estimates'!$G$3:$G$1371,'GBD estimates'!$B$3:$B$1371=Q$3,'GBD estimates'!$E$3:$E$1371=""Tuberculosis"",'GBD estimates'!$D$3:$D$1371=""15-49 years"")"),0.008822924)</f>
        <v>0.008822924</v>
      </c>
      <c r="R113" s="542">
        <f>IFERROR(__xludf.DUMMYFUNCTION("FILTER('GBD estimates'!$G$3:$G$1371,'GBD estimates'!$B$3:$B$1371=R$3,'GBD estimates'!$E$3:$E$1371=""Tuberculosis"",'GBD estimates'!$D$3:$D$1371=""15-49 years"")"),0.001712444)</f>
        <v>0.001712444</v>
      </c>
      <c r="S113" s="542">
        <f>IFERROR(__xludf.DUMMYFUNCTION("FILTER('GBD estimates'!$G$3:$G$1371,'GBD estimates'!$B$3:$B$1371=S$3,'GBD estimates'!$E$3:$E$1371=""Tuberculosis"",'GBD estimates'!$D$3:$D$1371=""15-49 years"")"),0.003254575)</f>
        <v>0.003254575</v>
      </c>
      <c r="T113" s="542">
        <f>IFERROR(__xludf.DUMMYFUNCTION("FILTER('GBD estimates'!$G$3:$G$1371,'GBD estimates'!$B$3:$B$1371=T$3,'GBD estimates'!$E$3:$E$1371=""Tuberculosis"",'GBD estimates'!$D$3:$D$1371=""15-49 years"")"),0.001947567)</f>
        <v>0.001947567</v>
      </c>
      <c r="U113" s="542">
        <f>IFERROR(__xludf.DUMMYFUNCTION("FILTER('GBD estimates'!$G$3:$G$1371,'GBD estimates'!$B$3:$B$1371=U$3,'GBD estimates'!$E$3:$E$1371=""Tuberculosis"",'GBD estimates'!$D$3:$D$1371=""15-49 years"")"),0.001891574)</f>
        <v>0.001891574</v>
      </c>
      <c r="V113" s="542">
        <f>IFERROR(__xludf.DUMMYFUNCTION("FILTER('GBD estimates'!$G$3:$G$1371,'GBD estimates'!$B$3:$B$1371=V$3,'GBD estimates'!$E$3:$E$1371=""Tuberculosis"",'GBD estimates'!$D$3:$D$1371=""15-49 years"")"),0.002199333)</f>
        <v>0.002199333</v>
      </c>
      <c r="W113" s="542">
        <f>IFERROR(__xludf.DUMMYFUNCTION("FILTER('GBD estimates'!$G$3:$G$1371,'GBD estimates'!$B$3:$B$1371=W$3,'GBD estimates'!$E$3:$E$1371=""Tuberculosis"",'GBD estimates'!$D$3:$D$1371=""15-49 years"")"),0.00325216)</f>
        <v>0.00325216</v>
      </c>
      <c r="X113" s="542">
        <f>IFERROR(__xludf.DUMMYFUNCTION("FILTER('GBD estimates'!$G$3:$G$1371,'GBD estimates'!$B$3:$B$1371=X$3,'GBD estimates'!$E$3:$E$1371=""Tuberculosis"",'GBD estimates'!$D$3:$D$1371=""15-49 years"")"),0.002925094)</f>
        <v>0.002925094</v>
      </c>
      <c r="Y113" s="542">
        <f>IFERROR(__xludf.DUMMYFUNCTION("FILTER('GBD estimates'!$G$3:$G$1371,'GBD estimates'!$B$3:$B$1371=Y$3,'GBD estimates'!$E$3:$E$1371=""Tuberculosis"",'GBD estimates'!$D$3:$D$1371=""15-49 years"")"),0.002153522)</f>
        <v>0.002153522</v>
      </c>
      <c r="Z113" s="542">
        <f>IFERROR(__xludf.DUMMYFUNCTION("FILTER('GBD estimates'!$G$3:$G$1371,'GBD estimates'!$B$3:$B$1371=Z$3,'GBD estimates'!$E$3:$E$1371=""Tuberculosis"",'GBD estimates'!$D$3:$D$1371=""15-49 years"")"),0.002148009)</f>
        <v>0.002148009</v>
      </c>
      <c r="AA113" s="542">
        <f>IFERROR(__xludf.DUMMYFUNCTION("FILTER('GBD estimates'!$G$3:$G$1371,'GBD estimates'!$B$3:$B$1371=AA$3,'GBD estimates'!$E$3:$E$1371=""Tuberculosis"",'GBD estimates'!$D$3:$D$1371=""15-49 years"")"),0.002777193)</f>
        <v>0.002777193</v>
      </c>
      <c r="AB113" s="542">
        <f>IFERROR(__xludf.DUMMYFUNCTION("FILTER('GBD estimates'!$G$3:$G$1371,'GBD estimates'!$B$3:$B$1371=AB$3,'GBD estimates'!$E$3:$E$1371=""Tuberculosis"",'GBD estimates'!$D$3:$D$1371=""15-49 years"")"),0.002017867)</f>
        <v>0.002017867</v>
      </c>
      <c r="AC113" s="542">
        <f>IFERROR(__xludf.DUMMYFUNCTION("FILTER('GBD estimates'!$G$3:$G$1371,'GBD estimates'!$B$3:$B$1371=AC$3,'GBD estimates'!$E$3:$E$1371=""Tuberculosis"",'GBD estimates'!$D$3:$D$1371=""15-49 years"")"),0.001820839)</f>
        <v>0.001820839</v>
      </c>
      <c r="AD113" s="542">
        <f>IFERROR(__xludf.DUMMYFUNCTION("FILTER('GBD estimates'!$G$3:$G$1371,'GBD estimates'!$B$3:$B$1371=AD$3,'GBD estimates'!$E$3:$E$1371=""Tuberculosis"",'GBD estimates'!$D$3:$D$1371=""15-49 years"")"),0.00191537)</f>
        <v>0.00191537</v>
      </c>
      <c r="AE113" s="542">
        <f>IFERROR(__xludf.DUMMYFUNCTION("FILTER('GBD estimates'!$G$3:$G$1371,'GBD estimates'!$B$3:$B$1371=AE$3,'GBD estimates'!$E$3:$E$1371=""Tuberculosis"",'GBD estimates'!$D$3:$D$1371=""15-49 years"")"),0.001753646)</f>
        <v>0.001753646</v>
      </c>
      <c r="AF113" s="542">
        <f>IFERROR(__xludf.DUMMYFUNCTION("FILTER('GBD estimates'!$G$3:$G$1371,'GBD estimates'!$B$3:$B$1371=AF$3,'GBD estimates'!$E$3:$E$1371=""Tuberculosis"",'GBD estimates'!$D$3:$D$1371=""15-49 years"")"),0.00167821)</f>
        <v>0.00167821</v>
      </c>
      <c r="AG113" s="542">
        <f>IFERROR(__xludf.DUMMYFUNCTION("FILTER('GBD estimates'!$G$3:$G$1371,'GBD estimates'!$B$3:$B$1371=AG$3,'GBD estimates'!$E$3:$E$1371=""Tuberculosis"",'GBD estimates'!$D$3:$D$1371=""15-49 years"")"),0.002843472)</f>
        <v>0.002843472</v>
      </c>
      <c r="AH113" s="542">
        <f>IFERROR(__xludf.DUMMYFUNCTION("FILTER('GBD estimates'!$G$3:$G$1371,'GBD estimates'!$B$3:$B$1371=AH$3,'GBD estimates'!$E$3:$E$1371=""Tuberculosis"",'GBD estimates'!$D$3:$D$1371=""15-49 years"")"),0.002003066)</f>
        <v>0.002003066</v>
      </c>
      <c r="AI113" s="542">
        <f>IFERROR(__xludf.DUMMYFUNCTION("FILTER('GBD estimates'!$G$3:$G$1371,'GBD estimates'!$B$3:$B$1371=AI$3,'GBD estimates'!$E$3:$E$1371=""Tuberculosis"",'GBD estimates'!$D$3:$D$1371=""15-49 years"")"),0.002403157)</f>
        <v>0.002403157</v>
      </c>
      <c r="AJ113" s="542">
        <f>IFERROR(__xludf.DUMMYFUNCTION("FILTER('GBD estimates'!$G$3:$G$1371,'GBD estimates'!$B$3:$B$1371=AJ$3,'GBD estimates'!$E$3:$E$1371=""Tuberculosis"",'GBD estimates'!$D$3:$D$1371=""15-49 years"")"),0.001213453)</f>
        <v>0.001213453</v>
      </c>
      <c r="AK113" s="542">
        <f>IFERROR(__xludf.DUMMYFUNCTION("FILTER('GBD estimates'!$G$3:$G$1371,'GBD estimates'!$B$3:$B$1371=AK$3,'GBD estimates'!$E$3:$E$1371=""Tuberculosis"",'GBD estimates'!$D$3:$D$1371=""15-49 years"")"),0.003105895)</f>
        <v>0.003105895</v>
      </c>
      <c r="AL113" s="542">
        <f>IFERROR(__xludf.DUMMYFUNCTION("FILTER('GBD estimates'!$G$3:$G$1371,'GBD estimates'!$B$3:$B$1371=AL$3,'GBD estimates'!$E$3:$E$1371=""Tuberculosis"",'GBD estimates'!$D$3:$D$1371=""15-49 years"")"),0.003950397)</f>
        <v>0.003950397</v>
      </c>
      <c r="AM113" s="542">
        <f t="shared" ref="AM113:AN113" si="6">AL113</f>
        <v>0.003950397</v>
      </c>
      <c r="AN113" s="542">
        <f t="shared" si="6"/>
        <v>0.003950397</v>
      </c>
      <c r="AO113" s="542">
        <f>IFERROR(__xludf.DUMMYFUNCTION("FILTER('GBD estimates'!$G$3:$G$1371,'GBD estimates'!$B$3:$B$1371=AO$3,'GBD estimates'!$E$3:$E$1371=""Tuberculosis"",'GBD estimates'!$D$3:$D$1371=""15-49 years"")"),0.00235567)</f>
        <v>0.00235567</v>
      </c>
      <c r="AP113" s="542">
        <f>IFERROR(__xludf.DUMMYFUNCTION("FILTER('GBD estimates'!$G$3:$G$1371,'GBD estimates'!$B$3:$B$1371=AP$3,'GBD estimates'!$E$3:$E$1371=""Tuberculosis"",'GBD estimates'!$D$3:$D$1371=""15-49 years"")"),0.002089846)</f>
        <v>0.002089846</v>
      </c>
      <c r="AQ113" s="542">
        <f>IFERROR(__xludf.DUMMYFUNCTION("FILTER('GBD estimates'!$G$3:$G$1371,'GBD estimates'!$B$3:$B$1371=AQ$3,'GBD estimates'!$E$3:$E$1371=""Tuberculosis"",'GBD estimates'!$D$3:$D$1371=""15-49 years"")"),0.001299033)</f>
        <v>0.001299033</v>
      </c>
      <c r="AR113" s="542">
        <f>IFERROR(__xludf.DUMMYFUNCTION("FILTER('GBD estimates'!$G$3:$G$1371,'GBD estimates'!$B$3:$B$1371=AR$3,'GBD estimates'!$E$3:$E$1371=""Tuberculosis"",'GBD estimates'!$D$3:$D$1371=""15-49 years"")"),0.001446772)</f>
        <v>0.001446772</v>
      </c>
      <c r="AS113" s="542">
        <f>IFERROR(__xludf.DUMMYFUNCTION("FILTER('GBD estimates'!$G$3:$G$1371,'GBD estimates'!$B$3:$B$1371=AS$3,'GBD estimates'!$E$3:$E$1371=""Tuberculosis"",'GBD estimates'!$D$3:$D$1371=""15-49 years"")"),0.00310694)</f>
        <v>0.00310694</v>
      </c>
      <c r="AT113" s="542">
        <f>IFERROR(__xludf.DUMMYFUNCTION("FILTER('GBD estimates'!$G$3:$G$1371,'GBD estimates'!$B$3:$B$1371=AT$3,'GBD estimates'!$E$3:$E$1371=""Tuberculosis"",'GBD estimates'!$D$3:$D$1371=""15-49 years"")"),0.001856172)</f>
        <v>0.001856172</v>
      </c>
      <c r="AU113" s="542">
        <f>IFERROR(__xludf.DUMMYFUNCTION("FILTER('GBD estimates'!$G$3:$G$1371,'GBD estimates'!$B$3:$B$1371=AU$3,'GBD estimates'!$E$3:$E$1371=""Tuberculosis"",'GBD estimates'!$D$3:$D$1371=""15-49 years"")"),0.004273474)</f>
        <v>0.004273474</v>
      </c>
      <c r="AV113" s="542">
        <f>IFERROR(__xludf.DUMMYFUNCTION("FILTER('GBD estimates'!$G$3:$G$1371,'GBD estimates'!$B$3:$B$1371=AV$3,'GBD estimates'!$E$3:$E$1371=""Tuberculosis"",'GBD estimates'!$D$3:$D$1371=""15-49 years"")"),0.006708114)</f>
        <v>0.006708114</v>
      </c>
      <c r="AW113" s="784"/>
      <c r="AX113" s="797" t="s">
        <v>999</v>
      </c>
      <c r="AY113" s="786"/>
    </row>
    <row r="114">
      <c r="A114" s="776"/>
      <c r="B114" s="538"/>
      <c r="C114" s="538"/>
      <c r="D114" s="538"/>
      <c r="E114" s="782" t="s">
        <v>535</v>
      </c>
      <c r="F114" s="539" t="s">
        <v>72</v>
      </c>
      <c r="G114" s="540" t="s">
        <v>165</v>
      </c>
      <c r="H114" s="808" t="s">
        <v>162</v>
      </c>
      <c r="I114" s="542">
        <f>IFERROR(__xludf.DUMMYFUNCTION("FILTER('GBD estimates'!$G$3:$G$1371,'GBD estimates'!$B$3:$B$1371=I$3,'GBD estimates'!$E$3:$E$1371=""Tuberculosis"",'GBD estimates'!$D$3:$D$1371=""50 to 74 years"")"),0.049361812)</f>
        <v>0.049361812</v>
      </c>
      <c r="J114" s="542">
        <f>IFERROR(__xludf.DUMMYFUNCTION("FILTER('GBD estimates'!$G$3:$G$1371,'GBD estimates'!$B$3:$B$1371=J$3,'GBD estimates'!$E$3:$E$1371=""Tuberculosis"",'GBD estimates'!$D$3:$D$1371=""50 to 74 years"")"),0.030242318)</f>
        <v>0.030242318</v>
      </c>
      <c r="K114" s="542">
        <f>IFERROR(__xludf.DUMMYFUNCTION("FILTER('GBD estimates'!$G$3:$G$1371,'GBD estimates'!$B$3:$B$1371=K$3,'GBD estimates'!$E$3:$E$1371=""Tuberculosis"",'GBD estimates'!$D$3:$D$1371=""50 to 74 years"")"),0.052337352)</f>
        <v>0.052337352</v>
      </c>
      <c r="L114" s="542">
        <f t="shared" si="4"/>
        <v>0.017468647</v>
      </c>
      <c r="M114" s="542">
        <f>IFERROR(__xludf.DUMMYFUNCTION("FILTER('GBD estimates'!$G$3:$G$1371,'GBD estimates'!$B$3:$B$1371=M$3,'GBD estimates'!$E$3:$E$1371=""Tuberculosis"",'GBD estimates'!$D$3:$D$1371=""50 to 74 years"")"),0.024547523)</f>
        <v>0.024547523</v>
      </c>
      <c r="N114" s="542">
        <f>IFERROR(__xludf.DUMMYFUNCTION("FILTER('GBD estimates'!$G$3:$G$1371,'GBD estimates'!$B$3:$B$1371=N$3,'GBD estimates'!$E$3:$E$1371=""Tuberculosis"",'GBD estimates'!$D$3:$D$1371=""50 to 74 years"")"),0.043092487)</f>
        <v>0.043092487</v>
      </c>
      <c r="O114" s="542">
        <f>IFERROR(__xludf.DUMMYFUNCTION("FILTER('GBD estimates'!$G$3:$G$1371,'GBD estimates'!$B$3:$B$1371=O$3,'GBD estimates'!$E$3:$E$1371=""Tuberculosis"",'GBD estimates'!$D$3:$D$1371=""50 to 74 years"")"),0.052878712)</f>
        <v>0.052878712</v>
      </c>
      <c r="P114" s="542">
        <f>IFERROR(__xludf.DUMMYFUNCTION("FILTER('GBD estimates'!$G$3:$G$1371,'GBD estimates'!$B$3:$B$1371=P$3,'GBD estimates'!$E$3:$E$1371=""Tuberculosis"",'GBD estimates'!$D$3:$D$1371=""50 to 74 years"")"),0.055929714)</f>
        <v>0.055929714</v>
      </c>
      <c r="Q114" s="543">
        <f>IFERROR(__xludf.DUMMYFUNCTION("FILTER('GBD estimates'!$G$3:$G$1371,'GBD estimates'!$B$3:$B$1371=Q$3,'GBD estimates'!$E$3:$E$1371=""Tuberculosis"",'GBD estimates'!$D$3:$D$1371=""50 to 74 years"")"),0.065277222)</f>
        <v>0.065277222</v>
      </c>
      <c r="R114" s="542">
        <f>IFERROR(__xludf.DUMMYFUNCTION("FILTER('GBD estimates'!$G$3:$G$1371,'GBD estimates'!$B$3:$B$1371=R$3,'GBD estimates'!$E$3:$E$1371=""Tuberculosis"",'GBD estimates'!$D$3:$D$1371=""50 to 74 years"")"),0.012599879)</f>
        <v>0.012599879</v>
      </c>
      <c r="S114" s="542">
        <f>IFERROR(__xludf.DUMMYFUNCTION("FILTER('GBD estimates'!$G$3:$G$1371,'GBD estimates'!$B$3:$B$1371=S$3,'GBD estimates'!$E$3:$E$1371=""Tuberculosis"",'GBD estimates'!$D$3:$D$1371=""50 to 74 years"")"),0.023004763)</f>
        <v>0.023004763</v>
      </c>
      <c r="T114" s="542">
        <f>IFERROR(__xludf.DUMMYFUNCTION("FILTER('GBD estimates'!$G$3:$G$1371,'GBD estimates'!$B$3:$B$1371=T$3,'GBD estimates'!$E$3:$E$1371=""Tuberculosis"",'GBD estimates'!$D$3:$D$1371=""50 to 74 years"")"),0.013029136)</f>
        <v>0.013029136</v>
      </c>
      <c r="U114" s="542">
        <f>IFERROR(__xludf.DUMMYFUNCTION("FILTER('GBD estimates'!$G$3:$G$1371,'GBD estimates'!$B$3:$B$1371=U$3,'GBD estimates'!$E$3:$E$1371=""Tuberculosis"",'GBD estimates'!$D$3:$D$1371=""50 to 74 years"")"),0.012334946)</f>
        <v>0.012334946</v>
      </c>
      <c r="V114" s="542">
        <f>IFERROR(__xludf.DUMMYFUNCTION("FILTER('GBD estimates'!$G$3:$G$1371,'GBD estimates'!$B$3:$B$1371=V$3,'GBD estimates'!$E$3:$E$1371=""Tuberculosis"",'GBD estimates'!$D$3:$D$1371=""50 to 74 years"")"),0.014655927)</f>
        <v>0.014655927</v>
      </c>
      <c r="W114" s="542">
        <f>IFERROR(__xludf.DUMMYFUNCTION("FILTER('GBD estimates'!$G$3:$G$1371,'GBD estimates'!$B$3:$B$1371=W$3,'GBD estimates'!$E$3:$E$1371=""Tuberculosis"",'GBD estimates'!$D$3:$D$1371=""50 to 74 years"")"),0.021009252)</f>
        <v>0.021009252</v>
      </c>
      <c r="X114" s="542">
        <f>IFERROR(__xludf.DUMMYFUNCTION("FILTER('GBD estimates'!$G$3:$G$1371,'GBD estimates'!$B$3:$B$1371=X$3,'GBD estimates'!$E$3:$E$1371=""Tuberculosis"",'GBD estimates'!$D$3:$D$1371=""50 to 74 years"")"),0.022167906)</f>
        <v>0.022167906</v>
      </c>
      <c r="Y114" s="542">
        <f>IFERROR(__xludf.DUMMYFUNCTION("FILTER('GBD estimates'!$G$3:$G$1371,'GBD estimates'!$B$3:$B$1371=Y$3,'GBD estimates'!$E$3:$E$1371=""Tuberculosis"",'GBD estimates'!$D$3:$D$1371=""50 to 74 years"")"),0.014441764)</f>
        <v>0.014441764</v>
      </c>
      <c r="Z114" s="542">
        <f>IFERROR(__xludf.DUMMYFUNCTION("FILTER('GBD estimates'!$G$3:$G$1371,'GBD estimates'!$B$3:$B$1371=Z$3,'GBD estimates'!$E$3:$E$1371=""Tuberculosis"",'GBD estimates'!$D$3:$D$1371=""50 to 74 years"")"),0.011944601)</f>
        <v>0.011944601</v>
      </c>
      <c r="AA114" s="542">
        <f>IFERROR(__xludf.DUMMYFUNCTION("FILTER('GBD estimates'!$G$3:$G$1371,'GBD estimates'!$B$3:$B$1371=AA$3,'GBD estimates'!$E$3:$E$1371=""Tuberculosis"",'GBD estimates'!$D$3:$D$1371=""50 to 74 years"")"),0.01787577)</f>
        <v>0.01787577</v>
      </c>
      <c r="AB114" s="542">
        <f>IFERROR(__xludf.DUMMYFUNCTION("FILTER('GBD estimates'!$G$3:$G$1371,'GBD estimates'!$B$3:$B$1371=AB$3,'GBD estimates'!$E$3:$E$1371=""Tuberculosis"",'GBD estimates'!$D$3:$D$1371=""50 to 74 years"")"),0.01091559)</f>
        <v>0.01091559</v>
      </c>
      <c r="AC114" s="542">
        <f>IFERROR(__xludf.DUMMYFUNCTION("FILTER('GBD estimates'!$G$3:$G$1371,'GBD estimates'!$B$3:$B$1371=AC$3,'GBD estimates'!$E$3:$E$1371=""Tuberculosis"",'GBD estimates'!$D$3:$D$1371=""50 to 74 years"")"),0.012048696)</f>
        <v>0.012048696</v>
      </c>
      <c r="AD114" s="542">
        <f>IFERROR(__xludf.DUMMYFUNCTION("FILTER('GBD estimates'!$G$3:$G$1371,'GBD estimates'!$B$3:$B$1371=AD$3,'GBD estimates'!$E$3:$E$1371=""Tuberculosis"",'GBD estimates'!$D$3:$D$1371=""50 to 74 years"")"),0.013674896)</f>
        <v>0.013674896</v>
      </c>
      <c r="AE114" s="542">
        <f>IFERROR(__xludf.DUMMYFUNCTION("FILTER('GBD estimates'!$G$3:$G$1371,'GBD estimates'!$B$3:$B$1371=AE$3,'GBD estimates'!$E$3:$E$1371=""Tuberculosis"",'GBD estimates'!$D$3:$D$1371=""50 to 74 years"")"),0.00979287)</f>
        <v>0.00979287</v>
      </c>
      <c r="AF114" s="542">
        <f>IFERROR(__xludf.DUMMYFUNCTION("FILTER('GBD estimates'!$G$3:$G$1371,'GBD estimates'!$B$3:$B$1371=AF$3,'GBD estimates'!$E$3:$E$1371=""Tuberculosis"",'GBD estimates'!$D$3:$D$1371=""50 to 74 years"")"),0.011610331)</f>
        <v>0.011610331</v>
      </c>
      <c r="AG114" s="542">
        <f>IFERROR(__xludf.DUMMYFUNCTION("FILTER('GBD estimates'!$G$3:$G$1371,'GBD estimates'!$B$3:$B$1371=AG$3,'GBD estimates'!$E$3:$E$1371=""Tuberculosis"",'GBD estimates'!$D$3:$D$1371=""50 to 74 years"")"),0.017468647)</f>
        <v>0.017468647</v>
      </c>
      <c r="AH114" s="542">
        <f>IFERROR(__xludf.DUMMYFUNCTION("FILTER('GBD estimates'!$G$3:$G$1371,'GBD estimates'!$B$3:$B$1371=AH$3,'GBD estimates'!$E$3:$E$1371=""Tuberculosis"",'GBD estimates'!$D$3:$D$1371=""50 to 74 years"")"),0.015085468)</f>
        <v>0.015085468</v>
      </c>
      <c r="AI114" s="542">
        <f>IFERROR(__xludf.DUMMYFUNCTION("FILTER('GBD estimates'!$G$3:$G$1371,'GBD estimates'!$B$3:$B$1371=AI$3,'GBD estimates'!$E$3:$E$1371=""Tuberculosis"",'GBD estimates'!$D$3:$D$1371=""50 to 74 years"")"),0.013966852)</f>
        <v>0.013966852</v>
      </c>
      <c r="AJ114" s="542">
        <f>IFERROR(__xludf.DUMMYFUNCTION("FILTER('GBD estimates'!$G$3:$G$1371,'GBD estimates'!$B$3:$B$1371=AJ$3,'GBD estimates'!$E$3:$E$1371=""Tuberculosis"",'GBD estimates'!$D$3:$D$1371=""50 to 74 years"")"),0.007392705)</f>
        <v>0.007392705</v>
      </c>
      <c r="AK114" s="542">
        <f>IFERROR(__xludf.DUMMYFUNCTION("FILTER('GBD estimates'!$G$3:$G$1371,'GBD estimates'!$B$3:$B$1371=AK$3,'GBD estimates'!$E$3:$E$1371=""Tuberculosis"",'GBD estimates'!$D$3:$D$1371=""50 to 74 years"")"),0.015409974)</f>
        <v>0.015409974</v>
      </c>
      <c r="AL114" s="542">
        <f>IFERROR(__xludf.DUMMYFUNCTION("FILTER('GBD estimates'!$G$3:$G$1371,'GBD estimates'!$B$3:$B$1371=AL$3,'GBD estimates'!$E$3:$E$1371=""Tuberculosis"",'GBD estimates'!$D$3:$D$1371=""50 to 74 years"")"),0.024823515)</f>
        <v>0.024823515</v>
      </c>
      <c r="AM114" s="542">
        <f t="shared" ref="AM114:AN114" si="7">AL114</f>
        <v>0.024823515</v>
      </c>
      <c r="AN114" s="542">
        <f t="shared" si="7"/>
        <v>0.024823515</v>
      </c>
      <c r="AO114" s="542">
        <f>IFERROR(__xludf.DUMMYFUNCTION("FILTER('GBD estimates'!$G$3:$G$1371,'GBD estimates'!$B$3:$B$1371=AO$3,'GBD estimates'!$E$3:$E$1371=""Tuberculosis"",'GBD estimates'!$D$3:$D$1371=""50 to 74 years"")"),0.015866669)</f>
        <v>0.015866669</v>
      </c>
      <c r="AP114" s="542">
        <f>IFERROR(__xludf.DUMMYFUNCTION("FILTER('GBD estimates'!$G$3:$G$1371,'GBD estimates'!$B$3:$B$1371=AP$3,'GBD estimates'!$E$3:$E$1371=""Tuberculosis"",'GBD estimates'!$D$3:$D$1371=""50 to 74 years"")"),0.01415755)</f>
        <v>0.01415755</v>
      </c>
      <c r="AQ114" s="542">
        <f>IFERROR(__xludf.DUMMYFUNCTION("FILTER('GBD estimates'!$G$3:$G$1371,'GBD estimates'!$B$3:$B$1371=AQ$3,'GBD estimates'!$E$3:$E$1371=""Tuberculosis"",'GBD estimates'!$D$3:$D$1371=""50 to 74 years"")"),0.011586001)</f>
        <v>0.011586001</v>
      </c>
      <c r="AR114" s="542">
        <f>IFERROR(__xludf.DUMMYFUNCTION("FILTER('GBD estimates'!$G$3:$G$1371,'GBD estimates'!$B$3:$B$1371=AR$3,'GBD estimates'!$E$3:$E$1371=""Tuberculosis"",'GBD estimates'!$D$3:$D$1371=""50 to 74 years"")"),0.008549682)</f>
        <v>0.008549682</v>
      </c>
      <c r="AS114" s="542">
        <f>IFERROR(__xludf.DUMMYFUNCTION("FILTER('GBD estimates'!$G$3:$G$1371,'GBD estimates'!$B$3:$B$1371=AS$3,'GBD estimates'!$E$3:$E$1371=""Tuberculosis"",'GBD estimates'!$D$3:$D$1371=""50 to 74 years"")"),0.015257187)</f>
        <v>0.015257187</v>
      </c>
      <c r="AT114" s="542">
        <f>IFERROR(__xludf.DUMMYFUNCTION("FILTER('GBD estimates'!$G$3:$G$1371,'GBD estimates'!$B$3:$B$1371=AT$3,'GBD estimates'!$E$3:$E$1371=""Tuberculosis"",'GBD estimates'!$D$3:$D$1371=""50 to 74 years"")"),0.011869172)</f>
        <v>0.011869172</v>
      </c>
      <c r="AU114" s="542">
        <f>IFERROR(__xludf.DUMMYFUNCTION("FILTER('GBD estimates'!$G$3:$G$1371,'GBD estimates'!$B$3:$B$1371=AU$3,'GBD estimates'!$E$3:$E$1371=""Tuberculosis"",'GBD estimates'!$D$3:$D$1371=""50 to 74 years"")"),0.020851106)</f>
        <v>0.020851106</v>
      </c>
      <c r="AV114" s="542">
        <f>IFERROR(__xludf.DUMMYFUNCTION("FILTER('GBD estimates'!$G$3:$G$1371,'GBD estimates'!$B$3:$B$1371=AV$3,'GBD estimates'!$E$3:$E$1371=""Tuberculosis"",'GBD estimates'!$D$3:$D$1371=""50 to 74 years"")"),0.043770944)</f>
        <v>0.043770944</v>
      </c>
      <c r="AW114" s="784"/>
      <c r="AX114" s="797" t="s">
        <v>999</v>
      </c>
      <c r="AY114" s="786"/>
    </row>
    <row r="115">
      <c r="A115" s="856"/>
      <c r="B115" s="857"/>
      <c r="C115" s="538"/>
      <c r="D115" s="538"/>
      <c r="E115" s="800" t="s">
        <v>537</v>
      </c>
      <c r="F115" s="544" t="s">
        <v>72</v>
      </c>
      <c r="G115" s="545" t="s">
        <v>165</v>
      </c>
      <c r="H115" s="803">
        <v>0.0</v>
      </c>
      <c r="I115" s="134" t="s">
        <v>162</v>
      </c>
      <c r="J115" s="134" t="s">
        <v>162</v>
      </c>
      <c r="K115" s="134" t="s">
        <v>162</v>
      </c>
      <c r="L115" s="547" t="str">
        <f t="shared" si="4"/>
        <v>-</v>
      </c>
      <c r="M115" s="134" t="s">
        <v>162</v>
      </c>
      <c r="N115" s="134" t="s">
        <v>162</v>
      </c>
      <c r="O115" s="134" t="s">
        <v>162</v>
      </c>
      <c r="P115" s="134" t="s">
        <v>162</v>
      </c>
      <c r="Q115" s="145" t="s">
        <v>162</v>
      </c>
      <c r="R115" s="134" t="s">
        <v>162</v>
      </c>
      <c r="S115" s="134" t="s">
        <v>162</v>
      </c>
      <c r="T115" s="134" t="s">
        <v>162</v>
      </c>
      <c r="U115" s="134" t="s">
        <v>162</v>
      </c>
      <c r="V115" s="134" t="s">
        <v>162</v>
      </c>
      <c r="W115" s="134" t="s">
        <v>162</v>
      </c>
      <c r="X115" s="134" t="s">
        <v>162</v>
      </c>
      <c r="Y115" s="134" t="s">
        <v>162</v>
      </c>
      <c r="Z115" s="134" t="s">
        <v>162</v>
      </c>
      <c r="AA115" s="134" t="s">
        <v>162</v>
      </c>
      <c r="AB115" s="134" t="s">
        <v>162</v>
      </c>
      <c r="AC115" s="134" t="s">
        <v>162</v>
      </c>
      <c r="AD115" s="134" t="s">
        <v>162</v>
      </c>
      <c r="AE115" s="134" t="s">
        <v>162</v>
      </c>
      <c r="AF115" s="134" t="s">
        <v>162</v>
      </c>
      <c r="AG115" s="134" t="s">
        <v>162</v>
      </c>
      <c r="AH115" s="134" t="s">
        <v>162</v>
      </c>
      <c r="AI115" s="134" t="s">
        <v>162</v>
      </c>
      <c r="AJ115" s="134" t="s">
        <v>162</v>
      </c>
      <c r="AK115" s="134" t="s">
        <v>162</v>
      </c>
      <c r="AL115" s="134" t="s">
        <v>162</v>
      </c>
      <c r="AM115" s="134" t="s">
        <v>162</v>
      </c>
      <c r="AN115" s="134" t="s">
        <v>162</v>
      </c>
      <c r="AO115" s="134" t="s">
        <v>162</v>
      </c>
      <c r="AP115" s="134" t="s">
        <v>162</v>
      </c>
      <c r="AQ115" s="134" t="s">
        <v>162</v>
      </c>
      <c r="AR115" s="134" t="s">
        <v>162</v>
      </c>
      <c r="AS115" s="134" t="s">
        <v>162</v>
      </c>
      <c r="AT115" s="134" t="s">
        <v>162</v>
      </c>
      <c r="AU115" s="134" t="s">
        <v>162</v>
      </c>
      <c r="AV115" s="134" t="s">
        <v>162</v>
      </c>
      <c r="AW115" s="858"/>
      <c r="AX115" s="805" t="s">
        <v>984</v>
      </c>
      <c r="AY115" s="806"/>
    </row>
    <row r="116">
      <c r="A116" s="776"/>
      <c r="B116" s="538"/>
      <c r="C116" s="538"/>
      <c r="D116" s="538"/>
      <c r="E116" s="777"/>
      <c r="F116" s="533"/>
      <c r="G116" s="534"/>
      <c r="H116" s="680"/>
      <c r="I116" s="552"/>
      <c r="J116" s="552"/>
      <c r="K116" s="552"/>
      <c r="L116" s="552"/>
      <c r="M116" s="552"/>
      <c r="N116" s="552"/>
      <c r="O116" s="552"/>
      <c r="P116" s="552"/>
      <c r="Q116" s="553"/>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778"/>
      <c r="AX116" s="779"/>
      <c r="AY116" s="780"/>
    </row>
    <row r="117">
      <c r="A117" s="538"/>
      <c r="B117" s="538"/>
      <c r="C117" s="143" t="s">
        <v>539</v>
      </c>
      <c r="F117" s="533"/>
      <c r="G117" s="533"/>
      <c r="H117" s="680"/>
      <c r="I117" s="552"/>
      <c r="J117" s="552"/>
      <c r="K117" s="552"/>
      <c r="L117" s="552"/>
      <c r="M117" s="552"/>
      <c r="N117" s="552"/>
      <c r="O117" s="552"/>
      <c r="P117" s="552"/>
      <c r="Q117" s="553"/>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778"/>
      <c r="AX117" s="779"/>
      <c r="AY117" s="780"/>
    </row>
    <row r="118">
      <c r="A118" s="776"/>
      <c r="B118" s="538"/>
      <c r="C118" s="538"/>
      <c r="D118" s="538"/>
      <c r="E118" s="782" t="s">
        <v>541</v>
      </c>
      <c r="F118" s="539" t="s">
        <v>72</v>
      </c>
      <c r="G118" s="540" t="s">
        <v>165</v>
      </c>
      <c r="H118" s="808" t="s">
        <v>162</v>
      </c>
      <c r="I118" s="542">
        <f>IFERROR(__xludf.DUMMYFUNCTION("FILTER('GBD estimates'!$G$3:$G$1371,'GBD estimates'!$B$3:$B$1371=I$3,'GBD estimates'!$E$3:$E$1371=""Diphtheria"",'GBD estimates'!$D$3:$D$1371=""Under 5"")"),5.01357E-4)</f>
        <v>0.000501357</v>
      </c>
      <c r="J118" s="542">
        <f>IFERROR(__xludf.DUMMYFUNCTION("FILTER('GBD estimates'!$G$3:$G$1371,'GBD estimates'!$B$3:$B$1371=J$3,'GBD estimates'!$E$3:$E$1371=""Diphtheria"",'GBD estimates'!$D$3:$D$1371=""Under 5"")"),3.47103E-4)</f>
        <v>0.000347103</v>
      </c>
      <c r="K118" s="542">
        <f>IFERROR(__xludf.DUMMYFUNCTION("FILTER('GBD estimates'!$G$3:$G$1371,'GBD estimates'!$B$3:$B$1371=K$3,'GBD estimates'!$E$3:$E$1371=""Diphtheria"",'GBD estimates'!$D$3:$D$1371=""Under 5"")"),5.79052E-4)</f>
        <v>0.000579052</v>
      </c>
      <c r="L118" s="542">
        <f t="shared" ref="L118:L124" si="9">AG118</f>
        <v>0.000105863</v>
      </c>
      <c r="M118" s="542">
        <f>IFERROR(__xludf.DUMMYFUNCTION("FILTER('GBD estimates'!$G$3:$G$1371,'GBD estimates'!$B$3:$B$1371=M$3,'GBD estimates'!$E$3:$E$1371=""Diphtheria"",'GBD estimates'!$D$3:$D$1371=""Under 5"")"),2.47733E-4)</f>
        <v>0.000247733</v>
      </c>
      <c r="N118" s="542">
        <f>IFERROR(__xludf.DUMMYFUNCTION("FILTER('GBD estimates'!$G$3:$G$1371,'GBD estimates'!$B$3:$B$1371=N$3,'GBD estimates'!$E$3:$E$1371=""Diphtheria"",'GBD estimates'!$D$3:$D$1371=""Under 5"")"),3.80731E-4)</f>
        <v>0.000380731</v>
      </c>
      <c r="O118" s="542">
        <f>IFERROR(__xludf.DUMMYFUNCTION("FILTER('GBD estimates'!$G$3:$G$1371,'GBD estimates'!$B$3:$B$1371=O$3,'GBD estimates'!$E$3:$E$1371=""Diphtheria"",'GBD estimates'!$D$3:$D$1371=""Under 5"")"),7.28763E-4)</f>
        <v>0.000728763</v>
      </c>
      <c r="P118" s="542">
        <f>IFERROR(__xludf.DUMMYFUNCTION("FILTER('GBD estimates'!$G$3:$G$1371,'GBD estimates'!$B$3:$B$1371=P$3,'GBD estimates'!$E$3:$E$1371=""Diphtheria"",'GBD estimates'!$D$3:$D$1371=""Under 5"")"),0.001418658)</f>
        <v>0.001418658</v>
      </c>
      <c r="Q118" s="543">
        <f>IFERROR(__xludf.DUMMYFUNCTION("FILTER('GBD estimates'!$G$3:$G$1371,'GBD estimates'!$B$3:$B$1371=Q$3,'GBD estimates'!$E$3:$E$1371=""Diphtheria"",'GBD estimates'!$D$3:$D$1371=""Under 5"")"),0.001618551)</f>
        <v>0.001618551</v>
      </c>
      <c r="R118" s="542">
        <f>IFERROR(__xludf.DUMMYFUNCTION("FILTER('GBD estimates'!$G$3:$G$1371,'GBD estimates'!$B$3:$B$1371=R$3,'GBD estimates'!$E$3:$E$1371=""Diphtheria"",'GBD estimates'!$D$3:$D$1371=""Under 5"")"),8.6E-6)</f>
        <v>0.0000086</v>
      </c>
      <c r="S118" s="542">
        <f>IFERROR(__xludf.DUMMYFUNCTION("FILTER('GBD estimates'!$G$3:$G$1371,'GBD estimates'!$B$3:$B$1371=S$3,'GBD estimates'!$E$3:$E$1371=""Diphtheria"",'GBD estimates'!$D$3:$D$1371=""Under 5"")"),6.78E-5)</f>
        <v>0.0000678</v>
      </c>
      <c r="T118" s="542">
        <f>IFERROR(__xludf.DUMMYFUNCTION("FILTER('GBD estimates'!$G$3:$G$1371,'GBD estimates'!$B$3:$B$1371=T$3,'GBD estimates'!$E$3:$E$1371=""Diphtheria"",'GBD estimates'!$D$3:$D$1371=""Under 5"")"),6.75E-6)</f>
        <v>0.00000675</v>
      </c>
      <c r="U118" s="542">
        <f>IFERROR(__xludf.DUMMYFUNCTION("FILTER('GBD estimates'!$G$3:$G$1371,'GBD estimates'!$B$3:$B$1371=U$3,'GBD estimates'!$E$3:$E$1371=""Diphtheria"",'GBD estimates'!$D$3:$D$1371=""Under 5"")"),3.9E-6)</f>
        <v>0.0000039</v>
      </c>
      <c r="V118" s="542">
        <f>IFERROR(__xludf.DUMMYFUNCTION("FILTER('GBD estimates'!$G$3:$G$1371,'GBD estimates'!$B$3:$B$1371=V$3,'GBD estimates'!$E$3:$E$1371=""Diphtheria"",'GBD estimates'!$D$3:$D$1371=""Under 5"")"),1.97E-5)</f>
        <v>0.0000197</v>
      </c>
      <c r="W118" s="542">
        <f>IFERROR(__xludf.DUMMYFUNCTION("FILTER('GBD estimates'!$G$3:$G$1371,'GBD estimates'!$B$3:$B$1371=W$3,'GBD estimates'!$E$3:$E$1371=""Diphtheria"",'GBD estimates'!$D$3:$D$1371=""Under 5"")"),1.97E-5)</f>
        <v>0.0000197</v>
      </c>
      <c r="X118" s="542">
        <f>IFERROR(__xludf.DUMMYFUNCTION("FILTER('GBD estimates'!$G$3:$G$1371,'GBD estimates'!$B$3:$B$1371=X$3,'GBD estimates'!$E$3:$E$1371=""Diphtheria"",'GBD estimates'!$D$3:$D$1371=""Under 5"")"),4.71E-5)</f>
        <v>0.0000471</v>
      </c>
      <c r="Y118" s="542">
        <f>IFERROR(__xludf.DUMMYFUNCTION("FILTER('GBD estimates'!$G$3:$G$1371,'GBD estimates'!$B$3:$B$1371=Y$3,'GBD estimates'!$E$3:$E$1371=""Diphtheria"",'GBD estimates'!$D$3:$D$1371=""Under 5"")"),6.97E-6)</f>
        <v>0.00000697</v>
      </c>
      <c r="Z118" s="542">
        <f>IFERROR(__xludf.DUMMYFUNCTION("FILTER('GBD estimates'!$G$3:$G$1371,'GBD estimates'!$B$3:$B$1371=Z$3,'GBD estimates'!$E$3:$E$1371=""Diphtheria"",'GBD estimates'!$D$3:$D$1371=""Under 5"")"),9.24E-6)</f>
        <v>0.00000924</v>
      </c>
      <c r="AA118" s="542">
        <f>IFERROR(__xludf.DUMMYFUNCTION("FILTER('GBD estimates'!$G$3:$G$1371,'GBD estimates'!$B$3:$B$1371=AA$3,'GBD estimates'!$E$3:$E$1371=""Diphtheria"",'GBD estimates'!$D$3:$D$1371=""Under 5"")"),1.09E-5)</f>
        <v>0.0000109</v>
      </c>
      <c r="AB118" s="542">
        <f>IFERROR(__xludf.DUMMYFUNCTION("FILTER('GBD estimates'!$G$3:$G$1371,'GBD estimates'!$B$3:$B$1371=AB$3,'GBD estimates'!$E$3:$E$1371=""Diphtheria"",'GBD estimates'!$D$3:$D$1371=""Under 5"")"),7.59E-6)</f>
        <v>0.00000759</v>
      </c>
      <c r="AC118" s="542">
        <f>IFERROR(__xludf.DUMMYFUNCTION("FILTER('GBD estimates'!$G$3:$G$1371,'GBD estimates'!$B$3:$B$1371=AC$3,'GBD estimates'!$E$3:$E$1371=""Diphtheria"",'GBD estimates'!$D$3:$D$1371=""Under 5"")"),4.02E-6)</f>
        <v>0.00000402</v>
      </c>
      <c r="AD118" s="542">
        <f>IFERROR(__xludf.DUMMYFUNCTION("FILTER('GBD estimates'!$G$3:$G$1371,'GBD estimates'!$B$3:$B$1371=AD$3,'GBD estimates'!$E$3:$E$1371=""Diphtheria"",'GBD estimates'!$D$3:$D$1371=""Under 5"")"),3.45E-6)</f>
        <v>0.00000345</v>
      </c>
      <c r="AE118" s="542">
        <f>IFERROR(__xludf.DUMMYFUNCTION("FILTER('GBD estimates'!$G$3:$G$1371,'GBD estimates'!$B$3:$B$1371=AE$3,'GBD estimates'!$E$3:$E$1371=""Diphtheria"",'GBD estimates'!$D$3:$D$1371=""Under 5"")"),7.94E-6)</f>
        <v>0.00000794</v>
      </c>
      <c r="AF118" s="542">
        <f>IFERROR(__xludf.DUMMYFUNCTION("FILTER('GBD estimates'!$G$3:$G$1371,'GBD estimates'!$B$3:$B$1371=AF$3,'GBD estimates'!$E$3:$E$1371=""Diphtheria"",'GBD estimates'!$D$3:$D$1371=""Under 5"")"),3.61E-6)</f>
        <v>0.00000361</v>
      </c>
      <c r="AG118" s="542">
        <f>IFERROR(__xludf.DUMMYFUNCTION("FILTER('GBD estimates'!$G$3:$G$1371,'GBD estimates'!$B$3:$B$1371=AG$3,'GBD estimates'!$E$3:$E$1371=""Diphtheria"",'GBD estimates'!$D$3:$D$1371=""Under 5"")"),1.05863E-4)</f>
        <v>0.000105863</v>
      </c>
      <c r="AH118" s="542">
        <f>IFERROR(__xludf.DUMMYFUNCTION("FILTER('GBD estimates'!$G$3:$G$1371,'GBD estimates'!$B$3:$B$1371=AH$3,'GBD estimates'!$E$3:$E$1371=""Diphtheria"",'GBD estimates'!$D$3:$D$1371=""Under 5"")"),1.13E-5)</f>
        <v>0.0000113</v>
      </c>
      <c r="AI118" s="542">
        <f>IFERROR(__xludf.DUMMYFUNCTION("FILTER('GBD estimates'!$G$3:$G$1371,'GBD estimates'!$B$3:$B$1371=AI$3,'GBD estimates'!$E$3:$E$1371=""Diphtheria"",'GBD estimates'!$D$3:$D$1371=""Under 5"")"),6.94E-6)</f>
        <v>0.00000694</v>
      </c>
      <c r="AJ118" s="542">
        <f>IFERROR(__xludf.DUMMYFUNCTION("FILTER('GBD estimates'!$G$3:$G$1371,'GBD estimates'!$B$3:$B$1371=AJ$3,'GBD estimates'!$E$3:$E$1371=""Diphtheria"",'GBD estimates'!$D$3:$D$1371=""Under 5"")"),1.67E-6)</f>
        <v>0.00000167</v>
      </c>
      <c r="AK118" s="542">
        <f>IFERROR(__xludf.DUMMYFUNCTION("FILTER('GBD estimates'!$G$3:$G$1371,'GBD estimates'!$B$3:$B$1371=AK$3,'GBD estimates'!$E$3:$E$1371=""Diphtheria"",'GBD estimates'!$D$3:$D$1371=""Under 5"")"),3.13E-5)</f>
        <v>0.0000313</v>
      </c>
      <c r="AL118" s="542">
        <f>IFERROR(__xludf.DUMMYFUNCTION("FILTER('GBD estimates'!$G$3:$G$1371,'GBD estimates'!$B$3:$B$1371=AL$3,'GBD estimates'!$E$3:$E$1371=""Diphtheria"",'GBD estimates'!$D$3:$D$1371=""Under 5"")"),1.1796E-4)</f>
        <v>0.00011796</v>
      </c>
      <c r="AM118" s="542">
        <f t="shared" ref="AM118:AN118" si="8">AL118</f>
        <v>0.00011796</v>
      </c>
      <c r="AN118" s="542">
        <f t="shared" si="8"/>
        <v>0.00011796</v>
      </c>
      <c r="AO118" s="542">
        <f>IFERROR(__xludf.DUMMYFUNCTION("FILTER('GBD estimates'!$G$3:$G$1371,'GBD estimates'!$B$3:$B$1371=AO$3,'GBD estimates'!$E$3:$E$1371=""Diphtheria"",'GBD estimates'!$D$3:$D$1371=""Under 5"")"),1.32E-5)</f>
        <v>0.0000132</v>
      </c>
      <c r="AP118" s="542">
        <f>IFERROR(__xludf.DUMMYFUNCTION("FILTER('GBD estimates'!$G$3:$G$1371,'GBD estimates'!$B$3:$B$1371=AP$3,'GBD estimates'!$E$3:$E$1371=""Diphtheria"",'GBD estimates'!$D$3:$D$1371=""Under 5"")"),7.03E-6)</f>
        <v>0.00000703</v>
      </c>
      <c r="AQ118" s="542">
        <f>IFERROR(__xludf.DUMMYFUNCTION("FILTER('GBD estimates'!$G$3:$G$1371,'GBD estimates'!$B$3:$B$1371=AQ$3,'GBD estimates'!$E$3:$E$1371=""Diphtheria"",'GBD estimates'!$D$3:$D$1371=""Under 5"")"),2.14E-6)</f>
        <v>0.00000214</v>
      </c>
      <c r="AR118" s="542">
        <f>IFERROR(__xludf.DUMMYFUNCTION("FILTER('GBD estimates'!$G$3:$G$1371,'GBD estimates'!$B$3:$B$1371=AR$3,'GBD estimates'!$E$3:$E$1371=""Diphtheria"",'GBD estimates'!$D$3:$D$1371=""Under 5"")"),9.46E-6)</f>
        <v>0.00000946</v>
      </c>
      <c r="AS118" s="542">
        <f>IFERROR(__xludf.DUMMYFUNCTION("FILTER('GBD estimates'!$G$3:$G$1371,'GBD estimates'!$B$3:$B$1371=AS$3,'GBD estimates'!$E$3:$E$1371=""Diphtheria"",'GBD estimates'!$D$3:$D$1371=""Under 5"")"),1.22E-5)</f>
        <v>0.0000122</v>
      </c>
      <c r="AT118" s="542">
        <f>IFERROR(__xludf.DUMMYFUNCTION("FILTER('GBD estimates'!$G$3:$G$1371,'GBD estimates'!$B$3:$B$1371=AT$3,'GBD estimates'!$E$3:$E$1371=""Diphtheria"",'GBD estimates'!$D$3:$D$1371=""Under 5"")"),7.55E-6)</f>
        <v>0.00000755</v>
      </c>
      <c r="AU118" s="542">
        <f>IFERROR(__xludf.DUMMYFUNCTION("FILTER('GBD estimates'!$G$3:$G$1371,'GBD estimates'!$B$3:$B$1371=AU$3,'GBD estimates'!$E$3:$E$1371=""Diphtheria"",'GBD estimates'!$D$3:$D$1371=""Under 5"")"),1.40862E-4)</f>
        <v>0.000140862</v>
      </c>
      <c r="AV118" s="542">
        <f>IFERROR(__xludf.DUMMYFUNCTION("FILTER('GBD estimates'!$G$3:$G$1371,'GBD estimates'!$B$3:$B$1371=AV$3,'GBD estimates'!$E$3:$E$1371=""Diphtheria"",'GBD estimates'!$D$3:$D$1371=""Under 5"")"),2.57334E-4)</f>
        <v>0.000257334</v>
      </c>
      <c r="AW118" s="784"/>
      <c r="AX118" s="797" t="s">
        <v>999</v>
      </c>
      <c r="AY118" s="786"/>
    </row>
    <row r="119">
      <c r="A119" s="776"/>
      <c r="B119" s="538"/>
      <c r="C119" s="538"/>
      <c r="D119" s="538"/>
      <c r="E119" s="475" t="s">
        <v>542</v>
      </c>
      <c r="F119" s="554" t="s">
        <v>72</v>
      </c>
      <c r="G119" s="555" t="s">
        <v>165</v>
      </c>
      <c r="H119" s="811" t="s">
        <v>162</v>
      </c>
      <c r="I119" s="542">
        <f>IFERROR(__xludf.DUMMYFUNCTION("FILTER('GBD estimates'!$G$3:$G$1371,'GBD estimates'!$B$3:$B$1371=I$3,'GBD estimates'!$E$3:$E$1371=""Diphtheria"",'GBD estimates'!$D$3:$D$1371=""5-14 years"")"),5.88E-5)</f>
        <v>0.0000588</v>
      </c>
      <c r="J119" s="542">
        <f>IFERROR(__xludf.DUMMYFUNCTION("FILTER('GBD estimates'!$G$3:$G$1371,'GBD estimates'!$B$3:$B$1371=J$3,'GBD estimates'!$E$3:$E$1371=""Diphtheria"",'GBD estimates'!$D$3:$D$1371=""5-14 years"")"),4.39E-5)</f>
        <v>0.0000439</v>
      </c>
      <c r="K119" s="542">
        <f>IFERROR(__xludf.DUMMYFUNCTION("FILTER('GBD estimates'!$G$3:$G$1371,'GBD estimates'!$B$3:$B$1371=K$3,'GBD estimates'!$E$3:$E$1371=""Diphtheria"",'GBD estimates'!$D$3:$D$1371=""5-14 years"")"),6.71E-5)</f>
        <v>0.0000671</v>
      </c>
      <c r="L119" s="542">
        <f t="shared" si="9"/>
        <v>0.0000199</v>
      </c>
      <c r="M119" s="542">
        <f>IFERROR(__xludf.DUMMYFUNCTION("FILTER('GBD estimates'!$G$3:$G$1371,'GBD estimates'!$B$3:$B$1371=M$3,'GBD estimates'!$E$3:$E$1371=""Diphtheria"",'GBD estimates'!$D$3:$D$1371=""5-14 years"")"),3.53E-5)</f>
        <v>0.0000353</v>
      </c>
      <c r="N119" s="542">
        <f>IFERROR(__xludf.DUMMYFUNCTION("FILTER('GBD estimates'!$G$3:$G$1371,'GBD estimates'!$B$3:$B$1371=N$3,'GBD estimates'!$E$3:$E$1371=""Diphtheria"",'GBD estimates'!$D$3:$D$1371=""5-14 years"")"),4.59E-5)</f>
        <v>0.0000459</v>
      </c>
      <c r="O119" s="542">
        <f>IFERROR(__xludf.DUMMYFUNCTION("FILTER('GBD estimates'!$G$3:$G$1371,'GBD estimates'!$B$3:$B$1371=O$3,'GBD estimates'!$E$3:$E$1371=""Diphtheria"",'GBD estimates'!$D$3:$D$1371=""5-14 years"")"),1.09744E-4)</f>
        <v>0.000109744</v>
      </c>
      <c r="P119" s="542">
        <f>IFERROR(__xludf.DUMMYFUNCTION("FILTER('GBD estimates'!$G$3:$G$1371,'GBD estimates'!$B$3:$B$1371=P$3,'GBD estimates'!$E$3:$E$1371=""Diphtheria"",'GBD estimates'!$D$3:$D$1371=""5-14 years"")"),1.81069E-4)</f>
        <v>0.000181069</v>
      </c>
      <c r="Q119" s="543">
        <f>IFERROR(__xludf.DUMMYFUNCTION("FILTER('GBD estimates'!$G$3:$G$1371,'GBD estimates'!$B$3:$B$1371=Q$3,'GBD estimates'!$E$3:$E$1371=""Diphtheria"",'GBD estimates'!$D$3:$D$1371=""5-14 years"")"),1.77977E-4)</f>
        <v>0.000177977</v>
      </c>
      <c r="R119" s="542">
        <f>IFERROR(__xludf.DUMMYFUNCTION("FILTER('GBD estimates'!$G$3:$G$1371,'GBD estimates'!$B$3:$B$1371=R$3,'GBD estimates'!$E$3:$E$1371=""Diphtheria"",'GBD estimates'!$D$3:$D$1371=""5-14 years"")"),1.73E-6)</f>
        <v>0.00000173</v>
      </c>
      <c r="S119" s="542">
        <f>IFERROR(__xludf.DUMMYFUNCTION("FILTER('GBD estimates'!$G$3:$G$1371,'GBD estimates'!$B$3:$B$1371=S$3,'GBD estimates'!$E$3:$E$1371=""Diphtheria"",'GBD estimates'!$D$3:$D$1371=""5-14 years"")"),1.08E-5)</f>
        <v>0.0000108</v>
      </c>
      <c r="T119" s="542">
        <f>IFERROR(__xludf.DUMMYFUNCTION("FILTER('GBD estimates'!$G$3:$G$1371,'GBD estimates'!$B$3:$B$1371=T$3,'GBD estimates'!$E$3:$E$1371=""Diphtheria"",'GBD estimates'!$D$3:$D$1371=""5-14 years"")"),1.72E-6)</f>
        <v>0.00000172</v>
      </c>
      <c r="U119" s="542">
        <f>IFERROR(__xludf.DUMMYFUNCTION("FILTER('GBD estimates'!$G$3:$G$1371,'GBD estimates'!$B$3:$B$1371=U$3,'GBD estimates'!$E$3:$E$1371=""Diphtheria"",'GBD estimates'!$D$3:$D$1371=""5-14 years"")"),1.09E-6)</f>
        <v>0.00000109</v>
      </c>
      <c r="V119" s="542">
        <f>IFERROR(__xludf.DUMMYFUNCTION("FILTER('GBD estimates'!$G$3:$G$1371,'GBD estimates'!$B$3:$B$1371=V$3,'GBD estimates'!$E$3:$E$1371=""Diphtheria"",'GBD estimates'!$D$3:$D$1371=""5-14 years"")"),3.69E-6)</f>
        <v>0.00000369</v>
      </c>
      <c r="W119" s="542">
        <f>IFERROR(__xludf.DUMMYFUNCTION("FILTER('GBD estimates'!$G$3:$G$1371,'GBD estimates'!$B$3:$B$1371=W$3,'GBD estimates'!$E$3:$E$1371=""Diphtheria"",'GBD estimates'!$D$3:$D$1371=""5-14 years"")"),5.81E-6)</f>
        <v>0.00000581</v>
      </c>
      <c r="X119" s="542">
        <f>IFERROR(__xludf.DUMMYFUNCTION("FILTER('GBD estimates'!$G$3:$G$1371,'GBD estimates'!$B$3:$B$1371=X$3,'GBD estimates'!$E$3:$E$1371=""Diphtheria"",'GBD estimates'!$D$3:$D$1371=""5-14 years"")"),1.11E-5)</f>
        <v>0.0000111</v>
      </c>
      <c r="Y119" s="542">
        <f>IFERROR(__xludf.DUMMYFUNCTION("FILTER('GBD estimates'!$G$3:$G$1371,'GBD estimates'!$B$3:$B$1371=Y$3,'GBD estimates'!$E$3:$E$1371=""Diphtheria"",'GBD estimates'!$D$3:$D$1371=""5-14 years"")"),1.8E-6)</f>
        <v>0.0000018</v>
      </c>
      <c r="Z119" s="542">
        <f>IFERROR(__xludf.DUMMYFUNCTION("FILTER('GBD estimates'!$G$3:$G$1371,'GBD estimates'!$B$3:$B$1371=Z$3,'GBD estimates'!$E$3:$E$1371=""Diphtheria"",'GBD estimates'!$D$3:$D$1371=""5-14 years"")"),2.39E-6)</f>
        <v>0.00000239</v>
      </c>
      <c r="AA119" s="542">
        <f>IFERROR(__xludf.DUMMYFUNCTION("FILTER('GBD estimates'!$G$3:$G$1371,'GBD estimates'!$B$3:$B$1371=AA$3,'GBD estimates'!$E$3:$E$1371=""Diphtheria"",'GBD estimates'!$D$3:$D$1371=""5-14 years"")"),3.31E-6)</f>
        <v>0.00000331</v>
      </c>
      <c r="AB119" s="542">
        <f>IFERROR(__xludf.DUMMYFUNCTION("FILTER('GBD estimates'!$G$3:$G$1371,'GBD estimates'!$B$3:$B$1371=AB$3,'GBD estimates'!$E$3:$E$1371=""Diphtheria"",'GBD estimates'!$D$3:$D$1371=""5-14 years"")"),1.29E-6)</f>
        <v>0.00000129</v>
      </c>
      <c r="AC119" s="542">
        <f>IFERROR(__xludf.DUMMYFUNCTION("FILTER('GBD estimates'!$G$3:$G$1371,'GBD estimates'!$B$3:$B$1371=AC$3,'GBD estimates'!$E$3:$E$1371=""Diphtheria"",'GBD estimates'!$D$3:$D$1371=""5-14 years"")"),9.22E-7)</f>
        <v>0.000000922</v>
      </c>
      <c r="AD119" s="542">
        <f>IFERROR(__xludf.DUMMYFUNCTION("FILTER('GBD estimates'!$G$3:$G$1371,'GBD estimates'!$B$3:$B$1371=AD$3,'GBD estimates'!$E$3:$E$1371=""Diphtheria"",'GBD estimates'!$D$3:$D$1371=""5-14 years"")"),1.21E-6)</f>
        <v>0.00000121</v>
      </c>
      <c r="AE119" s="542">
        <f>IFERROR(__xludf.DUMMYFUNCTION("FILTER('GBD estimates'!$G$3:$G$1371,'GBD estimates'!$B$3:$B$1371=AE$3,'GBD estimates'!$E$3:$E$1371=""Diphtheria"",'GBD estimates'!$D$3:$D$1371=""5-14 years"")"),2.29E-6)</f>
        <v>0.00000229</v>
      </c>
      <c r="AF119" s="542">
        <f>IFERROR(__xludf.DUMMYFUNCTION("FILTER('GBD estimates'!$G$3:$G$1371,'GBD estimates'!$B$3:$B$1371=AF$3,'GBD estimates'!$E$3:$E$1371=""Diphtheria"",'GBD estimates'!$D$3:$D$1371=""5-14 years"")"),1.1E-6)</f>
        <v>0.0000011</v>
      </c>
      <c r="AG119" s="542">
        <f>IFERROR(__xludf.DUMMYFUNCTION("FILTER('GBD estimates'!$G$3:$G$1371,'GBD estimates'!$B$3:$B$1371=AG$3,'GBD estimates'!$E$3:$E$1371=""Diphtheria"",'GBD estimates'!$D$3:$D$1371=""5-14 years"")"),1.99E-5)</f>
        <v>0.0000199</v>
      </c>
      <c r="AH119" s="542">
        <f>IFERROR(__xludf.DUMMYFUNCTION("FILTER('GBD estimates'!$G$3:$G$1371,'GBD estimates'!$B$3:$B$1371=AH$3,'GBD estimates'!$E$3:$E$1371=""Diphtheria"",'GBD estimates'!$D$3:$D$1371=""5-14 years"")"),2.65E-6)</f>
        <v>0.00000265</v>
      </c>
      <c r="AI119" s="542">
        <f>IFERROR(__xludf.DUMMYFUNCTION("FILTER('GBD estimates'!$G$3:$G$1371,'GBD estimates'!$B$3:$B$1371=AI$3,'GBD estimates'!$E$3:$E$1371=""Diphtheria"",'GBD estimates'!$D$3:$D$1371=""5-14 years"")"),2.12E-6)</f>
        <v>0.00000212</v>
      </c>
      <c r="AJ119" s="542">
        <f>IFERROR(__xludf.DUMMYFUNCTION("FILTER('GBD estimates'!$G$3:$G$1371,'GBD estimates'!$B$3:$B$1371=AJ$3,'GBD estimates'!$E$3:$E$1371=""Diphtheria"",'GBD estimates'!$D$3:$D$1371=""5-14 years"")"),7.23E-7)</f>
        <v>0.000000723</v>
      </c>
      <c r="AK119" s="542">
        <f>IFERROR(__xludf.DUMMYFUNCTION("FILTER('GBD estimates'!$G$3:$G$1371,'GBD estimates'!$B$3:$B$1371=AK$3,'GBD estimates'!$E$3:$E$1371=""Diphtheria"",'GBD estimates'!$D$3:$D$1371=""5-14 years"")"),7.4E-6)</f>
        <v>0.0000074</v>
      </c>
      <c r="AL119" s="542">
        <f>IFERROR(__xludf.DUMMYFUNCTION("FILTER('GBD estimates'!$G$3:$G$1371,'GBD estimates'!$B$3:$B$1371=AL$3,'GBD estimates'!$E$3:$E$1371=""Diphtheria"",'GBD estimates'!$D$3:$D$1371=""5-14 years"")"),2.42E-5)</f>
        <v>0.0000242</v>
      </c>
      <c r="AM119" s="542">
        <f t="shared" ref="AM119:AN119" si="10">AL119</f>
        <v>0.0000242</v>
      </c>
      <c r="AN119" s="542">
        <f t="shared" si="10"/>
        <v>0.0000242</v>
      </c>
      <c r="AO119" s="542">
        <f>IFERROR(__xludf.DUMMYFUNCTION("FILTER('GBD estimates'!$G$3:$G$1371,'GBD estimates'!$B$3:$B$1371=AO$3,'GBD estimates'!$E$3:$E$1371=""Diphtheria"",'GBD estimates'!$D$3:$D$1371=""5-14 years"")"),3.91E-6)</f>
        <v>0.00000391</v>
      </c>
      <c r="AP119" s="542">
        <f>IFERROR(__xludf.DUMMYFUNCTION("FILTER('GBD estimates'!$G$3:$G$1371,'GBD estimates'!$B$3:$B$1371=AP$3,'GBD estimates'!$E$3:$E$1371=""Diphtheria"",'GBD estimates'!$D$3:$D$1371=""5-14 years"")"),1.75E-6)</f>
        <v>0.00000175</v>
      </c>
      <c r="AQ119" s="542">
        <f>IFERROR(__xludf.DUMMYFUNCTION("FILTER('GBD estimates'!$G$3:$G$1371,'GBD estimates'!$B$3:$B$1371=AQ$3,'GBD estimates'!$E$3:$E$1371=""Diphtheria"",'GBD estimates'!$D$3:$D$1371=""5-14 years"")"),7.36E-7)</f>
        <v>0.000000736</v>
      </c>
      <c r="AR119" s="542">
        <f>IFERROR(__xludf.DUMMYFUNCTION("FILTER('GBD estimates'!$G$3:$G$1371,'GBD estimates'!$B$3:$B$1371=AR$3,'GBD estimates'!$E$3:$E$1371=""Diphtheria"",'GBD estimates'!$D$3:$D$1371=""5-14 years"")"),2.21E-6)</f>
        <v>0.00000221</v>
      </c>
      <c r="AS119" s="542">
        <f>IFERROR(__xludf.DUMMYFUNCTION("FILTER('GBD estimates'!$G$3:$G$1371,'GBD estimates'!$B$3:$B$1371=AS$3,'GBD estimates'!$E$3:$E$1371=""Diphtheria"",'GBD estimates'!$D$3:$D$1371=""5-14 years"")"),4.13E-6)</f>
        <v>0.00000413</v>
      </c>
      <c r="AT119" s="542">
        <f>IFERROR(__xludf.DUMMYFUNCTION("FILTER('GBD estimates'!$G$3:$G$1371,'GBD estimates'!$B$3:$B$1371=AT$3,'GBD estimates'!$E$3:$E$1371=""Diphtheria"",'GBD estimates'!$D$3:$D$1371=""5-14 years"")"),1.64E-6)</f>
        <v>0.00000164</v>
      </c>
      <c r="AU119" s="542">
        <f>IFERROR(__xludf.DUMMYFUNCTION("FILTER('GBD estimates'!$G$3:$G$1371,'GBD estimates'!$B$3:$B$1371=AU$3,'GBD estimates'!$E$3:$E$1371=""Diphtheria"",'GBD estimates'!$D$3:$D$1371=""5-14 years"")"),2.6E-5)</f>
        <v>0.000026</v>
      </c>
      <c r="AV119" s="542">
        <f>IFERROR(__xludf.DUMMYFUNCTION("FILTER('GBD estimates'!$G$3:$G$1371,'GBD estimates'!$B$3:$B$1371=AV$3,'GBD estimates'!$E$3:$E$1371=""Diphtheria"",'GBD estimates'!$D$3:$D$1371=""5-14 years"")"),4.46E-5)</f>
        <v>0.0000446</v>
      </c>
      <c r="AW119" s="788"/>
      <c r="AX119" s="798" t="s">
        <v>999</v>
      </c>
      <c r="AY119" s="790"/>
    </row>
    <row r="120">
      <c r="A120" s="776"/>
      <c r="B120" s="538"/>
      <c r="C120" s="538"/>
      <c r="D120" s="538"/>
      <c r="E120" s="475" t="s">
        <v>543</v>
      </c>
      <c r="F120" s="554" t="s">
        <v>72</v>
      </c>
      <c r="G120" s="555" t="s">
        <v>165</v>
      </c>
      <c r="H120" s="811" t="s">
        <v>162</v>
      </c>
      <c r="I120" s="542">
        <f>IFERROR(__xludf.DUMMYFUNCTION("FILTER('GBD estimates'!$G$3:$G$1371,'GBD estimates'!$B$3:$B$1371=I$3,'GBD estimates'!$E$3:$E$1371=""Diphtheria"",'GBD estimates'!$D$3:$D$1371=""15-49 years"")"),2.77E-5)</f>
        <v>0.0000277</v>
      </c>
      <c r="J120" s="542">
        <f>IFERROR(__xludf.DUMMYFUNCTION("FILTER('GBD estimates'!$G$3:$G$1371,'GBD estimates'!$B$3:$B$1371=J$3,'GBD estimates'!$E$3:$E$1371=""Diphtheria"",'GBD estimates'!$D$3:$D$1371=""15-49 years"")"),2.01E-5)</f>
        <v>0.0000201</v>
      </c>
      <c r="K120" s="542">
        <f>IFERROR(__xludf.DUMMYFUNCTION("FILTER('GBD estimates'!$G$3:$G$1371,'GBD estimates'!$B$3:$B$1371=K$3,'GBD estimates'!$E$3:$E$1371=""Diphtheria"",'GBD estimates'!$D$3:$D$1371=""15-49 years"")"),3.52E-5)</f>
        <v>0.0000352</v>
      </c>
      <c r="L120" s="542">
        <f t="shared" si="9"/>
        <v>0.0000112</v>
      </c>
      <c r="M120" s="542">
        <f>IFERROR(__xludf.DUMMYFUNCTION("FILTER('GBD estimates'!$G$3:$G$1371,'GBD estimates'!$B$3:$B$1371=M$3,'GBD estimates'!$E$3:$E$1371=""Diphtheria"",'GBD estimates'!$D$3:$D$1371=""15-49 years"")"),1.33E-5)</f>
        <v>0.0000133</v>
      </c>
      <c r="N120" s="542">
        <f>IFERROR(__xludf.DUMMYFUNCTION("FILTER('GBD estimates'!$G$3:$G$1371,'GBD estimates'!$B$3:$B$1371=N$3,'GBD estimates'!$E$3:$E$1371=""Diphtheria"",'GBD estimates'!$D$3:$D$1371=""15-49 years"")"),2.68E-5)</f>
        <v>0.0000268</v>
      </c>
      <c r="O120" s="542">
        <f>IFERROR(__xludf.DUMMYFUNCTION("FILTER('GBD estimates'!$G$3:$G$1371,'GBD estimates'!$B$3:$B$1371=O$3,'GBD estimates'!$E$3:$E$1371=""Diphtheria"",'GBD estimates'!$D$3:$D$1371=""15-49 years"")"),5.9E-5)</f>
        <v>0.000059</v>
      </c>
      <c r="P120" s="542">
        <f>IFERROR(__xludf.DUMMYFUNCTION("FILTER('GBD estimates'!$G$3:$G$1371,'GBD estimates'!$B$3:$B$1371=P$3,'GBD estimates'!$E$3:$E$1371=""Diphtheria"",'GBD estimates'!$D$3:$D$1371=""15-49 years"")"),9.35E-5)</f>
        <v>0.0000935</v>
      </c>
      <c r="Q120" s="543">
        <f>IFERROR(__xludf.DUMMYFUNCTION("FILTER('GBD estimates'!$G$3:$G$1371,'GBD estimates'!$B$3:$B$1371=Q$3,'GBD estimates'!$E$3:$E$1371=""Diphtheria"",'GBD estimates'!$D$3:$D$1371=""15-49 years"")"),8.01E-5)</f>
        <v>0.0000801</v>
      </c>
      <c r="R120" s="542">
        <f>IFERROR(__xludf.DUMMYFUNCTION("FILTER('GBD estimates'!$G$3:$G$1371,'GBD estimates'!$B$3:$B$1371=R$3,'GBD estimates'!$E$3:$E$1371=""Diphtheria"",'GBD estimates'!$D$3:$D$1371=""15-49 years"")"),1.33E-6)</f>
        <v>0.00000133</v>
      </c>
      <c r="S120" s="542">
        <f>IFERROR(__xludf.DUMMYFUNCTION("FILTER('GBD estimates'!$G$3:$G$1371,'GBD estimates'!$B$3:$B$1371=S$3,'GBD estimates'!$E$3:$E$1371=""Diphtheria"",'GBD estimates'!$D$3:$D$1371=""15-49 years"")"),5.37E-6)</f>
        <v>0.00000537</v>
      </c>
      <c r="T120" s="542">
        <f>IFERROR(__xludf.DUMMYFUNCTION("FILTER('GBD estimates'!$G$3:$G$1371,'GBD estimates'!$B$3:$B$1371=T$3,'GBD estimates'!$E$3:$E$1371=""Diphtheria"",'GBD estimates'!$D$3:$D$1371=""15-49 years"")"),1.61E-6)</f>
        <v>0.00000161</v>
      </c>
      <c r="U120" s="542">
        <f>IFERROR(__xludf.DUMMYFUNCTION("FILTER('GBD estimates'!$G$3:$G$1371,'GBD estimates'!$B$3:$B$1371=U$3,'GBD estimates'!$E$3:$E$1371=""Diphtheria"",'GBD estimates'!$D$3:$D$1371=""15-49 years"")"),9.81E-7)</f>
        <v>0.000000981</v>
      </c>
      <c r="V120" s="542">
        <f>IFERROR(__xludf.DUMMYFUNCTION("FILTER('GBD estimates'!$G$3:$G$1371,'GBD estimates'!$B$3:$B$1371=V$3,'GBD estimates'!$E$3:$E$1371=""Diphtheria"",'GBD estimates'!$D$3:$D$1371=""15-49 years"")"),3.66E-6)</f>
        <v>0.00000366</v>
      </c>
      <c r="W120" s="542">
        <f>IFERROR(__xludf.DUMMYFUNCTION("FILTER('GBD estimates'!$G$3:$G$1371,'GBD estimates'!$B$3:$B$1371=W$3,'GBD estimates'!$E$3:$E$1371=""Diphtheria"",'GBD estimates'!$D$3:$D$1371=""15-49 years"")"),3.95E-6)</f>
        <v>0.00000395</v>
      </c>
      <c r="X120" s="542">
        <f>IFERROR(__xludf.DUMMYFUNCTION("FILTER('GBD estimates'!$G$3:$G$1371,'GBD estimates'!$B$3:$B$1371=X$3,'GBD estimates'!$E$3:$E$1371=""Diphtheria"",'GBD estimates'!$D$3:$D$1371=""15-49 years"")"),8.26E-6)</f>
        <v>0.00000826</v>
      </c>
      <c r="Y120" s="542">
        <f>IFERROR(__xludf.DUMMYFUNCTION("FILTER('GBD estimates'!$G$3:$G$1371,'GBD estimates'!$B$3:$B$1371=Y$3,'GBD estimates'!$E$3:$E$1371=""Diphtheria"",'GBD estimates'!$D$3:$D$1371=""15-49 years"")"),1.75E-6)</f>
        <v>0.00000175</v>
      </c>
      <c r="Z120" s="542">
        <f>IFERROR(__xludf.DUMMYFUNCTION("FILTER('GBD estimates'!$G$3:$G$1371,'GBD estimates'!$B$3:$B$1371=Z$3,'GBD estimates'!$E$3:$E$1371=""Diphtheria"",'GBD estimates'!$D$3:$D$1371=""15-49 years"")"),1.85E-6)</f>
        <v>0.00000185</v>
      </c>
      <c r="AA120" s="542">
        <f>IFERROR(__xludf.DUMMYFUNCTION("FILTER('GBD estimates'!$G$3:$G$1371,'GBD estimates'!$B$3:$B$1371=AA$3,'GBD estimates'!$E$3:$E$1371=""Diphtheria"",'GBD estimates'!$D$3:$D$1371=""15-49 years"")"),2.24E-6)</f>
        <v>0.00000224</v>
      </c>
      <c r="AB120" s="542">
        <f>IFERROR(__xludf.DUMMYFUNCTION("FILTER('GBD estimates'!$G$3:$G$1371,'GBD estimates'!$B$3:$B$1371=AB$3,'GBD estimates'!$E$3:$E$1371=""Diphtheria"",'GBD estimates'!$D$3:$D$1371=""15-49 years"")"),1.15E-6)</f>
        <v>0.00000115</v>
      </c>
      <c r="AC120" s="542">
        <f>IFERROR(__xludf.DUMMYFUNCTION("FILTER('GBD estimates'!$G$3:$G$1371,'GBD estimates'!$B$3:$B$1371=AC$3,'GBD estimates'!$E$3:$E$1371=""Diphtheria"",'GBD estimates'!$D$3:$D$1371=""15-49 years"")"),8.56E-7)</f>
        <v>0.000000856</v>
      </c>
      <c r="AD120" s="542">
        <f>IFERROR(__xludf.DUMMYFUNCTION("FILTER('GBD estimates'!$G$3:$G$1371,'GBD estimates'!$B$3:$B$1371=AD$3,'GBD estimates'!$E$3:$E$1371=""Diphtheria"",'GBD estimates'!$D$3:$D$1371=""15-49 years"")"),1.27E-6)</f>
        <v>0.00000127</v>
      </c>
      <c r="AE120" s="542">
        <f>IFERROR(__xludf.DUMMYFUNCTION("FILTER('GBD estimates'!$G$3:$G$1371,'GBD estimates'!$B$3:$B$1371=AE$3,'GBD estimates'!$E$3:$E$1371=""Diphtheria"",'GBD estimates'!$D$3:$D$1371=""15-49 years"")"),1.5E-6)</f>
        <v>0.0000015</v>
      </c>
      <c r="AF120" s="542">
        <f>IFERROR(__xludf.DUMMYFUNCTION("FILTER('GBD estimates'!$G$3:$G$1371,'GBD estimates'!$B$3:$B$1371=AF$3,'GBD estimates'!$E$3:$E$1371=""Diphtheria"",'GBD estimates'!$D$3:$D$1371=""15-49 years"")"),1.01E-6)</f>
        <v>0.00000101</v>
      </c>
      <c r="AG120" s="542">
        <f>IFERROR(__xludf.DUMMYFUNCTION("FILTER('GBD estimates'!$G$3:$G$1371,'GBD estimates'!$B$3:$B$1371=AG$3,'GBD estimates'!$E$3:$E$1371=""Diphtheria"",'GBD estimates'!$D$3:$D$1371=""15-49 years"")"),1.12E-5)</f>
        <v>0.0000112</v>
      </c>
      <c r="AH120" s="542">
        <f>IFERROR(__xludf.DUMMYFUNCTION("FILTER('GBD estimates'!$G$3:$G$1371,'GBD estimates'!$B$3:$B$1371=AH$3,'GBD estimates'!$E$3:$E$1371=""Diphtheria"",'GBD estimates'!$D$3:$D$1371=""15-49 years"")"),2.62E-6)</f>
        <v>0.00000262</v>
      </c>
      <c r="AI120" s="542">
        <f>IFERROR(__xludf.DUMMYFUNCTION("FILTER('GBD estimates'!$G$3:$G$1371,'GBD estimates'!$B$3:$B$1371=AI$3,'GBD estimates'!$E$3:$E$1371=""Diphtheria"",'GBD estimates'!$D$3:$D$1371=""15-49 years"")"),2.66E-6)</f>
        <v>0.00000266</v>
      </c>
      <c r="AJ120" s="542">
        <f>IFERROR(__xludf.DUMMYFUNCTION("FILTER('GBD estimates'!$G$3:$G$1371,'GBD estimates'!$B$3:$B$1371=AJ$3,'GBD estimates'!$E$3:$E$1371=""Diphtheria"",'GBD estimates'!$D$3:$D$1371=""15-49 years"")"),5.6E-7)</f>
        <v>0.00000056</v>
      </c>
      <c r="AK120" s="542">
        <f>IFERROR(__xludf.DUMMYFUNCTION("FILTER('GBD estimates'!$G$3:$G$1371,'GBD estimates'!$B$3:$B$1371=AK$3,'GBD estimates'!$E$3:$E$1371=""Diphtheria"",'GBD estimates'!$D$3:$D$1371=""15-49 years"")"),5.77E-6)</f>
        <v>0.00000577</v>
      </c>
      <c r="AL120" s="542">
        <f>IFERROR(__xludf.DUMMYFUNCTION("FILTER('GBD estimates'!$G$3:$G$1371,'GBD estimates'!$B$3:$B$1371=AL$3,'GBD estimates'!$E$3:$E$1371=""Diphtheria"",'GBD estimates'!$D$3:$D$1371=""15-49 years"")"),1.63E-5)</f>
        <v>0.0000163</v>
      </c>
      <c r="AM120" s="542">
        <f t="shared" ref="AM120:AN120" si="11">AL120</f>
        <v>0.0000163</v>
      </c>
      <c r="AN120" s="542">
        <f t="shared" si="11"/>
        <v>0.0000163</v>
      </c>
      <c r="AO120" s="542">
        <f>IFERROR(__xludf.DUMMYFUNCTION("FILTER('GBD estimates'!$G$3:$G$1371,'GBD estimates'!$B$3:$B$1371=AO$3,'GBD estimates'!$E$3:$E$1371=""Diphtheria"",'GBD estimates'!$D$3:$D$1371=""15-49 years"")"),3.58E-6)</f>
        <v>0.00000358</v>
      </c>
      <c r="AP120" s="542">
        <f>IFERROR(__xludf.DUMMYFUNCTION("FILTER('GBD estimates'!$G$3:$G$1371,'GBD estimates'!$B$3:$B$1371=AP$3,'GBD estimates'!$E$3:$E$1371=""Diphtheria"",'GBD estimates'!$D$3:$D$1371=""15-49 years"")"),1.37E-6)</f>
        <v>0.00000137</v>
      </c>
      <c r="AQ120" s="542">
        <f>IFERROR(__xludf.DUMMYFUNCTION("FILTER('GBD estimates'!$G$3:$G$1371,'GBD estimates'!$B$3:$B$1371=AQ$3,'GBD estimates'!$E$3:$E$1371=""Diphtheria"",'GBD estimates'!$D$3:$D$1371=""15-49 years"")"),7.63E-7)</f>
        <v>0.000000763</v>
      </c>
      <c r="AR120" s="542">
        <f>IFERROR(__xludf.DUMMYFUNCTION("FILTER('GBD estimates'!$G$3:$G$1371,'GBD estimates'!$B$3:$B$1371=AR$3,'GBD estimates'!$E$3:$E$1371=""Diphtheria"",'GBD estimates'!$D$3:$D$1371=""15-49 years"")"),2.52E-6)</f>
        <v>0.00000252</v>
      </c>
      <c r="AS120" s="542">
        <f>IFERROR(__xludf.DUMMYFUNCTION("FILTER('GBD estimates'!$G$3:$G$1371,'GBD estimates'!$B$3:$B$1371=AS$3,'GBD estimates'!$E$3:$E$1371=""Diphtheria"",'GBD estimates'!$D$3:$D$1371=""15-49 years"")"),3.35E-6)</f>
        <v>0.00000335</v>
      </c>
      <c r="AT120" s="542">
        <f>IFERROR(__xludf.DUMMYFUNCTION("FILTER('GBD estimates'!$G$3:$G$1371,'GBD estimates'!$B$3:$B$1371=AT$3,'GBD estimates'!$E$3:$E$1371=""Diphtheria"",'GBD estimates'!$D$3:$D$1371=""15-49 years"")"),1.33E-6)</f>
        <v>0.00000133</v>
      </c>
      <c r="AU120" s="542">
        <f>IFERROR(__xludf.DUMMYFUNCTION("FILTER('GBD estimates'!$G$3:$G$1371,'GBD estimates'!$B$3:$B$1371=AU$3,'GBD estimates'!$E$3:$E$1371=""Diphtheria"",'GBD estimates'!$D$3:$D$1371=""15-49 years"")"),1.36E-5)</f>
        <v>0.0000136</v>
      </c>
      <c r="AV120" s="542">
        <f>IFERROR(__xludf.DUMMYFUNCTION("FILTER('GBD estimates'!$G$3:$G$1371,'GBD estimates'!$B$3:$B$1371=AV$3,'GBD estimates'!$E$3:$E$1371=""Diphtheria"",'GBD estimates'!$D$3:$D$1371=""15-49 years"")"),3.04E-5)</f>
        <v>0.0000304</v>
      </c>
      <c r="AW120" s="788"/>
      <c r="AX120" s="798" t="s">
        <v>999</v>
      </c>
      <c r="AY120" s="790"/>
    </row>
    <row r="121">
      <c r="A121" s="776"/>
      <c r="B121" s="538"/>
      <c r="C121" s="538"/>
      <c r="D121" s="538"/>
      <c r="E121" s="475" t="s">
        <v>544</v>
      </c>
      <c r="F121" s="554" t="s">
        <v>72</v>
      </c>
      <c r="G121" s="555" t="s">
        <v>165</v>
      </c>
      <c r="H121" s="811" t="s">
        <v>162</v>
      </c>
      <c r="I121" s="542">
        <f>IFERROR(__xludf.DUMMYFUNCTION("FILTER('GBD estimates'!$G$3:$G$1371,'GBD estimates'!$B$3:$B$1371=I$3,'GBD estimates'!$E$3:$E$1371=""Diphtheria"",'GBD estimates'!$D$3:$D$1371=""50 to 74 years"")"),4.12E-5)</f>
        <v>0.0000412</v>
      </c>
      <c r="J121" s="542">
        <f>IFERROR(__xludf.DUMMYFUNCTION("FILTER('GBD estimates'!$G$3:$G$1371,'GBD estimates'!$B$3:$B$1371=J$3,'GBD estimates'!$E$3:$E$1371=""Diphtheria"",'GBD estimates'!$D$3:$D$1371=""50 to 74 years"")"),3.15E-5)</f>
        <v>0.0000315</v>
      </c>
      <c r="K121" s="542">
        <f>IFERROR(__xludf.DUMMYFUNCTION("FILTER('GBD estimates'!$G$3:$G$1371,'GBD estimates'!$B$3:$B$1371=K$3,'GBD estimates'!$E$3:$E$1371=""Diphtheria"",'GBD estimates'!$D$3:$D$1371=""50 to 74 years"")"),4.55E-5)</f>
        <v>0.0000455</v>
      </c>
      <c r="L121" s="542">
        <f t="shared" si="9"/>
        <v>0.000016</v>
      </c>
      <c r="M121" s="542">
        <f>IFERROR(__xludf.DUMMYFUNCTION("FILTER('GBD estimates'!$G$3:$G$1371,'GBD estimates'!$B$3:$B$1371=M$3,'GBD estimates'!$E$3:$E$1371=""Diphtheria"",'GBD estimates'!$D$3:$D$1371=""50 to 74 years"")"),2.15E-5)</f>
        <v>0.0000215</v>
      </c>
      <c r="N121" s="542">
        <f>IFERROR(__xludf.DUMMYFUNCTION("FILTER('GBD estimates'!$G$3:$G$1371,'GBD estimates'!$B$3:$B$1371=N$3,'GBD estimates'!$E$3:$E$1371=""Diphtheria"",'GBD estimates'!$D$3:$D$1371=""50 to 74 years"")"),3.93E-5)</f>
        <v>0.0000393</v>
      </c>
      <c r="O121" s="542">
        <f>IFERROR(__xludf.DUMMYFUNCTION("FILTER('GBD estimates'!$G$3:$G$1371,'GBD estimates'!$B$3:$B$1371=O$3,'GBD estimates'!$E$3:$E$1371=""Diphtheria"",'GBD estimates'!$D$3:$D$1371=""50 to 74 years"")"),8.1E-5)</f>
        <v>0.000081</v>
      </c>
      <c r="P121" s="542">
        <f>IFERROR(__xludf.DUMMYFUNCTION("FILTER('GBD estimates'!$G$3:$G$1371,'GBD estimates'!$B$3:$B$1371=P$3,'GBD estimates'!$E$3:$E$1371=""Diphtheria"",'GBD estimates'!$D$3:$D$1371=""50 to 74 years"")"),1.27981E-4)</f>
        <v>0.000127981</v>
      </c>
      <c r="Q121" s="543">
        <f>IFERROR(__xludf.DUMMYFUNCTION("FILTER('GBD estimates'!$G$3:$G$1371,'GBD estimates'!$B$3:$B$1371=Q$3,'GBD estimates'!$E$3:$E$1371=""Diphtheria"",'GBD estimates'!$D$3:$D$1371=""50 to 74 years"")"),1.12303E-4)</f>
        <v>0.000112303</v>
      </c>
      <c r="R121" s="542">
        <f>IFERROR(__xludf.DUMMYFUNCTION("FILTER('GBD estimates'!$G$3:$G$1371,'GBD estimates'!$B$3:$B$1371=R$3,'GBD estimates'!$E$3:$E$1371=""Diphtheria"",'GBD estimates'!$D$3:$D$1371=""50 to 74 years"")"),1.62E-6)</f>
        <v>0.00000162</v>
      </c>
      <c r="S121" s="542">
        <f>IFERROR(__xludf.DUMMYFUNCTION("FILTER('GBD estimates'!$G$3:$G$1371,'GBD estimates'!$B$3:$B$1371=S$3,'GBD estimates'!$E$3:$E$1371=""Diphtheria"",'GBD estimates'!$D$3:$D$1371=""50 to 74 years"")"),6.74E-6)</f>
        <v>0.00000674</v>
      </c>
      <c r="T121" s="542">
        <f>IFERROR(__xludf.DUMMYFUNCTION("FILTER('GBD estimates'!$G$3:$G$1371,'GBD estimates'!$B$3:$B$1371=T$3,'GBD estimates'!$E$3:$E$1371=""Diphtheria"",'GBD estimates'!$D$3:$D$1371=""50 to 74 years"")"),1.93E-6)</f>
        <v>0.00000193</v>
      </c>
      <c r="U121" s="542">
        <f>IFERROR(__xludf.DUMMYFUNCTION("FILTER('GBD estimates'!$G$3:$G$1371,'GBD estimates'!$B$3:$B$1371=U$3,'GBD estimates'!$E$3:$E$1371=""Diphtheria"",'GBD estimates'!$D$3:$D$1371=""50 to 74 years"")"),1.22E-6)</f>
        <v>0.00000122</v>
      </c>
      <c r="V121" s="542">
        <f>IFERROR(__xludf.DUMMYFUNCTION("FILTER('GBD estimates'!$G$3:$G$1371,'GBD estimates'!$B$3:$B$1371=V$3,'GBD estimates'!$E$3:$E$1371=""Diphtheria"",'GBD estimates'!$D$3:$D$1371=""50 to 74 years"")"),3.89E-6)</f>
        <v>0.00000389</v>
      </c>
      <c r="W121" s="542">
        <f>IFERROR(__xludf.DUMMYFUNCTION("FILTER('GBD estimates'!$G$3:$G$1371,'GBD estimates'!$B$3:$B$1371=W$3,'GBD estimates'!$E$3:$E$1371=""Diphtheria"",'GBD estimates'!$D$3:$D$1371=""50 to 74 years"")"),4.12E-6)</f>
        <v>0.00000412</v>
      </c>
      <c r="X121" s="542">
        <f>IFERROR(__xludf.DUMMYFUNCTION("FILTER('GBD estimates'!$G$3:$G$1371,'GBD estimates'!$B$3:$B$1371=X$3,'GBD estimates'!$E$3:$E$1371=""Diphtheria"",'GBD estimates'!$D$3:$D$1371=""50 to 74 years"")"),1.26E-5)</f>
        <v>0.0000126</v>
      </c>
      <c r="Y121" s="542">
        <f>IFERROR(__xludf.DUMMYFUNCTION("FILTER('GBD estimates'!$G$3:$G$1371,'GBD estimates'!$B$3:$B$1371=Y$3,'GBD estimates'!$E$3:$E$1371=""Diphtheria"",'GBD estimates'!$D$3:$D$1371=""50 to 74 years"")"),1.97E-6)</f>
        <v>0.00000197</v>
      </c>
      <c r="Z121" s="542">
        <f>IFERROR(__xludf.DUMMYFUNCTION("FILTER('GBD estimates'!$G$3:$G$1371,'GBD estimates'!$B$3:$B$1371=Z$3,'GBD estimates'!$E$3:$E$1371=""Diphtheria"",'GBD estimates'!$D$3:$D$1371=""50 to 74 years"")"),2.21E-6)</f>
        <v>0.00000221</v>
      </c>
      <c r="AA121" s="542">
        <f>IFERROR(__xludf.DUMMYFUNCTION("FILTER('GBD estimates'!$G$3:$G$1371,'GBD estimates'!$B$3:$B$1371=AA$3,'GBD estimates'!$E$3:$E$1371=""Diphtheria"",'GBD estimates'!$D$3:$D$1371=""50 to 74 years"")"),2.4E-6)</f>
        <v>0.0000024</v>
      </c>
      <c r="AB121" s="542">
        <f>IFERROR(__xludf.DUMMYFUNCTION("FILTER('GBD estimates'!$G$3:$G$1371,'GBD estimates'!$B$3:$B$1371=AB$3,'GBD estimates'!$E$3:$E$1371=""Diphtheria"",'GBD estimates'!$D$3:$D$1371=""50 to 74 years"")"),1.45E-6)</f>
        <v>0.00000145</v>
      </c>
      <c r="AC121" s="542">
        <f>IFERROR(__xludf.DUMMYFUNCTION("FILTER('GBD estimates'!$G$3:$G$1371,'GBD estimates'!$B$3:$B$1371=AC$3,'GBD estimates'!$E$3:$E$1371=""Diphtheria"",'GBD estimates'!$D$3:$D$1371=""50 to 74 years"")"),9.39E-7)</f>
        <v>0.000000939</v>
      </c>
      <c r="AD121" s="542">
        <f>IFERROR(__xludf.DUMMYFUNCTION("FILTER('GBD estimates'!$G$3:$G$1371,'GBD estimates'!$B$3:$B$1371=AD$3,'GBD estimates'!$E$3:$E$1371=""Diphtheria"",'GBD estimates'!$D$3:$D$1371=""50 to 74 years"")"),1.53E-6)</f>
        <v>0.00000153</v>
      </c>
      <c r="AE121" s="542">
        <f>IFERROR(__xludf.DUMMYFUNCTION("FILTER('GBD estimates'!$G$3:$G$1371,'GBD estimates'!$B$3:$B$1371=AE$3,'GBD estimates'!$E$3:$E$1371=""Diphtheria"",'GBD estimates'!$D$3:$D$1371=""50 to 74 years"")"),2.1E-6)</f>
        <v>0.0000021</v>
      </c>
      <c r="AF121" s="542">
        <f>IFERROR(__xludf.DUMMYFUNCTION("FILTER('GBD estimates'!$G$3:$G$1371,'GBD estimates'!$B$3:$B$1371=AF$3,'GBD estimates'!$E$3:$E$1371=""Diphtheria"",'GBD estimates'!$D$3:$D$1371=""50 to 74 years"")"),1.21E-6)</f>
        <v>0.00000121</v>
      </c>
      <c r="AG121" s="542">
        <f>IFERROR(__xludf.DUMMYFUNCTION("FILTER('GBD estimates'!$G$3:$G$1371,'GBD estimates'!$B$3:$B$1371=AG$3,'GBD estimates'!$E$3:$E$1371=""Diphtheria"",'GBD estimates'!$D$3:$D$1371=""50 to 74 years"")"),1.6E-5)</f>
        <v>0.000016</v>
      </c>
      <c r="AH121" s="542">
        <f>IFERROR(__xludf.DUMMYFUNCTION("FILTER('GBD estimates'!$G$3:$G$1371,'GBD estimates'!$B$3:$B$1371=AH$3,'GBD estimates'!$E$3:$E$1371=""Diphtheria"",'GBD estimates'!$D$3:$D$1371=""50 to 74 years"")"),2.93E-6)</f>
        <v>0.00000293</v>
      </c>
      <c r="AI121" s="542">
        <f>IFERROR(__xludf.DUMMYFUNCTION("FILTER('GBD estimates'!$G$3:$G$1371,'GBD estimates'!$B$3:$B$1371=AI$3,'GBD estimates'!$E$3:$E$1371=""Diphtheria"",'GBD estimates'!$D$3:$D$1371=""50 to 74 years"")"),3.27E-6)</f>
        <v>0.00000327</v>
      </c>
      <c r="AJ121" s="542">
        <f>IFERROR(__xludf.DUMMYFUNCTION("FILTER('GBD estimates'!$G$3:$G$1371,'GBD estimates'!$B$3:$B$1371=AJ$3,'GBD estimates'!$E$3:$E$1371=""Diphtheria"",'GBD estimates'!$D$3:$D$1371=""50 to 74 years"")"),8.27E-7)</f>
        <v>0.000000827</v>
      </c>
      <c r="AK121" s="542">
        <f>IFERROR(__xludf.DUMMYFUNCTION("FILTER('GBD estimates'!$G$3:$G$1371,'GBD estimates'!$B$3:$B$1371=AK$3,'GBD estimates'!$E$3:$E$1371=""Diphtheria"",'GBD estimates'!$D$3:$D$1371=""50 to 74 years"")"),6.82E-6)</f>
        <v>0.00000682</v>
      </c>
      <c r="AL121" s="542">
        <f>IFERROR(__xludf.DUMMYFUNCTION("FILTER('GBD estimates'!$G$3:$G$1371,'GBD estimates'!$B$3:$B$1371=AL$3,'GBD estimates'!$E$3:$E$1371=""Diphtheria"",'GBD estimates'!$D$3:$D$1371=""50 to 74 years"")"),2.05E-5)</f>
        <v>0.0000205</v>
      </c>
      <c r="AM121" s="542">
        <f t="shared" ref="AM121:AN121" si="12">AL121</f>
        <v>0.0000205</v>
      </c>
      <c r="AN121" s="542">
        <f t="shared" si="12"/>
        <v>0.0000205</v>
      </c>
      <c r="AO121" s="542">
        <f>IFERROR(__xludf.DUMMYFUNCTION("FILTER('GBD estimates'!$G$3:$G$1371,'GBD estimates'!$B$3:$B$1371=AO$3,'GBD estimates'!$E$3:$E$1371=""Diphtheria"",'GBD estimates'!$D$3:$D$1371=""50 to 74 years"")"),4.03E-6)</f>
        <v>0.00000403</v>
      </c>
      <c r="AP121" s="542">
        <f>IFERROR(__xludf.DUMMYFUNCTION("FILTER('GBD estimates'!$G$3:$G$1371,'GBD estimates'!$B$3:$B$1371=AP$3,'GBD estimates'!$E$3:$E$1371=""Diphtheria"",'GBD estimates'!$D$3:$D$1371=""50 to 74 years"")"),1.48E-6)</f>
        <v>0.00000148</v>
      </c>
      <c r="AQ121" s="542">
        <f>IFERROR(__xludf.DUMMYFUNCTION("FILTER('GBD estimates'!$G$3:$G$1371,'GBD estimates'!$B$3:$B$1371=AQ$3,'GBD estimates'!$E$3:$E$1371=""Diphtheria"",'GBD estimates'!$D$3:$D$1371=""50 to 74 years"")"),9.36E-7)</f>
        <v>0.000000936</v>
      </c>
      <c r="AR121" s="542">
        <f>IFERROR(__xludf.DUMMYFUNCTION("FILTER('GBD estimates'!$G$3:$G$1371,'GBD estimates'!$B$3:$B$1371=AR$3,'GBD estimates'!$E$3:$E$1371=""Diphtheria"",'GBD estimates'!$D$3:$D$1371=""50 to 74 years"")"),3.23E-6)</f>
        <v>0.00000323</v>
      </c>
      <c r="AS121" s="542">
        <f>IFERROR(__xludf.DUMMYFUNCTION("FILTER('GBD estimates'!$G$3:$G$1371,'GBD estimates'!$B$3:$B$1371=AS$3,'GBD estimates'!$E$3:$E$1371=""Diphtheria"",'GBD estimates'!$D$3:$D$1371=""50 to 74 years"")"),4.25E-6)</f>
        <v>0.00000425</v>
      </c>
      <c r="AT121" s="542">
        <f>IFERROR(__xludf.DUMMYFUNCTION("FILTER('GBD estimates'!$G$3:$G$1371,'GBD estimates'!$B$3:$B$1371=AT$3,'GBD estimates'!$E$3:$E$1371=""Diphtheria"",'GBD estimates'!$D$3:$D$1371=""50 to 74 years"")"),1.58E-6)</f>
        <v>0.00000158</v>
      </c>
      <c r="AU121" s="542">
        <f>IFERROR(__xludf.DUMMYFUNCTION("FILTER('GBD estimates'!$G$3:$G$1371,'GBD estimates'!$B$3:$B$1371=AU$3,'GBD estimates'!$E$3:$E$1371=""Diphtheria"",'GBD estimates'!$D$3:$D$1371=""50 to 74 years"")"),2.03E-5)</f>
        <v>0.0000203</v>
      </c>
      <c r="AV121" s="542">
        <f>IFERROR(__xludf.DUMMYFUNCTION("FILTER('GBD estimates'!$G$3:$G$1371,'GBD estimates'!$B$3:$B$1371=AV$3,'GBD estimates'!$E$3:$E$1371=""Diphtheria"",'GBD estimates'!$D$3:$D$1371=""50 to 74 years"")"),4.25E-5)</f>
        <v>0.0000425</v>
      </c>
      <c r="AW121" s="788"/>
      <c r="AX121" s="798" t="s">
        <v>999</v>
      </c>
      <c r="AY121" s="790"/>
    </row>
    <row r="122">
      <c r="A122" s="776"/>
      <c r="B122" s="538"/>
      <c r="C122" s="538"/>
      <c r="D122" s="538"/>
      <c r="E122" s="782" t="s">
        <v>546</v>
      </c>
      <c r="F122" s="539" t="s">
        <v>62</v>
      </c>
      <c r="G122" s="540" t="s">
        <v>165</v>
      </c>
      <c r="H122" s="808" t="s">
        <v>162</v>
      </c>
      <c r="I122" s="564">
        <f>IFERROR(__xludf.DUMMYFUNCTION("FILTER('GBD estimates'!$R$3:$R$1371,'GBD estimates'!$K$3:$K$1371=I$3,'GBD estimates'!$L$3:$L$1371=""Diphtheria"",'GBD estimates'!$N$3:$N$1371=""Under 5"")"),140.5925717)</f>
        <v>140.5925717</v>
      </c>
      <c r="J122" s="564">
        <f>IFERROR(__xludf.DUMMYFUNCTION("FILTER('GBD estimates'!$R$3:$R$1371,'GBD estimates'!$K$3:$K$1371=J$3,'GBD estimates'!$L$3:$L$1371=""Diphtheria"",'GBD estimates'!$N$3:$N$1371=""Under 5"")"),45.34226006)</f>
        <v>45.34226006</v>
      </c>
      <c r="K122" s="564">
        <f>IFERROR(__xludf.DUMMYFUNCTION("FILTER('GBD estimates'!$R$3:$R$1371,'GBD estimates'!$K$3:$K$1371=K$3,'GBD estimates'!$L$3:$L$1371=""Diphtheria"",'GBD estimates'!$N$3:$N$1371=""Under 5"")"),133.2007348)</f>
        <v>133.2007348</v>
      </c>
      <c r="L122" s="564">
        <f t="shared" si="9"/>
        <v>41.32786631</v>
      </c>
      <c r="M122" s="564">
        <f>IFERROR(__xludf.DUMMYFUNCTION("FILTER('GBD estimates'!$R$3:$R$1371,'GBD estimates'!$K$3:$K$1371=M$3,'GBD estimates'!$L$3:$L$1371=""Diphtheria"",'GBD estimates'!$N$3:$N$1371=""Under 5"")"),169.1040064)</f>
        <v>169.1040064</v>
      </c>
      <c r="N122" s="564">
        <f>IFERROR(__xludf.DUMMYFUNCTION("FILTER('GBD estimates'!$R$3:$R$1371,'GBD estimates'!$K$3:$K$1371=N$3,'GBD estimates'!$L$3:$L$1371=""Diphtheria"",'GBD estimates'!$N$3:$N$1371=""Under 5"")"),160.2021903)</f>
        <v>160.2021903</v>
      </c>
      <c r="O122" s="564">
        <f>IFERROR(__xludf.DUMMYFUNCTION("FILTER('GBD estimates'!$R$3:$R$1371,'GBD estimates'!$K$3:$K$1371=O$3,'GBD estimates'!$L$3:$L$1371=""Diphtheria"",'GBD estimates'!$N$3:$N$1371=""Under 5"")"),145.3019295)</f>
        <v>145.3019295</v>
      </c>
      <c r="P122" s="564">
        <f>IFERROR(__xludf.DUMMYFUNCTION("FILTER('GBD estimates'!$R$3:$R$1371,'GBD estimates'!$K$3:$K$1371=P$3,'GBD estimates'!$L$3:$L$1371=""Diphtheria"",'GBD estimates'!$N$3:$N$1371=""Under 5"")"),421.4909505)</f>
        <v>421.4909505</v>
      </c>
      <c r="Q122" s="565">
        <f>IFERROR(__xludf.DUMMYFUNCTION("FILTER('GBD estimates'!$R$3:$R$1371,'GBD estimates'!$K$3:$K$1371=Q$3,'GBD estimates'!$L$3:$L$1371=""Diphtheria"",'GBD estimates'!$N$3:$N$1371=""Under 5"")"),259.6096777)</f>
        <v>259.6096777</v>
      </c>
      <c r="R122" s="564">
        <f>IFERROR(__xludf.DUMMYFUNCTION("FILTER('GBD estimates'!$R$3:$R$1371,'GBD estimates'!$K$3:$K$1371=R$3,'GBD estimates'!$L$3:$L$1371=""Diphtheria"",'GBD estimates'!$N$3:$N$1371=""Under 5"")"),1.190982076)</f>
        <v>1.190982076</v>
      </c>
      <c r="S122" s="564">
        <f>IFERROR(__xludf.DUMMYFUNCTION("FILTER('GBD estimates'!$R$3:$R$1371,'GBD estimates'!$K$3:$K$1371=S$3,'GBD estimates'!$L$3:$L$1371=""Diphtheria"",'GBD estimates'!$N$3:$N$1371=""Under 5"")"),7.614581744)</f>
        <v>7.614581744</v>
      </c>
      <c r="T122" s="564">
        <f>IFERROR(__xludf.DUMMYFUNCTION("FILTER('GBD estimates'!$R$3:$R$1371,'GBD estimates'!$K$3:$K$1371=T$3,'GBD estimates'!$L$3:$L$1371=""Diphtheria"",'GBD estimates'!$N$3:$N$1371=""Under 5"")"),0.404695933)</f>
        <v>0.404695933</v>
      </c>
      <c r="U122" s="564">
        <f>IFERROR(__xludf.DUMMYFUNCTION("FILTER('GBD estimates'!$R$3:$R$1371,'GBD estimates'!$K$3:$K$1371=U$3,'GBD estimates'!$L$3:$L$1371=""Diphtheria"",'GBD estimates'!$N$3:$N$1371=""Under 5"")"),0.736387658)</f>
        <v>0.736387658</v>
      </c>
      <c r="V122" s="564">
        <f>IFERROR(__xludf.DUMMYFUNCTION("FILTER('GBD estimates'!$R$3:$R$1371,'GBD estimates'!$K$3:$K$1371=V$3,'GBD estimates'!$L$3:$L$1371=""Diphtheria"",'GBD estimates'!$N$3:$N$1371=""Under 5"")"),0.427061552)</f>
        <v>0.427061552</v>
      </c>
      <c r="W122" s="564">
        <f>IFERROR(__xludf.DUMMYFUNCTION("FILTER('GBD estimates'!$R$3:$R$1371,'GBD estimates'!$K$3:$K$1371=W$3,'GBD estimates'!$L$3:$L$1371=""Diphtheria"",'GBD estimates'!$N$3:$N$1371=""Under 5"")"),5.977126705)</f>
        <v>5.977126705</v>
      </c>
      <c r="X122" s="564">
        <f>IFERROR(__xludf.DUMMYFUNCTION("FILTER('GBD estimates'!$R$3:$R$1371,'GBD estimates'!$K$3:$K$1371=X$3,'GBD estimates'!$L$3:$L$1371=""Diphtheria"",'GBD estimates'!$N$3:$N$1371=""Under 5"")"),7.83703306)</f>
        <v>7.83703306</v>
      </c>
      <c r="Y122" s="564">
        <f>IFERROR(__xludf.DUMMYFUNCTION("FILTER('GBD estimates'!$R$3:$R$1371,'GBD estimates'!$K$3:$K$1371=Y$3,'GBD estimates'!$L$3:$L$1371=""Diphtheria"",'GBD estimates'!$N$3:$N$1371=""Under 5"")"),0.442144401)</f>
        <v>0.442144401</v>
      </c>
      <c r="Z122" s="564">
        <f>IFERROR(__xludf.DUMMYFUNCTION("FILTER('GBD estimates'!$R$3:$R$1371,'GBD estimates'!$K$3:$K$1371=Z$3,'GBD estimates'!$L$3:$L$1371=""Diphtheria"",'GBD estimates'!$N$3:$N$1371=""Under 5"")"),1.107272456)</f>
        <v>1.107272456</v>
      </c>
      <c r="AA122" s="564">
        <f>IFERROR(__xludf.DUMMYFUNCTION("FILTER('GBD estimates'!$R$3:$R$1371,'GBD estimates'!$K$3:$K$1371=AA$3,'GBD estimates'!$L$3:$L$1371=""Diphtheria"",'GBD estimates'!$N$3:$N$1371=""Under 5"")"),1.131173934)</f>
        <v>1.131173934</v>
      </c>
      <c r="AB122" s="564">
        <f>IFERROR(__xludf.DUMMYFUNCTION("FILTER('GBD estimates'!$R$3:$R$1371,'GBD estimates'!$K$3:$K$1371=AB$3,'GBD estimates'!$L$3:$L$1371=""Diphtheria"",'GBD estimates'!$N$3:$N$1371=""Under 5"")"),0.768267778)</f>
        <v>0.768267778</v>
      </c>
      <c r="AC122" s="564">
        <f>IFERROR(__xludf.DUMMYFUNCTION("FILTER('GBD estimates'!$R$3:$R$1371,'GBD estimates'!$K$3:$K$1371=AC$3,'GBD estimates'!$L$3:$L$1371=""Diphtheria"",'GBD estimates'!$N$3:$N$1371=""Under 5"")"),0.18189512)</f>
        <v>0.18189512</v>
      </c>
      <c r="AD122" s="564">
        <f>IFERROR(__xludf.DUMMYFUNCTION("FILTER('GBD estimates'!$R$3:$R$1371,'GBD estimates'!$K$3:$K$1371=AD$3,'GBD estimates'!$L$3:$L$1371=""Diphtheria"",'GBD estimates'!$N$3:$N$1371=""Under 5"")"),0.435656185)</f>
        <v>0.435656185</v>
      </c>
      <c r="AE122" s="564">
        <f>IFERROR(__xludf.DUMMYFUNCTION("FILTER('GBD estimates'!$R$3:$R$1371,'GBD estimates'!$K$3:$K$1371=AE$3,'GBD estimates'!$L$3:$L$1371=""Diphtheria"",'GBD estimates'!$N$3:$N$1371=""Under 5"")"),1.471213539)</f>
        <v>1.471213539</v>
      </c>
      <c r="AF122" s="564">
        <f>IFERROR(__xludf.DUMMYFUNCTION("FILTER('GBD estimates'!$R$3:$R$1371,'GBD estimates'!$K$3:$K$1371=AF$3,'GBD estimates'!$L$3:$L$1371=""Diphtheria"",'GBD estimates'!$N$3:$N$1371=""Under 5"")"),1.111986737)</f>
        <v>1.111986737</v>
      </c>
      <c r="AG122" s="564">
        <f>IFERROR(__xludf.DUMMYFUNCTION("FILTER('GBD estimates'!$R$3:$R$1371,'GBD estimates'!$K$3:$K$1371=AG$3,'GBD estimates'!$L$3:$L$1371=""Diphtheria"",'GBD estimates'!$N$3:$N$1371=""Under 5"")"),41.32786631)</f>
        <v>41.32786631</v>
      </c>
      <c r="AH122" s="564">
        <f>IFERROR(__xludf.DUMMYFUNCTION("FILTER('GBD estimates'!$R$3:$R$1371,'GBD estimates'!$K$3:$K$1371=AH$3,'GBD estimates'!$L$3:$L$1371=""Diphtheria"",'GBD estimates'!$N$3:$N$1371=""Under 5"")"),0.946029637)</f>
        <v>0.946029637</v>
      </c>
      <c r="AI122" s="564">
        <f>IFERROR(__xludf.DUMMYFUNCTION("FILTER('GBD estimates'!$R$3:$R$1371,'GBD estimates'!$K$3:$K$1371=AI$3,'GBD estimates'!$L$3:$L$1371=""Diphtheria"",'GBD estimates'!$N$3:$N$1371=""Under 5"")"),0.634968963)</f>
        <v>0.634968963</v>
      </c>
      <c r="AJ122" s="564">
        <f>IFERROR(__xludf.DUMMYFUNCTION("FILTER('GBD estimates'!$R$3:$R$1371,'GBD estimates'!$K$3:$K$1371=AJ$3,'GBD estimates'!$L$3:$L$1371=""Diphtheria"",'GBD estimates'!$N$3:$N$1371=""Under 5"")"),0.222869375)</f>
        <v>0.222869375</v>
      </c>
      <c r="AK122" s="564">
        <f>IFERROR(__xludf.DUMMYFUNCTION("FILTER('GBD estimates'!$R$3:$R$1371,'GBD estimates'!$K$3:$K$1371=AK$3,'GBD estimates'!$L$3:$L$1371=""Diphtheria"",'GBD estimates'!$N$3:$N$1371=""Under 5"")"),6.108897635)</f>
        <v>6.108897635</v>
      </c>
      <c r="AL122" s="564">
        <f>IFERROR(__xludf.DUMMYFUNCTION("FILTER('GBD estimates'!$R$3:$R$1371,'GBD estimates'!$K$3:$K$1371=AL$3,'GBD estimates'!$L$3:$L$1371=""Diphtheria"",'GBD estimates'!$N$3:$N$1371=""Under 5"")"),49.73510111)</f>
        <v>49.73510111</v>
      </c>
      <c r="AM122" s="564">
        <f t="shared" ref="AM122:AN122" si="13">AL122</f>
        <v>49.73510111</v>
      </c>
      <c r="AN122" s="564">
        <f t="shared" si="13"/>
        <v>49.73510111</v>
      </c>
      <c r="AO122" s="564">
        <f>IFERROR(__xludf.DUMMYFUNCTION("FILTER('GBD estimates'!$R$3:$R$1371,'GBD estimates'!$K$3:$K$1371=AO$3,'GBD estimates'!$L$3:$L$1371=""Diphtheria"",'GBD estimates'!$N$3:$N$1371=""Under 5"")"),4.554478784)</f>
        <v>4.554478784</v>
      </c>
      <c r="AP122" s="564">
        <f>IFERROR(__xludf.DUMMYFUNCTION("FILTER('GBD estimates'!$R$3:$R$1371,'GBD estimates'!$K$3:$K$1371=AP$3,'GBD estimates'!$L$3:$L$1371=""Diphtheria"",'GBD estimates'!$N$3:$N$1371=""Under 5"")"),0.689545242)</f>
        <v>0.689545242</v>
      </c>
      <c r="AQ122" s="564">
        <f>IFERROR(__xludf.DUMMYFUNCTION("FILTER('GBD estimates'!$R$3:$R$1371,'GBD estimates'!$K$3:$K$1371=AQ$3,'GBD estimates'!$L$3:$L$1371=""Diphtheria"",'GBD estimates'!$N$3:$N$1371=""Under 5"")"),0.242134115)</f>
        <v>0.242134115</v>
      </c>
      <c r="AR122" s="564">
        <f>IFERROR(__xludf.DUMMYFUNCTION("FILTER('GBD estimates'!$R$3:$R$1371,'GBD estimates'!$K$3:$K$1371=AR$3,'GBD estimates'!$L$3:$L$1371=""Diphtheria"",'GBD estimates'!$N$3:$N$1371=""Under 5"")"),1.497399123)</f>
        <v>1.497399123</v>
      </c>
      <c r="AS122" s="564">
        <f>IFERROR(__xludf.DUMMYFUNCTION("FILTER('GBD estimates'!$R$3:$R$1371,'GBD estimates'!$K$3:$K$1371=AS$3,'GBD estimates'!$L$3:$L$1371=""Diphtheria"",'GBD estimates'!$N$3:$N$1371=""Under 5"")"),4.711166399)</f>
        <v>4.711166399</v>
      </c>
      <c r="AT122" s="564">
        <f>IFERROR(__xludf.DUMMYFUNCTION("FILTER('GBD estimates'!$R$3:$R$1371,'GBD estimates'!$K$3:$K$1371=AT$3,'GBD estimates'!$L$3:$L$1371=""Diphtheria"",'GBD estimates'!$N$3:$N$1371=""Under 5"")"),0.727269737)</f>
        <v>0.727269737</v>
      </c>
      <c r="AU122" s="564">
        <f>IFERROR(__xludf.DUMMYFUNCTION("FILTER('GBD estimates'!$R$3:$R$1371,'GBD estimates'!$K$3:$K$1371=AU$3,'GBD estimates'!$L$3:$L$1371=""Diphtheria"",'GBD estimates'!$N$3:$N$1371=""Under 5"")"),41.61988576)</f>
        <v>41.61988576</v>
      </c>
      <c r="AV122" s="564">
        <f>IFERROR(__xludf.DUMMYFUNCTION("FILTER('GBD estimates'!$R$3:$R$1371,'GBD estimates'!$K$3:$K$1371=AV$3,'GBD estimates'!$L$3:$L$1371=""Diphtheria"",'GBD estimates'!$N$3:$N$1371=""Under 5"")"),43.77835685)</f>
        <v>43.77835685</v>
      </c>
      <c r="AW122" s="784"/>
      <c r="AX122" s="797" t="s">
        <v>999</v>
      </c>
      <c r="AY122" s="786"/>
    </row>
    <row r="123">
      <c r="A123" s="776"/>
      <c r="B123" s="538"/>
      <c r="C123" s="538"/>
      <c r="D123" s="538"/>
      <c r="E123" s="475" t="s">
        <v>547</v>
      </c>
      <c r="F123" s="554" t="s">
        <v>62</v>
      </c>
      <c r="G123" s="555" t="s">
        <v>165</v>
      </c>
      <c r="H123" s="811" t="s">
        <v>162</v>
      </c>
      <c r="I123" s="564">
        <f>IFERROR(__xludf.DUMMYFUNCTION("SUM(FILTER('GBD estimates'!$R$3:$R$1371,'GBD estimates'!$K$3:$K$1371=I$3,'GBD estimates'!$L$3:$L$1371=""Diphtheria"",'GBD estimates'!$N$3:$N$1371=""Early Neonatal""),FILTER('GBD estimates'!$R$3:$R$1371,'GBD estimates'!$K$3:$K$1371=I$3,'GBD estimates'!$L$3"&amp;":$L$1371=""Diphtheria"",'GBD estimates'!$N$3:$N$1371=""Late Neonatal""),FILTER('GBD estimates'!$R$3:$R$1371,'GBD estimates'!$K$3:$K$1371=I$3,'GBD estimates'!$L$3:$L$1371=""Diphtheria"",'GBD estimates'!$N$3:$N$1371=""Post Neonatal""))"),17.73593433)</f>
        <v>17.73593433</v>
      </c>
      <c r="J123" s="564">
        <f>IFERROR(__xludf.DUMMYFUNCTION("SUM(FILTER('GBD estimates'!$R$3:$R$1371,'GBD estimates'!$K$3:$K$1371=J$3,'GBD estimates'!$L$3:$L$1371=""Diphtheria"",'GBD estimates'!$N$3:$N$1371=""Early Neonatal""),FILTER('GBD estimates'!$R$3:$R$1371,'GBD estimates'!$K$3:$K$1371=J$3,'GBD estimates'!$L$3"&amp;":$L$1371=""Diphtheria"",'GBD estimates'!$N$3:$N$1371=""Late Neonatal""),FILTER('GBD estimates'!$R$3:$R$1371,'GBD estimates'!$K$3:$K$1371=J$3,'GBD estimates'!$L$3:$L$1371=""Diphtheria"",'GBD estimates'!$N$3:$N$1371=""Post Neonatal""))"),7.34543864)</f>
        <v>7.34543864</v>
      </c>
      <c r="K123" s="564">
        <f>IFERROR(__xludf.DUMMYFUNCTION("SUM(FILTER('GBD estimates'!$R$3:$R$1371,'GBD estimates'!$K$3:$K$1371=K$3,'GBD estimates'!$L$3:$L$1371=""Diphtheria"",'GBD estimates'!$N$3:$N$1371=""Early Neonatal""),FILTER('GBD estimates'!$R$3:$R$1371,'GBD estimates'!$K$3:$K$1371=K$3,'GBD estimates'!$L$3"&amp;":$L$1371=""Diphtheria"",'GBD estimates'!$N$3:$N$1371=""Late Neonatal""),FILTER('GBD estimates'!$R$3:$R$1371,'GBD estimates'!$K$3:$K$1371=K$3,'GBD estimates'!$L$3:$L$1371=""Diphtheria"",'GBD estimates'!$N$3:$N$1371=""Post Neonatal""))"),17.62269744)</f>
        <v>17.62269744</v>
      </c>
      <c r="L123" s="564">
        <f t="shared" si="9"/>
        <v>10.45679282</v>
      </c>
      <c r="M123" s="564">
        <f>IFERROR(__xludf.DUMMYFUNCTION("SUM(FILTER('GBD estimates'!$R$3:$R$1371,'GBD estimates'!$K$3:$K$1371=M$3,'GBD estimates'!$L$3:$L$1371=""Diphtheria"",'GBD estimates'!$N$3:$N$1371=""Early Neonatal""),FILTER('GBD estimates'!$R$3:$R$1371,'GBD estimates'!$K$3:$K$1371=M$3,'GBD estimates'!$L$3"&amp;":$L$1371=""Diphtheria"",'GBD estimates'!$N$3:$N$1371=""Late Neonatal""),FILTER('GBD estimates'!$R$3:$R$1371,'GBD estimates'!$K$3:$K$1371=M$3,'GBD estimates'!$L$3:$L$1371=""Diphtheria"",'GBD estimates'!$N$3:$N$1371=""Post Neonatal""))"),24.367067)</f>
        <v>24.367067</v>
      </c>
      <c r="N123" s="564">
        <f>IFERROR(__xludf.DUMMYFUNCTION("SUM(FILTER('GBD estimates'!$R$3:$R$1371,'GBD estimates'!$K$3:$K$1371=N$3,'GBD estimates'!$L$3:$L$1371=""Diphtheria"",'GBD estimates'!$N$3:$N$1371=""Early Neonatal""),FILTER('GBD estimates'!$R$3:$R$1371,'GBD estimates'!$K$3:$K$1371=N$3,'GBD estimates'!$L$3"&amp;":$L$1371=""Diphtheria"",'GBD estimates'!$N$3:$N$1371=""Late Neonatal""),FILTER('GBD estimates'!$R$3:$R$1371,'GBD estimates'!$K$3:$K$1371=N$3,'GBD estimates'!$L$3:$L$1371=""Diphtheria"",'GBD estimates'!$N$3:$N$1371=""Post Neonatal""))"),29.1714306)</f>
        <v>29.1714306</v>
      </c>
      <c r="O123" s="564">
        <f>IFERROR(__xludf.DUMMYFUNCTION("SUM(FILTER('GBD estimates'!$R$3:$R$1371,'GBD estimates'!$K$3:$K$1371=O$3,'GBD estimates'!$L$3:$L$1371=""Diphtheria"",'GBD estimates'!$N$3:$N$1371=""Early Neonatal""),FILTER('GBD estimates'!$R$3:$R$1371,'GBD estimates'!$K$3:$K$1371=O$3,'GBD estimates'!$L$3"&amp;":$L$1371=""Diphtheria"",'GBD estimates'!$N$3:$N$1371=""Late Neonatal""),FILTER('GBD estimates'!$R$3:$R$1371,'GBD estimates'!$K$3:$K$1371=O$3,'GBD estimates'!$L$3:$L$1371=""Diphtheria"",'GBD estimates'!$N$3:$N$1371=""Post Neonatal""))"),26.00676359)</f>
        <v>26.00676359</v>
      </c>
      <c r="P123" s="564">
        <f>IFERROR(__xludf.DUMMYFUNCTION("SUM(FILTER('GBD estimates'!$R$3:$R$1371,'GBD estimates'!$K$3:$K$1371=P$3,'GBD estimates'!$L$3:$L$1371=""Diphtheria"",'GBD estimates'!$N$3:$N$1371=""Early Neonatal""),FILTER('GBD estimates'!$R$3:$R$1371,'GBD estimates'!$K$3:$K$1371=P$3,'GBD estimates'!$L$3"&amp;":$L$1371=""Diphtheria"",'GBD estimates'!$N$3:$N$1371=""Late Neonatal""),FILTER('GBD estimates'!$R$3:$R$1371,'GBD estimates'!$K$3:$K$1371=P$3,'GBD estimates'!$L$3:$L$1371=""Diphtheria"",'GBD estimates'!$N$3:$N$1371=""Post Neonatal""))"),63.04011149)</f>
        <v>63.04011149</v>
      </c>
      <c r="Q123" s="565">
        <f>IFERROR(__xludf.DUMMYFUNCTION("SUM(FILTER('GBD estimates'!$R$3:$R$1371,'GBD estimates'!$K$3:$K$1371=Q$3,'GBD estimates'!$L$3:$L$1371=""Diphtheria"",'GBD estimates'!$N$3:$N$1371=""Early Neonatal""),FILTER('GBD estimates'!$R$3:$R$1371,'GBD estimates'!$K$3:$K$1371=Q$3,'GBD estimates'!$L$3"&amp;":$L$1371=""Diphtheria"",'GBD estimates'!$N$3:$N$1371=""Late Neonatal""),FILTER('GBD estimates'!$R$3:$R$1371,'GBD estimates'!$K$3:$K$1371=Q$3,'GBD estimates'!$L$3:$L$1371=""Diphtheria"",'GBD estimates'!$N$3:$N$1371=""Post Neonatal""))"),45.4811006)</f>
        <v>45.4811006</v>
      </c>
      <c r="R123" s="564">
        <f>IFERROR(__xludf.DUMMYFUNCTION("SUM(FILTER('GBD estimates'!$R$3:$R$1371,'GBD estimates'!$K$3:$K$1371=R$3,'GBD estimates'!$L$3:$L$1371=""Diphtheria"",'GBD estimates'!$N$3:$N$1371=""Early Neonatal""),FILTER('GBD estimates'!$R$3:$R$1371,'GBD estimates'!$K$3:$K$1371=R$3,'GBD estimates'!$L$3"&amp;":$L$1371=""Diphtheria"",'GBD estimates'!$N$3:$N$1371=""Late Neonatal""),FILTER('GBD estimates'!$R$3:$R$1371,'GBD estimates'!$K$3:$K$1371=R$3,'GBD estimates'!$L$3:$L$1371=""Diphtheria"",'GBD estimates'!$N$3:$N$1371=""Post Neonatal""))"),0.372585776)</f>
        <v>0.372585776</v>
      </c>
      <c r="S123" s="564">
        <f>IFERROR(__xludf.DUMMYFUNCTION("SUM(FILTER('GBD estimates'!$R$3:$R$1371,'GBD estimates'!$K$3:$K$1371=S$3,'GBD estimates'!$L$3:$L$1371=""Diphtheria"",'GBD estimates'!$N$3:$N$1371=""Early Neonatal""),FILTER('GBD estimates'!$R$3:$R$1371,'GBD estimates'!$K$3:$K$1371=S$3,'GBD estimates'!$L$3"&amp;":$L$1371=""Diphtheria"",'GBD estimates'!$N$3:$N$1371=""Late Neonatal""),FILTER('GBD estimates'!$R$3:$R$1371,'GBD estimates'!$K$3:$K$1371=S$3,'GBD estimates'!$L$3:$L$1371=""Diphtheria"",'GBD estimates'!$N$3:$N$1371=""Post Neonatal""))"),1.846267923)</f>
        <v>1.846267923</v>
      </c>
      <c r="T123" s="564">
        <f>IFERROR(__xludf.DUMMYFUNCTION("SUM(FILTER('GBD estimates'!$R$3:$R$1371,'GBD estimates'!$K$3:$K$1371=T$3,'GBD estimates'!$L$3:$L$1371=""Diphtheria"",'GBD estimates'!$N$3:$N$1371=""Early Neonatal""),FILTER('GBD estimates'!$R$3:$R$1371,'GBD estimates'!$K$3:$K$1371=T$3,'GBD estimates'!$L$3"&amp;":$L$1371=""Diphtheria"",'GBD estimates'!$N$3:$N$1371=""Late Neonatal""),FILTER('GBD estimates'!$R$3:$R$1371,'GBD estimates'!$K$3:$K$1371=T$3,'GBD estimates'!$L$3:$L$1371=""Diphtheria"",'GBD estimates'!$N$3:$N$1371=""Post Neonatal""))"),0.09461251)</f>
        <v>0.09461251</v>
      </c>
      <c r="U123" s="564">
        <f>IFERROR(__xludf.DUMMYFUNCTION("SUM(FILTER('GBD estimates'!$R$3:$R$1371,'GBD estimates'!$K$3:$K$1371=U$3,'GBD estimates'!$L$3:$L$1371=""Diphtheria"",'GBD estimates'!$N$3:$N$1371=""Early Neonatal""),FILTER('GBD estimates'!$R$3:$R$1371,'GBD estimates'!$K$3:$K$1371=U$3,'GBD estimates'!$L$3"&amp;":$L$1371=""Diphtheria"",'GBD estimates'!$N$3:$N$1371=""Late Neonatal""),FILTER('GBD estimates'!$R$3:$R$1371,'GBD estimates'!$K$3:$K$1371=U$3,'GBD estimates'!$L$3:$L$1371=""Diphtheria"",'GBD estimates'!$N$3:$N$1371=""Post Neonatal""))"),0.226625696)</f>
        <v>0.226625696</v>
      </c>
      <c r="V123" s="564">
        <f>IFERROR(__xludf.DUMMYFUNCTION("SUM(FILTER('GBD estimates'!$R$3:$R$1371,'GBD estimates'!$K$3:$K$1371=V$3,'GBD estimates'!$L$3:$L$1371=""Diphtheria"",'GBD estimates'!$N$3:$N$1371=""Early Neonatal""),FILTER('GBD estimates'!$R$3:$R$1371,'GBD estimates'!$K$3:$K$1371=V$3,'GBD estimates'!$L$3"&amp;":$L$1371=""Diphtheria"",'GBD estimates'!$N$3:$N$1371=""Late Neonatal""),FILTER('GBD estimates'!$R$3:$R$1371,'GBD estimates'!$K$3:$K$1371=V$3,'GBD estimates'!$L$3:$L$1371=""Diphtheria"",'GBD estimates'!$N$3:$N$1371=""Post Neonatal""))"),0.082234531)</f>
        <v>0.082234531</v>
      </c>
      <c r="W123" s="564">
        <f>IFERROR(__xludf.DUMMYFUNCTION("SUM(FILTER('GBD estimates'!$R$3:$R$1371,'GBD estimates'!$K$3:$K$1371=W$3,'GBD estimates'!$L$3:$L$1371=""Diphtheria"",'GBD estimates'!$N$3:$N$1371=""Early Neonatal""),FILTER('GBD estimates'!$R$3:$R$1371,'GBD estimates'!$K$3:$K$1371=W$3,'GBD estimates'!$L$3"&amp;":$L$1371=""Diphtheria"",'GBD estimates'!$N$3:$N$1371=""Late Neonatal""),FILTER('GBD estimates'!$R$3:$R$1371,'GBD estimates'!$K$3:$K$1371=W$3,'GBD estimates'!$L$3:$L$1371=""Diphtheria"",'GBD estimates'!$N$3:$N$1371=""Post Neonatal""))"),2.270374832)</f>
        <v>2.270374832</v>
      </c>
      <c r="X123" s="564">
        <f>IFERROR(__xludf.DUMMYFUNCTION("SUM(FILTER('GBD estimates'!$R$3:$R$1371,'GBD estimates'!$K$3:$K$1371=X$3,'GBD estimates'!$L$3:$L$1371=""Diphtheria"",'GBD estimates'!$N$3:$N$1371=""Early Neonatal""),FILTER('GBD estimates'!$R$3:$R$1371,'GBD estimates'!$K$3:$K$1371=X$3,'GBD estimates'!$L$3"&amp;":$L$1371=""Diphtheria"",'GBD estimates'!$N$3:$N$1371=""Late Neonatal""),FILTER('GBD estimates'!$R$3:$R$1371,'GBD estimates'!$K$3:$K$1371=X$3,'GBD estimates'!$L$3:$L$1371=""Diphtheria"",'GBD estimates'!$N$3:$N$1371=""Post Neonatal""))"),2.079454236)</f>
        <v>2.079454236</v>
      </c>
      <c r="Y123" s="564">
        <f>IFERROR(__xludf.DUMMYFUNCTION("SUM(FILTER('GBD estimates'!$R$3:$R$1371,'GBD estimates'!$K$3:$K$1371=Y$3,'GBD estimates'!$L$3:$L$1371=""Diphtheria"",'GBD estimates'!$N$3:$N$1371=""Early Neonatal""),FILTER('GBD estimates'!$R$3:$R$1371,'GBD estimates'!$K$3:$K$1371=Y$3,'GBD estimates'!$L$3"&amp;":$L$1371=""Diphtheria"",'GBD estimates'!$N$3:$N$1371=""Late Neonatal""),FILTER('GBD estimates'!$R$3:$R$1371,'GBD estimates'!$K$3:$K$1371=Y$3,'GBD estimates'!$L$3:$L$1371=""Diphtheria"",'GBD estimates'!$N$3:$N$1371=""Post Neonatal""))"),0.108272675)</f>
        <v>0.108272675</v>
      </c>
      <c r="Z123" s="564">
        <f>IFERROR(__xludf.DUMMYFUNCTION("SUM(FILTER('GBD estimates'!$R$3:$R$1371,'GBD estimates'!$K$3:$K$1371=Z$3,'GBD estimates'!$L$3:$L$1371=""Diphtheria"",'GBD estimates'!$N$3:$N$1371=""Early Neonatal""),FILTER('GBD estimates'!$R$3:$R$1371,'GBD estimates'!$K$3:$K$1371=Z$3,'GBD estimates'!$L$3"&amp;":$L$1371=""Diphtheria"",'GBD estimates'!$N$3:$N$1371=""Late Neonatal""),FILTER('GBD estimates'!$R$3:$R$1371,'GBD estimates'!$K$3:$K$1371=Z$3,'GBD estimates'!$L$3:$L$1371=""Diphtheria"",'GBD estimates'!$N$3:$N$1371=""Post Neonatal""))"),0.316802014)</f>
        <v>0.316802014</v>
      </c>
      <c r="AA123" s="564">
        <f>IFERROR(__xludf.DUMMYFUNCTION("SUM(FILTER('GBD estimates'!$R$3:$R$1371,'GBD estimates'!$K$3:$K$1371=AA$3,'GBD estimates'!$L$3:$L$1371=""Diphtheria"",'GBD estimates'!$N$3:$N$1371=""Early Neonatal""),FILTER('GBD estimates'!$R$3:$R$1371,'GBD estimates'!$K$3:$K$1371=AA$3,'GBD estimates'!$L"&amp;"$3:$L$1371=""Diphtheria"",'GBD estimates'!$N$3:$N$1371=""Late Neonatal""),FILTER('GBD estimates'!$R$3:$R$1371,'GBD estimates'!$K$3:$K$1371=AA$3,'GBD estimates'!$L$3:$L$1371=""Diphtheria"",'GBD estimates'!$N$3:$N$1371=""Post Neonatal""))"),0.44419353)</f>
        <v>0.44419353</v>
      </c>
      <c r="AB123" s="564">
        <f>IFERROR(__xludf.DUMMYFUNCTION("SUM(FILTER('GBD estimates'!$R$3:$R$1371,'GBD estimates'!$K$3:$K$1371=AB$3,'GBD estimates'!$L$3:$L$1371=""Diphtheria"",'GBD estimates'!$N$3:$N$1371=""Early Neonatal""),FILTER('GBD estimates'!$R$3:$R$1371,'GBD estimates'!$K$3:$K$1371=AB$3,'GBD estimates'!$L"&amp;"$3:$L$1371=""Diphtheria"",'GBD estimates'!$N$3:$N$1371=""Late Neonatal""),FILTER('GBD estimates'!$R$3:$R$1371,'GBD estimates'!$K$3:$K$1371=AB$3,'GBD estimates'!$L$3:$L$1371=""Diphtheria"",'GBD estimates'!$N$3:$N$1371=""Post Neonatal""))"),0.113344909)</f>
        <v>0.113344909</v>
      </c>
      <c r="AC123" s="564">
        <f>IFERROR(__xludf.DUMMYFUNCTION("SUM(FILTER('GBD estimates'!$R$3:$R$1371,'GBD estimates'!$K$3:$K$1371=AC$3,'GBD estimates'!$L$3:$L$1371=""Diphtheria"",'GBD estimates'!$N$3:$N$1371=""Early Neonatal""),FILTER('GBD estimates'!$R$3:$R$1371,'GBD estimates'!$K$3:$K$1371=AC$3,'GBD estimates'!$L"&amp;"$3:$L$1371=""Diphtheria"",'GBD estimates'!$N$3:$N$1371=""Late Neonatal""),FILTER('GBD estimates'!$R$3:$R$1371,'GBD estimates'!$K$3:$K$1371=AC$3,'GBD estimates'!$L$3:$L$1371=""Diphtheria"",'GBD estimates'!$N$3:$N$1371=""Post Neonatal""))"),0.044328215)</f>
        <v>0.044328215</v>
      </c>
      <c r="AD123" s="564">
        <f>IFERROR(__xludf.DUMMYFUNCTION("SUM(FILTER('GBD estimates'!$R$3:$R$1371,'GBD estimates'!$K$3:$K$1371=AD$3,'GBD estimates'!$L$3:$L$1371=""Diphtheria"",'GBD estimates'!$N$3:$N$1371=""Early Neonatal""),FILTER('GBD estimates'!$R$3:$R$1371,'GBD estimates'!$K$3:$K$1371=AD$3,'GBD estimates'!$L"&amp;"$3:$L$1371=""Diphtheria"",'GBD estimates'!$N$3:$N$1371=""Late Neonatal""),FILTER('GBD estimates'!$R$3:$R$1371,'GBD estimates'!$K$3:$K$1371=AD$3,'GBD estimates'!$L$3:$L$1371=""Diphtheria"",'GBD estimates'!$N$3:$N$1371=""Post Neonatal""))"),0.134094899)</f>
        <v>0.134094899</v>
      </c>
      <c r="AE123" s="564">
        <f>IFERROR(__xludf.DUMMYFUNCTION("SUM(FILTER('GBD estimates'!$R$3:$R$1371,'GBD estimates'!$K$3:$K$1371=AE$3,'GBD estimates'!$L$3:$L$1371=""Diphtheria"",'GBD estimates'!$N$3:$N$1371=""Early Neonatal""),FILTER('GBD estimates'!$R$3:$R$1371,'GBD estimates'!$K$3:$K$1371=AE$3,'GBD estimates'!$L"&amp;"$3:$L$1371=""Diphtheria"",'GBD estimates'!$N$3:$N$1371=""Late Neonatal""),FILTER('GBD estimates'!$R$3:$R$1371,'GBD estimates'!$K$3:$K$1371=AE$3,'GBD estimates'!$L$3:$L$1371=""Diphtheria"",'GBD estimates'!$N$3:$N$1371=""Post Neonatal""))"),0.481958407)</f>
        <v>0.481958407</v>
      </c>
      <c r="AF123" s="564">
        <f>IFERROR(__xludf.DUMMYFUNCTION("SUM(FILTER('GBD estimates'!$R$3:$R$1371,'GBD estimates'!$K$3:$K$1371=AF$3,'GBD estimates'!$L$3:$L$1371=""Diphtheria"",'GBD estimates'!$N$3:$N$1371=""Early Neonatal""),FILTER('GBD estimates'!$R$3:$R$1371,'GBD estimates'!$K$3:$K$1371=AF$3,'GBD estimates'!$L"&amp;"$3:$L$1371=""Diphtheria"",'GBD estimates'!$N$3:$N$1371=""Late Neonatal""),FILTER('GBD estimates'!$R$3:$R$1371,'GBD estimates'!$K$3:$K$1371=AF$3,'GBD estimates'!$L$3:$L$1371=""Diphtheria"",'GBD estimates'!$N$3:$N$1371=""Post Neonatal""))"),0.325161876)</f>
        <v>0.325161876</v>
      </c>
      <c r="AG123" s="564">
        <f>IFERROR(__xludf.DUMMYFUNCTION("SUM(FILTER('GBD estimates'!$R$3:$R$1371,'GBD estimates'!$K$3:$K$1371=AG$3,'GBD estimates'!$L$3:$L$1371=""Diphtheria"",'GBD estimates'!$N$3:$N$1371=""Early Neonatal""),FILTER('GBD estimates'!$R$3:$R$1371,'GBD estimates'!$K$3:$K$1371=AG$3,'GBD estimates'!$L"&amp;"$3:$L$1371=""Diphtheria"",'GBD estimates'!$N$3:$N$1371=""Late Neonatal""),FILTER('GBD estimates'!$R$3:$R$1371,'GBD estimates'!$K$3:$K$1371=AG$3,'GBD estimates'!$L$3:$L$1371=""Diphtheria"",'GBD estimates'!$N$3:$N$1371=""Post Neonatal""))"),10.45679282)</f>
        <v>10.45679282</v>
      </c>
      <c r="AH123" s="564">
        <f>IFERROR(__xludf.DUMMYFUNCTION("SUM(FILTER('GBD estimates'!$R$3:$R$1371,'GBD estimates'!$K$3:$K$1371=AH$3,'GBD estimates'!$L$3:$L$1371=""Diphtheria"",'GBD estimates'!$N$3:$N$1371=""Early Neonatal""),FILTER('GBD estimates'!$R$3:$R$1371,'GBD estimates'!$K$3:$K$1371=AH$3,'GBD estimates'!$L"&amp;"$3:$L$1371=""Diphtheria"",'GBD estimates'!$N$3:$N$1371=""Late Neonatal""),FILTER('GBD estimates'!$R$3:$R$1371,'GBD estimates'!$K$3:$K$1371=AH$3,'GBD estimates'!$L$3:$L$1371=""Diphtheria"",'GBD estimates'!$N$3:$N$1371=""Post Neonatal""))"),0.168110394)</f>
        <v>0.168110394</v>
      </c>
      <c r="AI123" s="564">
        <f>IFERROR(__xludf.DUMMYFUNCTION("SUM(FILTER('GBD estimates'!$R$3:$R$1371,'GBD estimates'!$K$3:$K$1371=AI$3,'GBD estimates'!$L$3:$L$1371=""Diphtheria"",'GBD estimates'!$N$3:$N$1371=""Early Neonatal""),FILTER('GBD estimates'!$R$3:$R$1371,'GBD estimates'!$K$3:$K$1371=AI$3,'GBD estimates'!$L"&amp;"$3:$L$1371=""Diphtheria"",'GBD estimates'!$N$3:$N$1371=""Late Neonatal""),FILTER('GBD estimates'!$R$3:$R$1371,'GBD estimates'!$K$3:$K$1371=AI$3,'GBD estimates'!$L$3:$L$1371=""Diphtheria"",'GBD estimates'!$N$3:$N$1371=""Post Neonatal""))"),0.164143709)</f>
        <v>0.164143709</v>
      </c>
      <c r="AJ123" s="564">
        <f>IFERROR(__xludf.DUMMYFUNCTION("SUM(FILTER('GBD estimates'!$R$3:$R$1371,'GBD estimates'!$K$3:$K$1371=AJ$3,'GBD estimates'!$L$3:$L$1371=""Diphtheria"",'GBD estimates'!$N$3:$N$1371=""Early Neonatal""),FILTER('GBD estimates'!$R$3:$R$1371,'GBD estimates'!$K$3:$K$1371=AJ$3,'GBD estimates'!$L"&amp;"$3:$L$1371=""Diphtheria"",'GBD estimates'!$N$3:$N$1371=""Late Neonatal""),FILTER('GBD estimates'!$R$3:$R$1371,'GBD estimates'!$K$3:$K$1371=AJ$3,'GBD estimates'!$L$3:$L$1371=""Diphtheria"",'GBD estimates'!$N$3:$N$1371=""Post Neonatal""))"),0.075080269)</f>
        <v>0.075080269</v>
      </c>
      <c r="AK123" s="564">
        <f>IFERROR(__xludf.DUMMYFUNCTION("SUM(FILTER('GBD estimates'!$R$3:$R$1371,'GBD estimates'!$K$3:$K$1371=AK$3,'GBD estimates'!$L$3:$L$1371=""Diphtheria"",'GBD estimates'!$N$3:$N$1371=""Early Neonatal""),FILTER('GBD estimates'!$R$3:$R$1371,'GBD estimates'!$K$3:$K$1371=AK$3,'GBD estimates'!$L"&amp;"$3:$L$1371=""Diphtheria"",'GBD estimates'!$N$3:$N$1371=""Late Neonatal""),FILTER('GBD estimates'!$R$3:$R$1371,'GBD estimates'!$K$3:$K$1371=AK$3,'GBD estimates'!$L$3:$L$1371=""Diphtheria"",'GBD estimates'!$N$3:$N$1371=""Post Neonatal""))"),1.656832671)</f>
        <v>1.656832671</v>
      </c>
      <c r="AL123" s="564">
        <f>IFERROR(__xludf.DUMMYFUNCTION("SUM(FILTER('GBD estimates'!$R$3:$R$1371,'GBD estimates'!$K$3:$K$1371=AL$3,'GBD estimates'!$L$3:$L$1371=""Diphtheria"",'GBD estimates'!$N$3:$N$1371=""Early Neonatal""),FILTER('GBD estimates'!$R$3:$R$1371,'GBD estimates'!$K$3:$K$1371=AL$3,'GBD estimates'!$L"&amp;"$3:$L$1371=""Diphtheria"",'GBD estimates'!$N$3:$N$1371=""Late Neonatal""),FILTER('GBD estimates'!$R$3:$R$1371,'GBD estimates'!$K$3:$K$1371=AL$3,'GBD estimates'!$L$3:$L$1371=""Diphtheria"",'GBD estimates'!$N$3:$N$1371=""Post Neonatal""))"),12.71493864)</f>
        <v>12.71493864</v>
      </c>
      <c r="AM123" s="564">
        <f t="shared" ref="AM123:AN123" si="14">AL123</f>
        <v>12.71493864</v>
      </c>
      <c r="AN123" s="564">
        <f t="shared" si="14"/>
        <v>12.71493864</v>
      </c>
      <c r="AO123" s="564">
        <f>IFERROR(__xludf.DUMMYFUNCTION("SUM(FILTER('GBD estimates'!$R$3:$R$1371,'GBD estimates'!$K$3:$K$1371=AO$3,'GBD estimates'!$L$3:$L$1371=""Diphtheria"",'GBD estimates'!$N$3:$N$1371=""Early Neonatal""),FILTER('GBD estimates'!$R$3:$R$1371,'GBD estimates'!$K$3:$K$1371=AO$3,'GBD estimates'!$L"&amp;"$3:$L$1371=""Diphtheria"",'GBD estimates'!$N$3:$N$1371=""Late Neonatal""),FILTER('GBD estimates'!$R$3:$R$1371,'GBD estimates'!$K$3:$K$1371=AO$3,'GBD estimates'!$L$3:$L$1371=""Diphtheria"",'GBD estimates'!$N$3:$N$1371=""Post Neonatal""))"),1.144057378)</f>
        <v>1.144057378</v>
      </c>
      <c r="AP123" s="564">
        <f>IFERROR(__xludf.DUMMYFUNCTION("SUM(FILTER('GBD estimates'!$R$3:$R$1371,'GBD estimates'!$K$3:$K$1371=AP$3,'GBD estimates'!$L$3:$L$1371=""Diphtheria"",'GBD estimates'!$N$3:$N$1371=""Early Neonatal""),FILTER('GBD estimates'!$R$3:$R$1371,'GBD estimates'!$K$3:$K$1371=AP$3,'GBD estimates'!$L"&amp;"$3:$L$1371=""Diphtheria"",'GBD estimates'!$N$3:$N$1371=""Late Neonatal""),FILTER('GBD estimates'!$R$3:$R$1371,'GBD estimates'!$K$3:$K$1371=AP$3,'GBD estimates'!$L$3:$L$1371=""Diphtheria"",'GBD estimates'!$N$3:$N$1371=""Post Neonatal""))"),0.084029561)</f>
        <v>0.084029561</v>
      </c>
      <c r="AQ123" s="564">
        <f>IFERROR(__xludf.DUMMYFUNCTION("SUM(FILTER('GBD estimates'!$R$3:$R$1371,'GBD estimates'!$K$3:$K$1371=AQ$3,'GBD estimates'!$L$3:$L$1371=""Diphtheria"",'GBD estimates'!$N$3:$N$1371=""Early Neonatal""),FILTER('GBD estimates'!$R$3:$R$1371,'GBD estimates'!$K$3:$K$1371=AQ$3,'GBD estimates'!$L"&amp;"$3:$L$1371=""Diphtheria"",'GBD estimates'!$N$3:$N$1371=""Late Neonatal""),FILTER('GBD estimates'!$R$3:$R$1371,'GBD estimates'!$K$3:$K$1371=AQ$3,'GBD estimates'!$L$3:$L$1371=""Diphtheria"",'GBD estimates'!$N$3:$N$1371=""Post Neonatal""))"),0.066767652)</f>
        <v>0.066767652</v>
      </c>
      <c r="AR123" s="564">
        <f>IFERROR(__xludf.DUMMYFUNCTION("SUM(FILTER('GBD estimates'!$R$3:$R$1371,'GBD estimates'!$K$3:$K$1371=AR$3,'GBD estimates'!$L$3:$L$1371=""Diphtheria"",'GBD estimates'!$N$3:$N$1371=""Early Neonatal""),FILTER('GBD estimates'!$R$3:$R$1371,'GBD estimates'!$K$3:$K$1371=AR$3,'GBD estimates'!$L"&amp;"$3:$L$1371=""Diphtheria"",'GBD estimates'!$N$3:$N$1371=""Late Neonatal""),FILTER('GBD estimates'!$R$3:$R$1371,'GBD estimates'!$K$3:$K$1371=AR$3,'GBD estimates'!$L$3:$L$1371=""Diphtheria"",'GBD estimates'!$N$3:$N$1371=""Post Neonatal""))"),0.288561387)</f>
        <v>0.288561387</v>
      </c>
      <c r="AS123" s="564">
        <f>IFERROR(__xludf.DUMMYFUNCTION("SUM(FILTER('GBD estimates'!$R$3:$R$1371,'GBD estimates'!$K$3:$K$1371=AS$3,'GBD estimates'!$L$3:$L$1371=""Diphtheria"",'GBD estimates'!$N$3:$N$1371=""Early Neonatal""),FILTER('GBD estimates'!$R$3:$R$1371,'GBD estimates'!$K$3:$K$1371=AS$3,'GBD estimates'!$L"&amp;"$3:$L$1371=""Diphtheria"",'GBD estimates'!$N$3:$N$1371=""Late Neonatal""),FILTER('GBD estimates'!$R$3:$R$1371,'GBD estimates'!$K$3:$K$1371=AS$3,'GBD estimates'!$L$3:$L$1371=""Diphtheria"",'GBD estimates'!$N$3:$N$1371=""Post Neonatal""))"),1.722023852)</f>
        <v>1.722023852</v>
      </c>
      <c r="AT123" s="564">
        <f>IFERROR(__xludf.DUMMYFUNCTION("SUM(FILTER('GBD estimates'!$R$3:$R$1371,'GBD estimates'!$K$3:$K$1371=AT$3,'GBD estimates'!$L$3:$L$1371=""Diphtheria"",'GBD estimates'!$N$3:$N$1371=""Early Neonatal""),FILTER('GBD estimates'!$R$3:$R$1371,'GBD estimates'!$K$3:$K$1371=AT$3,'GBD estimates'!$L"&amp;"$3:$L$1371=""Diphtheria"",'GBD estimates'!$N$3:$N$1371=""Late Neonatal""),FILTER('GBD estimates'!$R$3:$R$1371,'GBD estimates'!$K$3:$K$1371=AT$3,'GBD estimates'!$L$3:$L$1371=""Diphtheria"",'GBD estimates'!$N$3:$N$1371=""Post Neonatal""))"),0.195401276)</f>
        <v>0.195401276</v>
      </c>
      <c r="AU123" s="564">
        <f>IFERROR(__xludf.DUMMYFUNCTION("SUM(FILTER('GBD estimates'!$R$3:$R$1371,'GBD estimates'!$K$3:$K$1371=AU$3,'GBD estimates'!$L$3:$L$1371=""Diphtheria"",'GBD estimates'!$N$3:$N$1371=""Early Neonatal""),FILTER('GBD estimates'!$R$3:$R$1371,'GBD estimates'!$K$3:$K$1371=AU$3,'GBD estimates'!$L"&amp;"$3:$L$1371=""Diphtheria"",'GBD estimates'!$N$3:$N$1371=""Late Neonatal""),FILTER('GBD estimates'!$R$3:$R$1371,'GBD estimates'!$K$3:$K$1371=AU$3,'GBD estimates'!$L$3:$L$1371=""Diphtheria"",'GBD estimates'!$N$3:$N$1371=""Post Neonatal""))"),10.43434373)</f>
        <v>10.43434373</v>
      </c>
      <c r="AV123" s="564">
        <f>IFERROR(__xludf.DUMMYFUNCTION("SUM(FILTER('GBD estimates'!$R$3:$R$1371,'GBD estimates'!$K$3:$K$1371=AV$3,'GBD estimates'!$L$3:$L$1371=""Diphtheria"",'GBD estimates'!$N$3:$N$1371=""Early Neonatal""),FILTER('GBD estimates'!$R$3:$R$1371,'GBD estimates'!$K$3:$K$1371=AV$3,'GBD estimates'!$L"&amp;"$3:$L$1371=""Diphtheria"",'GBD estimates'!$N$3:$N$1371=""Late Neonatal""),FILTER('GBD estimates'!$R$3:$R$1371,'GBD estimates'!$K$3:$K$1371=AV$3,'GBD estimates'!$L$3:$L$1371=""Diphtheria"",'GBD estimates'!$N$3:$N$1371=""Post Neonatal""))"),7.820044894)</f>
        <v>7.820044894</v>
      </c>
      <c r="AW123" s="788"/>
      <c r="AX123" s="798" t="s">
        <v>999</v>
      </c>
      <c r="AY123" s="790"/>
    </row>
    <row r="124">
      <c r="A124" s="776"/>
      <c r="B124" s="538"/>
      <c r="C124" s="538"/>
      <c r="D124" s="538"/>
      <c r="E124" s="792" t="s">
        <v>549</v>
      </c>
      <c r="F124" s="559" t="s">
        <v>72</v>
      </c>
      <c r="G124" s="560" t="s">
        <v>165</v>
      </c>
      <c r="H124" s="793">
        <v>0.15</v>
      </c>
      <c r="I124" s="859" t="s">
        <v>162</v>
      </c>
      <c r="J124" s="859" t="s">
        <v>162</v>
      </c>
      <c r="K124" s="859" t="s">
        <v>162</v>
      </c>
      <c r="L124" s="547" t="str">
        <f t="shared" si="9"/>
        <v>-</v>
      </c>
      <c r="M124" s="859" t="s">
        <v>162</v>
      </c>
      <c r="N124" s="859" t="s">
        <v>162</v>
      </c>
      <c r="O124" s="859" t="s">
        <v>162</v>
      </c>
      <c r="P124" s="859" t="s">
        <v>162</v>
      </c>
      <c r="Q124" s="860" t="s">
        <v>162</v>
      </c>
      <c r="R124" s="859" t="s">
        <v>162</v>
      </c>
      <c r="S124" s="859" t="s">
        <v>162</v>
      </c>
      <c r="T124" s="859" t="s">
        <v>162</v>
      </c>
      <c r="U124" s="859" t="s">
        <v>162</v>
      </c>
      <c r="V124" s="859" t="s">
        <v>162</v>
      </c>
      <c r="W124" s="859" t="s">
        <v>162</v>
      </c>
      <c r="X124" s="859" t="s">
        <v>162</v>
      </c>
      <c r="Y124" s="859" t="s">
        <v>162</v>
      </c>
      <c r="Z124" s="859" t="s">
        <v>162</v>
      </c>
      <c r="AA124" s="859" t="s">
        <v>162</v>
      </c>
      <c r="AB124" s="859" t="s">
        <v>162</v>
      </c>
      <c r="AC124" s="859" t="s">
        <v>162</v>
      </c>
      <c r="AD124" s="859" t="s">
        <v>162</v>
      </c>
      <c r="AE124" s="859" t="s">
        <v>162</v>
      </c>
      <c r="AF124" s="859" t="s">
        <v>162</v>
      </c>
      <c r="AG124" s="859" t="s">
        <v>162</v>
      </c>
      <c r="AH124" s="859" t="s">
        <v>162</v>
      </c>
      <c r="AI124" s="859" t="s">
        <v>162</v>
      </c>
      <c r="AJ124" s="859" t="s">
        <v>162</v>
      </c>
      <c r="AK124" s="859" t="s">
        <v>162</v>
      </c>
      <c r="AL124" s="859" t="s">
        <v>162</v>
      </c>
      <c r="AM124" s="859" t="s">
        <v>162</v>
      </c>
      <c r="AN124" s="859" t="s">
        <v>162</v>
      </c>
      <c r="AO124" s="859" t="s">
        <v>162</v>
      </c>
      <c r="AP124" s="859" t="s">
        <v>162</v>
      </c>
      <c r="AQ124" s="859" t="s">
        <v>162</v>
      </c>
      <c r="AR124" s="859" t="s">
        <v>162</v>
      </c>
      <c r="AS124" s="859" t="s">
        <v>162</v>
      </c>
      <c r="AT124" s="859" t="s">
        <v>162</v>
      </c>
      <c r="AU124" s="859" t="s">
        <v>162</v>
      </c>
      <c r="AV124" s="859" t="s">
        <v>162</v>
      </c>
      <c r="AW124" s="794"/>
      <c r="AX124" s="799" t="s">
        <v>984</v>
      </c>
      <c r="AY124" s="796"/>
    </row>
    <row r="125">
      <c r="A125" s="776"/>
      <c r="B125" s="538"/>
      <c r="C125" s="143"/>
      <c r="D125" s="143"/>
      <c r="E125" s="447"/>
      <c r="F125" s="533"/>
      <c r="G125" s="534"/>
      <c r="H125" s="680"/>
      <c r="I125" s="552"/>
      <c r="J125" s="552"/>
      <c r="K125" s="552"/>
      <c r="L125" s="552"/>
      <c r="M125" s="552"/>
      <c r="N125" s="552"/>
      <c r="O125" s="552"/>
      <c r="P125" s="552"/>
      <c r="Q125" s="553"/>
      <c r="R125" s="552"/>
      <c r="S125" s="552"/>
      <c r="T125" s="552"/>
      <c r="U125" s="552"/>
      <c r="V125" s="552"/>
      <c r="W125" s="552"/>
      <c r="X125" s="552"/>
      <c r="Y125" s="552"/>
      <c r="Z125" s="552"/>
      <c r="AA125" s="552"/>
      <c r="AB125" s="552"/>
      <c r="AC125" s="552"/>
      <c r="AD125" s="552"/>
      <c r="AE125" s="552"/>
      <c r="AF125" s="552"/>
      <c r="AG125" s="552"/>
      <c r="AH125" s="552"/>
      <c r="AI125" s="552"/>
      <c r="AJ125" s="552"/>
      <c r="AK125" s="552"/>
      <c r="AL125" s="552"/>
      <c r="AM125" s="552"/>
      <c r="AN125" s="552"/>
      <c r="AO125" s="552"/>
      <c r="AP125" s="552"/>
      <c r="AQ125" s="552"/>
      <c r="AR125" s="552"/>
      <c r="AS125" s="552"/>
      <c r="AT125" s="552"/>
      <c r="AU125" s="552"/>
      <c r="AV125" s="552"/>
      <c r="AW125" s="778"/>
      <c r="AX125" s="779"/>
      <c r="AY125" s="780"/>
    </row>
    <row r="126">
      <c r="A126" s="538"/>
      <c r="B126" s="538"/>
      <c r="C126" s="143" t="s">
        <v>552</v>
      </c>
      <c r="F126" s="533"/>
      <c r="G126" s="533"/>
      <c r="H126" s="680"/>
      <c r="I126" s="552"/>
      <c r="J126" s="552"/>
      <c r="K126" s="552"/>
      <c r="L126" s="552"/>
      <c r="M126" s="552"/>
      <c r="N126" s="552"/>
      <c r="O126" s="552"/>
      <c r="P126" s="552"/>
      <c r="Q126" s="553"/>
      <c r="R126" s="552"/>
      <c r="S126" s="552"/>
      <c r="T126" s="552"/>
      <c r="U126" s="552"/>
      <c r="V126" s="552"/>
      <c r="W126" s="552"/>
      <c r="X126" s="552"/>
      <c r="Y126" s="552"/>
      <c r="Z126" s="552"/>
      <c r="AA126" s="552"/>
      <c r="AB126" s="552"/>
      <c r="AC126" s="552"/>
      <c r="AD126" s="552"/>
      <c r="AE126" s="552"/>
      <c r="AF126" s="552"/>
      <c r="AG126" s="552"/>
      <c r="AH126" s="552"/>
      <c r="AI126" s="552"/>
      <c r="AJ126" s="552"/>
      <c r="AK126" s="552"/>
      <c r="AL126" s="552"/>
      <c r="AM126" s="552"/>
      <c r="AN126" s="552"/>
      <c r="AO126" s="552"/>
      <c r="AP126" s="552"/>
      <c r="AQ126" s="552"/>
      <c r="AR126" s="552"/>
      <c r="AS126" s="552"/>
      <c r="AT126" s="552"/>
      <c r="AU126" s="552"/>
      <c r="AV126" s="552"/>
      <c r="AW126" s="778"/>
      <c r="AX126" s="779"/>
      <c r="AY126" s="780"/>
    </row>
    <row r="127">
      <c r="A127" s="776"/>
      <c r="B127" s="538"/>
      <c r="C127" s="538"/>
      <c r="D127" s="538"/>
      <c r="E127" s="782" t="s">
        <v>554</v>
      </c>
      <c r="F127" s="539" t="s">
        <v>72</v>
      </c>
      <c r="G127" s="540" t="s">
        <v>165</v>
      </c>
      <c r="H127" s="808" t="s">
        <v>162</v>
      </c>
      <c r="I127" s="542">
        <f>IFERROR(__xludf.DUMMYFUNCTION("FILTER('GBD estimates'!$G$3:$G$1371,'GBD estimates'!$B$3:$B$1371=I$3,'GBD estimates'!$E$3:$E$1371=""Pertussis"",'GBD estimates'!$D$3:$D$1371=""Under 5"")"),0.001926586)</f>
        <v>0.001926586</v>
      </c>
      <c r="J127" s="542">
        <f>IFERROR(__xludf.DUMMYFUNCTION("FILTER('GBD estimates'!$G$3:$G$1371,'GBD estimates'!$B$3:$B$1371=J$3,'GBD estimates'!$E$3:$E$1371=""Pertussis"",'GBD estimates'!$D$3:$D$1371=""Under 5"")"),0.001715755)</f>
        <v>0.001715755</v>
      </c>
      <c r="K127" s="542">
        <f>IFERROR(__xludf.DUMMYFUNCTION("FILTER('GBD estimates'!$G$3:$G$1371,'GBD estimates'!$B$3:$B$1371=K$3,'GBD estimates'!$E$3:$E$1371=""Pertussis"",'GBD estimates'!$D$3:$D$1371=""Under 5"")"),0.002305103)</f>
        <v>0.002305103</v>
      </c>
      <c r="L127" s="542">
        <f t="shared" ref="L127:L133" si="16">AG127</f>
        <v>0.001196296</v>
      </c>
      <c r="M127" s="542">
        <f>IFERROR(__xludf.DUMMYFUNCTION("FILTER('GBD estimates'!$G$3:$G$1371,'GBD estimates'!$B$3:$B$1371=M$3,'GBD estimates'!$E$3:$E$1371=""Pertussis"",'GBD estimates'!$D$3:$D$1371=""Under 5"")"),0.001434608)</f>
        <v>0.001434608</v>
      </c>
      <c r="N127" s="542">
        <f>IFERROR(__xludf.DUMMYFUNCTION("FILTER('GBD estimates'!$G$3:$G$1371,'GBD estimates'!$B$3:$B$1371=N$3,'GBD estimates'!$E$3:$E$1371=""Pertussis"",'GBD estimates'!$D$3:$D$1371=""Under 5"")"),0.001871217)</f>
        <v>0.001871217</v>
      </c>
      <c r="O127" s="542">
        <f>IFERROR(__xludf.DUMMYFUNCTION("FILTER('GBD estimates'!$G$3:$G$1371,'GBD estimates'!$B$3:$B$1371=O$3,'GBD estimates'!$E$3:$E$1371=""Pertussis"",'GBD estimates'!$D$3:$D$1371=""Under 5"")"),0.002022091)</f>
        <v>0.002022091</v>
      </c>
      <c r="P127" s="542">
        <f>IFERROR(__xludf.DUMMYFUNCTION("FILTER('GBD estimates'!$G$3:$G$1371,'GBD estimates'!$B$3:$B$1371=P$3,'GBD estimates'!$E$3:$E$1371=""Pertussis"",'GBD estimates'!$D$3:$D$1371=""Under 5"")"),0.002327154)</f>
        <v>0.002327154</v>
      </c>
      <c r="Q127" s="543">
        <f>IFERROR(__xludf.DUMMYFUNCTION("FILTER('GBD estimates'!$G$3:$G$1371,'GBD estimates'!$B$3:$B$1371=Q$3,'GBD estimates'!$E$3:$E$1371=""Pertussis"",'GBD estimates'!$D$3:$D$1371=""Under 5"")"),0.002749402)</f>
        <v>0.002749402</v>
      </c>
      <c r="R127" s="542">
        <f>IFERROR(__xludf.DUMMYFUNCTION("FILTER('GBD estimates'!$G$3:$G$1371,'GBD estimates'!$B$3:$B$1371=R$3,'GBD estimates'!$E$3:$E$1371=""Pertussis"",'GBD estimates'!$D$3:$D$1371=""Under 5"")"),3.28459E-4)</f>
        <v>0.000328459</v>
      </c>
      <c r="S127" s="542">
        <f>IFERROR(__xludf.DUMMYFUNCTION("FILTER('GBD estimates'!$G$3:$G$1371,'GBD estimates'!$B$3:$B$1371=S$3,'GBD estimates'!$E$3:$E$1371=""Pertussis"",'GBD estimates'!$D$3:$D$1371=""Under 5"")"),0.001064752)</f>
        <v>0.001064752</v>
      </c>
      <c r="T127" s="542">
        <f>IFERROR(__xludf.DUMMYFUNCTION("FILTER('GBD estimates'!$G$3:$G$1371,'GBD estimates'!$B$3:$B$1371=T$3,'GBD estimates'!$E$3:$E$1371=""Pertussis"",'GBD estimates'!$D$3:$D$1371=""Under 5"")"),3.57013E-4)</f>
        <v>0.000357013</v>
      </c>
      <c r="U127" s="542">
        <f>IFERROR(__xludf.DUMMYFUNCTION("FILTER('GBD estimates'!$G$3:$G$1371,'GBD estimates'!$B$3:$B$1371=U$3,'GBD estimates'!$E$3:$E$1371=""Pertussis"",'GBD estimates'!$D$3:$D$1371=""Under 5"")"),4.76822E-4)</f>
        <v>0.000476822</v>
      </c>
      <c r="V127" s="542">
        <f>IFERROR(__xludf.DUMMYFUNCTION("FILTER('GBD estimates'!$G$3:$G$1371,'GBD estimates'!$B$3:$B$1371=V$3,'GBD estimates'!$E$3:$E$1371=""Pertussis"",'GBD estimates'!$D$3:$D$1371=""Under 5"")"),7.91876E-4)</f>
        <v>0.000791876</v>
      </c>
      <c r="W127" s="542">
        <f>IFERROR(__xludf.DUMMYFUNCTION("FILTER('GBD estimates'!$G$3:$G$1371,'GBD estimates'!$B$3:$B$1371=W$3,'GBD estimates'!$E$3:$E$1371=""Pertussis"",'GBD estimates'!$D$3:$D$1371=""Under 5"")"),6.26519E-4)</f>
        <v>0.000626519</v>
      </c>
      <c r="X127" s="542">
        <f>IFERROR(__xludf.DUMMYFUNCTION("FILTER('GBD estimates'!$G$3:$G$1371,'GBD estimates'!$B$3:$B$1371=X$3,'GBD estimates'!$E$3:$E$1371=""Pertussis"",'GBD estimates'!$D$3:$D$1371=""Under 5"")"),9.96955E-4)</f>
        <v>0.000996955</v>
      </c>
      <c r="Y127" s="542">
        <f>IFERROR(__xludf.DUMMYFUNCTION("FILTER('GBD estimates'!$G$3:$G$1371,'GBD estimates'!$B$3:$B$1371=Y$3,'GBD estimates'!$E$3:$E$1371=""Pertussis"",'GBD estimates'!$D$3:$D$1371=""Under 5"")"),4.32579E-4)</f>
        <v>0.000432579</v>
      </c>
      <c r="Z127" s="542">
        <f>IFERROR(__xludf.DUMMYFUNCTION("FILTER('GBD estimates'!$G$3:$G$1371,'GBD estimates'!$B$3:$B$1371=Z$3,'GBD estimates'!$E$3:$E$1371=""Pertussis"",'GBD estimates'!$D$3:$D$1371=""Under 5"")"),4.63026E-4)</f>
        <v>0.000463026</v>
      </c>
      <c r="AA127" s="542">
        <f>IFERROR(__xludf.DUMMYFUNCTION("FILTER('GBD estimates'!$G$3:$G$1371,'GBD estimates'!$B$3:$B$1371=AA$3,'GBD estimates'!$E$3:$E$1371=""Pertussis"",'GBD estimates'!$D$3:$D$1371=""Under 5"")"),4.63607E-4)</f>
        <v>0.000463607</v>
      </c>
      <c r="AB127" s="542">
        <f>IFERROR(__xludf.DUMMYFUNCTION("FILTER('GBD estimates'!$G$3:$G$1371,'GBD estimates'!$B$3:$B$1371=AB$3,'GBD estimates'!$E$3:$E$1371=""Pertussis"",'GBD estimates'!$D$3:$D$1371=""Under 5"")"),3.29156E-4)</f>
        <v>0.000329156</v>
      </c>
      <c r="AC127" s="542">
        <f>IFERROR(__xludf.DUMMYFUNCTION("FILTER('GBD estimates'!$G$3:$G$1371,'GBD estimates'!$B$3:$B$1371=AC$3,'GBD estimates'!$E$3:$E$1371=""Pertussis"",'GBD estimates'!$D$3:$D$1371=""Under 5"")"),2.15045E-4)</f>
        <v>0.000215045</v>
      </c>
      <c r="AD127" s="542">
        <f>IFERROR(__xludf.DUMMYFUNCTION("FILTER('GBD estimates'!$G$3:$G$1371,'GBD estimates'!$B$3:$B$1371=AD$3,'GBD estimates'!$E$3:$E$1371=""Pertussis"",'GBD estimates'!$D$3:$D$1371=""Under 5"")"),2.6046E-4)</f>
        <v>0.00026046</v>
      </c>
      <c r="AE127" s="542">
        <f>IFERROR(__xludf.DUMMYFUNCTION("FILTER('GBD estimates'!$G$3:$G$1371,'GBD estimates'!$B$3:$B$1371=AE$3,'GBD estimates'!$E$3:$E$1371=""Pertussis"",'GBD estimates'!$D$3:$D$1371=""Under 5"")"),3.33012E-4)</f>
        <v>0.000333012</v>
      </c>
      <c r="AF127" s="542">
        <f>IFERROR(__xludf.DUMMYFUNCTION("FILTER('GBD estimates'!$G$3:$G$1371,'GBD estimates'!$B$3:$B$1371=AF$3,'GBD estimates'!$E$3:$E$1371=""Pertussis"",'GBD estimates'!$D$3:$D$1371=""Under 5"")"),1.86305E-4)</f>
        <v>0.000186305</v>
      </c>
      <c r="AG127" s="542">
        <f>IFERROR(__xludf.DUMMYFUNCTION("FILTER('GBD estimates'!$G$3:$G$1371,'GBD estimates'!$B$3:$B$1371=AG$3,'GBD estimates'!$E$3:$E$1371=""Pertussis"",'GBD estimates'!$D$3:$D$1371=""Under 5"")"),0.001196296)</f>
        <v>0.001196296</v>
      </c>
      <c r="AH127" s="542">
        <f>IFERROR(__xludf.DUMMYFUNCTION("FILTER('GBD estimates'!$G$3:$G$1371,'GBD estimates'!$B$3:$B$1371=AH$3,'GBD estimates'!$E$3:$E$1371=""Pertussis"",'GBD estimates'!$D$3:$D$1371=""Under 5"")"),0.001066403)</f>
        <v>0.001066403</v>
      </c>
      <c r="AI127" s="542">
        <f>IFERROR(__xludf.DUMMYFUNCTION("FILTER('GBD estimates'!$G$3:$G$1371,'GBD estimates'!$B$3:$B$1371=AI$3,'GBD estimates'!$E$3:$E$1371=""Pertussis"",'GBD estimates'!$D$3:$D$1371=""Under 5"")"),3.9724E-4)</f>
        <v>0.00039724</v>
      </c>
      <c r="AJ127" s="542">
        <f>IFERROR(__xludf.DUMMYFUNCTION("FILTER('GBD estimates'!$G$3:$G$1371,'GBD estimates'!$B$3:$B$1371=AJ$3,'GBD estimates'!$E$3:$E$1371=""Pertussis"",'GBD estimates'!$D$3:$D$1371=""Under 5"")"),1.58837E-4)</f>
        <v>0.000158837</v>
      </c>
      <c r="AK127" s="542">
        <f>IFERROR(__xludf.DUMMYFUNCTION("FILTER('GBD estimates'!$G$3:$G$1371,'GBD estimates'!$B$3:$B$1371=AK$3,'GBD estimates'!$E$3:$E$1371=""Pertussis"",'GBD estimates'!$D$3:$D$1371=""Under 5"")"),7.53801E-4)</f>
        <v>0.000753801</v>
      </c>
      <c r="AL127" s="542">
        <f>IFERROR(__xludf.DUMMYFUNCTION("FILTER('GBD estimates'!$G$3:$G$1371,'GBD estimates'!$B$3:$B$1371=AL$3,'GBD estimates'!$E$3:$E$1371=""Pertussis"",'GBD estimates'!$D$3:$D$1371=""Under 5"")"),0.001116255)</f>
        <v>0.001116255</v>
      </c>
      <c r="AM127" s="542">
        <f t="shared" ref="AM127:AN127" si="15">AL127</f>
        <v>0.001116255</v>
      </c>
      <c r="AN127" s="542">
        <f t="shared" si="15"/>
        <v>0.001116255</v>
      </c>
      <c r="AO127" s="542">
        <f>IFERROR(__xludf.DUMMYFUNCTION("FILTER('GBD estimates'!$G$3:$G$1371,'GBD estimates'!$B$3:$B$1371=AO$3,'GBD estimates'!$E$3:$E$1371=""Pertussis"",'GBD estimates'!$D$3:$D$1371=""Under 5"")"),4.71182E-4)</f>
        <v>0.000471182</v>
      </c>
      <c r="AP127" s="542">
        <f>IFERROR(__xludf.DUMMYFUNCTION("FILTER('GBD estimates'!$G$3:$G$1371,'GBD estimates'!$B$3:$B$1371=AP$3,'GBD estimates'!$E$3:$E$1371=""Pertussis"",'GBD estimates'!$D$3:$D$1371=""Under 5"")"),3.23322E-4)</f>
        <v>0.000323322</v>
      </c>
      <c r="AQ127" s="542">
        <f>IFERROR(__xludf.DUMMYFUNCTION("FILTER('GBD estimates'!$G$3:$G$1371,'GBD estimates'!$B$3:$B$1371=AQ$3,'GBD estimates'!$E$3:$E$1371=""Pertussis"",'GBD estimates'!$D$3:$D$1371=""Under 5"")"),1.85004E-4)</f>
        <v>0.000185004</v>
      </c>
      <c r="AR127" s="542">
        <f>IFERROR(__xludf.DUMMYFUNCTION("FILTER('GBD estimates'!$G$3:$G$1371,'GBD estimates'!$B$3:$B$1371=AR$3,'GBD estimates'!$E$3:$E$1371=""Pertussis"",'GBD estimates'!$D$3:$D$1371=""Under 5"")"),4.30089E-4)</f>
        <v>0.000430089</v>
      </c>
      <c r="AS127" s="542">
        <f>IFERROR(__xludf.DUMMYFUNCTION("FILTER('GBD estimates'!$G$3:$G$1371,'GBD estimates'!$B$3:$B$1371=AS$3,'GBD estimates'!$E$3:$E$1371=""Pertussis"",'GBD estimates'!$D$3:$D$1371=""Under 5"")"),4.1336E-4)</f>
        <v>0.00041336</v>
      </c>
      <c r="AT127" s="542">
        <f>IFERROR(__xludf.DUMMYFUNCTION("FILTER('GBD estimates'!$G$3:$G$1371,'GBD estimates'!$B$3:$B$1371=AT$3,'GBD estimates'!$E$3:$E$1371=""Pertussis"",'GBD estimates'!$D$3:$D$1371=""Under 5"")"),3.57551E-4)</f>
        <v>0.000357551</v>
      </c>
      <c r="AU127" s="542">
        <f>IFERROR(__xludf.DUMMYFUNCTION("FILTER('GBD estimates'!$G$3:$G$1371,'GBD estimates'!$B$3:$B$1371=AU$3,'GBD estimates'!$E$3:$E$1371=""Pertussis"",'GBD estimates'!$D$3:$D$1371=""Under 5"")"),0.001203361)</f>
        <v>0.001203361</v>
      </c>
      <c r="AV127" s="542">
        <f>IFERROR(__xludf.DUMMYFUNCTION("FILTER('GBD estimates'!$G$3:$G$1371,'GBD estimates'!$B$3:$B$1371=AV$3,'GBD estimates'!$E$3:$E$1371=""Pertussis"",'GBD estimates'!$D$3:$D$1371=""Under 5"")"),0.001569238)</f>
        <v>0.001569238</v>
      </c>
      <c r="AW127" s="784"/>
      <c r="AX127" s="797" t="s">
        <v>999</v>
      </c>
      <c r="AY127" s="786"/>
    </row>
    <row r="128">
      <c r="A128" s="776"/>
      <c r="B128" s="538"/>
      <c r="C128" s="538"/>
      <c r="D128" s="538"/>
      <c r="E128" s="475" t="s">
        <v>555</v>
      </c>
      <c r="F128" s="554" t="s">
        <v>72</v>
      </c>
      <c r="G128" s="555" t="s">
        <v>165</v>
      </c>
      <c r="H128" s="811" t="s">
        <v>162</v>
      </c>
      <c r="I128" s="542">
        <f>IFERROR(__xludf.DUMMYFUNCTION("FILTER('GBD estimates'!$G$3:$G$1371,'GBD estimates'!$B$3:$B$1371=I$3,'GBD estimates'!$E$3:$E$1371=""Pertussis"",'GBD estimates'!$D$3:$D$1371=""5-14 years"")"),2.30744E-4)</f>
        <v>0.000230744</v>
      </c>
      <c r="J128" s="542">
        <f>IFERROR(__xludf.DUMMYFUNCTION("FILTER('GBD estimates'!$G$3:$G$1371,'GBD estimates'!$B$3:$B$1371=J$3,'GBD estimates'!$E$3:$E$1371=""Pertussis"",'GBD estimates'!$D$3:$D$1371=""5-14 years"")"),2.06465E-4)</f>
        <v>0.000206465</v>
      </c>
      <c r="K128" s="542">
        <f>IFERROR(__xludf.DUMMYFUNCTION("FILTER('GBD estimates'!$G$3:$G$1371,'GBD estimates'!$B$3:$B$1371=K$3,'GBD estimates'!$E$3:$E$1371=""Pertussis"",'GBD estimates'!$D$3:$D$1371=""5-14 years"")"),2.90793E-4)</f>
        <v>0.000290793</v>
      </c>
      <c r="L128" s="542">
        <f t="shared" si="16"/>
        <v>0.000172137</v>
      </c>
      <c r="M128" s="542">
        <f>IFERROR(__xludf.DUMMYFUNCTION("FILTER('GBD estimates'!$G$3:$G$1371,'GBD estimates'!$B$3:$B$1371=M$3,'GBD estimates'!$E$3:$E$1371=""Pertussis"",'GBD estimates'!$D$3:$D$1371=""5-14 years"")"),1.77755E-4)</f>
        <v>0.000177755</v>
      </c>
      <c r="N128" s="542">
        <f>IFERROR(__xludf.DUMMYFUNCTION("FILTER('GBD estimates'!$G$3:$G$1371,'GBD estimates'!$B$3:$B$1371=N$3,'GBD estimates'!$E$3:$E$1371=""Pertussis"",'GBD estimates'!$D$3:$D$1371=""5-14 years"")"),2.45196E-4)</f>
        <v>0.000245196</v>
      </c>
      <c r="O128" s="542">
        <f>IFERROR(__xludf.DUMMYFUNCTION("FILTER('GBD estimates'!$G$3:$G$1371,'GBD estimates'!$B$3:$B$1371=O$3,'GBD estimates'!$E$3:$E$1371=""Pertussis"",'GBD estimates'!$D$3:$D$1371=""5-14 years"")"),2.7482E-4)</f>
        <v>0.00027482</v>
      </c>
      <c r="P128" s="542">
        <f>IFERROR(__xludf.DUMMYFUNCTION("FILTER('GBD estimates'!$G$3:$G$1371,'GBD estimates'!$B$3:$B$1371=P$3,'GBD estimates'!$E$3:$E$1371=""Pertussis"",'GBD estimates'!$D$3:$D$1371=""5-14 years"")"),2.97079E-4)</f>
        <v>0.000297079</v>
      </c>
      <c r="Q128" s="543">
        <f>IFERROR(__xludf.DUMMYFUNCTION("FILTER('GBD estimates'!$G$3:$G$1371,'GBD estimates'!$B$3:$B$1371=Q$3,'GBD estimates'!$E$3:$E$1371=""Pertussis"",'GBD estimates'!$D$3:$D$1371=""5-14 years"")"),3.15217E-4)</f>
        <v>0.000315217</v>
      </c>
      <c r="R128" s="542">
        <f>IFERROR(__xludf.DUMMYFUNCTION("FILTER('GBD estimates'!$G$3:$G$1371,'GBD estimates'!$B$3:$B$1371=R$3,'GBD estimates'!$E$3:$E$1371=""Pertussis"",'GBD estimates'!$D$3:$D$1371=""5-14 years"")"),5.06E-5)</f>
        <v>0.0000506</v>
      </c>
      <c r="S128" s="542">
        <f>IFERROR(__xludf.DUMMYFUNCTION("FILTER('GBD estimates'!$G$3:$G$1371,'GBD estimates'!$B$3:$B$1371=S$3,'GBD estimates'!$E$3:$E$1371=""Pertussis"",'GBD estimates'!$D$3:$D$1371=""5-14 years"")"),1.28866E-4)</f>
        <v>0.000128866</v>
      </c>
      <c r="T128" s="542">
        <f>IFERROR(__xludf.DUMMYFUNCTION("FILTER('GBD estimates'!$G$3:$G$1371,'GBD estimates'!$B$3:$B$1371=T$3,'GBD estimates'!$E$3:$E$1371=""Pertussis"",'GBD estimates'!$D$3:$D$1371=""5-14 years"")"),5.64E-5)</f>
        <v>0.0000564</v>
      </c>
      <c r="U128" s="542">
        <f>IFERROR(__xludf.DUMMYFUNCTION("FILTER('GBD estimates'!$G$3:$G$1371,'GBD estimates'!$B$3:$B$1371=U$3,'GBD estimates'!$E$3:$E$1371=""Pertussis"",'GBD estimates'!$D$3:$D$1371=""5-14 years"")"),9.33E-5)</f>
        <v>0.0000933</v>
      </c>
      <c r="V128" s="542">
        <f>IFERROR(__xludf.DUMMYFUNCTION("FILTER('GBD estimates'!$G$3:$G$1371,'GBD estimates'!$B$3:$B$1371=V$3,'GBD estimates'!$E$3:$E$1371=""Pertussis"",'GBD estimates'!$D$3:$D$1371=""5-14 years"")"),1.16541E-4)</f>
        <v>0.000116541</v>
      </c>
      <c r="W128" s="542">
        <f>IFERROR(__xludf.DUMMYFUNCTION("FILTER('GBD estimates'!$G$3:$G$1371,'GBD estimates'!$B$3:$B$1371=W$3,'GBD estimates'!$E$3:$E$1371=""Pertussis"",'GBD estimates'!$D$3:$D$1371=""5-14 years"")"),8.28E-5)</f>
        <v>0.0000828</v>
      </c>
      <c r="X128" s="542">
        <f>IFERROR(__xludf.DUMMYFUNCTION("FILTER('GBD estimates'!$G$3:$G$1371,'GBD estimates'!$B$3:$B$1371=X$3,'GBD estimates'!$E$3:$E$1371=""Pertussis"",'GBD estimates'!$D$3:$D$1371=""5-14 years"")"),1.25805E-4)</f>
        <v>0.000125805</v>
      </c>
      <c r="Y128" s="542">
        <f>IFERROR(__xludf.DUMMYFUNCTION("FILTER('GBD estimates'!$G$3:$G$1371,'GBD estimates'!$B$3:$B$1371=Y$3,'GBD estimates'!$E$3:$E$1371=""Pertussis"",'GBD estimates'!$D$3:$D$1371=""5-14 years"")"),5.94E-5)</f>
        <v>0.0000594</v>
      </c>
      <c r="Z128" s="542">
        <f>IFERROR(__xludf.DUMMYFUNCTION("FILTER('GBD estimates'!$G$3:$G$1371,'GBD estimates'!$B$3:$B$1371=Z$3,'GBD estimates'!$E$3:$E$1371=""Pertussis"",'GBD estimates'!$D$3:$D$1371=""5-14 years"")"),7.84E-5)</f>
        <v>0.0000784</v>
      </c>
      <c r="AA128" s="542">
        <f>IFERROR(__xludf.DUMMYFUNCTION("FILTER('GBD estimates'!$G$3:$G$1371,'GBD estimates'!$B$3:$B$1371=AA$3,'GBD estimates'!$E$3:$E$1371=""Pertussis"",'GBD estimates'!$D$3:$D$1371=""5-14 years"")"),7.19E-5)</f>
        <v>0.0000719</v>
      </c>
      <c r="AB128" s="542">
        <f>IFERROR(__xludf.DUMMYFUNCTION("FILTER('GBD estimates'!$G$3:$G$1371,'GBD estimates'!$B$3:$B$1371=AB$3,'GBD estimates'!$E$3:$E$1371=""Pertussis"",'GBD estimates'!$D$3:$D$1371=""5-14 years"")"),4.67E-5)</f>
        <v>0.0000467</v>
      </c>
      <c r="AC128" s="542">
        <f>IFERROR(__xludf.DUMMYFUNCTION("FILTER('GBD estimates'!$G$3:$G$1371,'GBD estimates'!$B$3:$B$1371=AC$3,'GBD estimates'!$E$3:$E$1371=""Pertussis"",'GBD estimates'!$D$3:$D$1371=""5-14 years"")"),3.46E-5)</f>
        <v>0.0000346</v>
      </c>
      <c r="AD128" s="542">
        <f>IFERROR(__xludf.DUMMYFUNCTION("FILTER('GBD estimates'!$G$3:$G$1371,'GBD estimates'!$B$3:$B$1371=AD$3,'GBD estimates'!$E$3:$E$1371=""Pertussis"",'GBD estimates'!$D$3:$D$1371=""5-14 years"")"),4.08E-5)</f>
        <v>0.0000408</v>
      </c>
      <c r="AE128" s="542">
        <f>IFERROR(__xludf.DUMMYFUNCTION("FILTER('GBD estimates'!$G$3:$G$1371,'GBD estimates'!$B$3:$B$1371=AE$3,'GBD estimates'!$E$3:$E$1371=""Pertussis"",'GBD estimates'!$D$3:$D$1371=""5-14 years"")"),5.01E-5)</f>
        <v>0.0000501</v>
      </c>
      <c r="AF128" s="542">
        <f>IFERROR(__xludf.DUMMYFUNCTION("FILTER('GBD estimates'!$G$3:$G$1371,'GBD estimates'!$B$3:$B$1371=AF$3,'GBD estimates'!$E$3:$E$1371=""Pertussis"",'GBD estimates'!$D$3:$D$1371=""5-14 years"")"),3.0E-5)</f>
        <v>0.00003</v>
      </c>
      <c r="AG128" s="542">
        <f>IFERROR(__xludf.DUMMYFUNCTION("FILTER('GBD estimates'!$G$3:$G$1371,'GBD estimates'!$B$3:$B$1371=AG$3,'GBD estimates'!$E$3:$E$1371=""Pertussis"",'GBD estimates'!$D$3:$D$1371=""5-14 years"")"),1.72137E-4)</f>
        <v>0.000172137</v>
      </c>
      <c r="AH128" s="542">
        <f>IFERROR(__xludf.DUMMYFUNCTION("FILTER('GBD estimates'!$G$3:$G$1371,'GBD estimates'!$B$3:$B$1371=AH$3,'GBD estimates'!$E$3:$E$1371=""Pertussis"",'GBD estimates'!$D$3:$D$1371=""5-14 years"")"),2.07429E-4)</f>
        <v>0.000207429</v>
      </c>
      <c r="AI128" s="542">
        <f>IFERROR(__xludf.DUMMYFUNCTION("FILTER('GBD estimates'!$G$3:$G$1371,'GBD estimates'!$B$3:$B$1371=AI$3,'GBD estimates'!$E$3:$E$1371=""Pertussis"",'GBD estimates'!$D$3:$D$1371=""5-14 years"")"),7.59E-5)</f>
        <v>0.0000759</v>
      </c>
      <c r="AJ128" s="542">
        <f>IFERROR(__xludf.DUMMYFUNCTION("FILTER('GBD estimates'!$G$3:$G$1371,'GBD estimates'!$B$3:$B$1371=AJ$3,'GBD estimates'!$E$3:$E$1371=""Pertussis"",'GBD estimates'!$D$3:$D$1371=""5-14 years"")"),2.91E-5)</f>
        <v>0.0000291</v>
      </c>
      <c r="AK128" s="542">
        <f>IFERROR(__xludf.DUMMYFUNCTION("FILTER('GBD estimates'!$G$3:$G$1371,'GBD estimates'!$B$3:$B$1371=AK$3,'GBD estimates'!$E$3:$E$1371=""Pertussis"",'GBD estimates'!$D$3:$D$1371=""5-14 years"")"),1.08955E-4)</f>
        <v>0.000108955</v>
      </c>
      <c r="AL128" s="542">
        <f>IFERROR(__xludf.DUMMYFUNCTION("FILTER('GBD estimates'!$G$3:$G$1371,'GBD estimates'!$B$3:$B$1371=AL$3,'GBD estimates'!$E$3:$E$1371=""Pertussis"",'GBD estimates'!$D$3:$D$1371=""5-14 years"")"),1.39744E-4)</f>
        <v>0.000139744</v>
      </c>
      <c r="AM128" s="542">
        <f t="shared" ref="AM128:AN128" si="17">AL128</f>
        <v>0.000139744</v>
      </c>
      <c r="AN128" s="542">
        <f t="shared" si="17"/>
        <v>0.000139744</v>
      </c>
      <c r="AO128" s="542">
        <f>IFERROR(__xludf.DUMMYFUNCTION("FILTER('GBD estimates'!$G$3:$G$1371,'GBD estimates'!$B$3:$B$1371=AO$3,'GBD estimates'!$E$3:$E$1371=""Pertussis"",'GBD estimates'!$D$3:$D$1371=""5-14 years"")"),6.64E-5)</f>
        <v>0.0000664</v>
      </c>
      <c r="AP128" s="542">
        <f>IFERROR(__xludf.DUMMYFUNCTION("FILTER('GBD estimates'!$G$3:$G$1371,'GBD estimates'!$B$3:$B$1371=AP$3,'GBD estimates'!$E$3:$E$1371=""Pertussis"",'GBD estimates'!$D$3:$D$1371=""5-14 years"")"),5.5E-5)</f>
        <v>0.000055</v>
      </c>
      <c r="AQ128" s="542">
        <f>IFERROR(__xludf.DUMMYFUNCTION("FILTER('GBD estimates'!$G$3:$G$1371,'GBD estimates'!$B$3:$B$1371=AQ$3,'GBD estimates'!$E$3:$E$1371=""Pertussis"",'GBD estimates'!$D$3:$D$1371=""5-14 years"")"),2.99E-5)</f>
        <v>0.0000299</v>
      </c>
      <c r="AR128" s="542">
        <f>IFERROR(__xludf.DUMMYFUNCTION("FILTER('GBD estimates'!$G$3:$G$1371,'GBD estimates'!$B$3:$B$1371=AR$3,'GBD estimates'!$E$3:$E$1371=""Pertussis"",'GBD estimates'!$D$3:$D$1371=""5-14 years"")"),7.09E-5)</f>
        <v>0.0000709</v>
      </c>
      <c r="AS128" s="542">
        <f>IFERROR(__xludf.DUMMYFUNCTION("FILTER('GBD estimates'!$G$3:$G$1371,'GBD estimates'!$B$3:$B$1371=AS$3,'GBD estimates'!$E$3:$E$1371=""Pertussis"",'GBD estimates'!$D$3:$D$1371=""5-14 years"")"),7.02E-5)</f>
        <v>0.0000702</v>
      </c>
      <c r="AT128" s="542">
        <f>IFERROR(__xludf.DUMMYFUNCTION("FILTER('GBD estimates'!$G$3:$G$1371,'GBD estimates'!$B$3:$B$1371=AT$3,'GBD estimates'!$E$3:$E$1371=""Pertussis"",'GBD estimates'!$D$3:$D$1371=""5-14 years"")"),5.5E-5)</f>
        <v>0.000055</v>
      </c>
      <c r="AU128" s="542">
        <f>IFERROR(__xludf.DUMMYFUNCTION("FILTER('GBD estimates'!$G$3:$G$1371,'GBD estimates'!$B$3:$B$1371=AU$3,'GBD estimates'!$E$3:$E$1371=""Pertussis"",'GBD estimates'!$D$3:$D$1371=""5-14 years"")"),1.46813E-4)</f>
        <v>0.000146813</v>
      </c>
      <c r="AV128" s="542">
        <f>IFERROR(__xludf.DUMMYFUNCTION("FILTER('GBD estimates'!$G$3:$G$1371,'GBD estimates'!$B$3:$B$1371=AV$3,'GBD estimates'!$E$3:$E$1371=""Pertussis"",'GBD estimates'!$D$3:$D$1371=""5-14 years"")"),1.87811E-4)</f>
        <v>0.000187811</v>
      </c>
      <c r="AW128" s="788"/>
      <c r="AX128" s="798" t="s">
        <v>999</v>
      </c>
      <c r="AY128" s="790"/>
    </row>
    <row r="129">
      <c r="A129" s="776"/>
      <c r="B129" s="538"/>
      <c r="C129" s="538"/>
      <c r="D129" s="538"/>
      <c r="E129" s="475" t="s">
        <v>556</v>
      </c>
      <c r="F129" s="554" t="s">
        <v>72</v>
      </c>
      <c r="G129" s="555" t="s">
        <v>165</v>
      </c>
      <c r="H129" s="811" t="s">
        <v>162</v>
      </c>
      <c r="I129" s="542">
        <f>IFERROR(__xludf.DUMMYFUNCTION("FILTER('GBD estimates'!$G$3:$G$1371,'GBD estimates'!$B$3:$B$1371=I$3,'GBD estimates'!$E$3:$E$1371=""Pertussis"",'GBD estimates'!$D$3:$D$1371=""15-49 years"")"),4.74E-5)</f>
        <v>0.0000474</v>
      </c>
      <c r="J129" s="542">
        <f>IFERROR(__xludf.DUMMYFUNCTION("FILTER('GBD estimates'!$G$3:$G$1371,'GBD estimates'!$B$3:$B$1371=J$3,'GBD estimates'!$E$3:$E$1371=""Pertussis"",'GBD estimates'!$D$3:$D$1371=""15-49 years"")"),3.78E-5)</f>
        <v>0.0000378</v>
      </c>
      <c r="K129" s="542">
        <f>IFERROR(__xludf.DUMMYFUNCTION("FILTER('GBD estimates'!$G$3:$G$1371,'GBD estimates'!$B$3:$B$1371=K$3,'GBD estimates'!$E$3:$E$1371=""Pertussis"",'GBD estimates'!$D$3:$D$1371=""15-49 years"")"),6.91E-5)</f>
        <v>0.0000691</v>
      </c>
      <c r="L129" s="542">
        <f t="shared" si="16"/>
        <v>0.0000312</v>
      </c>
      <c r="M129" s="542">
        <f>IFERROR(__xludf.DUMMYFUNCTION("FILTER('GBD estimates'!$G$3:$G$1371,'GBD estimates'!$B$3:$B$1371=M$3,'GBD estimates'!$E$3:$E$1371=""Pertussis"",'GBD estimates'!$D$3:$D$1371=""15-49 years"")"),3.37E-5)</f>
        <v>0.0000337</v>
      </c>
      <c r="N129" s="542">
        <f>IFERROR(__xludf.DUMMYFUNCTION("FILTER('GBD estimates'!$G$3:$G$1371,'GBD estimates'!$B$3:$B$1371=N$3,'GBD estimates'!$E$3:$E$1371=""Pertussis"",'GBD estimates'!$D$3:$D$1371=""15-49 years"")"),5.12E-5)</f>
        <v>0.0000512</v>
      </c>
      <c r="O129" s="542">
        <f>IFERROR(__xludf.DUMMYFUNCTION("FILTER('GBD estimates'!$G$3:$G$1371,'GBD estimates'!$B$3:$B$1371=O$3,'GBD estimates'!$E$3:$E$1371=""Pertussis"",'GBD estimates'!$D$3:$D$1371=""15-49 years"")"),5.8E-5)</f>
        <v>0.000058</v>
      </c>
      <c r="P129" s="542">
        <f>IFERROR(__xludf.DUMMYFUNCTION("FILTER('GBD estimates'!$G$3:$G$1371,'GBD estimates'!$B$3:$B$1371=P$3,'GBD estimates'!$E$3:$E$1371=""Pertussis"",'GBD estimates'!$D$3:$D$1371=""15-49 years"")"),6.76E-5)</f>
        <v>0.0000676</v>
      </c>
      <c r="Q129" s="543">
        <f>IFERROR(__xludf.DUMMYFUNCTION("FILTER('GBD estimates'!$G$3:$G$1371,'GBD estimates'!$B$3:$B$1371=Q$3,'GBD estimates'!$E$3:$E$1371=""Pertussis"",'GBD estimates'!$D$3:$D$1371=""15-49 years"")"),6.69E-5)</f>
        <v>0.0000669</v>
      </c>
      <c r="R129" s="542">
        <f>IFERROR(__xludf.DUMMYFUNCTION("FILTER('GBD estimates'!$G$3:$G$1371,'GBD estimates'!$B$3:$B$1371=R$3,'GBD estimates'!$E$3:$E$1371=""Pertussis"",'GBD estimates'!$D$3:$D$1371=""15-49 years"")"),1.07E-5)</f>
        <v>0.0000107</v>
      </c>
      <c r="S129" s="542">
        <f>IFERROR(__xludf.DUMMYFUNCTION("FILTER('GBD estimates'!$G$3:$G$1371,'GBD estimates'!$B$3:$B$1371=S$3,'GBD estimates'!$E$3:$E$1371=""Pertussis"",'GBD estimates'!$D$3:$D$1371=""15-49 years"")"),2.92E-5)</f>
        <v>0.0000292</v>
      </c>
      <c r="T129" s="542">
        <f>IFERROR(__xludf.DUMMYFUNCTION("FILTER('GBD estimates'!$G$3:$G$1371,'GBD estimates'!$B$3:$B$1371=T$3,'GBD estimates'!$E$3:$E$1371=""Pertussis"",'GBD estimates'!$D$3:$D$1371=""15-49 years"")"),1.4E-5)</f>
        <v>0.000014</v>
      </c>
      <c r="U129" s="542">
        <f>IFERROR(__xludf.DUMMYFUNCTION("FILTER('GBD estimates'!$G$3:$G$1371,'GBD estimates'!$B$3:$B$1371=U$3,'GBD estimates'!$E$3:$E$1371=""Pertussis"",'GBD estimates'!$D$3:$D$1371=""15-49 years"")"),2.08E-5)</f>
        <v>0.0000208</v>
      </c>
      <c r="V129" s="542">
        <f>IFERROR(__xludf.DUMMYFUNCTION("FILTER('GBD estimates'!$G$3:$G$1371,'GBD estimates'!$B$3:$B$1371=V$3,'GBD estimates'!$E$3:$E$1371=""Pertussis"",'GBD estimates'!$D$3:$D$1371=""15-49 years"")"),3.01E-5)</f>
        <v>0.0000301</v>
      </c>
      <c r="W129" s="542">
        <f>IFERROR(__xludf.DUMMYFUNCTION("FILTER('GBD estimates'!$G$3:$G$1371,'GBD estimates'!$B$3:$B$1371=W$3,'GBD estimates'!$E$3:$E$1371=""Pertussis"",'GBD estimates'!$D$3:$D$1371=""15-49 years"")"),2.31E-5)</f>
        <v>0.0000231</v>
      </c>
      <c r="X129" s="542">
        <f>IFERROR(__xludf.DUMMYFUNCTION("FILTER('GBD estimates'!$G$3:$G$1371,'GBD estimates'!$B$3:$B$1371=X$3,'GBD estimates'!$E$3:$E$1371=""Pertussis"",'GBD estimates'!$D$3:$D$1371=""15-49 years"")"),3.33E-5)</f>
        <v>0.0000333</v>
      </c>
      <c r="Y129" s="542">
        <f>IFERROR(__xludf.DUMMYFUNCTION("FILTER('GBD estimates'!$G$3:$G$1371,'GBD estimates'!$B$3:$B$1371=Y$3,'GBD estimates'!$E$3:$E$1371=""Pertussis"",'GBD estimates'!$D$3:$D$1371=""15-49 years"")"),1.53E-5)</f>
        <v>0.0000153</v>
      </c>
      <c r="Z129" s="542">
        <f>IFERROR(__xludf.DUMMYFUNCTION("FILTER('GBD estimates'!$G$3:$G$1371,'GBD estimates'!$B$3:$B$1371=Z$3,'GBD estimates'!$E$3:$E$1371=""Pertussis"",'GBD estimates'!$D$3:$D$1371=""15-49 years"")"),1.7E-5)</f>
        <v>0.000017</v>
      </c>
      <c r="AA129" s="542">
        <f>IFERROR(__xludf.DUMMYFUNCTION("FILTER('GBD estimates'!$G$3:$G$1371,'GBD estimates'!$B$3:$B$1371=AA$3,'GBD estimates'!$E$3:$E$1371=""Pertussis"",'GBD estimates'!$D$3:$D$1371=""15-49 years"")"),1.64E-5)</f>
        <v>0.0000164</v>
      </c>
      <c r="AB129" s="542">
        <f>IFERROR(__xludf.DUMMYFUNCTION("FILTER('GBD estimates'!$G$3:$G$1371,'GBD estimates'!$B$3:$B$1371=AB$3,'GBD estimates'!$E$3:$E$1371=""Pertussis"",'GBD estimates'!$D$3:$D$1371=""15-49 years"")"),1.04E-5)</f>
        <v>0.0000104</v>
      </c>
      <c r="AC129" s="542">
        <f>IFERROR(__xludf.DUMMYFUNCTION("FILTER('GBD estimates'!$G$3:$G$1371,'GBD estimates'!$B$3:$B$1371=AC$3,'GBD estimates'!$E$3:$E$1371=""Pertussis"",'GBD estimates'!$D$3:$D$1371=""15-49 years"")"),7.72E-6)</f>
        <v>0.00000772</v>
      </c>
      <c r="AD129" s="542">
        <f>IFERROR(__xludf.DUMMYFUNCTION("FILTER('GBD estimates'!$G$3:$G$1371,'GBD estimates'!$B$3:$B$1371=AD$3,'GBD estimates'!$E$3:$E$1371=""Pertussis"",'GBD estimates'!$D$3:$D$1371=""15-49 years"")"),1.11E-5)</f>
        <v>0.0000111</v>
      </c>
      <c r="AE129" s="542">
        <f>IFERROR(__xludf.DUMMYFUNCTION("FILTER('GBD estimates'!$G$3:$G$1371,'GBD estimates'!$B$3:$B$1371=AE$3,'GBD estimates'!$E$3:$E$1371=""Pertussis"",'GBD estimates'!$D$3:$D$1371=""15-49 years"")"),1.12E-5)</f>
        <v>0.0000112</v>
      </c>
      <c r="AF129" s="542">
        <f>IFERROR(__xludf.DUMMYFUNCTION("FILTER('GBD estimates'!$G$3:$G$1371,'GBD estimates'!$B$3:$B$1371=AF$3,'GBD estimates'!$E$3:$E$1371=""Pertussis"",'GBD estimates'!$D$3:$D$1371=""15-49 years"")"),7.78E-6)</f>
        <v>0.00000778</v>
      </c>
      <c r="AG129" s="542">
        <f>IFERROR(__xludf.DUMMYFUNCTION("FILTER('GBD estimates'!$G$3:$G$1371,'GBD estimates'!$B$3:$B$1371=AG$3,'GBD estimates'!$E$3:$E$1371=""Pertussis"",'GBD estimates'!$D$3:$D$1371=""15-49 years"")"),3.12E-5)</f>
        <v>0.0000312</v>
      </c>
      <c r="AH129" s="542">
        <f>IFERROR(__xludf.DUMMYFUNCTION("FILTER('GBD estimates'!$G$3:$G$1371,'GBD estimates'!$B$3:$B$1371=AH$3,'GBD estimates'!$E$3:$E$1371=""Pertussis"",'GBD estimates'!$D$3:$D$1371=""15-49 years"")"),4.61E-5)</f>
        <v>0.0000461</v>
      </c>
      <c r="AI129" s="542">
        <f>IFERROR(__xludf.DUMMYFUNCTION("FILTER('GBD estimates'!$G$3:$G$1371,'GBD estimates'!$B$3:$B$1371=AI$3,'GBD estimates'!$E$3:$E$1371=""Pertussis"",'GBD estimates'!$D$3:$D$1371=""15-49 years"")"),1.74E-5)</f>
        <v>0.0000174</v>
      </c>
      <c r="AJ129" s="542">
        <f>IFERROR(__xludf.DUMMYFUNCTION("FILTER('GBD estimates'!$G$3:$G$1371,'GBD estimates'!$B$3:$B$1371=AJ$3,'GBD estimates'!$E$3:$E$1371=""Pertussis"",'GBD estimates'!$D$3:$D$1371=""15-49 years"")"),6.99E-6)</f>
        <v>0.00000699</v>
      </c>
      <c r="AK129" s="542">
        <f>IFERROR(__xludf.DUMMYFUNCTION("FILTER('GBD estimates'!$G$3:$G$1371,'GBD estimates'!$B$3:$B$1371=AK$3,'GBD estimates'!$E$3:$E$1371=""Pertussis"",'GBD estimates'!$D$3:$D$1371=""15-49 years"")"),2.56E-5)</f>
        <v>0.0000256</v>
      </c>
      <c r="AL129" s="542">
        <f>IFERROR(__xludf.DUMMYFUNCTION("FILTER('GBD estimates'!$G$3:$G$1371,'GBD estimates'!$B$3:$B$1371=AL$3,'GBD estimates'!$E$3:$E$1371=""Pertussis"",'GBD estimates'!$D$3:$D$1371=""15-49 years"")"),3.68E-5)</f>
        <v>0.0000368</v>
      </c>
      <c r="AM129" s="542">
        <f t="shared" ref="AM129:AN129" si="18">AL129</f>
        <v>0.0000368</v>
      </c>
      <c r="AN129" s="542">
        <f t="shared" si="18"/>
        <v>0.0000368</v>
      </c>
      <c r="AO129" s="542">
        <f>IFERROR(__xludf.DUMMYFUNCTION("FILTER('GBD estimates'!$G$3:$G$1371,'GBD estimates'!$B$3:$B$1371=AO$3,'GBD estimates'!$E$3:$E$1371=""Pertussis"",'GBD estimates'!$D$3:$D$1371=""15-49 years"")"),1.91E-5)</f>
        <v>0.0000191</v>
      </c>
      <c r="AP129" s="542">
        <f>IFERROR(__xludf.DUMMYFUNCTION("FILTER('GBD estimates'!$G$3:$G$1371,'GBD estimates'!$B$3:$B$1371=AP$3,'GBD estimates'!$E$3:$E$1371=""Pertussis"",'GBD estimates'!$D$3:$D$1371=""15-49 years"")"),1.23E-5)</f>
        <v>0.0000123</v>
      </c>
      <c r="AQ129" s="542">
        <f>IFERROR(__xludf.DUMMYFUNCTION("FILTER('GBD estimates'!$G$3:$G$1371,'GBD estimates'!$B$3:$B$1371=AQ$3,'GBD estimates'!$E$3:$E$1371=""Pertussis"",'GBD estimates'!$D$3:$D$1371=""15-49 years"")"),7.68E-6)</f>
        <v>0.00000768</v>
      </c>
      <c r="AR129" s="542">
        <f>IFERROR(__xludf.DUMMYFUNCTION("FILTER('GBD estimates'!$G$3:$G$1371,'GBD estimates'!$B$3:$B$1371=AR$3,'GBD estimates'!$E$3:$E$1371=""Pertussis"",'GBD estimates'!$D$3:$D$1371=""15-49 years"")"),1.7E-5)</f>
        <v>0.000017</v>
      </c>
      <c r="AS129" s="542">
        <f>IFERROR(__xludf.DUMMYFUNCTION("FILTER('GBD estimates'!$G$3:$G$1371,'GBD estimates'!$B$3:$B$1371=AS$3,'GBD estimates'!$E$3:$E$1371=""Pertussis"",'GBD estimates'!$D$3:$D$1371=""15-49 years"")"),1.81E-5)</f>
        <v>0.0000181</v>
      </c>
      <c r="AT129" s="542">
        <f>IFERROR(__xludf.DUMMYFUNCTION("FILTER('GBD estimates'!$G$3:$G$1371,'GBD estimates'!$B$3:$B$1371=AT$3,'GBD estimates'!$E$3:$E$1371=""Pertussis"",'GBD estimates'!$D$3:$D$1371=""15-49 years"")"),1.23E-5)</f>
        <v>0.0000123</v>
      </c>
      <c r="AU129" s="542">
        <f>IFERROR(__xludf.DUMMYFUNCTION("FILTER('GBD estimates'!$G$3:$G$1371,'GBD estimates'!$B$3:$B$1371=AU$3,'GBD estimates'!$E$3:$E$1371=""Pertussis"",'GBD estimates'!$D$3:$D$1371=""15-49 years"")"),3.29E-5)</f>
        <v>0.0000329</v>
      </c>
      <c r="AV129" s="542">
        <f>IFERROR(__xludf.DUMMYFUNCTION("FILTER('GBD estimates'!$G$3:$G$1371,'GBD estimates'!$B$3:$B$1371=AV$3,'GBD estimates'!$E$3:$E$1371=""Pertussis"",'GBD estimates'!$D$3:$D$1371=""15-49 years"")"),5.25E-5)</f>
        <v>0.0000525</v>
      </c>
      <c r="AW129" s="788"/>
      <c r="AX129" s="798" t="s">
        <v>999</v>
      </c>
      <c r="AY129" s="790"/>
    </row>
    <row r="130">
      <c r="A130" s="776"/>
      <c r="B130" s="538"/>
      <c r="C130" s="538"/>
      <c r="D130" s="538"/>
      <c r="E130" s="475" t="s">
        <v>557</v>
      </c>
      <c r="F130" s="554" t="s">
        <v>72</v>
      </c>
      <c r="G130" s="555" t="s">
        <v>165</v>
      </c>
      <c r="H130" s="811" t="s">
        <v>162</v>
      </c>
      <c r="I130" s="542">
        <f>IFERROR(__xludf.DUMMYFUNCTION("FILTER('GBD estimates'!$G$3:$G$1371,'GBD estimates'!$B$3:$B$1371=I$3,'GBD estimates'!$E$3:$E$1371=""Pertussis"",'GBD estimates'!$D$3:$D$1371=""50 to 74 years"")"),4.66E-5)</f>
        <v>0.0000466</v>
      </c>
      <c r="J130" s="542">
        <f>IFERROR(__xludf.DUMMYFUNCTION("FILTER('GBD estimates'!$G$3:$G$1371,'GBD estimates'!$B$3:$B$1371=J$3,'GBD estimates'!$E$3:$E$1371=""Pertussis"",'GBD estimates'!$D$3:$D$1371=""50 to 74 years"")"),3.85E-5)</f>
        <v>0.0000385</v>
      </c>
      <c r="K130" s="542">
        <f>IFERROR(__xludf.DUMMYFUNCTION("FILTER('GBD estimates'!$G$3:$G$1371,'GBD estimates'!$B$3:$B$1371=K$3,'GBD estimates'!$E$3:$E$1371=""Pertussis"",'GBD estimates'!$D$3:$D$1371=""50 to 74 years"")"),5.41E-5)</f>
        <v>0.0000541</v>
      </c>
      <c r="L130" s="542">
        <f t="shared" si="16"/>
        <v>0.0000293</v>
      </c>
      <c r="M130" s="542">
        <f>IFERROR(__xludf.DUMMYFUNCTION("FILTER('GBD estimates'!$G$3:$G$1371,'GBD estimates'!$B$3:$B$1371=M$3,'GBD estimates'!$E$3:$E$1371=""Pertussis"",'GBD estimates'!$D$3:$D$1371=""50 to 74 years"")"),3.67E-5)</f>
        <v>0.0000367</v>
      </c>
      <c r="N130" s="542">
        <f>IFERROR(__xludf.DUMMYFUNCTION("FILTER('GBD estimates'!$G$3:$G$1371,'GBD estimates'!$B$3:$B$1371=N$3,'GBD estimates'!$E$3:$E$1371=""Pertussis"",'GBD estimates'!$D$3:$D$1371=""50 to 74 years"")"),4.68E-5)</f>
        <v>0.0000468</v>
      </c>
      <c r="O130" s="542">
        <f>IFERROR(__xludf.DUMMYFUNCTION("FILTER('GBD estimates'!$G$3:$G$1371,'GBD estimates'!$B$3:$B$1371=O$3,'GBD estimates'!$E$3:$E$1371=""Pertussis"",'GBD estimates'!$D$3:$D$1371=""50 to 74 years"")"),5.17E-5)</f>
        <v>0.0000517</v>
      </c>
      <c r="P130" s="542">
        <f>IFERROR(__xludf.DUMMYFUNCTION("FILTER('GBD estimates'!$G$3:$G$1371,'GBD estimates'!$B$3:$B$1371=P$3,'GBD estimates'!$E$3:$E$1371=""Pertussis"",'GBD estimates'!$D$3:$D$1371=""50 to 74 years"")"),6.07E-5)</f>
        <v>0.0000607</v>
      </c>
      <c r="Q130" s="543">
        <f>IFERROR(__xludf.DUMMYFUNCTION("FILTER('GBD estimates'!$G$3:$G$1371,'GBD estimates'!$B$3:$B$1371=Q$3,'GBD estimates'!$E$3:$E$1371=""Pertussis"",'GBD estimates'!$D$3:$D$1371=""50 to 74 years"")"),5.99E-5)</f>
        <v>0.0000599</v>
      </c>
      <c r="R130" s="542">
        <f>IFERROR(__xludf.DUMMYFUNCTION("FILTER('GBD estimates'!$G$3:$G$1371,'GBD estimates'!$B$3:$B$1371=R$3,'GBD estimates'!$E$3:$E$1371=""Pertussis"",'GBD estimates'!$D$3:$D$1371=""50 to 74 years"")"),7.78E-6)</f>
        <v>0.00000778</v>
      </c>
      <c r="S130" s="542">
        <f>IFERROR(__xludf.DUMMYFUNCTION("FILTER('GBD estimates'!$G$3:$G$1371,'GBD estimates'!$B$3:$B$1371=S$3,'GBD estimates'!$E$3:$E$1371=""Pertussis"",'GBD estimates'!$D$3:$D$1371=""50 to 74 years"")"),2.21E-5)</f>
        <v>0.0000221</v>
      </c>
      <c r="T130" s="542">
        <f>IFERROR(__xludf.DUMMYFUNCTION("FILTER('GBD estimates'!$G$3:$G$1371,'GBD estimates'!$B$3:$B$1371=T$3,'GBD estimates'!$E$3:$E$1371=""Pertussis"",'GBD estimates'!$D$3:$D$1371=""50 to 74 years"")"),9.84E-6)</f>
        <v>0.00000984</v>
      </c>
      <c r="U130" s="542">
        <f>IFERROR(__xludf.DUMMYFUNCTION("FILTER('GBD estimates'!$G$3:$G$1371,'GBD estimates'!$B$3:$B$1371=U$3,'GBD estimates'!$E$3:$E$1371=""Pertussis"",'GBD estimates'!$D$3:$D$1371=""50 to 74 years"")"),1.33E-5)</f>
        <v>0.0000133</v>
      </c>
      <c r="V130" s="542">
        <f>IFERROR(__xludf.DUMMYFUNCTION("FILTER('GBD estimates'!$G$3:$G$1371,'GBD estimates'!$B$3:$B$1371=V$3,'GBD estimates'!$E$3:$E$1371=""Pertussis"",'GBD estimates'!$D$3:$D$1371=""50 to 74 years"")"),1.89E-5)</f>
        <v>0.0000189</v>
      </c>
      <c r="W130" s="542">
        <f>IFERROR(__xludf.DUMMYFUNCTION("FILTER('GBD estimates'!$G$3:$G$1371,'GBD estimates'!$B$3:$B$1371=W$3,'GBD estimates'!$E$3:$E$1371=""Pertussis"",'GBD estimates'!$D$3:$D$1371=""50 to 74 years"")"),1.42E-5)</f>
        <v>0.0000142</v>
      </c>
      <c r="X130" s="542">
        <f>IFERROR(__xludf.DUMMYFUNCTION("FILTER('GBD estimates'!$G$3:$G$1371,'GBD estimates'!$B$3:$B$1371=X$3,'GBD estimates'!$E$3:$E$1371=""Pertussis"",'GBD estimates'!$D$3:$D$1371=""50 to 74 years"")"),2.91E-5)</f>
        <v>0.0000291</v>
      </c>
      <c r="Y130" s="542">
        <f>IFERROR(__xludf.DUMMYFUNCTION("FILTER('GBD estimates'!$G$3:$G$1371,'GBD estimates'!$B$3:$B$1371=Y$3,'GBD estimates'!$E$3:$E$1371=""Pertussis"",'GBD estimates'!$D$3:$D$1371=""50 to 74 years"")"),1.0E-5)</f>
        <v>0.00001</v>
      </c>
      <c r="Z130" s="542">
        <f>IFERROR(__xludf.DUMMYFUNCTION("FILTER('GBD estimates'!$G$3:$G$1371,'GBD estimates'!$B$3:$B$1371=Z$3,'GBD estimates'!$E$3:$E$1371=""Pertussis"",'GBD estimates'!$D$3:$D$1371=""50 to 74 years"")"),1.16E-5)</f>
        <v>0.0000116</v>
      </c>
      <c r="AA130" s="542">
        <f>IFERROR(__xludf.DUMMYFUNCTION("FILTER('GBD estimates'!$G$3:$G$1371,'GBD estimates'!$B$3:$B$1371=AA$3,'GBD estimates'!$E$3:$E$1371=""Pertussis"",'GBD estimates'!$D$3:$D$1371=""50 to 74 years"")"),1.1E-5)</f>
        <v>0.000011</v>
      </c>
      <c r="AB130" s="542">
        <f>IFERROR(__xludf.DUMMYFUNCTION("FILTER('GBD estimates'!$G$3:$G$1371,'GBD estimates'!$B$3:$B$1371=AB$3,'GBD estimates'!$E$3:$E$1371=""Pertussis"",'GBD estimates'!$D$3:$D$1371=""50 to 74 years"")"),8.02E-6)</f>
        <v>0.00000802</v>
      </c>
      <c r="AC130" s="542">
        <f>IFERROR(__xludf.DUMMYFUNCTION("FILTER('GBD estimates'!$G$3:$G$1371,'GBD estimates'!$B$3:$B$1371=AC$3,'GBD estimates'!$E$3:$E$1371=""Pertussis"",'GBD estimates'!$D$3:$D$1371=""50 to 74 years"")"),5.39E-6)</f>
        <v>0.00000539</v>
      </c>
      <c r="AD130" s="542">
        <f>IFERROR(__xludf.DUMMYFUNCTION("FILTER('GBD estimates'!$G$3:$G$1371,'GBD estimates'!$B$3:$B$1371=AD$3,'GBD estimates'!$E$3:$E$1371=""Pertussis"",'GBD estimates'!$D$3:$D$1371=""50 to 74 years"")"),7.3E-6)</f>
        <v>0.0000073</v>
      </c>
      <c r="AE130" s="542">
        <f>IFERROR(__xludf.DUMMYFUNCTION("FILTER('GBD estimates'!$G$3:$G$1371,'GBD estimates'!$B$3:$B$1371=AE$3,'GBD estimates'!$E$3:$E$1371=""Pertussis"",'GBD estimates'!$D$3:$D$1371=""50 to 74 years"")"),8.41E-6)</f>
        <v>0.00000841</v>
      </c>
      <c r="AF130" s="542">
        <f>IFERROR(__xludf.DUMMYFUNCTION("FILTER('GBD estimates'!$G$3:$G$1371,'GBD estimates'!$B$3:$B$1371=AF$3,'GBD estimates'!$E$3:$E$1371=""Pertussis"",'GBD estimates'!$D$3:$D$1371=""50 to 74 years"")"),5.45E-6)</f>
        <v>0.00000545</v>
      </c>
      <c r="AG130" s="542">
        <f>IFERROR(__xludf.DUMMYFUNCTION("FILTER('GBD estimates'!$G$3:$G$1371,'GBD estimates'!$B$3:$B$1371=AG$3,'GBD estimates'!$E$3:$E$1371=""Pertussis"",'GBD estimates'!$D$3:$D$1371=""50 to 74 years"")"),2.93E-5)</f>
        <v>0.0000293</v>
      </c>
      <c r="AH130" s="542">
        <f>IFERROR(__xludf.DUMMYFUNCTION("FILTER('GBD estimates'!$G$3:$G$1371,'GBD estimates'!$B$3:$B$1371=AH$3,'GBD estimates'!$E$3:$E$1371=""Pertussis"",'GBD estimates'!$D$3:$D$1371=""50 to 74 years"")"),2.71E-5)</f>
        <v>0.0000271</v>
      </c>
      <c r="AI130" s="542">
        <f>IFERROR(__xludf.DUMMYFUNCTION("FILTER('GBD estimates'!$G$3:$G$1371,'GBD estimates'!$B$3:$B$1371=AI$3,'GBD estimates'!$E$3:$E$1371=""Pertussis"",'GBD estimates'!$D$3:$D$1371=""50 to 74 years"")"),1.29E-5)</f>
        <v>0.0000129</v>
      </c>
      <c r="AJ130" s="542">
        <f>IFERROR(__xludf.DUMMYFUNCTION("FILTER('GBD estimates'!$G$3:$G$1371,'GBD estimates'!$B$3:$B$1371=AJ$3,'GBD estimates'!$E$3:$E$1371=""Pertussis"",'GBD estimates'!$D$3:$D$1371=""50 to 74 years"")"),5.48E-6)</f>
        <v>0.00000548</v>
      </c>
      <c r="AK130" s="542">
        <f>IFERROR(__xludf.DUMMYFUNCTION("FILTER('GBD estimates'!$G$3:$G$1371,'GBD estimates'!$B$3:$B$1371=AK$3,'GBD estimates'!$E$3:$E$1371=""Pertussis"",'GBD estimates'!$D$3:$D$1371=""50 to 74 years"")"),1.87E-5)</f>
        <v>0.0000187</v>
      </c>
      <c r="AL130" s="542">
        <f>IFERROR(__xludf.DUMMYFUNCTION("FILTER('GBD estimates'!$G$3:$G$1371,'GBD estimates'!$B$3:$B$1371=AL$3,'GBD estimates'!$E$3:$E$1371=""Pertussis"",'GBD estimates'!$D$3:$D$1371=""50 to 74 years"")"),2.96E-5)</f>
        <v>0.0000296</v>
      </c>
      <c r="AM130" s="542">
        <f t="shared" ref="AM130:AN130" si="19">AL130</f>
        <v>0.0000296</v>
      </c>
      <c r="AN130" s="542">
        <f t="shared" si="19"/>
        <v>0.0000296</v>
      </c>
      <c r="AO130" s="542">
        <f>IFERROR(__xludf.DUMMYFUNCTION("FILTER('GBD estimates'!$G$3:$G$1371,'GBD estimates'!$B$3:$B$1371=AO$3,'GBD estimates'!$E$3:$E$1371=""Pertussis"",'GBD estimates'!$D$3:$D$1371=""50 to 74 years"")"),1.28E-5)</f>
        <v>0.0000128</v>
      </c>
      <c r="AP130" s="542">
        <f>IFERROR(__xludf.DUMMYFUNCTION("FILTER('GBD estimates'!$G$3:$G$1371,'GBD estimates'!$B$3:$B$1371=AP$3,'GBD estimates'!$E$3:$E$1371=""Pertussis"",'GBD estimates'!$D$3:$D$1371=""50 to 74 years"")"),7.79E-6)</f>
        <v>0.00000779</v>
      </c>
      <c r="AQ130" s="542">
        <f>IFERROR(__xludf.DUMMYFUNCTION("FILTER('GBD estimates'!$G$3:$G$1371,'GBD estimates'!$B$3:$B$1371=AQ$3,'GBD estimates'!$E$3:$E$1371=""Pertussis"",'GBD estimates'!$D$3:$D$1371=""50 to 74 years"")"),5.38E-6)</f>
        <v>0.00000538</v>
      </c>
      <c r="AR130" s="542">
        <f>IFERROR(__xludf.DUMMYFUNCTION("FILTER('GBD estimates'!$G$3:$G$1371,'GBD estimates'!$B$3:$B$1371=AR$3,'GBD estimates'!$E$3:$E$1371=""Pertussis"",'GBD estimates'!$D$3:$D$1371=""50 to 74 years"")"),1.23E-5)</f>
        <v>0.0000123</v>
      </c>
      <c r="AS130" s="542">
        <f>IFERROR(__xludf.DUMMYFUNCTION("FILTER('GBD estimates'!$G$3:$G$1371,'GBD estimates'!$B$3:$B$1371=AS$3,'GBD estimates'!$E$3:$E$1371=""Pertussis"",'GBD estimates'!$D$3:$D$1371=""50 to 74 years"")"),1.31E-5)</f>
        <v>0.0000131</v>
      </c>
      <c r="AT130" s="542">
        <f>IFERROR(__xludf.DUMMYFUNCTION("FILTER('GBD estimates'!$G$3:$G$1371,'GBD estimates'!$B$3:$B$1371=AT$3,'GBD estimates'!$E$3:$E$1371=""Pertussis"",'GBD estimates'!$D$3:$D$1371=""50 to 74 years"")"),9.29E-6)</f>
        <v>0.00000929</v>
      </c>
      <c r="AU130" s="542">
        <f>IFERROR(__xludf.DUMMYFUNCTION("FILTER('GBD estimates'!$G$3:$G$1371,'GBD estimates'!$B$3:$B$1371=AU$3,'GBD estimates'!$E$3:$E$1371=""Pertussis"",'GBD estimates'!$D$3:$D$1371=""50 to 74 years"")"),3.27E-5)</f>
        <v>0.0000327</v>
      </c>
      <c r="AV130" s="542">
        <f>IFERROR(__xludf.DUMMYFUNCTION("FILTER('GBD estimates'!$G$3:$G$1371,'GBD estimates'!$B$3:$B$1371=AV$3,'GBD estimates'!$E$3:$E$1371=""Pertussis"",'GBD estimates'!$D$3:$D$1371=""50 to 74 years"")"),4.43E-5)</f>
        <v>0.0000443</v>
      </c>
      <c r="AW130" s="788"/>
      <c r="AX130" s="798" t="s">
        <v>999</v>
      </c>
      <c r="AY130" s="790"/>
    </row>
    <row r="131">
      <c r="A131" s="776"/>
      <c r="B131" s="538"/>
      <c r="C131" s="538"/>
      <c r="D131" s="538"/>
      <c r="E131" s="782" t="s">
        <v>559</v>
      </c>
      <c r="F131" s="539" t="s">
        <v>62</v>
      </c>
      <c r="G131" s="540" t="s">
        <v>165</v>
      </c>
      <c r="H131" s="808" t="s">
        <v>162</v>
      </c>
      <c r="I131" s="564">
        <f>IFERROR(__xludf.DUMMYFUNCTION("FILTER('GBD estimates'!$R$3:$R$1713,'GBD estimates'!$K$3:$K$1713=I$3,'GBD estimates'!$L$3:$L$1713=""Pertussis"",'GBD estimates'!$N$3:$N$1713=""Under 5"")"),540.8011157)</f>
        <v>540.8011157</v>
      </c>
      <c r="J131" s="564">
        <f>IFERROR(__xludf.DUMMYFUNCTION("FILTER('GBD estimates'!$R$3:$R$1713,'GBD estimates'!$K$3:$K$1713=J$3,'GBD estimates'!$L$3:$L$1713=""Pertussis"",'GBD estimates'!$N$3:$N$1713=""Under 5"")"),224.345146)</f>
        <v>224.345146</v>
      </c>
      <c r="K131" s="564">
        <f>IFERROR(__xludf.DUMMYFUNCTION("FILTER('GBD estimates'!$R$3:$R$1713,'GBD estimates'!$K$3:$K$1713=K$3,'GBD estimates'!$L$3:$L$1713=""Pertussis"",'GBD estimates'!$N$3:$N$1713=""Under 5"")"),530.8905851)</f>
        <v>530.8905851</v>
      </c>
      <c r="L131" s="564">
        <f t="shared" si="16"/>
        <v>467.3780154</v>
      </c>
      <c r="M131" s="564">
        <f>IFERROR(__xludf.DUMMYFUNCTION("FILTER('GBD estimates'!$R$3:$R$1713,'GBD estimates'!$K$3:$K$1713=M$3,'GBD estimates'!$L$3:$L$1713=""Pertussis"",'GBD estimates'!$N$3:$N$1713=""Under 5"")"),980.0860812)</f>
        <v>980.0860812</v>
      </c>
      <c r="N131" s="564">
        <f>IFERROR(__xludf.DUMMYFUNCTION("FILTER('GBD estimates'!$R$3:$R$1713,'GBD estimates'!$K$3:$K$1713=N$3,'GBD estimates'!$L$3:$L$1713=""Pertussis"",'GBD estimates'!$N$3:$N$1713=""Under 5"")"),788.1841524)</f>
        <v>788.1841524</v>
      </c>
      <c r="O131" s="564">
        <f>IFERROR(__xludf.DUMMYFUNCTION("FILTER('GBD estimates'!$R$3:$R$1713,'GBD estimates'!$K$3:$K$1713=O$3,'GBD estimates'!$L$3:$L$1713=""Pertussis"",'GBD estimates'!$N$3:$N$1713=""Under 5"")"),403.5331121)</f>
        <v>403.5331121</v>
      </c>
      <c r="P131" s="564">
        <f>IFERROR(__xludf.DUMMYFUNCTION("FILTER('GBD estimates'!$R$3:$R$1713,'GBD estimates'!$K$3:$K$1713=P$3,'GBD estimates'!$L$3:$L$1713=""Pertussis"",'GBD estimates'!$N$3:$N$1713=""Under 5"")"),691.8503844)</f>
        <v>691.8503844</v>
      </c>
      <c r="Q131" s="565">
        <f>IFERROR(__xludf.DUMMYFUNCTION("FILTER('GBD estimates'!$R$3:$R$1713,'GBD estimates'!$K$3:$K$1713=Q$3,'GBD estimates'!$L$3:$L$1713=""Pertussis"",'GBD estimates'!$N$3:$N$1713=""Under 5"")"),441.3439874)</f>
        <v>441.3439874</v>
      </c>
      <c r="R131" s="564">
        <f>IFERROR(__xludf.DUMMYFUNCTION("FILTER('GBD estimates'!$R$3:$R$1713,'GBD estimates'!$K$3:$K$1713=R$3,'GBD estimates'!$L$3:$L$1713=""Pertussis"",'GBD estimates'!$N$3:$N$1713=""Under 5"")"),45.51206907)</f>
        <v>45.51206907</v>
      </c>
      <c r="S131" s="564">
        <f>IFERROR(__xludf.DUMMYFUNCTION("FILTER('GBD estimates'!$R$3:$R$1713,'GBD estimates'!$K$3:$K$1713=S$3,'GBD estimates'!$L$3:$L$1713=""Pertussis"",'GBD estimates'!$N$3:$N$1713=""Under 5"")"),119.6846827)</f>
        <v>119.6846827</v>
      </c>
      <c r="T131" s="564">
        <f>IFERROR(__xludf.DUMMYFUNCTION("FILTER('GBD estimates'!$R$3:$R$1713,'GBD estimates'!$K$3:$K$1713=T$3,'GBD estimates'!$L$3:$L$1713=""Pertussis"",'GBD estimates'!$N$3:$N$1713=""Under 5"")"),21.4097731)</f>
        <v>21.4097731</v>
      </c>
      <c r="U131" s="564">
        <f>IFERROR(__xludf.DUMMYFUNCTION("FILTER('GBD estimates'!$R$3:$R$1713,'GBD estimates'!$K$3:$K$1713=U$3,'GBD estimates'!$L$3:$L$1713=""Pertussis"",'GBD estimates'!$N$3:$N$1713=""Under 5"")"),90.01817195)</f>
        <v>90.01817195</v>
      </c>
      <c r="V131" s="564">
        <f>IFERROR(__xludf.DUMMYFUNCTION("FILTER('GBD estimates'!$R$3:$R$1713,'GBD estimates'!$K$3:$K$1713=V$3,'GBD estimates'!$L$3:$L$1713=""Pertussis"",'GBD estimates'!$N$3:$N$1713=""Under 5"")"),17.17539435)</f>
        <v>17.17539435</v>
      </c>
      <c r="W131" s="564">
        <f>IFERROR(__xludf.DUMMYFUNCTION("FILTER('GBD estimates'!$R$3:$R$1713,'GBD estimates'!$K$3:$K$1713=W$3,'GBD estimates'!$L$3:$L$1713=""Pertussis"",'GBD estimates'!$N$3:$N$1713=""Under 5"")"),189.8240928)</f>
        <v>189.8240928</v>
      </c>
      <c r="X131" s="564">
        <f>IFERROR(__xludf.DUMMYFUNCTION("FILTER('GBD estimates'!$R$3:$R$1713,'GBD estimates'!$K$3:$K$1713=X$3,'GBD estimates'!$L$3:$L$1713=""Pertussis"",'GBD estimates'!$N$3:$N$1713=""Under 5"")"),165.9417811)</f>
        <v>165.9417811</v>
      </c>
      <c r="Y131" s="564">
        <f>IFERROR(__xludf.DUMMYFUNCTION("FILTER('GBD estimates'!$R$3:$R$1713,'GBD estimates'!$K$3:$K$1713=Y$3,'GBD estimates'!$L$3:$L$1713=""Pertussis"",'GBD estimates'!$N$3:$N$1713=""Under 5"")"),27.43035327)</f>
        <v>27.43035327</v>
      </c>
      <c r="Z131" s="564">
        <f>IFERROR(__xludf.DUMMYFUNCTION("FILTER('GBD estimates'!$R$3:$R$1713,'GBD estimates'!$K$3:$K$1713=Z$3,'GBD estimates'!$L$3:$L$1713=""Pertussis"",'GBD estimates'!$N$3:$N$1713=""Under 5"")"),55.49172414)</f>
        <v>55.49172414</v>
      </c>
      <c r="AA131" s="564">
        <f>IFERROR(__xludf.DUMMYFUNCTION("FILTER('GBD estimates'!$R$3:$R$1713,'GBD estimates'!$K$3:$K$1713=AA$3,'GBD estimates'!$L$3:$L$1713=""Pertussis"",'GBD estimates'!$N$3:$N$1713=""Under 5"")"),48.19076233)</f>
        <v>48.19076233</v>
      </c>
      <c r="AB131" s="564">
        <f>IFERROR(__xludf.DUMMYFUNCTION("FILTER('GBD estimates'!$R$3:$R$1713,'GBD estimates'!$K$3:$K$1713=AB$3,'GBD estimates'!$L$3:$L$1713=""Pertussis"",'GBD estimates'!$N$3:$N$1713=""Under 5"")"),33.34002946)</f>
        <v>33.34002946</v>
      </c>
      <c r="AC131" s="564">
        <f>IFERROR(__xludf.DUMMYFUNCTION("FILTER('GBD estimates'!$R$3:$R$1713,'GBD estimates'!$K$3:$K$1713=AC$3,'GBD estimates'!$L$3:$L$1713=""Pertussis"",'GBD estimates'!$N$3:$N$1713=""Under 5"")"),9.735488309)</f>
        <v>9.735488309</v>
      </c>
      <c r="AD131" s="564">
        <f>IFERROR(__xludf.DUMMYFUNCTION("FILTER('GBD estimates'!$R$3:$R$1713,'GBD estimates'!$K$3:$K$1713=AD$3,'GBD estimates'!$L$3:$L$1713=""Pertussis"",'GBD estimates'!$N$3:$N$1713=""Under 5"")"),32.85350986)</f>
        <v>32.85350986</v>
      </c>
      <c r="AE131" s="564">
        <f>IFERROR(__xludf.DUMMYFUNCTION("FILTER('GBD estimates'!$R$3:$R$1713,'GBD estimates'!$K$3:$K$1713=AE$3,'GBD estimates'!$L$3:$L$1713=""Pertussis"",'GBD estimates'!$N$3:$N$1713=""Under 5"")"),61.69118541)</f>
        <v>61.69118541</v>
      </c>
      <c r="AF131" s="564">
        <f>IFERROR(__xludf.DUMMYFUNCTION("FILTER('GBD estimates'!$R$3:$R$1713,'GBD estimates'!$K$3:$K$1713=AF$3,'GBD estimates'!$L$3:$L$1713=""Pertussis"",'GBD estimates'!$N$3:$N$1713=""Under 5"")"),57.44254279)</f>
        <v>57.44254279</v>
      </c>
      <c r="AG131" s="564">
        <f>IFERROR(__xludf.DUMMYFUNCTION("FILTER('GBD estimates'!$R$3:$R$1713,'GBD estimates'!$K$3:$K$1713=AG$3,'GBD estimates'!$L$3:$L$1713=""Pertussis"",'GBD estimates'!$N$3:$N$1713=""Under 5"")"),467.3780154)</f>
        <v>467.3780154</v>
      </c>
      <c r="AH131" s="564">
        <f>IFERROR(__xludf.DUMMYFUNCTION("FILTER('GBD estimates'!$R$3:$R$1713,'GBD estimates'!$K$3:$K$1713=AH$3,'GBD estimates'!$L$3:$L$1713=""Pertussis"",'GBD estimates'!$N$3:$N$1713=""Under 5"")"),89.28366102)</f>
        <v>89.28366102</v>
      </c>
      <c r="AI131" s="564">
        <f>IFERROR(__xludf.DUMMYFUNCTION("FILTER('GBD estimates'!$R$3:$R$1713,'GBD estimates'!$K$3:$K$1713=AI$3,'GBD estimates'!$L$3:$L$1713=""Pertussis"",'GBD estimates'!$N$3:$N$1713=""Under 5"")"),36.36779927)</f>
        <v>36.36779927</v>
      </c>
      <c r="AJ131" s="564">
        <f>IFERROR(__xludf.DUMMYFUNCTION("FILTER('GBD estimates'!$R$3:$R$1713,'GBD estimates'!$K$3:$K$1713=AJ$3,'GBD estimates'!$L$3:$L$1713=""Pertussis"",'GBD estimates'!$N$3:$N$1713=""Under 5"")"),21.25609156)</f>
        <v>21.25609156</v>
      </c>
      <c r="AK131" s="564">
        <f>IFERROR(__xludf.DUMMYFUNCTION("FILTER('GBD estimates'!$R$3:$R$1713,'GBD estimates'!$K$3:$K$1713=AK$3,'GBD estimates'!$L$3:$L$1713=""Pertussis"",'GBD estimates'!$N$3:$N$1713=""Under 5"")"),147.1413366)</f>
        <v>147.1413366</v>
      </c>
      <c r="AL131" s="564">
        <f>IFERROR(__xludf.DUMMYFUNCTION("FILTER('GBD estimates'!$R$3:$R$1713,'GBD estimates'!$K$3:$K$1713=AL$3,'GBD estimates'!$L$3:$L$1713=""Pertussis"",'GBD estimates'!$N$3:$N$1713=""Under 5"")"),470.9719226)</f>
        <v>470.9719226</v>
      </c>
      <c r="AM131" s="564">
        <f t="shared" ref="AM131:AN131" si="20">AL131</f>
        <v>470.9719226</v>
      </c>
      <c r="AN131" s="564">
        <f t="shared" si="20"/>
        <v>470.9719226</v>
      </c>
      <c r="AO131" s="564">
        <f>IFERROR(__xludf.DUMMYFUNCTION("FILTER('GBD estimates'!$R$3:$R$1713,'GBD estimates'!$K$3:$K$1713=AO$3,'GBD estimates'!$L$3:$L$1713=""Pertussis"",'GBD estimates'!$N$3:$N$1713=""Under 5"")"),162.4752605)</f>
        <v>162.4752605</v>
      </c>
      <c r="AP131" s="564">
        <f>IFERROR(__xludf.DUMMYFUNCTION("FILTER('GBD estimates'!$R$3:$R$1713,'GBD estimates'!$K$3:$K$1713=AP$3,'GBD estimates'!$L$3:$L$1713=""Pertussis"",'GBD estimates'!$N$3:$N$1713=""Under 5"")"),31.70792364)</f>
        <v>31.70792364</v>
      </c>
      <c r="AQ131" s="564">
        <f>IFERROR(__xludf.DUMMYFUNCTION("FILTER('GBD estimates'!$R$3:$R$1713,'GBD estimates'!$K$3:$K$1713=AQ$3,'GBD estimates'!$L$3:$L$1713=""Pertussis"",'GBD estimates'!$N$3:$N$1713=""Under 5"")"),20.91062685)</f>
        <v>20.91062685</v>
      </c>
      <c r="AR131" s="564">
        <f>IFERROR(__xludf.DUMMYFUNCTION("FILTER('GBD estimates'!$R$3:$R$1713,'GBD estimates'!$K$3:$K$1713=AR$3,'GBD estimates'!$L$3:$L$1713=""Pertussis"",'GBD estimates'!$N$3:$N$1713=""Under 5"")"),68.1150623)</f>
        <v>68.1150623</v>
      </c>
      <c r="AS131" s="564">
        <f>IFERROR(__xludf.DUMMYFUNCTION("FILTER('GBD estimates'!$R$3:$R$1713,'GBD estimates'!$K$3:$K$1713=AS$3,'GBD estimates'!$L$3:$L$1713=""Pertussis"",'GBD estimates'!$N$3:$N$1713=""Under 5"")"),160.2433634)</f>
        <v>160.2433634</v>
      </c>
      <c r="AT131" s="564">
        <f>IFERROR(__xludf.DUMMYFUNCTION("FILTER('GBD estimates'!$R$3:$R$1713,'GBD estimates'!$K$3:$K$1713=AT$3,'GBD estimates'!$L$3:$L$1713=""Pertussis"",'GBD estimates'!$N$3:$N$1713=""Under 5"")"),34.47277344)</f>
        <v>34.47277344</v>
      </c>
      <c r="AU131" s="564">
        <f>IFERROR(__xludf.DUMMYFUNCTION("FILTER('GBD estimates'!$R$3:$R$1713,'GBD estimates'!$K$3:$K$1713=AU$3,'GBD estimates'!$L$3:$L$1713=""Pertussis"",'GBD estimates'!$N$3:$N$1713=""Under 5"")"),355.815953)</f>
        <v>355.815953</v>
      </c>
      <c r="AV131" s="564">
        <f>IFERROR(__xludf.DUMMYFUNCTION("FILTER('GBD estimates'!$R$3:$R$1713,'GBD estimates'!$K$3:$K$1713=AV$3,'GBD estimates'!$L$3:$L$1713=""Pertussis"",'GBD estimates'!$N$3:$N$1713=""Under 5"")"),267.2085607)</f>
        <v>267.2085607</v>
      </c>
      <c r="AW131" s="784"/>
      <c r="AX131" s="797" t="s">
        <v>999</v>
      </c>
      <c r="AY131" s="786"/>
    </row>
    <row r="132">
      <c r="A132" s="776"/>
      <c r="B132" s="538"/>
      <c r="C132" s="538"/>
      <c r="D132" s="538"/>
      <c r="E132" s="475" t="s">
        <v>560</v>
      </c>
      <c r="F132" s="554" t="s">
        <v>62</v>
      </c>
      <c r="G132" s="555" t="s">
        <v>165</v>
      </c>
      <c r="H132" s="811" t="s">
        <v>162</v>
      </c>
      <c r="I132" s="564">
        <f>IFERROR(__xludf.DUMMYFUNCTION("SUM(FILTER('GBD estimates'!$R$3:$R$1371,'GBD estimates'!$K$3:$K$1371=I$3,'GBD estimates'!$L$3:$L$1371=""Pertussis"",'GBD estimates'!$N$3:$N$1371=""Early Neonatal""),FILTER('GBD estimates'!$R$3:$R$1371,'GBD estimates'!$K$3:$K$1371=I$3,'GBD estimates'!$L$3:"&amp;"$L$1371=""Pertussis"",'GBD estimates'!$N$3:$N$1371=""Late Neonatal""),FILTER('GBD estimates'!$R$3:$R$1371,'GBD estimates'!$K$3:$K$1371=I$3,'GBD estimates'!$L$3:$L$1371=""Pertussis"",'GBD estimates'!$N$3:$N$1371=""Post Neonatal""))"),189.8339379)</f>
        <v>189.8339379</v>
      </c>
      <c r="J132" s="564">
        <f>IFERROR(__xludf.DUMMYFUNCTION("SUM(FILTER('GBD estimates'!$R$3:$R$1371,'GBD estimates'!$K$3:$K$1371=J$3,'GBD estimates'!$L$3:$L$1371=""Pertussis"",'GBD estimates'!$N$3:$N$1371=""Early Neonatal""),FILTER('GBD estimates'!$R$3:$R$1371,'GBD estimates'!$K$3:$K$1371=J$3,'GBD estimates'!$L$3:"&amp;"$L$1371=""Pertussis"",'GBD estimates'!$N$3:$N$1371=""Late Neonatal""),FILTER('GBD estimates'!$R$3:$R$1371,'GBD estimates'!$K$3:$K$1371=J$3,'GBD estimates'!$L$3:$L$1371=""Pertussis"",'GBD estimates'!$N$3:$N$1371=""Post Neonatal""))"),81.0002238)</f>
        <v>81.0002238</v>
      </c>
      <c r="K132" s="564">
        <f>IFERROR(__xludf.DUMMYFUNCTION("SUM(FILTER('GBD estimates'!$R$3:$R$1371,'GBD estimates'!$K$3:$K$1371=K$3,'GBD estimates'!$L$3:$L$1371=""Pertussis"",'GBD estimates'!$N$3:$N$1371=""Early Neonatal""),FILTER('GBD estimates'!$R$3:$R$1371,'GBD estimates'!$K$3:$K$1371=K$3,'GBD estimates'!$L$3:"&amp;"$L$1371=""Pertussis"",'GBD estimates'!$N$3:$N$1371=""Late Neonatal""),FILTER('GBD estimates'!$R$3:$R$1371,'GBD estimates'!$K$3:$K$1371=K$3,'GBD estimates'!$L$3:$L$1371=""Pertussis"",'GBD estimates'!$N$3:$N$1371=""Post Neonatal""))"),199.569061)</f>
        <v>199.569061</v>
      </c>
      <c r="L132" s="564">
        <f t="shared" si="16"/>
        <v>197.5509697</v>
      </c>
      <c r="M132" s="564">
        <f>IFERROR(__xludf.DUMMYFUNCTION("SUM(FILTER('GBD estimates'!$R$3:$R$1371,'GBD estimates'!$K$3:$K$1371=M$3,'GBD estimates'!$L$3:$L$1371=""Pertussis"",'GBD estimates'!$N$3:$N$1371=""Early Neonatal""),FILTER('GBD estimates'!$R$3:$R$1371,'GBD estimates'!$K$3:$K$1371=M$3,'GBD estimates'!$L$3:"&amp;"$L$1371=""Pertussis"",'GBD estimates'!$N$3:$N$1371=""Late Neonatal""),FILTER('GBD estimates'!$R$3:$R$1371,'GBD estimates'!$K$3:$K$1371=M$3,'GBD estimates'!$L$3:$L$1371=""Pertussis"",'GBD estimates'!$N$3:$N$1371=""Post Neonatal""))"),363.1260394)</f>
        <v>363.1260394</v>
      </c>
      <c r="N132" s="564">
        <f>IFERROR(__xludf.DUMMYFUNCTION("SUM(FILTER('GBD estimates'!$R$3:$R$1371,'GBD estimates'!$K$3:$K$1371=N$3,'GBD estimates'!$L$3:$L$1371=""Pertussis"",'GBD estimates'!$N$3:$N$1371=""Early Neonatal""),FILTER('GBD estimates'!$R$3:$R$1371,'GBD estimates'!$K$3:$K$1371=N$3,'GBD estimates'!$L$3:"&amp;"$L$1371=""Pertussis"",'GBD estimates'!$N$3:$N$1371=""Late Neonatal""),FILTER('GBD estimates'!$R$3:$R$1371,'GBD estimates'!$K$3:$K$1371=N$3,'GBD estimates'!$L$3:$L$1371=""Pertussis"",'GBD estimates'!$N$3:$N$1371=""Post Neonatal""))"),306.1586707)</f>
        <v>306.1586707</v>
      </c>
      <c r="O132" s="564">
        <f>IFERROR(__xludf.DUMMYFUNCTION("SUM(FILTER('GBD estimates'!$R$3:$R$1371,'GBD estimates'!$K$3:$K$1371=O$3,'GBD estimates'!$L$3:$L$1371=""Pertussis"",'GBD estimates'!$N$3:$N$1371=""Early Neonatal""),FILTER('GBD estimates'!$R$3:$R$1371,'GBD estimates'!$K$3:$K$1371=O$3,'GBD estimates'!$L$3:"&amp;"$L$1371=""Pertussis"",'GBD estimates'!$N$3:$N$1371=""Late Neonatal""),FILTER('GBD estimates'!$R$3:$R$1371,'GBD estimates'!$K$3:$K$1371=O$3,'GBD estimates'!$L$3:$L$1371=""Pertussis"",'GBD estimates'!$N$3:$N$1371=""Post Neonatal""))"),151.4564727)</f>
        <v>151.4564727</v>
      </c>
      <c r="P132" s="564">
        <f>IFERROR(__xludf.DUMMYFUNCTION("SUM(FILTER('GBD estimates'!$R$3:$R$1371,'GBD estimates'!$K$3:$K$1371=P$3,'GBD estimates'!$L$3:$L$1371=""Pertussis"",'GBD estimates'!$N$3:$N$1371=""Early Neonatal""),FILTER('GBD estimates'!$R$3:$R$1371,'GBD estimates'!$K$3:$K$1371=P$3,'GBD estimates'!$L$3:"&amp;"$L$1371=""Pertussis"",'GBD estimates'!$N$3:$N$1371=""Late Neonatal""),FILTER('GBD estimates'!$R$3:$R$1371,'GBD estimates'!$K$3:$K$1371=P$3,'GBD estimates'!$L$3:$L$1371=""Pertussis"",'GBD estimates'!$N$3:$N$1371=""Post Neonatal""))"),250.6856765)</f>
        <v>250.6856765</v>
      </c>
      <c r="Q132" s="565">
        <f>IFERROR(__xludf.DUMMYFUNCTION("SUM(FILTER('GBD estimates'!$R$3:$R$1371,'GBD estimates'!$K$3:$K$1371=Q$3,'GBD estimates'!$L$3:$L$1371=""Pertussis"",'GBD estimates'!$N$3:$N$1371=""Early Neonatal""),FILTER('GBD estimates'!$R$3:$R$1371,'GBD estimates'!$K$3:$K$1371=Q$3,'GBD estimates'!$L$3:"&amp;"$L$1371=""Pertussis"",'GBD estimates'!$N$3:$N$1371=""Late Neonatal""),FILTER('GBD estimates'!$R$3:$R$1371,'GBD estimates'!$K$3:$K$1371=Q$3,'GBD estimates'!$L$3:$L$1371=""Pertussis"",'GBD estimates'!$N$3:$N$1371=""Post Neonatal""))"),155.0955003)</f>
        <v>155.0955003</v>
      </c>
      <c r="R132" s="564">
        <f>IFERROR(__xludf.DUMMYFUNCTION("SUM(FILTER('GBD estimates'!$R$3:$R$1371,'GBD estimates'!$K$3:$K$1371=R$3,'GBD estimates'!$L$3:$L$1371=""Pertussis"",'GBD estimates'!$N$3:$N$1371=""Early Neonatal""),FILTER('GBD estimates'!$R$3:$R$1371,'GBD estimates'!$K$3:$K$1371=R$3,'GBD estimates'!$L$3:"&amp;"$L$1371=""Pertussis"",'GBD estimates'!$N$3:$N$1371=""Late Neonatal""),FILTER('GBD estimates'!$R$3:$R$1371,'GBD estimates'!$K$3:$K$1371=R$3,'GBD estimates'!$L$3:$L$1371=""Pertussis"",'GBD estimates'!$N$3:$N$1371=""Post Neonatal""))"),18.67439503)</f>
        <v>18.67439503</v>
      </c>
      <c r="S132" s="564">
        <f>IFERROR(__xludf.DUMMYFUNCTION("SUM(FILTER('GBD estimates'!$R$3:$R$1371,'GBD estimates'!$K$3:$K$1371=S$3,'GBD estimates'!$L$3:$L$1371=""Pertussis"",'GBD estimates'!$N$3:$N$1371=""Early Neonatal""),FILTER('GBD estimates'!$R$3:$R$1371,'GBD estimates'!$K$3:$K$1371=S$3,'GBD estimates'!$L$3:"&amp;"$L$1371=""Pertussis"",'GBD estimates'!$N$3:$N$1371=""Late Neonatal""),FILTER('GBD estimates'!$R$3:$R$1371,'GBD estimates'!$K$3:$K$1371=S$3,'GBD estimates'!$L$3:$L$1371=""Pertussis"",'GBD estimates'!$N$3:$N$1371=""Post Neonatal""))"),45.45611919)</f>
        <v>45.45611919</v>
      </c>
      <c r="T132" s="564">
        <f>IFERROR(__xludf.DUMMYFUNCTION("SUM(FILTER('GBD estimates'!$R$3:$R$1371,'GBD estimates'!$K$3:$K$1371=T$3,'GBD estimates'!$L$3:$L$1371=""Pertussis"",'GBD estimates'!$N$3:$N$1371=""Early Neonatal""),FILTER('GBD estimates'!$R$3:$R$1371,'GBD estimates'!$K$3:$K$1371=T$3,'GBD estimates'!$L$3:"&amp;"$L$1371=""Pertussis"",'GBD estimates'!$N$3:$N$1371=""Late Neonatal""),FILTER('GBD estimates'!$R$3:$R$1371,'GBD estimates'!$K$3:$K$1371=T$3,'GBD estimates'!$L$3:$L$1371=""Pertussis"",'GBD estimates'!$N$3:$N$1371=""Post Neonatal""))"),8.546008622)</f>
        <v>8.546008622</v>
      </c>
      <c r="U132" s="564">
        <f>IFERROR(__xludf.DUMMYFUNCTION("SUM(FILTER('GBD estimates'!$R$3:$R$1371,'GBD estimates'!$K$3:$K$1371=U$3,'GBD estimates'!$L$3:$L$1371=""Pertussis"",'GBD estimates'!$N$3:$N$1371=""Early Neonatal""),FILTER('GBD estimates'!$R$3:$R$1371,'GBD estimates'!$K$3:$K$1371=U$3,'GBD estimates'!$L$3:"&amp;"$L$1371=""Pertussis"",'GBD estimates'!$N$3:$N$1371=""Late Neonatal""),FILTER('GBD estimates'!$R$3:$R$1371,'GBD estimates'!$K$3:$K$1371=U$3,'GBD estimates'!$L$3:$L$1371=""Pertussis"",'GBD estimates'!$N$3:$N$1371=""Post Neonatal""))"),39.5919197)</f>
        <v>39.5919197</v>
      </c>
      <c r="V132" s="564">
        <f>IFERROR(__xludf.DUMMYFUNCTION("SUM(FILTER('GBD estimates'!$R$3:$R$1371,'GBD estimates'!$K$3:$K$1371=V$3,'GBD estimates'!$L$3:$L$1371=""Pertussis"",'GBD estimates'!$N$3:$N$1371=""Early Neonatal""),FILTER('GBD estimates'!$R$3:$R$1371,'GBD estimates'!$K$3:$K$1371=V$3,'GBD estimates'!$L$3:"&amp;"$L$1371=""Pertussis"",'GBD estimates'!$N$3:$N$1371=""Late Neonatal""),FILTER('GBD estimates'!$R$3:$R$1371,'GBD estimates'!$K$3:$K$1371=V$3,'GBD estimates'!$L$3:$L$1371=""Pertussis"",'GBD estimates'!$N$3:$N$1371=""Post Neonatal""))"),6.177657033)</f>
        <v>6.177657033</v>
      </c>
      <c r="W132" s="564">
        <f>IFERROR(__xludf.DUMMYFUNCTION("SUM(FILTER('GBD estimates'!$R$3:$R$1371,'GBD estimates'!$K$3:$K$1371=W$3,'GBD estimates'!$L$3:$L$1371=""Pertussis"",'GBD estimates'!$N$3:$N$1371=""Early Neonatal""),FILTER('GBD estimates'!$R$3:$R$1371,'GBD estimates'!$K$3:$K$1371=W$3,'GBD estimates'!$L$3:"&amp;"$L$1371=""Pertussis"",'GBD estimates'!$N$3:$N$1371=""Late Neonatal""),FILTER('GBD estimates'!$R$3:$R$1371,'GBD estimates'!$K$3:$K$1371=W$3,'GBD estimates'!$L$3:$L$1371=""Pertussis"",'GBD estimates'!$N$3:$N$1371=""Post Neonatal""))"),83.11093737)</f>
        <v>83.11093737</v>
      </c>
      <c r="X132" s="564">
        <f>IFERROR(__xludf.DUMMYFUNCTION("SUM(FILTER('GBD estimates'!$R$3:$R$1371,'GBD estimates'!$K$3:$K$1371=X$3,'GBD estimates'!$L$3:$L$1371=""Pertussis"",'GBD estimates'!$N$3:$N$1371=""Early Neonatal""),FILTER('GBD estimates'!$R$3:$R$1371,'GBD estimates'!$K$3:$K$1371=X$3,'GBD estimates'!$L$3:"&amp;"$L$1371=""Pertussis"",'GBD estimates'!$N$3:$N$1371=""Late Neonatal""),FILTER('GBD estimates'!$R$3:$R$1371,'GBD estimates'!$K$3:$K$1371=X$3,'GBD estimates'!$L$3:$L$1371=""Pertussis"",'GBD estimates'!$N$3:$N$1371=""Post Neonatal""))"),67.36193672)</f>
        <v>67.36193672</v>
      </c>
      <c r="Y132" s="564">
        <f>IFERROR(__xludf.DUMMYFUNCTION("SUM(FILTER('GBD estimates'!$R$3:$R$1371,'GBD estimates'!$K$3:$K$1371=Y$3,'GBD estimates'!$L$3:$L$1371=""Pertussis"",'GBD estimates'!$N$3:$N$1371=""Early Neonatal""),FILTER('GBD estimates'!$R$3:$R$1371,'GBD estimates'!$K$3:$K$1371=Y$3,'GBD estimates'!$L$3:"&amp;"$L$1371=""Pertussis"",'GBD estimates'!$N$3:$N$1371=""Late Neonatal""),FILTER('GBD estimates'!$R$3:$R$1371,'GBD estimates'!$K$3:$K$1371=Y$3,'GBD estimates'!$L$3:$L$1371=""Pertussis"",'GBD estimates'!$N$3:$N$1371=""Post Neonatal""))"),10.73802738)</f>
        <v>10.73802738</v>
      </c>
      <c r="Z132" s="564">
        <f>IFERROR(__xludf.DUMMYFUNCTION("SUM(FILTER('GBD estimates'!$R$3:$R$1371,'GBD estimates'!$K$3:$K$1371=Z$3,'GBD estimates'!$L$3:$L$1371=""Pertussis"",'GBD estimates'!$N$3:$N$1371=""Early Neonatal""),FILTER('GBD estimates'!$R$3:$R$1371,'GBD estimates'!$K$3:$K$1371=Z$3,'GBD estimates'!$L$3:"&amp;"$L$1371=""Pertussis"",'GBD estimates'!$N$3:$N$1371=""Late Neonatal""),FILTER('GBD estimates'!$R$3:$R$1371,'GBD estimates'!$K$3:$K$1371=Z$3,'GBD estimates'!$L$3:$L$1371=""Pertussis"",'GBD estimates'!$N$3:$N$1371=""Post Neonatal""))"),23.25069983)</f>
        <v>23.25069983</v>
      </c>
      <c r="AA132" s="564">
        <f>IFERROR(__xludf.DUMMYFUNCTION("SUM(FILTER('GBD estimates'!$R$3:$R$1371,'GBD estimates'!$K$3:$K$1371=AA$3,'GBD estimates'!$L$3:$L$1371=""Pertussis"",'GBD estimates'!$N$3:$N$1371=""Early Neonatal""),FILTER('GBD estimates'!$R$3:$R$1371,'GBD estimates'!$K$3:$K$1371=AA$3,'GBD estimates'!$L$"&amp;"3:$L$1371=""Pertussis"",'GBD estimates'!$N$3:$N$1371=""Late Neonatal""),FILTER('GBD estimates'!$R$3:$R$1371,'GBD estimates'!$K$3:$K$1371=AA$3,'GBD estimates'!$L$3:$L$1371=""Pertussis"",'GBD estimates'!$N$3:$N$1371=""Post Neonatal""))"),21.17100073)</f>
        <v>21.17100073</v>
      </c>
      <c r="AB132" s="564">
        <f>IFERROR(__xludf.DUMMYFUNCTION("SUM(FILTER('GBD estimates'!$R$3:$R$1371,'GBD estimates'!$K$3:$K$1371=AB$3,'GBD estimates'!$L$3:$L$1371=""Pertussis"",'GBD estimates'!$N$3:$N$1371=""Early Neonatal""),FILTER('GBD estimates'!$R$3:$R$1371,'GBD estimates'!$K$3:$K$1371=AB$3,'GBD estimates'!$L$"&amp;"3:$L$1371=""Pertussis"",'GBD estimates'!$N$3:$N$1371=""Late Neonatal""),FILTER('GBD estimates'!$R$3:$R$1371,'GBD estimates'!$K$3:$K$1371=AB$3,'GBD estimates'!$L$3:$L$1371=""Pertussis"",'GBD estimates'!$N$3:$N$1371=""Post Neonatal""))"),11.7975463)</f>
        <v>11.7975463</v>
      </c>
      <c r="AC132" s="564">
        <f>IFERROR(__xludf.DUMMYFUNCTION("SUM(FILTER('GBD estimates'!$R$3:$R$1371,'GBD estimates'!$K$3:$K$1371=AC$3,'GBD estimates'!$L$3:$L$1371=""Pertussis"",'GBD estimates'!$N$3:$N$1371=""Early Neonatal""),FILTER('GBD estimates'!$R$3:$R$1371,'GBD estimates'!$K$3:$K$1371=AC$3,'GBD estimates'!$L$"&amp;"3:$L$1371=""Pertussis"",'GBD estimates'!$N$3:$N$1371=""Late Neonatal""),FILTER('GBD estimates'!$R$3:$R$1371,'GBD estimates'!$K$3:$K$1371=AC$3,'GBD estimates'!$L$3:$L$1371=""Pertussis"",'GBD estimates'!$N$3:$N$1371=""Post Neonatal""))"),3.796313255)</f>
        <v>3.796313255</v>
      </c>
      <c r="AD132" s="564">
        <f>IFERROR(__xludf.DUMMYFUNCTION("SUM(FILTER('GBD estimates'!$R$3:$R$1371,'GBD estimates'!$K$3:$K$1371=AD$3,'GBD estimates'!$L$3:$L$1371=""Pertussis"",'GBD estimates'!$N$3:$N$1371=""Early Neonatal""),FILTER('GBD estimates'!$R$3:$R$1371,'GBD estimates'!$K$3:$K$1371=AD$3,'GBD estimates'!$L$"&amp;"3:$L$1371=""Pertussis"",'GBD estimates'!$N$3:$N$1371=""Late Neonatal""),FILTER('GBD estimates'!$R$3:$R$1371,'GBD estimates'!$K$3:$K$1371=AD$3,'GBD estimates'!$L$3:$L$1371=""Pertussis"",'GBD estimates'!$N$3:$N$1371=""Post Neonatal""))"),13.54920366)</f>
        <v>13.54920366</v>
      </c>
      <c r="AE132" s="564">
        <f>IFERROR(__xludf.DUMMYFUNCTION("SUM(FILTER('GBD estimates'!$R$3:$R$1371,'GBD estimates'!$K$3:$K$1371=AE$3,'GBD estimates'!$L$3:$L$1371=""Pertussis"",'GBD estimates'!$N$3:$N$1371=""Early Neonatal""),FILTER('GBD estimates'!$R$3:$R$1371,'GBD estimates'!$K$3:$K$1371=AE$3,'GBD estimates'!$L$"&amp;"3:$L$1371=""Pertussis"",'GBD estimates'!$N$3:$N$1371=""Late Neonatal""),FILTER('GBD estimates'!$R$3:$R$1371,'GBD estimates'!$K$3:$K$1371=AE$3,'GBD estimates'!$L$3:$L$1371=""Pertussis"",'GBD estimates'!$N$3:$N$1371=""Post Neonatal""))"),27.25101399)</f>
        <v>27.25101399</v>
      </c>
      <c r="AF132" s="564">
        <f>IFERROR(__xludf.DUMMYFUNCTION("SUM(FILTER('GBD estimates'!$R$3:$R$1371,'GBD estimates'!$K$3:$K$1371=AF$3,'GBD estimates'!$L$3:$L$1371=""Pertussis"",'GBD estimates'!$N$3:$N$1371=""Early Neonatal""),FILTER('GBD estimates'!$R$3:$R$1371,'GBD estimates'!$K$3:$K$1371=AF$3,'GBD estimates'!$L$"&amp;"3:$L$1371=""Pertussis"",'GBD estimates'!$N$3:$N$1371=""Late Neonatal""),FILTER('GBD estimates'!$R$3:$R$1371,'GBD estimates'!$K$3:$K$1371=AF$3,'GBD estimates'!$L$3:$L$1371=""Pertussis"",'GBD estimates'!$N$3:$N$1371=""Post Neonatal""))"),23.74188118)</f>
        <v>23.74188118</v>
      </c>
      <c r="AG132" s="564">
        <f>IFERROR(__xludf.DUMMYFUNCTION("SUM(FILTER('GBD estimates'!$R$3:$R$1371,'GBD estimates'!$K$3:$K$1371=AG$3,'GBD estimates'!$L$3:$L$1371=""Pertussis"",'GBD estimates'!$N$3:$N$1371=""Early Neonatal""),FILTER('GBD estimates'!$R$3:$R$1371,'GBD estimates'!$K$3:$K$1371=AG$3,'GBD estimates'!$L$"&amp;"3:$L$1371=""Pertussis"",'GBD estimates'!$N$3:$N$1371=""Late Neonatal""),FILTER('GBD estimates'!$R$3:$R$1371,'GBD estimates'!$K$3:$K$1371=AG$3,'GBD estimates'!$L$3:$L$1371=""Pertussis"",'GBD estimates'!$N$3:$N$1371=""Post Neonatal""))"),197.5509697)</f>
        <v>197.5509697</v>
      </c>
      <c r="AH132" s="564">
        <f>IFERROR(__xludf.DUMMYFUNCTION("SUM(FILTER('GBD estimates'!$R$3:$R$1371,'GBD estimates'!$K$3:$K$1371=AH$3,'GBD estimates'!$L$3:$L$1371=""Pertussis"",'GBD estimates'!$N$3:$N$1371=""Early Neonatal""),FILTER('GBD estimates'!$R$3:$R$1371,'GBD estimates'!$K$3:$K$1371=AH$3,'GBD estimates'!$L$"&amp;"3:$L$1371=""Pertussis"",'GBD estimates'!$N$3:$N$1371=""Late Neonatal""),FILTER('GBD estimates'!$R$3:$R$1371,'GBD estimates'!$K$3:$K$1371=AH$3,'GBD estimates'!$L$3:$L$1371=""Pertussis"",'GBD estimates'!$N$3:$N$1371=""Post Neonatal""))"),35.1694165)</f>
        <v>35.1694165</v>
      </c>
      <c r="AI132" s="564">
        <f>IFERROR(__xludf.DUMMYFUNCTION("SUM(FILTER('GBD estimates'!$R$3:$R$1371,'GBD estimates'!$K$3:$K$1371=AI$3,'GBD estimates'!$L$3:$L$1371=""Pertussis"",'GBD estimates'!$N$3:$N$1371=""Early Neonatal""),FILTER('GBD estimates'!$R$3:$R$1371,'GBD estimates'!$K$3:$K$1371=AI$3,'GBD estimates'!$L$"&amp;"3:$L$1371=""Pertussis"",'GBD estimates'!$N$3:$N$1371=""Late Neonatal""),FILTER('GBD estimates'!$R$3:$R$1371,'GBD estimates'!$K$3:$K$1371=AI$3,'GBD estimates'!$L$3:$L$1371=""Pertussis"",'GBD estimates'!$N$3:$N$1371=""Post Neonatal""))"),15.15255535)</f>
        <v>15.15255535</v>
      </c>
      <c r="AJ132" s="564">
        <f>IFERROR(__xludf.DUMMYFUNCTION("SUM(FILTER('GBD estimates'!$R$3:$R$1371,'GBD estimates'!$K$3:$K$1371=AJ$3,'GBD estimates'!$L$3:$L$1371=""Pertussis"",'GBD estimates'!$N$3:$N$1371=""Early Neonatal""),FILTER('GBD estimates'!$R$3:$R$1371,'GBD estimates'!$K$3:$K$1371=AJ$3,'GBD estimates'!$L$"&amp;"3:$L$1371=""Pertussis"",'GBD estimates'!$N$3:$N$1371=""Late Neonatal""),FILTER('GBD estimates'!$R$3:$R$1371,'GBD estimates'!$K$3:$K$1371=AJ$3,'GBD estimates'!$L$3:$L$1371=""Pertussis"",'GBD estimates'!$N$3:$N$1371=""Post Neonatal""))"),9.340011027)</f>
        <v>9.340011027</v>
      </c>
      <c r="AK132" s="564">
        <f>IFERROR(__xludf.DUMMYFUNCTION("SUM(FILTER('GBD estimates'!$R$3:$R$1371,'GBD estimates'!$K$3:$K$1371=AK$3,'GBD estimates'!$L$3:$L$1371=""Pertussis"",'GBD estimates'!$N$3:$N$1371=""Early Neonatal""),FILTER('GBD estimates'!$R$3:$R$1371,'GBD estimates'!$K$3:$K$1371=AK$3,'GBD estimates'!$L$"&amp;"3:$L$1371=""Pertussis"",'GBD estimates'!$N$3:$N$1371=""Late Neonatal""),FILTER('GBD estimates'!$R$3:$R$1371,'GBD estimates'!$K$3:$K$1371=AK$3,'GBD estimates'!$L$3:$L$1371=""Pertussis"",'GBD estimates'!$N$3:$N$1371=""Post Neonatal""))"),59.51532439)</f>
        <v>59.51532439</v>
      </c>
      <c r="AL132" s="564">
        <f>IFERROR(__xludf.DUMMYFUNCTION("SUM(FILTER('GBD estimates'!$R$3:$R$1371,'GBD estimates'!$K$3:$K$1371=AL$3,'GBD estimates'!$L$3:$L$1371=""Pertussis"",'GBD estimates'!$N$3:$N$1371=""Early Neonatal""),FILTER('GBD estimates'!$R$3:$R$1371,'GBD estimates'!$K$3:$K$1371=AL$3,'GBD estimates'!$L$"&amp;"3:$L$1371=""Pertussis"",'GBD estimates'!$N$3:$N$1371=""Late Neonatal""),FILTER('GBD estimates'!$R$3:$R$1371,'GBD estimates'!$K$3:$K$1371=AL$3,'GBD estimates'!$L$3:$L$1371=""Pertussis"",'GBD estimates'!$N$3:$N$1371=""Post Neonatal""))"),192.6364774)</f>
        <v>192.6364774</v>
      </c>
      <c r="AM132" s="564">
        <f t="shared" ref="AM132:AN132" si="21">AL132</f>
        <v>192.6364774</v>
      </c>
      <c r="AN132" s="564">
        <f t="shared" si="21"/>
        <v>192.6364774</v>
      </c>
      <c r="AO132" s="564">
        <f>IFERROR(__xludf.DUMMYFUNCTION("SUM(FILTER('GBD estimates'!$R$3:$R$1371,'GBD estimates'!$K$3:$K$1371=AO$3,'GBD estimates'!$L$3:$L$1371=""Pertussis"",'GBD estimates'!$N$3:$N$1371=""Early Neonatal""),FILTER('GBD estimates'!$R$3:$R$1371,'GBD estimates'!$K$3:$K$1371=AO$3,'GBD estimates'!$L$"&amp;"3:$L$1371=""Pertussis"",'GBD estimates'!$N$3:$N$1371=""Late Neonatal""),FILTER('GBD estimates'!$R$3:$R$1371,'GBD estimates'!$K$3:$K$1371=AO$3,'GBD estimates'!$L$3:$L$1371=""Pertussis"",'GBD estimates'!$N$3:$N$1371=""Post Neonatal""))"),68.78692763)</f>
        <v>68.78692763</v>
      </c>
      <c r="AP132" s="564">
        <f>IFERROR(__xludf.DUMMYFUNCTION("SUM(FILTER('GBD estimates'!$R$3:$R$1371,'GBD estimates'!$K$3:$K$1371=AP$3,'GBD estimates'!$L$3:$L$1371=""Pertussis"",'GBD estimates'!$N$3:$N$1371=""Early Neonatal""),FILTER('GBD estimates'!$R$3:$R$1371,'GBD estimates'!$K$3:$K$1371=AP$3,'GBD estimates'!$L$"&amp;"3:$L$1371=""Pertussis"",'GBD estimates'!$N$3:$N$1371=""Late Neonatal""),FILTER('GBD estimates'!$R$3:$R$1371,'GBD estimates'!$K$3:$K$1371=AP$3,'GBD estimates'!$L$3:$L$1371=""Pertussis"",'GBD estimates'!$N$3:$N$1371=""Post Neonatal""))"),10.67714035)</f>
        <v>10.67714035</v>
      </c>
      <c r="AQ132" s="564">
        <f>IFERROR(__xludf.DUMMYFUNCTION("SUM(FILTER('GBD estimates'!$R$3:$R$1371,'GBD estimates'!$K$3:$K$1371=AQ$3,'GBD estimates'!$L$3:$L$1371=""Pertussis"",'GBD estimates'!$N$3:$N$1371=""Early Neonatal""),FILTER('GBD estimates'!$R$3:$R$1371,'GBD estimates'!$K$3:$K$1371=AQ$3,'GBD estimates'!$L$"&amp;"3:$L$1371=""Pertussis"",'GBD estimates'!$N$3:$N$1371=""Late Neonatal""),FILTER('GBD estimates'!$R$3:$R$1371,'GBD estimates'!$K$3:$K$1371=AQ$3,'GBD estimates'!$L$3:$L$1371=""Pertussis"",'GBD estimates'!$N$3:$N$1371=""Post Neonatal""))"),8.796109199)</f>
        <v>8.796109199</v>
      </c>
      <c r="AR132" s="564">
        <f>IFERROR(__xludf.DUMMYFUNCTION("SUM(FILTER('GBD estimates'!$R$3:$R$1371,'GBD estimates'!$K$3:$K$1371=AR$3,'GBD estimates'!$L$3:$L$1371=""Pertussis"",'GBD estimates'!$N$3:$N$1371=""Early Neonatal""),FILTER('GBD estimates'!$R$3:$R$1371,'GBD estimates'!$K$3:$K$1371=AR$3,'GBD estimates'!$L$"&amp;"3:$L$1371=""Pertussis"",'GBD estimates'!$N$3:$N$1371=""Late Neonatal""),FILTER('GBD estimates'!$R$3:$R$1371,'GBD estimates'!$K$3:$K$1371=AR$3,'GBD estimates'!$L$3:$L$1371=""Pertussis"",'GBD estimates'!$N$3:$N$1371=""Post Neonatal""))"),25.89045487)</f>
        <v>25.89045487</v>
      </c>
      <c r="AS132" s="564">
        <f>IFERROR(__xludf.DUMMYFUNCTION("SUM(FILTER('GBD estimates'!$R$3:$R$1371,'GBD estimates'!$K$3:$K$1371=AS$3,'GBD estimates'!$L$3:$L$1371=""Pertussis"",'GBD estimates'!$N$3:$N$1371=""Early Neonatal""),FILTER('GBD estimates'!$R$3:$R$1371,'GBD estimates'!$K$3:$K$1371=AS$3,'GBD estimates'!$L$"&amp;"3:$L$1371=""Pertussis"",'GBD estimates'!$N$3:$N$1371=""Late Neonatal""),FILTER('GBD estimates'!$R$3:$R$1371,'GBD estimates'!$K$3:$K$1371=AS$3,'GBD estimates'!$L$3:$L$1371=""Pertussis"",'GBD estimates'!$N$3:$N$1371=""Post Neonatal""))"),69.51014856)</f>
        <v>69.51014856</v>
      </c>
      <c r="AT132" s="564">
        <f>IFERROR(__xludf.DUMMYFUNCTION("SUM(FILTER('GBD estimates'!$R$3:$R$1371,'GBD estimates'!$K$3:$K$1371=AT$3,'GBD estimates'!$L$3:$L$1371=""Pertussis"",'GBD estimates'!$N$3:$N$1371=""Early Neonatal""),FILTER('GBD estimates'!$R$3:$R$1371,'GBD estimates'!$K$3:$K$1371=AT$3,'GBD estimates'!$L$"&amp;"3:$L$1371=""Pertussis"",'GBD estimates'!$N$3:$N$1371=""Late Neonatal""),FILTER('GBD estimates'!$R$3:$R$1371,'GBD estimates'!$K$3:$K$1371=AT$3,'GBD estimates'!$L$3:$L$1371=""Pertussis"",'GBD estimates'!$N$3:$N$1371=""Post Neonatal""))"),13.6339952)</f>
        <v>13.6339952</v>
      </c>
      <c r="AU132" s="564">
        <f>IFERROR(__xludf.DUMMYFUNCTION("SUM(FILTER('GBD estimates'!$R$3:$R$1371,'GBD estimates'!$K$3:$K$1371=AU$3,'GBD estimates'!$L$3:$L$1371=""Pertussis"",'GBD estimates'!$N$3:$N$1371=""Early Neonatal""),FILTER('GBD estimates'!$R$3:$R$1371,'GBD estimates'!$K$3:$K$1371=AU$3,'GBD estimates'!$L$"&amp;"3:$L$1371=""Pertussis"",'GBD estimates'!$N$3:$N$1371=""Late Neonatal""),FILTER('GBD estimates'!$R$3:$R$1371,'GBD estimates'!$K$3:$K$1371=AU$3,'GBD estimates'!$L$3:$L$1371=""Pertussis"",'GBD estimates'!$N$3:$N$1371=""Post Neonatal""))"),138.0998402)</f>
        <v>138.0998402</v>
      </c>
      <c r="AV132" s="564">
        <f>IFERROR(__xludf.DUMMYFUNCTION("SUM(FILTER('GBD estimates'!$R$3:$R$1371,'GBD estimates'!$K$3:$K$1371=AV$3,'GBD estimates'!$L$3:$L$1371=""Pertussis"",'GBD estimates'!$N$3:$N$1371=""Early Neonatal""),FILTER('GBD estimates'!$R$3:$R$1371,'GBD estimates'!$K$3:$K$1371=AV$3,'GBD estimates'!$L$"&amp;"3:$L$1371=""Pertussis"",'GBD estimates'!$N$3:$N$1371=""Late Neonatal""),FILTER('GBD estimates'!$R$3:$R$1371,'GBD estimates'!$K$3:$K$1371=AV$3,'GBD estimates'!$L$3:$L$1371=""Pertussis"",'GBD estimates'!$N$3:$N$1371=""Post Neonatal""))"),102.6045024)</f>
        <v>102.6045024</v>
      </c>
      <c r="AW132" s="788"/>
      <c r="AX132" s="798" t="s">
        <v>999</v>
      </c>
      <c r="AY132" s="790"/>
    </row>
    <row r="133">
      <c r="A133" s="776"/>
      <c r="B133" s="538"/>
      <c r="C133" s="538"/>
      <c r="D133" s="538"/>
      <c r="E133" s="792" t="s">
        <v>562</v>
      </c>
      <c r="F133" s="559" t="s">
        <v>72</v>
      </c>
      <c r="G133" s="560" t="s">
        <v>165</v>
      </c>
      <c r="H133" s="793">
        <v>0.15</v>
      </c>
      <c r="I133" s="859" t="s">
        <v>162</v>
      </c>
      <c r="J133" s="859" t="s">
        <v>162</v>
      </c>
      <c r="K133" s="859" t="s">
        <v>162</v>
      </c>
      <c r="L133" s="547" t="str">
        <f t="shared" si="16"/>
        <v>-</v>
      </c>
      <c r="M133" s="859" t="s">
        <v>162</v>
      </c>
      <c r="N133" s="859" t="s">
        <v>162</v>
      </c>
      <c r="O133" s="859" t="s">
        <v>162</v>
      </c>
      <c r="P133" s="859" t="s">
        <v>162</v>
      </c>
      <c r="Q133" s="860" t="s">
        <v>162</v>
      </c>
      <c r="R133" s="859" t="s">
        <v>162</v>
      </c>
      <c r="S133" s="859" t="s">
        <v>162</v>
      </c>
      <c r="T133" s="859" t="s">
        <v>162</v>
      </c>
      <c r="U133" s="859" t="s">
        <v>162</v>
      </c>
      <c r="V133" s="859" t="s">
        <v>162</v>
      </c>
      <c r="W133" s="859" t="s">
        <v>162</v>
      </c>
      <c r="X133" s="859" t="s">
        <v>162</v>
      </c>
      <c r="Y133" s="859" t="s">
        <v>162</v>
      </c>
      <c r="Z133" s="859" t="s">
        <v>162</v>
      </c>
      <c r="AA133" s="859" t="s">
        <v>162</v>
      </c>
      <c r="AB133" s="859" t="s">
        <v>162</v>
      </c>
      <c r="AC133" s="859" t="s">
        <v>162</v>
      </c>
      <c r="AD133" s="859" t="s">
        <v>162</v>
      </c>
      <c r="AE133" s="859" t="s">
        <v>162</v>
      </c>
      <c r="AF133" s="859" t="s">
        <v>162</v>
      </c>
      <c r="AG133" s="859" t="s">
        <v>162</v>
      </c>
      <c r="AH133" s="859" t="s">
        <v>162</v>
      </c>
      <c r="AI133" s="859" t="s">
        <v>162</v>
      </c>
      <c r="AJ133" s="859" t="s">
        <v>162</v>
      </c>
      <c r="AK133" s="859" t="s">
        <v>162</v>
      </c>
      <c r="AL133" s="859" t="s">
        <v>162</v>
      </c>
      <c r="AM133" s="859" t="s">
        <v>162</v>
      </c>
      <c r="AN133" s="859" t="s">
        <v>162</v>
      </c>
      <c r="AO133" s="859" t="s">
        <v>162</v>
      </c>
      <c r="AP133" s="859" t="s">
        <v>162</v>
      </c>
      <c r="AQ133" s="859" t="s">
        <v>162</v>
      </c>
      <c r="AR133" s="859" t="s">
        <v>162</v>
      </c>
      <c r="AS133" s="859" t="s">
        <v>162</v>
      </c>
      <c r="AT133" s="859" t="s">
        <v>162</v>
      </c>
      <c r="AU133" s="859" t="s">
        <v>162</v>
      </c>
      <c r="AV133" s="859" t="s">
        <v>162</v>
      </c>
      <c r="AW133" s="794"/>
      <c r="AX133" s="799" t="s">
        <v>984</v>
      </c>
      <c r="AY133" s="796"/>
    </row>
    <row r="134">
      <c r="A134" s="776"/>
      <c r="B134" s="538"/>
      <c r="C134" s="143"/>
      <c r="D134" s="143"/>
      <c r="E134" s="447"/>
      <c r="F134" s="533"/>
      <c r="G134" s="534"/>
      <c r="H134" s="680"/>
      <c r="I134" s="552"/>
      <c r="J134" s="552"/>
      <c r="K134" s="552"/>
      <c r="L134" s="552"/>
      <c r="M134" s="552"/>
      <c r="N134" s="552"/>
      <c r="O134" s="552"/>
      <c r="P134" s="552"/>
      <c r="Q134" s="553"/>
      <c r="R134" s="552"/>
      <c r="S134" s="552"/>
      <c r="T134" s="552"/>
      <c r="U134" s="552"/>
      <c r="V134" s="552"/>
      <c r="W134" s="552"/>
      <c r="X134" s="552"/>
      <c r="Y134" s="552"/>
      <c r="Z134" s="552"/>
      <c r="AA134" s="552"/>
      <c r="AB134" s="552"/>
      <c r="AC134" s="552"/>
      <c r="AD134" s="552"/>
      <c r="AE134" s="552"/>
      <c r="AF134" s="552"/>
      <c r="AG134" s="552"/>
      <c r="AH134" s="552"/>
      <c r="AI134" s="552"/>
      <c r="AJ134" s="552"/>
      <c r="AK134" s="552"/>
      <c r="AL134" s="552"/>
      <c r="AM134" s="552"/>
      <c r="AN134" s="552"/>
      <c r="AO134" s="552"/>
      <c r="AP134" s="552"/>
      <c r="AQ134" s="552"/>
      <c r="AR134" s="552"/>
      <c r="AS134" s="552"/>
      <c r="AT134" s="552"/>
      <c r="AU134" s="552"/>
      <c r="AV134" s="552"/>
      <c r="AW134" s="778"/>
      <c r="AX134" s="779"/>
      <c r="AY134" s="780"/>
    </row>
    <row r="135">
      <c r="A135" s="538"/>
      <c r="B135" s="538"/>
      <c r="C135" s="143" t="s">
        <v>565</v>
      </c>
      <c r="F135" s="533"/>
      <c r="G135" s="533"/>
      <c r="H135" s="680"/>
      <c r="I135" s="552"/>
      <c r="J135" s="552"/>
      <c r="K135" s="552"/>
      <c r="L135" s="552"/>
      <c r="M135" s="552"/>
      <c r="N135" s="552"/>
      <c r="O135" s="552"/>
      <c r="P135" s="552"/>
      <c r="Q135" s="553"/>
      <c r="R135" s="552"/>
      <c r="S135" s="552"/>
      <c r="T135" s="552"/>
      <c r="U135" s="552"/>
      <c r="V135" s="552"/>
      <c r="W135" s="552"/>
      <c r="X135" s="552"/>
      <c r="Y135" s="552"/>
      <c r="Z135" s="552"/>
      <c r="AA135" s="552"/>
      <c r="AB135" s="552"/>
      <c r="AC135" s="552"/>
      <c r="AD135" s="552"/>
      <c r="AE135" s="552"/>
      <c r="AF135" s="552"/>
      <c r="AG135" s="552"/>
      <c r="AH135" s="552"/>
      <c r="AI135" s="552"/>
      <c r="AJ135" s="552"/>
      <c r="AK135" s="552"/>
      <c r="AL135" s="552"/>
      <c r="AM135" s="552"/>
      <c r="AN135" s="552"/>
      <c r="AO135" s="552"/>
      <c r="AP135" s="552"/>
      <c r="AQ135" s="552"/>
      <c r="AR135" s="552"/>
      <c r="AS135" s="552"/>
      <c r="AT135" s="552"/>
      <c r="AU135" s="552"/>
      <c r="AV135" s="552"/>
      <c r="AW135" s="778"/>
      <c r="AX135" s="779"/>
      <c r="AY135" s="780"/>
    </row>
    <row r="136">
      <c r="A136" s="776"/>
      <c r="B136" s="538"/>
      <c r="C136" s="538"/>
      <c r="D136" s="538"/>
      <c r="E136" s="782" t="s">
        <v>567</v>
      </c>
      <c r="F136" s="539" t="s">
        <v>72</v>
      </c>
      <c r="G136" s="540" t="s">
        <v>165</v>
      </c>
      <c r="H136" s="808" t="s">
        <v>162</v>
      </c>
      <c r="I136" s="542">
        <f>IFERROR(__xludf.DUMMYFUNCTION("FILTER('GBD estimates'!$G$3:$G$1371,'GBD estimates'!$B$3:$B$1371=I$3,'GBD estimates'!$E$3:$E$1371=""Tetanus"",'GBD estimates'!$D$3:$D$1371=""Under 5"")"),1.94494E-4)</f>
        <v>0.000194494</v>
      </c>
      <c r="J136" s="542">
        <f>IFERROR(__xludf.DUMMYFUNCTION("FILTER('GBD estimates'!$G$3:$G$1371,'GBD estimates'!$B$3:$B$1371=J$3,'GBD estimates'!$E$3:$E$1371=""Tetanus"",'GBD estimates'!$D$3:$D$1371=""Under 5"")"),1.65483E-4)</f>
        <v>0.000165483</v>
      </c>
      <c r="K136" s="542">
        <f>IFERROR(__xludf.DUMMYFUNCTION("FILTER('GBD estimates'!$G$3:$G$1371,'GBD estimates'!$B$3:$B$1371=K$3,'GBD estimates'!$E$3:$E$1371=""Tetanus"",'GBD estimates'!$D$3:$D$1371=""Under 5"")"),1.36302E-4)</f>
        <v>0.000136302</v>
      </c>
      <c r="L136" s="542">
        <f t="shared" ref="L136:L144" si="23">AG136</f>
        <v>0.0001208</v>
      </c>
      <c r="M136" s="542">
        <f>IFERROR(__xludf.DUMMYFUNCTION("FILTER('GBD estimates'!$G$3:$G$1371,'GBD estimates'!$B$3:$B$1371=M$3,'GBD estimates'!$E$3:$E$1371=""Tetanus"",'GBD estimates'!$D$3:$D$1371=""Under 5"")"),1.25013E-4)</f>
        <v>0.000125013</v>
      </c>
      <c r="N136" s="542">
        <f>IFERROR(__xludf.DUMMYFUNCTION("FILTER('GBD estimates'!$G$3:$G$1371,'GBD estimates'!$B$3:$B$1371=N$3,'GBD estimates'!$E$3:$E$1371=""Tetanus"",'GBD estimates'!$D$3:$D$1371=""Under 5"")"),1.44148E-4)</f>
        <v>0.000144148</v>
      </c>
      <c r="O136" s="542">
        <f>IFERROR(__xludf.DUMMYFUNCTION("FILTER('GBD estimates'!$G$3:$G$1371,'GBD estimates'!$B$3:$B$1371=O$3,'GBD estimates'!$E$3:$E$1371=""Tetanus"",'GBD estimates'!$D$3:$D$1371=""Under 5"")"),2.89399E-4)</f>
        <v>0.000289399</v>
      </c>
      <c r="P136" s="542">
        <f>IFERROR(__xludf.DUMMYFUNCTION("FILTER('GBD estimates'!$G$3:$G$1371,'GBD estimates'!$B$3:$B$1371=P$3,'GBD estimates'!$E$3:$E$1371=""Tetanus"",'GBD estimates'!$D$3:$D$1371=""Under 5"")"),3.83113E-4)</f>
        <v>0.000383113</v>
      </c>
      <c r="Q136" s="543">
        <f>IFERROR(__xludf.DUMMYFUNCTION("FILTER('GBD estimates'!$G$3:$G$1371,'GBD estimates'!$B$3:$B$1371=Q$3,'GBD estimates'!$E$3:$E$1371=""Tetanus"",'GBD estimates'!$D$3:$D$1371=""Under 5"")"),3.56266E-4)</f>
        <v>0.000356266</v>
      </c>
      <c r="R136" s="542">
        <f>IFERROR(__xludf.DUMMYFUNCTION("FILTER('GBD estimates'!$G$3:$G$1371,'GBD estimates'!$B$3:$B$1371=R$3,'GBD estimates'!$E$3:$E$1371=""Tetanus"",'GBD estimates'!$D$3:$D$1371=""Under 5"")"),6.91E-5)</f>
        <v>0.0000691</v>
      </c>
      <c r="S136" s="542">
        <f>IFERROR(__xludf.DUMMYFUNCTION("FILTER('GBD estimates'!$G$3:$G$1371,'GBD estimates'!$B$3:$B$1371=S$3,'GBD estimates'!$E$3:$E$1371=""Tetanus"",'GBD estimates'!$D$3:$D$1371=""Under 5"")"),1.07375E-4)</f>
        <v>0.000107375</v>
      </c>
      <c r="T136" s="542">
        <f>IFERROR(__xludf.DUMMYFUNCTION("FILTER('GBD estimates'!$G$3:$G$1371,'GBD estimates'!$B$3:$B$1371=T$3,'GBD estimates'!$E$3:$E$1371=""Tetanus"",'GBD estimates'!$D$3:$D$1371=""Under 5"")"),6.96E-5)</f>
        <v>0.0000696</v>
      </c>
      <c r="U136" s="542">
        <f>IFERROR(__xludf.DUMMYFUNCTION("FILTER('GBD estimates'!$G$3:$G$1371,'GBD estimates'!$B$3:$B$1371=U$3,'GBD estimates'!$E$3:$E$1371=""Tetanus"",'GBD estimates'!$D$3:$D$1371=""Under 5"")"),5.67E-5)</f>
        <v>0.0000567</v>
      </c>
      <c r="V136" s="542">
        <f>IFERROR(__xludf.DUMMYFUNCTION("FILTER('GBD estimates'!$G$3:$G$1371,'GBD estimates'!$B$3:$B$1371=V$3,'GBD estimates'!$E$3:$E$1371=""Tetanus"",'GBD estimates'!$D$3:$D$1371=""Under 5"")"),6.48E-5)</f>
        <v>0.0000648</v>
      </c>
      <c r="W136" s="542">
        <f>IFERROR(__xludf.DUMMYFUNCTION("FILTER('GBD estimates'!$G$3:$G$1371,'GBD estimates'!$B$3:$B$1371=W$3,'GBD estimates'!$E$3:$E$1371=""Tetanus"",'GBD estimates'!$D$3:$D$1371=""Under 5"")"),7.98E-5)</f>
        <v>0.0000798</v>
      </c>
      <c r="X136" s="542">
        <f>IFERROR(__xludf.DUMMYFUNCTION("FILTER('GBD estimates'!$G$3:$G$1371,'GBD estimates'!$B$3:$B$1371=X$3,'GBD estimates'!$E$3:$E$1371=""Tetanus"",'GBD estimates'!$D$3:$D$1371=""Under 5"")"),5.96E-5)</f>
        <v>0.0000596</v>
      </c>
      <c r="Y136" s="542">
        <f>IFERROR(__xludf.DUMMYFUNCTION("FILTER('GBD estimates'!$G$3:$G$1371,'GBD estimates'!$B$3:$B$1371=Y$3,'GBD estimates'!$E$3:$E$1371=""Tetanus"",'GBD estimates'!$D$3:$D$1371=""Under 5"")"),6.6E-5)</f>
        <v>0.000066</v>
      </c>
      <c r="Z136" s="542">
        <f>IFERROR(__xludf.DUMMYFUNCTION("FILTER('GBD estimates'!$G$3:$G$1371,'GBD estimates'!$B$3:$B$1371=Z$3,'GBD estimates'!$E$3:$E$1371=""Tetanus"",'GBD estimates'!$D$3:$D$1371=""Under 5"")"),9.39E-5)</f>
        <v>0.0000939</v>
      </c>
      <c r="AA136" s="542">
        <f>IFERROR(__xludf.DUMMYFUNCTION("FILTER('GBD estimates'!$G$3:$G$1371,'GBD estimates'!$B$3:$B$1371=AA$3,'GBD estimates'!$E$3:$E$1371=""Tetanus"",'GBD estimates'!$D$3:$D$1371=""Under 5"")"),1.27965E-4)</f>
        <v>0.000127965</v>
      </c>
      <c r="AB136" s="542">
        <f>IFERROR(__xludf.DUMMYFUNCTION("FILTER('GBD estimates'!$G$3:$G$1371,'GBD estimates'!$B$3:$B$1371=AB$3,'GBD estimates'!$E$3:$E$1371=""Tetanus"",'GBD estimates'!$D$3:$D$1371=""Under 5"")"),7.68E-5)</f>
        <v>0.0000768</v>
      </c>
      <c r="AC136" s="542">
        <f>IFERROR(__xludf.DUMMYFUNCTION("FILTER('GBD estimates'!$G$3:$G$1371,'GBD estimates'!$B$3:$B$1371=AC$3,'GBD estimates'!$E$3:$E$1371=""Tetanus"",'GBD estimates'!$D$3:$D$1371=""Under 5"")"),8.61E-5)</f>
        <v>0.0000861</v>
      </c>
      <c r="AD136" s="542">
        <f>IFERROR(__xludf.DUMMYFUNCTION("FILTER('GBD estimates'!$G$3:$G$1371,'GBD estimates'!$B$3:$B$1371=AD$3,'GBD estimates'!$E$3:$E$1371=""Tetanus"",'GBD estimates'!$D$3:$D$1371=""Under 5"")"),6.07E-5)</f>
        <v>0.0000607</v>
      </c>
      <c r="AE136" s="542">
        <f>IFERROR(__xludf.DUMMYFUNCTION("FILTER('GBD estimates'!$G$3:$G$1371,'GBD estimates'!$B$3:$B$1371=AE$3,'GBD estimates'!$E$3:$E$1371=""Tetanus"",'GBD estimates'!$D$3:$D$1371=""Under 5"")"),9.34E-5)</f>
        <v>0.0000934</v>
      </c>
      <c r="AF136" s="542">
        <f>IFERROR(__xludf.DUMMYFUNCTION("FILTER('GBD estimates'!$G$3:$G$1371,'GBD estimates'!$B$3:$B$1371=AF$3,'GBD estimates'!$E$3:$E$1371=""Tetanus"",'GBD estimates'!$D$3:$D$1371=""Under 5"")"),5.84E-5)</f>
        <v>0.0000584</v>
      </c>
      <c r="AG136" s="542">
        <f>IFERROR(__xludf.DUMMYFUNCTION("FILTER('GBD estimates'!$G$3:$G$1371,'GBD estimates'!$B$3:$B$1371=AG$3,'GBD estimates'!$E$3:$E$1371=""Tetanus"",'GBD estimates'!$D$3:$D$1371=""Under 5"")"),1.208E-4)</f>
        <v>0.0001208</v>
      </c>
      <c r="AH136" s="542">
        <f>IFERROR(__xludf.DUMMYFUNCTION("FILTER('GBD estimates'!$G$3:$G$1371,'GBD estimates'!$B$3:$B$1371=AH$3,'GBD estimates'!$E$3:$E$1371=""Tetanus"",'GBD estimates'!$D$3:$D$1371=""Under 5"")"),7.44E-5)</f>
        <v>0.0000744</v>
      </c>
      <c r="AI136" s="542">
        <f>IFERROR(__xludf.DUMMYFUNCTION("FILTER('GBD estimates'!$G$3:$G$1371,'GBD estimates'!$B$3:$B$1371=AI$3,'GBD estimates'!$E$3:$E$1371=""Tetanus"",'GBD estimates'!$D$3:$D$1371=""Under 5"")"),7.84E-5)</f>
        <v>0.0000784</v>
      </c>
      <c r="AJ136" s="542">
        <f>IFERROR(__xludf.DUMMYFUNCTION("FILTER('GBD estimates'!$G$3:$G$1371,'GBD estimates'!$B$3:$B$1371=AJ$3,'GBD estimates'!$E$3:$E$1371=""Tetanus"",'GBD estimates'!$D$3:$D$1371=""Under 5"")"),6.53E-5)</f>
        <v>0.0000653</v>
      </c>
      <c r="AK136" s="542">
        <f>IFERROR(__xludf.DUMMYFUNCTION("FILTER('GBD estimates'!$G$3:$G$1371,'GBD estimates'!$B$3:$B$1371=AK$3,'GBD estimates'!$E$3:$E$1371=""Tetanus"",'GBD estimates'!$D$3:$D$1371=""Under 5"")"),9.15E-5)</f>
        <v>0.0000915</v>
      </c>
      <c r="AL136" s="542">
        <f>IFERROR(__xludf.DUMMYFUNCTION("FILTER('GBD estimates'!$G$3:$G$1371,'GBD estimates'!$B$3:$B$1371=AL$3,'GBD estimates'!$E$3:$E$1371=""Tetanus"",'GBD estimates'!$D$3:$D$1371=""Under 5"")"),1.20712E-4)</f>
        <v>0.000120712</v>
      </c>
      <c r="AM136" s="542">
        <f t="shared" ref="AM136:AN136" si="22">AL136</f>
        <v>0.000120712</v>
      </c>
      <c r="AN136" s="542">
        <f t="shared" si="22"/>
        <v>0.000120712</v>
      </c>
      <c r="AO136" s="542">
        <f>IFERROR(__xludf.DUMMYFUNCTION("FILTER('GBD estimates'!$G$3:$G$1371,'GBD estimates'!$B$3:$B$1371=AO$3,'GBD estimates'!$E$3:$E$1371=""Tetanus"",'GBD estimates'!$D$3:$D$1371=""Under 5"")"),9.74E-5)</f>
        <v>0.0000974</v>
      </c>
      <c r="AP136" s="542">
        <f>IFERROR(__xludf.DUMMYFUNCTION("FILTER('GBD estimates'!$G$3:$G$1371,'GBD estimates'!$B$3:$B$1371=AP$3,'GBD estimates'!$E$3:$E$1371=""Tetanus"",'GBD estimates'!$D$3:$D$1371=""Under 5"")"),7.27E-5)</f>
        <v>0.0000727</v>
      </c>
      <c r="AQ136" s="542">
        <f>IFERROR(__xludf.DUMMYFUNCTION("FILTER('GBD estimates'!$G$3:$G$1371,'GBD estimates'!$B$3:$B$1371=AQ$3,'GBD estimates'!$E$3:$E$1371=""Tetanus"",'GBD estimates'!$D$3:$D$1371=""Under 5"")"),6.5E-5)</f>
        <v>0.000065</v>
      </c>
      <c r="AR136" s="542">
        <f>IFERROR(__xludf.DUMMYFUNCTION("FILTER('GBD estimates'!$G$3:$G$1371,'GBD estimates'!$B$3:$B$1371=AR$3,'GBD estimates'!$E$3:$E$1371=""Tetanus"",'GBD estimates'!$D$3:$D$1371=""Under 5"")"),5.18E-5)</f>
        <v>0.0000518</v>
      </c>
      <c r="AS136" s="542">
        <f>IFERROR(__xludf.DUMMYFUNCTION("FILTER('GBD estimates'!$G$3:$G$1371,'GBD estimates'!$B$3:$B$1371=AS$3,'GBD estimates'!$E$3:$E$1371=""Tetanus"",'GBD estimates'!$D$3:$D$1371=""Under 5"")"),7.79E-5)</f>
        <v>0.0000779</v>
      </c>
      <c r="AT136" s="542">
        <f>IFERROR(__xludf.DUMMYFUNCTION("FILTER('GBD estimates'!$G$3:$G$1371,'GBD estimates'!$B$3:$B$1371=AT$3,'GBD estimates'!$E$3:$E$1371=""Tetanus"",'GBD estimates'!$D$3:$D$1371=""Under 5"")"),8.49E-5)</f>
        <v>0.0000849</v>
      </c>
      <c r="AU136" s="542">
        <f>IFERROR(__xludf.DUMMYFUNCTION("FILTER('GBD estimates'!$G$3:$G$1371,'GBD estimates'!$B$3:$B$1371=AU$3,'GBD estimates'!$E$3:$E$1371=""Tetanus"",'GBD estimates'!$D$3:$D$1371=""Under 5"")"),1.01093E-4)</f>
        <v>0.000101093</v>
      </c>
      <c r="AV136" s="542">
        <f>IFERROR(__xludf.DUMMYFUNCTION("FILTER('GBD estimates'!$G$3:$G$1371,'GBD estimates'!$B$3:$B$1371=AV$3,'GBD estimates'!$E$3:$E$1371=""Tetanus"",'GBD estimates'!$D$3:$D$1371=""Under 5"")"),1.33492E-4)</f>
        <v>0.000133492</v>
      </c>
      <c r="AW136" s="784"/>
      <c r="AX136" s="797" t="s">
        <v>999</v>
      </c>
      <c r="AY136" s="786"/>
    </row>
    <row r="137">
      <c r="A137" s="776"/>
      <c r="B137" s="538"/>
      <c r="C137" s="538"/>
      <c r="D137" s="538"/>
      <c r="E137" s="475" t="s">
        <v>568</v>
      </c>
      <c r="F137" s="554" t="s">
        <v>72</v>
      </c>
      <c r="G137" s="555" t="s">
        <v>165</v>
      </c>
      <c r="H137" s="811" t="s">
        <v>162</v>
      </c>
      <c r="I137" s="542">
        <f>IFERROR(__xludf.DUMMYFUNCTION("FILTER('GBD estimates'!$G$3:$G$1371,'GBD estimates'!$B$3:$B$1371=I$3,'GBD estimates'!$E$3:$E$1371=""Tetanus"",'GBD estimates'!$D$3:$D$1371=""5-14 years"")"),4.07E-5)</f>
        <v>0.0000407</v>
      </c>
      <c r="J137" s="542">
        <f>IFERROR(__xludf.DUMMYFUNCTION("FILTER('GBD estimates'!$G$3:$G$1371,'GBD estimates'!$B$3:$B$1371=J$3,'GBD estimates'!$E$3:$E$1371=""Tetanus"",'GBD estimates'!$D$3:$D$1371=""5-14 years"")"),4.22E-5)</f>
        <v>0.0000422</v>
      </c>
      <c r="K137" s="542">
        <f>IFERROR(__xludf.DUMMYFUNCTION("FILTER('GBD estimates'!$G$3:$G$1371,'GBD estimates'!$B$3:$B$1371=K$3,'GBD estimates'!$E$3:$E$1371=""Tetanus"",'GBD estimates'!$D$3:$D$1371=""5-14 years"")"),4.08E-5)</f>
        <v>0.0000408</v>
      </c>
      <c r="L137" s="542">
        <f t="shared" si="23"/>
        <v>0.0000254</v>
      </c>
      <c r="M137" s="542">
        <f>IFERROR(__xludf.DUMMYFUNCTION("FILTER('GBD estimates'!$G$3:$G$1371,'GBD estimates'!$B$3:$B$1371=M$3,'GBD estimates'!$E$3:$E$1371=""Tetanus"",'GBD estimates'!$D$3:$D$1371=""5-14 years"")"),2.96E-5)</f>
        <v>0.0000296</v>
      </c>
      <c r="N137" s="542">
        <f>IFERROR(__xludf.DUMMYFUNCTION("FILTER('GBD estimates'!$G$3:$G$1371,'GBD estimates'!$B$3:$B$1371=N$3,'GBD estimates'!$E$3:$E$1371=""Tetanus"",'GBD estimates'!$D$3:$D$1371=""5-14 years"")"),3.15E-5)</f>
        <v>0.0000315</v>
      </c>
      <c r="O137" s="542">
        <f>IFERROR(__xludf.DUMMYFUNCTION("FILTER('GBD estimates'!$G$3:$G$1371,'GBD estimates'!$B$3:$B$1371=O$3,'GBD estimates'!$E$3:$E$1371=""Tetanus"",'GBD estimates'!$D$3:$D$1371=""5-14 years"")"),5.0E-5)</f>
        <v>0.00005</v>
      </c>
      <c r="P137" s="542">
        <f>IFERROR(__xludf.DUMMYFUNCTION("FILTER('GBD estimates'!$G$3:$G$1371,'GBD estimates'!$B$3:$B$1371=P$3,'GBD estimates'!$E$3:$E$1371=""Tetanus"",'GBD estimates'!$D$3:$D$1371=""5-14 years"")"),7.96E-5)</f>
        <v>0.0000796</v>
      </c>
      <c r="Q137" s="543">
        <f>IFERROR(__xludf.DUMMYFUNCTION("FILTER('GBD estimates'!$G$3:$G$1371,'GBD estimates'!$B$3:$B$1371=Q$3,'GBD estimates'!$E$3:$E$1371=""Tetanus"",'GBD estimates'!$D$3:$D$1371=""5-14 years"")"),7.61E-5)</f>
        <v>0.0000761</v>
      </c>
      <c r="R137" s="542">
        <f>IFERROR(__xludf.DUMMYFUNCTION("FILTER('GBD estimates'!$G$3:$G$1371,'GBD estimates'!$B$3:$B$1371=R$3,'GBD estimates'!$E$3:$E$1371=""Tetanus"",'GBD estimates'!$D$3:$D$1371=""5-14 years"")"),9.49E-6)</f>
        <v>0.00000949</v>
      </c>
      <c r="S137" s="542">
        <f>IFERROR(__xludf.DUMMYFUNCTION("FILTER('GBD estimates'!$G$3:$G$1371,'GBD estimates'!$B$3:$B$1371=S$3,'GBD estimates'!$E$3:$E$1371=""Tetanus"",'GBD estimates'!$D$3:$D$1371=""5-14 years"")"),2.35E-5)</f>
        <v>0.0000235</v>
      </c>
      <c r="T137" s="542">
        <f>IFERROR(__xludf.DUMMYFUNCTION("FILTER('GBD estimates'!$G$3:$G$1371,'GBD estimates'!$B$3:$B$1371=T$3,'GBD estimates'!$E$3:$E$1371=""Tetanus"",'GBD estimates'!$D$3:$D$1371=""5-14 years"")"),7.33E-6)</f>
        <v>0.00000733</v>
      </c>
      <c r="U137" s="542">
        <f>IFERROR(__xludf.DUMMYFUNCTION("FILTER('GBD estimates'!$G$3:$G$1371,'GBD estimates'!$B$3:$B$1371=U$3,'GBD estimates'!$E$3:$E$1371=""Tetanus"",'GBD estimates'!$D$3:$D$1371=""5-14 years"")"),6.22E-6)</f>
        <v>0.00000622</v>
      </c>
      <c r="V137" s="542">
        <f>IFERROR(__xludf.DUMMYFUNCTION("FILTER('GBD estimates'!$G$3:$G$1371,'GBD estimates'!$B$3:$B$1371=V$3,'GBD estimates'!$E$3:$E$1371=""Tetanus"",'GBD estimates'!$D$3:$D$1371=""5-14 years"")"),1.07E-5)</f>
        <v>0.0000107</v>
      </c>
      <c r="W137" s="542">
        <f>IFERROR(__xludf.DUMMYFUNCTION("FILTER('GBD estimates'!$G$3:$G$1371,'GBD estimates'!$B$3:$B$1371=W$3,'GBD estimates'!$E$3:$E$1371=""Tetanus"",'GBD estimates'!$D$3:$D$1371=""5-14 years"")"),1.14E-5)</f>
        <v>0.0000114</v>
      </c>
      <c r="X137" s="542">
        <f>IFERROR(__xludf.DUMMYFUNCTION("FILTER('GBD estimates'!$G$3:$G$1371,'GBD estimates'!$B$3:$B$1371=X$3,'GBD estimates'!$E$3:$E$1371=""Tetanus"",'GBD estimates'!$D$3:$D$1371=""5-14 years"")"),1.16E-5)</f>
        <v>0.0000116</v>
      </c>
      <c r="Y137" s="542">
        <f>IFERROR(__xludf.DUMMYFUNCTION("FILTER('GBD estimates'!$G$3:$G$1371,'GBD estimates'!$B$3:$B$1371=Y$3,'GBD estimates'!$E$3:$E$1371=""Tetanus"",'GBD estimates'!$D$3:$D$1371=""5-14 years"")"),7.74E-6)</f>
        <v>0.00000774</v>
      </c>
      <c r="Z137" s="542">
        <f>IFERROR(__xludf.DUMMYFUNCTION("FILTER('GBD estimates'!$G$3:$G$1371,'GBD estimates'!$B$3:$B$1371=Z$3,'GBD estimates'!$E$3:$E$1371=""Tetanus"",'GBD estimates'!$D$3:$D$1371=""5-14 years"")"),9.08E-6)</f>
        <v>0.00000908</v>
      </c>
      <c r="AA137" s="542">
        <f>IFERROR(__xludf.DUMMYFUNCTION("FILTER('GBD estimates'!$G$3:$G$1371,'GBD estimates'!$B$3:$B$1371=AA$3,'GBD estimates'!$E$3:$E$1371=""Tetanus"",'GBD estimates'!$D$3:$D$1371=""5-14 years"")"),1.38E-5)</f>
        <v>0.0000138</v>
      </c>
      <c r="AB137" s="542">
        <f>IFERROR(__xludf.DUMMYFUNCTION("FILTER('GBD estimates'!$G$3:$G$1371,'GBD estimates'!$B$3:$B$1371=AB$3,'GBD estimates'!$E$3:$E$1371=""Tetanus"",'GBD estimates'!$D$3:$D$1371=""5-14 years"")"),8.51E-6)</f>
        <v>0.00000851</v>
      </c>
      <c r="AC137" s="542">
        <f>IFERROR(__xludf.DUMMYFUNCTION("FILTER('GBD estimates'!$G$3:$G$1371,'GBD estimates'!$B$3:$B$1371=AC$3,'GBD estimates'!$E$3:$E$1371=""Tetanus"",'GBD estimates'!$D$3:$D$1371=""5-14 years"")"),7.81E-6)</f>
        <v>0.00000781</v>
      </c>
      <c r="AD137" s="542">
        <f>IFERROR(__xludf.DUMMYFUNCTION("FILTER('GBD estimates'!$G$3:$G$1371,'GBD estimates'!$B$3:$B$1371=AD$3,'GBD estimates'!$E$3:$E$1371=""Tetanus"",'GBD estimates'!$D$3:$D$1371=""5-14 years"")"),6.88E-6)</f>
        <v>0.00000688</v>
      </c>
      <c r="AE137" s="542">
        <f>IFERROR(__xludf.DUMMYFUNCTION("FILTER('GBD estimates'!$G$3:$G$1371,'GBD estimates'!$B$3:$B$1371=AE$3,'GBD estimates'!$E$3:$E$1371=""Tetanus"",'GBD estimates'!$D$3:$D$1371=""5-14 years"")"),1.0E-5)</f>
        <v>0.00001</v>
      </c>
      <c r="AF137" s="542">
        <f>IFERROR(__xludf.DUMMYFUNCTION("FILTER('GBD estimates'!$G$3:$G$1371,'GBD estimates'!$B$3:$B$1371=AF$3,'GBD estimates'!$E$3:$E$1371=""Tetanus"",'GBD estimates'!$D$3:$D$1371=""5-14 years"")"),7.27E-6)</f>
        <v>0.00000727</v>
      </c>
      <c r="AG137" s="542">
        <f>IFERROR(__xludf.DUMMYFUNCTION("FILTER('GBD estimates'!$G$3:$G$1371,'GBD estimates'!$B$3:$B$1371=AG$3,'GBD estimates'!$E$3:$E$1371=""Tetanus"",'GBD estimates'!$D$3:$D$1371=""5-14 years"")"),2.54E-5)</f>
        <v>0.0000254</v>
      </c>
      <c r="AH137" s="542">
        <f>IFERROR(__xludf.DUMMYFUNCTION("FILTER('GBD estimates'!$G$3:$G$1371,'GBD estimates'!$B$3:$B$1371=AH$3,'GBD estimates'!$E$3:$E$1371=""Tetanus"",'GBD estimates'!$D$3:$D$1371=""5-14 years"")"),1.02E-5)</f>
        <v>0.0000102</v>
      </c>
      <c r="AI137" s="542">
        <f>IFERROR(__xludf.DUMMYFUNCTION("FILTER('GBD estimates'!$G$3:$G$1371,'GBD estimates'!$B$3:$B$1371=AI$3,'GBD estimates'!$E$3:$E$1371=""Tetanus"",'GBD estimates'!$D$3:$D$1371=""5-14 years"")"),8.73E-6)</f>
        <v>0.00000873</v>
      </c>
      <c r="AJ137" s="542">
        <f>IFERROR(__xludf.DUMMYFUNCTION("FILTER('GBD estimates'!$G$3:$G$1371,'GBD estimates'!$B$3:$B$1371=AJ$3,'GBD estimates'!$E$3:$E$1371=""Tetanus"",'GBD estimates'!$D$3:$D$1371=""5-14 years"")"),5.24E-6)</f>
        <v>0.00000524</v>
      </c>
      <c r="AK137" s="542">
        <f>IFERROR(__xludf.DUMMYFUNCTION("FILTER('GBD estimates'!$G$3:$G$1371,'GBD estimates'!$B$3:$B$1371=AK$3,'GBD estimates'!$E$3:$E$1371=""Tetanus"",'GBD estimates'!$D$3:$D$1371=""5-14 years"")"),1.32E-5)</f>
        <v>0.0000132</v>
      </c>
      <c r="AL137" s="542">
        <f>IFERROR(__xludf.DUMMYFUNCTION("FILTER('GBD estimates'!$G$3:$G$1371,'GBD estimates'!$B$3:$B$1371=AL$3,'GBD estimates'!$E$3:$E$1371=""Tetanus"",'GBD estimates'!$D$3:$D$1371=""5-14 years"")"),2.49E-5)</f>
        <v>0.0000249</v>
      </c>
      <c r="AM137" s="542">
        <f t="shared" ref="AM137:AN137" si="24">AL137</f>
        <v>0.0000249</v>
      </c>
      <c r="AN137" s="542">
        <f t="shared" si="24"/>
        <v>0.0000249</v>
      </c>
      <c r="AO137" s="542">
        <f>IFERROR(__xludf.DUMMYFUNCTION("FILTER('GBD estimates'!$G$3:$G$1371,'GBD estimates'!$B$3:$B$1371=AO$3,'GBD estimates'!$E$3:$E$1371=""Tetanus"",'GBD estimates'!$D$3:$D$1371=""5-14 years"")"),1.05E-5)</f>
        <v>0.0000105</v>
      </c>
      <c r="AP137" s="542">
        <f>IFERROR(__xludf.DUMMYFUNCTION("FILTER('GBD estimates'!$G$3:$G$1371,'GBD estimates'!$B$3:$B$1371=AP$3,'GBD estimates'!$E$3:$E$1371=""Tetanus"",'GBD estimates'!$D$3:$D$1371=""5-14 years"")"),9.4E-6)</f>
        <v>0.0000094</v>
      </c>
      <c r="AQ137" s="542">
        <f>IFERROR(__xludf.DUMMYFUNCTION("FILTER('GBD estimates'!$G$3:$G$1371,'GBD estimates'!$B$3:$B$1371=AQ$3,'GBD estimates'!$E$3:$E$1371=""Tetanus"",'GBD estimates'!$D$3:$D$1371=""5-14 years"")"),5.24E-6)</f>
        <v>0.00000524</v>
      </c>
      <c r="AR137" s="542">
        <f>IFERROR(__xludf.DUMMYFUNCTION("FILTER('GBD estimates'!$G$3:$G$1371,'GBD estimates'!$B$3:$B$1371=AR$3,'GBD estimates'!$E$3:$E$1371=""Tetanus"",'GBD estimates'!$D$3:$D$1371=""5-14 years"")"),7.28E-6)</f>
        <v>0.00000728</v>
      </c>
      <c r="AS137" s="542">
        <f>IFERROR(__xludf.DUMMYFUNCTION("FILTER('GBD estimates'!$G$3:$G$1371,'GBD estimates'!$B$3:$B$1371=AS$3,'GBD estimates'!$E$3:$E$1371=""Tetanus"",'GBD estimates'!$D$3:$D$1371=""5-14 years"")"),1.07E-5)</f>
        <v>0.0000107</v>
      </c>
      <c r="AT137" s="542">
        <f>IFERROR(__xludf.DUMMYFUNCTION("FILTER('GBD estimates'!$G$3:$G$1371,'GBD estimates'!$B$3:$B$1371=AT$3,'GBD estimates'!$E$3:$E$1371=""Tetanus"",'GBD estimates'!$D$3:$D$1371=""5-14 years"")"),8.63E-6)</f>
        <v>0.00000863</v>
      </c>
      <c r="AU137" s="542">
        <f>IFERROR(__xludf.DUMMYFUNCTION("FILTER('GBD estimates'!$G$3:$G$1371,'GBD estimates'!$B$3:$B$1371=AU$3,'GBD estimates'!$E$3:$E$1371=""Tetanus"",'GBD estimates'!$D$3:$D$1371=""5-14 years"")"),2.69E-5)</f>
        <v>0.0000269</v>
      </c>
      <c r="AV137" s="542">
        <f>IFERROR(__xludf.DUMMYFUNCTION("FILTER('GBD estimates'!$G$3:$G$1371,'GBD estimates'!$B$3:$B$1371=AV$3,'GBD estimates'!$E$3:$E$1371=""Tetanus"",'GBD estimates'!$D$3:$D$1371=""5-14 years"")"),2.88E-5)</f>
        <v>0.0000288</v>
      </c>
      <c r="AW137" s="788"/>
      <c r="AX137" s="798" t="s">
        <v>999</v>
      </c>
      <c r="AY137" s="790"/>
    </row>
    <row r="138">
      <c r="A138" s="776"/>
      <c r="B138" s="538"/>
      <c r="C138" s="538"/>
      <c r="D138" s="538"/>
      <c r="E138" s="475" t="s">
        <v>569</v>
      </c>
      <c r="F138" s="554" t="s">
        <v>72</v>
      </c>
      <c r="G138" s="555" t="s">
        <v>165</v>
      </c>
      <c r="H138" s="811" t="s">
        <v>162</v>
      </c>
      <c r="I138" s="542">
        <f>IFERROR(__xludf.DUMMYFUNCTION("FILTER('GBD estimates'!$G$3:$G$1371,'GBD estimates'!$B$3:$B$1371=I$3,'GBD estimates'!$E$3:$E$1371=""Tetanus"",'GBD estimates'!$D$3:$D$1371=""15-49 years"")"),7.96E-5)</f>
        <v>0.0000796</v>
      </c>
      <c r="J138" s="542">
        <f>IFERROR(__xludf.DUMMYFUNCTION("FILTER('GBD estimates'!$G$3:$G$1371,'GBD estimates'!$B$3:$B$1371=J$3,'GBD estimates'!$E$3:$E$1371=""Tetanus"",'GBD estimates'!$D$3:$D$1371=""15-49 years"")"),7.32E-5)</f>
        <v>0.0000732</v>
      </c>
      <c r="K138" s="542">
        <f>IFERROR(__xludf.DUMMYFUNCTION("FILTER('GBD estimates'!$G$3:$G$1371,'GBD estimates'!$B$3:$B$1371=K$3,'GBD estimates'!$E$3:$E$1371=""Tetanus"",'GBD estimates'!$D$3:$D$1371=""15-49 years"")"),9.69E-5)</f>
        <v>0.0000969</v>
      </c>
      <c r="L138" s="542">
        <f t="shared" si="23"/>
        <v>0.0000584</v>
      </c>
      <c r="M138" s="542">
        <f>IFERROR(__xludf.DUMMYFUNCTION("FILTER('GBD estimates'!$G$3:$G$1371,'GBD estimates'!$B$3:$B$1371=M$3,'GBD estimates'!$E$3:$E$1371=""Tetanus"",'GBD estimates'!$D$3:$D$1371=""15-49 years"")"),4.9E-5)</f>
        <v>0.000049</v>
      </c>
      <c r="N138" s="542">
        <f>IFERROR(__xludf.DUMMYFUNCTION("FILTER('GBD estimates'!$G$3:$G$1371,'GBD estimates'!$B$3:$B$1371=N$3,'GBD estimates'!$E$3:$E$1371=""Tetanus"",'GBD estimates'!$D$3:$D$1371=""15-49 years"")"),7.43E-5)</f>
        <v>0.0000743</v>
      </c>
      <c r="O138" s="542">
        <f>IFERROR(__xludf.DUMMYFUNCTION("FILTER('GBD estimates'!$G$3:$G$1371,'GBD estimates'!$B$3:$B$1371=O$3,'GBD estimates'!$E$3:$E$1371=""Tetanus"",'GBD estimates'!$D$3:$D$1371=""15-49 years"")"),1.10427E-4)</f>
        <v>0.000110427</v>
      </c>
      <c r="P138" s="542">
        <f>IFERROR(__xludf.DUMMYFUNCTION("FILTER('GBD estimates'!$G$3:$G$1371,'GBD estimates'!$B$3:$B$1371=P$3,'GBD estimates'!$E$3:$E$1371=""Tetanus"",'GBD estimates'!$D$3:$D$1371=""15-49 years"")"),1.83691E-4)</f>
        <v>0.000183691</v>
      </c>
      <c r="Q138" s="543">
        <f>IFERROR(__xludf.DUMMYFUNCTION("FILTER('GBD estimates'!$G$3:$G$1371,'GBD estimates'!$B$3:$B$1371=Q$3,'GBD estimates'!$E$3:$E$1371=""Tetanus"",'GBD estimates'!$D$3:$D$1371=""15-49 years"")"),1.44104E-4)</f>
        <v>0.000144104</v>
      </c>
      <c r="R138" s="542">
        <f>IFERROR(__xludf.DUMMYFUNCTION("FILTER('GBD estimates'!$G$3:$G$1371,'GBD estimates'!$B$3:$B$1371=R$3,'GBD estimates'!$E$3:$E$1371=""Tetanus"",'GBD estimates'!$D$3:$D$1371=""15-49 years"")"),2.93E-5)</f>
        <v>0.0000293</v>
      </c>
      <c r="S138" s="542">
        <f>IFERROR(__xludf.DUMMYFUNCTION("FILTER('GBD estimates'!$G$3:$G$1371,'GBD estimates'!$B$3:$B$1371=S$3,'GBD estimates'!$E$3:$E$1371=""Tetanus"",'GBD estimates'!$D$3:$D$1371=""15-49 years"")"),5.09E-5)</f>
        <v>0.0000509</v>
      </c>
      <c r="T138" s="542">
        <f>IFERROR(__xludf.DUMMYFUNCTION("FILTER('GBD estimates'!$G$3:$G$1371,'GBD estimates'!$B$3:$B$1371=T$3,'GBD estimates'!$E$3:$E$1371=""Tetanus"",'GBD estimates'!$D$3:$D$1371=""15-49 years"")"),2.8E-5)</f>
        <v>0.000028</v>
      </c>
      <c r="U138" s="542">
        <f>IFERROR(__xludf.DUMMYFUNCTION("FILTER('GBD estimates'!$G$3:$G$1371,'GBD estimates'!$B$3:$B$1371=U$3,'GBD estimates'!$E$3:$E$1371=""Tetanus"",'GBD estimates'!$D$3:$D$1371=""15-49 years"")"),2.31E-5)</f>
        <v>0.0000231</v>
      </c>
      <c r="V138" s="542">
        <f>IFERROR(__xludf.DUMMYFUNCTION("FILTER('GBD estimates'!$G$3:$G$1371,'GBD estimates'!$B$3:$B$1371=V$3,'GBD estimates'!$E$3:$E$1371=""Tetanus"",'GBD estimates'!$D$3:$D$1371=""15-49 years"")"),3.97E-5)</f>
        <v>0.0000397</v>
      </c>
      <c r="W138" s="542">
        <f>IFERROR(__xludf.DUMMYFUNCTION("FILTER('GBD estimates'!$G$3:$G$1371,'GBD estimates'!$B$3:$B$1371=W$3,'GBD estimates'!$E$3:$E$1371=""Tetanus"",'GBD estimates'!$D$3:$D$1371=""15-49 years"")"),3.32E-5)</f>
        <v>0.0000332</v>
      </c>
      <c r="X138" s="542">
        <f>IFERROR(__xludf.DUMMYFUNCTION("FILTER('GBD estimates'!$G$3:$G$1371,'GBD estimates'!$B$3:$B$1371=X$3,'GBD estimates'!$E$3:$E$1371=""Tetanus"",'GBD estimates'!$D$3:$D$1371=""15-49 years"")"),3.02E-5)</f>
        <v>0.0000302</v>
      </c>
      <c r="Y138" s="542">
        <f>IFERROR(__xludf.DUMMYFUNCTION("FILTER('GBD estimates'!$G$3:$G$1371,'GBD estimates'!$B$3:$B$1371=Y$3,'GBD estimates'!$E$3:$E$1371=""Tetanus"",'GBD estimates'!$D$3:$D$1371=""15-49 years"")"),2.75E-5)</f>
        <v>0.0000275</v>
      </c>
      <c r="Z138" s="542">
        <f>IFERROR(__xludf.DUMMYFUNCTION("FILTER('GBD estimates'!$G$3:$G$1371,'GBD estimates'!$B$3:$B$1371=Z$3,'GBD estimates'!$E$3:$E$1371=""Tetanus"",'GBD estimates'!$D$3:$D$1371=""15-49 years"")"),2.88E-5)</f>
        <v>0.0000288</v>
      </c>
      <c r="AA138" s="542">
        <f>IFERROR(__xludf.DUMMYFUNCTION("FILTER('GBD estimates'!$G$3:$G$1371,'GBD estimates'!$B$3:$B$1371=AA$3,'GBD estimates'!$E$3:$E$1371=""Tetanus"",'GBD estimates'!$D$3:$D$1371=""15-49 years"")"),3.84E-5)</f>
        <v>0.0000384</v>
      </c>
      <c r="AB138" s="542">
        <f>IFERROR(__xludf.DUMMYFUNCTION("FILTER('GBD estimates'!$G$3:$G$1371,'GBD estimates'!$B$3:$B$1371=AB$3,'GBD estimates'!$E$3:$E$1371=""Tetanus"",'GBD estimates'!$D$3:$D$1371=""15-49 years"")"),3.04E-5)</f>
        <v>0.0000304</v>
      </c>
      <c r="AC138" s="542">
        <f>IFERROR(__xludf.DUMMYFUNCTION("FILTER('GBD estimates'!$G$3:$G$1371,'GBD estimates'!$B$3:$B$1371=AC$3,'GBD estimates'!$E$3:$E$1371=""Tetanus"",'GBD estimates'!$D$3:$D$1371=""15-49 years"")"),2.61E-5)</f>
        <v>0.0000261</v>
      </c>
      <c r="AD138" s="542">
        <f>IFERROR(__xludf.DUMMYFUNCTION("FILTER('GBD estimates'!$G$3:$G$1371,'GBD estimates'!$B$3:$B$1371=AD$3,'GBD estimates'!$E$3:$E$1371=""Tetanus"",'GBD estimates'!$D$3:$D$1371=""15-49 years"")"),2.74E-5)</f>
        <v>0.0000274</v>
      </c>
      <c r="AE138" s="542">
        <f>IFERROR(__xludf.DUMMYFUNCTION("FILTER('GBD estimates'!$G$3:$G$1371,'GBD estimates'!$B$3:$B$1371=AE$3,'GBD estimates'!$E$3:$E$1371=""Tetanus"",'GBD estimates'!$D$3:$D$1371=""15-49 years"")"),2.85E-5)</f>
        <v>0.0000285</v>
      </c>
      <c r="AF138" s="542">
        <f>IFERROR(__xludf.DUMMYFUNCTION("FILTER('GBD estimates'!$G$3:$G$1371,'GBD estimates'!$B$3:$B$1371=AF$3,'GBD estimates'!$E$3:$E$1371=""Tetanus"",'GBD estimates'!$D$3:$D$1371=""15-49 years"")"),2.63E-5)</f>
        <v>0.0000263</v>
      </c>
      <c r="AG138" s="542">
        <f>IFERROR(__xludf.DUMMYFUNCTION("FILTER('GBD estimates'!$G$3:$G$1371,'GBD estimates'!$B$3:$B$1371=AG$3,'GBD estimates'!$E$3:$E$1371=""Tetanus"",'GBD estimates'!$D$3:$D$1371=""15-49 years"")"),5.84E-5)</f>
        <v>0.0000584</v>
      </c>
      <c r="AH138" s="542">
        <f>IFERROR(__xludf.DUMMYFUNCTION("FILTER('GBD estimates'!$G$3:$G$1371,'GBD estimates'!$B$3:$B$1371=AH$3,'GBD estimates'!$E$3:$E$1371=""Tetanus"",'GBD estimates'!$D$3:$D$1371=""15-49 years"")"),3.78E-5)</f>
        <v>0.0000378</v>
      </c>
      <c r="AI138" s="542">
        <f>IFERROR(__xludf.DUMMYFUNCTION("FILTER('GBD estimates'!$G$3:$G$1371,'GBD estimates'!$B$3:$B$1371=AI$3,'GBD estimates'!$E$3:$E$1371=""Tetanus"",'GBD estimates'!$D$3:$D$1371=""15-49 years"")"),3.87E-5)</f>
        <v>0.0000387</v>
      </c>
      <c r="AJ138" s="542">
        <f>IFERROR(__xludf.DUMMYFUNCTION("FILTER('GBD estimates'!$G$3:$G$1371,'GBD estimates'!$B$3:$B$1371=AJ$3,'GBD estimates'!$E$3:$E$1371=""Tetanus"",'GBD estimates'!$D$3:$D$1371=""15-49 years"")"),1.7E-5)</f>
        <v>0.000017</v>
      </c>
      <c r="AK138" s="542">
        <f>IFERROR(__xludf.DUMMYFUNCTION("FILTER('GBD estimates'!$G$3:$G$1371,'GBD estimates'!$B$3:$B$1371=AK$3,'GBD estimates'!$E$3:$E$1371=""Tetanus"",'GBD estimates'!$D$3:$D$1371=""15-49 years"")"),4.11E-5)</f>
        <v>0.0000411</v>
      </c>
      <c r="AL138" s="542">
        <f>IFERROR(__xludf.DUMMYFUNCTION("FILTER('GBD estimates'!$G$3:$G$1371,'GBD estimates'!$B$3:$B$1371=AL$3,'GBD estimates'!$E$3:$E$1371=""Tetanus"",'GBD estimates'!$D$3:$D$1371=""15-49 years"")"),7.03E-5)</f>
        <v>0.0000703</v>
      </c>
      <c r="AM138" s="542">
        <f t="shared" ref="AM138:AN138" si="25">AL138</f>
        <v>0.0000703</v>
      </c>
      <c r="AN138" s="542">
        <f t="shared" si="25"/>
        <v>0.0000703</v>
      </c>
      <c r="AO138" s="542">
        <f>IFERROR(__xludf.DUMMYFUNCTION("FILTER('GBD estimates'!$G$3:$G$1371,'GBD estimates'!$B$3:$B$1371=AO$3,'GBD estimates'!$E$3:$E$1371=""Tetanus"",'GBD estimates'!$D$3:$D$1371=""15-49 years"")"),3.94E-5)</f>
        <v>0.0000394</v>
      </c>
      <c r="AP138" s="542">
        <f>IFERROR(__xludf.DUMMYFUNCTION("FILTER('GBD estimates'!$G$3:$G$1371,'GBD estimates'!$B$3:$B$1371=AP$3,'GBD estimates'!$E$3:$E$1371=""Tetanus"",'GBD estimates'!$D$3:$D$1371=""15-49 years"")"),2.99E-5)</f>
        <v>0.0000299</v>
      </c>
      <c r="AQ138" s="542">
        <f>IFERROR(__xludf.DUMMYFUNCTION("FILTER('GBD estimates'!$G$3:$G$1371,'GBD estimates'!$B$3:$B$1371=AQ$3,'GBD estimates'!$E$3:$E$1371=""Tetanus"",'GBD estimates'!$D$3:$D$1371=""15-49 years"")"),1.99E-5)</f>
        <v>0.0000199</v>
      </c>
      <c r="AR138" s="542">
        <f>IFERROR(__xludf.DUMMYFUNCTION("FILTER('GBD estimates'!$G$3:$G$1371,'GBD estimates'!$B$3:$B$1371=AR$3,'GBD estimates'!$E$3:$E$1371=""Tetanus"",'GBD estimates'!$D$3:$D$1371=""15-49 years"")"),3.24E-5)</f>
        <v>0.0000324</v>
      </c>
      <c r="AS138" s="542">
        <f>IFERROR(__xludf.DUMMYFUNCTION("FILTER('GBD estimates'!$G$3:$G$1371,'GBD estimates'!$B$3:$B$1371=AS$3,'GBD estimates'!$E$3:$E$1371=""Tetanus"",'GBD estimates'!$D$3:$D$1371=""15-49 years"")"),3.64E-5)</f>
        <v>0.0000364</v>
      </c>
      <c r="AT138" s="542">
        <f>IFERROR(__xludf.DUMMYFUNCTION("FILTER('GBD estimates'!$G$3:$G$1371,'GBD estimates'!$B$3:$B$1371=AT$3,'GBD estimates'!$E$3:$E$1371=""Tetanus"",'GBD estimates'!$D$3:$D$1371=""15-49 years"")"),2.83E-5)</f>
        <v>0.0000283</v>
      </c>
      <c r="AU138" s="542">
        <f>IFERROR(__xludf.DUMMYFUNCTION("FILTER('GBD estimates'!$G$3:$G$1371,'GBD estimates'!$B$3:$B$1371=AU$3,'GBD estimates'!$E$3:$E$1371=""Tetanus"",'GBD estimates'!$D$3:$D$1371=""15-49 years"")"),6.25E-5)</f>
        <v>0.0000625</v>
      </c>
      <c r="AV138" s="542">
        <f>IFERROR(__xludf.DUMMYFUNCTION("FILTER('GBD estimates'!$G$3:$G$1371,'GBD estimates'!$B$3:$B$1371=AV$3,'GBD estimates'!$E$3:$E$1371=""Tetanus"",'GBD estimates'!$D$3:$D$1371=""15-49 years"")"),7.93E-5)</f>
        <v>0.0000793</v>
      </c>
      <c r="AW138" s="788"/>
      <c r="AX138" s="798" t="s">
        <v>999</v>
      </c>
      <c r="AY138" s="790"/>
    </row>
    <row r="139">
      <c r="A139" s="776"/>
      <c r="B139" s="538"/>
      <c r="C139" s="538"/>
      <c r="D139" s="538"/>
      <c r="E139" s="475" t="s">
        <v>570</v>
      </c>
      <c r="F139" s="554" t="s">
        <v>72</v>
      </c>
      <c r="G139" s="555" t="s">
        <v>165</v>
      </c>
      <c r="H139" s="811" t="s">
        <v>162</v>
      </c>
      <c r="I139" s="542">
        <f>IFERROR(__xludf.DUMMYFUNCTION("FILTER('GBD estimates'!$G$3:$G$1371,'GBD estimates'!$B$3:$B$1371=I$3,'GBD estimates'!$E$3:$E$1371=""Tetanus"",'GBD estimates'!$D$3:$D$1371=""50 to 74 years"")"),2.85466E-4)</f>
        <v>0.000285466</v>
      </c>
      <c r="J139" s="542">
        <f>IFERROR(__xludf.DUMMYFUNCTION("FILTER('GBD estimates'!$G$3:$G$1371,'GBD estimates'!$B$3:$B$1371=J$3,'GBD estimates'!$E$3:$E$1371=""Tetanus"",'GBD estimates'!$D$3:$D$1371=""50 to 74 years"")"),3.40228E-4)</f>
        <v>0.000340228</v>
      </c>
      <c r="K139" s="542">
        <f>IFERROR(__xludf.DUMMYFUNCTION("FILTER('GBD estimates'!$G$3:$G$1371,'GBD estimates'!$B$3:$B$1371=K$3,'GBD estimates'!$E$3:$E$1371=""Tetanus"",'GBD estimates'!$D$3:$D$1371=""50 to 74 years"")"),2.69698E-4)</f>
        <v>0.000269698</v>
      </c>
      <c r="L139" s="542">
        <f t="shared" si="23"/>
        <v>0.00019924</v>
      </c>
      <c r="M139" s="542">
        <f>IFERROR(__xludf.DUMMYFUNCTION("FILTER('GBD estimates'!$G$3:$G$1371,'GBD estimates'!$B$3:$B$1371=M$3,'GBD estimates'!$E$3:$E$1371=""Tetanus"",'GBD estimates'!$D$3:$D$1371=""50 to 74 years"")"),1.75487E-4)</f>
        <v>0.000175487</v>
      </c>
      <c r="N139" s="542">
        <f>IFERROR(__xludf.DUMMYFUNCTION("FILTER('GBD estimates'!$G$3:$G$1371,'GBD estimates'!$B$3:$B$1371=N$3,'GBD estimates'!$E$3:$E$1371=""Tetanus"",'GBD estimates'!$D$3:$D$1371=""50 to 74 years"")"),2.34563E-4)</f>
        <v>0.000234563</v>
      </c>
      <c r="O139" s="542">
        <f>IFERROR(__xludf.DUMMYFUNCTION("FILTER('GBD estimates'!$G$3:$G$1371,'GBD estimates'!$B$3:$B$1371=O$3,'GBD estimates'!$E$3:$E$1371=""Tetanus"",'GBD estimates'!$D$3:$D$1371=""50 to 74 years"")"),4.14794E-4)</f>
        <v>0.000414794</v>
      </c>
      <c r="P139" s="542">
        <f>IFERROR(__xludf.DUMMYFUNCTION("FILTER('GBD estimates'!$G$3:$G$1371,'GBD estimates'!$B$3:$B$1371=P$3,'GBD estimates'!$E$3:$E$1371=""Tetanus"",'GBD estimates'!$D$3:$D$1371=""50 to 74 years"")"),4.79564E-4)</f>
        <v>0.000479564</v>
      </c>
      <c r="Q139" s="543">
        <f>IFERROR(__xludf.DUMMYFUNCTION("FILTER('GBD estimates'!$G$3:$G$1371,'GBD estimates'!$B$3:$B$1371=Q$3,'GBD estimates'!$E$3:$E$1371=""Tetanus"",'GBD estimates'!$D$3:$D$1371=""50 to 74 years"")"),5.03219E-4)</f>
        <v>0.000503219</v>
      </c>
      <c r="R139" s="542">
        <f>IFERROR(__xludf.DUMMYFUNCTION("FILTER('GBD estimates'!$G$3:$G$1371,'GBD estimates'!$B$3:$B$1371=R$3,'GBD estimates'!$E$3:$E$1371=""Tetanus"",'GBD estimates'!$D$3:$D$1371=""50 to 74 years"")"),1.00875E-4)</f>
        <v>0.000100875</v>
      </c>
      <c r="S139" s="542">
        <f>IFERROR(__xludf.DUMMYFUNCTION("FILTER('GBD estimates'!$G$3:$G$1371,'GBD estimates'!$B$3:$B$1371=S$3,'GBD estimates'!$E$3:$E$1371=""Tetanus"",'GBD estimates'!$D$3:$D$1371=""50 to 74 years"")"),1.74205E-4)</f>
        <v>0.000174205</v>
      </c>
      <c r="T139" s="542">
        <f>IFERROR(__xludf.DUMMYFUNCTION("FILTER('GBD estimates'!$G$3:$G$1371,'GBD estimates'!$B$3:$B$1371=T$3,'GBD estimates'!$E$3:$E$1371=""Tetanus"",'GBD estimates'!$D$3:$D$1371=""50 to 74 years"")"),9.71E-5)</f>
        <v>0.0000971</v>
      </c>
      <c r="U139" s="542">
        <f>IFERROR(__xludf.DUMMYFUNCTION("FILTER('GBD estimates'!$G$3:$G$1371,'GBD estimates'!$B$3:$B$1371=U$3,'GBD estimates'!$E$3:$E$1371=""Tetanus"",'GBD estimates'!$D$3:$D$1371=""50 to 74 years"")"),7.32E-5)</f>
        <v>0.0000732</v>
      </c>
      <c r="V139" s="542">
        <f>IFERROR(__xludf.DUMMYFUNCTION("FILTER('GBD estimates'!$G$3:$G$1371,'GBD estimates'!$B$3:$B$1371=V$3,'GBD estimates'!$E$3:$E$1371=""Tetanus"",'GBD estimates'!$D$3:$D$1371=""50 to 74 years"")"),1.38815E-4)</f>
        <v>0.000138815</v>
      </c>
      <c r="W139" s="542">
        <f>IFERROR(__xludf.DUMMYFUNCTION("FILTER('GBD estimates'!$G$3:$G$1371,'GBD estimates'!$B$3:$B$1371=W$3,'GBD estimates'!$E$3:$E$1371=""Tetanus"",'GBD estimates'!$D$3:$D$1371=""50 to 74 years"")"),1.13005E-4)</f>
        <v>0.000113005</v>
      </c>
      <c r="X139" s="542">
        <f>IFERROR(__xludf.DUMMYFUNCTION("FILTER('GBD estimates'!$G$3:$G$1371,'GBD estimates'!$B$3:$B$1371=X$3,'GBD estimates'!$E$3:$E$1371=""Tetanus"",'GBD estimates'!$D$3:$D$1371=""50 to 74 years"")"),1.20993E-4)</f>
        <v>0.000120993</v>
      </c>
      <c r="Y139" s="542">
        <f>IFERROR(__xludf.DUMMYFUNCTION("FILTER('GBD estimates'!$G$3:$G$1371,'GBD estimates'!$B$3:$B$1371=Y$3,'GBD estimates'!$E$3:$E$1371=""Tetanus"",'GBD estimates'!$D$3:$D$1371=""50 to 74 years"")"),1.00775E-4)</f>
        <v>0.000100775</v>
      </c>
      <c r="Z139" s="542">
        <f>IFERROR(__xludf.DUMMYFUNCTION("FILTER('GBD estimates'!$G$3:$G$1371,'GBD estimates'!$B$3:$B$1371=Z$3,'GBD estimates'!$E$3:$E$1371=""Tetanus"",'GBD estimates'!$D$3:$D$1371=""50 to 74 years"")"),8.46E-5)</f>
        <v>0.0000846</v>
      </c>
      <c r="AA139" s="542">
        <f>IFERROR(__xludf.DUMMYFUNCTION("FILTER('GBD estimates'!$G$3:$G$1371,'GBD estimates'!$B$3:$B$1371=AA$3,'GBD estimates'!$E$3:$E$1371=""Tetanus"",'GBD estimates'!$D$3:$D$1371=""50 to 74 years"")"),1.37671E-4)</f>
        <v>0.000137671</v>
      </c>
      <c r="AB139" s="542">
        <f>IFERROR(__xludf.DUMMYFUNCTION("FILTER('GBD estimates'!$G$3:$G$1371,'GBD estimates'!$B$3:$B$1371=AB$3,'GBD estimates'!$E$3:$E$1371=""Tetanus"",'GBD estimates'!$D$3:$D$1371=""50 to 74 years"")"),8.71E-5)</f>
        <v>0.0000871</v>
      </c>
      <c r="AC139" s="542">
        <f>IFERROR(__xludf.DUMMYFUNCTION("FILTER('GBD estimates'!$G$3:$G$1371,'GBD estimates'!$B$3:$B$1371=AC$3,'GBD estimates'!$E$3:$E$1371=""Tetanus"",'GBD estimates'!$D$3:$D$1371=""50 to 74 years"")"),9.21E-5)</f>
        <v>0.0000921</v>
      </c>
      <c r="AD139" s="542">
        <f>IFERROR(__xludf.DUMMYFUNCTION("FILTER('GBD estimates'!$G$3:$G$1371,'GBD estimates'!$B$3:$B$1371=AD$3,'GBD estimates'!$E$3:$E$1371=""Tetanus"",'GBD estimates'!$D$3:$D$1371=""50 to 74 years"")"),1.01209E-4)</f>
        <v>0.000101209</v>
      </c>
      <c r="AE139" s="542">
        <f>IFERROR(__xludf.DUMMYFUNCTION("FILTER('GBD estimates'!$G$3:$G$1371,'GBD estimates'!$B$3:$B$1371=AE$3,'GBD estimates'!$E$3:$E$1371=""Tetanus"",'GBD estimates'!$D$3:$D$1371=""50 to 74 years"")"),6.95E-5)</f>
        <v>0.0000695</v>
      </c>
      <c r="AF139" s="542">
        <f>IFERROR(__xludf.DUMMYFUNCTION("FILTER('GBD estimates'!$G$3:$G$1371,'GBD estimates'!$B$3:$B$1371=AF$3,'GBD estimates'!$E$3:$E$1371=""Tetanus"",'GBD estimates'!$D$3:$D$1371=""50 to 74 years"")"),8.62E-5)</f>
        <v>0.0000862</v>
      </c>
      <c r="AG139" s="542">
        <f>IFERROR(__xludf.DUMMYFUNCTION("FILTER('GBD estimates'!$G$3:$G$1371,'GBD estimates'!$B$3:$B$1371=AG$3,'GBD estimates'!$E$3:$E$1371=""Tetanus"",'GBD estimates'!$D$3:$D$1371=""50 to 74 years"")"),1.9924E-4)</f>
        <v>0.00019924</v>
      </c>
      <c r="AH139" s="542">
        <f>IFERROR(__xludf.DUMMYFUNCTION("FILTER('GBD estimates'!$G$3:$G$1371,'GBD estimates'!$B$3:$B$1371=AH$3,'GBD estimates'!$E$3:$E$1371=""Tetanus"",'GBD estimates'!$D$3:$D$1371=""50 to 74 years"")"),1.47611E-4)</f>
        <v>0.000147611</v>
      </c>
      <c r="AI139" s="542">
        <f>IFERROR(__xludf.DUMMYFUNCTION("FILTER('GBD estimates'!$G$3:$G$1371,'GBD estimates'!$B$3:$B$1371=AI$3,'GBD estimates'!$E$3:$E$1371=""Tetanus"",'GBD estimates'!$D$3:$D$1371=""50 to 74 years"")"),1.17909E-4)</f>
        <v>0.000117909</v>
      </c>
      <c r="AJ139" s="542">
        <f>IFERROR(__xludf.DUMMYFUNCTION("FILTER('GBD estimates'!$G$3:$G$1371,'GBD estimates'!$B$3:$B$1371=AJ$3,'GBD estimates'!$E$3:$E$1371=""Tetanus"",'GBD estimates'!$D$3:$D$1371=""50 to 74 years"")"),4.66E-5)</f>
        <v>0.0000466</v>
      </c>
      <c r="AK139" s="542">
        <f>IFERROR(__xludf.DUMMYFUNCTION("FILTER('GBD estimates'!$G$3:$G$1371,'GBD estimates'!$B$3:$B$1371=AK$3,'GBD estimates'!$E$3:$E$1371=""Tetanus"",'GBD estimates'!$D$3:$D$1371=""50 to 74 years"")"),1.11902E-4)</f>
        <v>0.000111902</v>
      </c>
      <c r="AL139" s="542">
        <f>IFERROR(__xludf.DUMMYFUNCTION("FILTER('GBD estimates'!$G$3:$G$1371,'GBD estimates'!$B$3:$B$1371=AL$3,'GBD estimates'!$E$3:$E$1371=""Tetanus"",'GBD estimates'!$D$3:$D$1371=""50 to 74 years"")"),2.13765E-4)</f>
        <v>0.000213765</v>
      </c>
      <c r="AM139" s="542">
        <f t="shared" ref="AM139:AN139" si="26">AL139</f>
        <v>0.000213765</v>
      </c>
      <c r="AN139" s="542">
        <f t="shared" si="26"/>
        <v>0.000213765</v>
      </c>
      <c r="AO139" s="542">
        <f>IFERROR(__xludf.DUMMYFUNCTION("FILTER('GBD estimates'!$G$3:$G$1371,'GBD estimates'!$B$3:$B$1371=AO$3,'GBD estimates'!$E$3:$E$1371=""Tetanus"",'GBD estimates'!$D$3:$D$1371=""50 to 74 years"")"),1.30887E-4)</f>
        <v>0.000130887</v>
      </c>
      <c r="AP139" s="542">
        <f>IFERROR(__xludf.DUMMYFUNCTION("FILTER('GBD estimates'!$G$3:$G$1371,'GBD estimates'!$B$3:$B$1371=AP$3,'GBD estimates'!$E$3:$E$1371=""Tetanus"",'GBD estimates'!$D$3:$D$1371=""50 to 74 years"")"),1.03803E-4)</f>
        <v>0.000103803</v>
      </c>
      <c r="AQ139" s="542">
        <f>IFERROR(__xludf.DUMMYFUNCTION("FILTER('GBD estimates'!$G$3:$G$1371,'GBD estimates'!$B$3:$B$1371=AQ$3,'GBD estimates'!$E$3:$E$1371=""Tetanus"",'GBD estimates'!$D$3:$D$1371=""50 to 74 years"")"),7.95E-5)</f>
        <v>0.0000795</v>
      </c>
      <c r="AR139" s="542">
        <f>IFERROR(__xludf.DUMMYFUNCTION("FILTER('GBD estimates'!$G$3:$G$1371,'GBD estimates'!$B$3:$B$1371=AR$3,'GBD estimates'!$E$3:$E$1371=""Tetanus"",'GBD estimates'!$D$3:$D$1371=""50 to 74 years"")"),1.03973E-4)</f>
        <v>0.000103973</v>
      </c>
      <c r="AS139" s="542">
        <f>IFERROR(__xludf.DUMMYFUNCTION("FILTER('GBD estimates'!$G$3:$G$1371,'GBD estimates'!$B$3:$B$1371=AS$3,'GBD estimates'!$E$3:$E$1371=""Tetanus"",'GBD estimates'!$D$3:$D$1371=""50 to 74 years"")"),9.3E-5)</f>
        <v>0.000093</v>
      </c>
      <c r="AT139" s="542">
        <f>IFERROR(__xludf.DUMMYFUNCTION("FILTER('GBD estimates'!$G$3:$G$1371,'GBD estimates'!$B$3:$B$1371=AT$3,'GBD estimates'!$E$3:$E$1371=""Tetanus"",'GBD estimates'!$D$3:$D$1371=""50 to 74 years"")"),9.41E-5)</f>
        <v>0.0000941</v>
      </c>
      <c r="AU139" s="542">
        <f>IFERROR(__xludf.DUMMYFUNCTION("FILTER('GBD estimates'!$G$3:$G$1371,'GBD estimates'!$B$3:$B$1371=AU$3,'GBD estimates'!$E$3:$E$1371=""Tetanus"",'GBD estimates'!$D$3:$D$1371=""50 to 74 years"")"),1.75697E-4)</f>
        <v>0.000175697</v>
      </c>
      <c r="AV139" s="542">
        <f>IFERROR(__xludf.DUMMYFUNCTION("FILTER('GBD estimates'!$G$3:$G$1371,'GBD estimates'!$B$3:$B$1371=AV$3,'GBD estimates'!$E$3:$E$1371=""Tetanus"",'GBD estimates'!$D$3:$D$1371=""50 to 74 years"")"),2.43663E-4)</f>
        <v>0.000243663</v>
      </c>
      <c r="AW139" s="788"/>
      <c r="AX139" s="798" t="s">
        <v>999</v>
      </c>
      <c r="AY139" s="790"/>
    </row>
    <row r="140">
      <c r="A140" s="776"/>
      <c r="B140" s="538"/>
      <c r="C140" s="538"/>
      <c r="D140" s="538"/>
      <c r="E140" s="782" t="s">
        <v>572</v>
      </c>
      <c r="F140" s="539" t="s">
        <v>62</v>
      </c>
      <c r="G140" s="540" t="s">
        <v>165</v>
      </c>
      <c r="H140" s="808" t="s">
        <v>162</v>
      </c>
      <c r="I140" s="564">
        <f>IFERROR(__xludf.DUMMYFUNCTION("FILTER('GBD estimates'!$R$3:$R$1713,'GBD estimates'!$K$3:$K$1713=I$3,'GBD estimates'!$L$3:$L$1713=""Tetanus"",'GBD estimates'!$N$3:$N$1713=""Under 5"")"),54.52905687)</f>
        <v>54.52905687</v>
      </c>
      <c r="J140" s="564">
        <f>IFERROR(__xludf.DUMMYFUNCTION("FILTER('GBD estimates'!$R$3:$R$1713,'GBD estimates'!$K$3:$K$1713=J$3,'GBD estimates'!$L$3:$L$1713=""Tetanus"",'GBD estimates'!$N$3:$N$1713=""Under 5"")"),21.61435705)</f>
        <v>21.61435705</v>
      </c>
      <c r="K140" s="564">
        <f>IFERROR(__xludf.DUMMYFUNCTION("FILTER('GBD estimates'!$R$3:$R$1713,'GBD estimates'!$K$3:$K$1713=K$3,'GBD estimates'!$L$3:$L$1713=""Tetanus"",'GBD estimates'!$N$3:$N$1713=""Under 5"")"),31.34407661)</f>
        <v>31.34407661</v>
      </c>
      <c r="L140" s="564">
        <f t="shared" si="23"/>
        <v>47.15968207</v>
      </c>
      <c r="M140" s="564">
        <f>IFERROR(__xludf.DUMMYFUNCTION("FILTER('GBD estimates'!$R$3:$R$1713,'GBD estimates'!$K$3:$K$1713=M$3,'GBD estimates'!$L$3:$L$1713=""Tetanus"",'GBD estimates'!$N$3:$N$1713=""Under 5"")"),85.3270538)</f>
        <v>85.3270538</v>
      </c>
      <c r="N140" s="564">
        <f>IFERROR(__xludf.DUMMYFUNCTION("FILTER('GBD estimates'!$R$3:$R$1713,'GBD estimates'!$K$3:$K$1713=N$3,'GBD estimates'!$L$3:$L$1713=""Tetanus"",'GBD estimates'!$N$3:$N$1713=""Under 5"")"),60.64375318)</f>
        <v>60.64375318</v>
      </c>
      <c r="O140" s="564">
        <f>IFERROR(__xludf.DUMMYFUNCTION("FILTER('GBD estimates'!$R$3:$R$1713,'GBD estimates'!$K$3:$K$1713=O$3,'GBD estimates'!$L$3:$L$1713=""Tetanus"",'GBD estimates'!$N$3:$N$1713=""Under 5"")"),57.68311257)</f>
        <v>57.68311257</v>
      </c>
      <c r="P140" s="564">
        <f>IFERROR(__xludf.DUMMYFUNCTION("FILTER('GBD estimates'!$R$3:$R$1713,'GBD estimates'!$K$3:$K$1713=P$3,'GBD estimates'!$L$3:$L$1713=""Tetanus"",'GBD estimates'!$N$3:$N$1713=""Under 5"")"),113.7423618)</f>
        <v>113.7423618</v>
      </c>
      <c r="Q140" s="565">
        <f>IFERROR(__xludf.DUMMYFUNCTION("FILTER('GBD estimates'!$R$3:$R$1713,'GBD estimates'!$K$3:$K$1713=Q$3,'GBD estimates'!$L$3:$L$1713=""Tetanus"",'GBD estimates'!$N$3:$N$1713=""Under 5"")"),57.09325468)</f>
        <v>57.09325468</v>
      </c>
      <c r="R140" s="564">
        <f>IFERROR(__xludf.DUMMYFUNCTION("FILTER('GBD estimates'!$R$3:$R$1713,'GBD estimates'!$K$3:$K$1713=R$3,'GBD estimates'!$L$3:$L$1713=""Tetanus"",'GBD estimates'!$N$3:$N$1713=""Under 5"")"),9.574368913)</f>
        <v>9.574368913</v>
      </c>
      <c r="S140" s="564">
        <f>IFERROR(__xludf.DUMMYFUNCTION("FILTER('GBD estimates'!$R$3:$R$1713,'GBD estimates'!$K$3:$K$1713=S$3,'GBD estimates'!$L$3:$L$1713=""Tetanus"",'GBD estimates'!$N$3:$N$1713=""Under 5"")"),12.06153137)</f>
        <v>12.06153137</v>
      </c>
      <c r="T140" s="564">
        <f>IFERROR(__xludf.DUMMYFUNCTION("FILTER('GBD estimates'!$R$3:$R$1713,'GBD estimates'!$K$3:$K$1713=T$3,'GBD estimates'!$L$3:$L$1713=""Tetanus"",'GBD estimates'!$N$3:$N$1713=""Under 5"")"),4.170890145)</f>
        <v>4.170890145</v>
      </c>
      <c r="U140" s="564">
        <f>IFERROR(__xludf.DUMMYFUNCTION("FILTER('GBD estimates'!$R$3:$R$1713,'GBD estimates'!$K$3:$K$1713=U$3,'GBD estimates'!$L$3:$L$1713=""Tetanus"",'GBD estimates'!$N$3:$N$1713=""Under 5"")"),10.71030585)</f>
        <v>10.71030585</v>
      </c>
      <c r="V140" s="564">
        <f>IFERROR(__xludf.DUMMYFUNCTION("FILTER('GBD estimates'!$R$3:$R$1713,'GBD estimates'!$K$3:$K$1713=V$3,'GBD estimates'!$L$3:$L$1713=""Tetanus"",'GBD estimates'!$N$3:$N$1713=""Under 5"")"),1.405803468)</f>
        <v>1.405803468</v>
      </c>
      <c r="W140" s="564">
        <f>IFERROR(__xludf.DUMMYFUNCTION("FILTER('GBD estimates'!$R$3:$R$1713,'GBD estimates'!$K$3:$K$1713=W$3,'GBD estimates'!$L$3:$L$1713=""Tetanus"",'GBD estimates'!$N$3:$N$1713=""Under 5"")"),24.16772067)</f>
        <v>24.16772067</v>
      </c>
      <c r="X140" s="564">
        <f>IFERROR(__xludf.DUMMYFUNCTION("FILTER('GBD estimates'!$R$3:$R$1713,'GBD estimates'!$K$3:$K$1713=X$3,'GBD estimates'!$L$3:$L$1713=""Tetanus"",'GBD estimates'!$N$3:$N$1713=""Under 5"")"),9.913937734)</f>
        <v>9.913937734</v>
      </c>
      <c r="Y140" s="564">
        <f>IFERROR(__xludf.DUMMYFUNCTION("FILTER('GBD estimates'!$R$3:$R$1713,'GBD estimates'!$K$3:$K$1713=Y$3,'GBD estimates'!$L$3:$L$1713=""Tetanus"",'GBD estimates'!$N$3:$N$1713=""Under 5"")"),4.182139598)</f>
        <v>4.182139598</v>
      </c>
      <c r="Z140" s="564">
        <f>IFERROR(__xludf.DUMMYFUNCTION("FILTER('GBD estimates'!$R$3:$R$1713,'GBD estimates'!$K$3:$K$1713=Z$3,'GBD estimates'!$L$3:$L$1713=""Tetanus"",'GBD estimates'!$N$3:$N$1713=""Under 5"")"),11.25158975)</f>
        <v>11.25158975</v>
      </c>
      <c r="AA140" s="564">
        <f>IFERROR(__xludf.DUMMYFUNCTION("FILTER('GBD estimates'!$R$3:$R$1713,'GBD estimates'!$K$3:$K$1713=AA$3,'GBD estimates'!$L$3:$L$1713=""Tetanus"",'GBD estimates'!$N$3:$N$1713=""Under 5"")"),13.29848504)</f>
        <v>13.29848504</v>
      </c>
      <c r="AB140" s="564">
        <f>IFERROR(__xludf.DUMMYFUNCTION("FILTER('GBD estimates'!$R$3:$R$1713,'GBD estimates'!$K$3:$K$1713=AB$3,'GBD estimates'!$L$3:$L$1713=""Tetanus"",'GBD estimates'!$N$3:$N$1713=""Under 5"")"),7.777809942)</f>
        <v>7.777809942</v>
      </c>
      <c r="AC140" s="564">
        <f>IFERROR(__xludf.DUMMYFUNCTION("FILTER('GBD estimates'!$R$3:$R$1713,'GBD estimates'!$K$3:$K$1713=AC$3,'GBD estimates'!$L$3:$L$1713=""Tetanus"",'GBD estimates'!$N$3:$N$1713=""Under 5"")"),3.896342869)</f>
        <v>3.896342869</v>
      </c>
      <c r="AD140" s="564">
        <f>IFERROR(__xludf.DUMMYFUNCTION("FILTER('GBD estimates'!$R$3:$R$1713,'GBD estimates'!$K$3:$K$1713=AD$3,'GBD estimates'!$L$3:$L$1713=""Tetanus"",'GBD estimates'!$N$3:$N$1713=""Under 5"")"),7.6557406)</f>
        <v>7.6557406</v>
      </c>
      <c r="AE140" s="564">
        <f>IFERROR(__xludf.DUMMYFUNCTION("FILTER('GBD estimates'!$R$3:$R$1713,'GBD estimates'!$K$3:$K$1713=AE$3,'GBD estimates'!$L$3:$L$1713=""Tetanus"",'GBD estimates'!$N$3:$N$1713=""Under 5"")"),17.29689736)</f>
        <v>17.29689736</v>
      </c>
      <c r="AF140" s="564">
        <f>IFERROR(__xludf.DUMMYFUNCTION("FILTER('GBD estimates'!$R$3:$R$1713,'GBD estimates'!$K$3:$K$1713=AF$3,'GBD estimates'!$L$3:$L$1713=""Tetanus"",'GBD estimates'!$N$3:$N$1713=""Under 5"")"),18.01740353)</f>
        <v>18.01740353</v>
      </c>
      <c r="AG140" s="564">
        <f>IFERROR(__xludf.DUMMYFUNCTION("FILTER('GBD estimates'!$R$3:$R$1713,'GBD estimates'!$K$3:$K$1713=AG$3,'GBD estimates'!$L$3:$L$1713=""Tetanus"",'GBD estimates'!$N$3:$N$1713=""Under 5"")"),47.15968207)</f>
        <v>47.15968207</v>
      </c>
      <c r="AH140" s="564">
        <f>IFERROR(__xludf.DUMMYFUNCTION("FILTER('GBD estimates'!$R$3:$R$1713,'GBD estimates'!$K$3:$K$1713=AH$3,'GBD estimates'!$L$3:$L$1713=""Tetanus"",'GBD estimates'!$N$3:$N$1713=""Under 5"")"),6.221320837)</f>
        <v>6.221320837</v>
      </c>
      <c r="AI140" s="564">
        <f>IFERROR(__xludf.DUMMYFUNCTION("FILTER('GBD estimates'!$R$3:$R$1713,'GBD estimates'!$K$3:$K$1713=AI$3,'GBD estimates'!$L$3:$L$1713=""Tetanus"",'GBD estimates'!$N$3:$N$1713=""Under 5"")"),7.172326789)</f>
        <v>7.172326789</v>
      </c>
      <c r="AJ140" s="564">
        <f>IFERROR(__xludf.DUMMYFUNCTION("FILTER('GBD estimates'!$R$3:$R$1713,'GBD estimates'!$K$3:$K$1713=AJ$3,'GBD estimates'!$L$3:$L$1713=""Tetanus"",'GBD estimates'!$N$3:$N$1713=""Under 5"")"),8.736607085)</f>
        <v>8.736607085</v>
      </c>
      <c r="AK140" s="564">
        <f>IFERROR(__xludf.DUMMYFUNCTION("FILTER('GBD estimates'!$R$3:$R$1713,'GBD estimates'!$K$3:$K$1713=AK$3,'GBD estimates'!$L$3:$L$1713=""Tetanus"",'GBD estimates'!$N$3:$N$1713=""Under 5"")"),17.84794665)</f>
        <v>17.84794665</v>
      </c>
      <c r="AL140" s="564">
        <f>IFERROR(__xludf.DUMMYFUNCTION("FILTER('GBD estimates'!$R$3:$R$1713,'GBD estimates'!$K$3:$K$1713=AL$3,'GBD estimates'!$L$3:$L$1713=""Tetanus"",'GBD estimates'!$N$3:$N$1713=""Under 5"")"),50.89545208)</f>
        <v>50.89545208</v>
      </c>
      <c r="AM140" s="564">
        <f t="shared" ref="AM140:AN140" si="27">AL140</f>
        <v>50.89545208</v>
      </c>
      <c r="AN140" s="564">
        <f t="shared" si="27"/>
        <v>50.89545208</v>
      </c>
      <c r="AO140" s="564">
        <f>IFERROR(__xludf.DUMMYFUNCTION("FILTER('GBD estimates'!$R$3:$R$1713,'GBD estimates'!$K$3:$K$1713=AO$3,'GBD estimates'!$L$3:$L$1713=""Tetanus"",'GBD estimates'!$N$3:$N$1713=""Under 5"")"),33.58925374)</f>
        <v>33.58925374</v>
      </c>
      <c r="AP140" s="564">
        <f>IFERROR(__xludf.DUMMYFUNCTION("FILTER('GBD estimates'!$R$3:$R$1713,'GBD estimates'!$K$3:$K$1713=AP$3,'GBD estimates'!$L$3:$L$1713=""Tetanus"",'GBD estimates'!$N$3:$N$1713=""Under 5"")"),7.131687658)</f>
        <v>7.131687658</v>
      </c>
      <c r="AQ140" s="564">
        <f>IFERROR(__xludf.DUMMYFUNCTION("FILTER('GBD estimates'!$R$3:$R$1713,'GBD estimates'!$K$3:$K$1713=AQ$3,'GBD estimates'!$L$3:$L$1713=""Tetanus"",'GBD estimates'!$N$3:$N$1713=""Under 5"")"),7.341984829)</f>
        <v>7.341984829</v>
      </c>
      <c r="AR140" s="564">
        <f>IFERROR(__xludf.DUMMYFUNCTION("FILTER('GBD estimates'!$R$3:$R$1713,'GBD estimates'!$K$3:$K$1713=AR$3,'GBD estimates'!$L$3:$L$1713=""Tetanus"",'GBD estimates'!$N$3:$N$1713=""Under 5"")"),8.199715917)</f>
        <v>8.199715917</v>
      </c>
      <c r="AS140" s="564">
        <f>IFERROR(__xludf.DUMMYFUNCTION("FILTER('GBD estimates'!$R$3:$R$1713,'GBD estimates'!$K$3:$K$1713=AS$3,'GBD estimates'!$L$3:$L$1713=""Tetanus"",'GBD estimates'!$N$3:$N$1713=""Under 5"")"),30.21033403)</f>
        <v>30.21033403</v>
      </c>
      <c r="AT140" s="564">
        <f>IFERROR(__xludf.DUMMYFUNCTION("FILTER('GBD estimates'!$R$3:$R$1713,'GBD estimates'!$K$3:$K$1713=AT$3,'GBD estimates'!$L$3:$L$1713=""Tetanus"",'GBD estimates'!$N$3:$N$1713=""Under 5"")"),8.185850082)</f>
        <v>8.185850082</v>
      </c>
      <c r="AU140" s="564">
        <f>IFERROR(__xludf.DUMMYFUNCTION("FILTER('GBD estimates'!$R$3:$R$1713,'GBD estimates'!$K$3:$K$1713=AU$3,'GBD estimates'!$L$3:$L$1713=""Tetanus"",'GBD estimates'!$N$3:$N$1713=""Under 5"")"),29.86877151)</f>
        <v>29.86877151</v>
      </c>
      <c r="AV140" s="564">
        <f>IFERROR(__xludf.DUMMYFUNCTION("FILTER('GBD estimates'!$R$3:$R$1713,'GBD estimates'!$K$3:$K$1713=AV$3,'GBD estimates'!$L$3:$L$1713=""Tetanus"",'GBD estimates'!$N$3:$N$1713=""Under 5"")"),22.7080095)</f>
        <v>22.7080095</v>
      </c>
      <c r="AW140" s="784"/>
      <c r="AX140" s="797" t="s">
        <v>999</v>
      </c>
      <c r="AY140" s="786"/>
    </row>
    <row r="141">
      <c r="A141" s="776"/>
      <c r="B141" s="538"/>
      <c r="C141" s="538"/>
      <c r="D141" s="538"/>
      <c r="E141" s="475" t="s">
        <v>573</v>
      </c>
      <c r="F141" s="554" t="s">
        <v>62</v>
      </c>
      <c r="G141" s="555" t="s">
        <v>165</v>
      </c>
      <c r="H141" s="811" t="s">
        <v>162</v>
      </c>
      <c r="I141" s="564">
        <f>IFERROR(__xludf.DUMMYFUNCTION("FILTER('GBD estimates'!$R$3:$R$1713,'GBD estimates'!$K$3:$K$1713=I$3,'GBD estimates'!$L$3:$L$1713=""Tetanus"",'GBD estimates'!$N$3:$N$1713=""Early Neonatal"")"),30.47888663)</f>
        <v>30.47888663</v>
      </c>
      <c r="J141" s="564">
        <f>IFERROR(__xludf.DUMMYFUNCTION("FILTER('GBD estimates'!$R$3:$R$1713,'GBD estimates'!$K$3:$K$1713=J$3,'GBD estimates'!$L$3:$L$1713=""Tetanus"",'GBD estimates'!$N$3:$N$1713=""Early Neonatal"")"),10.96428607)</f>
        <v>10.96428607</v>
      </c>
      <c r="K141" s="564">
        <f>IFERROR(__xludf.DUMMYFUNCTION("FILTER('GBD estimates'!$R$3:$R$1713,'GBD estimates'!$K$3:$K$1713=K$3,'GBD estimates'!$L$3:$L$1713=""Tetanus"",'GBD estimates'!$N$3:$N$1713=""Early Neonatal"")"),15.56390594)</f>
        <v>15.56390594</v>
      </c>
      <c r="L141" s="564">
        <f t="shared" si="23"/>
        <v>23.68307774</v>
      </c>
      <c r="M141" s="564">
        <f>IFERROR(__xludf.DUMMYFUNCTION("FILTER('GBD estimates'!$R$3:$R$1713,'GBD estimates'!$K$3:$K$1713=M$3,'GBD estimates'!$L$3:$L$1713=""Tetanus"",'GBD estimates'!$N$3:$N$1713=""Early Neonatal"")"),43.1227603)</f>
        <v>43.1227603</v>
      </c>
      <c r="N141" s="564">
        <f>IFERROR(__xludf.DUMMYFUNCTION("FILTER('GBD estimates'!$R$3:$R$1713,'GBD estimates'!$K$3:$K$1713=N$3,'GBD estimates'!$L$3:$L$1713=""Tetanus"",'GBD estimates'!$N$3:$N$1713=""Early Neonatal"")"),28.61757985)</f>
        <v>28.61757985</v>
      </c>
      <c r="O141" s="564">
        <f>IFERROR(__xludf.DUMMYFUNCTION("FILTER('GBD estimates'!$R$3:$R$1713,'GBD estimates'!$K$3:$K$1713=O$3,'GBD estimates'!$L$3:$L$1713=""Tetanus"",'GBD estimates'!$N$3:$N$1713=""Early Neonatal"")"),31.95701187)</f>
        <v>31.95701187</v>
      </c>
      <c r="P141" s="564">
        <f>IFERROR(__xludf.DUMMYFUNCTION("FILTER('GBD estimates'!$R$3:$R$1713,'GBD estimates'!$K$3:$K$1713=P$3,'GBD estimates'!$L$3:$L$1713=""Tetanus"",'GBD estimates'!$N$3:$N$1713=""Early Neonatal"")"),54.16983297)</f>
        <v>54.16983297</v>
      </c>
      <c r="Q141" s="565">
        <f>IFERROR(__xludf.DUMMYFUNCTION("FILTER('GBD estimates'!$R$3:$R$1713,'GBD estimates'!$K$3:$K$1713=Q$3,'GBD estimates'!$L$3:$L$1713=""Tetanus"",'GBD estimates'!$N$3:$N$1713=""Early Neonatal"")"),23.68680904)</f>
        <v>23.68680904</v>
      </c>
      <c r="R141" s="564">
        <f>IFERROR(__xludf.DUMMYFUNCTION("FILTER('GBD estimates'!$R$3:$R$1713,'GBD estimates'!$K$3:$K$1713=R$3,'GBD estimates'!$L$3:$L$1713=""Tetanus"",'GBD estimates'!$N$3:$N$1713=""Early Neonatal"")"),5.79282685)</f>
        <v>5.79282685</v>
      </c>
      <c r="S141" s="564">
        <f>IFERROR(__xludf.DUMMYFUNCTION("FILTER('GBD estimates'!$R$3:$R$1713,'GBD estimates'!$K$3:$K$1713=S$3,'GBD estimates'!$L$3:$L$1713=""Tetanus"",'GBD estimates'!$N$3:$N$1713=""Early Neonatal"")"),6.176313845)</f>
        <v>6.176313845</v>
      </c>
      <c r="T141" s="564">
        <f>IFERROR(__xludf.DUMMYFUNCTION("FILTER('GBD estimates'!$R$3:$R$1713,'GBD estimates'!$K$3:$K$1713=T$3,'GBD estimates'!$L$3:$L$1713=""Tetanus"",'GBD estimates'!$N$3:$N$1713=""Early Neonatal"")"),2.448145769)</f>
        <v>2.448145769</v>
      </c>
      <c r="U141" s="564">
        <f>IFERROR(__xludf.DUMMYFUNCTION("FILTER('GBD estimates'!$R$3:$R$1713,'GBD estimates'!$K$3:$K$1713=U$3,'GBD estimates'!$L$3:$L$1713=""Tetanus"",'GBD estimates'!$N$3:$N$1713=""Early Neonatal"")"),6.455351306)</f>
        <v>6.455351306</v>
      </c>
      <c r="V141" s="564">
        <f>IFERROR(__xludf.DUMMYFUNCTION("FILTER('GBD estimates'!$R$3:$R$1713,'GBD estimates'!$K$3:$K$1713=V$3,'GBD estimates'!$L$3:$L$1713=""Tetanus"",'GBD estimates'!$N$3:$N$1713=""Early Neonatal"")"),0.783819609)</f>
        <v>0.783819609</v>
      </c>
      <c r="W141" s="564">
        <f>IFERROR(__xludf.DUMMYFUNCTION("FILTER('GBD estimates'!$R$3:$R$1713,'GBD estimates'!$K$3:$K$1713=W$3,'GBD estimates'!$L$3:$L$1713=""Tetanus"",'GBD estimates'!$N$3:$N$1713=""Early Neonatal"")"),14.18173748)</f>
        <v>14.18173748</v>
      </c>
      <c r="X141" s="564">
        <f>IFERROR(__xludf.DUMMYFUNCTION("FILTER('GBD estimates'!$R$3:$R$1713,'GBD estimates'!$K$3:$K$1713=X$3,'GBD estimates'!$L$3:$L$1713=""Tetanus"",'GBD estimates'!$N$3:$N$1713=""Early Neonatal"")"),5.691886711)</f>
        <v>5.691886711</v>
      </c>
      <c r="Y141" s="564">
        <f>IFERROR(__xludf.DUMMYFUNCTION("FILTER('GBD estimates'!$R$3:$R$1713,'GBD estimates'!$K$3:$K$1713=Y$3,'GBD estimates'!$L$3:$L$1713=""Tetanus"",'GBD estimates'!$N$3:$N$1713=""Early Neonatal"")"),2.364898348)</f>
        <v>2.364898348</v>
      </c>
      <c r="Z141" s="564">
        <f>IFERROR(__xludf.DUMMYFUNCTION("FILTER('GBD estimates'!$R$3:$R$1713,'GBD estimates'!$K$3:$K$1713=Z$3,'GBD estimates'!$L$3:$L$1713=""Tetanus"",'GBD estimates'!$N$3:$N$1713=""Early Neonatal"")"),6.378451158)</f>
        <v>6.378451158</v>
      </c>
      <c r="AA141" s="564">
        <f>IFERROR(__xludf.DUMMYFUNCTION("FILTER('GBD estimates'!$R$3:$R$1713,'GBD estimates'!$K$3:$K$1713=AA$3,'GBD estimates'!$L$3:$L$1713=""Tetanus"",'GBD estimates'!$N$3:$N$1713=""Early Neonatal"")"),8.035664095)</f>
        <v>8.035664095</v>
      </c>
      <c r="AB141" s="564">
        <f>IFERROR(__xludf.DUMMYFUNCTION("FILTER('GBD estimates'!$R$3:$R$1713,'GBD estimates'!$K$3:$K$1713=AB$3,'GBD estimates'!$L$3:$L$1713=""Tetanus"",'GBD estimates'!$N$3:$N$1713=""Early Neonatal"")"),4.553855496)</f>
        <v>4.553855496</v>
      </c>
      <c r="AC141" s="564">
        <f>IFERROR(__xludf.DUMMYFUNCTION("FILTER('GBD estimates'!$R$3:$R$1713,'GBD estimates'!$K$3:$K$1713=AC$3,'GBD estimates'!$L$3:$L$1713=""Tetanus"",'GBD estimates'!$N$3:$N$1713=""Early Neonatal"")"),2.490712103)</f>
        <v>2.490712103</v>
      </c>
      <c r="AD141" s="564">
        <f>IFERROR(__xludf.DUMMYFUNCTION("FILTER('GBD estimates'!$R$3:$R$1713,'GBD estimates'!$K$3:$K$1713=AD$3,'GBD estimates'!$L$3:$L$1713=""Tetanus"",'GBD estimates'!$N$3:$N$1713=""Early Neonatal"")"),4.105372745)</f>
        <v>4.105372745</v>
      </c>
      <c r="AE141" s="564">
        <f>IFERROR(__xludf.DUMMYFUNCTION("FILTER('GBD estimates'!$R$3:$R$1713,'GBD estimates'!$K$3:$K$1713=AE$3,'GBD estimates'!$L$3:$L$1713=""Tetanus"",'GBD estimates'!$N$3:$N$1713=""Early Neonatal"")"),10.69612408)</f>
        <v>10.69612408</v>
      </c>
      <c r="AF141" s="564">
        <f>IFERROR(__xludf.DUMMYFUNCTION("FILTER('GBD estimates'!$R$3:$R$1713,'GBD estimates'!$K$3:$K$1713=AF$3,'GBD estimates'!$L$3:$L$1713=""Tetanus"",'GBD estimates'!$N$3:$N$1713=""Early Neonatal"")"),12.47815421)</f>
        <v>12.47815421</v>
      </c>
      <c r="AG141" s="564">
        <f>IFERROR(__xludf.DUMMYFUNCTION("FILTER('GBD estimates'!$R$3:$R$1713,'GBD estimates'!$K$3:$K$1713=AG$3,'GBD estimates'!$L$3:$L$1713=""Tetanus"",'GBD estimates'!$N$3:$N$1713=""Early Neonatal"")"),23.68307774)</f>
        <v>23.68307774</v>
      </c>
      <c r="AH141" s="564">
        <f>IFERROR(__xludf.DUMMYFUNCTION("FILTER('GBD estimates'!$R$3:$R$1713,'GBD estimates'!$K$3:$K$1713=AH$3,'GBD estimates'!$L$3:$L$1713=""Tetanus"",'GBD estimates'!$N$3:$N$1713=""Early Neonatal"")"),3.585001826)</f>
        <v>3.585001826</v>
      </c>
      <c r="AI141" s="564">
        <f>IFERROR(__xludf.DUMMYFUNCTION("FILTER('GBD estimates'!$R$3:$R$1713,'GBD estimates'!$K$3:$K$1713=AI$3,'GBD estimates'!$L$3:$L$1713=""Tetanus"",'GBD estimates'!$N$3:$N$1713=""Early Neonatal"")"),4.086182425)</f>
        <v>4.086182425</v>
      </c>
      <c r="AJ141" s="564">
        <f>IFERROR(__xludf.DUMMYFUNCTION("FILTER('GBD estimates'!$R$3:$R$1713,'GBD estimates'!$K$3:$K$1713=AJ$3,'GBD estimates'!$L$3:$L$1713=""Tetanus"",'GBD estimates'!$N$3:$N$1713=""Early Neonatal"")"),5.425082302)</f>
        <v>5.425082302</v>
      </c>
      <c r="AK141" s="564">
        <f>IFERROR(__xludf.DUMMYFUNCTION("FILTER('GBD estimates'!$R$3:$R$1713,'GBD estimates'!$K$3:$K$1713=AK$3,'GBD estimates'!$L$3:$L$1713=""Tetanus"",'GBD estimates'!$N$3:$N$1713=""Early Neonatal"")"),10.13230532)</f>
        <v>10.13230532</v>
      </c>
      <c r="AL141" s="564">
        <f>IFERROR(__xludf.DUMMYFUNCTION("FILTER('GBD estimates'!$R$3:$R$1713,'GBD estimates'!$K$3:$K$1713=AL$3,'GBD estimates'!$L$3:$L$1713=""Tetanus"",'GBD estimates'!$N$3:$N$1713=""Early Neonatal"")"),24.81793769)</f>
        <v>24.81793769</v>
      </c>
      <c r="AM141" s="564">
        <f t="shared" ref="AM141:AN141" si="28">AL141</f>
        <v>24.81793769</v>
      </c>
      <c r="AN141" s="564">
        <f t="shared" si="28"/>
        <v>24.81793769</v>
      </c>
      <c r="AO141" s="564">
        <f>IFERROR(__xludf.DUMMYFUNCTION("FILTER('GBD estimates'!$R$3:$R$1713,'GBD estimates'!$K$3:$K$1713=AO$3,'GBD estimates'!$L$3:$L$1713=""Tetanus"",'GBD estimates'!$N$3:$N$1713=""Early Neonatal"")"),18.67628757)</f>
        <v>18.67628757</v>
      </c>
      <c r="AP141" s="564">
        <f>IFERROR(__xludf.DUMMYFUNCTION("FILTER('GBD estimates'!$R$3:$R$1713,'GBD estimates'!$K$3:$K$1713=AP$3,'GBD estimates'!$L$3:$L$1713=""Tetanus"",'GBD estimates'!$N$3:$N$1713=""Early Neonatal"")"),4.360320599)</f>
        <v>4.360320599</v>
      </c>
      <c r="AQ141" s="564">
        <f>IFERROR(__xludf.DUMMYFUNCTION("FILTER('GBD estimates'!$R$3:$R$1713,'GBD estimates'!$K$3:$K$1713=AQ$3,'GBD estimates'!$L$3:$L$1713=""Tetanus"",'GBD estimates'!$N$3:$N$1713=""Early Neonatal"")"),4.308711985)</f>
        <v>4.308711985</v>
      </c>
      <c r="AR141" s="564">
        <f>IFERROR(__xludf.DUMMYFUNCTION("FILTER('GBD estimates'!$R$3:$R$1713,'GBD estimates'!$K$3:$K$1713=AR$3,'GBD estimates'!$L$3:$L$1713=""Tetanus"",'GBD estimates'!$N$3:$N$1713=""Early Neonatal"")"),5.979455422)</f>
        <v>5.979455422</v>
      </c>
      <c r="AS141" s="564">
        <f>IFERROR(__xludf.DUMMYFUNCTION("FILTER('GBD estimates'!$R$3:$R$1713,'GBD estimates'!$K$3:$K$1713=AS$3,'GBD estimates'!$L$3:$L$1713=""Tetanus"",'GBD estimates'!$N$3:$N$1713=""Early Neonatal"")"),17.15657445)</f>
        <v>17.15657445</v>
      </c>
      <c r="AT141" s="564">
        <f>IFERROR(__xludf.DUMMYFUNCTION("FILTER('GBD estimates'!$R$3:$R$1713,'GBD estimates'!$K$3:$K$1713=AT$3,'GBD estimates'!$L$3:$L$1713=""Tetanus"",'GBD estimates'!$N$3:$N$1713=""Early Neonatal"")"),4.962703781)</f>
        <v>4.962703781</v>
      </c>
      <c r="AU141" s="564">
        <f>IFERROR(__xludf.DUMMYFUNCTION("FILTER('GBD estimates'!$R$3:$R$1713,'GBD estimates'!$K$3:$K$1713=AU$3,'GBD estimates'!$L$3:$L$1713=""Tetanus"",'GBD estimates'!$N$3:$N$1713=""Early Neonatal"")"),15.13290745)</f>
        <v>15.13290745</v>
      </c>
      <c r="AV141" s="564">
        <f>IFERROR(__xludf.DUMMYFUNCTION("FILTER('GBD estimates'!$R$3:$R$1713,'GBD estimates'!$K$3:$K$1713=AV$3,'GBD estimates'!$L$3:$L$1713=""Tetanus"",'GBD estimates'!$N$3:$N$1713=""Early Neonatal"")"),13.35720932)</f>
        <v>13.35720932</v>
      </c>
      <c r="AW141" s="788"/>
      <c r="AX141" s="798" t="s">
        <v>999</v>
      </c>
      <c r="AY141" s="790"/>
    </row>
    <row r="142">
      <c r="A142" s="776"/>
      <c r="B142" s="538"/>
      <c r="C142" s="538"/>
      <c r="D142" s="538"/>
      <c r="E142" s="475" t="s">
        <v>574</v>
      </c>
      <c r="F142" s="554" t="s">
        <v>62</v>
      </c>
      <c r="G142" s="555" t="s">
        <v>165</v>
      </c>
      <c r="H142" s="811" t="s">
        <v>162</v>
      </c>
      <c r="I142" s="564">
        <f>IFERROR(__xludf.DUMMYFUNCTION("FILTER('GBD estimates'!$R$3:$R$1713,'GBD estimates'!$K$3:$K$1713=I$3,'GBD estimates'!$L$3:$L$1713=""Tetanus"",'GBD estimates'!$N$3:$N$1713=""Late Neonatal"")"),13.78822446)</f>
        <v>13.78822446</v>
      </c>
      <c r="J142" s="564">
        <f>IFERROR(__xludf.DUMMYFUNCTION("FILTER('GBD estimates'!$R$3:$R$1713,'GBD estimates'!$K$3:$K$1713=J$3,'GBD estimates'!$L$3:$L$1713=""Tetanus"",'GBD estimates'!$N$3:$N$1713=""Late Neonatal"")"),5.840665)</f>
        <v>5.840665</v>
      </c>
      <c r="K142" s="564">
        <f>IFERROR(__xludf.DUMMYFUNCTION("FILTER('GBD estimates'!$R$3:$R$1713,'GBD estimates'!$K$3:$K$1713=K$3,'GBD estimates'!$L$3:$L$1713=""Tetanus"",'GBD estimates'!$N$3:$N$1713=""Late Neonatal"")"),7.862766221)</f>
        <v>7.862766221</v>
      </c>
      <c r="L142" s="564">
        <f t="shared" si="23"/>
        <v>14.89126409</v>
      </c>
      <c r="M142" s="564">
        <f>IFERROR(__xludf.DUMMYFUNCTION("FILTER('GBD estimates'!$R$3:$R$1713,'GBD estimates'!$K$3:$K$1713=M$3,'GBD estimates'!$L$3:$L$1713=""Tetanus"",'GBD estimates'!$N$3:$N$1713=""Late Neonatal"")"),25.74459587)</f>
        <v>25.74459587</v>
      </c>
      <c r="N142" s="564">
        <f>IFERROR(__xludf.DUMMYFUNCTION("FILTER('GBD estimates'!$R$3:$R$1713,'GBD estimates'!$K$3:$K$1713=N$3,'GBD estimates'!$L$3:$L$1713=""Tetanus"",'GBD estimates'!$N$3:$N$1713=""Late Neonatal"")"),21.06859248)</f>
        <v>21.06859248</v>
      </c>
      <c r="O142" s="564">
        <f>IFERROR(__xludf.DUMMYFUNCTION("FILTER('GBD estimates'!$R$3:$R$1713,'GBD estimates'!$K$3:$K$1713=O$3,'GBD estimates'!$L$3:$L$1713=""Tetanus"",'GBD estimates'!$N$3:$N$1713=""Late Neonatal"")"),16.16964646)</f>
        <v>16.16964646</v>
      </c>
      <c r="P142" s="564">
        <f>IFERROR(__xludf.DUMMYFUNCTION("FILTER('GBD estimates'!$R$3:$R$1713,'GBD estimates'!$K$3:$K$1713=P$3,'GBD estimates'!$L$3:$L$1713=""Tetanus"",'GBD estimates'!$N$3:$N$1713=""Late Neonatal"")"),36.70287667)</f>
        <v>36.70287667</v>
      </c>
      <c r="Q142" s="565">
        <f>IFERROR(__xludf.DUMMYFUNCTION("FILTER('GBD estimates'!$R$3:$R$1713,'GBD estimates'!$K$3:$K$1713=Q$3,'GBD estimates'!$L$3:$L$1713=""Tetanus"",'GBD estimates'!$N$3:$N$1713=""Late Neonatal"")"),20.01437074)</f>
        <v>20.01437074</v>
      </c>
      <c r="R142" s="564">
        <f>IFERROR(__xludf.DUMMYFUNCTION("FILTER('GBD estimates'!$R$3:$R$1713,'GBD estimates'!$K$3:$K$1713=R$3,'GBD estimates'!$L$3:$L$1713=""Tetanus"",'GBD estimates'!$N$3:$N$1713=""Late Neonatal"")"),2.612578044)</f>
        <v>2.612578044</v>
      </c>
      <c r="S142" s="564">
        <f>IFERROR(__xludf.DUMMYFUNCTION("FILTER('GBD estimates'!$R$3:$R$1713,'GBD estimates'!$K$3:$K$1713=S$3,'GBD estimates'!$L$3:$L$1713=""Tetanus"",'GBD estimates'!$N$3:$N$1713=""Late Neonatal"")"),3.601899175)</f>
        <v>3.601899175</v>
      </c>
      <c r="T142" s="564">
        <f>IFERROR(__xludf.DUMMYFUNCTION("FILTER('GBD estimates'!$R$3:$R$1713,'GBD estimates'!$K$3:$K$1713=T$3,'GBD estimates'!$L$3:$L$1713=""Tetanus"",'GBD estimates'!$N$3:$N$1713=""Late Neonatal"")"),1.359625785)</f>
        <v>1.359625785</v>
      </c>
      <c r="U142" s="564">
        <f>IFERROR(__xludf.DUMMYFUNCTION("FILTER('GBD estimates'!$R$3:$R$1713,'GBD estimates'!$K$3:$K$1713=U$3,'GBD estimates'!$L$3:$L$1713=""Tetanus"",'GBD estimates'!$N$3:$N$1713=""Late Neonatal"")"),3.257913338)</f>
        <v>3.257913338</v>
      </c>
      <c r="V142" s="564">
        <f>IFERROR(__xludf.DUMMYFUNCTION("FILTER('GBD estimates'!$R$3:$R$1713,'GBD estimates'!$K$3:$K$1713=V$3,'GBD estimates'!$L$3:$L$1713=""Tetanus"",'GBD estimates'!$N$3:$N$1713=""Late Neonatal"")"),0.417991705)</f>
        <v>0.417991705</v>
      </c>
      <c r="W142" s="564">
        <f>IFERROR(__xludf.DUMMYFUNCTION("FILTER('GBD estimates'!$R$3:$R$1713,'GBD estimates'!$K$3:$K$1713=W$3,'GBD estimates'!$L$3:$L$1713=""Tetanus"",'GBD estimates'!$N$3:$N$1713=""Late Neonatal"")"),7.373690901)</f>
        <v>7.373690901</v>
      </c>
      <c r="X142" s="564">
        <f>IFERROR(__xludf.DUMMYFUNCTION("FILTER('GBD estimates'!$R$3:$R$1713,'GBD estimates'!$K$3:$K$1713=X$3,'GBD estimates'!$L$3:$L$1713=""Tetanus"",'GBD estimates'!$N$3:$N$1713=""Late Neonatal"")"),3.112678576)</f>
        <v>3.112678576</v>
      </c>
      <c r="Y142" s="564">
        <f>IFERROR(__xludf.DUMMYFUNCTION("FILTER('GBD estimates'!$R$3:$R$1713,'GBD estimates'!$K$3:$K$1713=Y$3,'GBD estimates'!$L$3:$L$1713=""Tetanus"",'GBD estimates'!$N$3:$N$1713=""Late Neonatal"")"),1.319127884)</f>
        <v>1.319127884</v>
      </c>
      <c r="Z142" s="564">
        <f>IFERROR(__xludf.DUMMYFUNCTION("FILTER('GBD estimates'!$R$3:$R$1713,'GBD estimates'!$K$3:$K$1713=Z$3,'GBD estimates'!$L$3:$L$1713=""Tetanus"",'GBD estimates'!$N$3:$N$1713=""Late Neonatal"")"),3.834320554)</f>
        <v>3.834320554</v>
      </c>
      <c r="AA142" s="564">
        <f>IFERROR(__xludf.DUMMYFUNCTION("FILTER('GBD estimates'!$R$3:$R$1713,'GBD estimates'!$K$3:$K$1713=AA$3,'GBD estimates'!$L$3:$L$1713=""Tetanus"",'GBD estimates'!$N$3:$N$1713=""Late Neonatal"")"),4.02433628)</f>
        <v>4.02433628</v>
      </c>
      <c r="AB142" s="564">
        <f>IFERROR(__xludf.DUMMYFUNCTION("FILTER('GBD estimates'!$R$3:$R$1713,'GBD estimates'!$K$3:$K$1713=AB$3,'GBD estimates'!$L$3:$L$1713=""Tetanus"",'GBD estimates'!$N$3:$N$1713=""Late Neonatal"")"),2.453681959)</f>
        <v>2.453681959</v>
      </c>
      <c r="AC142" s="564">
        <f>IFERROR(__xludf.DUMMYFUNCTION("FILTER('GBD estimates'!$R$3:$R$1713,'GBD estimates'!$K$3:$K$1713=AC$3,'GBD estimates'!$L$3:$L$1713=""Tetanus"",'GBD estimates'!$N$3:$N$1713=""Late Neonatal"")"),1.071696054)</f>
        <v>1.071696054</v>
      </c>
      <c r="AD142" s="564">
        <f>IFERROR(__xludf.DUMMYFUNCTION("FILTER('GBD estimates'!$R$3:$R$1713,'GBD estimates'!$K$3:$K$1713=AD$3,'GBD estimates'!$L$3:$L$1713=""Tetanus"",'GBD estimates'!$N$3:$N$1713=""Late Neonatal"")"),2.942227922)</f>
        <v>2.942227922</v>
      </c>
      <c r="AE142" s="564">
        <f>IFERROR(__xludf.DUMMYFUNCTION("FILTER('GBD estimates'!$R$3:$R$1713,'GBD estimates'!$K$3:$K$1713=AE$3,'GBD estimates'!$L$3:$L$1713=""Tetanus"",'GBD estimates'!$N$3:$N$1713=""Late Neonatal"")"),5.088316432)</f>
        <v>5.088316432</v>
      </c>
      <c r="AF142" s="564">
        <f>IFERROR(__xludf.DUMMYFUNCTION("FILTER('GBD estimates'!$R$3:$R$1713,'GBD estimates'!$K$3:$K$1713=AF$3,'GBD estimates'!$L$3:$L$1713=""Tetanus"",'GBD estimates'!$N$3:$N$1713=""Late Neonatal"")"),3.924052851)</f>
        <v>3.924052851</v>
      </c>
      <c r="AG142" s="564">
        <f>IFERROR(__xludf.DUMMYFUNCTION("FILTER('GBD estimates'!$R$3:$R$1713,'GBD estimates'!$K$3:$K$1713=AG$3,'GBD estimates'!$L$3:$L$1713=""Tetanus"",'GBD estimates'!$N$3:$N$1713=""Late Neonatal"")"),14.89126409)</f>
        <v>14.89126409</v>
      </c>
      <c r="AH142" s="564">
        <f>IFERROR(__xludf.DUMMYFUNCTION("FILTER('GBD estimates'!$R$3:$R$1713,'GBD estimates'!$K$3:$K$1713=AH$3,'GBD estimates'!$L$3:$L$1713=""Tetanus"",'GBD estimates'!$N$3:$N$1713=""Late Neonatal"")"),1.948413438)</f>
        <v>1.948413438</v>
      </c>
      <c r="AI142" s="564">
        <f>IFERROR(__xludf.DUMMYFUNCTION("FILTER('GBD estimates'!$R$3:$R$1713,'GBD estimates'!$K$3:$K$1713=AI$3,'GBD estimates'!$L$3:$L$1713=""Tetanus"",'GBD estimates'!$N$3:$N$1713=""Late Neonatal"")"),2.546767408)</f>
        <v>2.546767408</v>
      </c>
      <c r="AJ142" s="564">
        <f>IFERROR(__xludf.DUMMYFUNCTION("FILTER('GBD estimates'!$R$3:$R$1713,'GBD estimates'!$K$3:$K$1713=AJ$3,'GBD estimates'!$L$3:$L$1713=""Tetanus"",'GBD estimates'!$N$3:$N$1713=""Late Neonatal"")"),2.84886257)</f>
        <v>2.84886257</v>
      </c>
      <c r="AK142" s="564">
        <f>IFERROR(__xludf.DUMMYFUNCTION("FILTER('GBD estimates'!$R$3:$R$1713,'GBD estimates'!$K$3:$K$1713=AK$3,'GBD estimates'!$L$3:$L$1713=""Tetanus"",'GBD estimates'!$N$3:$N$1713=""Late Neonatal"")"),5.807692329)</f>
        <v>5.807692329</v>
      </c>
      <c r="AL142" s="564">
        <f>IFERROR(__xludf.DUMMYFUNCTION("FILTER('GBD estimates'!$R$3:$R$1713,'GBD estimates'!$K$3:$K$1713=AL$3,'GBD estimates'!$L$3:$L$1713=""Tetanus"",'GBD estimates'!$N$3:$N$1713=""Late Neonatal"")"),18.32742634)</f>
        <v>18.32742634</v>
      </c>
      <c r="AM142" s="564">
        <f t="shared" ref="AM142:AN142" si="29">AL142</f>
        <v>18.32742634</v>
      </c>
      <c r="AN142" s="564">
        <f t="shared" si="29"/>
        <v>18.32742634</v>
      </c>
      <c r="AO142" s="564">
        <f>IFERROR(__xludf.DUMMYFUNCTION("FILTER('GBD estimates'!$R$3:$R$1713,'GBD estimates'!$K$3:$K$1713=AO$3,'GBD estimates'!$L$3:$L$1713=""Tetanus"",'GBD estimates'!$N$3:$N$1713=""Late Neonatal"")"),12.56677019)</f>
        <v>12.56677019</v>
      </c>
      <c r="AP142" s="564">
        <f>IFERROR(__xludf.DUMMYFUNCTION("FILTER('GBD estimates'!$R$3:$R$1713,'GBD estimates'!$K$3:$K$1713=AP$3,'GBD estimates'!$L$3:$L$1713=""Tetanus"",'GBD estimates'!$N$3:$N$1713=""Late Neonatal"")"),2.098506261)</f>
        <v>2.098506261</v>
      </c>
      <c r="AQ142" s="564">
        <f>IFERROR(__xludf.DUMMYFUNCTION("FILTER('GBD estimates'!$R$3:$R$1713,'GBD estimates'!$K$3:$K$1713=AQ$3,'GBD estimates'!$L$3:$L$1713=""Tetanus"",'GBD estimates'!$N$3:$N$1713=""Late Neonatal"")"),2.606632921)</f>
        <v>2.606632921</v>
      </c>
      <c r="AR142" s="564">
        <f>IFERROR(__xludf.DUMMYFUNCTION("FILTER('GBD estimates'!$R$3:$R$1713,'GBD estimates'!$K$3:$K$1713=AR$3,'GBD estimates'!$L$3:$L$1713=""Tetanus"",'GBD estimates'!$N$3:$N$1713=""Late Neonatal"")"),1.351413197)</f>
        <v>1.351413197</v>
      </c>
      <c r="AS142" s="564">
        <f>IFERROR(__xludf.DUMMYFUNCTION("FILTER('GBD estimates'!$R$3:$R$1713,'GBD estimates'!$K$3:$K$1713=AS$3,'GBD estimates'!$L$3:$L$1713=""Tetanus"",'GBD estimates'!$N$3:$N$1713=""Late Neonatal"")"),10.34257607)</f>
        <v>10.34257607</v>
      </c>
      <c r="AT142" s="564">
        <f>IFERROR(__xludf.DUMMYFUNCTION("FILTER('GBD estimates'!$R$3:$R$1713,'GBD estimates'!$K$3:$K$1713=AT$3,'GBD estimates'!$L$3:$L$1713=""Tetanus"",'GBD estimates'!$N$3:$N$1713=""Late Neonatal"")"),2.425935606)</f>
        <v>2.425935606</v>
      </c>
      <c r="AU142" s="564">
        <f>IFERROR(__xludf.DUMMYFUNCTION("FILTER('GBD estimates'!$R$3:$R$1713,'GBD estimates'!$K$3:$K$1713=AU$3,'GBD estimates'!$L$3:$L$1713=""Tetanus"",'GBD estimates'!$N$3:$N$1713=""Late Neonatal"")"),8.190185532)</f>
        <v>8.190185532</v>
      </c>
      <c r="AV142" s="564">
        <f>IFERROR(__xludf.DUMMYFUNCTION("FILTER('GBD estimates'!$R$3:$R$1713,'GBD estimates'!$K$3:$K$1713=AV$3,'GBD estimates'!$L$3:$L$1713=""Tetanus"",'GBD estimates'!$N$3:$N$1713=""Late Neonatal"")"),5.70125199)</f>
        <v>5.70125199</v>
      </c>
      <c r="AW142" s="788"/>
      <c r="AX142" s="798" t="s">
        <v>999</v>
      </c>
      <c r="AY142" s="790"/>
    </row>
    <row r="143">
      <c r="A143" s="776"/>
      <c r="B143" s="538"/>
      <c r="C143" s="538"/>
      <c r="D143" s="538"/>
      <c r="E143" s="475" t="s">
        <v>575</v>
      </c>
      <c r="F143" s="554" t="s">
        <v>62</v>
      </c>
      <c r="G143" s="555" t="s">
        <v>165</v>
      </c>
      <c r="H143" s="811" t="s">
        <v>162</v>
      </c>
      <c r="I143" s="564">
        <f>IFERROR(__xludf.DUMMYFUNCTION("SUM(FILTER('GBD estimates'!$R$3:$R$1713,'GBD estimates'!$K$3:$K$1713=I$3,'GBD estimates'!$L$3:$L$1713=""Tetanus"",'GBD estimates'!$N$3:$N$1713=""Early Neonatal""),FILTER('GBD estimates'!$R$3:$R$1713,'GBD estimates'!$K$3:$K$1713=I$3,'GBD estimates'!$L$3:$L"&amp;"$1713=""Tetanus"",'GBD estimates'!$N$3:$N$1713=""Late Neonatal""),FILTER('GBD estimates'!$R$3:$R$1713,'GBD estimates'!$K$3:$K$1713=I$3,'GBD estimates'!$L$3:$L$1713=""Tetanus"",'GBD estimates'!$N$3:$N$1713=""Post Neonatal""))"),47.002053697)</f>
        <v>47.0020537</v>
      </c>
      <c r="J143" s="564">
        <f>IFERROR(__xludf.DUMMYFUNCTION("SUM(FILTER('GBD estimates'!$R$3:$R$1713,'GBD estimates'!$K$3:$K$1713=J$3,'GBD estimates'!$L$3:$L$1713=""Tetanus"",'GBD estimates'!$N$3:$N$1713=""Early Neonatal""),FILTER('GBD estimates'!$R$3:$R$1713,'GBD estimates'!$K$3:$K$1713=J$3,'GBD estimates'!$L$3:$L"&amp;"$1713=""Tetanus"",'GBD estimates'!$N$3:$N$1713=""Late Neonatal""),FILTER('GBD estimates'!$R$3:$R$1713,'GBD estimates'!$K$3:$K$1713=J$3,'GBD estimates'!$L$3:$L$1713=""Tetanus"",'GBD estimates'!$N$3:$N$1713=""Post Neonatal""))"),17.979236939)</f>
        <v>17.97923694</v>
      </c>
      <c r="K143" s="564">
        <f>IFERROR(__xludf.DUMMYFUNCTION("SUM(FILTER('GBD estimates'!$R$3:$R$1713,'GBD estimates'!$K$3:$K$1713=K$3,'GBD estimates'!$L$3:$L$1713=""Tetanus"",'GBD estimates'!$N$3:$N$1713=""Early Neonatal""),FILTER('GBD estimates'!$R$3:$R$1713,'GBD estimates'!$K$3:$K$1713=K$3,'GBD estimates'!$L$3:$L"&amp;"$1713=""Tetanus"",'GBD estimates'!$N$3:$N$1713=""Late Neonatal""),FILTER('GBD estimates'!$R$3:$R$1713,'GBD estimates'!$K$3:$K$1713=K$3,'GBD estimates'!$L$3:$L$1713=""Tetanus"",'GBD estimates'!$N$3:$N$1713=""Post Neonatal""))"),25.214423060999998)</f>
        <v>25.21442306</v>
      </c>
      <c r="L143" s="564">
        <f t="shared" si="23"/>
        <v>41.85500009</v>
      </c>
      <c r="M143" s="564">
        <f>IFERROR(__xludf.DUMMYFUNCTION("SUM(FILTER('GBD estimates'!$R$3:$R$1713,'GBD estimates'!$K$3:$K$1713=M$3,'GBD estimates'!$L$3:$L$1713=""Tetanus"",'GBD estimates'!$N$3:$N$1713=""Early Neonatal""),FILTER('GBD estimates'!$R$3:$R$1713,'GBD estimates'!$K$3:$K$1713=M$3,'GBD estimates'!$L$3:$L"&amp;"$1713=""Tetanus"",'GBD estimates'!$N$3:$N$1713=""Late Neonatal""),FILTER('GBD estimates'!$R$3:$R$1713,'GBD estimates'!$K$3:$K$1713=M$3,'GBD estimates'!$L$3:$L$1713=""Tetanus"",'GBD estimates'!$N$3:$N$1713=""Post Neonatal""))"),72.75465859900001)</f>
        <v>72.7546586</v>
      </c>
      <c r="N143" s="564">
        <f>IFERROR(__xludf.DUMMYFUNCTION("SUM(FILTER('GBD estimates'!$R$3:$R$1713,'GBD estimates'!$K$3:$K$1713=N$3,'GBD estimates'!$L$3:$L$1713=""Tetanus"",'GBD estimates'!$N$3:$N$1713=""Early Neonatal""),FILTER('GBD estimates'!$R$3:$R$1713,'GBD estimates'!$K$3:$K$1713=N$3,'GBD estimates'!$L$3:$L"&amp;"$1713=""Tetanus"",'GBD estimates'!$N$3:$N$1713=""Late Neonatal""),FILTER('GBD estimates'!$R$3:$R$1713,'GBD estimates'!$K$3:$K$1713=N$3,'GBD estimates'!$L$3:$L$1713=""Tetanus"",'GBD estimates'!$N$3:$N$1713=""Post Neonatal""))"),52.662730785)</f>
        <v>52.66273079</v>
      </c>
      <c r="O143" s="564">
        <f>IFERROR(__xludf.DUMMYFUNCTION("SUM(FILTER('GBD estimates'!$R$3:$R$1713,'GBD estimates'!$K$3:$K$1713=O$3,'GBD estimates'!$L$3:$L$1713=""Tetanus"",'GBD estimates'!$N$3:$N$1713=""Early Neonatal""),FILTER('GBD estimates'!$R$3:$R$1713,'GBD estimates'!$K$3:$K$1713=O$3,'GBD estimates'!$L$3:$L"&amp;"$1713=""Tetanus"",'GBD estimates'!$N$3:$N$1713=""Late Neonatal""),FILTER('GBD estimates'!$R$3:$R$1713,'GBD estimates'!$K$3:$K$1713=O$3,'GBD estimates'!$L$3:$L$1713=""Tetanus"",'GBD estimates'!$N$3:$N$1713=""Post Neonatal""))"),51.536258262)</f>
        <v>51.53625826</v>
      </c>
      <c r="P143" s="564">
        <f>IFERROR(__xludf.DUMMYFUNCTION("SUM(FILTER('GBD estimates'!$R$3:$R$1713,'GBD estimates'!$K$3:$K$1713=P$3,'GBD estimates'!$L$3:$L$1713=""Tetanus"",'GBD estimates'!$N$3:$N$1713=""Early Neonatal""),FILTER('GBD estimates'!$R$3:$R$1713,'GBD estimates'!$K$3:$K$1713=P$3,'GBD estimates'!$L$3:$L"&amp;"$1713=""Tetanus"",'GBD estimates'!$N$3:$N$1713=""Late Neonatal""),FILTER('GBD estimates'!$R$3:$R$1713,'GBD estimates'!$K$3:$K$1713=P$3,'GBD estimates'!$L$3:$L$1713=""Tetanus"",'GBD estimates'!$N$3:$N$1713=""Post Neonatal""))"),97.516050637)</f>
        <v>97.51605064</v>
      </c>
      <c r="Q143" s="565">
        <f>IFERROR(__xludf.DUMMYFUNCTION("SUM(FILTER('GBD estimates'!$R$3:$R$1713,'GBD estimates'!$K$3:$K$1713=Q$3,'GBD estimates'!$L$3:$L$1713=""Tetanus"",'GBD estimates'!$N$3:$N$1713=""Early Neonatal""),FILTER('GBD estimates'!$R$3:$R$1713,'GBD estimates'!$K$3:$K$1713=Q$3,'GBD estimates'!$L$3:$L"&amp;"$1713=""Tetanus"",'GBD estimates'!$N$3:$N$1713=""Late Neonatal""),FILTER('GBD estimates'!$R$3:$R$1713,'GBD estimates'!$K$3:$K$1713=Q$3,'GBD estimates'!$L$3:$L$1713=""Tetanus"",'GBD estimates'!$N$3:$N$1713=""Post Neonatal""))"),47.904780022000004)</f>
        <v>47.90478002</v>
      </c>
      <c r="R143" s="564">
        <f>IFERROR(__xludf.DUMMYFUNCTION("SUM(FILTER('GBD estimates'!$R$3:$R$1713,'GBD estimates'!$K$3:$K$1713=R$3,'GBD estimates'!$L$3:$L$1713=""Tetanus"",'GBD estimates'!$N$3:$N$1713=""Early Neonatal""),FILTER('GBD estimates'!$R$3:$R$1713,'GBD estimates'!$K$3:$K$1713=R$3,'GBD estimates'!$L$3:$L"&amp;"$1713=""Tetanus"",'GBD estimates'!$N$3:$N$1713=""Late Neonatal""),FILTER('GBD estimates'!$R$3:$R$1713,'GBD estimates'!$K$3:$K$1713=R$3,'GBD estimates'!$L$3:$L$1713=""Tetanus"",'GBD estimates'!$N$3:$N$1713=""Post Neonatal""))"),8.996741352)</f>
        <v>8.996741352</v>
      </c>
      <c r="S143" s="564">
        <f>IFERROR(__xludf.DUMMYFUNCTION("SUM(FILTER('GBD estimates'!$R$3:$R$1713,'GBD estimates'!$K$3:$K$1713=S$3,'GBD estimates'!$L$3:$L$1713=""Tetanus"",'GBD estimates'!$N$3:$N$1713=""Early Neonatal""),FILTER('GBD estimates'!$R$3:$R$1713,'GBD estimates'!$K$3:$K$1713=S$3,'GBD estimates'!$L$3:$L"&amp;"$1713=""Tetanus"",'GBD estimates'!$N$3:$N$1713=""Late Neonatal""),FILTER('GBD estimates'!$R$3:$R$1713,'GBD estimates'!$K$3:$K$1713=S$3,'GBD estimates'!$L$3:$L$1713=""Tetanus"",'GBD estimates'!$N$3:$N$1713=""Post Neonatal""))"),10.598272216999998)</f>
        <v>10.59827222</v>
      </c>
      <c r="T143" s="564">
        <f>IFERROR(__xludf.DUMMYFUNCTION("SUM(FILTER('GBD estimates'!$R$3:$R$1713,'GBD estimates'!$K$3:$K$1713=T$3,'GBD estimates'!$L$3:$L$1713=""Tetanus"",'GBD estimates'!$N$3:$N$1713=""Early Neonatal""),FILTER('GBD estimates'!$R$3:$R$1713,'GBD estimates'!$K$3:$K$1713=T$3,'GBD estimates'!$L$3:$L"&amp;"$1713=""Tetanus"",'GBD estimates'!$N$3:$N$1713=""Late Neonatal""),FILTER('GBD estimates'!$R$3:$R$1713,'GBD estimates'!$K$3:$K$1713=T$3,'GBD estimates'!$L$3:$L$1713=""Tetanus"",'GBD estimates'!$N$3:$N$1713=""Post Neonatal""))"),4.015253149)</f>
        <v>4.015253149</v>
      </c>
      <c r="U143" s="564">
        <f>IFERROR(__xludf.DUMMYFUNCTION("SUM(FILTER('GBD estimates'!$R$3:$R$1713,'GBD estimates'!$K$3:$K$1713=U$3,'GBD estimates'!$L$3:$L$1713=""Tetanus"",'GBD estimates'!$N$3:$N$1713=""Early Neonatal""),FILTER('GBD estimates'!$R$3:$R$1713,'GBD estimates'!$K$3:$K$1713=U$3,'GBD estimates'!$L$3:$L"&amp;"$1713=""Tetanus"",'GBD estimates'!$N$3:$N$1713=""Late Neonatal""),FILTER('GBD estimates'!$R$3:$R$1713,'GBD estimates'!$K$3:$K$1713=U$3,'GBD estimates'!$L$3:$L$1713=""Tetanus"",'GBD estimates'!$N$3:$N$1713=""Post Neonatal""))"),10.295210313999998)</f>
        <v>10.29521031</v>
      </c>
      <c r="V143" s="564">
        <f>IFERROR(__xludf.DUMMYFUNCTION("SUM(FILTER('GBD estimates'!$R$3:$R$1713,'GBD estimates'!$K$3:$K$1713=V$3,'GBD estimates'!$L$3:$L$1713=""Tetanus"",'GBD estimates'!$N$3:$N$1713=""Early Neonatal""),FILTER('GBD estimates'!$R$3:$R$1713,'GBD estimates'!$K$3:$K$1713=V$3,'GBD estimates'!$L$3:$L"&amp;"$1713=""Tetanus"",'GBD estimates'!$N$3:$N$1713=""Late Neonatal""),FILTER('GBD estimates'!$R$3:$R$1713,'GBD estimates'!$K$3:$K$1713=V$3,'GBD estimates'!$L$3:$L$1713=""Tetanus"",'GBD estimates'!$N$3:$N$1713=""Post Neonatal""))"),1.275822268)</f>
        <v>1.275822268</v>
      </c>
      <c r="W143" s="564">
        <f>IFERROR(__xludf.DUMMYFUNCTION("SUM(FILTER('GBD estimates'!$R$3:$R$1713,'GBD estimates'!$K$3:$K$1713=W$3,'GBD estimates'!$L$3:$L$1713=""Tetanus"",'GBD estimates'!$N$3:$N$1713=""Early Neonatal""),FILTER('GBD estimates'!$R$3:$R$1713,'GBD estimates'!$K$3:$K$1713=W$3,'GBD estimates'!$L$3:$L"&amp;"$1713=""Tetanus"",'GBD estimates'!$N$3:$N$1713=""Late Neonatal""),FILTER('GBD estimates'!$R$3:$R$1713,'GBD estimates'!$K$3:$K$1713=W$3,'GBD estimates'!$L$3:$L$1713=""Tetanus"",'GBD estimates'!$N$3:$N$1713=""Post Neonatal""))"),23.033070074999998)</f>
        <v>23.03307008</v>
      </c>
      <c r="X143" s="564">
        <f>IFERROR(__xludf.DUMMYFUNCTION("SUM(FILTER('GBD estimates'!$R$3:$R$1713,'GBD estimates'!$K$3:$K$1713=X$3,'GBD estimates'!$L$3:$L$1713=""Tetanus"",'GBD estimates'!$N$3:$N$1713=""Early Neonatal""),FILTER('GBD estimates'!$R$3:$R$1713,'GBD estimates'!$K$3:$K$1713=X$3,'GBD estimates'!$L$3:$L"&amp;"$1713=""Tetanus"",'GBD estimates'!$N$3:$N$1713=""Late Neonatal""),FILTER('GBD estimates'!$R$3:$R$1713,'GBD estimates'!$K$3:$K$1713=X$3,'GBD estimates'!$L$3:$L$1713=""Tetanus"",'GBD estimates'!$N$3:$N$1713=""Post Neonatal""))"),9.245846069)</f>
        <v>9.245846069</v>
      </c>
      <c r="Y143" s="564">
        <f>IFERROR(__xludf.DUMMYFUNCTION("SUM(FILTER('GBD estimates'!$R$3:$R$1713,'GBD estimates'!$K$3:$K$1713=Y$3,'GBD estimates'!$L$3:$L$1713=""Tetanus"",'GBD estimates'!$N$3:$N$1713=""Early Neonatal""),FILTER('GBD estimates'!$R$3:$R$1713,'GBD estimates'!$K$3:$K$1713=Y$3,'GBD estimates'!$L$3:$L"&amp;"$1713=""Tetanus"",'GBD estimates'!$N$3:$N$1713=""Late Neonatal""),FILTER('GBD estimates'!$R$3:$R$1713,'GBD estimates'!$K$3:$K$1713=Y$3,'GBD estimates'!$L$3:$L$1713=""Tetanus"",'GBD estimates'!$N$3:$N$1713=""Post Neonatal""))"),3.940436997)</f>
        <v>3.940436997</v>
      </c>
      <c r="Z143" s="564">
        <f>IFERROR(__xludf.DUMMYFUNCTION("SUM(FILTER('GBD estimates'!$R$3:$R$1713,'GBD estimates'!$K$3:$K$1713=Z$3,'GBD estimates'!$L$3:$L$1713=""Tetanus"",'GBD estimates'!$N$3:$N$1713=""Early Neonatal""),FILTER('GBD estimates'!$R$3:$R$1713,'GBD estimates'!$K$3:$K$1713=Z$3,'GBD estimates'!$L$3:$L"&amp;"$1713=""Tetanus"",'GBD estimates'!$N$3:$N$1713=""Late Neonatal""),FILTER('GBD estimates'!$R$3:$R$1713,'GBD estimates'!$K$3:$K$1713=Z$3,'GBD estimates'!$L$3:$L$1713=""Tetanus"",'GBD estimates'!$N$3:$N$1713=""Post Neonatal""))"),10.819271958)</f>
        <v>10.81927196</v>
      </c>
      <c r="AA143" s="564">
        <f>IFERROR(__xludf.DUMMYFUNCTION("SUM(FILTER('GBD estimates'!$R$3:$R$1713,'GBD estimates'!$K$3:$K$1713=AA$3,'GBD estimates'!$L$3:$L$1713=""Tetanus"",'GBD estimates'!$N$3:$N$1713=""Early Neonatal""),FILTER('GBD estimates'!$R$3:$R$1713,'GBD estimates'!$K$3:$K$1713=AA$3,'GBD estimates'!$L$3:"&amp;"$L$1713=""Tetanus"",'GBD estimates'!$N$3:$N$1713=""Late Neonatal""),FILTER('GBD estimates'!$R$3:$R$1713,'GBD estimates'!$K$3:$K$1713=AA$3,'GBD estimates'!$L$3:$L$1713=""Tetanus"",'GBD estimates'!$N$3:$N$1713=""Post Neonatal""))"),12.813581619999999)</f>
        <v>12.81358162</v>
      </c>
      <c r="AB143" s="564">
        <f>IFERROR(__xludf.DUMMYFUNCTION("SUM(FILTER('GBD estimates'!$R$3:$R$1713,'GBD estimates'!$K$3:$K$1713=AB$3,'GBD estimates'!$L$3:$L$1713=""Tetanus"",'GBD estimates'!$N$3:$N$1713=""Early Neonatal""),FILTER('GBD estimates'!$R$3:$R$1713,'GBD estimates'!$K$3:$K$1713=AB$3,'GBD estimates'!$L$3:"&amp;"$L$1713=""Tetanus"",'GBD estimates'!$N$3:$N$1713=""Late Neonatal""),FILTER('GBD estimates'!$R$3:$R$1713,'GBD estimates'!$K$3:$K$1713=AB$3,'GBD estimates'!$L$3:$L$1713=""Tetanus"",'GBD estimates'!$N$3:$N$1713=""Post Neonatal""))"),7.301345554999999)</f>
        <v>7.301345555</v>
      </c>
      <c r="AC143" s="564">
        <f>IFERROR(__xludf.DUMMYFUNCTION("SUM(FILTER('GBD estimates'!$R$3:$R$1713,'GBD estimates'!$K$3:$K$1713=AC$3,'GBD estimates'!$L$3:$L$1713=""Tetanus"",'GBD estimates'!$N$3:$N$1713=""Early Neonatal""),FILTER('GBD estimates'!$R$3:$R$1713,'GBD estimates'!$K$3:$K$1713=AC$3,'GBD estimates'!$L$3:"&amp;"$L$1713=""Tetanus"",'GBD estimates'!$N$3:$N$1713=""Late Neonatal""),FILTER('GBD estimates'!$R$3:$R$1713,'GBD estimates'!$K$3:$K$1713=AC$3,'GBD estimates'!$L$3:$L$1713=""Tetanus"",'GBD estimates'!$N$3:$N$1713=""Post Neonatal""))"),3.730227381)</f>
        <v>3.730227381</v>
      </c>
      <c r="AD143" s="564">
        <f>IFERROR(__xludf.DUMMYFUNCTION("SUM(FILTER('GBD estimates'!$R$3:$R$1713,'GBD estimates'!$K$3:$K$1713=AD$3,'GBD estimates'!$L$3:$L$1713=""Tetanus"",'GBD estimates'!$N$3:$N$1713=""Early Neonatal""),FILTER('GBD estimates'!$R$3:$R$1713,'GBD estimates'!$K$3:$K$1713=AD$3,'GBD estimates'!$L$3:"&amp;"$L$1713=""Tetanus"",'GBD estimates'!$N$3:$N$1713=""Late Neonatal""),FILTER('GBD estimates'!$R$3:$R$1713,'GBD estimates'!$K$3:$K$1713=AD$3,'GBD estimates'!$L$3:$L$1713=""Tetanus"",'GBD estimates'!$N$3:$N$1713=""Post Neonatal""))"),7.379462363)</f>
        <v>7.379462363</v>
      </c>
      <c r="AE143" s="564">
        <f>IFERROR(__xludf.DUMMYFUNCTION("SUM(FILTER('GBD estimates'!$R$3:$R$1713,'GBD estimates'!$K$3:$K$1713=AE$3,'GBD estimates'!$L$3:$L$1713=""Tetanus"",'GBD estimates'!$N$3:$N$1713=""Early Neonatal""),FILTER('GBD estimates'!$R$3:$R$1713,'GBD estimates'!$K$3:$K$1713=AE$3,'GBD estimates'!$L$3:"&amp;"$L$1713=""Tetanus"",'GBD estimates'!$N$3:$N$1713=""Late Neonatal""),FILTER('GBD estimates'!$R$3:$R$1713,'GBD estimates'!$K$3:$K$1713=AE$3,'GBD estimates'!$L$3:$L$1713=""Tetanus"",'GBD estimates'!$N$3:$N$1713=""Post Neonatal""))"),16.680427333)</f>
        <v>16.68042733</v>
      </c>
      <c r="AF143" s="564">
        <f>IFERROR(__xludf.DUMMYFUNCTION("SUM(FILTER('GBD estimates'!$R$3:$R$1713,'GBD estimates'!$K$3:$K$1713=AF$3,'GBD estimates'!$L$3:$L$1713=""Tetanus"",'GBD estimates'!$N$3:$N$1713=""Early Neonatal""),FILTER('GBD estimates'!$R$3:$R$1713,'GBD estimates'!$K$3:$K$1713=AF$3,'GBD estimates'!$L$3:"&amp;"$L$1713=""Tetanus"",'GBD estimates'!$N$3:$N$1713=""Late Neonatal""),FILTER('GBD estimates'!$R$3:$R$1713,'GBD estimates'!$K$3:$K$1713=AF$3,'GBD estimates'!$L$3:$L$1713=""Tetanus"",'GBD estimates'!$N$3:$N$1713=""Post Neonatal""))"),17.248902519999998)</f>
        <v>17.24890252</v>
      </c>
      <c r="AG143" s="564">
        <f>IFERROR(__xludf.DUMMYFUNCTION("SUM(FILTER('GBD estimates'!$R$3:$R$1713,'GBD estimates'!$K$3:$K$1713=AG$3,'GBD estimates'!$L$3:$L$1713=""Tetanus"",'GBD estimates'!$N$3:$N$1713=""Early Neonatal""),FILTER('GBD estimates'!$R$3:$R$1713,'GBD estimates'!$K$3:$K$1713=AG$3,'GBD estimates'!$L$3:"&amp;"$L$1713=""Tetanus"",'GBD estimates'!$N$3:$N$1713=""Late Neonatal""),FILTER('GBD estimates'!$R$3:$R$1713,'GBD estimates'!$K$3:$K$1713=AG$3,'GBD estimates'!$L$3:$L$1713=""Tetanus"",'GBD estimates'!$N$3:$N$1713=""Post Neonatal""))"),41.855000087)</f>
        <v>41.85500009</v>
      </c>
      <c r="AH143" s="564">
        <f>IFERROR(__xludf.DUMMYFUNCTION("SUM(FILTER('GBD estimates'!$R$3:$R$1713,'GBD estimates'!$K$3:$K$1713=AH$3,'GBD estimates'!$L$3:$L$1713=""Tetanus"",'GBD estimates'!$N$3:$N$1713=""Early Neonatal""),FILTER('GBD estimates'!$R$3:$R$1713,'GBD estimates'!$K$3:$K$1713=AH$3,'GBD estimates'!$L$3:"&amp;"$L$1713=""Tetanus"",'GBD estimates'!$N$3:$N$1713=""Late Neonatal""),FILTER('GBD estimates'!$R$3:$R$1713,'GBD estimates'!$K$3:$K$1713=AH$3,'GBD estimates'!$L$3:$L$1713=""Tetanus"",'GBD estimates'!$N$3:$N$1713=""Post Neonatal""))"),5.7854302330000005)</f>
        <v>5.785430233</v>
      </c>
      <c r="AI143" s="564">
        <f>IFERROR(__xludf.DUMMYFUNCTION("SUM(FILTER('GBD estimates'!$R$3:$R$1713,'GBD estimates'!$K$3:$K$1713=AI$3,'GBD estimates'!$L$3:$L$1713=""Tetanus"",'GBD estimates'!$N$3:$N$1713=""Early Neonatal""),FILTER('GBD estimates'!$R$3:$R$1713,'GBD estimates'!$K$3:$K$1713=AI$3,'GBD estimates'!$L$3:"&amp;"$L$1713=""Tetanus"",'GBD estimates'!$N$3:$N$1713=""Late Neonatal""),FILTER('GBD estimates'!$R$3:$R$1713,'GBD estimates'!$K$3:$K$1713=AI$3,'GBD estimates'!$L$3:$L$1713=""Tetanus"",'GBD estimates'!$N$3:$N$1713=""Post Neonatal""))"),6.902652744999999)</f>
        <v>6.902652745</v>
      </c>
      <c r="AJ143" s="564">
        <f>IFERROR(__xludf.DUMMYFUNCTION("SUM(FILTER('GBD estimates'!$R$3:$R$1713,'GBD estimates'!$K$3:$K$1713=AJ$3,'GBD estimates'!$L$3:$L$1713=""Tetanus"",'GBD estimates'!$N$3:$N$1713=""Early Neonatal""),FILTER('GBD estimates'!$R$3:$R$1713,'GBD estimates'!$K$3:$K$1713=AJ$3,'GBD estimates'!$L$3:"&amp;"$L$1713=""Tetanus"",'GBD estimates'!$N$3:$N$1713=""Late Neonatal""),FILTER('GBD estimates'!$R$3:$R$1713,'GBD estimates'!$K$3:$K$1713=AJ$3,'GBD estimates'!$L$3:$L$1713=""Tetanus"",'GBD estimates'!$N$3:$N$1713=""Post Neonatal""))"),8.567912871999999)</f>
        <v>8.567912872</v>
      </c>
      <c r="AK143" s="564">
        <f>IFERROR(__xludf.DUMMYFUNCTION("SUM(FILTER('GBD estimates'!$R$3:$R$1713,'GBD estimates'!$K$3:$K$1713=AK$3,'GBD estimates'!$L$3:$L$1713=""Tetanus"",'GBD estimates'!$N$3:$N$1713=""Early Neonatal""),FILTER('GBD estimates'!$R$3:$R$1713,'GBD estimates'!$K$3:$K$1713=AK$3,'GBD estimates'!$L$3:"&amp;"$L$1713=""Tetanus"",'GBD estimates'!$N$3:$N$1713=""Late Neonatal""),FILTER('GBD estimates'!$R$3:$R$1713,'GBD estimates'!$K$3:$K$1713=AK$3,'GBD estimates'!$L$3:$L$1713=""Tetanus"",'GBD estimates'!$N$3:$N$1713=""Post Neonatal""))"),16.806402723)</f>
        <v>16.80640272</v>
      </c>
      <c r="AL143" s="564">
        <f>IFERROR(__xludf.DUMMYFUNCTION("SUM(FILTER('GBD estimates'!$R$3:$R$1713,'GBD estimates'!$K$3:$K$1713=AL$3,'GBD estimates'!$L$3:$L$1713=""Tetanus"",'GBD estimates'!$N$3:$N$1713=""Early Neonatal""),FILTER('GBD estimates'!$R$3:$R$1713,'GBD estimates'!$K$3:$K$1713=AL$3,'GBD estimates'!$L$3:"&amp;"$L$1713=""Tetanus"",'GBD estimates'!$N$3:$N$1713=""Late Neonatal""),FILTER('GBD estimates'!$R$3:$R$1713,'GBD estimates'!$K$3:$K$1713=AL$3,'GBD estimates'!$L$3:$L$1713=""Tetanus"",'GBD estimates'!$N$3:$N$1713=""Post Neonatal""))"),46.130682969999995)</f>
        <v>46.13068297</v>
      </c>
      <c r="AM143" s="564">
        <f t="shared" ref="AM143:AN143" si="30">AL143</f>
        <v>46.13068297</v>
      </c>
      <c r="AN143" s="564">
        <f t="shared" si="30"/>
        <v>46.13068297</v>
      </c>
      <c r="AO143" s="564">
        <f>IFERROR(__xludf.DUMMYFUNCTION("SUM(FILTER('GBD estimates'!$R$3:$R$1713,'GBD estimates'!$K$3:$K$1713=AO$3,'GBD estimates'!$L$3:$L$1713=""Tetanus"",'GBD estimates'!$N$3:$N$1713=""Early Neonatal""),FILTER('GBD estimates'!$R$3:$R$1713,'GBD estimates'!$K$3:$K$1713=AO$3,'GBD estimates'!$L$3:"&amp;"$L$1713=""Tetanus"",'GBD estimates'!$N$3:$N$1713=""Late Neonatal""),FILTER('GBD estimates'!$R$3:$R$1713,'GBD estimates'!$K$3:$K$1713=AO$3,'GBD estimates'!$L$3:$L$1713=""Tetanus"",'GBD estimates'!$N$3:$N$1713=""Post Neonatal""))"),32.482703955)</f>
        <v>32.48270396</v>
      </c>
      <c r="AP143" s="564">
        <f>IFERROR(__xludf.DUMMYFUNCTION("SUM(FILTER('GBD estimates'!$R$3:$R$1713,'GBD estimates'!$K$3:$K$1713=AP$3,'GBD estimates'!$L$3:$L$1713=""Tetanus"",'GBD estimates'!$N$3:$N$1713=""Early Neonatal""),FILTER('GBD estimates'!$R$3:$R$1713,'GBD estimates'!$K$3:$K$1713=AP$3,'GBD estimates'!$L$3:"&amp;"$L$1713=""Tetanus"",'GBD estimates'!$N$3:$N$1713=""Late Neonatal""),FILTER('GBD estimates'!$R$3:$R$1713,'GBD estimates'!$K$3:$K$1713=AP$3,'GBD estimates'!$L$3:$L$1713=""Tetanus"",'GBD estimates'!$N$3:$N$1713=""Post Neonatal""))"),6.704346197)</f>
        <v>6.704346197</v>
      </c>
      <c r="AQ143" s="564">
        <f>IFERROR(__xludf.DUMMYFUNCTION("SUM(FILTER('GBD estimates'!$R$3:$R$1713,'GBD estimates'!$K$3:$K$1713=AQ$3,'GBD estimates'!$L$3:$L$1713=""Tetanus"",'GBD estimates'!$N$3:$N$1713=""Early Neonatal""),FILTER('GBD estimates'!$R$3:$R$1713,'GBD estimates'!$K$3:$K$1713=AQ$3,'GBD estimates'!$L$3:"&amp;"$L$1713=""Tetanus"",'GBD estimates'!$N$3:$N$1713=""Late Neonatal""),FILTER('GBD estimates'!$R$3:$R$1713,'GBD estimates'!$K$3:$K$1713=AQ$3,'GBD estimates'!$L$3:$L$1713=""Tetanus"",'GBD estimates'!$N$3:$N$1713=""Post Neonatal""))"),7.148989524)</f>
        <v>7.148989524</v>
      </c>
      <c r="AR143" s="564">
        <f>IFERROR(__xludf.DUMMYFUNCTION("SUM(FILTER('GBD estimates'!$R$3:$R$1713,'GBD estimates'!$K$3:$K$1713=AR$3,'GBD estimates'!$L$3:$L$1713=""Tetanus"",'GBD estimates'!$N$3:$N$1713=""Early Neonatal""),FILTER('GBD estimates'!$R$3:$R$1713,'GBD estimates'!$K$3:$K$1713=AR$3,'GBD estimates'!$L$3:"&amp;"$L$1713=""Tetanus"",'GBD estimates'!$N$3:$N$1713=""Late Neonatal""),FILTER('GBD estimates'!$R$3:$R$1713,'GBD estimates'!$K$3:$K$1713=AR$3,'GBD estimates'!$L$3:$L$1713=""Tetanus"",'GBD estimates'!$N$3:$N$1713=""Post Neonatal""))"),7.661387766000001)</f>
        <v>7.661387766</v>
      </c>
      <c r="AS143" s="564">
        <f>IFERROR(__xludf.DUMMYFUNCTION("SUM(FILTER('GBD estimates'!$R$3:$R$1713,'GBD estimates'!$K$3:$K$1713=AS$3,'GBD estimates'!$L$3:$L$1713=""Tetanus"",'GBD estimates'!$N$3:$N$1713=""Early Neonatal""),FILTER('GBD estimates'!$R$3:$R$1713,'GBD estimates'!$K$3:$K$1713=AS$3,'GBD estimates'!$L$3:"&amp;"$L$1713=""Tetanus"",'GBD estimates'!$N$3:$N$1713=""Late Neonatal""),FILTER('GBD estimates'!$R$3:$R$1713,'GBD estimates'!$K$3:$K$1713=AS$3,'GBD estimates'!$L$3:$L$1713=""Tetanus"",'GBD estimates'!$N$3:$N$1713=""Post Neonatal""))"),29.164604889)</f>
        <v>29.16460489</v>
      </c>
      <c r="AT143" s="564">
        <f>IFERROR(__xludf.DUMMYFUNCTION("SUM(FILTER('GBD estimates'!$R$3:$R$1713,'GBD estimates'!$K$3:$K$1713=AT$3,'GBD estimates'!$L$3:$L$1713=""Tetanus"",'GBD estimates'!$N$3:$N$1713=""Early Neonatal""),FILTER('GBD estimates'!$R$3:$R$1713,'GBD estimates'!$K$3:$K$1713=AT$3,'GBD estimates'!$L$3:"&amp;"$L$1713=""Tetanus"",'GBD estimates'!$N$3:$N$1713=""Late Neonatal""),FILTER('GBD estimates'!$R$3:$R$1713,'GBD estimates'!$K$3:$K$1713=AT$3,'GBD estimates'!$L$3:$L$1713=""Tetanus"",'GBD estimates'!$N$3:$N$1713=""Post Neonatal""))"),7.796745360999999)</f>
        <v>7.796745361</v>
      </c>
      <c r="AU143" s="564">
        <f>IFERROR(__xludf.DUMMYFUNCTION("SUM(FILTER('GBD estimates'!$R$3:$R$1713,'GBD estimates'!$K$3:$K$1713=AU$3,'GBD estimates'!$L$3:$L$1713=""Tetanus"",'GBD estimates'!$N$3:$N$1713=""Early Neonatal""),FILTER('GBD estimates'!$R$3:$R$1713,'GBD estimates'!$K$3:$K$1713=AU$3,'GBD estimates'!$L$3:"&amp;"$L$1713=""Tetanus"",'GBD estimates'!$N$3:$N$1713=""Late Neonatal""),FILTER('GBD estimates'!$R$3:$R$1713,'GBD estimates'!$K$3:$K$1713=AU$3,'GBD estimates'!$L$3:$L$1713=""Tetanus"",'GBD estimates'!$N$3:$N$1713=""Post Neonatal""))"),25.704261192999997)</f>
        <v>25.70426119</v>
      </c>
      <c r="AV143" s="564">
        <f>IFERROR(__xludf.DUMMYFUNCTION("SUM(FILTER('GBD estimates'!$R$3:$R$1713,'GBD estimates'!$K$3:$K$1713=AV$3,'GBD estimates'!$L$3:$L$1713=""Tetanus"",'GBD estimates'!$N$3:$N$1713=""Early Neonatal""),FILTER('GBD estimates'!$R$3:$R$1713,'GBD estimates'!$K$3:$K$1713=AV$3,'GBD estimates'!$L$3:"&amp;"$L$1713=""Tetanus"",'GBD estimates'!$N$3:$N$1713=""Late Neonatal""),FILTER('GBD estimates'!$R$3:$R$1713,'GBD estimates'!$K$3:$K$1713=AV$3,'GBD estimates'!$L$3:$L$1713=""Tetanus"",'GBD estimates'!$N$3:$N$1713=""Post Neonatal""))"),20.066783342)</f>
        <v>20.06678334</v>
      </c>
      <c r="AW143" s="788"/>
      <c r="AX143" s="798" t="s">
        <v>999</v>
      </c>
      <c r="AY143" s="790"/>
    </row>
    <row r="144">
      <c r="A144" s="776"/>
      <c r="B144" s="538"/>
      <c r="C144" s="538"/>
      <c r="D144" s="538"/>
      <c r="E144" s="792" t="s">
        <v>577</v>
      </c>
      <c r="F144" s="559" t="s">
        <v>72</v>
      </c>
      <c r="G144" s="560" t="s">
        <v>165</v>
      </c>
      <c r="H144" s="793">
        <v>0.1</v>
      </c>
      <c r="I144" s="859" t="s">
        <v>162</v>
      </c>
      <c r="J144" s="859" t="s">
        <v>162</v>
      </c>
      <c r="K144" s="859" t="s">
        <v>162</v>
      </c>
      <c r="L144" s="547" t="str">
        <f t="shared" si="23"/>
        <v>-</v>
      </c>
      <c r="M144" s="859" t="s">
        <v>162</v>
      </c>
      <c r="N144" s="859" t="s">
        <v>162</v>
      </c>
      <c r="O144" s="859" t="s">
        <v>162</v>
      </c>
      <c r="P144" s="859" t="s">
        <v>162</v>
      </c>
      <c r="Q144" s="860" t="s">
        <v>162</v>
      </c>
      <c r="R144" s="859" t="s">
        <v>162</v>
      </c>
      <c r="S144" s="859" t="s">
        <v>162</v>
      </c>
      <c r="T144" s="859" t="s">
        <v>162</v>
      </c>
      <c r="U144" s="859" t="s">
        <v>162</v>
      </c>
      <c r="V144" s="859" t="s">
        <v>162</v>
      </c>
      <c r="W144" s="859" t="s">
        <v>162</v>
      </c>
      <c r="X144" s="859" t="s">
        <v>162</v>
      </c>
      <c r="Y144" s="859" t="s">
        <v>162</v>
      </c>
      <c r="Z144" s="859" t="s">
        <v>162</v>
      </c>
      <c r="AA144" s="859" t="s">
        <v>162</v>
      </c>
      <c r="AB144" s="859" t="s">
        <v>162</v>
      </c>
      <c r="AC144" s="859" t="s">
        <v>162</v>
      </c>
      <c r="AD144" s="859" t="s">
        <v>162</v>
      </c>
      <c r="AE144" s="859" t="s">
        <v>162</v>
      </c>
      <c r="AF144" s="859" t="s">
        <v>162</v>
      </c>
      <c r="AG144" s="859" t="s">
        <v>162</v>
      </c>
      <c r="AH144" s="859" t="s">
        <v>162</v>
      </c>
      <c r="AI144" s="859" t="s">
        <v>162</v>
      </c>
      <c r="AJ144" s="859" t="s">
        <v>162</v>
      </c>
      <c r="AK144" s="859" t="s">
        <v>162</v>
      </c>
      <c r="AL144" s="859" t="s">
        <v>162</v>
      </c>
      <c r="AM144" s="859" t="s">
        <v>162</v>
      </c>
      <c r="AN144" s="859" t="s">
        <v>162</v>
      </c>
      <c r="AO144" s="859" t="s">
        <v>162</v>
      </c>
      <c r="AP144" s="859" t="s">
        <v>162</v>
      </c>
      <c r="AQ144" s="859" t="s">
        <v>162</v>
      </c>
      <c r="AR144" s="859" t="s">
        <v>162</v>
      </c>
      <c r="AS144" s="859" t="s">
        <v>162</v>
      </c>
      <c r="AT144" s="859" t="s">
        <v>162</v>
      </c>
      <c r="AU144" s="859" t="s">
        <v>162</v>
      </c>
      <c r="AV144" s="859" t="s">
        <v>162</v>
      </c>
      <c r="AW144" s="794"/>
      <c r="AX144" s="799" t="s">
        <v>984</v>
      </c>
      <c r="AY144" s="796"/>
    </row>
    <row r="145">
      <c r="A145" s="776"/>
      <c r="B145" s="538"/>
      <c r="C145" s="143"/>
      <c r="D145" s="143"/>
      <c r="E145" s="447"/>
      <c r="F145" s="533"/>
      <c r="G145" s="534"/>
      <c r="H145" s="680"/>
      <c r="I145" s="552"/>
      <c r="J145" s="552"/>
      <c r="K145" s="552"/>
      <c r="L145" s="552"/>
      <c r="M145" s="552"/>
      <c r="N145" s="552"/>
      <c r="O145" s="552"/>
      <c r="P145" s="552"/>
      <c r="Q145" s="553"/>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c r="AR145" s="552"/>
      <c r="AS145" s="552"/>
      <c r="AT145" s="552"/>
      <c r="AU145" s="552"/>
      <c r="AV145" s="552"/>
      <c r="AW145" s="778"/>
      <c r="AX145" s="779"/>
      <c r="AY145" s="780"/>
    </row>
    <row r="146">
      <c r="A146" s="776"/>
      <c r="B146" s="538"/>
      <c r="C146" s="143" t="s">
        <v>581</v>
      </c>
      <c r="F146" s="533"/>
      <c r="G146" s="534"/>
      <c r="H146" s="680"/>
      <c r="I146" s="482"/>
      <c r="J146" s="482"/>
      <c r="K146" s="482"/>
      <c r="L146" s="482"/>
      <c r="M146" s="482"/>
      <c r="N146" s="482"/>
      <c r="O146" s="482"/>
      <c r="P146" s="482"/>
      <c r="Q146" s="132"/>
      <c r="R146" s="482"/>
      <c r="S146" s="482"/>
      <c r="T146" s="482"/>
      <c r="U146" s="482"/>
      <c r="V146" s="482"/>
      <c r="W146" s="482"/>
      <c r="X146" s="482"/>
      <c r="Y146" s="482"/>
      <c r="Z146" s="482"/>
      <c r="AA146" s="482"/>
      <c r="AB146" s="482"/>
      <c r="AC146" s="482"/>
      <c r="AD146" s="482"/>
      <c r="AE146" s="482"/>
      <c r="AF146" s="482"/>
      <c r="AG146" s="482"/>
      <c r="AH146" s="482"/>
      <c r="AI146" s="482"/>
      <c r="AJ146" s="482"/>
      <c r="AK146" s="482"/>
      <c r="AL146" s="482"/>
      <c r="AM146" s="482"/>
      <c r="AN146" s="482"/>
      <c r="AO146" s="482"/>
      <c r="AP146" s="482"/>
      <c r="AQ146" s="482"/>
      <c r="AR146" s="482"/>
      <c r="AS146" s="482"/>
      <c r="AT146" s="482"/>
      <c r="AU146" s="482"/>
      <c r="AV146" s="482"/>
      <c r="AW146" s="778"/>
      <c r="AX146" s="779"/>
      <c r="AY146" s="780"/>
    </row>
    <row r="147">
      <c r="A147" s="776"/>
      <c r="B147" s="538"/>
      <c r="C147" s="538"/>
      <c r="D147" s="538"/>
      <c r="E147" s="782" t="s">
        <v>583</v>
      </c>
      <c r="F147" s="539" t="s">
        <v>72</v>
      </c>
      <c r="G147" s="540" t="s">
        <v>165</v>
      </c>
      <c r="H147" s="808" t="s">
        <v>162</v>
      </c>
      <c r="I147" s="542">
        <f>IFERROR(__xludf.DUMMYFUNCTION("FILTER('GBD estimates'!$G$3:$G$1371,'GBD estimates'!$B$3:$B$1371=I$3,'GBD estimates'!$E$3:$E$1371=""Lower respiratory infections"",'GBD estimates'!$D$3:$D$1371=""Under 5"")"),0.023390685)</f>
        <v>0.023390685</v>
      </c>
      <c r="J147" s="542">
        <f>IFERROR(__xludf.DUMMYFUNCTION("FILTER('GBD estimates'!$G$3:$G$1371,'GBD estimates'!$B$3:$B$1371=J$3,'GBD estimates'!$E$3:$E$1371=""Lower respiratory infections"",'GBD estimates'!$D$3:$D$1371=""Under 5"")"),0.018787823)</f>
        <v>0.018787823</v>
      </c>
      <c r="K147" s="542">
        <f>IFERROR(__xludf.DUMMYFUNCTION("FILTER('GBD estimates'!$G$3:$G$1371,'GBD estimates'!$B$3:$B$1371=K$3,'GBD estimates'!$E$3:$E$1371=""Lower respiratory infections"",'GBD estimates'!$D$3:$D$1371=""Under 5"")"),0.023068706)</f>
        <v>0.023068706</v>
      </c>
      <c r="L147" s="542">
        <f t="shared" ref="L147:L156" si="32">AG147</f>
        <v>0.01387223</v>
      </c>
      <c r="M147" s="542">
        <f>IFERROR(__xludf.DUMMYFUNCTION("FILTER('GBD estimates'!$G$3:$G$1371,'GBD estimates'!$B$3:$B$1371=M$3,'GBD estimates'!$E$3:$E$1371=""Lower respiratory infections"",'GBD estimates'!$D$3:$D$1371=""Under 5"")"),0.021079399)</f>
        <v>0.021079399</v>
      </c>
      <c r="N147" s="542">
        <f>IFERROR(__xludf.DUMMYFUNCTION("FILTER('GBD estimates'!$G$3:$G$1371,'GBD estimates'!$B$3:$B$1371=N$3,'GBD estimates'!$E$3:$E$1371=""Lower respiratory infections"",'GBD estimates'!$D$3:$D$1371=""Under 5"")"),0.01695616)</f>
        <v>0.01695616</v>
      </c>
      <c r="O147" s="542">
        <f>IFERROR(__xludf.DUMMYFUNCTION("FILTER('GBD estimates'!$G$3:$G$1371,'GBD estimates'!$B$3:$B$1371=O$3,'GBD estimates'!$E$3:$E$1371=""Lower respiratory infections"",'GBD estimates'!$D$3:$D$1371=""Under 5"")"),0.018438313)</f>
        <v>0.018438313</v>
      </c>
      <c r="P147" s="542">
        <f>IFERROR(__xludf.DUMMYFUNCTION("FILTER('GBD estimates'!$G$3:$G$1371,'GBD estimates'!$B$3:$B$1371=P$3,'GBD estimates'!$E$3:$E$1371=""Lower respiratory infections"",'GBD estimates'!$D$3:$D$1371=""Under 5"")"),0.026957948)</f>
        <v>0.026957948</v>
      </c>
      <c r="Q147" s="543">
        <f>IFERROR(__xludf.DUMMYFUNCTION("FILTER('GBD estimates'!$G$3:$G$1371,'GBD estimates'!$B$3:$B$1371=Q$3,'GBD estimates'!$E$3:$E$1371=""Lower respiratory infections"",'GBD estimates'!$D$3:$D$1371=""Under 5"")"),0.021586078)</f>
        <v>0.021586078</v>
      </c>
      <c r="R147" s="542">
        <f>IFERROR(__xludf.DUMMYFUNCTION("FILTER('GBD estimates'!$G$3:$G$1371,'GBD estimates'!$B$3:$B$1371=R$3,'GBD estimates'!$E$3:$E$1371=""Lower respiratory infections"",'GBD estimates'!$D$3:$D$1371=""Under 5"")"),0.008631043)</f>
        <v>0.008631043</v>
      </c>
      <c r="S147" s="542">
        <f>IFERROR(__xludf.DUMMYFUNCTION("FILTER('GBD estimates'!$G$3:$G$1371,'GBD estimates'!$B$3:$B$1371=S$3,'GBD estimates'!$E$3:$E$1371=""Lower respiratory infections"",'GBD estimates'!$D$3:$D$1371=""Under 5"")"),0.017692972)</f>
        <v>0.017692972</v>
      </c>
      <c r="T147" s="542">
        <f>IFERROR(__xludf.DUMMYFUNCTION("FILTER('GBD estimates'!$G$3:$G$1371,'GBD estimates'!$B$3:$B$1371=T$3,'GBD estimates'!$E$3:$E$1371=""Lower respiratory infections"",'GBD estimates'!$D$3:$D$1371=""Under 5"")"),0.006290583)</f>
        <v>0.006290583</v>
      </c>
      <c r="U147" s="542">
        <f>IFERROR(__xludf.DUMMYFUNCTION("FILTER('GBD estimates'!$G$3:$G$1371,'GBD estimates'!$B$3:$B$1371=U$3,'GBD estimates'!$E$3:$E$1371=""Lower respiratory infections"",'GBD estimates'!$D$3:$D$1371=""Under 5"")"),0.007369406)</f>
        <v>0.007369406</v>
      </c>
      <c r="V147" s="542">
        <f>IFERROR(__xludf.DUMMYFUNCTION("FILTER('GBD estimates'!$G$3:$G$1371,'GBD estimates'!$B$3:$B$1371=V$3,'GBD estimates'!$E$3:$E$1371=""Lower respiratory infections"",'GBD estimates'!$D$3:$D$1371=""Under 5"")"),0.00733338)</f>
        <v>0.00733338</v>
      </c>
      <c r="W147" s="542">
        <f>IFERROR(__xludf.DUMMYFUNCTION("FILTER('GBD estimates'!$G$3:$G$1371,'GBD estimates'!$B$3:$B$1371=W$3,'GBD estimates'!$E$3:$E$1371=""Lower respiratory infections"",'GBD estimates'!$D$3:$D$1371=""Under 5"")"),0.010914292)</f>
        <v>0.010914292</v>
      </c>
      <c r="X147" s="542">
        <f>IFERROR(__xludf.DUMMYFUNCTION("FILTER('GBD estimates'!$G$3:$G$1371,'GBD estimates'!$B$3:$B$1371=X$3,'GBD estimates'!$E$3:$E$1371=""Lower respiratory infections"",'GBD estimates'!$D$3:$D$1371=""Under 5"")"),0.007233136)</f>
        <v>0.007233136</v>
      </c>
      <c r="Y147" s="542">
        <f>IFERROR(__xludf.DUMMYFUNCTION("FILTER('GBD estimates'!$G$3:$G$1371,'GBD estimates'!$B$3:$B$1371=Y$3,'GBD estimates'!$E$3:$E$1371=""Lower respiratory infections"",'GBD estimates'!$D$3:$D$1371=""Under 5"")"),0.00653061)</f>
        <v>0.00653061</v>
      </c>
      <c r="Z147" s="542">
        <f>IFERROR(__xludf.DUMMYFUNCTION("FILTER('GBD estimates'!$G$3:$G$1371,'GBD estimates'!$B$3:$B$1371=Z$3,'GBD estimates'!$E$3:$E$1371=""Lower respiratory infections"",'GBD estimates'!$D$3:$D$1371=""Under 5"")"),0.008807684)</f>
        <v>0.008807684</v>
      </c>
      <c r="AA147" s="542">
        <f>IFERROR(__xludf.DUMMYFUNCTION("FILTER('GBD estimates'!$G$3:$G$1371,'GBD estimates'!$B$3:$B$1371=AA$3,'GBD estimates'!$E$3:$E$1371=""Lower respiratory infections"",'GBD estimates'!$D$3:$D$1371=""Under 5"")"),0.011309457)</f>
        <v>0.011309457</v>
      </c>
      <c r="AB147" s="542">
        <f>IFERROR(__xludf.DUMMYFUNCTION("FILTER('GBD estimates'!$G$3:$G$1371,'GBD estimates'!$B$3:$B$1371=AB$3,'GBD estimates'!$E$3:$E$1371=""Lower respiratory infections"",'GBD estimates'!$D$3:$D$1371=""Under 5"")"),0.008648343)</f>
        <v>0.008648343</v>
      </c>
      <c r="AC147" s="542">
        <f>IFERROR(__xludf.DUMMYFUNCTION("FILTER('GBD estimates'!$G$3:$G$1371,'GBD estimates'!$B$3:$B$1371=AC$3,'GBD estimates'!$E$3:$E$1371=""Lower respiratory infections"",'GBD estimates'!$D$3:$D$1371=""Under 5"")"),0.007752461)</f>
        <v>0.007752461</v>
      </c>
      <c r="AD147" s="542">
        <f>IFERROR(__xludf.DUMMYFUNCTION("FILTER('GBD estimates'!$G$3:$G$1371,'GBD estimates'!$B$3:$B$1371=AD$3,'GBD estimates'!$E$3:$E$1371=""Lower respiratory infections"",'GBD estimates'!$D$3:$D$1371=""Under 5"")"),0.004975645)</f>
        <v>0.004975645</v>
      </c>
      <c r="AE147" s="542">
        <f>IFERROR(__xludf.DUMMYFUNCTION("FILTER('GBD estimates'!$G$3:$G$1371,'GBD estimates'!$B$3:$B$1371=AE$3,'GBD estimates'!$E$3:$E$1371=""Lower respiratory infections"",'GBD estimates'!$D$3:$D$1371=""Under 5"")"),0.008219573)</f>
        <v>0.008219573</v>
      </c>
      <c r="AF147" s="542">
        <f>IFERROR(__xludf.DUMMYFUNCTION("FILTER('GBD estimates'!$G$3:$G$1371,'GBD estimates'!$B$3:$B$1371=AF$3,'GBD estimates'!$E$3:$E$1371=""Lower respiratory infections"",'GBD estimates'!$D$3:$D$1371=""Under 5"")"),0.005635233)</f>
        <v>0.005635233</v>
      </c>
      <c r="AG147" s="542">
        <f>IFERROR(__xludf.DUMMYFUNCTION("FILTER('GBD estimates'!$G$3:$G$1371,'GBD estimates'!$B$3:$B$1371=AG$3,'GBD estimates'!$E$3:$E$1371=""Lower respiratory infections"",'GBD estimates'!$D$3:$D$1371=""Under 5"")"),0.01387223)</f>
        <v>0.01387223</v>
      </c>
      <c r="AH147" s="542">
        <f>IFERROR(__xludf.DUMMYFUNCTION("FILTER('GBD estimates'!$G$3:$G$1371,'GBD estimates'!$B$3:$B$1371=AH$3,'GBD estimates'!$E$3:$E$1371=""Lower respiratory infections"",'GBD estimates'!$D$3:$D$1371=""Under 5"")"),0.006925311)</f>
        <v>0.006925311</v>
      </c>
      <c r="AI147" s="542">
        <f>IFERROR(__xludf.DUMMYFUNCTION("FILTER('GBD estimates'!$G$3:$G$1371,'GBD estimates'!$B$3:$B$1371=AI$3,'GBD estimates'!$E$3:$E$1371=""Lower respiratory infections"",'GBD estimates'!$D$3:$D$1371=""Under 5"")"),0.005374371)</f>
        <v>0.005374371</v>
      </c>
      <c r="AJ147" s="542">
        <f>IFERROR(__xludf.DUMMYFUNCTION("FILTER('GBD estimates'!$G$3:$G$1371,'GBD estimates'!$B$3:$B$1371=AJ$3,'GBD estimates'!$E$3:$E$1371=""Lower respiratory infections"",'GBD estimates'!$D$3:$D$1371=""Under 5"")"),0.005648216)</f>
        <v>0.005648216</v>
      </c>
      <c r="AK147" s="542">
        <f>IFERROR(__xludf.DUMMYFUNCTION("FILTER('GBD estimates'!$G$3:$G$1371,'GBD estimates'!$B$3:$B$1371=AK$3,'GBD estimates'!$E$3:$E$1371=""Lower respiratory infections"",'GBD estimates'!$D$3:$D$1371=""Under 5"")"),0.009993866)</f>
        <v>0.009993866</v>
      </c>
      <c r="AL147" s="542">
        <f>IFERROR(__xludf.DUMMYFUNCTION("FILTER('GBD estimates'!$G$3:$G$1371,'GBD estimates'!$B$3:$B$1371=AL$3,'GBD estimates'!$E$3:$E$1371=""Lower respiratory infections"",'GBD estimates'!$D$3:$D$1371=""Under 5"")"),0.012652618)</f>
        <v>0.012652618</v>
      </c>
      <c r="AM147" s="542">
        <f t="shared" ref="AM147:AN147" si="31">AL147</f>
        <v>0.012652618</v>
      </c>
      <c r="AN147" s="542">
        <f t="shared" si="31"/>
        <v>0.012652618</v>
      </c>
      <c r="AO147" s="542">
        <f>IFERROR(__xludf.DUMMYFUNCTION("FILTER('GBD estimates'!$G$3:$G$1371,'GBD estimates'!$B$3:$B$1371=AO$3,'GBD estimates'!$E$3:$E$1371=""Lower respiratory infections"",'GBD estimates'!$D$3:$D$1371=""Under 5"")"),0.007272124)</f>
        <v>0.007272124</v>
      </c>
      <c r="AP147" s="542">
        <f>IFERROR(__xludf.DUMMYFUNCTION("FILTER('GBD estimates'!$G$3:$G$1371,'GBD estimates'!$B$3:$B$1371=AP$3,'GBD estimates'!$E$3:$E$1371=""Lower respiratory infections"",'GBD estimates'!$D$3:$D$1371=""Under 5"")"),0.00799731)</f>
        <v>0.00799731</v>
      </c>
      <c r="AQ147" s="542">
        <f>IFERROR(__xludf.DUMMYFUNCTION("FILTER('GBD estimates'!$G$3:$G$1371,'GBD estimates'!$B$3:$B$1371=AQ$3,'GBD estimates'!$E$3:$E$1371=""Lower respiratory infections"",'GBD estimates'!$D$3:$D$1371=""Under 5"")"),0.004606194)</f>
        <v>0.004606194</v>
      </c>
      <c r="AR147" s="542">
        <f>IFERROR(__xludf.DUMMYFUNCTION("FILTER('GBD estimates'!$G$3:$G$1371,'GBD estimates'!$B$3:$B$1371=AR$3,'GBD estimates'!$E$3:$E$1371=""Lower respiratory infections"",'GBD estimates'!$D$3:$D$1371=""Under 5"")"),0.004597797)</f>
        <v>0.004597797</v>
      </c>
      <c r="AS147" s="542">
        <f>IFERROR(__xludf.DUMMYFUNCTION("FILTER('GBD estimates'!$G$3:$G$1371,'GBD estimates'!$B$3:$B$1371=AS$3,'GBD estimates'!$E$3:$E$1371=""Lower respiratory infections"",'GBD estimates'!$D$3:$D$1371=""Under 5"")"),0.008021461)</f>
        <v>0.008021461</v>
      </c>
      <c r="AT147" s="542">
        <f>IFERROR(__xludf.DUMMYFUNCTION("FILTER('GBD estimates'!$G$3:$G$1371,'GBD estimates'!$B$3:$B$1371=AT$3,'GBD estimates'!$E$3:$E$1371=""Lower respiratory infections"",'GBD estimates'!$D$3:$D$1371=""Under 5"")"),0.00814551)</f>
        <v>0.00814551</v>
      </c>
      <c r="AU147" s="542">
        <f>IFERROR(__xludf.DUMMYFUNCTION("FILTER('GBD estimates'!$G$3:$G$1371,'GBD estimates'!$B$3:$B$1371=AU$3,'GBD estimates'!$E$3:$E$1371=""Lower respiratory infections"",'GBD estimates'!$D$3:$D$1371=""Under 5"")"),0.018515733)</f>
        <v>0.018515733</v>
      </c>
      <c r="AV147" s="542">
        <f>IFERROR(__xludf.DUMMYFUNCTION("FILTER('GBD estimates'!$G$3:$G$1371,'GBD estimates'!$B$3:$B$1371=AV$3,'GBD estimates'!$E$3:$E$1371=""Lower respiratory infections"",'GBD estimates'!$D$3:$D$1371=""Under 5"")"),0.013456401)</f>
        <v>0.013456401</v>
      </c>
      <c r="AW147" s="784"/>
      <c r="AX147" s="797" t="s">
        <v>999</v>
      </c>
      <c r="AY147" s="786"/>
    </row>
    <row r="148">
      <c r="A148" s="776"/>
      <c r="B148" s="538"/>
      <c r="C148" s="538"/>
      <c r="D148" s="538"/>
      <c r="E148" s="782" t="s">
        <v>584</v>
      </c>
      <c r="F148" s="539" t="s">
        <v>72</v>
      </c>
      <c r="G148" s="540" t="s">
        <v>165</v>
      </c>
      <c r="H148" s="808" t="s">
        <v>162</v>
      </c>
      <c r="I148" s="542">
        <f>IFERROR(__xludf.DUMMYFUNCTION("FILTER('GBD estimates'!$G$3:$G$1371,'GBD estimates'!$B$3:$B$1371=I$3,'GBD estimates'!$E$3:$E$1371=""Lower respiratory infections"",'GBD estimates'!$D$3:$D$1371=""5-14 years"")"),0.001298445)</f>
        <v>0.001298445</v>
      </c>
      <c r="J148" s="542">
        <f>IFERROR(__xludf.DUMMYFUNCTION("FILTER('GBD estimates'!$G$3:$G$1371,'GBD estimates'!$B$3:$B$1371=J$3,'GBD estimates'!$E$3:$E$1371=""Lower respiratory infections"",'GBD estimates'!$D$3:$D$1371=""5-14 years"")"),0.001136902)</f>
        <v>0.001136902</v>
      </c>
      <c r="K148" s="542">
        <f>IFERROR(__xludf.DUMMYFUNCTION("FILTER('GBD estimates'!$G$3:$G$1371,'GBD estimates'!$B$3:$B$1371=K$3,'GBD estimates'!$E$3:$E$1371=""Lower respiratory infections"",'GBD estimates'!$D$3:$D$1371=""5-14 years"")"),0.001358999)</f>
        <v>0.001358999</v>
      </c>
      <c r="L148" s="542">
        <f t="shared" si="32"/>
        <v>0.000848418</v>
      </c>
      <c r="M148" s="542">
        <f>IFERROR(__xludf.DUMMYFUNCTION("FILTER('GBD estimates'!$G$3:$G$1371,'GBD estimates'!$B$3:$B$1371=M$3,'GBD estimates'!$E$3:$E$1371=""Lower respiratory infections"",'GBD estimates'!$D$3:$D$1371=""5-14 years"")"),0.001325756)</f>
        <v>0.001325756</v>
      </c>
      <c r="N148" s="542">
        <f>IFERROR(__xludf.DUMMYFUNCTION("FILTER('GBD estimates'!$G$3:$G$1371,'GBD estimates'!$B$3:$B$1371=N$3,'GBD estimates'!$E$3:$E$1371=""Lower respiratory infections"",'GBD estimates'!$D$3:$D$1371=""5-14 years"")"),0.001052452)</f>
        <v>0.001052452</v>
      </c>
      <c r="O148" s="542">
        <f>IFERROR(__xludf.DUMMYFUNCTION("FILTER('GBD estimates'!$G$3:$G$1371,'GBD estimates'!$B$3:$B$1371=O$3,'GBD estimates'!$E$3:$E$1371=""Lower respiratory infections"",'GBD estimates'!$D$3:$D$1371=""5-14 years"")"),0.001083798)</f>
        <v>0.001083798</v>
      </c>
      <c r="P148" s="542">
        <f>IFERROR(__xludf.DUMMYFUNCTION("FILTER('GBD estimates'!$G$3:$G$1371,'GBD estimates'!$B$3:$B$1371=P$3,'GBD estimates'!$E$3:$E$1371=""Lower respiratory infections"",'GBD estimates'!$D$3:$D$1371=""5-14 years"")"),0.001487164)</f>
        <v>0.001487164</v>
      </c>
      <c r="Q148" s="543">
        <f>IFERROR(__xludf.DUMMYFUNCTION("FILTER('GBD estimates'!$G$3:$G$1371,'GBD estimates'!$B$3:$B$1371=Q$3,'GBD estimates'!$E$3:$E$1371=""Lower respiratory infections"",'GBD estimates'!$D$3:$D$1371=""5-14 years"")"),0.001579396)</f>
        <v>0.001579396</v>
      </c>
      <c r="R148" s="542">
        <f>IFERROR(__xludf.DUMMYFUNCTION("FILTER('GBD estimates'!$G$3:$G$1371,'GBD estimates'!$B$3:$B$1371=R$3,'GBD estimates'!$E$3:$E$1371=""Lower respiratory infections"",'GBD estimates'!$D$3:$D$1371=""5-14 years"")"),5.4279E-4)</f>
        <v>0.00054279</v>
      </c>
      <c r="S148" s="542">
        <f>IFERROR(__xludf.DUMMYFUNCTION("FILTER('GBD estimates'!$G$3:$G$1371,'GBD estimates'!$B$3:$B$1371=S$3,'GBD estimates'!$E$3:$E$1371=""Lower respiratory infections"",'GBD estimates'!$D$3:$D$1371=""5-14 years"")"),0.001159606)</f>
        <v>0.001159606</v>
      </c>
      <c r="T148" s="542">
        <f>IFERROR(__xludf.DUMMYFUNCTION("FILTER('GBD estimates'!$G$3:$G$1371,'GBD estimates'!$B$3:$B$1371=T$3,'GBD estimates'!$E$3:$E$1371=""Lower respiratory infections"",'GBD estimates'!$D$3:$D$1371=""5-14 years"")"),4.38313E-4)</f>
        <v>0.000438313</v>
      </c>
      <c r="U148" s="542">
        <f>IFERROR(__xludf.DUMMYFUNCTION("FILTER('GBD estimates'!$G$3:$G$1371,'GBD estimates'!$B$3:$B$1371=U$3,'GBD estimates'!$E$3:$E$1371=""Lower respiratory infections"",'GBD estimates'!$D$3:$D$1371=""5-14 years"")"),4.77036E-4)</f>
        <v>0.000477036</v>
      </c>
      <c r="V148" s="542">
        <f>IFERROR(__xludf.DUMMYFUNCTION("FILTER('GBD estimates'!$G$3:$G$1371,'GBD estimates'!$B$3:$B$1371=V$3,'GBD estimates'!$E$3:$E$1371=""Lower respiratory infections"",'GBD estimates'!$D$3:$D$1371=""5-14 years"")"),4.61053E-4)</f>
        <v>0.000461053</v>
      </c>
      <c r="W148" s="542">
        <f>IFERROR(__xludf.DUMMYFUNCTION("FILTER('GBD estimates'!$G$3:$G$1371,'GBD estimates'!$B$3:$B$1371=W$3,'GBD estimates'!$E$3:$E$1371=""Lower respiratory infections"",'GBD estimates'!$D$3:$D$1371=""5-14 years"")"),8.39495E-4)</f>
        <v>0.000839495</v>
      </c>
      <c r="X148" s="542">
        <f>IFERROR(__xludf.DUMMYFUNCTION("FILTER('GBD estimates'!$G$3:$G$1371,'GBD estimates'!$B$3:$B$1371=X$3,'GBD estimates'!$E$3:$E$1371=""Lower respiratory infections"",'GBD estimates'!$D$3:$D$1371=""5-14 years"")"),6.04129E-4)</f>
        <v>0.000604129</v>
      </c>
      <c r="Y148" s="542">
        <f>IFERROR(__xludf.DUMMYFUNCTION("FILTER('GBD estimates'!$G$3:$G$1371,'GBD estimates'!$B$3:$B$1371=Y$3,'GBD estimates'!$E$3:$E$1371=""Lower respiratory infections"",'GBD estimates'!$D$3:$D$1371=""5-14 years"")"),7.21752E-4)</f>
        <v>0.000721752</v>
      </c>
      <c r="Z148" s="542">
        <f>IFERROR(__xludf.DUMMYFUNCTION("FILTER('GBD estimates'!$G$3:$G$1371,'GBD estimates'!$B$3:$B$1371=Z$3,'GBD estimates'!$E$3:$E$1371=""Lower respiratory infections"",'GBD estimates'!$D$3:$D$1371=""5-14 years"")"),6.01201E-4)</f>
        <v>0.000601201</v>
      </c>
      <c r="AA148" s="542">
        <f>IFERROR(__xludf.DUMMYFUNCTION("FILTER('GBD estimates'!$G$3:$G$1371,'GBD estimates'!$B$3:$B$1371=AA$3,'GBD estimates'!$E$3:$E$1371=""Lower respiratory infections"",'GBD estimates'!$D$3:$D$1371=""5-14 years"")"),8.18631E-4)</f>
        <v>0.000818631</v>
      </c>
      <c r="AB148" s="542">
        <f>IFERROR(__xludf.DUMMYFUNCTION("FILTER('GBD estimates'!$G$3:$G$1371,'GBD estimates'!$B$3:$B$1371=AB$3,'GBD estimates'!$E$3:$E$1371=""Lower respiratory infections"",'GBD estimates'!$D$3:$D$1371=""5-14 years"")"),4.92514E-4)</f>
        <v>0.000492514</v>
      </c>
      <c r="AC148" s="542">
        <f>IFERROR(__xludf.DUMMYFUNCTION("FILTER('GBD estimates'!$G$3:$G$1371,'GBD estimates'!$B$3:$B$1371=AC$3,'GBD estimates'!$E$3:$E$1371=""Lower respiratory infections"",'GBD estimates'!$D$3:$D$1371=""5-14 years"")"),4.65323E-4)</f>
        <v>0.000465323</v>
      </c>
      <c r="AD148" s="542">
        <f>IFERROR(__xludf.DUMMYFUNCTION("FILTER('GBD estimates'!$G$3:$G$1371,'GBD estimates'!$B$3:$B$1371=AD$3,'GBD estimates'!$E$3:$E$1371=""Lower respiratory infections"",'GBD estimates'!$D$3:$D$1371=""5-14 years"")"),3.94427E-4)</f>
        <v>0.000394427</v>
      </c>
      <c r="AE148" s="542">
        <f>IFERROR(__xludf.DUMMYFUNCTION("FILTER('GBD estimates'!$G$3:$G$1371,'GBD estimates'!$B$3:$B$1371=AE$3,'GBD estimates'!$E$3:$E$1371=""Lower respiratory infections"",'GBD estimates'!$D$3:$D$1371=""5-14 years"")"),6.0762E-4)</f>
        <v>0.00060762</v>
      </c>
      <c r="AF148" s="542">
        <f>IFERROR(__xludf.DUMMYFUNCTION("FILTER('GBD estimates'!$G$3:$G$1371,'GBD estimates'!$B$3:$B$1371=AF$3,'GBD estimates'!$E$3:$E$1371=""Lower respiratory infections"",'GBD estimates'!$D$3:$D$1371=""5-14 years"")"),4.2438E-4)</f>
        <v>0.00042438</v>
      </c>
      <c r="AG148" s="542">
        <f>IFERROR(__xludf.DUMMYFUNCTION("FILTER('GBD estimates'!$G$3:$G$1371,'GBD estimates'!$B$3:$B$1371=AG$3,'GBD estimates'!$E$3:$E$1371=""Lower respiratory infections"",'GBD estimates'!$D$3:$D$1371=""5-14 years"")"),8.48418E-4)</f>
        <v>0.000848418</v>
      </c>
      <c r="AH148" s="542">
        <f>IFERROR(__xludf.DUMMYFUNCTION("FILTER('GBD estimates'!$G$3:$G$1371,'GBD estimates'!$B$3:$B$1371=AH$3,'GBD estimates'!$E$3:$E$1371=""Lower respiratory infections"",'GBD estimates'!$D$3:$D$1371=""5-14 years"")"),4.43956E-4)</f>
        <v>0.000443956</v>
      </c>
      <c r="AI148" s="542">
        <f>IFERROR(__xludf.DUMMYFUNCTION("FILTER('GBD estimates'!$G$3:$G$1371,'GBD estimates'!$B$3:$B$1371=AI$3,'GBD estimates'!$E$3:$E$1371=""Lower respiratory infections"",'GBD estimates'!$D$3:$D$1371=""5-14 years"")"),3.88867E-4)</f>
        <v>0.000388867</v>
      </c>
      <c r="AJ148" s="542">
        <f>IFERROR(__xludf.DUMMYFUNCTION("FILTER('GBD estimates'!$G$3:$G$1371,'GBD estimates'!$B$3:$B$1371=AJ$3,'GBD estimates'!$E$3:$E$1371=""Lower respiratory infections"",'GBD estimates'!$D$3:$D$1371=""5-14 years"")"),4.20064E-4)</f>
        <v>0.000420064</v>
      </c>
      <c r="AK148" s="542">
        <f>IFERROR(__xludf.DUMMYFUNCTION("FILTER('GBD estimates'!$G$3:$G$1371,'GBD estimates'!$B$3:$B$1371=AK$3,'GBD estimates'!$E$3:$E$1371=""Lower respiratory infections"",'GBD estimates'!$D$3:$D$1371=""5-14 years"")"),7.53327E-4)</f>
        <v>0.000753327</v>
      </c>
      <c r="AL148" s="542">
        <f>IFERROR(__xludf.DUMMYFUNCTION("FILTER('GBD estimates'!$G$3:$G$1371,'GBD estimates'!$B$3:$B$1371=AL$3,'GBD estimates'!$E$3:$E$1371=""Lower respiratory infections"",'GBD estimates'!$D$3:$D$1371=""5-14 years"")"),8.57672E-4)</f>
        <v>0.000857672</v>
      </c>
      <c r="AM148" s="542">
        <f t="shared" ref="AM148:AN148" si="33">AL148</f>
        <v>0.000857672</v>
      </c>
      <c r="AN148" s="542">
        <f t="shared" si="33"/>
        <v>0.000857672</v>
      </c>
      <c r="AO148" s="542">
        <f>IFERROR(__xludf.DUMMYFUNCTION("FILTER('GBD estimates'!$G$3:$G$1371,'GBD estimates'!$B$3:$B$1371=AO$3,'GBD estimates'!$E$3:$E$1371=""Lower respiratory infections"",'GBD estimates'!$D$3:$D$1371=""5-14 years"")"),5.02423E-4)</f>
        <v>0.000502423</v>
      </c>
      <c r="AP148" s="542">
        <f>IFERROR(__xludf.DUMMYFUNCTION("FILTER('GBD estimates'!$G$3:$G$1371,'GBD estimates'!$B$3:$B$1371=AP$3,'GBD estimates'!$E$3:$E$1371=""Lower respiratory infections"",'GBD estimates'!$D$3:$D$1371=""5-14 years"")"),5.80734E-4)</f>
        <v>0.000580734</v>
      </c>
      <c r="AQ148" s="542">
        <f>IFERROR(__xludf.DUMMYFUNCTION("FILTER('GBD estimates'!$G$3:$G$1371,'GBD estimates'!$B$3:$B$1371=AQ$3,'GBD estimates'!$E$3:$E$1371=""Lower respiratory infections"",'GBD estimates'!$D$3:$D$1371=""5-14 years"")"),3.03436E-4)</f>
        <v>0.000303436</v>
      </c>
      <c r="AR148" s="542">
        <f>IFERROR(__xludf.DUMMYFUNCTION("FILTER('GBD estimates'!$G$3:$G$1371,'GBD estimates'!$B$3:$B$1371=AR$3,'GBD estimates'!$E$3:$E$1371=""Lower respiratory infections"",'GBD estimates'!$D$3:$D$1371=""5-14 years"")"),2.94241E-4)</f>
        <v>0.000294241</v>
      </c>
      <c r="AS148" s="542">
        <f>IFERROR(__xludf.DUMMYFUNCTION("FILTER('GBD estimates'!$G$3:$G$1371,'GBD estimates'!$B$3:$B$1371=AS$3,'GBD estimates'!$E$3:$E$1371=""Lower respiratory infections"",'GBD estimates'!$D$3:$D$1371=""5-14 years"")"),6.8802E-4)</f>
        <v>0.00068802</v>
      </c>
      <c r="AT148" s="542">
        <f>IFERROR(__xludf.DUMMYFUNCTION("FILTER('GBD estimates'!$G$3:$G$1371,'GBD estimates'!$B$3:$B$1371=AT$3,'GBD estimates'!$E$3:$E$1371=""Lower respiratory infections"",'GBD estimates'!$D$3:$D$1371=""5-14 years"")"),5.23182E-4)</f>
        <v>0.000523182</v>
      </c>
      <c r="AU148" s="542">
        <f>IFERROR(__xludf.DUMMYFUNCTION("FILTER('GBD estimates'!$G$3:$G$1371,'GBD estimates'!$B$3:$B$1371=AU$3,'GBD estimates'!$E$3:$E$1371=""Lower respiratory infections"",'GBD estimates'!$D$3:$D$1371=""5-14 years"")"),0.001213507)</f>
        <v>0.001213507</v>
      </c>
      <c r="AV148" s="542">
        <f>IFERROR(__xludf.DUMMYFUNCTION("FILTER('GBD estimates'!$G$3:$G$1371,'GBD estimates'!$B$3:$B$1371=AV$3,'GBD estimates'!$E$3:$E$1371=""Lower respiratory infections"",'GBD estimates'!$D$3:$D$1371=""5-14 years"")"),9.21898E-4)</f>
        <v>0.000921898</v>
      </c>
      <c r="AW148" s="784"/>
      <c r="AX148" s="797" t="s">
        <v>999</v>
      </c>
      <c r="AY148" s="786"/>
    </row>
    <row r="149">
      <c r="A149" s="776"/>
      <c r="B149" s="538"/>
      <c r="C149" s="538"/>
      <c r="D149" s="538"/>
      <c r="E149" s="782" t="s">
        <v>585</v>
      </c>
      <c r="F149" s="539" t="s">
        <v>72</v>
      </c>
      <c r="G149" s="540" t="s">
        <v>165</v>
      </c>
      <c r="H149" s="808" t="s">
        <v>162</v>
      </c>
      <c r="I149" s="542">
        <f>IFERROR(__xludf.DUMMYFUNCTION("FILTER('GBD estimates'!$G$3:$G$1371,'GBD estimates'!$B$3:$B$1371=I$3,'GBD estimates'!$E$3:$E$1371=""Lower respiratory infections"",'GBD estimates'!$D$3:$D$1371=""15-49 years"")"),0.002586005)</f>
        <v>0.002586005</v>
      </c>
      <c r="J149" s="542">
        <f>IFERROR(__xludf.DUMMYFUNCTION("FILTER('GBD estimates'!$G$3:$G$1371,'GBD estimates'!$B$3:$B$1371=J$3,'GBD estimates'!$E$3:$E$1371=""Lower respiratory infections"",'GBD estimates'!$D$3:$D$1371=""15-49 years"")"),0.00203186)</f>
        <v>0.00203186</v>
      </c>
      <c r="K149" s="542">
        <f>IFERROR(__xludf.DUMMYFUNCTION("FILTER('GBD estimates'!$G$3:$G$1371,'GBD estimates'!$B$3:$B$1371=K$3,'GBD estimates'!$E$3:$E$1371=""Lower respiratory infections"",'GBD estimates'!$D$3:$D$1371=""15-49 years"")"),0.003081885)</f>
        <v>0.003081885</v>
      </c>
      <c r="L149" s="542">
        <f t="shared" si="32"/>
        <v>0.002004393</v>
      </c>
      <c r="M149" s="542">
        <f>IFERROR(__xludf.DUMMYFUNCTION("FILTER('GBD estimates'!$G$3:$G$1371,'GBD estimates'!$B$3:$B$1371=M$3,'GBD estimates'!$E$3:$E$1371=""Lower respiratory infections"",'GBD estimates'!$D$3:$D$1371=""15-49 years"")"),0.002148469)</f>
        <v>0.002148469</v>
      </c>
      <c r="N149" s="542">
        <f>IFERROR(__xludf.DUMMYFUNCTION("FILTER('GBD estimates'!$G$3:$G$1371,'GBD estimates'!$B$3:$B$1371=N$3,'GBD estimates'!$E$3:$E$1371=""Lower respiratory infections"",'GBD estimates'!$D$3:$D$1371=""15-49 years"")"),0.002520287)</f>
        <v>0.002520287</v>
      </c>
      <c r="O149" s="542">
        <f>IFERROR(__xludf.DUMMYFUNCTION("FILTER('GBD estimates'!$G$3:$G$1371,'GBD estimates'!$B$3:$B$1371=O$3,'GBD estimates'!$E$3:$E$1371=""Lower respiratory infections"",'GBD estimates'!$D$3:$D$1371=""15-49 years"")"),0.002528167)</f>
        <v>0.002528167</v>
      </c>
      <c r="P149" s="542">
        <f>IFERROR(__xludf.DUMMYFUNCTION("FILTER('GBD estimates'!$G$3:$G$1371,'GBD estimates'!$B$3:$B$1371=P$3,'GBD estimates'!$E$3:$E$1371=""Lower respiratory infections"",'GBD estimates'!$D$3:$D$1371=""15-49 years"")"),0.003306589)</f>
        <v>0.003306589</v>
      </c>
      <c r="Q149" s="543">
        <f>IFERROR(__xludf.DUMMYFUNCTION("FILTER('GBD estimates'!$G$3:$G$1371,'GBD estimates'!$B$3:$B$1371=Q$3,'GBD estimates'!$E$3:$E$1371=""Lower respiratory infections"",'GBD estimates'!$D$3:$D$1371=""15-49 years"")"),0.002961165)</f>
        <v>0.002961165</v>
      </c>
      <c r="R149" s="542">
        <f>IFERROR(__xludf.DUMMYFUNCTION("FILTER('GBD estimates'!$G$3:$G$1371,'GBD estimates'!$B$3:$B$1371=R$3,'GBD estimates'!$E$3:$E$1371=""Lower respiratory infections"",'GBD estimates'!$D$3:$D$1371=""15-49 years"")"),0.001764135)</f>
        <v>0.001764135</v>
      </c>
      <c r="S149" s="542">
        <f>IFERROR(__xludf.DUMMYFUNCTION("FILTER('GBD estimates'!$G$3:$G$1371,'GBD estimates'!$B$3:$B$1371=S$3,'GBD estimates'!$E$3:$E$1371=""Lower respiratory infections"",'GBD estimates'!$D$3:$D$1371=""15-49 years"")"),0.002444501)</f>
        <v>0.002444501</v>
      </c>
      <c r="T149" s="542">
        <f>IFERROR(__xludf.DUMMYFUNCTION("FILTER('GBD estimates'!$G$3:$G$1371,'GBD estimates'!$B$3:$B$1371=T$3,'GBD estimates'!$E$3:$E$1371=""Lower respiratory infections"",'GBD estimates'!$D$3:$D$1371=""15-49 years"")"),0.001880042)</f>
        <v>0.001880042</v>
      </c>
      <c r="U149" s="542">
        <f>IFERROR(__xludf.DUMMYFUNCTION("FILTER('GBD estimates'!$G$3:$G$1371,'GBD estimates'!$B$3:$B$1371=U$3,'GBD estimates'!$E$3:$E$1371=""Lower respiratory infections"",'GBD estimates'!$D$3:$D$1371=""15-49 years"")"),0.001957972)</f>
        <v>0.001957972</v>
      </c>
      <c r="V149" s="542">
        <f>IFERROR(__xludf.DUMMYFUNCTION("FILTER('GBD estimates'!$G$3:$G$1371,'GBD estimates'!$B$3:$B$1371=V$3,'GBD estimates'!$E$3:$E$1371=""Lower respiratory infections"",'GBD estimates'!$D$3:$D$1371=""15-49 years"")"),0.002082136)</f>
        <v>0.002082136</v>
      </c>
      <c r="W149" s="542">
        <f>IFERROR(__xludf.DUMMYFUNCTION("FILTER('GBD estimates'!$G$3:$G$1371,'GBD estimates'!$B$3:$B$1371=W$3,'GBD estimates'!$E$3:$E$1371=""Lower respiratory infections"",'GBD estimates'!$D$3:$D$1371=""15-49 years"")"),0.002509839)</f>
        <v>0.002509839</v>
      </c>
      <c r="X149" s="542">
        <f>IFERROR(__xludf.DUMMYFUNCTION("FILTER('GBD estimates'!$G$3:$G$1371,'GBD estimates'!$B$3:$B$1371=X$3,'GBD estimates'!$E$3:$E$1371=""Lower respiratory infections"",'GBD estimates'!$D$3:$D$1371=""15-49 years"")"),0.00181658)</f>
        <v>0.00181658</v>
      </c>
      <c r="Y149" s="542">
        <f>IFERROR(__xludf.DUMMYFUNCTION("FILTER('GBD estimates'!$G$3:$G$1371,'GBD estimates'!$B$3:$B$1371=Y$3,'GBD estimates'!$E$3:$E$1371=""Lower respiratory infections"",'GBD estimates'!$D$3:$D$1371=""15-49 years"")"),0.003680809)</f>
        <v>0.003680809</v>
      </c>
      <c r="Z149" s="542">
        <f>IFERROR(__xludf.DUMMYFUNCTION("FILTER('GBD estimates'!$G$3:$G$1371,'GBD estimates'!$B$3:$B$1371=Z$3,'GBD estimates'!$E$3:$E$1371=""Lower respiratory infections"",'GBD estimates'!$D$3:$D$1371=""15-49 years"")"),0.00207159)</f>
        <v>0.00207159</v>
      </c>
      <c r="AA149" s="542">
        <f>IFERROR(__xludf.DUMMYFUNCTION("FILTER('GBD estimates'!$G$3:$G$1371,'GBD estimates'!$B$3:$B$1371=AA$3,'GBD estimates'!$E$3:$E$1371=""Lower respiratory infections"",'GBD estimates'!$D$3:$D$1371=""15-49 years"")"),0.002309895)</f>
        <v>0.002309895</v>
      </c>
      <c r="AB149" s="542">
        <f>IFERROR(__xludf.DUMMYFUNCTION("FILTER('GBD estimates'!$G$3:$G$1371,'GBD estimates'!$B$3:$B$1371=AB$3,'GBD estimates'!$E$3:$E$1371=""Lower respiratory infections"",'GBD estimates'!$D$3:$D$1371=""15-49 years"")"),0.002007432)</f>
        <v>0.002007432</v>
      </c>
      <c r="AC149" s="542">
        <f>IFERROR(__xludf.DUMMYFUNCTION("FILTER('GBD estimates'!$G$3:$G$1371,'GBD estimates'!$B$3:$B$1371=AC$3,'GBD estimates'!$E$3:$E$1371=""Lower respiratory infections"",'GBD estimates'!$D$3:$D$1371=""15-49 years"")"),0.001824262)</f>
        <v>0.001824262</v>
      </c>
      <c r="AD149" s="542">
        <f>IFERROR(__xludf.DUMMYFUNCTION("FILTER('GBD estimates'!$G$3:$G$1371,'GBD estimates'!$B$3:$B$1371=AD$3,'GBD estimates'!$E$3:$E$1371=""Lower respiratory infections"",'GBD estimates'!$D$3:$D$1371=""15-49 years"")"),0.00182818)</f>
        <v>0.00182818</v>
      </c>
      <c r="AE149" s="542">
        <f>IFERROR(__xludf.DUMMYFUNCTION("FILTER('GBD estimates'!$G$3:$G$1371,'GBD estimates'!$B$3:$B$1371=AE$3,'GBD estimates'!$E$3:$E$1371=""Lower respiratory infections"",'GBD estimates'!$D$3:$D$1371=""15-49 years"")"),0.001742828)</f>
        <v>0.001742828</v>
      </c>
      <c r="AF149" s="542">
        <f>IFERROR(__xludf.DUMMYFUNCTION("FILTER('GBD estimates'!$G$3:$G$1371,'GBD estimates'!$B$3:$B$1371=AF$3,'GBD estimates'!$E$3:$E$1371=""Lower respiratory infections"",'GBD estimates'!$D$3:$D$1371=""15-49 years"")"),0.001739745)</f>
        <v>0.001739745</v>
      </c>
      <c r="AG149" s="542">
        <f>IFERROR(__xludf.DUMMYFUNCTION("FILTER('GBD estimates'!$G$3:$G$1371,'GBD estimates'!$B$3:$B$1371=AG$3,'GBD estimates'!$E$3:$E$1371=""Lower respiratory infections"",'GBD estimates'!$D$3:$D$1371=""15-49 years"")"),0.002004393)</f>
        <v>0.002004393</v>
      </c>
      <c r="AH149" s="542">
        <f>IFERROR(__xludf.DUMMYFUNCTION("FILTER('GBD estimates'!$G$3:$G$1371,'GBD estimates'!$B$3:$B$1371=AH$3,'GBD estimates'!$E$3:$E$1371=""Lower respiratory infections"",'GBD estimates'!$D$3:$D$1371=""15-49 years"")"),0.001960957)</f>
        <v>0.001960957</v>
      </c>
      <c r="AI149" s="542">
        <f>IFERROR(__xludf.DUMMYFUNCTION("FILTER('GBD estimates'!$G$3:$G$1371,'GBD estimates'!$B$3:$B$1371=AI$3,'GBD estimates'!$E$3:$E$1371=""Lower respiratory infections"",'GBD estimates'!$D$3:$D$1371=""15-49 years"")"),0.002123181)</f>
        <v>0.002123181</v>
      </c>
      <c r="AJ149" s="542">
        <f>IFERROR(__xludf.DUMMYFUNCTION("FILTER('GBD estimates'!$G$3:$G$1371,'GBD estimates'!$B$3:$B$1371=AJ$3,'GBD estimates'!$E$3:$E$1371=""Lower respiratory infections"",'GBD estimates'!$D$3:$D$1371=""15-49 years"")"),0.001496856)</f>
        <v>0.001496856</v>
      </c>
      <c r="AK149" s="542">
        <f>IFERROR(__xludf.DUMMYFUNCTION("FILTER('GBD estimates'!$G$3:$G$1371,'GBD estimates'!$B$3:$B$1371=AK$3,'GBD estimates'!$E$3:$E$1371=""Lower respiratory infections"",'GBD estimates'!$D$3:$D$1371=""15-49 years"")"),0.002433635)</f>
        <v>0.002433635</v>
      </c>
      <c r="AL149" s="542">
        <f>IFERROR(__xludf.DUMMYFUNCTION("FILTER('GBD estimates'!$G$3:$G$1371,'GBD estimates'!$B$3:$B$1371=AL$3,'GBD estimates'!$E$3:$E$1371=""Lower respiratory infections"",'GBD estimates'!$D$3:$D$1371=""15-49 years"")"),0.002520823)</f>
        <v>0.002520823</v>
      </c>
      <c r="AM149" s="542">
        <f t="shared" ref="AM149:AN149" si="34">AL149</f>
        <v>0.002520823</v>
      </c>
      <c r="AN149" s="542">
        <f t="shared" si="34"/>
        <v>0.002520823</v>
      </c>
      <c r="AO149" s="542">
        <f>IFERROR(__xludf.DUMMYFUNCTION("FILTER('GBD estimates'!$G$3:$G$1371,'GBD estimates'!$B$3:$B$1371=AO$3,'GBD estimates'!$E$3:$E$1371=""Lower respiratory infections"",'GBD estimates'!$D$3:$D$1371=""15-49 years"")"),0.002077252)</f>
        <v>0.002077252</v>
      </c>
      <c r="AP149" s="542">
        <f>IFERROR(__xludf.DUMMYFUNCTION("FILTER('GBD estimates'!$G$3:$G$1371,'GBD estimates'!$B$3:$B$1371=AP$3,'GBD estimates'!$E$3:$E$1371=""Lower respiratory infections"",'GBD estimates'!$D$3:$D$1371=""15-49 years"")"),0.001965618)</f>
        <v>0.001965618</v>
      </c>
      <c r="AQ149" s="542">
        <f>IFERROR(__xludf.DUMMYFUNCTION("FILTER('GBD estimates'!$G$3:$G$1371,'GBD estimates'!$B$3:$B$1371=AQ$3,'GBD estimates'!$E$3:$E$1371=""Lower respiratory infections"",'GBD estimates'!$D$3:$D$1371=""15-49 years"")"),0.001386363)</f>
        <v>0.001386363</v>
      </c>
      <c r="AR149" s="542">
        <f>IFERROR(__xludf.DUMMYFUNCTION("FILTER('GBD estimates'!$G$3:$G$1371,'GBD estimates'!$B$3:$B$1371=AR$3,'GBD estimates'!$E$3:$E$1371=""Lower respiratory infections"",'GBD estimates'!$D$3:$D$1371=""15-49 years"")"),0.001585732)</f>
        <v>0.001585732</v>
      </c>
      <c r="AS149" s="542">
        <f>IFERROR(__xludf.DUMMYFUNCTION("FILTER('GBD estimates'!$G$3:$G$1371,'GBD estimates'!$B$3:$B$1371=AS$3,'GBD estimates'!$E$3:$E$1371=""Lower respiratory infections"",'GBD estimates'!$D$3:$D$1371=""15-49 years"")"),0.002490513)</f>
        <v>0.002490513</v>
      </c>
      <c r="AT149" s="542">
        <f>IFERROR(__xludf.DUMMYFUNCTION("FILTER('GBD estimates'!$G$3:$G$1371,'GBD estimates'!$B$3:$B$1371=AT$3,'GBD estimates'!$E$3:$E$1371=""Lower respiratory infections"",'GBD estimates'!$D$3:$D$1371=""15-49 years"")"),0.00194264)</f>
        <v>0.00194264</v>
      </c>
      <c r="AU149" s="542">
        <f>IFERROR(__xludf.DUMMYFUNCTION("FILTER('GBD estimates'!$G$3:$G$1371,'GBD estimates'!$B$3:$B$1371=AU$3,'GBD estimates'!$E$3:$E$1371=""Lower respiratory infections"",'GBD estimates'!$D$3:$D$1371=""15-49 years"")"),0.002746134)</f>
        <v>0.002746134</v>
      </c>
      <c r="AV149" s="542">
        <f>IFERROR(__xludf.DUMMYFUNCTION("FILTER('GBD estimates'!$G$3:$G$1371,'GBD estimates'!$B$3:$B$1371=AV$3,'GBD estimates'!$E$3:$E$1371=""Lower respiratory infections"",'GBD estimates'!$D$3:$D$1371=""15-49 years"")"),0.002595537)</f>
        <v>0.002595537</v>
      </c>
      <c r="AW149" s="784"/>
      <c r="AX149" s="797" t="s">
        <v>999</v>
      </c>
      <c r="AY149" s="786"/>
    </row>
    <row r="150">
      <c r="A150" s="776"/>
      <c r="B150" s="538"/>
      <c r="C150" s="538"/>
      <c r="D150" s="538"/>
      <c r="E150" s="782" t="s">
        <v>586</v>
      </c>
      <c r="F150" s="539" t="s">
        <v>72</v>
      </c>
      <c r="G150" s="540" t="s">
        <v>165</v>
      </c>
      <c r="H150" s="808" t="s">
        <v>162</v>
      </c>
      <c r="I150" s="542">
        <f>IFERROR(__xludf.DUMMYFUNCTION("FILTER('GBD estimates'!$G$3:$G$1371,'GBD estimates'!$B$3:$B$1371=I$3,'GBD estimates'!$E$3:$E$1371=""Lower respiratory infections"",'GBD estimates'!$D$3:$D$1371=""50 to 74 years"")"),0.023849512)</f>
        <v>0.023849512</v>
      </c>
      <c r="J150" s="542">
        <f>IFERROR(__xludf.DUMMYFUNCTION("FILTER('GBD estimates'!$G$3:$G$1371,'GBD estimates'!$B$3:$B$1371=J$3,'GBD estimates'!$E$3:$E$1371=""Lower respiratory infections"",'GBD estimates'!$D$3:$D$1371=""50 to 74 years"")"),0.02352892)</f>
        <v>0.02352892</v>
      </c>
      <c r="K150" s="542">
        <f>IFERROR(__xludf.DUMMYFUNCTION("FILTER('GBD estimates'!$G$3:$G$1371,'GBD estimates'!$B$3:$B$1371=K$3,'GBD estimates'!$E$3:$E$1371=""Lower respiratory infections"",'GBD estimates'!$D$3:$D$1371=""50 to 74 years"")"),0.024494371)</f>
        <v>0.024494371</v>
      </c>
      <c r="L150" s="542">
        <f t="shared" si="32"/>
        <v>0.016803436</v>
      </c>
      <c r="M150" s="542">
        <f>IFERROR(__xludf.DUMMYFUNCTION("FILTER('GBD estimates'!$G$3:$G$1371,'GBD estimates'!$B$3:$B$1371=M$3,'GBD estimates'!$E$3:$E$1371=""Lower respiratory infections"",'GBD estimates'!$D$3:$D$1371=""50 to 74 years"")"),0.018501934)</f>
        <v>0.018501934</v>
      </c>
      <c r="N150" s="542">
        <f>IFERROR(__xludf.DUMMYFUNCTION("FILTER('GBD estimates'!$G$3:$G$1371,'GBD estimates'!$B$3:$B$1371=N$3,'GBD estimates'!$E$3:$E$1371=""Lower respiratory infections"",'GBD estimates'!$D$3:$D$1371=""50 to 74 years"")"),0.02109105)</f>
        <v>0.02109105</v>
      </c>
      <c r="O150" s="542">
        <f>IFERROR(__xludf.DUMMYFUNCTION("FILTER('GBD estimates'!$G$3:$G$1371,'GBD estimates'!$B$3:$B$1371=O$3,'GBD estimates'!$E$3:$E$1371=""Lower respiratory infections"",'GBD estimates'!$D$3:$D$1371=""50 to 74 years"")"),0.025109776)</f>
        <v>0.025109776</v>
      </c>
      <c r="P150" s="542">
        <f>IFERROR(__xludf.DUMMYFUNCTION("FILTER('GBD estimates'!$G$3:$G$1371,'GBD estimates'!$B$3:$B$1371=P$3,'GBD estimates'!$E$3:$E$1371=""Lower respiratory infections"",'GBD estimates'!$D$3:$D$1371=""50 to 74 years"")"),0.024150318)</f>
        <v>0.024150318</v>
      </c>
      <c r="Q150" s="543">
        <f>IFERROR(__xludf.DUMMYFUNCTION("FILTER('GBD estimates'!$G$3:$G$1371,'GBD estimates'!$B$3:$B$1371=Q$3,'GBD estimates'!$E$3:$E$1371=""Lower respiratory infections"",'GBD estimates'!$D$3:$D$1371=""50 to 74 years"")"),0.029711508)</f>
        <v>0.029711508</v>
      </c>
      <c r="R150" s="542">
        <f>IFERROR(__xludf.DUMMYFUNCTION("FILTER('GBD estimates'!$G$3:$G$1371,'GBD estimates'!$B$3:$B$1371=R$3,'GBD estimates'!$E$3:$E$1371=""Lower respiratory infections"",'GBD estimates'!$D$3:$D$1371=""50 to 74 years"")"),0.015782545)</f>
        <v>0.015782545</v>
      </c>
      <c r="S150" s="542">
        <f>IFERROR(__xludf.DUMMYFUNCTION("FILTER('GBD estimates'!$G$3:$G$1371,'GBD estimates'!$B$3:$B$1371=S$3,'GBD estimates'!$E$3:$E$1371=""Lower respiratory infections"",'GBD estimates'!$D$3:$D$1371=""50 to 74 years"")"),0.023351116)</f>
        <v>0.023351116</v>
      </c>
      <c r="T150" s="542">
        <f>IFERROR(__xludf.DUMMYFUNCTION("FILTER('GBD estimates'!$G$3:$G$1371,'GBD estimates'!$B$3:$B$1371=T$3,'GBD estimates'!$E$3:$E$1371=""Lower respiratory infections"",'GBD estimates'!$D$3:$D$1371=""50 to 74 years"")"),0.017447023)</f>
        <v>0.017447023</v>
      </c>
      <c r="U150" s="542">
        <f>IFERROR(__xludf.DUMMYFUNCTION("FILTER('GBD estimates'!$G$3:$G$1371,'GBD estimates'!$B$3:$B$1371=U$3,'GBD estimates'!$E$3:$E$1371=""Lower respiratory infections"",'GBD estimates'!$D$3:$D$1371=""50 to 74 years"")"),0.016405116)</f>
        <v>0.016405116</v>
      </c>
      <c r="V150" s="542">
        <f>IFERROR(__xludf.DUMMYFUNCTION("FILTER('GBD estimates'!$G$3:$G$1371,'GBD estimates'!$B$3:$B$1371=V$3,'GBD estimates'!$E$3:$E$1371=""Lower respiratory infections"",'GBD estimates'!$D$3:$D$1371=""50 to 74 years"")"),0.019350304)</f>
        <v>0.019350304</v>
      </c>
      <c r="W150" s="542">
        <f>IFERROR(__xludf.DUMMYFUNCTION("FILTER('GBD estimates'!$G$3:$G$1371,'GBD estimates'!$B$3:$B$1371=W$3,'GBD estimates'!$E$3:$E$1371=""Lower respiratory infections"",'GBD estimates'!$D$3:$D$1371=""50 to 74 years"")"),0.021737143)</f>
        <v>0.021737143</v>
      </c>
      <c r="X150" s="542">
        <f>IFERROR(__xludf.DUMMYFUNCTION("FILTER('GBD estimates'!$G$3:$G$1371,'GBD estimates'!$B$3:$B$1371=X$3,'GBD estimates'!$E$3:$E$1371=""Lower respiratory infections"",'GBD estimates'!$D$3:$D$1371=""50 to 74 years"")"),0.019471301)</f>
        <v>0.019471301</v>
      </c>
      <c r="Y150" s="542">
        <f>IFERROR(__xludf.DUMMYFUNCTION("FILTER('GBD estimates'!$G$3:$G$1371,'GBD estimates'!$B$3:$B$1371=Y$3,'GBD estimates'!$E$3:$E$1371=""Lower respiratory infections"",'GBD estimates'!$D$3:$D$1371=""50 to 74 years"")"),0.032955525)</f>
        <v>0.032955525</v>
      </c>
      <c r="Z150" s="542">
        <f>IFERROR(__xludf.DUMMYFUNCTION("FILTER('GBD estimates'!$G$3:$G$1371,'GBD estimates'!$B$3:$B$1371=Z$3,'GBD estimates'!$E$3:$E$1371=""Lower respiratory infections"",'GBD estimates'!$D$3:$D$1371=""50 to 74 years"")"),0.015790436)</f>
        <v>0.015790436</v>
      </c>
      <c r="AA150" s="542">
        <f>IFERROR(__xludf.DUMMYFUNCTION("FILTER('GBD estimates'!$G$3:$G$1371,'GBD estimates'!$B$3:$B$1371=AA$3,'GBD estimates'!$E$3:$E$1371=""Lower respiratory infections"",'GBD estimates'!$D$3:$D$1371=""50 to 74 years"")"),0.019875108)</f>
        <v>0.019875108</v>
      </c>
      <c r="AB150" s="542">
        <f>IFERROR(__xludf.DUMMYFUNCTION("FILTER('GBD estimates'!$G$3:$G$1371,'GBD estimates'!$B$3:$B$1371=AB$3,'GBD estimates'!$E$3:$E$1371=""Lower respiratory infections"",'GBD estimates'!$D$3:$D$1371=""50 to 74 years"")"),0.014327169)</f>
        <v>0.014327169</v>
      </c>
      <c r="AC150" s="542">
        <f>IFERROR(__xludf.DUMMYFUNCTION("FILTER('GBD estimates'!$G$3:$G$1371,'GBD estimates'!$B$3:$B$1371=AC$3,'GBD estimates'!$E$3:$E$1371=""Lower respiratory infections"",'GBD estimates'!$D$3:$D$1371=""50 to 74 years"")"),0.015967831)</f>
        <v>0.015967831</v>
      </c>
      <c r="AD150" s="542">
        <f>IFERROR(__xludf.DUMMYFUNCTION("FILTER('GBD estimates'!$G$3:$G$1371,'GBD estimates'!$B$3:$B$1371=AD$3,'GBD estimates'!$E$3:$E$1371=""Lower respiratory infections"",'GBD estimates'!$D$3:$D$1371=""50 to 74 years"")"),0.017175346)</f>
        <v>0.017175346</v>
      </c>
      <c r="AE150" s="542">
        <f>IFERROR(__xludf.DUMMYFUNCTION("FILTER('GBD estimates'!$G$3:$G$1371,'GBD estimates'!$B$3:$B$1371=AE$3,'GBD estimates'!$E$3:$E$1371=""Lower respiratory infections"",'GBD estimates'!$D$3:$D$1371=""50 to 74 years"")"),0.011371433)</f>
        <v>0.011371433</v>
      </c>
      <c r="AF150" s="542">
        <f>IFERROR(__xludf.DUMMYFUNCTION("FILTER('GBD estimates'!$G$3:$G$1371,'GBD estimates'!$B$3:$B$1371=AF$3,'GBD estimates'!$E$3:$E$1371=""Lower respiratory infections"",'GBD estimates'!$D$3:$D$1371=""50 to 74 years"")"),0.014655234)</f>
        <v>0.014655234</v>
      </c>
      <c r="AG150" s="542">
        <f>IFERROR(__xludf.DUMMYFUNCTION("FILTER('GBD estimates'!$G$3:$G$1371,'GBD estimates'!$B$3:$B$1371=AG$3,'GBD estimates'!$E$3:$E$1371=""Lower respiratory infections"",'GBD estimates'!$D$3:$D$1371=""50 to 74 years"")"),0.016803436)</f>
        <v>0.016803436</v>
      </c>
      <c r="AH150" s="542">
        <f>IFERROR(__xludf.DUMMYFUNCTION("FILTER('GBD estimates'!$G$3:$G$1371,'GBD estimates'!$B$3:$B$1371=AH$3,'GBD estimates'!$E$3:$E$1371=""Lower respiratory infections"",'GBD estimates'!$D$3:$D$1371=""50 to 74 years"")"),0.019361124)</f>
        <v>0.019361124</v>
      </c>
      <c r="AI150" s="542">
        <f>IFERROR(__xludf.DUMMYFUNCTION("FILTER('GBD estimates'!$G$3:$G$1371,'GBD estimates'!$B$3:$B$1371=AI$3,'GBD estimates'!$E$3:$E$1371=""Lower respiratory infections"",'GBD estimates'!$D$3:$D$1371=""50 to 74 years"")"),0.016970364)</f>
        <v>0.016970364</v>
      </c>
      <c r="AJ150" s="542">
        <f>IFERROR(__xludf.DUMMYFUNCTION("FILTER('GBD estimates'!$G$3:$G$1371,'GBD estimates'!$B$3:$B$1371=AJ$3,'GBD estimates'!$E$3:$E$1371=""Lower respiratory infections"",'GBD estimates'!$D$3:$D$1371=""50 to 74 years"")"),0.011549145)</f>
        <v>0.011549145</v>
      </c>
      <c r="AK150" s="542">
        <f>IFERROR(__xludf.DUMMYFUNCTION("FILTER('GBD estimates'!$G$3:$G$1371,'GBD estimates'!$B$3:$B$1371=AK$3,'GBD estimates'!$E$3:$E$1371=""Lower respiratory infections"",'GBD estimates'!$D$3:$D$1371=""50 to 74 years"")"),0.015653005)</f>
        <v>0.015653005</v>
      </c>
      <c r="AL150" s="542">
        <f>IFERROR(__xludf.DUMMYFUNCTION("FILTER('GBD estimates'!$G$3:$G$1371,'GBD estimates'!$B$3:$B$1371=AL$3,'GBD estimates'!$E$3:$E$1371=""Lower respiratory infections"",'GBD estimates'!$D$3:$D$1371=""50 to 74 years"")"),0.020421233)</f>
        <v>0.020421233</v>
      </c>
      <c r="AM150" s="542">
        <f t="shared" ref="AM150:AN150" si="35">AL150</f>
        <v>0.020421233</v>
      </c>
      <c r="AN150" s="542">
        <f t="shared" si="35"/>
        <v>0.020421233</v>
      </c>
      <c r="AO150" s="542">
        <f>IFERROR(__xludf.DUMMYFUNCTION("FILTER('GBD estimates'!$G$3:$G$1371,'GBD estimates'!$B$3:$B$1371=AO$3,'GBD estimates'!$E$3:$E$1371=""Lower respiratory infections"",'GBD estimates'!$D$3:$D$1371=""50 to 74 years"")"),0.018129064)</f>
        <v>0.018129064</v>
      </c>
      <c r="AP150" s="542">
        <f>IFERROR(__xludf.DUMMYFUNCTION("FILTER('GBD estimates'!$G$3:$G$1371,'GBD estimates'!$B$3:$B$1371=AP$3,'GBD estimates'!$E$3:$E$1371=""Lower respiratory infections"",'GBD estimates'!$D$3:$D$1371=""50 to 74 years"")"),0.018137271)</f>
        <v>0.018137271</v>
      </c>
      <c r="AQ150" s="542">
        <f>IFERROR(__xludf.DUMMYFUNCTION("FILTER('GBD estimates'!$G$3:$G$1371,'GBD estimates'!$B$3:$B$1371=AQ$3,'GBD estimates'!$E$3:$E$1371=""Lower respiratory infections"",'GBD estimates'!$D$3:$D$1371=""50 to 74 years"")"),0.014733298)</f>
        <v>0.014733298</v>
      </c>
      <c r="AR150" s="542">
        <f>IFERROR(__xludf.DUMMYFUNCTION("FILTER('GBD estimates'!$G$3:$G$1371,'GBD estimates'!$B$3:$B$1371=AR$3,'GBD estimates'!$E$3:$E$1371=""Lower respiratory infections"",'GBD estimates'!$D$3:$D$1371=""50 to 74 years"")"),0.014182152)</f>
        <v>0.014182152</v>
      </c>
      <c r="AS150" s="542">
        <f>IFERROR(__xludf.DUMMYFUNCTION("FILTER('GBD estimates'!$G$3:$G$1371,'GBD estimates'!$B$3:$B$1371=AS$3,'GBD estimates'!$E$3:$E$1371=""Lower respiratory infections"",'GBD estimates'!$D$3:$D$1371=""50 to 74 years"")"),0.015807042)</f>
        <v>0.015807042</v>
      </c>
      <c r="AT150" s="542">
        <f>IFERROR(__xludf.DUMMYFUNCTION("FILTER('GBD estimates'!$G$3:$G$1371,'GBD estimates'!$B$3:$B$1371=AT$3,'GBD estimates'!$E$3:$E$1371=""Lower respiratory infections"",'GBD estimates'!$D$3:$D$1371=""50 to 74 years"")"),0.015695869)</f>
        <v>0.015695869</v>
      </c>
      <c r="AU150" s="542">
        <f>IFERROR(__xludf.DUMMYFUNCTION("FILTER('GBD estimates'!$G$3:$G$1371,'GBD estimates'!$B$3:$B$1371=AU$3,'GBD estimates'!$E$3:$E$1371=""Lower respiratory infections"",'GBD estimates'!$D$3:$D$1371=""50 to 74 years"")"),0.017242094)</f>
        <v>0.017242094</v>
      </c>
      <c r="AV150" s="542">
        <f>IFERROR(__xludf.DUMMYFUNCTION("FILTER('GBD estimates'!$G$3:$G$1371,'GBD estimates'!$B$3:$B$1371=AV$3,'GBD estimates'!$E$3:$E$1371=""Lower respiratory infections"",'GBD estimates'!$D$3:$D$1371=""50 to 74 years"")"),0.022438887)</f>
        <v>0.022438887</v>
      </c>
      <c r="AW150" s="784"/>
      <c r="AX150" s="797" t="s">
        <v>999</v>
      </c>
      <c r="AY150" s="786"/>
    </row>
    <row r="151">
      <c r="A151" s="776"/>
      <c r="B151" s="538"/>
      <c r="C151" s="538"/>
      <c r="D151" s="538"/>
      <c r="E151" s="782" t="s">
        <v>588</v>
      </c>
      <c r="F151" s="539" t="s">
        <v>62</v>
      </c>
      <c r="G151" s="540" t="s">
        <v>165</v>
      </c>
      <c r="H151" s="808" t="s">
        <v>162</v>
      </c>
      <c r="I151" s="564">
        <f>IFERROR(__xludf.DUMMYFUNCTION("FILTER('GBD estimates'!$R$3:$R$1713,'GBD estimates'!$K$3:$K$1713=I$3,'GBD estimates'!$L$3:$L$1713=""Lower respiratory infections"",'GBD estimates'!$N$3:$N$1713=""Under 5"")"),6666.160437)</f>
        <v>6666.160437</v>
      </c>
      <c r="J151" s="564">
        <f>IFERROR(__xludf.DUMMYFUNCTION("FILTER('GBD estimates'!$R$3:$R$1713,'GBD estimates'!$K$3:$K$1713=J$3,'GBD estimates'!$L$3:$L$1713=""Lower respiratory infections"",'GBD estimates'!$N$3:$N$1713=""Under 5"")"),2486.36786)</f>
        <v>2486.36786</v>
      </c>
      <c r="K151" s="564">
        <f>IFERROR(__xludf.DUMMYFUNCTION("FILTER('GBD estimates'!$R$3:$R$1713,'GBD estimates'!$K$3:$K$1713=K$3,'GBD estimates'!$L$3:$L$1713=""Lower respiratory infections"",'GBD estimates'!$N$3:$N$1713=""Under 5"")"),5391.465326)</f>
        <v>5391.465326</v>
      </c>
      <c r="L151" s="564">
        <f t="shared" si="32"/>
        <v>5468.270934</v>
      </c>
      <c r="M151" s="564">
        <f>IFERROR(__xludf.DUMMYFUNCTION("FILTER('GBD estimates'!$R$3:$R$1713,'GBD estimates'!$K$3:$K$1713=M$3,'GBD estimates'!$L$3:$L$1713=""Lower respiratory infections"",'GBD estimates'!$N$3:$N$1713=""Under 5"")"),14601.87847)</f>
        <v>14601.87847</v>
      </c>
      <c r="N151" s="564">
        <f>IFERROR(__xludf.DUMMYFUNCTION("FILTER('GBD estimates'!$R$3:$R$1713,'GBD estimates'!$K$3:$K$1713=N$3,'GBD estimates'!$L$3:$L$1713=""Lower respiratory infections"",'GBD estimates'!$N$3:$N$1713=""Under 5"")"),7218.508224)</f>
        <v>7218.508224</v>
      </c>
      <c r="O151" s="564">
        <f>IFERROR(__xludf.DUMMYFUNCTION("FILTER('GBD estimates'!$R$3:$R$1713,'GBD estimates'!$K$3:$K$1713=O$3,'GBD estimates'!$L$3:$L$1713=""Lower respiratory infections"",'GBD estimates'!$N$3:$N$1713=""Under 5"")"),3722.428607)</f>
        <v>3722.428607</v>
      </c>
      <c r="P151" s="564">
        <f>IFERROR(__xludf.DUMMYFUNCTION("FILTER('GBD estimates'!$R$3:$R$1713,'GBD estimates'!$K$3:$K$1713=P$3,'GBD estimates'!$L$3:$L$1713=""Lower respiratory infections"",'GBD estimates'!$N$3:$N$1713=""Under 5"")"),8155.291135)</f>
        <v>8155.291135</v>
      </c>
      <c r="Q151" s="565">
        <f>IFERROR(__xludf.DUMMYFUNCTION("FILTER('GBD estimates'!$R$3:$R$1713,'GBD estimates'!$K$3:$K$1713=Q$3,'GBD estimates'!$L$3:$L$1713=""Lower respiratory infections"",'GBD estimates'!$N$3:$N$1713=""Under 5"")"),3511.465494)</f>
        <v>3511.465494</v>
      </c>
      <c r="R151" s="564">
        <f>IFERROR(__xludf.DUMMYFUNCTION("FILTER('GBD estimates'!$R$3:$R$1713,'GBD estimates'!$K$3:$K$1713=R$3,'GBD estimates'!$L$3:$L$1713=""Lower respiratory infections"",'GBD estimates'!$N$3:$N$1713=""Under 5"")"),1202.92937)</f>
        <v>1202.92937</v>
      </c>
      <c r="S151" s="564">
        <f>IFERROR(__xludf.DUMMYFUNCTION("FILTER('GBD estimates'!$R$3:$R$1713,'GBD estimates'!$K$3:$K$1713=S$3,'GBD estimates'!$L$3:$L$1713=""Lower respiratory infections"",'GBD estimates'!$N$3:$N$1713=""Under 5"")"),2012.237586)</f>
        <v>2012.237586</v>
      </c>
      <c r="T151" s="564">
        <f>IFERROR(__xludf.DUMMYFUNCTION("FILTER('GBD estimates'!$R$3:$R$1713,'GBD estimates'!$K$3:$K$1713=T$3,'GBD estimates'!$L$3:$L$1713=""Lower respiratory infections"",'GBD estimates'!$N$3:$N$1713=""Under 5"")"),378.814408)</f>
        <v>378.814408</v>
      </c>
      <c r="U151" s="564">
        <f>IFERROR(__xludf.DUMMYFUNCTION("FILTER('GBD estimates'!$R$3:$R$1713,'GBD estimates'!$K$3:$K$1713=U$3,'GBD estimates'!$L$3:$L$1713=""Lower respiratory infections"",'GBD estimates'!$N$3:$N$1713=""Under 5"")"),1398.002058)</f>
        <v>1398.002058</v>
      </c>
      <c r="V151" s="564">
        <f>IFERROR(__xludf.DUMMYFUNCTION("FILTER('GBD estimates'!$R$3:$R$1713,'GBD estimates'!$K$3:$K$1713=V$3,'GBD estimates'!$L$3:$L$1713=""Lower respiratory infections"",'GBD estimates'!$N$3:$N$1713=""Under 5"")"),159.7895022)</f>
        <v>159.7895022</v>
      </c>
      <c r="W151" s="564">
        <f>IFERROR(__xludf.DUMMYFUNCTION("FILTER('GBD estimates'!$R$3:$R$1713,'GBD estimates'!$K$3:$K$1713=W$3,'GBD estimates'!$L$3:$L$1713=""Lower respiratory infections"",'GBD estimates'!$N$3:$N$1713=""Under 5"")"),3330.832438)</f>
        <v>3330.832438</v>
      </c>
      <c r="X151" s="564">
        <f>IFERROR(__xludf.DUMMYFUNCTION("FILTER('GBD estimates'!$R$3:$R$1713,'GBD estimates'!$K$3:$K$1713=X$3,'GBD estimates'!$L$3:$L$1713=""Lower respiratory infections"",'GBD estimates'!$N$3:$N$1713=""Under 5"")"),1209.228038)</f>
        <v>1209.228038</v>
      </c>
      <c r="Y151" s="564">
        <f>IFERROR(__xludf.DUMMYFUNCTION("FILTER('GBD estimates'!$R$3:$R$1713,'GBD estimates'!$K$3:$K$1713=Y$3,'GBD estimates'!$L$3:$L$1713=""Lower respiratory infections"",'GBD estimates'!$N$3:$N$1713=""Under 5"")"),415.8901035)</f>
        <v>415.8901035</v>
      </c>
      <c r="Z151" s="564">
        <f>IFERROR(__xludf.DUMMYFUNCTION("FILTER('GBD estimates'!$R$3:$R$1713,'GBD estimates'!$K$3:$K$1713=Z$3,'GBD estimates'!$L$3:$L$1713=""Lower respiratory infections"",'GBD estimates'!$N$3:$N$1713=""Under 5"")"),1061.768764)</f>
        <v>1061.768764</v>
      </c>
      <c r="AA151" s="564">
        <f>IFERROR(__xludf.DUMMYFUNCTION("FILTER('GBD estimates'!$R$3:$R$1713,'GBD estimates'!$K$3:$K$1713=AA$3,'GBD estimates'!$L$3:$L$1713=""Lower respiratory infections"",'GBD estimates'!$N$3:$N$1713=""Under 5"")"),1184.586367)</f>
        <v>1184.586367</v>
      </c>
      <c r="AB151" s="564">
        <f>IFERROR(__xludf.DUMMYFUNCTION("FILTER('GBD estimates'!$R$3:$R$1713,'GBD estimates'!$K$3:$K$1713=AB$3,'GBD estimates'!$L$3:$L$1713=""Lower respiratory infections"",'GBD estimates'!$N$3:$N$1713=""Under 5"")"),881.118419)</f>
        <v>881.118419</v>
      </c>
      <c r="AC151" s="564">
        <f>IFERROR(__xludf.DUMMYFUNCTION("FILTER('GBD estimates'!$R$3:$R$1713,'GBD estimates'!$K$3:$K$1713=AC$3,'GBD estimates'!$L$3:$L$1713=""Lower respiratory infections"",'GBD estimates'!$N$3:$N$1713=""Under 5"")"),352.8307972)</f>
        <v>352.8307972</v>
      </c>
      <c r="AD151" s="564">
        <f>IFERROR(__xludf.DUMMYFUNCTION("FILTER('GBD estimates'!$R$3:$R$1713,'GBD estimates'!$K$3:$K$1713=AD$3,'GBD estimates'!$L$3:$L$1713=""Lower respiratory infections"",'GBD estimates'!$N$3:$N$1713=""Under 5"")"),629.688544)</f>
        <v>629.688544</v>
      </c>
      <c r="AE151" s="564">
        <f>IFERROR(__xludf.DUMMYFUNCTION("FILTER('GBD estimates'!$R$3:$R$1713,'GBD estimates'!$K$3:$K$1713=AE$3,'GBD estimates'!$L$3:$L$1713=""Lower respiratory infections"",'GBD estimates'!$N$3:$N$1713=""Under 5"")"),1531.147811)</f>
        <v>1531.147811</v>
      </c>
      <c r="AF151" s="564">
        <f>IFERROR(__xludf.DUMMYFUNCTION("FILTER('GBD estimates'!$R$3:$R$1713,'GBD estimates'!$K$3:$K$1713=AF$3,'GBD estimates'!$L$3:$L$1713=""Lower respiratory infections"",'GBD estimates'!$N$3:$N$1713=""Under 5"")"),1744.136024)</f>
        <v>1744.136024</v>
      </c>
      <c r="AG151" s="564">
        <f>IFERROR(__xludf.DUMMYFUNCTION("FILTER('GBD estimates'!$R$3:$R$1713,'GBD estimates'!$K$3:$K$1713=AG$3,'GBD estimates'!$L$3:$L$1713=""Lower respiratory infections"",'GBD estimates'!$N$3:$N$1713=""Under 5"")"),5468.270934)</f>
        <v>5468.270934</v>
      </c>
      <c r="AH151" s="564">
        <f>IFERROR(__xludf.DUMMYFUNCTION("FILTER('GBD estimates'!$R$3:$R$1713,'GBD estimates'!$K$3:$K$1713=AH$3,'GBD estimates'!$L$3:$L$1713=""Lower respiratory infections"",'GBD estimates'!$N$3:$N$1713=""Under 5"")"),582.2050582)</f>
        <v>582.2050582</v>
      </c>
      <c r="AI151" s="564">
        <f>IFERROR(__xludf.DUMMYFUNCTION("FILTER('GBD estimates'!$R$3:$R$1713,'GBD estimates'!$K$3:$K$1713=AI$3,'GBD estimates'!$L$3:$L$1713=""Lower respiratory infections"",'GBD estimates'!$N$3:$N$1713=""Under 5"")"),493.7507516)</f>
        <v>493.7507516</v>
      </c>
      <c r="AJ151" s="564">
        <f>IFERROR(__xludf.DUMMYFUNCTION("FILTER('GBD estimates'!$R$3:$R$1713,'GBD estimates'!$K$3:$K$1713=AJ$3,'GBD estimates'!$L$3:$L$1713=""Lower respiratory infections"",'GBD estimates'!$N$3:$N$1713=""Under 5"")"),758.7766907)</f>
        <v>758.7766907</v>
      </c>
      <c r="AK151" s="564">
        <f>IFERROR(__xludf.DUMMYFUNCTION("FILTER('GBD estimates'!$R$3:$R$1713,'GBD estimates'!$K$3:$K$1713=AK$3,'GBD estimates'!$L$3:$L$1713=""Lower respiratory infections"",'GBD estimates'!$N$3:$N$1713=""Under 5"")"),1963.50028)</f>
        <v>1963.50028</v>
      </c>
      <c r="AL151" s="564">
        <f>IFERROR(__xludf.DUMMYFUNCTION("FILTER('GBD estimates'!$R$3:$R$1713,'GBD estimates'!$K$3:$K$1713=AL$3,'GBD estimates'!$L$3:$L$1713=""Lower respiratory infections"",'GBD estimates'!$N$3:$N$1713=""Under 5"")"),5381.905875)</f>
        <v>5381.905875</v>
      </c>
      <c r="AM151" s="564">
        <f t="shared" ref="AM151:AN151" si="36">AL151</f>
        <v>5381.905875</v>
      </c>
      <c r="AN151" s="564">
        <f t="shared" si="36"/>
        <v>5381.905875</v>
      </c>
      <c r="AO151" s="564">
        <f>IFERROR(__xludf.DUMMYFUNCTION("FILTER('GBD estimates'!$R$3:$R$1713,'GBD estimates'!$K$3:$K$1713=AO$3,'GBD estimates'!$L$3:$L$1713=""Lower respiratory infections"",'GBD estimates'!$N$3:$N$1713=""Under 5"")"),2519.607052)</f>
        <v>2519.607052</v>
      </c>
      <c r="AP151" s="564">
        <f>IFERROR(__xludf.DUMMYFUNCTION("FILTER('GBD estimates'!$R$3:$R$1713,'GBD estimates'!$K$3:$K$1713=AP$3,'GBD estimates'!$L$3:$L$1713=""Lower respiratory infections"",'GBD estimates'!$N$3:$N$1713=""Under 5"")"),788.5256111)</f>
        <v>788.5256111</v>
      </c>
      <c r="AQ151" s="564">
        <f>IFERROR(__xludf.DUMMYFUNCTION("FILTER('GBD estimates'!$R$3:$R$1713,'GBD estimates'!$K$3:$K$1713=AQ$3,'GBD estimates'!$L$3:$L$1713=""Lower respiratory infections"",'GBD estimates'!$N$3:$N$1713=""Under 5"")"),522.2441219)</f>
        <v>522.2441219</v>
      </c>
      <c r="AR151" s="564">
        <f>IFERROR(__xludf.DUMMYFUNCTION("FILTER('GBD estimates'!$R$3:$R$1713,'GBD estimates'!$K$3:$K$1713=AR$3,'GBD estimates'!$L$3:$L$1713=""Lower respiratory infections"",'GBD estimates'!$N$3:$N$1713=""Under 5"")"),730.3035654)</f>
        <v>730.3035654</v>
      </c>
      <c r="AS151" s="564">
        <f>IFERROR(__xludf.DUMMYFUNCTION("FILTER('GBD estimates'!$R$3:$R$1713,'GBD estimates'!$K$3:$K$1713=AS$3,'GBD estimates'!$L$3:$L$1713=""Lower respiratory infections"",'GBD estimates'!$N$3:$N$1713=""Under 5"")"),3126.259236)</f>
        <v>3126.259236</v>
      </c>
      <c r="AT151" s="564">
        <f>IFERROR(__xludf.DUMMYFUNCTION("FILTER('GBD estimates'!$R$3:$R$1713,'GBD estimates'!$K$3:$K$1713=AT$3,'GBD estimates'!$L$3:$L$1713=""Lower respiratory infections"",'GBD estimates'!$N$3:$N$1713=""Under 5"")"),789.6435423)</f>
        <v>789.6435423</v>
      </c>
      <c r="AU151" s="564">
        <f>IFERROR(__xludf.DUMMYFUNCTION("FILTER('GBD estimates'!$R$3:$R$1713,'GBD estimates'!$K$3:$K$1713=AU$3,'GBD estimates'!$L$3:$L$1713=""Lower respiratory infections"",'GBD estimates'!$N$3:$N$1713=""Under 5"")"),5542.047624)</f>
        <v>5542.047624</v>
      </c>
      <c r="AV151" s="564">
        <f>IFERROR(__xludf.DUMMYFUNCTION("FILTER('GBD estimates'!$R$3:$R$1713,'GBD estimates'!$K$3:$K$1713=AV$3,'GBD estimates'!$L$3:$L$1713=""Lower respiratory infections"",'GBD estimates'!$N$3:$N$1713=""Under 5"")"),2310.592523)</f>
        <v>2310.592523</v>
      </c>
      <c r="AW151" s="784"/>
      <c r="AX151" s="797" t="s">
        <v>999</v>
      </c>
      <c r="AY151" s="786"/>
    </row>
    <row r="152">
      <c r="A152" s="776"/>
      <c r="B152" s="538"/>
      <c r="C152" s="538"/>
      <c r="D152" s="538"/>
      <c r="E152" s="475" t="s">
        <v>589</v>
      </c>
      <c r="F152" s="554" t="s">
        <v>62</v>
      </c>
      <c r="G152" s="555" t="s">
        <v>165</v>
      </c>
      <c r="H152" s="811" t="s">
        <v>162</v>
      </c>
      <c r="I152" s="564">
        <f>IFERROR(__xludf.DUMMYFUNCTION("FILTER('GBD estimates'!$R$3:$R$1713,'GBD estimates'!$K$3:$K$1713=I$3,'GBD estimates'!$L$3:$L$1713=""Lower respiratory infections"",'GBD estimates'!$N$3:$N$1713=""Early Neonatal"")"),1061.467461)</f>
        <v>1061.467461</v>
      </c>
      <c r="J152" s="564">
        <f>IFERROR(__xludf.DUMMYFUNCTION("FILTER('GBD estimates'!$R$3:$R$1713,'GBD estimates'!$K$3:$K$1713=J$3,'GBD estimates'!$L$3:$L$1713=""Lower respiratory infections"",'GBD estimates'!$N$3:$N$1713=""Early Neonatal"")"),381.0681328)</f>
        <v>381.0681328</v>
      </c>
      <c r="K152" s="564">
        <f>IFERROR(__xludf.DUMMYFUNCTION("FILTER('GBD estimates'!$R$3:$R$1713,'GBD estimates'!$K$3:$K$1713=K$3,'GBD estimates'!$L$3:$L$1713=""Lower respiratory infections"",'GBD estimates'!$N$3:$N$1713=""Early Neonatal"")"),750.413681)</f>
        <v>750.413681</v>
      </c>
      <c r="L152" s="564">
        <f t="shared" si="32"/>
        <v>981.2133565</v>
      </c>
      <c r="M152" s="564">
        <f>IFERROR(__xludf.DUMMYFUNCTION("FILTER('GBD estimates'!$R$3:$R$1713,'GBD estimates'!$K$3:$K$1713=M$3,'GBD estimates'!$L$3:$L$1713=""Lower respiratory infections"",'GBD estimates'!$N$3:$N$1713=""Early Neonatal"")"),2779.112992)</f>
        <v>2779.112992</v>
      </c>
      <c r="N152" s="564">
        <f>IFERROR(__xludf.DUMMYFUNCTION("FILTER('GBD estimates'!$R$3:$R$1713,'GBD estimates'!$K$3:$K$1713=N$3,'GBD estimates'!$L$3:$L$1713=""Lower respiratory infections"",'GBD estimates'!$N$3:$N$1713=""Early Neonatal"")"),1075.561854)</f>
        <v>1075.561854</v>
      </c>
      <c r="O152" s="564">
        <f>IFERROR(__xludf.DUMMYFUNCTION("FILTER('GBD estimates'!$R$3:$R$1713,'GBD estimates'!$K$3:$K$1713=O$3,'GBD estimates'!$L$3:$L$1713=""Lower respiratory infections"",'GBD estimates'!$N$3:$N$1713=""Early Neonatal"")"),697.047277)</f>
        <v>697.047277</v>
      </c>
      <c r="P152" s="564">
        <f>IFERROR(__xludf.DUMMYFUNCTION("FILTER('GBD estimates'!$R$3:$R$1713,'GBD estimates'!$K$3:$K$1713=P$3,'GBD estimates'!$L$3:$L$1713=""Lower respiratory infections"",'GBD estimates'!$N$3:$N$1713=""Early Neonatal"")"),1055.148578)</f>
        <v>1055.148578</v>
      </c>
      <c r="Q152" s="565">
        <f>IFERROR(__xludf.DUMMYFUNCTION("FILTER('GBD estimates'!$R$3:$R$1713,'GBD estimates'!$K$3:$K$1713=Q$3,'GBD estimates'!$L$3:$L$1713=""Lower respiratory infections"",'GBD estimates'!$N$3:$N$1713=""Early Neonatal"")"),335.622534)</f>
        <v>335.622534</v>
      </c>
      <c r="R152" s="564">
        <f>IFERROR(__xludf.DUMMYFUNCTION("FILTER('GBD estimates'!$R$3:$R$1713,'GBD estimates'!$K$3:$K$1713=R$3,'GBD estimates'!$L$3:$L$1713=""Lower respiratory infections"",'GBD estimates'!$N$3:$N$1713=""Early Neonatal"")"),273.658547)</f>
        <v>273.658547</v>
      </c>
      <c r="S152" s="564">
        <f>IFERROR(__xludf.DUMMYFUNCTION("FILTER('GBD estimates'!$R$3:$R$1713,'GBD estimates'!$K$3:$K$1713=S$3,'GBD estimates'!$L$3:$L$1713=""Lower respiratory infections"",'GBD estimates'!$N$3:$N$1713=""Early Neonatal"")"),319.0969645)</f>
        <v>319.0969645</v>
      </c>
      <c r="T152" s="564">
        <f>IFERROR(__xludf.DUMMYFUNCTION("FILTER('GBD estimates'!$R$3:$R$1713,'GBD estimates'!$K$3:$K$1713=T$3,'GBD estimates'!$L$3:$L$1713=""Lower respiratory infections"",'GBD estimates'!$N$3:$N$1713=""Early Neonatal"")"),99.18373242)</f>
        <v>99.18373242</v>
      </c>
      <c r="U152" s="564">
        <f>IFERROR(__xludf.DUMMYFUNCTION("FILTER('GBD estimates'!$R$3:$R$1713,'GBD estimates'!$K$3:$K$1713=U$3,'GBD estimates'!$L$3:$L$1713=""Lower respiratory infections"",'GBD estimates'!$N$3:$N$1713=""Early Neonatal"")"),357.6860169)</f>
        <v>357.6860169</v>
      </c>
      <c r="V152" s="564">
        <f>IFERROR(__xludf.DUMMYFUNCTION("FILTER('GBD estimates'!$R$3:$R$1713,'GBD estimates'!$K$3:$K$1713=V$3,'GBD estimates'!$L$3:$L$1713=""Lower respiratory infections"",'GBD estimates'!$N$3:$N$1713=""Early Neonatal"")"),33.50491455)</f>
        <v>33.50491455</v>
      </c>
      <c r="W152" s="564">
        <f>IFERROR(__xludf.DUMMYFUNCTION("FILTER('GBD estimates'!$R$3:$R$1713,'GBD estimates'!$K$3:$K$1713=W$3,'GBD estimates'!$L$3:$L$1713=""Lower respiratory infections"",'GBD estimates'!$N$3:$N$1713=""Early Neonatal"")"),886.0005902)</f>
        <v>886.0005902</v>
      </c>
      <c r="X152" s="564">
        <f>IFERROR(__xludf.DUMMYFUNCTION("FILTER('GBD estimates'!$R$3:$R$1713,'GBD estimates'!$K$3:$K$1713=X$3,'GBD estimates'!$L$3:$L$1713=""Lower respiratory infections"",'GBD estimates'!$N$3:$N$1713=""Early Neonatal"")"),300.3458283)</f>
        <v>300.3458283</v>
      </c>
      <c r="Y152" s="564">
        <f>IFERROR(__xludf.DUMMYFUNCTION("FILTER('GBD estimates'!$R$3:$R$1713,'GBD estimates'!$K$3:$K$1713=Y$3,'GBD estimates'!$L$3:$L$1713=""Lower respiratory infections"",'GBD estimates'!$N$3:$N$1713=""Early Neonatal"")"),89.35648229)</f>
        <v>89.35648229</v>
      </c>
      <c r="Z152" s="564">
        <f>IFERROR(__xludf.DUMMYFUNCTION("FILTER('GBD estimates'!$R$3:$R$1713,'GBD estimates'!$K$3:$K$1713=Z$3,'GBD estimates'!$L$3:$L$1713=""Lower respiratory infections"",'GBD estimates'!$N$3:$N$1713=""Early Neonatal"")"),272.6754375)</f>
        <v>272.6754375</v>
      </c>
      <c r="AA152" s="564">
        <f>IFERROR(__xludf.DUMMYFUNCTION("FILTER('GBD estimates'!$R$3:$R$1713,'GBD estimates'!$K$3:$K$1713=AA$3,'GBD estimates'!$L$3:$L$1713=""Lower respiratory infections"",'GBD estimates'!$N$3:$N$1713=""Early Neonatal"")"),318.3975475)</f>
        <v>318.3975475</v>
      </c>
      <c r="AB152" s="564">
        <f>IFERROR(__xludf.DUMMYFUNCTION("FILTER('GBD estimates'!$R$3:$R$1713,'GBD estimates'!$K$3:$K$1713=AB$3,'GBD estimates'!$L$3:$L$1713=""Lower respiratory infections"",'GBD estimates'!$N$3:$N$1713=""Early Neonatal"")"),195.6446153)</f>
        <v>195.6446153</v>
      </c>
      <c r="AC152" s="564">
        <f>IFERROR(__xludf.DUMMYFUNCTION("FILTER('GBD estimates'!$R$3:$R$1713,'GBD estimates'!$K$3:$K$1713=AC$3,'GBD estimates'!$L$3:$L$1713=""Lower respiratory infections"",'GBD estimates'!$N$3:$N$1713=""Early Neonatal"")"),113.2588923)</f>
        <v>113.2588923</v>
      </c>
      <c r="AD152" s="564">
        <f>IFERROR(__xludf.DUMMYFUNCTION("FILTER('GBD estimates'!$R$3:$R$1713,'GBD estimates'!$K$3:$K$1713=AD$3,'GBD estimates'!$L$3:$L$1713=""Lower respiratory infections"",'GBD estimates'!$N$3:$N$1713=""Early Neonatal"")"),160.875714)</f>
        <v>160.875714</v>
      </c>
      <c r="AE152" s="564">
        <f>IFERROR(__xludf.DUMMYFUNCTION("FILTER('GBD estimates'!$R$3:$R$1713,'GBD estimates'!$K$3:$K$1713=AE$3,'GBD estimates'!$L$3:$L$1713=""Lower respiratory infections"",'GBD estimates'!$N$3:$N$1713=""Early Neonatal"")"),465.8300061)</f>
        <v>465.8300061</v>
      </c>
      <c r="AF152" s="564">
        <f>IFERROR(__xludf.DUMMYFUNCTION("FILTER('GBD estimates'!$R$3:$R$1713,'GBD estimates'!$K$3:$K$1713=AF$3,'GBD estimates'!$L$3:$L$1713=""Lower respiratory infections"",'GBD estimates'!$N$3:$N$1713=""Early Neonatal"")"),588.8475439)</f>
        <v>588.8475439</v>
      </c>
      <c r="AG152" s="564">
        <f>IFERROR(__xludf.DUMMYFUNCTION("FILTER('GBD estimates'!$R$3:$R$1713,'GBD estimates'!$K$3:$K$1713=AG$3,'GBD estimates'!$L$3:$L$1713=""Lower respiratory infections"",'GBD estimates'!$N$3:$N$1713=""Early Neonatal"")"),981.2133565)</f>
        <v>981.2133565</v>
      </c>
      <c r="AH152" s="564">
        <f>IFERROR(__xludf.DUMMYFUNCTION("FILTER('GBD estimates'!$R$3:$R$1713,'GBD estimates'!$K$3:$K$1713=AH$3,'GBD estimates'!$L$3:$L$1713=""Lower respiratory infections"",'GBD estimates'!$N$3:$N$1713=""Early Neonatal"")"),162.1212496)</f>
        <v>162.1212496</v>
      </c>
      <c r="AI152" s="564">
        <f>IFERROR(__xludf.DUMMYFUNCTION("FILTER('GBD estimates'!$R$3:$R$1713,'GBD estimates'!$K$3:$K$1713=AI$3,'GBD estimates'!$L$3:$L$1713=""Lower respiratory infections"",'GBD estimates'!$N$3:$N$1713=""Early Neonatal"")"),143.4555733)</f>
        <v>143.4555733</v>
      </c>
      <c r="AJ152" s="564">
        <f>IFERROR(__xludf.DUMMYFUNCTION("FILTER('GBD estimates'!$R$3:$R$1713,'GBD estimates'!$K$3:$K$1713=AJ$3,'GBD estimates'!$L$3:$L$1713=""Lower respiratory infections"",'GBD estimates'!$N$3:$N$1713=""Early Neonatal"")"),307.9391204)</f>
        <v>307.9391204</v>
      </c>
      <c r="AK152" s="564">
        <f>IFERROR(__xludf.DUMMYFUNCTION("FILTER('GBD estimates'!$R$3:$R$1713,'GBD estimates'!$K$3:$K$1713=AK$3,'GBD estimates'!$L$3:$L$1713=""Lower respiratory infections"",'GBD estimates'!$N$3:$N$1713=""Early Neonatal"")"),498.6291859)</f>
        <v>498.6291859</v>
      </c>
      <c r="AL152" s="564">
        <f>IFERROR(__xludf.DUMMYFUNCTION("FILTER('GBD estimates'!$R$3:$R$1713,'GBD estimates'!$K$3:$K$1713=AL$3,'GBD estimates'!$L$3:$L$1713=""Lower respiratory infections"",'GBD estimates'!$N$3:$N$1713=""Early Neonatal"")"),960.6172552)</f>
        <v>960.6172552</v>
      </c>
      <c r="AM152" s="564">
        <f t="shared" ref="AM152:AN152" si="37">AL152</f>
        <v>960.6172552</v>
      </c>
      <c r="AN152" s="564">
        <f t="shared" si="37"/>
        <v>960.6172552</v>
      </c>
      <c r="AO152" s="564">
        <f>IFERROR(__xludf.DUMMYFUNCTION("FILTER('GBD estimates'!$R$3:$R$1713,'GBD estimates'!$K$3:$K$1713=AO$3,'GBD estimates'!$L$3:$L$1713=""Lower respiratory infections"",'GBD estimates'!$N$3:$N$1713=""Early Neonatal"")"),703.5287218)</f>
        <v>703.5287218</v>
      </c>
      <c r="AP152" s="564">
        <f>IFERROR(__xludf.DUMMYFUNCTION("FILTER('GBD estimates'!$R$3:$R$1713,'GBD estimates'!$K$3:$K$1713=AP$3,'GBD estimates'!$L$3:$L$1713=""Lower respiratory infections"",'GBD estimates'!$N$3:$N$1713=""Early Neonatal"")"),215.1188228)</f>
        <v>215.1188228</v>
      </c>
      <c r="AQ152" s="564">
        <f>IFERROR(__xludf.DUMMYFUNCTION("FILTER('GBD estimates'!$R$3:$R$1713,'GBD estimates'!$K$3:$K$1713=AQ$3,'GBD estimates'!$L$3:$L$1713=""Lower respiratory infections"",'GBD estimates'!$N$3:$N$1713=""Early Neonatal"")"),185.6929629)</f>
        <v>185.6929629</v>
      </c>
      <c r="AR152" s="564">
        <f>IFERROR(__xludf.DUMMYFUNCTION("FILTER('GBD estimates'!$R$3:$R$1713,'GBD estimates'!$K$3:$K$1713=AR$3,'GBD estimates'!$L$3:$L$1713=""Lower respiratory infections"",'GBD estimates'!$N$3:$N$1713=""Early Neonatal"")"),254.4659791)</f>
        <v>254.4659791</v>
      </c>
      <c r="AS152" s="564">
        <f>IFERROR(__xludf.DUMMYFUNCTION("FILTER('GBD estimates'!$R$3:$R$1713,'GBD estimates'!$K$3:$K$1713=AS$3,'GBD estimates'!$L$3:$L$1713=""Lower respiratory infections"",'GBD estimates'!$N$3:$N$1713=""Early Neonatal"")"),803.0921082)</f>
        <v>803.0921082</v>
      </c>
      <c r="AT152" s="564">
        <f>IFERROR(__xludf.DUMMYFUNCTION("FILTER('GBD estimates'!$R$3:$R$1713,'GBD estimates'!$K$3:$K$1713=AT$3,'GBD estimates'!$L$3:$L$1713=""Lower respiratory infections"",'GBD estimates'!$N$3:$N$1713=""Early Neonatal"")"),215.7573264)</f>
        <v>215.7573264</v>
      </c>
      <c r="AU152" s="564">
        <f>IFERROR(__xludf.DUMMYFUNCTION("FILTER('GBD estimates'!$R$3:$R$1713,'GBD estimates'!$K$3:$K$1713=AU$3,'GBD estimates'!$L$3:$L$1713=""Lower respiratory infections"",'GBD estimates'!$N$3:$N$1713=""Early Neonatal"")"),833.7026331)</f>
        <v>833.7026331</v>
      </c>
      <c r="AV152" s="564">
        <f>IFERROR(__xludf.DUMMYFUNCTION("FILTER('GBD estimates'!$R$3:$R$1713,'GBD estimates'!$K$3:$K$1713=AV$3,'GBD estimates'!$L$3:$L$1713=""Lower respiratory infections"",'GBD estimates'!$N$3:$N$1713=""Early Neonatal"")"),517.0937589)</f>
        <v>517.0937589</v>
      </c>
      <c r="AW152" s="788"/>
      <c r="AX152" s="798" t="s">
        <v>999</v>
      </c>
      <c r="AY152" s="790"/>
    </row>
    <row r="153">
      <c r="A153" s="776"/>
      <c r="B153" s="538"/>
      <c r="C153" s="538"/>
      <c r="D153" s="538"/>
      <c r="E153" s="475" t="s">
        <v>590</v>
      </c>
      <c r="F153" s="554" t="s">
        <v>62</v>
      </c>
      <c r="G153" s="555" t="s">
        <v>165</v>
      </c>
      <c r="H153" s="811" t="s">
        <v>162</v>
      </c>
      <c r="I153" s="564">
        <f>IFERROR(__xludf.DUMMYFUNCTION("FILTER('GBD estimates'!$R$3:$R$1713,'GBD estimates'!$K$3:$K$1713=I$3,'GBD estimates'!$L$3:$L$1713=""Lower respiratory infections"",'GBD estimates'!$N$3:$N$1713=""Late Neonatal"")"),404.6041757)</f>
        <v>404.6041757</v>
      </c>
      <c r="J153" s="564">
        <f>IFERROR(__xludf.DUMMYFUNCTION("FILTER('GBD estimates'!$R$3:$R$1713,'GBD estimates'!$K$3:$K$1713=J$3,'GBD estimates'!$L$3:$L$1713=""Lower respiratory infections"",'GBD estimates'!$N$3:$N$1713=""Late Neonatal"")"),172.4965171)</f>
        <v>172.4965171</v>
      </c>
      <c r="K153" s="564">
        <f>IFERROR(__xludf.DUMMYFUNCTION("FILTER('GBD estimates'!$R$3:$R$1713,'GBD estimates'!$K$3:$K$1713=K$3,'GBD estimates'!$L$3:$L$1713=""Lower respiratory infections"",'GBD estimates'!$N$3:$N$1713=""Late Neonatal"")"),322.7686116)</f>
        <v>322.7686116</v>
      </c>
      <c r="L153" s="564">
        <f t="shared" si="32"/>
        <v>560.4574101</v>
      </c>
      <c r="M153" s="564">
        <f>IFERROR(__xludf.DUMMYFUNCTION("FILTER('GBD estimates'!$R$3:$R$1713,'GBD estimates'!$K$3:$K$1713=M$3,'GBD estimates'!$L$3:$L$1713=""Lower respiratory infections"",'GBD estimates'!$N$3:$N$1713=""Late Neonatal"")"),1432.33014)</f>
        <v>1432.33014</v>
      </c>
      <c r="N153" s="564">
        <f>IFERROR(__xludf.DUMMYFUNCTION("FILTER('GBD estimates'!$R$3:$R$1713,'GBD estimates'!$K$3:$K$1713=N$3,'GBD estimates'!$L$3:$L$1713=""Lower respiratory infections"",'GBD estimates'!$N$3:$N$1713=""Late Neonatal"")"),842.4771043)</f>
        <v>842.4771043</v>
      </c>
      <c r="O153" s="564">
        <f>IFERROR(__xludf.DUMMYFUNCTION("FILTER('GBD estimates'!$R$3:$R$1713,'GBD estimates'!$K$3:$K$1713=O$3,'GBD estimates'!$L$3:$L$1713=""Lower respiratory infections"",'GBD estimates'!$N$3:$N$1713=""Late Neonatal"")"),317.3714496)</f>
        <v>317.3714496</v>
      </c>
      <c r="P153" s="564">
        <f>IFERROR(__xludf.DUMMYFUNCTION("FILTER('GBD estimates'!$R$3:$R$1713,'GBD estimates'!$K$3:$K$1713=P$3,'GBD estimates'!$L$3:$L$1713=""Lower respiratory infections"",'GBD estimates'!$N$3:$N$1713=""Late Neonatal"")"),756.141429)</f>
        <v>756.141429</v>
      </c>
      <c r="Q153" s="565">
        <f>IFERROR(__xludf.DUMMYFUNCTION("FILTER('GBD estimates'!$R$3:$R$1713,'GBD estimates'!$K$3:$K$1713=Q$3,'GBD estimates'!$L$3:$L$1713=""Lower respiratory infections"",'GBD estimates'!$N$3:$N$1713=""Late Neonatal"")"),290.4911702)</f>
        <v>290.4911702</v>
      </c>
      <c r="R153" s="564">
        <f>IFERROR(__xludf.DUMMYFUNCTION("FILTER('GBD estimates'!$R$3:$R$1713,'GBD estimates'!$K$3:$K$1713=R$3,'GBD estimates'!$L$3:$L$1713=""Lower respiratory infections"",'GBD estimates'!$N$3:$N$1713=""Late Neonatal"")"),95.28330604)</f>
        <v>95.28330604</v>
      </c>
      <c r="S153" s="564">
        <f>IFERROR(__xludf.DUMMYFUNCTION("FILTER('GBD estimates'!$R$3:$R$1713,'GBD estimates'!$K$3:$K$1713=S$3,'GBD estimates'!$L$3:$L$1713=""Lower respiratory infections"",'GBD estimates'!$N$3:$N$1713=""Late Neonatal"")"),157.2835257)</f>
        <v>157.2835257</v>
      </c>
      <c r="T153" s="564">
        <f>IFERROR(__xludf.DUMMYFUNCTION("FILTER('GBD estimates'!$R$3:$R$1713,'GBD estimates'!$K$3:$K$1713=T$3,'GBD estimates'!$L$3:$L$1713=""Lower respiratory infections"",'GBD estimates'!$N$3:$N$1713=""Late Neonatal"")"),45.35458905)</f>
        <v>45.35458905</v>
      </c>
      <c r="U153" s="564">
        <f>IFERROR(__xludf.DUMMYFUNCTION("FILTER('GBD estimates'!$R$3:$R$1713,'GBD estimates'!$K$3:$K$1713=U$3,'GBD estimates'!$L$3:$L$1713=""Lower respiratory infections"",'GBD estimates'!$N$3:$N$1713=""Late Neonatal"")"),150.8925561)</f>
        <v>150.8925561</v>
      </c>
      <c r="V153" s="564">
        <f>IFERROR(__xludf.DUMMYFUNCTION("FILTER('GBD estimates'!$R$3:$R$1713,'GBD estimates'!$K$3:$K$1713=V$3,'GBD estimates'!$L$3:$L$1713=""Lower respiratory infections"",'GBD estimates'!$N$3:$N$1713=""Late Neonatal"")"),14.62465335)</f>
        <v>14.62465335</v>
      </c>
      <c r="W153" s="564">
        <f>IFERROR(__xludf.DUMMYFUNCTION("FILTER('GBD estimates'!$R$3:$R$1713,'GBD estimates'!$K$3:$K$1713=W$3,'GBD estimates'!$L$3:$L$1713=""Lower respiratory infections"",'GBD estimates'!$N$3:$N$1713=""Late Neonatal"")"),380.1906619)</f>
        <v>380.1906619</v>
      </c>
      <c r="X153" s="564">
        <f>IFERROR(__xludf.DUMMYFUNCTION("FILTER('GBD estimates'!$R$3:$R$1713,'GBD estimates'!$K$3:$K$1713=X$3,'GBD estimates'!$L$3:$L$1713=""Lower respiratory infections"",'GBD estimates'!$N$3:$N$1713=""Late Neonatal"")"),147.7294825)</f>
        <v>147.7294825</v>
      </c>
      <c r="Y153" s="564">
        <f>IFERROR(__xludf.DUMMYFUNCTION("FILTER('GBD estimates'!$R$3:$R$1713,'GBD estimates'!$K$3:$K$1713=Y$3,'GBD estimates'!$L$3:$L$1713=""Lower respiratory infections"",'GBD estimates'!$N$3:$N$1713=""Late Neonatal"")"),42.64310619)</f>
        <v>42.64310619</v>
      </c>
      <c r="Z153" s="564">
        <f>IFERROR(__xludf.DUMMYFUNCTION("FILTER('GBD estimates'!$R$3:$R$1713,'GBD estimates'!$K$3:$K$1713=Z$3,'GBD estimates'!$L$3:$L$1713=""Lower respiratory infections"",'GBD estimates'!$N$3:$N$1713=""Late Neonatal"")"),144.0685462)</f>
        <v>144.0685462</v>
      </c>
      <c r="AA153" s="564">
        <f>IFERROR(__xludf.DUMMYFUNCTION("FILTER('GBD estimates'!$R$3:$R$1713,'GBD estimates'!$K$3:$K$1713=AA$3,'GBD estimates'!$L$3:$L$1713=""Lower respiratory infections"",'GBD estimates'!$N$3:$N$1713=""Late Neonatal"")"),132.6954545)</f>
        <v>132.6954545</v>
      </c>
      <c r="AB153" s="564">
        <f>IFERROR(__xludf.DUMMYFUNCTION("FILTER('GBD estimates'!$R$3:$R$1713,'GBD estimates'!$K$3:$K$1713=AB$3,'GBD estimates'!$L$3:$L$1713=""Lower respiratory infections"",'GBD estimates'!$N$3:$N$1713=""Late Neonatal"")"),90.30950381)</f>
        <v>90.30950381</v>
      </c>
      <c r="AC153" s="564">
        <f>IFERROR(__xludf.DUMMYFUNCTION("FILTER('GBD estimates'!$R$3:$R$1713,'GBD estimates'!$K$3:$K$1713=AC$3,'GBD estimates'!$L$3:$L$1713=""Lower respiratory infections"",'GBD estimates'!$N$3:$N$1713=""Late Neonatal"")"),36.88682191)</f>
        <v>36.88682191</v>
      </c>
      <c r="AD153" s="564">
        <f>IFERROR(__xludf.DUMMYFUNCTION("FILTER('GBD estimates'!$R$3:$R$1713,'GBD estimates'!$K$3:$K$1713=AD$3,'GBD estimates'!$L$3:$L$1713=""Lower respiratory infections"",'GBD estimates'!$N$3:$N$1713=""Late Neonatal"")"),110.7200888)</f>
        <v>110.7200888</v>
      </c>
      <c r="AE153" s="564">
        <f>IFERROR(__xludf.DUMMYFUNCTION("FILTER('GBD estimates'!$R$3:$R$1713,'GBD estimates'!$K$3:$K$1713=AE$3,'GBD estimates'!$L$3:$L$1713=""Lower respiratory infections"",'GBD estimates'!$N$3:$N$1713=""Late Neonatal"")"),160.3809941)</f>
        <v>160.3809941</v>
      </c>
      <c r="AF153" s="564">
        <f>IFERROR(__xludf.DUMMYFUNCTION("FILTER('GBD estimates'!$R$3:$R$1713,'GBD estimates'!$K$3:$K$1713=AF$3,'GBD estimates'!$L$3:$L$1713=""Lower respiratory infections"",'GBD estimates'!$N$3:$N$1713=""Late Neonatal"")"),133.3791064)</f>
        <v>133.3791064</v>
      </c>
      <c r="AG153" s="564">
        <f>IFERROR(__xludf.DUMMYFUNCTION("FILTER('GBD estimates'!$R$3:$R$1713,'GBD estimates'!$K$3:$K$1713=AG$3,'GBD estimates'!$L$3:$L$1713=""Lower respiratory infections"",'GBD estimates'!$N$3:$N$1713=""Late Neonatal"")"),560.4574101)</f>
        <v>560.4574101</v>
      </c>
      <c r="AH153" s="564">
        <f>IFERROR(__xludf.DUMMYFUNCTION("FILTER('GBD estimates'!$R$3:$R$1713,'GBD estimates'!$K$3:$K$1713=AH$3,'GBD estimates'!$L$3:$L$1713=""Lower respiratory infections"",'GBD estimates'!$N$3:$N$1713=""Late Neonatal"")"),67.57942849)</f>
        <v>67.57942849</v>
      </c>
      <c r="AI153" s="564">
        <f>IFERROR(__xludf.DUMMYFUNCTION("FILTER('GBD estimates'!$R$3:$R$1713,'GBD estimates'!$K$3:$K$1713=AI$3,'GBD estimates'!$L$3:$L$1713=""Lower respiratory infections"",'GBD estimates'!$N$3:$N$1713=""Late Neonatal"")"),85.92015055)</f>
        <v>85.92015055</v>
      </c>
      <c r="AJ153" s="564">
        <f>IFERROR(__xludf.DUMMYFUNCTION("FILTER('GBD estimates'!$R$3:$R$1713,'GBD estimates'!$K$3:$K$1713=AJ$3,'GBD estimates'!$L$3:$L$1713=""Lower respiratory infections"",'GBD estimates'!$N$3:$N$1713=""Late Neonatal"")"),119.6056327)</f>
        <v>119.6056327</v>
      </c>
      <c r="AK153" s="564">
        <f>IFERROR(__xludf.DUMMYFUNCTION("FILTER('GBD estimates'!$R$3:$R$1713,'GBD estimates'!$K$3:$K$1713=AK$3,'GBD estimates'!$L$3:$L$1713=""Lower respiratory infections"",'GBD estimates'!$N$3:$N$1713=""Late Neonatal"")"),245.6423763)</f>
        <v>245.6423763</v>
      </c>
      <c r="AL153" s="564">
        <f>IFERROR(__xludf.DUMMYFUNCTION("FILTER('GBD estimates'!$R$3:$R$1713,'GBD estimates'!$K$3:$K$1713=AL$3,'GBD estimates'!$L$3:$L$1713=""Lower respiratory infections"",'GBD estimates'!$N$3:$N$1713=""Late Neonatal"")"),692.8217128)</f>
        <v>692.8217128</v>
      </c>
      <c r="AM153" s="564">
        <f t="shared" ref="AM153:AN153" si="38">AL153</f>
        <v>692.8217128</v>
      </c>
      <c r="AN153" s="564">
        <f t="shared" si="38"/>
        <v>692.8217128</v>
      </c>
      <c r="AO153" s="564">
        <f>IFERROR(__xludf.DUMMYFUNCTION("FILTER('GBD estimates'!$R$3:$R$1713,'GBD estimates'!$K$3:$K$1713=AO$3,'GBD estimates'!$L$3:$L$1713=""Lower respiratory infections"",'GBD estimates'!$N$3:$N$1713=""Late Neonatal"")"),453.9959429)</f>
        <v>453.9959429</v>
      </c>
      <c r="AP153" s="564">
        <f>IFERROR(__xludf.DUMMYFUNCTION("FILTER('GBD estimates'!$R$3:$R$1713,'GBD estimates'!$K$3:$K$1713=AP$3,'GBD estimates'!$L$3:$L$1713=""Lower respiratory infections"",'GBD estimates'!$N$3:$N$1713=""Late Neonatal"")"),84.24543346)</f>
        <v>84.24543346</v>
      </c>
      <c r="AQ153" s="564">
        <f>IFERROR(__xludf.DUMMYFUNCTION("FILTER('GBD estimates'!$R$3:$R$1713,'GBD estimates'!$K$3:$K$1713=AQ$3,'GBD estimates'!$L$3:$L$1713=""Lower respiratory infections"",'GBD estimates'!$N$3:$N$1713=""Late Neonatal"")"),98.76779349)</f>
        <v>98.76779349</v>
      </c>
      <c r="AR153" s="564">
        <f>IFERROR(__xludf.DUMMYFUNCTION("FILTER('GBD estimates'!$R$3:$R$1713,'GBD estimates'!$K$3:$K$1713=AR$3,'GBD estimates'!$L$3:$L$1713=""Lower respiratory infections"",'GBD estimates'!$N$3:$N$1713=""Late Neonatal"")"),35.58003873)</f>
        <v>35.58003873</v>
      </c>
      <c r="AS153" s="564">
        <f>IFERROR(__xludf.DUMMYFUNCTION("FILTER('GBD estimates'!$R$3:$R$1713,'GBD estimates'!$K$3:$K$1713=AS$3,'GBD estimates'!$L$3:$L$1713=""Lower respiratory infections"",'GBD estimates'!$N$3:$N$1713=""Late Neonatal"")"),449.0839803)</f>
        <v>449.0839803</v>
      </c>
      <c r="AT153" s="564">
        <f>IFERROR(__xludf.DUMMYFUNCTION("FILTER('GBD estimates'!$R$3:$R$1713,'GBD estimates'!$K$3:$K$1713=AT$3,'GBD estimates'!$L$3:$L$1713=""Lower respiratory infections"",'GBD estimates'!$N$3:$N$1713=""Late Neonatal"")"),77.82999324)</f>
        <v>77.82999324</v>
      </c>
      <c r="AU153" s="564">
        <f>IFERROR(__xludf.DUMMYFUNCTION("FILTER('GBD estimates'!$R$3:$R$1713,'GBD estimates'!$K$3:$K$1713=AU$3,'GBD estimates'!$L$3:$L$1713=""Lower respiratory infections"",'GBD estimates'!$N$3:$N$1713=""Late Neonatal"")"),372.0457279)</f>
        <v>372.0457279</v>
      </c>
      <c r="AV153" s="564">
        <f>IFERROR(__xludf.DUMMYFUNCTION("FILTER('GBD estimates'!$R$3:$R$1713,'GBD estimates'!$K$3:$K$1713=AV$3,'GBD estimates'!$L$3:$L$1713=""Lower respiratory infections"",'GBD estimates'!$N$3:$N$1713=""Late Neonatal"")"),188.4149133)</f>
        <v>188.4149133</v>
      </c>
      <c r="AW153" s="788"/>
      <c r="AX153" s="798" t="s">
        <v>999</v>
      </c>
      <c r="AY153" s="790"/>
    </row>
    <row r="154">
      <c r="A154" s="776"/>
      <c r="B154" s="538"/>
      <c r="C154" s="538"/>
      <c r="D154" s="538"/>
      <c r="E154" s="475" t="s">
        <v>592</v>
      </c>
      <c r="F154" s="554" t="s">
        <v>72</v>
      </c>
      <c r="G154" s="555" t="s">
        <v>165</v>
      </c>
      <c r="H154" s="787">
        <v>0.1</v>
      </c>
      <c r="I154" s="310" t="s">
        <v>162</v>
      </c>
      <c r="J154" s="310" t="s">
        <v>162</v>
      </c>
      <c r="K154" s="310" t="s">
        <v>162</v>
      </c>
      <c r="L154" s="542" t="str">
        <f t="shared" si="32"/>
        <v>-</v>
      </c>
      <c r="M154" s="310" t="s">
        <v>162</v>
      </c>
      <c r="N154" s="310" t="s">
        <v>162</v>
      </c>
      <c r="O154" s="310" t="s">
        <v>162</v>
      </c>
      <c r="P154" s="310" t="s">
        <v>162</v>
      </c>
      <c r="Q154" s="251" t="s">
        <v>162</v>
      </c>
      <c r="R154" s="310" t="s">
        <v>162</v>
      </c>
      <c r="S154" s="310" t="s">
        <v>162</v>
      </c>
      <c r="T154" s="310" t="s">
        <v>162</v>
      </c>
      <c r="U154" s="310" t="s">
        <v>162</v>
      </c>
      <c r="V154" s="310" t="s">
        <v>162</v>
      </c>
      <c r="W154" s="310" t="s">
        <v>162</v>
      </c>
      <c r="X154" s="310" t="s">
        <v>162</v>
      </c>
      <c r="Y154" s="310" t="s">
        <v>162</v>
      </c>
      <c r="Z154" s="310" t="s">
        <v>162</v>
      </c>
      <c r="AA154" s="310" t="s">
        <v>162</v>
      </c>
      <c r="AB154" s="310" t="s">
        <v>162</v>
      </c>
      <c r="AC154" s="310" t="s">
        <v>162</v>
      </c>
      <c r="AD154" s="310" t="s">
        <v>162</v>
      </c>
      <c r="AE154" s="310" t="s">
        <v>162</v>
      </c>
      <c r="AF154" s="310" t="s">
        <v>162</v>
      </c>
      <c r="AG154" s="310" t="s">
        <v>162</v>
      </c>
      <c r="AH154" s="310" t="s">
        <v>162</v>
      </c>
      <c r="AI154" s="310" t="s">
        <v>162</v>
      </c>
      <c r="AJ154" s="310" t="s">
        <v>162</v>
      </c>
      <c r="AK154" s="310" t="s">
        <v>162</v>
      </c>
      <c r="AL154" s="310" t="s">
        <v>162</v>
      </c>
      <c r="AM154" s="310" t="s">
        <v>162</v>
      </c>
      <c r="AN154" s="310" t="s">
        <v>162</v>
      </c>
      <c r="AO154" s="310" t="s">
        <v>162</v>
      </c>
      <c r="AP154" s="310" t="s">
        <v>162</v>
      </c>
      <c r="AQ154" s="310" t="s">
        <v>162</v>
      </c>
      <c r="AR154" s="310" t="s">
        <v>162</v>
      </c>
      <c r="AS154" s="310" t="s">
        <v>162</v>
      </c>
      <c r="AT154" s="310" t="s">
        <v>162</v>
      </c>
      <c r="AU154" s="310" t="s">
        <v>162</v>
      </c>
      <c r="AV154" s="310" t="s">
        <v>162</v>
      </c>
      <c r="AW154" s="788"/>
      <c r="AX154" s="798" t="s">
        <v>984</v>
      </c>
      <c r="AY154" s="790"/>
    </row>
    <row r="155">
      <c r="A155" s="776"/>
      <c r="B155" s="538"/>
      <c r="C155" s="538"/>
      <c r="D155" s="538"/>
      <c r="E155" s="475" t="s">
        <v>1000</v>
      </c>
      <c r="F155" s="554" t="s">
        <v>72</v>
      </c>
      <c r="G155" s="555" t="s">
        <v>165</v>
      </c>
      <c r="H155" s="787">
        <v>0.0281715</v>
      </c>
      <c r="I155" s="310" t="s">
        <v>162</v>
      </c>
      <c r="J155" s="310" t="s">
        <v>162</v>
      </c>
      <c r="K155" s="310" t="s">
        <v>162</v>
      </c>
      <c r="L155" s="542" t="str">
        <f t="shared" si="32"/>
        <v>-</v>
      </c>
      <c r="M155" s="310" t="s">
        <v>162</v>
      </c>
      <c r="N155" s="310" t="s">
        <v>162</v>
      </c>
      <c r="O155" s="310" t="s">
        <v>162</v>
      </c>
      <c r="P155" s="310" t="s">
        <v>162</v>
      </c>
      <c r="Q155" s="251" t="s">
        <v>162</v>
      </c>
      <c r="R155" s="310" t="s">
        <v>162</v>
      </c>
      <c r="S155" s="310" t="s">
        <v>162</v>
      </c>
      <c r="T155" s="310" t="s">
        <v>162</v>
      </c>
      <c r="U155" s="310" t="s">
        <v>162</v>
      </c>
      <c r="V155" s="310" t="s">
        <v>162</v>
      </c>
      <c r="W155" s="310" t="s">
        <v>162</v>
      </c>
      <c r="X155" s="310" t="s">
        <v>162</v>
      </c>
      <c r="Y155" s="310" t="s">
        <v>162</v>
      </c>
      <c r="Z155" s="310" t="s">
        <v>162</v>
      </c>
      <c r="AA155" s="310" t="s">
        <v>162</v>
      </c>
      <c r="AB155" s="310" t="s">
        <v>162</v>
      </c>
      <c r="AC155" s="310" t="s">
        <v>162</v>
      </c>
      <c r="AD155" s="310" t="s">
        <v>162</v>
      </c>
      <c r="AE155" s="310" t="s">
        <v>162</v>
      </c>
      <c r="AF155" s="310" t="s">
        <v>162</v>
      </c>
      <c r="AG155" s="310" t="s">
        <v>162</v>
      </c>
      <c r="AH155" s="310" t="s">
        <v>162</v>
      </c>
      <c r="AI155" s="310" t="s">
        <v>162</v>
      </c>
      <c r="AJ155" s="310" t="s">
        <v>162</v>
      </c>
      <c r="AK155" s="310" t="s">
        <v>162</v>
      </c>
      <c r="AL155" s="310" t="s">
        <v>162</v>
      </c>
      <c r="AM155" s="310" t="s">
        <v>162</v>
      </c>
      <c r="AN155" s="310" t="s">
        <v>162</v>
      </c>
      <c r="AO155" s="310" t="s">
        <v>162</v>
      </c>
      <c r="AP155" s="310" t="s">
        <v>162</v>
      </c>
      <c r="AQ155" s="310" t="s">
        <v>162</v>
      </c>
      <c r="AR155" s="310" t="s">
        <v>162</v>
      </c>
      <c r="AS155" s="310" t="s">
        <v>162</v>
      </c>
      <c r="AT155" s="310" t="s">
        <v>162</v>
      </c>
      <c r="AU155" s="310" t="s">
        <v>162</v>
      </c>
      <c r="AV155" s="310" t="s">
        <v>162</v>
      </c>
      <c r="AW155" s="788"/>
      <c r="AX155" s="825" t="s">
        <v>977</v>
      </c>
      <c r="AY155" s="770" t="s">
        <v>96</v>
      </c>
    </row>
    <row r="156">
      <c r="A156" s="776"/>
      <c r="B156" s="538"/>
      <c r="C156" s="538"/>
      <c r="D156" s="538"/>
      <c r="E156" s="800" t="s">
        <v>1001</v>
      </c>
      <c r="F156" s="544" t="s">
        <v>72</v>
      </c>
      <c r="G156" s="545" t="s">
        <v>165</v>
      </c>
      <c r="H156" s="803">
        <v>0.39512600167</v>
      </c>
      <c r="I156" s="861" t="s">
        <v>162</v>
      </c>
      <c r="J156" s="861" t="s">
        <v>162</v>
      </c>
      <c r="K156" s="861" t="s">
        <v>162</v>
      </c>
      <c r="L156" s="547" t="str">
        <f t="shared" si="32"/>
        <v>-</v>
      </c>
      <c r="M156" s="861" t="s">
        <v>162</v>
      </c>
      <c r="N156" s="861" t="s">
        <v>162</v>
      </c>
      <c r="O156" s="861" t="s">
        <v>162</v>
      </c>
      <c r="P156" s="861" t="s">
        <v>162</v>
      </c>
      <c r="Q156" s="577" t="s">
        <v>162</v>
      </c>
      <c r="R156" s="861" t="s">
        <v>162</v>
      </c>
      <c r="S156" s="861" t="s">
        <v>162</v>
      </c>
      <c r="T156" s="861" t="s">
        <v>162</v>
      </c>
      <c r="U156" s="861" t="s">
        <v>162</v>
      </c>
      <c r="V156" s="861" t="s">
        <v>162</v>
      </c>
      <c r="W156" s="861" t="s">
        <v>162</v>
      </c>
      <c r="X156" s="861" t="s">
        <v>162</v>
      </c>
      <c r="Y156" s="861" t="s">
        <v>162</v>
      </c>
      <c r="Z156" s="861" t="s">
        <v>162</v>
      </c>
      <c r="AA156" s="861" t="s">
        <v>162</v>
      </c>
      <c r="AB156" s="861" t="s">
        <v>162</v>
      </c>
      <c r="AC156" s="861" t="s">
        <v>162</v>
      </c>
      <c r="AD156" s="861" t="s">
        <v>162</v>
      </c>
      <c r="AE156" s="861" t="s">
        <v>162</v>
      </c>
      <c r="AF156" s="861" t="s">
        <v>162</v>
      </c>
      <c r="AG156" s="861" t="s">
        <v>162</v>
      </c>
      <c r="AH156" s="861" t="s">
        <v>162</v>
      </c>
      <c r="AI156" s="861" t="s">
        <v>162</v>
      </c>
      <c r="AJ156" s="861" t="s">
        <v>162</v>
      </c>
      <c r="AK156" s="861" t="s">
        <v>162</v>
      </c>
      <c r="AL156" s="861" t="s">
        <v>162</v>
      </c>
      <c r="AM156" s="861" t="s">
        <v>162</v>
      </c>
      <c r="AN156" s="861" t="s">
        <v>162</v>
      </c>
      <c r="AO156" s="861" t="s">
        <v>162</v>
      </c>
      <c r="AP156" s="861" t="s">
        <v>162</v>
      </c>
      <c r="AQ156" s="861" t="s">
        <v>162</v>
      </c>
      <c r="AR156" s="861" t="s">
        <v>162</v>
      </c>
      <c r="AS156" s="861" t="s">
        <v>162</v>
      </c>
      <c r="AT156" s="861" t="s">
        <v>162</v>
      </c>
      <c r="AU156" s="861" t="s">
        <v>162</v>
      </c>
      <c r="AV156" s="861" t="s">
        <v>162</v>
      </c>
      <c r="AW156" s="804"/>
      <c r="AX156" s="862" t="s">
        <v>977</v>
      </c>
      <c r="AY156" s="770" t="s">
        <v>96</v>
      </c>
    </row>
    <row r="157">
      <c r="A157" s="776"/>
      <c r="B157" s="538"/>
      <c r="C157" s="538"/>
      <c r="D157" s="538"/>
      <c r="E157" s="777"/>
      <c r="F157" s="533"/>
      <c r="G157" s="534"/>
      <c r="H157" s="863"/>
      <c r="I157" s="552"/>
      <c r="J157" s="552"/>
      <c r="K157" s="552"/>
      <c r="L157" s="552"/>
      <c r="M157" s="552"/>
      <c r="N157" s="552"/>
      <c r="O157" s="552"/>
      <c r="P157" s="552"/>
      <c r="Q157" s="553"/>
      <c r="R157" s="552"/>
      <c r="S157" s="552"/>
      <c r="T157" s="552"/>
      <c r="U157" s="552"/>
      <c r="V157" s="552"/>
      <c r="W157" s="552"/>
      <c r="X157" s="552"/>
      <c r="Y157" s="552"/>
      <c r="Z157" s="552"/>
      <c r="AA157" s="552"/>
      <c r="AB157" s="552"/>
      <c r="AC157" s="552"/>
      <c r="AD157" s="552"/>
      <c r="AE157" s="552"/>
      <c r="AF157" s="552"/>
      <c r="AG157" s="552"/>
      <c r="AH157" s="552"/>
      <c r="AI157" s="552"/>
      <c r="AJ157" s="552"/>
      <c r="AK157" s="552"/>
      <c r="AL157" s="552"/>
      <c r="AM157" s="552"/>
      <c r="AN157" s="552"/>
      <c r="AO157" s="552"/>
      <c r="AP157" s="552"/>
      <c r="AQ157" s="552"/>
      <c r="AR157" s="552"/>
      <c r="AS157" s="552"/>
      <c r="AT157" s="552"/>
      <c r="AU157" s="552"/>
      <c r="AV157" s="552"/>
      <c r="AW157" s="778"/>
      <c r="AX157" s="779"/>
      <c r="AY157" s="780"/>
    </row>
    <row r="158">
      <c r="A158" s="538"/>
      <c r="B158" s="538"/>
      <c r="C158" s="143" t="s">
        <v>608</v>
      </c>
      <c r="F158" s="533"/>
      <c r="G158" s="533"/>
      <c r="H158" s="680"/>
      <c r="I158" s="552"/>
      <c r="J158" s="552"/>
      <c r="K158" s="552"/>
      <c r="L158" s="552"/>
      <c r="M158" s="552"/>
      <c r="N158" s="552"/>
      <c r="O158" s="552"/>
      <c r="P158" s="552"/>
      <c r="Q158" s="553"/>
      <c r="R158" s="552"/>
      <c r="S158" s="552"/>
      <c r="T158" s="552"/>
      <c r="U158" s="552"/>
      <c r="V158" s="552"/>
      <c r="W158" s="552"/>
      <c r="X158" s="552"/>
      <c r="Y158" s="552"/>
      <c r="Z158" s="552"/>
      <c r="AA158" s="552"/>
      <c r="AB158" s="552"/>
      <c r="AC158" s="552"/>
      <c r="AD158" s="552"/>
      <c r="AE158" s="552"/>
      <c r="AF158" s="552"/>
      <c r="AG158" s="552"/>
      <c r="AH158" s="552"/>
      <c r="AI158" s="552"/>
      <c r="AJ158" s="552"/>
      <c r="AK158" s="552"/>
      <c r="AL158" s="552"/>
      <c r="AM158" s="552"/>
      <c r="AN158" s="552"/>
      <c r="AO158" s="552"/>
      <c r="AP158" s="552"/>
      <c r="AQ158" s="552"/>
      <c r="AR158" s="552"/>
      <c r="AS158" s="552"/>
      <c r="AT158" s="552"/>
      <c r="AU158" s="552"/>
      <c r="AV158" s="552"/>
      <c r="AW158" s="778"/>
      <c r="AX158" s="779"/>
      <c r="AY158" s="780"/>
    </row>
    <row r="159">
      <c r="A159" s="776"/>
      <c r="B159" s="538"/>
      <c r="C159" s="538"/>
      <c r="D159" s="538"/>
      <c r="E159" s="782" t="s">
        <v>610</v>
      </c>
      <c r="F159" s="539" t="s">
        <v>72</v>
      </c>
      <c r="G159" s="540" t="s">
        <v>165</v>
      </c>
      <c r="H159" s="808" t="s">
        <v>162</v>
      </c>
      <c r="I159" s="542">
        <f>IFERROR(__xludf.DUMMYFUNCTION("FILTER('GBD estimates'!$G$3:$G$1371,'GBD estimates'!$B$3:$B$1371=I$3,'GBD estimates'!$E$3:$E$1371=""Meningitis"",'GBD estimates'!$D$3:$D$1371=""Under 5"")"),0.006177361)</f>
        <v>0.006177361</v>
      </c>
      <c r="J159" s="542">
        <f>IFERROR(__xludf.DUMMYFUNCTION("FILTER('GBD estimates'!$G$3:$G$1371,'GBD estimates'!$B$3:$B$1371=J$3,'GBD estimates'!$E$3:$E$1371=""Meningitis"",'GBD estimates'!$D$3:$D$1371=""Under 5"")"),0.005211418)</f>
        <v>0.005211418</v>
      </c>
      <c r="K159" s="542">
        <f>IFERROR(__xludf.DUMMYFUNCTION("FILTER('GBD estimates'!$G$3:$G$1371,'GBD estimates'!$B$3:$B$1371=K$3,'GBD estimates'!$E$3:$E$1371=""Meningitis"",'GBD estimates'!$D$3:$D$1371=""Under 5"")"),0.006472392)</f>
        <v>0.006472392</v>
      </c>
      <c r="L159" s="542">
        <f t="shared" ref="L159:L165" si="40">AG159</f>
        <v>0.003542222</v>
      </c>
      <c r="M159" s="542">
        <f>IFERROR(__xludf.DUMMYFUNCTION("FILTER('GBD estimates'!$G$3:$G$1371,'GBD estimates'!$B$3:$B$1371=M$3,'GBD estimates'!$E$3:$E$1371=""Meningitis"",'GBD estimates'!$D$3:$D$1371=""Under 5"")"),0.005411087)</f>
        <v>0.005411087</v>
      </c>
      <c r="N159" s="542">
        <f>IFERROR(__xludf.DUMMYFUNCTION("FILTER('GBD estimates'!$G$3:$G$1371,'GBD estimates'!$B$3:$B$1371=N$3,'GBD estimates'!$E$3:$E$1371=""Meningitis"",'GBD estimates'!$D$3:$D$1371=""Under 5"")"),0.004841311)</f>
        <v>0.004841311</v>
      </c>
      <c r="O159" s="542">
        <f>IFERROR(__xludf.DUMMYFUNCTION("FILTER('GBD estimates'!$G$3:$G$1371,'GBD estimates'!$B$3:$B$1371=O$3,'GBD estimates'!$E$3:$E$1371=""Meningitis"",'GBD estimates'!$D$3:$D$1371=""Under 5"")"),0.005304934)</f>
        <v>0.005304934</v>
      </c>
      <c r="P159" s="542">
        <f>IFERROR(__xludf.DUMMYFUNCTION("FILTER('GBD estimates'!$G$3:$G$1371,'GBD estimates'!$B$3:$B$1371=P$3,'GBD estimates'!$E$3:$E$1371=""Meningitis"",'GBD estimates'!$D$3:$D$1371=""Under 5"")"),0.008024852)</f>
        <v>0.008024852</v>
      </c>
      <c r="Q159" s="543">
        <f>IFERROR(__xludf.DUMMYFUNCTION("FILTER('GBD estimates'!$G$3:$G$1371,'GBD estimates'!$B$3:$B$1371=Q$3,'GBD estimates'!$E$3:$E$1371=""Meningitis"",'GBD estimates'!$D$3:$D$1371=""Under 5"")"),0.009255404)</f>
        <v>0.009255404</v>
      </c>
      <c r="R159" s="542">
        <f>IFERROR(__xludf.DUMMYFUNCTION("FILTER('GBD estimates'!$G$3:$G$1371,'GBD estimates'!$B$3:$B$1371=R$3,'GBD estimates'!$E$3:$E$1371=""Meningitis"",'GBD estimates'!$D$3:$D$1371=""Under 5"")"),0.001617762)</f>
        <v>0.001617762</v>
      </c>
      <c r="S159" s="542">
        <f>IFERROR(__xludf.DUMMYFUNCTION("FILTER('GBD estimates'!$G$3:$G$1371,'GBD estimates'!$B$3:$B$1371=S$3,'GBD estimates'!$E$3:$E$1371=""Meningitis"",'GBD estimates'!$D$3:$D$1371=""Under 5"")"),0.004193349)</f>
        <v>0.004193349</v>
      </c>
      <c r="T159" s="542">
        <f>IFERROR(__xludf.DUMMYFUNCTION("FILTER('GBD estimates'!$G$3:$G$1371,'GBD estimates'!$B$3:$B$1371=T$3,'GBD estimates'!$E$3:$E$1371=""Meningitis"",'GBD estimates'!$D$3:$D$1371=""Under 5"")"),0.001212024)</f>
        <v>0.001212024</v>
      </c>
      <c r="U159" s="542">
        <f>IFERROR(__xludf.DUMMYFUNCTION("FILTER('GBD estimates'!$G$3:$G$1371,'GBD estimates'!$B$3:$B$1371=U$3,'GBD estimates'!$E$3:$E$1371=""Meningitis"",'GBD estimates'!$D$3:$D$1371=""Under 5"")"),0.00107499)</f>
        <v>0.00107499</v>
      </c>
      <c r="V159" s="542">
        <f>IFERROR(__xludf.DUMMYFUNCTION("FILTER('GBD estimates'!$G$3:$G$1371,'GBD estimates'!$B$3:$B$1371=V$3,'GBD estimates'!$E$3:$E$1371=""Meningitis"",'GBD estimates'!$D$3:$D$1371=""Under 5"")"),0.00161615)</f>
        <v>0.00161615</v>
      </c>
      <c r="W159" s="542">
        <f>IFERROR(__xludf.DUMMYFUNCTION("FILTER('GBD estimates'!$G$3:$G$1371,'GBD estimates'!$B$3:$B$1371=W$3,'GBD estimates'!$E$3:$E$1371=""Meningitis"",'GBD estimates'!$D$3:$D$1371=""Under 5"")"),0.002073541)</f>
        <v>0.002073541</v>
      </c>
      <c r="X159" s="542">
        <f>IFERROR(__xludf.DUMMYFUNCTION("FILTER('GBD estimates'!$G$3:$G$1371,'GBD estimates'!$B$3:$B$1371=X$3,'GBD estimates'!$E$3:$E$1371=""Meningitis"",'GBD estimates'!$D$3:$D$1371=""Under 5"")"),0.001666184)</f>
        <v>0.001666184</v>
      </c>
      <c r="Y159" s="542">
        <f>IFERROR(__xludf.DUMMYFUNCTION("FILTER('GBD estimates'!$G$3:$G$1371,'GBD estimates'!$B$3:$B$1371=Y$3,'GBD estimates'!$E$3:$E$1371=""Meningitis"",'GBD estimates'!$D$3:$D$1371=""Under 5"")"),0.001242412)</f>
        <v>0.001242412</v>
      </c>
      <c r="Z159" s="542">
        <f>IFERROR(__xludf.DUMMYFUNCTION("FILTER('GBD estimates'!$G$3:$G$1371,'GBD estimates'!$B$3:$B$1371=Z$3,'GBD estimates'!$E$3:$E$1371=""Meningitis"",'GBD estimates'!$D$3:$D$1371=""Under 5"")"),0.001657807)</f>
        <v>0.001657807</v>
      </c>
      <c r="AA159" s="542">
        <f>IFERROR(__xludf.DUMMYFUNCTION("FILTER('GBD estimates'!$G$3:$G$1371,'GBD estimates'!$B$3:$B$1371=AA$3,'GBD estimates'!$E$3:$E$1371=""Meningitis"",'GBD estimates'!$D$3:$D$1371=""Under 5"")"),0.002014104)</f>
        <v>0.002014104</v>
      </c>
      <c r="AB159" s="542">
        <f>IFERROR(__xludf.DUMMYFUNCTION("FILTER('GBD estimates'!$G$3:$G$1371,'GBD estimates'!$B$3:$B$1371=AB$3,'GBD estimates'!$E$3:$E$1371=""Meningitis"",'GBD estimates'!$D$3:$D$1371=""Under 5"")"),0.0015937)</f>
        <v>0.0015937</v>
      </c>
      <c r="AC159" s="542">
        <f>IFERROR(__xludf.DUMMYFUNCTION("FILTER('GBD estimates'!$G$3:$G$1371,'GBD estimates'!$B$3:$B$1371=AC$3,'GBD estimates'!$E$3:$E$1371=""Meningitis"",'GBD estimates'!$D$3:$D$1371=""Under 5"")"),0.001259148)</f>
        <v>0.001259148</v>
      </c>
      <c r="AD159" s="542">
        <f>IFERROR(__xludf.DUMMYFUNCTION("FILTER('GBD estimates'!$G$3:$G$1371,'GBD estimates'!$B$3:$B$1371=AD$3,'GBD estimates'!$E$3:$E$1371=""Meningitis"",'GBD estimates'!$D$3:$D$1371=""Under 5"")"),8.55174E-4)</f>
        <v>0.000855174</v>
      </c>
      <c r="AE159" s="542">
        <f>IFERROR(__xludf.DUMMYFUNCTION("FILTER('GBD estimates'!$G$3:$G$1371,'GBD estimates'!$B$3:$B$1371=AE$3,'GBD estimates'!$E$3:$E$1371=""Meningitis"",'GBD estimates'!$D$3:$D$1371=""Under 5"")"),0.001555766)</f>
        <v>0.001555766</v>
      </c>
      <c r="AF159" s="542">
        <f>IFERROR(__xludf.DUMMYFUNCTION("FILTER('GBD estimates'!$G$3:$G$1371,'GBD estimates'!$B$3:$B$1371=AF$3,'GBD estimates'!$E$3:$E$1371=""Meningitis"",'GBD estimates'!$D$3:$D$1371=""Under 5"")"),9.41128E-4)</f>
        <v>0.000941128</v>
      </c>
      <c r="AG159" s="542">
        <f>IFERROR(__xludf.DUMMYFUNCTION("FILTER('GBD estimates'!$G$3:$G$1371,'GBD estimates'!$B$3:$B$1371=AG$3,'GBD estimates'!$E$3:$E$1371=""Meningitis"",'GBD estimates'!$D$3:$D$1371=""Under 5"")"),0.003542222)</f>
        <v>0.003542222</v>
      </c>
      <c r="AH159" s="542">
        <f>IFERROR(__xludf.DUMMYFUNCTION("FILTER('GBD estimates'!$G$3:$G$1371,'GBD estimates'!$B$3:$B$1371=AH$3,'GBD estimates'!$E$3:$E$1371=""Meningitis"",'GBD estimates'!$D$3:$D$1371=""Under 5"")"),0.001190984)</f>
        <v>0.001190984</v>
      </c>
      <c r="AI159" s="542">
        <f>IFERROR(__xludf.DUMMYFUNCTION("FILTER('GBD estimates'!$G$3:$G$1371,'GBD estimates'!$B$3:$B$1371=AI$3,'GBD estimates'!$E$3:$E$1371=""Meningitis"",'GBD estimates'!$D$3:$D$1371=""Under 5"")"),9.5864E-4)</f>
        <v>0.00095864</v>
      </c>
      <c r="AJ159" s="542">
        <f>IFERROR(__xludf.DUMMYFUNCTION("FILTER('GBD estimates'!$G$3:$G$1371,'GBD estimates'!$B$3:$B$1371=AJ$3,'GBD estimates'!$E$3:$E$1371=""Meningitis"",'GBD estimates'!$D$3:$D$1371=""Under 5"")"),8.18202E-4)</f>
        <v>0.000818202</v>
      </c>
      <c r="AK159" s="542">
        <f>IFERROR(__xludf.DUMMYFUNCTION("FILTER('GBD estimates'!$G$3:$G$1371,'GBD estimates'!$B$3:$B$1371=AK$3,'GBD estimates'!$E$3:$E$1371=""Meningitis"",'GBD estimates'!$D$3:$D$1371=""Under 5"")"),0.002113785)</f>
        <v>0.002113785</v>
      </c>
      <c r="AL159" s="542">
        <f>IFERROR(__xludf.DUMMYFUNCTION("FILTER('GBD estimates'!$G$3:$G$1371,'GBD estimates'!$B$3:$B$1371=AL$3,'GBD estimates'!$E$3:$E$1371=""Meningitis"",'GBD estimates'!$D$3:$D$1371=""Under 5"")"),0.003041217)</f>
        <v>0.003041217</v>
      </c>
      <c r="AM159" s="542">
        <f t="shared" ref="AM159:AN159" si="39">AL159</f>
        <v>0.003041217</v>
      </c>
      <c r="AN159" s="542">
        <f t="shared" si="39"/>
        <v>0.003041217</v>
      </c>
      <c r="AO159" s="542">
        <f>IFERROR(__xludf.DUMMYFUNCTION("FILTER('GBD estimates'!$G$3:$G$1371,'GBD estimates'!$B$3:$B$1371=AO$3,'GBD estimates'!$E$3:$E$1371=""Meningitis"",'GBD estimates'!$D$3:$D$1371=""Under 5"")"),0.001363403)</f>
        <v>0.001363403</v>
      </c>
      <c r="AP159" s="542">
        <f>IFERROR(__xludf.DUMMYFUNCTION("FILTER('GBD estimates'!$G$3:$G$1371,'GBD estimates'!$B$3:$B$1371=AP$3,'GBD estimates'!$E$3:$E$1371=""Meningitis"",'GBD estimates'!$D$3:$D$1371=""Under 5"")"),0.00133794)</f>
        <v>0.00133794</v>
      </c>
      <c r="AQ159" s="542">
        <f>IFERROR(__xludf.DUMMYFUNCTION("FILTER('GBD estimates'!$G$3:$G$1371,'GBD estimates'!$B$3:$B$1371=AQ$3,'GBD estimates'!$E$3:$E$1371=""Meningitis"",'GBD estimates'!$D$3:$D$1371=""Under 5"")"),6.78927E-4)</f>
        <v>0.000678927</v>
      </c>
      <c r="AR159" s="542">
        <f>IFERROR(__xludf.DUMMYFUNCTION("FILTER('GBD estimates'!$G$3:$G$1371,'GBD estimates'!$B$3:$B$1371=AR$3,'GBD estimates'!$E$3:$E$1371=""Meningitis"",'GBD estimates'!$D$3:$D$1371=""Under 5"")"),8.86172E-4)</f>
        <v>0.000886172</v>
      </c>
      <c r="AS159" s="542">
        <f>IFERROR(__xludf.DUMMYFUNCTION("FILTER('GBD estimates'!$G$3:$G$1371,'GBD estimates'!$B$3:$B$1371=AS$3,'GBD estimates'!$E$3:$E$1371=""Meningitis"",'GBD estimates'!$D$3:$D$1371=""Under 5"")"),0.001575413)</f>
        <v>0.001575413</v>
      </c>
      <c r="AT159" s="542">
        <f>IFERROR(__xludf.DUMMYFUNCTION("FILTER('GBD estimates'!$G$3:$G$1371,'GBD estimates'!$B$3:$B$1371=AT$3,'GBD estimates'!$E$3:$E$1371=""Meningitis"",'GBD estimates'!$D$3:$D$1371=""Under 5"")"),0.001552693)</f>
        <v>0.001552693</v>
      </c>
      <c r="AU159" s="542">
        <f>IFERROR(__xludf.DUMMYFUNCTION("FILTER('GBD estimates'!$G$3:$G$1371,'GBD estimates'!$B$3:$B$1371=AU$3,'GBD estimates'!$E$3:$E$1371=""Meningitis"",'GBD estimates'!$D$3:$D$1371=""Under 5"")"),0.004512629)</f>
        <v>0.004512629</v>
      </c>
      <c r="AV159" s="542">
        <f>IFERROR(__xludf.DUMMYFUNCTION("FILTER('GBD estimates'!$G$3:$G$1371,'GBD estimates'!$B$3:$B$1371=AV$3,'GBD estimates'!$E$3:$E$1371=""Meningitis"",'GBD estimates'!$D$3:$D$1371=""Under 5"")"),0.003392061)</f>
        <v>0.003392061</v>
      </c>
      <c r="AW159" s="784"/>
      <c r="AX159" s="797" t="s">
        <v>999</v>
      </c>
      <c r="AY159" s="786"/>
    </row>
    <row r="160">
      <c r="A160" s="776"/>
      <c r="B160" s="538"/>
      <c r="C160" s="538"/>
      <c r="D160" s="538"/>
      <c r="E160" s="475" t="s">
        <v>611</v>
      </c>
      <c r="F160" s="554" t="s">
        <v>72</v>
      </c>
      <c r="G160" s="555" t="s">
        <v>165</v>
      </c>
      <c r="H160" s="811" t="s">
        <v>162</v>
      </c>
      <c r="I160" s="542">
        <f>IFERROR(__xludf.DUMMYFUNCTION("FILTER('GBD estimates'!$G$3:$G$1371,'GBD estimates'!$B$3:$B$1371=I$3,'GBD estimates'!$E$3:$E$1371=""Meningitis"",'GBD estimates'!$D$3:$D$1371=""5-14 years"")"),9.20251E-4)</f>
        <v>0.000920251</v>
      </c>
      <c r="J160" s="542">
        <f>IFERROR(__xludf.DUMMYFUNCTION("FILTER('GBD estimates'!$G$3:$G$1371,'GBD estimates'!$B$3:$B$1371=J$3,'GBD estimates'!$E$3:$E$1371=""Meningitis"",'GBD estimates'!$D$3:$D$1371=""5-14 years"")"),7.8274E-4)</f>
        <v>0.00078274</v>
      </c>
      <c r="K160" s="542">
        <f>IFERROR(__xludf.DUMMYFUNCTION("FILTER('GBD estimates'!$G$3:$G$1371,'GBD estimates'!$B$3:$B$1371=K$3,'GBD estimates'!$E$3:$E$1371=""Meningitis"",'GBD estimates'!$D$3:$D$1371=""5-14 years"")"),9.75938E-4)</f>
        <v>0.000975938</v>
      </c>
      <c r="L160" s="542">
        <f t="shared" si="40"/>
        <v>0.000543254</v>
      </c>
      <c r="M160" s="542">
        <f>IFERROR(__xludf.DUMMYFUNCTION("FILTER('GBD estimates'!$G$3:$G$1371,'GBD estimates'!$B$3:$B$1371=M$3,'GBD estimates'!$E$3:$E$1371=""Meningitis"",'GBD estimates'!$D$3:$D$1371=""5-14 years"")"),8.5293E-4)</f>
        <v>0.00085293</v>
      </c>
      <c r="N160" s="542">
        <f>IFERROR(__xludf.DUMMYFUNCTION("FILTER('GBD estimates'!$G$3:$G$1371,'GBD estimates'!$B$3:$B$1371=N$3,'GBD estimates'!$E$3:$E$1371=""Meningitis"",'GBD estimates'!$D$3:$D$1371=""5-14 years"")"),7.44263E-4)</f>
        <v>0.000744263</v>
      </c>
      <c r="O160" s="542">
        <f>IFERROR(__xludf.DUMMYFUNCTION("FILTER('GBD estimates'!$G$3:$G$1371,'GBD estimates'!$B$3:$B$1371=O$3,'GBD estimates'!$E$3:$E$1371=""Meningitis"",'GBD estimates'!$D$3:$D$1371=""5-14 years"")"),8.48212E-4)</f>
        <v>0.000848212</v>
      </c>
      <c r="P160" s="542">
        <f>IFERROR(__xludf.DUMMYFUNCTION("FILTER('GBD estimates'!$G$3:$G$1371,'GBD estimates'!$B$3:$B$1371=P$3,'GBD estimates'!$E$3:$E$1371=""Meningitis"",'GBD estimates'!$D$3:$D$1371=""5-14 years"")"),0.001182199)</f>
        <v>0.001182199</v>
      </c>
      <c r="Q160" s="543">
        <f>IFERROR(__xludf.DUMMYFUNCTION("FILTER('GBD estimates'!$G$3:$G$1371,'GBD estimates'!$B$3:$B$1371=Q$3,'GBD estimates'!$E$3:$E$1371=""Meningitis"",'GBD estimates'!$D$3:$D$1371=""5-14 years"")"),0.001216374)</f>
        <v>0.001216374</v>
      </c>
      <c r="R160" s="542">
        <f>IFERROR(__xludf.DUMMYFUNCTION("FILTER('GBD estimates'!$G$3:$G$1371,'GBD estimates'!$B$3:$B$1371=R$3,'GBD estimates'!$E$3:$E$1371=""Meningitis"",'GBD estimates'!$D$3:$D$1371=""5-14 years"")"),2.83224E-4)</f>
        <v>0.000283224</v>
      </c>
      <c r="S160" s="542">
        <f>IFERROR(__xludf.DUMMYFUNCTION("FILTER('GBD estimates'!$G$3:$G$1371,'GBD estimates'!$B$3:$B$1371=S$3,'GBD estimates'!$E$3:$E$1371=""Meningitis"",'GBD estimates'!$D$3:$D$1371=""5-14 years"")"),6.9414E-4)</f>
        <v>0.00069414</v>
      </c>
      <c r="T160" s="542">
        <f>IFERROR(__xludf.DUMMYFUNCTION("FILTER('GBD estimates'!$G$3:$G$1371,'GBD estimates'!$B$3:$B$1371=T$3,'GBD estimates'!$E$3:$E$1371=""Meningitis"",'GBD estimates'!$D$3:$D$1371=""5-14 years"")"),2.40103E-4)</f>
        <v>0.000240103</v>
      </c>
      <c r="U160" s="542">
        <f>IFERROR(__xludf.DUMMYFUNCTION("FILTER('GBD estimates'!$G$3:$G$1371,'GBD estimates'!$B$3:$B$1371=U$3,'GBD estimates'!$E$3:$E$1371=""Meningitis"",'GBD estimates'!$D$3:$D$1371=""5-14 years"")"),2.43766E-4)</f>
        <v>0.000243766</v>
      </c>
      <c r="V160" s="542">
        <f>IFERROR(__xludf.DUMMYFUNCTION("FILTER('GBD estimates'!$G$3:$G$1371,'GBD estimates'!$B$3:$B$1371=V$3,'GBD estimates'!$E$3:$E$1371=""Meningitis"",'GBD estimates'!$D$3:$D$1371=""5-14 years"")"),2.70451E-4)</f>
        <v>0.000270451</v>
      </c>
      <c r="W160" s="542">
        <f>IFERROR(__xludf.DUMMYFUNCTION("FILTER('GBD estimates'!$G$3:$G$1371,'GBD estimates'!$B$3:$B$1371=W$3,'GBD estimates'!$E$3:$E$1371=""Meningitis"",'GBD estimates'!$D$3:$D$1371=""5-14 years"")"),4.73177E-4)</f>
        <v>0.000473177</v>
      </c>
      <c r="X160" s="542">
        <f>IFERROR(__xludf.DUMMYFUNCTION("FILTER('GBD estimates'!$G$3:$G$1371,'GBD estimates'!$B$3:$B$1371=X$3,'GBD estimates'!$E$3:$E$1371=""Meningitis"",'GBD estimates'!$D$3:$D$1371=""5-14 years"")"),4.0184E-4)</f>
        <v>0.00040184</v>
      </c>
      <c r="Y160" s="542">
        <f>IFERROR(__xludf.DUMMYFUNCTION("FILTER('GBD estimates'!$G$3:$G$1371,'GBD estimates'!$B$3:$B$1371=Y$3,'GBD estimates'!$E$3:$E$1371=""Meningitis"",'GBD estimates'!$D$3:$D$1371=""5-14 years"")"),2.49085E-4)</f>
        <v>0.000249085</v>
      </c>
      <c r="Z160" s="542">
        <f>IFERROR(__xludf.DUMMYFUNCTION("FILTER('GBD estimates'!$G$3:$G$1371,'GBD estimates'!$B$3:$B$1371=Z$3,'GBD estimates'!$E$3:$E$1371=""Meningitis"",'GBD estimates'!$D$3:$D$1371=""5-14 years"")"),3.25336E-4)</f>
        <v>0.000325336</v>
      </c>
      <c r="AA160" s="542">
        <f>IFERROR(__xludf.DUMMYFUNCTION("FILTER('GBD estimates'!$G$3:$G$1371,'GBD estimates'!$B$3:$B$1371=AA$3,'GBD estimates'!$E$3:$E$1371=""Meningitis"",'GBD estimates'!$D$3:$D$1371=""5-14 years"")"),4.45482E-4)</f>
        <v>0.000445482</v>
      </c>
      <c r="AB160" s="542">
        <f>IFERROR(__xludf.DUMMYFUNCTION("FILTER('GBD estimates'!$G$3:$G$1371,'GBD estimates'!$B$3:$B$1371=AB$3,'GBD estimates'!$E$3:$E$1371=""Meningitis"",'GBD estimates'!$D$3:$D$1371=""5-14 years"")"),2.59059E-4)</f>
        <v>0.000259059</v>
      </c>
      <c r="AC160" s="542">
        <f>IFERROR(__xludf.DUMMYFUNCTION("FILTER('GBD estimates'!$G$3:$G$1371,'GBD estimates'!$B$3:$B$1371=AC$3,'GBD estimates'!$E$3:$E$1371=""Meningitis"",'GBD estimates'!$D$3:$D$1371=""5-14 years"")"),2.37977E-4)</f>
        <v>0.000237977</v>
      </c>
      <c r="AD160" s="542">
        <f>IFERROR(__xludf.DUMMYFUNCTION("FILTER('GBD estimates'!$G$3:$G$1371,'GBD estimates'!$B$3:$B$1371=AD$3,'GBD estimates'!$E$3:$E$1371=""Meningitis"",'GBD estimates'!$D$3:$D$1371=""5-14 years"")"),2.24853E-4)</f>
        <v>0.000224853</v>
      </c>
      <c r="AE160" s="542">
        <f>IFERROR(__xludf.DUMMYFUNCTION("FILTER('GBD estimates'!$G$3:$G$1371,'GBD estimates'!$B$3:$B$1371=AE$3,'GBD estimates'!$E$3:$E$1371=""Meningitis"",'GBD estimates'!$D$3:$D$1371=""5-14 years"")"),3.22448E-4)</f>
        <v>0.000322448</v>
      </c>
      <c r="AF160" s="542">
        <f>IFERROR(__xludf.DUMMYFUNCTION("FILTER('GBD estimates'!$G$3:$G$1371,'GBD estimates'!$B$3:$B$1371=AF$3,'GBD estimates'!$E$3:$E$1371=""Meningitis"",'GBD estimates'!$D$3:$D$1371=""5-14 years"")"),2.24958E-4)</f>
        <v>0.000224958</v>
      </c>
      <c r="AG160" s="542">
        <f>IFERROR(__xludf.DUMMYFUNCTION("FILTER('GBD estimates'!$G$3:$G$1371,'GBD estimates'!$B$3:$B$1371=AG$3,'GBD estimates'!$E$3:$E$1371=""Meningitis"",'GBD estimates'!$D$3:$D$1371=""5-14 years"")"),5.43254E-4)</f>
        <v>0.000543254</v>
      </c>
      <c r="AH160" s="542">
        <f>IFERROR(__xludf.DUMMYFUNCTION("FILTER('GBD estimates'!$G$3:$G$1371,'GBD estimates'!$B$3:$B$1371=AH$3,'GBD estimates'!$E$3:$E$1371=""Meningitis"",'GBD estimates'!$D$3:$D$1371=""5-14 years"")"),2.38644E-4)</f>
        <v>0.000238644</v>
      </c>
      <c r="AI160" s="542">
        <f>IFERROR(__xludf.DUMMYFUNCTION("FILTER('GBD estimates'!$G$3:$G$1371,'GBD estimates'!$B$3:$B$1371=AI$3,'GBD estimates'!$E$3:$E$1371=""Meningitis"",'GBD estimates'!$D$3:$D$1371=""5-14 years"")"),2.27058E-4)</f>
        <v>0.000227058</v>
      </c>
      <c r="AJ160" s="542">
        <f>IFERROR(__xludf.DUMMYFUNCTION("FILTER('GBD estimates'!$G$3:$G$1371,'GBD estimates'!$B$3:$B$1371=AJ$3,'GBD estimates'!$E$3:$E$1371=""Meningitis"",'GBD estimates'!$D$3:$D$1371=""5-14 years"")"),2.25853E-4)</f>
        <v>0.000225853</v>
      </c>
      <c r="AK160" s="542">
        <f>IFERROR(__xludf.DUMMYFUNCTION("FILTER('GBD estimates'!$G$3:$G$1371,'GBD estimates'!$B$3:$B$1371=AK$3,'GBD estimates'!$E$3:$E$1371=""Meningitis"",'GBD estimates'!$D$3:$D$1371=""5-14 years"")"),4.28339E-4)</f>
        <v>0.000428339</v>
      </c>
      <c r="AL160" s="542">
        <f>IFERROR(__xludf.DUMMYFUNCTION("FILTER('GBD estimates'!$G$3:$G$1371,'GBD estimates'!$B$3:$B$1371=AL$3,'GBD estimates'!$E$3:$E$1371=""Meningitis"",'GBD estimates'!$D$3:$D$1371=""5-14 years"")"),5.69156E-4)</f>
        <v>0.000569156</v>
      </c>
      <c r="AM160" s="542">
        <f t="shared" ref="AM160:AN160" si="41">AL160</f>
        <v>0.000569156</v>
      </c>
      <c r="AN160" s="542">
        <f t="shared" si="41"/>
        <v>0.000569156</v>
      </c>
      <c r="AO160" s="542">
        <f>IFERROR(__xludf.DUMMYFUNCTION("FILTER('GBD estimates'!$G$3:$G$1371,'GBD estimates'!$B$3:$B$1371=AO$3,'GBD estimates'!$E$3:$E$1371=""Meningitis"",'GBD estimates'!$D$3:$D$1371=""5-14 years"")"),3.09691E-4)</f>
        <v>0.000309691</v>
      </c>
      <c r="AP160" s="542">
        <f>IFERROR(__xludf.DUMMYFUNCTION("FILTER('GBD estimates'!$G$3:$G$1371,'GBD estimates'!$B$3:$B$1371=AP$3,'GBD estimates'!$E$3:$E$1371=""Meningitis"",'GBD estimates'!$D$3:$D$1371=""5-14 years"")"),3.05717E-4)</f>
        <v>0.000305717</v>
      </c>
      <c r="AQ160" s="542">
        <f>IFERROR(__xludf.DUMMYFUNCTION("FILTER('GBD estimates'!$G$3:$G$1371,'GBD estimates'!$B$3:$B$1371=AQ$3,'GBD estimates'!$E$3:$E$1371=""Meningitis"",'GBD estimates'!$D$3:$D$1371=""5-14 years"")"),1.65232E-4)</f>
        <v>0.000165232</v>
      </c>
      <c r="AR160" s="542">
        <f>IFERROR(__xludf.DUMMYFUNCTION("FILTER('GBD estimates'!$G$3:$G$1371,'GBD estimates'!$B$3:$B$1371=AR$3,'GBD estimates'!$E$3:$E$1371=""Meningitis"",'GBD estimates'!$D$3:$D$1371=""5-14 years"")"),1.78382E-4)</f>
        <v>0.000178382</v>
      </c>
      <c r="AS160" s="542">
        <f>IFERROR(__xludf.DUMMYFUNCTION("FILTER('GBD estimates'!$G$3:$G$1371,'GBD estimates'!$B$3:$B$1371=AS$3,'GBD estimates'!$E$3:$E$1371=""Meningitis"",'GBD estimates'!$D$3:$D$1371=""5-14 years"")"),3.98961E-4)</f>
        <v>0.000398961</v>
      </c>
      <c r="AT160" s="542">
        <f>IFERROR(__xludf.DUMMYFUNCTION("FILTER('GBD estimates'!$G$3:$G$1371,'GBD estimates'!$B$3:$B$1371=AT$3,'GBD estimates'!$E$3:$E$1371=""Meningitis"",'GBD estimates'!$D$3:$D$1371=""5-14 years"")"),2.79489E-4)</f>
        <v>0.000279489</v>
      </c>
      <c r="AU160" s="542">
        <f>IFERROR(__xludf.DUMMYFUNCTION("FILTER('GBD estimates'!$G$3:$G$1371,'GBD estimates'!$B$3:$B$1371=AU$3,'GBD estimates'!$E$3:$E$1371=""Meningitis"",'GBD estimates'!$D$3:$D$1371=""5-14 years"")"),7.44871E-4)</f>
        <v>0.000744871</v>
      </c>
      <c r="AV160" s="542">
        <f>IFERROR(__xludf.DUMMYFUNCTION("FILTER('GBD estimates'!$G$3:$G$1371,'GBD estimates'!$B$3:$B$1371=AV$3,'GBD estimates'!$E$3:$E$1371=""Meningitis"",'GBD estimates'!$D$3:$D$1371=""5-14 years"")"),6.78181E-4)</f>
        <v>0.000678181</v>
      </c>
      <c r="AW160" s="788"/>
      <c r="AX160" s="798" t="s">
        <v>999</v>
      </c>
      <c r="AY160" s="790"/>
    </row>
    <row r="161">
      <c r="A161" s="776"/>
      <c r="B161" s="538"/>
      <c r="C161" s="538"/>
      <c r="D161" s="538"/>
      <c r="E161" s="475" t="s">
        <v>612</v>
      </c>
      <c r="F161" s="554" t="s">
        <v>72</v>
      </c>
      <c r="G161" s="555" t="s">
        <v>165</v>
      </c>
      <c r="H161" s="811" t="s">
        <v>162</v>
      </c>
      <c r="I161" s="542">
        <f>IFERROR(__xludf.DUMMYFUNCTION("FILTER('GBD estimates'!$G$3:$G$1371,'GBD estimates'!$B$3:$B$1371=I$3,'GBD estimates'!$E$3:$E$1371=""Meningitis"",'GBD estimates'!$D$3:$D$1371=""15-49 years"")"),0.001870641)</f>
        <v>0.001870641</v>
      </c>
      <c r="J161" s="542">
        <f>IFERROR(__xludf.DUMMYFUNCTION("FILTER('GBD estimates'!$G$3:$G$1371,'GBD estimates'!$B$3:$B$1371=J$3,'GBD estimates'!$E$3:$E$1371=""Meningitis"",'GBD estimates'!$D$3:$D$1371=""15-49 years"")"),0.001396704)</f>
        <v>0.001396704</v>
      </c>
      <c r="K161" s="542">
        <f>IFERROR(__xludf.DUMMYFUNCTION("FILTER('GBD estimates'!$G$3:$G$1371,'GBD estimates'!$B$3:$B$1371=K$3,'GBD estimates'!$E$3:$E$1371=""Meningitis"",'GBD estimates'!$D$3:$D$1371=""15-49 years"")"),0.002364602)</f>
        <v>0.002364602</v>
      </c>
      <c r="L161" s="542">
        <f t="shared" si="40"/>
        <v>0.001256075</v>
      </c>
      <c r="M161" s="542">
        <f>IFERROR(__xludf.DUMMYFUNCTION("FILTER('GBD estimates'!$G$3:$G$1371,'GBD estimates'!$B$3:$B$1371=M$3,'GBD estimates'!$E$3:$E$1371=""Meningitis"",'GBD estimates'!$D$3:$D$1371=""15-49 years"")"),0.001435015)</f>
        <v>0.001435015</v>
      </c>
      <c r="N161" s="542">
        <f>IFERROR(__xludf.DUMMYFUNCTION("FILTER('GBD estimates'!$G$3:$G$1371,'GBD estimates'!$B$3:$B$1371=N$3,'GBD estimates'!$E$3:$E$1371=""Meningitis"",'GBD estimates'!$D$3:$D$1371=""15-49 years"")"),0.001813177)</f>
        <v>0.001813177</v>
      </c>
      <c r="O161" s="542">
        <f>IFERROR(__xludf.DUMMYFUNCTION("FILTER('GBD estimates'!$G$3:$G$1371,'GBD estimates'!$B$3:$B$1371=O$3,'GBD estimates'!$E$3:$E$1371=""Meningitis"",'GBD estimates'!$D$3:$D$1371=""15-49 years"")"),0.001952634)</f>
        <v>0.001952634</v>
      </c>
      <c r="P161" s="542">
        <f>IFERROR(__xludf.DUMMYFUNCTION("FILTER('GBD estimates'!$G$3:$G$1371,'GBD estimates'!$B$3:$B$1371=P$3,'GBD estimates'!$E$3:$E$1371=""Meningitis"",'GBD estimates'!$D$3:$D$1371=""15-49 years"")"),0.002694076)</f>
        <v>0.002694076</v>
      </c>
      <c r="Q161" s="543">
        <f>IFERROR(__xludf.DUMMYFUNCTION("FILTER('GBD estimates'!$G$3:$G$1371,'GBD estimates'!$B$3:$B$1371=Q$3,'GBD estimates'!$E$3:$E$1371=""Meningitis"",'GBD estimates'!$D$3:$D$1371=""15-49 years"")"),0.002407406)</f>
        <v>0.002407406</v>
      </c>
      <c r="R161" s="542">
        <f>IFERROR(__xludf.DUMMYFUNCTION("FILTER('GBD estimates'!$G$3:$G$1371,'GBD estimates'!$B$3:$B$1371=R$3,'GBD estimates'!$E$3:$E$1371=""Meningitis"",'GBD estimates'!$D$3:$D$1371=""15-49 years"")"),8.14486E-4)</f>
        <v>0.000814486</v>
      </c>
      <c r="S161" s="542">
        <f>IFERROR(__xludf.DUMMYFUNCTION("FILTER('GBD estimates'!$G$3:$G$1371,'GBD estimates'!$B$3:$B$1371=S$3,'GBD estimates'!$E$3:$E$1371=""Meningitis"",'GBD estimates'!$D$3:$D$1371=""15-49 years"")"),0.001486466)</f>
        <v>0.001486466</v>
      </c>
      <c r="T161" s="542">
        <f>IFERROR(__xludf.DUMMYFUNCTION("FILTER('GBD estimates'!$G$3:$G$1371,'GBD estimates'!$B$3:$B$1371=T$3,'GBD estimates'!$E$3:$E$1371=""Meningitis"",'GBD estimates'!$D$3:$D$1371=""15-49 years"")"),8.58825E-4)</f>
        <v>0.000858825</v>
      </c>
      <c r="U161" s="542">
        <f>IFERROR(__xludf.DUMMYFUNCTION("FILTER('GBD estimates'!$G$3:$G$1371,'GBD estimates'!$B$3:$B$1371=U$3,'GBD estimates'!$E$3:$E$1371=""Meningitis"",'GBD estimates'!$D$3:$D$1371=""15-49 years"")"),8.52011E-4)</f>
        <v>0.000852011</v>
      </c>
      <c r="V161" s="542">
        <f>IFERROR(__xludf.DUMMYFUNCTION("FILTER('GBD estimates'!$G$3:$G$1371,'GBD estimates'!$B$3:$B$1371=V$3,'GBD estimates'!$E$3:$E$1371=""Meningitis"",'GBD estimates'!$D$3:$D$1371=""15-49 years"")"),0.001031929)</f>
        <v>0.001031929</v>
      </c>
      <c r="W161" s="542">
        <f>IFERROR(__xludf.DUMMYFUNCTION("FILTER('GBD estimates'!$G$3:$G$1371,'GBD estimates'!$B$3:$B$1371=W$3,'GBD estimates'!$E$3:$E$1371=""Meningitis"",'GBD estimates'!$D$3:$D$1371=""15-49 years"")"),0.001314864)</f>
        <v>0.001314864</v>
      </c>
      <c r="X161" s="542">
        <f>IFERROR(__xludf.DUMMYFUNCTION("FILTER('GBD estimates'!$G$3:$G$1371,'GBD estimates'!$B$3:$B$1371=X$3,'GBD estimates'!$E$3:$E$1371=""Meningitis"",'GBD estimates'!$D$3:$D$1371=""15-49 years"")"),0.001184471)</f>
        <v>0.001184471</v>
      </c>
      <c r="Y161" s="542">
        <f>IFERROR(__xludf.DUMMYFUNCTION("FILTER('GBD estimates'!$G$3:$G$1371,'GBD estimates'!$B$3:$B$1371=Y$3,'GBD estimates'!$E$3:$E$1371=""Meningitis"",'GBD estimates'!$D$3:$D$1371=""15-49 years"")"),8.96409E-4)</f>
        <v>0.000896409</v>
      </c>
      <c r="Z161" s="542">
        <f>IFERROR(__xludf.DUMMYFUNCTION("FILTER('GBD estimates'!$G$3:$G$1371,'GBD estimates'!$B$3:$B$1371=Z$3,'GBD estimates'!$E$3:$E$1371=""Meningitis"",'GBD estimates'!$D$3:$D$1371=""15-49 years"")"),9.84157E-4)</f>
        <v>0.000984157</v>
      </c>
      <c r="AA161" s="542">
        <f>IFERROR(__xludf.DUMMYFUNCTION("FILTER('GBD estimates'!$G$3:$G$1371,'GBD estimates'!$B$3:$B$1371=AA$3,'GBD estimates'!$E$3:$E$1371=""Meningitis"",'GBD estimates'!$D$3:$D$1371=""15-49 years"")"),0.001159156)</f>
        <v>0.001159156</v>
      </c>
      <c r="AB161" s="542">
        <f>IFERROR(__xludf.DUMMYFUNCTION("FILTER('GBD estimates'!$G$3:$G$1371,'GBD estimates'!$B$3:$B$1371=AB$3,'GBD estimates'!$E$3:$E$1371=""Meningitis"",'GBD estimates'!$D$3:$D$1371=""15-49 years"")"),8.78335E-4)</f>
        <v>0.000878335</v>
      </c>
      <c r="AC161" s="542">
        <f>IFERROR(__xludf.DUMMYFUNCTION("FILTER('GBD estimates'!$G$3:$G$1371,'GBD estimates'!$B$3:$B$1371=AC$3,'GBD estimates'!$E$3:$E$1371=""Meningitis"",'GBD estimates'!$D$3:$D$1371=""15-49 years"")"),7.71143E-4)</f>
        <v>0.000771143</v>
      </c>
      <c r="AD161" s="542">
        <f>IFERROR(__xludf.DUMMYFUNCTION("FILTER('GBD estimates'!$G$3:$G$1371,'GBD estimates'!$B$3:$B$1371=AD$3,'GBD estimates'!$E$3:$E$1371=""Meningitis"",'GBD estimates'!$D$3:$D$1371=""15-49 years"")"),8.67108E-4)</f>
        <v>0.000867108</v>
      </c>
      <c r="AE161" s="542">
        <f>IFERROR(__xludf.DUMMYFUNCTION("FILTER('GBD estimates'!$G$3:$G$1371,'GBD estimates'!$B$3:$B$1371=AE$3,'GBD estimates'!$E$3:$E$1371=""Meningitis"",'GBD estimates'!$D$3:$D$1371=""15-49 years"")"),8.86405E-4)</f>
        <v>0.000886405</v>
      </c>
      <c r="AF161" s="542">
        <f>IFERROR(__xludf.DUMMYFUNCTION("FILTER('GBD estimates'!$G$3:$G$1371,'GBD estimates'!$B$3:$B$1371=AF$3,'GBD estimates'!$E$3:$E$1371=""Meningitis"",'GBD estimates'!$D$3:$D$1371=""15-49 years"")"),7.65457E-4)</f>
        <v>0.000765457</v>
      </c>
      <c r="AG161" s="542">
        <f>IFERROR(__xludf.DUMMYFUNCTION("FILTER('GBD estimates'!$G$3:$G$1371,'GBD estimates'!$B$3:$B$1371=AG$3,'GBD estimates'!$E$3:$E$1371=""Meningitis"",'GBD estimates'!$D$3:$D$1371=""15-49 years"")"),0.001256075)</f>
        <v>0.001256075</v>
      </c>
      <c r="AH161" s="542">
        <f>IFERROR(__xludf.DUMMYFUNCTION("FILTER('GBD estimates'!$G$3:$G$1371,'GBD estimates'!$B$3:$B$1371=AH$3,'GBD estimates'!$E$3:$E$1371=""Meningitis"",'GBD estimates'!$D$3:$D$1371=""15-49 years"")"),9.00864E-4)</f>
        <v>0.000900864</v>
      </c>
      <c r="AI161" s="542">
        <f>IFERROR(__xludf.DUMMYFUNCTION("FILTER('GBD estimates'!$G$3:$G$1371,'GBD estimates'!$B$3:$B$1371=AI$3,'GBD estimates'!$E$3:$E$1371=""Meningitis"",'GBD estimates'!$D$3:$D$1371=""15-49 years"")"),9.97862E-4)</f>
        <v>0.000997862</v>
      </c>
      <c r="AJ161" s="542">
        <f>IFERROR(__xludf.DUMMYFUNCTION("FILTER('GBD estimates'!$G$3:$G$1371,'GBD estimates'!$B$3:$B$1371=AJ$3,'GBD estimates'!$E$3:$E$1371=""Meningitis"",'GBD estimates'!$D$3:$D$1371=""15-49 years"")"),6.90807E-4)</f>
        <v>0.000690807</v>
      </c>
      <c r="AK161" s="542">
        <f>IFERROR(__xludf.DUMMYFUNCTION("FILTER('GBD estimates'!$G$3:$G$1371,'GBD estimates'!$B$3:$B$1371=AK$3,'GBD estimates'!$E$3:$E$1371=""Meningitis"",'GBD estimates'!$D$3:$D$1371=""15-49 years"")"),0.001291432)</f>
        <v>0.001291432</v>
      </c>
      <c r="AL161" s="542">
        <f>IFERROR(__xludf.DUMMYFUNCTION("FILTER('GBD estimates'!$G$3:$G$1371,'GBD estimates'!$B$3:$B$1371=AL$3,'GBD estimates'!$E$3:$E$1371=""Meningitis"",'GBD estimates'!$D$3:$D$1371=""15-49 years"")"),0.001618747)</f>
        <v>0.001618747</v>
      </c>
      <c r="AM161" s="542">
        <f t="shared" ref="AM161:AN161" si="42">AL161</f>
        <v>0.001618747</v>
      </c>
      <c r="AN161" s="542">
        <f t="shared" si="42"/>
        <v>0.001618747</v>
      </c>
      <c r="AO161" s="542">
        <f>IFERROR(__xludf.DUMMYFUNCTION("FILTER('GBD estimates'!$G$3:$G$1371,'GBD estimates'!$B$3:$B$1371=AO$3,'GBD estimates'!$E$3:$E$1371=""Meningitis"",'GBD estimates'!$D$3:$D$1371=""15-49 years"")"),0.001119381)</f>
        <v>0.001119381</v>
      </c>
      <c r="AP161" s="542">
        <f>IFERROR(__xludf.DUMMYFUNCTION("FILTER('GBD estimates'!$G$3:$G$1371,'GBD estimates'!$B$3:$B$1371=AP$3,'GBD estimates'!$E$3:$E$1371=""Meningitis"",'GBD estimates'!$D$3:$D$1371=""15-49 years"")"),9.15458E-4)</f>
        <v>0.000915458</v>
      </c>
      <c r="AQ161" s="542">
        <f>IFERROR(__xludf.DUMMYFUNCTION("FILTER('GBD estimates'!$G$3:$G$1371,'GBD estimates'!$B$3:$B$1371=AQ$3,'GBD estimates'!$E$3:$E$1371=""Meningitis"",'GBD estimates'!$D$3:$D$1371=""15-49 years"")"),6.10898E-4)</f>
        <v>0.000610898</v>
      </c>
      <c r="AR161" s="542">
        <f>IFERROR(__xludf.DUMMYFUNCTION("FILTER('GBD estimates'!$G$3:$G$1371,'GBD estimates'!$B$3:$B$1371=AR$3,'GBD estimates'!$E$3:$E$1371=""Meningitis"",'GBD estimates'!$D$3:$D$1371=""15-49 years"")"),7.76371E-4)</f>
        <v>0.000776371</v>
      </c>
      <c r="AS161" s="542">
        <f>IFERROR(__xludf.DUMMYFUNCTION("FILTER('GBD estimates'!$G$3:$G$1371,'GBD estimates'!$B$3:$B$1371=AS$3,'GBD estimates'!$E$3:$E$1371=""Meningitis"",'GBD estimates'!$D$3:$D$1371=""15-49 years"")"),0.001314524)</f>
        <v>0.001314524</v>
      </c>
      <c r="AT161" s="542">
        <f>IFERROR(__xludf.DUMMYFUNCTION("FILTER('GBD estimates'!$G$3:$G$1371,'GBD estimates'!$B$3:$B$1371=AT$3,'GBD estimates'!$E$3:$E$1371=""Meningitis"",'GBD estimates'!$D$3:$D$1371=""15-49 years"")"),8.77491E-4)</f>
        <v>0.000877491</v>
      </c>
      <c r="AU161" s="542">
        <f>IFERROR(__xludf.DUMMYFUNCTION("FILTER('GBD estimates'!$G$3:$G$1371,'GBD estimates'!$B$3:$B$1371=AU$3,'GBD estimates'!$E$3:$E$1371=""Meningitis"",'GBD estimates'!$D$3:$D$1371=""15-49 years"")"),0.001651731)</f>
        <v>0.001651731</v>
      </c>
      <c r="AV161" s="542">
        <f>IFERROR(__xludf.DUMMYFUNCTION("FILTER('GBD estimates'!$G$3:$G$1371,'GBD estimates'!$B$3:$B$1371=AV$3,'GBD estimates'!$E$3:$E$1371=""Meningitis"",'GBD estimates'!$D$3:$D$1371=""15-49 years"")"),0.001933221)</f>
        <v>0.001933221</v>
      </c>
      <c r="AW161" s="788"/>
      <c r="AX161" s="798" t="s">
        <v>999</v>
      </c>
      <c r="AY161" s="790"/>
    </row>
    <row r="162">
      <c r="A162" s="776"/>
      <c r="B162" s="538"/>
      <c r="C162" s="538"/>
      <c r="D162" s="538"/>
      <c r="E162" s="475" t="s">
        <v>613</v>
      </c>
      <c r="F162" s="554" t="s">
        <v>72</v>
      </c>
      <c r="G162" s="555" t="s">
        <v>165</v>
      </c>
      <c r="H162" s="811" t="s">
        <v>162</v>
      </c>
      <c r="I162" s="542">
        <f>IFERROR(__xludf.DUMMYFUNCTION("FILTER('GBD estimates'!$G$3:$G$1371,'GBD estimates'!$B$3:$B$1371=I$3,'GBD estimates'!$E$3:$E$1371=""Meningitis"",'GBD estimates'!$D$3:$D$1371=""50 to 74 years"")"),0.004939422)</f>
        <v>0.004939422</v>
      </c>
      <c r="J162" s="542">
        <f>IFERROR(__xludf.DUMMYFUNCTION("FILTER('GBD estimates'!$G$3:$G$1371,'GBD estimates'!$B$3:$B$1371=J$3,'GBD estimates'!$E$3:$E$1371=""Meningitis"",'GBD estimates'!$D$3:$D$1371=""50 to 74 years"")"),0.00469284)</f>
        <v>0.00469284</v>
      </c>
      <c r="K162" s="542">
        <f>IFERROR(__xludf.DUMMYFUNCTION("FILTER('GBD estimates'!$G$3:$G$1371,'GBD estimates'!$B$3:$B$1371=K$3,'GBD estimates'!$E$3:$E$1371=""Meningitis"",'GBD estimates'!$D$3:$D$1371=""50 to 74 years"")"),0.005174821)</f>
        <v>0.005174821</v>
      </c>
      <c r="L162" s="542">
        <f t="shared" si="40"/>
        <v>0.003177413</v>
      </c>
      <c r="M162" s="542">
        <f>IFERROR(__xludf.DUMMYFUNCTION("FILTER('GBD estimates'!$G$3:$G$1371,'GBD estimates'!$B$3:$B$1371=M$3,'GBD estimates'!$E$3:$E$1371=""Meningitis"",'GBD estimates'!$D$3:$D$1371=""50 to 74 years"")"),0.003663199)</f>
        <v>0.003663199</v>
      </c>
      <c r="N162" s="542">
        <f>IFERROR(__xludf.DUMMYFUNCTION("FILTER('GBD estimates'!$G$3:$G$1371,'GBD estimates'!$B$3:$B$1371=N$3,'GBD estimates'!$E$3:$E$1371=""Meningitis"",'GBD estimates'!$D$3:$D$1371=""50 to 74 years"")"),0.004443934)</f>
        <v>0.004443934</v>
      </c>
      <c r="O162" s="542">
        <f>IFERROR(__xludf.DUMMYFUNCTION("FILTER('GBD estimates'!$G$3:$G$1371,'GBD estimates'!$B$3:$B$1371=O$3,'GBD estimates'!$E$3:$E$1371=""Meningitis"",'GBD estimates'!$D$3:$D$1371=""50 to 74 years"")"),0.005659515)</f>
        <v>0.005659515</v>
      </c>
      <c r="P162" s="542">
        <f>IFERROR(__xludf.DUMMYFUNCTION("FILTER('GBD estimates'!$G$3:$G$1371,'GBD estimates'!$B$3:$B$1371=P$3,'GBD estimates'!$E$3:$E$1371=""Meningitis"",'GBD estimates'!$D$3:$D$1371=""50 to 74 years"")"),0.005851887)</f>
        <v>0.005851887</v>
      </c>
      <c r="Q162" s="543">
        <f>IFERROR(__xludf.DUMMYFUNCTION("FILTER('GBD estimates'!$G$3:$G$1371,'GBD estimates'!$B$3:$B$1371=Q$3,'GBD estimates'!$E$3:$E$1371=""Meningitis"",'GBD estimates'!$D$3:$D$1371=""50 to 74 years"")"),0.006685653)</f>
        <v>0.006685653</v>
      </c>
      <c r="R162" s="542">
        <f>IFERROR(__xludf.DUMMYFUNCTION("FILTER('GBD estimates'!$G$3:$G$1371,'GBD estimates'!$B$3:$B$1371=R$3,'GBD estimates'!$E$3:$E$1371=""Meningitis"",'GBD estimates'!$D$3:$D$1371=""50 to 74 years"")"),0.002308496)</f>
        <v>0.002308496</v>
      </c>
      <c r="S162" s="542">
        <f>IFERROR(__xludf.DUMMYFUNCTION("FILTER('GBD estimates'!$G$3:$G$1371,'GBD estimates'!$B$3:$B$1371=S$3,'GBD estimates'!$E$3:$E$1371=""Meningitis"",'GBD estimates'!$D$3:$D$1371=""50 to 74 years"")"),0.00386879)</f>
        <v>0.00386879</v>
      </c>
      <c r="T162" s="542">
        <f>IFERROR(__xludf.DUMMYFUNCTION("FILTER('GBD estimates'!$G$3:$G$1371,'GBD estimates'!$B$3:$B$1371=T$3,'GBD estimates'!$E$3:$E$1371=""Meningitis"",'GBD estimates'!$D$3:$D$1371=""50 to 74 years"")"),0.002610774)</f>
        <v>0.002610774</v>
      </c>
      <c r="U162" s="542">
        <f>IFERROR(__xludf.DUMMYFUNCTION("FILTER('GBD estimates'!$G$3:$G$1371,'GBD estimates'!$B$3:$B$1371=U$3,'GBD estimates'!$E$3:$E$1371=""Meningitis"",'GBD estimates'!$D$3:$D$1371=""50 to 74 years"")"),0.002211325)</f>
        <v>0.002211325</v>
      </c>
      <c r="V162" s="542">
        <f>IFERROR(__xludf.DUMMYFUNCTION("FILTER('GBD estimates'!$G$3:$G$1371,'GBD estimates'!$B$3:$B$1371=V$3,'GBD estimates'!$E$3:$E$1371=""Meningitis"",'GBD estimates'!$D$3:$D$1371=""50 to 74 years"")"),0.003107491)</f>
        <v>0.003107491</v>
      </c>
      <c r="W162" s="542">
        <f>IFERROR(__xludf.DUMMYFUNCTION("FILTER('GBD estimates'!$G$3:$G$1371,'GBD estimates'!$B$3:$B$1371=W$3,'GBD estimates'!$E$3:$E$1371=""Meningitis"",'GBD estimates'!$D$3:$D$1371=""50 to 74 years"")"),0.003376875)</f>
        <v>0.003376875</v>
      </c>
      <c r="X162" s="542">
        <f>IFERROR(__xludf.DUMMYFUNCTION("FILTER('GBD estimates'!$G$3:$G$1371,'GBD estimates'!$B$3:$B$1371=X$3,'GBD estimates'!$E$3:$E$1371=""Meningitis"",'GBD estimates'!$D$3:$D$1371=""50 to 74 years"")"),0.003468907)</f>
        <v>0.003468907</v>
      </c>
      <c r="Y162" s="542">
        <f>IFERROR(__xludf.DUMMYFUNCTION("FILTER('GBD estimates'!$G$3:$G$1371,'GBD estimates'!$B$3:$B$1371=Y$3,'GBD estimates'!$E$3:$E$1371=""Meningitis"",'GBD estimates'!$D$3:$D$1371=""50 to 74 years"")"),0.002667023)</f>
        <v>0.002667023</v>
      </c>
      <c r="Z162" s="542">
        <f>IFERROR(__xludf.DUMMYFUNCTION("FILTER('GBD estimates'!$G$3:$G$1371,'GBD estimates'!$B$3:$B$1371=Z$3,'GBD estimates'!$E$3:$E$1371=""Meningitis"",'GBD estimates'!$D$3:$D$1371=""50 to 74 years"")"),0.002366756)</f>
        <v>0.002366756</v>
      </c>
      <c r="AA162" s="542">
        <f>IFERROR(__xludf.DUMMYFUNCTION("FILTER('GBD estimates'!$G$3:$G$1371,'GBD estimates'!$B$3:$B$1371=AA$3,'GBD estimates'!$E$3:$E$1371=""Meningitis"",'GBD estimates'!$D$3:$D$1371=""50 to 74 years"")"),0.002996523)</f>
        <v>0.002996523</v>
      </c>
      <c r="AB162" s="542">
        <f>IFERROR(__xludf.DUMMYFUNCTION("FILTER('GBD estimates'!$G$3:$G$1371,'GBD estimates'!$B$3:$B$1371=AB$3,'GBD estimates'!$E$3:$E$1371=""Meningitis"",'GBD estimates'!$D$3:$D$1371=""50 to 74 years"")"),0.002092001)</f>
        <v>0.002092001</v>
      </c>
      <c r="AC162" s="542">
        <f>IFERROR(__xludf.DUMMYFUNCTION("FILTER('GBD estimates'!$G$3:$G$1371,'GBD estimates'!$B$3:$B$1371=AC$3,'GBD estimates'!$E$3:$E$1371=""Meningitis"",'GBD estimates'!$D$3:$D$1371=""50 to 74 years"")"),0.002224215)</f>
        <v>0.002224215</v>
      </c>
      <c r="AD162" s="542">
        <f>IFERROR(__xludf.DUMMYFUNCTION("FILTER('GBD estimates'!$G$3:$G$1371,'GBD estimates'!$B$3:$B$1371=AD$3,'GBD estimates'!$E$3:$E$1371=""Meningitis"",'GBD estimates'!$D$3:$D$1371=""50 to 74 years"")"),0.002484024)</f>
        <v>0.002484024</v>
      </c>
      <c r="AE162" s="542">
        <f>IFERROR(__xludf.DUMMYFUNCTION("FILTER('GBD estimates'!$G$3:$G$1371,'GBD estimates'!$B$3:$B$1371=AE$3,'GBD estimates'!$E$3:$E$1371=""Meningitis"",'GBD estimates'!$D$3:$D$1371=""50 to 74 years"")"),0.00176615)</f>
        <v>0.00176615</v>
      </c>
      <c r="AF162" s="542">
        <f>IFERROR(__xludf.DUMMYFUNCTION("FILTER('GBD estimates'!$G$3:$G$1371,'GBD estimates'!$B$3:$B$1371=AF$3,'GBD estimates'!$E$3:$E$1371=""Meningitis"",'GBD estimates'!$D$3:$D$1371=""50 to 74 years"")"),0.002058023)</f>
        <v>0.002058023</v>
      </c>
      <c r="AG162" s="542">
        <f>IFERROR(__xludf.DUMMYFUNCTION("FILTER('GBD estimates'!$G$3:$G$1371,'GBD estimates'!$B$3:$B$1371=AG$3,'GBD estimates'!$E$3:$E$1371=""Meningitis"",'GBD estimates'!$D$3:$D$1371=""50 to 74 years"")"),0.003177413)</f>
        <v>0.003177413</v>
      </c>
      <c r="AH162" s="542">
        <f>IFERROR(__xludf.DUMMYFUNCTION("FILTER('GBD estimates'!$G$3:$G$1371,'GBD estimates'!$B$3:$B$1371=AH$3,'GBD estimates'!$E$3:$E$1371=""Meningitis"",'GBD estimates'!$D$3:$D$1371=""50 to 74 years"")"),0.002707385)</f>
        <v>0.002707385</v>
      </c>
      <c r="AI162" s="542">
        <f>IFERROR(__xludf.DUMMYFUNCTION("FILTER('GBD estimates'!$G$3:$G$1371,'GBD estimates'!$B$3:$B$1371=AI$3,'GBD estimates'!$E$3:$E$1371=""Meningitis"",'GBD estimates'!$D$3:$D$1371=""50 to 74 years"")"),0.00262762)</f>
        <v>0.00262762</v>
      </c>
      <c r="AJ162" s="542">
        <f>IFERROR(__xludf.DUMMYFUNCTION("FILTER('GBD estimates'!$G$3:$G$1371,'GBD estimates'!$B$3:$B$1371=AJ$3,'GBD estimates'!$E$3:$E$1371=""Meningitis"",'GBD estimates'!$D$3:$D$1371=""50 to 74 years"")"),0.001698962)</f>
        <v>0.001698962</v>
      </c>
      <c r="AK162" s="542">
        <f>IFERROR(__xludf.DUMMYFUNCTION("FILTER('GBD estimates'!$G$3:$G$1371,'GBD estimates'!$B$3:$B$1371=AK$3,'GBD estimates'!$E$3:$E$1371=""Meningitis"",'GBD estimates'!$D$3:$D$1371=""50 to 74 years"")"),0.002590713)</f>
        <v>0.002590713</v>
      </c>
      <c r="AL162" s="542">
        <f>IFERROR(__xludf.DUMMYFUNCTION("FILTER('GBD estimates'!$G$3:$G$1371,'GBD estimates'!$B$3:$B$1371=AL$3,'GBD estimates'!$E$3:$E$1371=""Meningitis"",'GBD estimates'!$D$3:$D$1371=""50 to 74 years"")"),0.003865714)</f>
        <v>0.003865714</v>
      </c>
      <c r="AM162" s="542">
        <f t="shared" ref="AM162:AN162" si="43">AL162</f>
        <v>0.003865714</v>
      </c>
      <c r="AN162" s="542">
        <f t="shared" si="43"/>
        <v>0.003865714</v>
      </c>
      <c r="AO162" s="542">
        <f>IFERROR(__xludf.DUMMYFUNCTION("FILTER('GBD estimates'!$G$3:$G$1371,'GBD estimates'!$B$3:$B$1371=AO$3,'GBD estimates'!$E$3:$E$1371=""Meningitis"",'GBD estimates'!$D$3:$D$1371=""50 to 74 years"")"),0.002996476)</f>
        <v>0.002996476</v>
      </c>
      <c r="AP162" s="542">
        <f>IFERROR(__xludf.DUMMYFUNCTION("FILTER('GBD estimates'!$G$3:$G$1371,'GBD estimates'!$B$3:$B$1371=AP$3,'GBD estimates'!$E$3:$E$1371=""Meningitis"",'GBD estimates'!$D$3:$D$1371=""50 to 74 years"")"),0.00260227)</f>
        <v>0.00260227</v>
      </c>
      <c r="AQ162" s="542">
        <f>IFERROR(__xludf.DUMMYFUNCTION("FILTER('GBD estimates'!$G$3:$G$1371,'GBD estimates'!$B$3:$B$1371=AQ$3,'GBD estimates'!$E$3:$E$1371=""Meningitis"",'GBD estimates'!$D$3:$D$1371=""50 to 74 years"")"),0.002077918)</f>
        <v>0.002077918</v>
      </c>
      <c r="AR162" s="542">
        <f>IFERROR(__xludf.DUMMYFUNCTION("FILTER('GBD estimates'!$G$3:$G$1371,'GBD estimates'!$B$3:$B$1371=AR$3,'GBD estimates'!$E$3:$E$1371=""Meningitis"",'GBD estimates'!$D$3:$D$1371=""50 to 74 years"")"),0.002241338)</f>
        <v>0.002241338</v>
      </c>
      <c r="AS162" s="542">
        <f>IFERROR(__xludf.DUMMYFUNCTION("FILTER('GBD estimates'!$G$3:$G$1371,'GBD estimates'!$B$3:$B$1371=AS$3,'GBD estimates'!$E$3:$E$1371=""Meningitis"",'GBD estimates'!$D$3:$D$1371=""50 to 74 years"")"),0.002582749)</f>
        <v>0.002582749</v>
      </c>
      <c r="AT162" s="542">
        <f>IFERROR(__xludf.DUMMYFUNCTION("FILTER('GBD estimates'!$G$3:$G$1371,'GBD estimates'!$B$3:$B$1371=AT$3,'GBD estimates'!$E$3:$E$1371=""Meningitis"",'GBD estimates'!$D$3:$D$1371=""50 to 74 years"")"),0.002348981)</f>
        <v>0.002348981</v>
      </c>
      <c r="AU162" s="542">
        <f>IFERROR(__xludf.DUMMYFUNCTION("FILTER('GBD estimates'!$G$3:$G$1371,'GBD estimates'!$B$3:$B$1371=AU$3,'GBD estimates'!$E$3:$E$1371=""Meningitis"",'GBD estimates'!$D$3:$D$1371=""50 to 74 years"")"),0.003337364)</f>
        <v>0.003337364</v>
      </c>
      <c r="AV162" s="542">
        <f>IFERROR(__xludf.DUMMYFUNCTION("FILTER('GBD estimates'!$G$3:$G$1371,'GBD estimates'!$B$3:$B$1371=AV$3,'GBD estimates'!$E$3:$E$1371=""Meningitis"",'GBD estimates'!$D$3:$D$1371=""50 to 74 years"")"),0.004682851)</f>
        <v>0.004682851</v>
      </c>
      <c r="AW162" s="788"/>
      <c r="AX162" s="798" t="s">
        <v>999</v>
      </c>
      <c r="AY162" s="790"/>
    </row>
    <row r="163">
      <c r="A163" s="776"/>
      <c r="B163" s="538"/>
      <c r="C163" s="538"/>
      <c r="D163" s="538"/>
      <c r="E163" s="782" t="s">
        <v>615</v>
      </c>
      <c r="F163" s="539" t="s">
        <v>62</v>
      </c>
      <c r="G163" s="540" t="s">
        <v>165</v>
      </c>
      <c r="H163" s="808" t="s">
        <v>162</v>
      </c>
      <c r="I163" s="564">
        <f>IFERROR(__xludf.DUMMYFUNCTION("FILTER('GBD estimates'!$R$3:$R$1713,'GBD estimates'!$K$3:$K$1713=I$3,'GBD estimates'!$L$3:$L$1713=""Meningitis"",'GBD estimates'!$N$3:$N$1713=""Under 5"")"),1739.194164)</f>
        <v>1739.194164</v>
      </c>
      <c r="J163" s="564">
        <f>IFERROR(__xludf.DUMMYFUNCTION("FILTER('GBD estimates'!$R$3:$R$1713,'GBD estimates'!$K$3:$K$1713=J$3,'GBD estimates'!$L$3:$L$1713=""Meningitis"",'GBD estimates'!$N$3:$N$1713=""Under 5"")"),683.0972966)</f>
        <v>683.0972966</v>
      </c>
      <c r="K163" s="564">
        <f>IFERROR(__xludf.DUMMYFUNCTION("FILTER('GBD estimates'!$R$3:$R$1713,'GBD estimates'!$K$3:$K$1713=K$3,'GBD estimates'!$L$3:$L$1713=""Meningitis"",'GBD estimates'!$N$3:$N$1713=""Under 5"")"),1495.031252)</f>
        <v>1495.031252</v>
      </c>
      <c r="L163" s="564">
        <f t="shared" si="40"/>
        <v>1386.180635</v>
      </c>
      <c r="M163" s="564">
        <f>IFERROR(__xludf.DUMMYFUNCTION("FILTER('GBD estimates'!$R$3:$R$1713,'GBD estimates'!$K$3:$K$1713=M$3,'GBD estimates'!$L$3:$L$1713=""Meningitis"",'GBD estimates'!$N$3:$N$1713=""Under 5"")"),3707.038833)</f>
        <v>3707.038833</v>
      </c>
      <c r="N163" s="564">
        <f>IFERROR(__xludf.DUMMYFUNCTION("FILTER('GBD estimates'!$R$3:$R$1713,'GBD estimates'!$K$3:$K$1713=N$3,'GBD estimates'!$L$3:$L$1713=""Meningitis"",'GBD estimates'!$N$3:$N$1713=""Under 5"")"),2043.485593)</f>
        <v>2043.485593</v>
      </c>
      <c r="O163" s="564">
        <f>IFERROR(__xludf.DUMMYFUNCTION("FILTER('GBD estimates'!$R$3:$R$1713,'GBD estimates'!$K$3:$K$1713=O$3,'GBD estimates'!$L$3:$L$1713=""Meningitis"",'GBD estimates'!$N$3:$N$1713=""Under 5"")"),1061.10668)</f>
        <v>1061.10668</v>
      </c>
      <c r="P163" s="564">
        <f>IFERROR(__xludf.DUMMYFUNCTION("FILTER('GBD estimates'!$R$3:$R$1713,'GBD estimates'!$K$3:$K$1713=P$3,'GBD estimates'!$L$3:$L$1713=""Meningitis"",'GBD estimates'!$N$3:$N$1713=""Under 5"")"),2395.314093)</f>
        <v>2395.314093</v>
      </c>
      <c r="Q163" s="565">
        <f>IFERROR(__xludf.DUMMYFUNCTION("FILTER('GBD estimates'!$R$3:$R$1713,'GBD estimates'!$K$3:$K$1713=Q$3,'GBD estimates'!$L$3:$L$1713=""Meningitis"",'GBD estimates'!$N$3:$N$1713=""Under 5"")"),1492.521201)</f>
        <v>1492.521201</v>
      </c>
      <c r="R163" s="564">
        <f>IFERROR(__xludf.DUMMYFUNCTION("FILTER('GBD estimates'!$R$3:$R$1713,'GBD estimates'!$K$3:$K$1713=R$3,'GBD estimates'!$L$3:$L$1713=""Meningitis"",'GBD estimates'!$N$3:$N$1713=""Under 5"")"),224.3632432)</f>
        <v>224.3632432</v>
      </c>
      <c r="S163" s="564">
        <f>IFERROR(__xludf.DUMMYFUNCTION("FILTER('GBD estimates'!$R$3:$R$1713,'GBD estimates'!$K$3:$K$1713=S$3,'GBD estimates'!$L$3:$L$1713=""Meningitis"",'GBD estimates'!$N$3:$N$1713=""Under 5"")"),472.3934152)</f>
        <v>472.3934152</v>
      </c>
      <c r="T163" s="564">
        <f>IFERROR(__xludf.DUMMYFUNCTION("FILTER('GBD estimates'!$R$3:$R$1713,'GBD estimates'!$K$3:$K$1713=T$3,'GBD estimates'!$L$3:$L$1713=""Meningitis"",'GBD estimates'!$N$3:$N$1713=""Under 5"")"),72.72755246)</f>
        <v>72.72755246</v>
      </c>
      <c r="U163" s="564">
        <f>IFERROR(__xludf.DUMMYFUNCTION("FILTER('GBD estimates'!$R$3:$R$1713,'GBD estimates'!$K$3:$K$1713=U$3,'GBD estimates'!$L$3:$L$1713=""Meningitis"",'GBD estimates'!$N$3:$N$1713=""Under 5"")"),203.0302095)</f>
        <v>203.0302095</v>
      </c>
      <c r="V163" s="564">
        <f>IFERROR(__xludf.DUMMYFUNCTION("FILTER('GBD estimates'!$R$3:$R$1713,'GBD estimates'!$K$3:$K$1713=V$3,'GBD estimates'!$L$3:$L$1713=""Meningitis"",'GBD estimates'!$N$3:$N$1713=""Under 5"")"),35.07375564)</f>
        <v>35.07375564</v>
      </c>
      <c r="W163" s="564">
        <f>IFERROR(__xludf.DUMMYFUNCTION("FILTER('GBD estimates'!$R$3:$R$1713,'GBD estimates'!$K$3:$K$1713=W$3,'GBD estimates'!$L$3:$L$1713=""Meningitis"",'GBD estimates'!$N$3:$N$1713=""Under 5"")"),628.8831324)</f>
        <v>628.8831324</v>
      </c>
      <c r="X163" s="564">
        <f>IFERROR(__xludf.DUMMYFUNCTION("FILTER('GBD estimates'!$R$3:$R$1713,'GBD estimates'!$K$3:$K$1713=X$3,'GBD estimates'!$L$3:$L$1713=""Meningitis"",'GBD estimates'!$N$3:$N$1713=""Under 5"")"),277.464135)</f>
        <v>277.464135</v>
      </c>
      <c r="Y163" s="564">
        <f>IFERROR(__xludf.DUMMYFUNCTION("FILTER('GBD estimates'!$R$3:$R$1713,'GBD estimates'!$K$3:$K$1713=Y$3,'GBD estimates'!$L$3:$L$1713=""Meningitis"",'GBD estimates'!$N$3:$N$1713=""Under 5"")"),78.8276494)</f>
        <v>78.8276494</v>
      </c>
      <c r="Z163" s="564">
        <f>IFERROR(__xludf.DUMMYFUNCTION("FILTER('GBD estimates'!$R$3:$R$1713,'GBD estimates'!$K$3:$K$1713=Z$3,'GBD estimates'!$L$3:$L$1713=""Meningitis"",'GBD estimates'!$N$3:$N$1713=""Under 5"")"),198.8477264)</f>
        <v>198.8477264</v>
      </c>
      <c r="AA163" s="564">
        <f>IFERROR(__xludf.DUMMYFUNCTION("FILTER('GBD estimates'!$R$3:$R$1713,'GBD estimates'!$K$3:$K$1713=AA$3,'GBD estimates'!$L$3:$L$1713=""Meningitis"",'GBD estimates'!$N$3:$N$1713=""Under 5"")"),209.588632)</f>
        <v>209.588632</v>
      </c>
      <c r="AB163" s="564">
        <f>IFERROR(__xludf.DUMMYFUNCTION("FILTER('GBD estimates'!$R$3:$R$1713,'GBD estimates'!$K$3:$K$1713=AB$3,'GBD estimates'!$L$3:$L$1713=""Meningitis"",'GBD estimates'!$N$3:$N$1713=""Under 5"")"),161.5680607)</f>
        <v>161.5680607</v>
      </c>
      <c r="AC163" s="564">
        <f>IFERROR(__xludf.DUMMYFUNCTION("FILTER('GBD estimates'!$R$3:$R$1713,'GBD estimates'!$K$3:$K$1713=AC$3,'GBD estimates'!$L$3:$L$1713=""Meningitis"",'GBD estimates'!$N$3:$N$1713=""Under 5"")"),57.04577686)</f>
        <v>57.04577686</v>
      </c>
      <c r="AD163" s="564">
        <f>IFERROR(__xludf.DUMMYFUNCTION("FILTER('GBD estimates'!$R$3:$R$1713,'GBD estimates'!$K$3:$K$1713=AD$3,'GBD estimates'!$L$3:$L$1713=""Meningitis"",'GBD estimates'!$N$3:$N$1713=""Under 5"")"),107.9134404)</f>
        <v>107.9134404</v>
      </c>
      <c r="AE163" s="564">
        <f>IFERROR(__xludf.DUMMYFUNCTION("FILTER('GBD estimates'!$R$3:$R$1713,'GBD estimates'!$K$3:$K$1713=AE$3,'GBD estimates'!$L$3:$L$1713=""Meningitis"",'GBD estimates'!$N$3:$N$1713=""Under 5"")"),288.455805)</f>
        <v>288.455805</v>
      </c>
      <c r="AF163" s="564">
        <f>IFERROR(__xludf.DUMMYFUNCTION("FILTER('GBD estimates'!$R$3:$R$1713,'GBD estimates'!$K$3:$K$1713=AF$3,'GBD estimates'!$L$3:$L$1713=""Meningitis"",'GBD estimates'!$N$3:$N$1713=""Under 5"")"),290.3267632)</f>
        <v>290.3267632</v>
      </c>
      <c r="AG163" s="564">
        <f>IFERROR(__xludf.DUMMYFUNCTION("FILTER('GBD estimates'!$R$3:$R$1713,'GBD estimates'!$K$3:$K$1713=AG$3,'GBD estimates'!$L$3:$L$1713=""Meningitis"",'GBD estimates'!$N$3:$N$1713=""Under 5"")"),1386.180635)</f>
        <v>1386.180635</v>
      </c>
      <c r="AH163" s="564">
        <f>IFERROR(__xludf.DUMMYFUNCTION("FILTER('GBD estimates'!$R$3:$R$1713,'GBD estimates'!$K$3:$K$1713=AH$3,'GBD estimates'!$L$3:$L$1713=""Meningitis"",'GBD estimates'!$N$3:$N$1713=""Under 5"")"),99.72279218)</f>
        <v>99.72279218</v>
      </c>
      <c r="AI163" s="564">
        <f>IFERROR(__xludf.DUMMYFUNCTION("FILTER('GBD estimates'!$R$3:$R$1713,'GBD estimates'!$K$3:$K$1713=AI$3,'GBD estimates'!$L$3:$L$1713=""Meningitis"",'GBD estimates'!$N$3:$N$1713=""Under 5"")"),87.79916158)</f>
        <v>87.79916158</v>
      </c>
      <c r="AJ163" s="564">
        <f>IFERROR(__xludf.DUMMYFUNCTION("FILTER('GBD estimates'!$R$3:$R$1713,'GBD estimates'!$K$3:$K$1713=AJ$3,'GBD estimates'!$L$3:$L$1713=""Meningitis"",'GBD estimates'!$N$3:$N$1713=""Under 5"")"),109.5447213)</f>
        <v>109.5447213</v>
      </c>
      <c r="AK163" s="564">
        <f>IFERROR(__xludf.DUMMYFUNCTION("FILTER('GBD estimates'!$R$3:$R$1713,'GBD estimates'!$K$3:$K$1713=AK$3,'GBD estimates'!$L$3:$L$1713=""Meningitis"",'GBD estimates'!$N$3:$N$1713=""Under 5"")"),413.0022819)</f>
        <v>413.0022819</v>
      </c>
      <c r="AL163" s="564">
        <f>IFERROR(__xludf.DUMMYFUNCTION("FILTER('GBD estimates'!$R$3:$R$1713,'GBD estimates'!$K$3:$K$1713=AL$3,'GBD estimates'!$L$3:$L$1713=""Meningitis"",'GBD estimates'!$N$3:$N$1713=""Under 5"")"),1284.887491)</f>
        <v>1284.887491</v>
      </c>
      <c r="AM163" s="564">
        <f t="shared" ref="AM163:AN163" si="44">AL163</f>
        <v>1284.887491</v>
      </c>
      <c r="AN163" s="564">
        <f t="shared" si="44"/>
        <v>1284.887491</v>
      </c>
      <c r="AO163" s="564">
        <f>IFERROR(__xludf.DUMMYFUNCTION("FILTER('GBD estimates'!$R$3:$R$1713,'GBD estimates'!$K$3:$K$1713=AO$3,'GBD estimates'!$L$3:$L$1713=""Meningitis"",'GBD estimates'!$N$3:$N$1713=""Under 5"")"),470.4288251)</f>
        <v>470.4288251</v>
      </c>
      <c r="AP163" s="564">
        <f>IFERROR(__xludf.DUMMYFUNCTION("FILTER('GBD estimates'!$R$3:$R$1713,'GBD estimates'!$K$3:$K$1713=AP$3,'GBD estimates'!$L$3:$L$1713=""Meningitis"",'GBD estimates'!$N$3:$N$1713=""Under 5"")"),131.3038019)</f>
        <v>131.3038019</v>
      </c>
      <c r="AQ163" s="564">
        <f>IFERROR(__xludf.DUMMYFUNCTION("FILTER('GBD estimates'!$R$3:$R$1713,'GBD estimates'!$K$3:$K$1713=AQ$3,'GBD estimates'!$L$3:$L$1713=""Meningitis"",'GBD estimates'!$N$3:$N$1713=""Under 5"")"),76.7641569)</f>
        <v>76.7641569</v>
      </c>
      <c r="AR163" s="564">
        <f>IFERROR(__xludf.DUMMYFUNCTION("FILTER('GBD estimates'!$R$3:$R$1713,'GBD estimates'!$K$3:$K$1713=AR$3,'GBD estimates'!$L$3:$L$1713=""Meningitis"",'GBD estimates'!$N$3:$N$1713=""Under 5"")"),140.3916862)</f>
        <v>140.3916862</v>
      </c>
      <c r="AS163" s="564">
        <f>IFERROR(__xludf.DUMMYFUNCTION("FILTER('GBD estimates'!$R$3:$R$1713,'GBD estimates'!$K$3:$K$1713=AS$3,'GBD estimates'!$L$3:$L$1713=""Meningitis"",'GBD estimates'!$N$3:$N$1713=""Under 5"")"),611.2231841)</f>
        <v>611.2231841</v>
      </c>
      <c r="AT163" s="564">
        <f>IFERROR(__xludf.DUMMYFUNCTION("FILTER('GBD estimates'!$R$3:$R$1713,'GBD estimates'!$K$3:$K$1713=AT$3,'GBD estimates'!$L$3:$L$1713=""Meningitis"",'GBD estimates'!$N$3:$N$1713=""Under 5"")"),149.8260721)</f>
        <v>149.8260721</v>
      </c>
      <c r="AU163" s="564">
        <f>IFERROR(__xludf.DUMMYFUNCTION("FILTER('GBD estimates'!$R$3:$R$1713,'GBD estimates'!$K$3:$K$1713=AU$3,'GBD estimates'!$L$3:$L$1713=""Meningitis"",'GBD estimates'!$N$3:$N$1713=""Under 5"")"),1337.418391)</f>
        <v>1337.418391</v>
      </c>
      <c r="AV163" s="564">
        <f>IFERROR(__xludf.DUMMYFUNCTION("FILTER('GBD estimates'!$R$3:$R$1713,'GBD estimates'!$K$3:$K$1713=AV$3,'GBD estimates'!$L$3:$L$1713=""Meningitis"",'GBD estimates'!$N$3:$N$1713=""Under 5"")"),578.3361405)</f>
        <v>578.3361405</v>
      </c>
      <c r="AW163" s="784"/>
      <c r="AX163" s="797" t="s">
        <v>999</v>
      </c>
      <c r="AY163" s="786"/>
    </row>
    <row r="164">
      <c r="A164" s="776"/>
      <c r="B164" s="538"/>
      <c r="C164" s="538"/>
      <c r="D164" s="538"/>
      <c r="E164" s="475" t="s">
        <v>616</v>
      </c>
      <c r="F164" s="554" t="s">
        <v>62</v>
      </c>
      <c r="G164" s="555" t="s">
        <v>165</v>
      </c>
      <c r="H164" s="811" t="s">
        <v>162</v>
      </c>
      <c r="I164" s="564">
        <f>IFERROR(__xludf.DUMMYFUNCTION("FILTER('GBD estimates'!$R$3:$R$1713,'GBD estimates'!$K$3:$K$1713=I$3,'GBD estimates'!$L$3:$L$1713=""Meningitis"",'GBD estimates'!$N$3:$N$1713=""Early Neonatal"")"),106.4141194)</f>
        <v>106.4141194</v>
      </c>
      <c r="J164" s="564">
        <f>IFERROR(__xludf.DUMMYFUNCTION("FILTER('GBD estimates'!$R$3:$R$1713,'GBD estimates'!$K$3:$K$1713=J$3,'GBD estimates'!$L$3:$L$1713=""Meningitis"",'GBD estimates'!$N$3:$N$1713=""Early Neonatal"")"),39.26907751)</f>
        <v>39.26907751</v>
      </c>
      <c r="K164" s="564">
        <f>IFERROR(__xludf.DUMMYFUNCTION("FILTER('GBD estimates'!$R$3:$R$1713,'GBD estimates'!$K$3:$K$1713=K$3,'GBD estimates'!$L$3:$L$1713=""Meningitis"",'GBD estimates'!$N$3:$N$1713=""Early Neonatal"")"),72.15888587)</f>
        <v>72.15888587</v>
      </c>
      <c r="L164" s="564">
        <f t="shared" si="40"/>
        <v>94.85391153</v>
      </c>
      <c r="M164" s="564">
        <f>IFERROR(__xludf.DUMMYFUNCTION("FILTER('GBD estimates'!$R$3:$R$1713,'GBD estimates'!$K$3:$K$1713=M$3,'GBD estimates'!$L$3:$L$1713=""Meningitis"",'GBD estimates'!$N$3:$N$1713=""Early Neonatal"")"),232.5389148)</f>
        <v>232.5389148</v>
      </c>
      <c r="N164" s="564">
        <f>IFERROR(__xludf.DUMMYFUNCTION("FILTER('GBD estimates'!$R$3:$R$1713,'GBD estimates'!$K$3:$K$1713=N$3,'GBD estimates'!$L$3:$L$1713=""Meningitis"",'GBD estimates'!$N$3:$N$1713=""Early Neonatal"")"),108.2306589)</f>
        <v>108.2306589</v>
      </c>
      <c r="O164" s="564">
        <f>IFERROR(__xludf.DUMMYFUNCTION("FILTER('GBD estimates'!$R$3:$R$1713,'GBD estimates'!$K$3:$K$1713=O$3,'GBD estimates'!$L$3:$L$1713=""Meningitis"",'GBD estimates'!$N$3:$N$1713=""Early Neonatal"")"),74.78046252)</f>
        <v>74.78046252</v>
      </c>
      <c r="P164" s="564">
        <f>IFERROR(__xludf.DUMMYFUNCTION("FILTER('GBD estimates'!$R$3:$R$1713,'GBD estimates'!$K$3:$K$1713=P$3,'GBD estimates'!$L$3:$L$1713=""Meningitis"",'GBD estimates'!$N$3:$N$1713=""Early Neonatal"")"),112.9247982)</f>
        <v>112.9247982</v>
      </c>
      <c r="Q164" s="565">
        <f>IFERROR(__xludf.DUMMYFUNCTION("FILTER('GBD estimates'!$R$3:$R$1713,'GBD estimates'!$K$3:$K$1713=Q$3,'GBD estimates'!$L$3:$L$1713=""Meningitis"",'GBD estimates'!$N$3:$N$1713=""Early Neonatal"")"),52.77654376)</f>
        <v>52.77654376</v>
      </c>
      <c r="R164" s="564">
        <f>IFERROR(__xludf.DUMMYFUNCTION("FILTER('GBD estimates'!$R$3:$R$1713,'GBD estimates'!$K$3:$K$1713=R$3,'GBD estimates'!$L$3:$L$1713=""Meningitis"",'GBD estimates'!$N$3:$N$1713=""Early Neonatal"")"),20.82072545)</f>
        <v>20.82072545</v>
      </c>
      <c r="S164" s="564">
        <f>IFERROR(__xludf.DUMMYFUNCTION("FILTER('GBD estimates'!$R$3:$R$1713,'GBD estimates'!$K$3:$K$1713=S$3,'GBD estimates'!$L$3:$L$1713=""Meningitis"",'GBD estimates'!$N$3:$N$1713=""Early Neonatal"")"),28.76934075)</f>
        <v>28.76934075</v>
      </c>
      <c r="T164" s="564">
        <f>IFERROR(__xludf.DUMMYFUNCTION("FILTER('GBD estimates'!$R$3:$R$1713,'GBD estimates'!$K$3:$K$1713=T$3,'GBD estimates'!$L$3:$L$1713=""Meningitis"",'GBD estimates'!$N$3:$N$1713=""Early Neonatal"")"),8.364610002)</f>
        <v>8.364610002</v>
      </c>
      <c r="U164" s="564">
        <f>IFERROR(__xludf.DUMMYFUNCTION("FILTER('GBD estimates'!$R$3:$R$1713,'GBD estimates'!$K$3:$K$1713=U$3,'GBD estimates'!$L$3:$L$1713=""Meningitis"",'GBD estimates'!$N$3:$N$1713=""Early Neonatal"")"),22.41188221)</f>
        <v>22.41188221</v>
      </c>
      <c r="V164" s="564">
        <f>IFERROR(__xludf.DUMMYFUNCTION("FILTER('GBD estimates'!$R$3:$R$1713,'GBD estimates'!$K$3:$K$1713=V$3,'GBD estimates'!$L$3:$L$1713=""Meningitis"",'GBD estimates'!$N$3:$N$1713=""Early Neonatal"")"),2.930334988)</f>
        <v>2.930334988</v>
      </c>
      <c r="W164" s="564">
        <f>IFERROR(__xludf.DUMMYFUNCTION("FILTER('GBD estimates'!$R$3:$R$1713,'GBD estimates'!$K$3:$K$1713=W$3,'GBD estimates'!$L$3:$L$1713=""Meningitis"",'GBD estimates'!$N$3:$N$1713=""Early Neonatal"")"),68.72042112)</f>
        <v>68.72042112</v>
      </c>
      <c r="X164" s="564">
        <f>IFERROR(__xludf.DUMMYFUNCTION("FILTER('GBD estimates'!$R$3:$R$1713,'GBD estimates'!$K$3:$K$1713=X$3,'GBD estimates'!$L$3:$L$1713=""Meningitis"",'GBD estimates'!$N$3:$N$1713=""Early Neonatal"")"),29.149782)</f>
        <v>29.149782</v>
      </c>
      <c r="Y164" s="564">
        <f>IFERROR(__xludf.DUMMYFUNCTION("FILTER('GBD estimates'!$R$3:$R$1713,'GBD estimates'!$K$3:$K$1713=Y$3,'GBD estimates'!$L$3:$L$1713=""Meningitis"",'GBD estimates'!$N$3:$N$1713=""Early Neonatal"")"),7.597028806)</f>
        <v>7.597028806</v>
      </c>
      <c r="Z164" s="564">
        <f>IFERROR(__xludf.DUMMYFUNCTION("FILTER('GBD estimates'!$R$3:$R$1713,'GBD estimates'!$K$3:$K$1713=Z$3,'GBD estimates'!$L$3:$L$1713=""Meningitis"",'GBD estimates'!$N$3:$N$1713=""Early Neonatal"")"),22.0691039)</f>
        <v>22.0691039</v>
      </c>
      <c r="AA164" s="564">
        <f>IFERROR(__xludf.DUMMYFUNCTION("FILTER('GBD estimates'!$R$3:$R$1713,'GBD estimates'!$K$3:$K$1713=AA$3,'GBD estimates'!$L$3:$L$1713=""Meningitis"",'GBD estimates'!$N$3:$N$1713=""Early Neonatal"")"),26.03058789)</f>
        <v>26.03058789</v>
      </c>
      <c r="AB164" s="564">
        <f>IFERROR(__xludf.DUMMYFUNCTION("FILTER('GBD estimates'!$R$3:$R$1713,'GBD estimates'!$K$3:$K$1713=AB$3,'GBD estimates'!$L$3:$L$1713=""Meningitis"",'GBD estimates'!$N$3:$N$1713=""Early Neonatal"")"),15.21239842)</f>
        <v>15.21239842</v>
      </c>
      <c r="AC164" s="564">
        <f>IFERROR(__xludf.DUMMYFUNCTION("FILTER('GBD estimates'!$R$3:$R$1713,'GBD estimates'!$K$3:$K$1713=AC$3,'GBD estimates'!$L$3:$L$1713=""Meningitis"",'GBD estimates'!$N$3:$N$1713=""Early Neonatal"")"),8.398213867)</f>
        <v>8.398213867</v>
      </c>
      <c r="AD164" s="564">
        <f>IFERROR(__xludf.DUMMYFUNCTION("FILTER('GBD estimates'!$R$3:$R$1713,'GBD estimates'!$K$3:$K$1713=AD$3,'GBD estimates'!$L$3:$L$1713=""Meningitis"",'GBD estimates'!$N$3:$N$1713=""Early Neonatal"")"),12.76307736)</f>
        <v>12.76307736</v>
      </c>
      <c r="AE164" s="564">
        <f>IFERROR(__xludf.DUMMYFUNCTION("FILTER('GBD estimates'!$R$3:$R$1713,'GBD estimates'!$K$3:$K$1713=AE$3,'GBD estimates'!$L$3:$L$1713=""Meningitis"",'GBD estimates'!$N$3:$N$1713=""Early Neonatal"")"),36.68629771)</f>
        <v>36.68629771</v>
      </c>
      <c r="AF164" s="564">
        <f>IFERROR(__xludf.DUMMYFUNCTION("FILTER('GBD estimates'!$R$3:$R$1713,'GBD estimates'!$K$3:$K$1713=AF$3,'GBD estimates'!$L$3:$L$1713=""Meningitis"",'GBD estimates'!$N$3:$N$1713=""Early Neonatal"")"),43.57592011)</f>
        <v>43.57592011</v>
      </c>
      <c r="AG164" s="564">
        <f>IFERROR(__xludf.DUMMYFUNCTION("FILTER('GBD estimates'!$R$3:$R$1713,'GBD estimates'!$K$3:$K$1713=AG$3,'GBD estimates'!$L$3:$L$1713=""Meningitis"",'GBD estimates'!$N$3:$N$1713=""Early Neonatal"")"),94.85391153)</f>
        <v>94.85391153</v>
      </c>
      <c r="AH164" s="564">
        <f>IFERROR(__xludf.DUMMYFUNCTION("FILTER('GBD estimates'!$R$3:$R$1713,'GBD estimates'!$K$3:$K$1713=AH$3,'GBD estimates'!$L$3:$L$1713=""Meningitis"",'GBD estimates'!$N$3:$N$1713=""Early Neonatal"")"),11.45004907)</f>
        <v>11.45004907</v>
      </c>
      <c r="AI164" s="564">
        <f>IFERROR(__xludf.DUMMYFUNCTION("FILTER('GBD estimates'!$R$3:$R$1713,'GBD estimates'!$K$3:$K$1713=AI$3,'GBD estimates'!$L$3:$L$1713=""Meningitis"",'GBD estimates'!$N$3:$N$1713=""Early Neonatal"")"),11.61158209)</f>
        <v>11.61158209</v>
      </c>
      <c r="AJ164" s="564">
        <f>IFERROR(__xludf.DUMMYFUNCTION("FILTER('GBD estimates'!$R$3:$R$1713,'GBD estimates'!$K$3:$K$1713=AJ$3,'GBD estimates'!$L$3:$L$1713=""Meningitis"",'GBD estimates'!$N$3:$N$1713=""Early Neonatal"")"),21.65063764)</f>
        <v>21.65063764</v>
      </c>
      <c r="AK164" s="564">
        <f>IFERROR(__xludf.DUMMYFUNCTION("FILTER('GBD estimates'!$R$3:$R$1713,'GBD estimates'!$K$3:$K$1713=AK$3,'GBD estimates'!$L$3:$L$1713=""Meningitis"",'GBD estimates'!$N$3:$N$1713=""Early Neonatal"")"),43.50322354)</f>
        <v>43.50322354</v>
      </c>
      <c r="AL164" s="564">
        <f>IFERROR(__xludf.DUMMYFUNCTION("FILTER('GBD estimates'!$R$3:$R$1713,'GBD estimates'!$K$3:$K$1713=AL$3,'GBD estimates'!$L$3:$L$1713=""Meningitis"",'GBD estimates'!$N$3:$N$1713=""Early Neonatal"")"),92.28288516)</f>
        <v>92.28288516</v>
      </c>
      <c r="AM164" s="564">
        <f t="shared" ref="AM164:AN164" si="45">AL164</f>
        <v>92.28288516</v>
      </c>
      <c r="AN164" s="564">
        <f t="shared" si="45"/>
        <v>92.28288516</v>
      </c>
      <c r="AO164" s="564">
        <f>IFERROR(__xludf.DUMMYFUNCTION("FILTER('GBD estimates'!$R$3:$R$1713,'GBD estimates'!$K$3:$K$1713=AO$3,'GBD estimates'!$L$3:$L$1713=""Meningitis"",'GBD estimates'!$N$3:$N$1713=""Early Neonatal"")"),61.83767961)</f>
        <v>61.83767961</v>
      </c>
      <c r="AP164" s="564">
        <f>IFERROR(__xludf.DUMMYFUNCTION("FILTER('GBD estimates'!$R$3:$R$1713,'GBD estimates'!$K$3:$K$1713=AP$3,'GBD estimates'!$L$3:$L$1713=""Meningitis"",'GBD estimates'!$N$3:$N$1713=""Early Neonatal"")"),16.32538475)</f>
        <v>16.32538475</v>
      </c>
      <c r="AQ164" s="564">
        <f>IFERROR(__xludf.DUMMYFUNCTION("FILTER('GBD estimates'!$R$3:$R$1713,'GBD estimates'!$K$3:$K$1713=AQ$3,'GBD estimates'!$L$3:$L$1713=""Meningitis"",'GBD estimates'!$N$3:$N$1713=""Early Neonatal"")"),13.57805059)</f>
        <v>13.57805059</v>
      </c>
      <c r="AR164" s="564">
        <f>IFERROR(__xludf.DUMMYFUNCTION("FILTER('GBD estimates'!$R$3:$R$1713,'GBD estimates'!$K$3:$K$1713=AR$3,'GBD estimates'!$L$3:$L$1713=""Meningitis"",'GBD estimates'!$N$3:$N$1713=""Early Neonatal"")"),20.95907005)</f>
        <v>20.95907005</v>
      </c>
      <c r="AS164" s="564">
        <f>IFERROR(__xludf.DUMMYFUNCTION("FILTER('GBD estimates'!$R$3:$R$1713,'GBD estimates'!$K$3:$K$1713=AS$3,'GBD estimates'!$L$3:$L$1713=""Meningitis"",'GBD estimates'!$N$3:$N$1713=""Early Neonatal"")"),66.10390092)</f>
        <v>66.10390092</v>
      </c>
      <c r="AT164" s="564">
        <f>IFERROR(__xludf.DUMMYFUNCTION("FILTER('GBD estimates'!$R$3:$R$1713,'GBD estimates'!$K$3:$K$1713=AT$3,'GBD estimates'!$L$3:$L$1713=""Meningitis"",'GBD estimates'!$N$3:$N$1713=""Early Neonatal"")"),17.25377488)</f>
        <v>17.25377488</v>
      </c>
      <c r="AU164" s="564">
        <f>IFERROR(__xludf.DUMMYFUNCTION("FILTER('GBD estimates'!$R$3:$R$1713,'GBD estimates'!$K$3:$K$1713=AU$3,'GBD estimates'!$L$3:$L$1713=""Meningitis"",'GBD estimates'!$N$3:$N$1713=""Early Neonatal"")"),79.06687657)</f>
        <v>79.06687657</v>
      </c>
      <c r="AV164" s="564">
        <f>IFERROR(__xludf.DUMMYFUNCTION("FILTER('GBD estimates'!$R$3:$R$1713,'GBD estimates'!$K$3:$K$1713=AV$3,'GBD estimates'!$L$3:$L$1713=""Meningitis"",'GBD estimates'!$N$3:$N$1713=""Early Neonatal"")"),53.62660007)</f>
        <v>53.62660007</v>
      </c>
      <c r="AW164" s="788"/>
      <c r="AX164" s="798" t="s">
        <v>999</v>
      </c>
      <c r="AY164" s="790"/>
    </row>
    <row r="165">
      <c r="A165" s="776"/>
      <c r="B165" s="538"/>
      <c r="C165" s="538"/>
      <c r="D165" s="538"/>
      <c r="E165" s="475" t="s">
        <v>617</v>
      </c>
      <c r="F165" s="554" t="s">
        <v>62</v>
      </c>
      <c r="G165" s="555" t="s">
        <v>165</v>
      </c>
      <c r="H165" s="811" t="s">
        <v>162</v>
      </c>
      <c r="I165" s="564">
        <f>IFERROR(__xludf.DUMMYFUNCTION("FILTER('GBD estimates'!$R$3:$R$1713,'GBD estimates'!$K$3:$K$1713=I$3,'GBD estimates'!$L$3:$L$1713=""Meningitis"",'GBD estimates'!$N$3:$N$1713=""Late Neonatal"")"),52.03234816)</f>
        <v>52.03234816</v>
      </c>
      <c r="J165" s="564">
        <f>IFERROR(__xludf.DUMMYFUNCTION("FILTER('GBD estimates'!$R$3:$R$1713,'GBD estimates'!$K$3:$K$1713=J$3,'GBD estimates'!$L$3:$L$1713=""Meningitis"",'GBD estimates'!$N$3:$N$1713=""Late Neonatal"")"),22.47834852)</f>
        <v>22.47834852</v>
      </c>
      <c r="K165" s="564">
        <f>IFERROR(__xludf.DUMMYFUNCTION("FILTER('GBD estimates'!$R$3:$R$1713,'GBD estimates'!$K$3:$K$1713=K$3,'GBD estimates'!$L$3:$L$1713=""Meningitis"",'GBD estimates'!$N$3:$N$1713=""Late Neonatal"")"),40.57253079)</f>
        <v>40.57253079</v>
      </c>
      <c r="L165" s="564">
        <f t="shared" si="40"/>
        <v>68.29007617</v>
      </c>
      <c r="M165" s="564">
        <f>IFERROR(__xludf.DUMMYFUNCTION("FILTER('GBD estimates'!$R$3:$R$1713,'GBD estimates'!$K$3:$K$1713=M$3,'GBD estimates'!$L$3:$L$1713=""Meningitis"",'GBD estimates'!$N$3:$N$1713=""Late Neonatal"")"),157.4103247)</f>
        <v>157.4103247</v>
      </c>
      <c r="N165" s="564">
        <f>IFERROR(__xludf.DUMMYFUNCTION("FILTER('GBD estimates'!$R$3:$R$1713,'GBD estimates'!$K$3:$K$1713=N$3,'GBD estimates'!$L$3:$L$1713=""Meningitis"",'GBD estimates'!$N$3:$N$1713=""Late Neonatal"")"),105.1597916)</f>
        <v>105.1597916</v>
      </c>
      <c r="O165" s="564">
        <f>IFERROR(__xludf.DUMMYFUNCTION("FILTER('GBD estimates'!$R$3:$R$1713,'GBD estimates'!$K$3:$K$1713=O$3,'GBD estimates'!$L$3:$L$1713=""Meningitis"",'GBD estimates'!$N$3:$N$1713=""Late Neonatal"")"),44.52235959)</f>
        <v>44.52235959</v>
      </c>
      <c r="P165" s="564">
        <f>IFERROR(__xludf.DUMMYFUNCTION("FILTER('GBD estimates'!$R$3:$R$1713,'GBD estimates'!$K$3:$K$1713=P$3,'GBD estimates'!$L$3:$L$1713=""Meningitis"",'GBD estimates'!$N$3:$N$1713=""Late Neonatal"")"),105.0810759)</f>
        <v>105.0810759</v>
      </c>
      <c r="Q165" s="565">
        <f>IFERROR(__xludf.DUMMYFUNCTION("FILTER('GBD estimates'!$R$3:$R$1713,'GBD estimates'!$K$3:$K$1713=Q$3,'GBD estimates'!$L$3:$L$1713=""Meningitis"",'GBD estimates'!$N$3:$N$1713=""Late Neonatal"")"),58.31154912)</f>
        <v>58.31154912</v>
      </c>
      <c r="R165" s="564">
        <f>IFERROR(__xludf.DUMMYFUNCTION("FILTER('GBD estimates'!$R$3:$R$1713,'GBD estimates'!$K$3:$K$1713=R$3,'GBD estimates'!$L$3:$L$1713=""Meningitis"",'GBD estimates'!$N$3:$N$1713=""Late Neonatal"")"),9.239309279)</f>
        <v>9.239309279</v>
      </c>
      <c r="S165" s="564">
        <f>IFERROR(__xludf.DUMMYFUNCTION("FILTER('GBD estimates'!$R$3:$R$1713,'GBD estimates'!$K$3:$K$1713=S$3,'GBD estimates'!$L$3:$L$1713=""Meningitis"",'GBD estimates'!$N$3:$N$1713=""Late Neonatal"")"),17.47134003)</f>
        <v>17.47134003</v>
      </c>
      <c r="T165" s="564">
        <f>IFERROR(__xludf.DUMMYFUNCTION("FILTER('GBD estimates'!$R$3:$R$1713,'GBD estimates'!$K$3:$K$1713=T$3,'GBD estimates'!$L$3:$L$1713=""Meningitis"",'GBD estimates'!$N$3:$N$1713=""Late Neonatal"")"),4.712088948)</f>
        <v>4.712088948</v>
      </c>
      <c r="U165" s="564">
        <f>IFERROR(__xludf.DUMMYFUNCTION("FILTER('GBD estimates'!$R$3:$R$1713,'GBD estimates'!$K$3:$K$1713=U$3,'GBD estimates'!$L$3:$L$1713=""Meningitis"",'GBD estimates'!$N$3:$N$1713=""Late Neonatal"")"),11.73715441)</f>
        <v>11.73715441</v>
      </c>
      <c r="V165" s="564">
        <f>IFERROR(__xludf.DUMMYFUNCTION("FILTER('GBD estimates'!$R$3:$R$1713,'GBD estimates'!$K$3:$K$1713=V$3,'GBD estimates'!$L$3:$L$1713=""Meningitis"",'GBD estimates'!$N$3:$N$1713=""Late Neonatal"")"),1.616658064)</f>
        <v>1.616658064</v>
      </c>
      <c r="W165" s="564">
        <f>IFERROR(__xludf.DUMMYFUNCTION("FILTER('GBD estimates'!$R$3:$R$1713,'GBD estimates'!$K$3:$K$1713=W$3,'GBD estimates'!$L$3:$L$1713=""Meningitis"",'GBD estimates'!$N$3:$N$1713=""Late Neonatal"")"),37.0440206)</f>
        <v>37.0440206</v>
      </c>
      <c r="X165" s="564">
        <f>IFERROR(__xludf.DUMMYFUNCTION("FILTER('GBD estimates'!$R$3:$R$1713,'GBD estimates'!$K$3:$K$1713=X$3,'GBD estimates'!$L$3:$L$1713=""Meningitis"",'GBD estimates'!$N$3:$N$1713=""Late Neonatal"")"),17.84102987)</f>
        <v>17.84102987</v>
      </c>
      <c r="Y165" s="564">
        <f>IFERROR(__xludf.DUMMYFUNCTION("FILTER('GBD estimates'!$R$3:$R$1713,'GBD estimates'!$K$3:$K$1713=Y$3,'GBD estimates'!$L$3:$L$1713=""Meningitis"",'GBD estimates'!$N$3:$N$1713=""Late Neonatal"")"),4.592414057)</f>
        <v>4.592414057</v>
      </c>
      <c r="Z165" s="564">
        <f>IFERROR(__xludf.DUMMYFUNCTION("FILTER('GBD estimates'!$R$3:$R$1713,'GBD estimates'!$K$3:$K$1713=Z$3,'GBD estimates'!$L$3:$L$1713=""Meningitis"",'GBD estimates'!$N$3:$N$1713=""Late Neonatal"")"),14.38200631)</f>
        <v>14.38200631</v>
      </c>
      <c r="AA165" s="564">
        <f>IFERROR(__xludf.DUMMYFUNCTION("FILTER('GBD estimates'!$R$3:$R$1713,'GBD estimates'!$K$3:$K$1713=AA$3,'GBD estimates'!$L$3:$L$1713=""Meningitis"",'GBD estimates'!$N$3:$N$1713=""Late Neonatal"")"),13.62012144)</f>
        <v>13.62012144</v>
      </c>
      <c r="AB165" s="564">
        <f>IFERROR(__xludf.DUMMYFUNCTION("FILTER('GBD estimates'!$R$3:$R$1713,'GBD estimates'!$K$3:$K$1713=AB$3,'GBD estimates'!$L$3:$L$1713=""Meningitis"",'GBD estimates'!$N$3:$N$1713=""Late Neonatal"")"),8.540034917)</f>
        <v>8.540034917</v>
      </c>
      <c r="AC165" s="564">
        <f>IFERROR(__xludf.DUMMYFUNCTION("FILTER('GBD estimates'!$R$3:$R$1713,'GBD estimates'!$K$3:$K$1713=AC$3,'GBD estimates'!$L$3:$L$1713=""Meningitis"",'GBD estimates'!$N$3:$N$1713=""Late Neonatal"")"),3.405789601)</f>
        <v>3.405789601</v>
      </c>
      <c r="AD165" s="564">
        <f>IFERROR(__xludf.DUMMYFUNCTION("FILTER('GBD estimates'!$R$3:$R$1713,'GBD estimates'!$K$3:$K$1713=AD$3,'GBD estimates'!$L$3:$L$1713=""Meningitis"",'GBD estimates'!$N$3:$N$1713=""Late Neonatal"")"),10.89327711)</f>
        <v>10.89327711</v>
      </c>
      <c r="AE165" s="564">
        <f>IFERROR(__xludf.DUMMYFUNCTION("FILTER('GBD estimates'!$R$3:$R$1713,'GBD estimates'!$K$3:$K$1713=AE$3,'GBD estimates'!$L$3:$L$1713=""Meningitis"",'GBD estimates'!$N$3:$N$1713=""Late Neonatal"")"),16.43220052)</f>
        <v>16.43220052</v>
      </c>
      <c r="AF165" s="564">
        <f>IFERROR(__xludf.DUMMYFUNCTION("FILTER('GBD estimates'!$R$3:$R$1713,'GBD estimates'!$K$3:$K$1713=AF$3,'GBD estimates'!$L$3:$L$1713=""Meningitis"",'GBD estimates'!$N$3:$N$1713=""Late Neonatal"")"),13.26588654)</f>
        <v>13.26588654</v>
      </c>
      <c r="AG165" s="564">
        <f>IFERROR(__xludf.DUMMYFUNCTION("FILTER('GBD estimates'!$R$3:$R$1713,'GBD estimates'!$K$3:$K$1713=AG$3,'GBD estimates'!$L$3:$L$1713=""Meningitis"",'GBD estimates'!$N$3:$N$1713=""Late Neonatal"")"),68.29007617)</f>
        <v>68.29007617</v>
      </c>
      <c r="AH165" s="564">
        <f>IFERROR(__xludf.DUMMYFUNCTION("FILTER('GBD estimates'!$R$3:$R$1713,'GBD estimates'!$K$3:$K$1713=AH$3,'GBD estimates'!$L$3:$L$1713=""Meningitis"",'GBD estimates'!$N$3:$N$1713=""Late Neonatal"")"),6.007446286)</f>
        <v>6.007446286</v>
      </c>
      <c r="AI165" s="564">
        <f>IFERROR(__xludf.DUMMYFUNCTION("FILTER('GBD estimates'!$R$3:$R$1713,'GBD estimates'!$K$3:$K$1713=AI$3,'GBD estimates'!$L$3:$L$1713=""Meningitis"",'GBD estimates'!$N$3:$N$1713=""Late Neonatal"")"),8.6705455)</f>
        <v>8.6705455</v>
      </c>
      <c r="AJ165" s="564">
        <f>IFERROR(__xludf.DUMMYFUNCTION("FILTER('GBD estimates'!$R$3:$R$1713,'GBD estimates'!$K$3:$K$1713=AJ$3,'GBD estimates'!$L$3:$L$1713=""Meningitis"",'GBD estimates'!$N$3:$N$1713=""Late Neonatal"")"),10.25538763)</f>
        <v>10.25538763</v>
      </c>
      <c r="AK165" s="564">
        <f>IFERROR(__xludf.DUMMYFUNCTION("FILTER('GBD estimates'!$R$3:$R$1713,'GBD estimates'!$K$3:$K$1713=AK$3,'GBD estimates'!$L$3:$L$1713=""Meningitis"",'GBD estimates'!$N$3:$N$1713=""Late Neonatal"")"),27.30440462)</f>
        <v>27.30440462</v>
      </c>
      <c r="AL165" s="564">
        <f>IFERROR(__xludf.DUMMYFUNCTION("FILTER('GBD estimates'!$R$3:$R$1713,'GBD estimates'!$K$3:$K$1713=AL$3,'GBD estimates'!$L$3:$L$1713=""Meningitis"",'GBD estimates'!$N$3:$N$1713=""Late Neonatal"")"),84.11014099)</f>
        <v>84.11014099</v>
      </c>
      <c r="AM165" s="564">
        <f t="shared" ref="AM165:AN165" si="46">AL165</f>
        <v>84.11014099</v>
      </c>
      <c r="AN165" s="564">
        <f t="shared" si="46"/>
        <v>84.11014099</v>
      </c>
      <c r="AO165" s="564">
        <f>IFERROR(__xludf.DUMMYFUNCTION("FILTER('GBD estimates'!$R$3:$R$1713,'GBD estimates'!$K$3:$K$1713=AO$3,'GBD estimates'!$L$3:$L$1713=""Meningitis"",'GBD estimates'!$N$3:$N$1713=""Late Neonatal"")"),47.05543466)</f>
        <v>47.05543466</v>
      </c>
      <c r="AP165" s="564">
        <f>IFERROR(__xludf.DUMMYFUNCTION("FILTER('GBD estimates'!$R$3:$R$1713,'GBD estimates'!$K$3:$K$1713=AP$3,'GBD estimates'!$L$3:$L$1713=""Meningitis"",'GBD estimates'!$N$3:$N$1713=""Late Neonatal"")"),8.11726436)</f>
        <v>8.11726436</v>
      </c>
      <c r="AQ165" s="564">
        <f>IFERROR(__xludf.DUMMYFUNCTION("FILTER('GBD estimates'!$R$3:$R$1713,'GBD estimates'!$K$3:$K$1713=AQ$3,'GBD estimates'!$L$3:$L$1713=""Meningitis"",'GBD estimates'!$N$3:$N$1713=""Late Neonatal"")"),9.057157988)</f>
        <v>9.057157988</v>
      </c>
      <c r="AR165" s="564">
        <f>IFERROR(__xludf.DUMMYFUNCTION("FILTER('GBD estimates'!$R$3:$R$1713,'GBD estimates'!$K$3:$K$1713=AR$3,'GBD estimates'!$L$3:$L$1713=""Meningitis"",'GBD estimates'!$N$3:$N$1713=""Late Neonatal"")"),3.908863392)</f>
        <v>3.908863392</v>
      </c>
      <c r="AS165" s="564">
        <f>IFERROR(__xludf.DUMMYFUNCTION("FILTER('GBD estimates'!$R$3:$R$1713,'GBD estimates'!$K$3:$K$1713=AS$3,'GBD estimates'!$L$3:$L$1713=""Meningitis"",'GBD estimates'!$N$3:$N$1713=""Late Neonatal"")"),47.21916433)</f>
        <v>47.21916433</v>
      </c>
      <c r="AT165" s="564">
        <f>IFERROR(__xludf.DUMMYFUNCTION("FILTER('GBD estimates'!$R$3:$R$1713,'GBD estimates'!$K$3:$K$1713=AT$3,'GBD estimates'!$L$3:$L$1713=""Meningitis"",'GBD estimates'!$N$3:$N$1713=""Late Neonatal"")"),7.757917506)</f>
        <v>7.757917506</v>
      </c>
      <c r="AU165" s="564">
        <f>IFERROR(__xludf.DUMMYFUNCTION("FILTER('GBD estimates'!$R$3:$R$1713,'GBD estimates'!$K$3:$K$1713=AU$3,'GBD estimates'!$L$3:$L$1713=""Meningitis"",'GBD estimates'!$N$3:$N$1713=""Late Neonatal"")"),44.60534573)</f>
        <v>44.60534573</v>
      </c>
      <c r="AV165" s="564">
        <f>IFERROR(__xludf.DUMMYFUNCTION("FILTER('GBD estimates'!$R$3:$R$1713,'GBD estimates'!$K$3:$K$1713=AV$3,'GBD estimates'!$L$3:$L$1713=""Meningitis"",'GBD estimates'!$N$3:$N$1713=""Late Neonatal"")"),24.43461597)</f>
        <v>24.43461597</v>
      </c>
      <c r="AW165" s="788"/>
      <c r="AX165" s="798" t="s">
        <v>999</v>
      </c>
      <c r="AY165" s="790"/>
    </row>
    <row r="166">
      <c r="A166" s="776"/>
      <c r="B166" s="538"/>
      <c r="C166" s="538"/>
      <c r="D166" s="538"/>
      <c r="E166" s="475" t="s">
        <v>619</v>
      </c>
      <c r="F166" s="554" t="s">
        <v>72</v>
      </c>
      <c r="G166" s="555" t="s">
        <v>165</v>
      </c>
      <c r="H166" s="787">
        <v>0.1</v>
      </c>
      <c r="I166" s="310" t="s">
        <v>162</v>
      </c>
      <c r="J166" s="310" t="s">
        <v>162</v>
      </c>
      <c r="K166" s="310" t="s">
        <v>162</v>
      </c>
      <c r="L166" s="310" t="s">
        <v>162</v>
      </c>
      <c r="M166" s="310" t="s">
        <v>162</v>
      </c>
      <c r="N166" s="310" t="s">
        <v>162</v>
      </c>
      <c r="O166" s="310" t="s">
        <v>162</v>
      </c>
      <c r="P166" s="310" t="s">
        <v>162</v>
      </c>
      <c r="Q166" s="251" t="s">
        <v>162</v>
      </c>
      <c r="R166" s="310" t="s">
        <v>162</v>
      </c>
      <c r="S166" s="310" t="s">
        <v>162</v>
      </c>
      <c r="T166" s="310" t="s">
        <v>162</v>
      </c>
      <c r="U166" s="310" t="s">
        <v>162</v>
      </c>
      <c r="V166" s="310" t="s">
        <v>162</v>
      </c>
      <c r="W166" s="310" t="s">
        <v>162</v>
      </c>
      <c r="X166" s="310" t="s">
        <v>162</v>
      </c>
      <c r="Y166" s="310" t="s">
        <v>162</v>
      </c>
      <c r="Z166" s="310" t="s">
        <v>162</v>
      </c>
      <c r="AA166" s="310" t="s">
        <v>162</v>
      </c>
      <c r="AB166" s="310" t="s">
        <v>162</v>
      </c>
      <c r="AC166" s="310" t="s">
        <v>162</v>
      </c>
      <c r="AD166" s="310" t="s">
        <v>162</v>
      </c>
      <c r="AE166" s="310" t="s">
        <v>162</v>
      </c>
      <c r="AF166" s="310" t="s">
        <v>162</v>
      </c>
      <c r="AG166" s="310" t="s">
        <v>162</v>
      </c>
      <c r="AH166" s="310" t="s">
        <v>162</v>
      </c>
      <c r="AI166" s="310" t="s">
        <v>162</v>
      </c>
      <c r="AJ166" s="310" t="s">
        <v>162</v>
      </c>
      <c r="AK166" s="310" t="s">
        <v>162</v>
      </c>
      <c r="AL166" s="310" t="s">
        <v>162</v>
      </c>
      <c r="AM166" s="310" t="s">
        <v>162</v>
      </c>
      <c r="AN166" s="310" t="s">
        <v>162</v>
      </c>
      <c r="AO166" s="310" t="s">
        <v>162</v>
      </c>
      <c r="AP166" s="310" t="s">
        <v>162</v>
      </c>
      <c r="AQ166" s="310" t="s">
        <v>162</v>
      </c>
      <c r="AR166" s="310" t="s">
        <v>162</v>
      </c>
      <c r="AS166" s="310" t="s">
        <v>162</v>
      </c>
      <c r="AT166" s="310" t="s">
        <v>162</v>
      </c>
      <c r="AU166" s="310" t="s">
        <v>162</v>
      </c>
      <c r="AV166" s="310" t="s">
        <v>162</v>
      </c>
      <c r="AW166" s="788"/>
      <c r="AX166" s="798" t="s">
        <v>984</v>
      </c>
      <c r="AY166" s="790"/>
    </row>
    <row r="167">
      <c r="A167" s="776"/>
      <c r="B167" s="538"/>
      <c r="C167" s="538"/>
      <c r="D167" s="538"/>
      <c r="E167" s="475" t="s">
        <v>1002</v>
      </c>
      <c r="F167" s="554" t="s">
        <v>72</v>
      </c>
      <c r="G167" s="555" t="s">
        <v>165</v>
      </c>
      <c r="H167" s="787">
        <v>0.2189</v>
      </c>
      <c r="I167" s="310" t="s">
        <v>162</v>
      </c>
      <c r="J167" s="310" t="s">
        <v>162</v>
      </c>
      <c r="K167" s="310" t="s">
        <v>162</v>
      </c>
      <c r="L167" s="310" t="s">
        <v>162</v>
      </c>
      <c r="M167" s="310" t="s">
        <v>162</v>
      </c>
      <c r="N167" s="310" t="s">
        <v>162</v>
      </c>
      <c r="O167" s="310" t="s">
        <v>162</v>
      </c>
      <c r="P167" s="310" t="s">
        <v>162</v>
      </c>
      <c r="Q167" s="251" t="s">
        <v>162</v>
      </c>
      <c r="R167" s="310" t="s">
        <v>162</v>
      </c>
      <c r="S167" s="310" t="s">
        <v>162</v>
      </c>
      <c r="T167" s="310" t="s">
        <v>162</v>
      </c>
      <c r="U167" s="310" t="s">
        <v>162</v>
      </c>
      <c r="V167" s="310" t="s">
        <v>162</v>
      </c>
      <c r="W167" s="310" t="s">
        <v>162</v>
      </c>
      <c r="X167" s="310" t="s">
        <v>162</v>
      </c>
      <c r="Y167" s="310" t="s">
        <v>162</v>
      </c>
      <c r="Z167" s="310" t="s">
        <v>162</v>
      </c>
      <c r="AA167" s="310" t="s">
        <v>162</v>
      </c>
      <c r="AB167" s="310" t="s">
        <v>162</v>
      </c>
      <c r="AC167" s="310" t="s">
        <v>162</v>
      </c>
      <c r="AD167" s="310" t="s">
        <v>162</v>
      </c>
      <c r="AE167" s="310" t="s">
        <v>162</v>
      </c>
      <c r="AF167" s="310" t="s">
        <v>162</v>
      </c>
      <c r="AG167" s="310" t="s">
        <v>162</v>
      </c>
      <c r="AH167" s="310" t="s">
        <v>162</v>
      </c>
      <c r="AI167" s="310" t="s">
        <v>162</v>
      </c>
      <c r="AJ167" s="310" t="s">
        <v>162</v>
      </c>
      <c r="AK167" s="310" t="s">
        <v>162</v>
      </c>
      <c r="AL167" s="310" t="s">
        <v>162</v>
      </c>
      <c r="AM167" s="310" t="s">
        <v>162</v>
      </c>
      <c r="AN167" s="310" t="s">
        <v>162</v>
      </c>
      <c r="AO167" s="310" t="s">
        <v>162</v>
      </c>
      <c r="AP167" s="310" t="s">
        <v>162</v>
      </c>
      <c r="AQ167" s="310" t="s">
        <v>162</v>
      </c>
      <c r="AR167" s="310" t="s">
        <v>162</v>
      </c>
      <c r="AS167" s="310" t="s">
        <v>162</v>
      </c>
      <c r="AT167" s="310" t="s">
        <v>162</v>
      </c>
      <c r="AU167" s="310" t="s">
        <v>162</v>
      </c>
      <c r="AV167" s="310" t="s">
        <v>162</v>
      </c>
      <c r="AW167" s="788"/>
      <c r="AX167" s="798" t="s">
        <v>1003</v>
      </c>
      <c r="AY167" s="790"/>
    </row>
    <row r="168">
      <c r="A168" s="776"/>
      <c r="B168" s="538"/>
      <c r="C168" s="538"/>
      <c r="D168" s="538"/>
      <c r="E168" s="782" t="s">
        <v>625</v>
      </c>
      <c r="F168" s="539" t="s">
        <v>72</v>
      </c>
      <c r="G168" s="540" t="s">
        <v>165</v>
      </c>
      <c r="H168" s="783">
        <v>0.11261</v>
      </c>
      <c r="I168" s="564" t="s">
        <v>162</v>
      </c>
      <c r="J168" s="564" t="s">
        <v>162</v>
      </c>
      <c r="K168" s="310" t="s">
        <v>162</v>
      </c>
      <c r="L168" s="310" t="s">
        <v>162</v>
      </c>
      <c r="M168" s="564" t="s">
        <v>162</v>
      </c>
      <c r="N168" s="564" t="s">
        <v>162</v>
      </c>
      <c r="O168" s="564" t="s">
        <v>162</v>
      </c>
      <c r="P168" s="564" t="s">
        <v>162</v>
      </c>
      <c r="Q168" s="565" t="s">
        <v>162</v>
      </c>
      <c r="R168" s="564" t="s">
        <v>162</v>
      </c>
      <c r="S168" s="564" t="s">
        <v>162</v>
      </c>
      <c r="T168" s="564" t="s">
        <v>162</v>
      </c>
      <c r="U168" s="564" t="s">
        <v>162</v>
      </c>
      <c r="V168" s="564" t="s">
        <v>162</v>
      </c>
      <c r="W168" s="564" t="s">
        <v>162</v>
      </c>
      <c r="X168" s="564" t="s">
        <v>162</v>
      </c>
      <c r="Y168" s="564" t="s">
        <v>162</v>
      </c>
      <c r="Z168" s="564" t="s">
        <v>162</v>
      </c>
      <c r="AA168" s="564" t="s">
        <v>162</v>
      </c>
      <c r="AB168" s="564" t="s">
        <v>162</v>
      </c>
      <c r="AC168" s="564" t="s">
        <v>162</v>
      </c>
      <c r="AD168" s="564" t="s">
        <v>162</v>
      </c>
      <c r="AE168" s="564" t="s">
        <v>162</v>
      </c>
      <c r="AF168" s="564" t="s">
        <v>162</v>
      </c>
      <c r="AG168" s="564" t="s">
        <v>162</v>
      </c>
      <c r="AH168" s="564" t="s">
        <v>162</v>
      </c>
      <c r="AI168" s="564" t="s">
        <v>162</v>
      </c>
      <c r="AJ168" s="564" t="s">
        <v>162</v>
      </c>
      <c r="AK168" s="564" t="s">
        <v>162</v>
      </c>
      <c r="AL168" s="310" t="s">
        <v>162</v>
      </c>
      <c r="AM168" s="310" t="s">
        <v>162</v>
      </c>
      <c r="AN168" s="310" t="s">
        <v>162</v>
      </c>
      <c r="AO168" s="564" t="s">
        <v>162</v>
      </c>
      <c r="AP168" s="564" t="s">
        <v>162</v>
      </c>
      <c r="AQ168" s="564" t="s">
        <v>162</v>
      </c>
      <c r="AR168" s="564" t="s">
        <v>162</v>
      </c>
      <c r="AS168" s="564" t="s">
        <v>162</v>
      </c>
      <c r="AT168" s="564" t="s">
        <v>162</v>
      </c>
      <c r="AU168" s="564" t="s">
        <v>162</v>
      </c>
      <c r="AV168" s="564" t="s">
        <v>162</v>
      </c>
      <c r="AW168" s="784"/>
      <c r="AX168" s="864" t="s">
        <v>977</v>
      </c>
      <c r="AY168" s="770" t="s">
        <v>96</v>
      </c>
    </row>
    <row r="169">
      <c r="A169" s="776"/>
      <c r="B169" s="538"/>
      <c r="C169" s="538"/>
      <c r="D169" s="538"/>
      <c r="E169" s="475" t="s">
        <v>1004</v>
      </c>
      <c r="F169" s="554" t="s">
        <v>72</v>
      </c>
      <c r="G169" s="555" t="s">
        <v>165</v>
      </c>
      <c r="H169" s="787">
        <v>0.2672</v>
      </c>
      <c r="I169" s="310" t="s">
        <v>162</v>
      </c>
      <c r="J169" s="310" t="s">
        <v>162</v>
      </c>
      <c r="K169" s="310" t="s">
        <v>162</v>
      </c>
      <c r="L169" s="310" t="s">
        <v>162</v>
      </c>
      <c r="M169" s="310" t="s">
        <v>162</v>
      </c>
      <c r="N169" s="310" t="s">
        <v>162</v>
      </c>
      <c r="O169" s="310" t="s">
        <v>162</v>
      </c>
      <c r="P169" s="310" t="s">
        <v>162</v>
      </c>
      <c r="Q169" s="251" t="s">
        <v>162</v>
      </c>
      <c r="R169" s="310" t="s">
        <v>162</v>
      </c>
      <c r="S169" s="310" t="s">
        <v>162</v>
      </c>
      <c r="T169" s="310" t="s">
        <v>162</v>
      </c>
      <c r="U169" s="310" t="s">
        <v>162</v>
      </c>
      <c r="V169" s="310" t="s">
        <v>162</v>
      </c>
      <c r="W169" s="310" t="s">
        <v>162</v>
      </c>
      <c r="X169" s="310" t="s">
        <v>162</v>
      </c>
      <c r="Y169" s="310" t="s">
        <v>162</v>
      </c>
      <c r="Z169" s="310" t="s">
        <v>162</v>
      </c>
      <c r="AA169" s="310" t="s">
        <v>162</v>
      </c>
      <c r="AB169" s="310" t="s">
        <v>162</v>
      </c>
      <c r="AC169" s="310" t="s">
        <v>162</v>
      </c>
      <c r="AD169" s="310" t="s">
        <v>162</v>
      </c>
      <c r="AE169" s="310" t="s">
        <v>162</v>
      </c>
      <c r="AF169" s="310" t="s">
        <v>162</v>
      </c>
      <c r="AG169" s="310" t="s">
        <v>162</v>
      </c>
      <c r="AH169" s="310" t="s">
        <v>162</v>
      </c>
      <c r="AI169" s="310" t="s">
        <v>162</v>
      </c>
      <c r="AJ169" s="310" t="s">
        <v>162</v>
      </c>
      <c r="AK169" s="310" t="s">
        <v>162</v>
      </c>
      <c r="AL169" s="310" t="s">
        <v>162</v>
      </c>
      <c r="AM169" s="310" t="s">
        <v>162</v>
      </c>
      <c r="AN169" s="310" t="s">
        <v>162</v>
      </c>
      <c r="AO169" s="310" t="s">
        <v>162</v>
      </c>
      <c r="AP169" s="310" t="s">
        <v>162</v>
      </c>
      <c r="AQ169" s="310" t="s">
        <v>162</v>
      </c>
      <c r="AR169" s="310" t="s">
        <v>162</v>
      </c>
      <c r="AS169" s="310" t="s">
        <v>162</v>
      </c>
      <c r="AT169" s="310" t="s">
        <v>162</v>
      </c>
      <c r="AU169" s="310" t="s">
        <v>162</v>
      </c>
      <c r="AV169" s="310" t="s">
        <v>162</v>
      </c>
      <c r="AW169" s="788"/>
      <c r="AX169" s="798" t="s">
        <v>1003</v>
      </c>
      <c r="AY169" s="790"/>
    </row>
    <row r="170">
      <c r="A170" s="776"/>
      <c r="B170" s="538"/>
      <c r="C170" s="538"/>
      <c r="D170" s="538"/>
      <c r="E170" s="792" t="s">
        <v>633</v>
      </c>
      <c r="F170" s="559" t="s">
        <v>72</v>
      </c>
      <c r="G170" s="560" t="s">
        <v>165</v>
      </c>
      <c r="H170" s="793">
        <v>1.00085</v>
      </c>
      <c r="I170" s="859" t="s">
        <v>162</v>
      </c>
      <c r="J170" s="859" t="s">
        <v>162</v>
      </c>
      <c r="K170" s="859" t="s">
        <v>162</v>
      </c>
      <c r="L170" s="859" t="s">
        <v>162</v>
      </c>
      <c r="M170" s="859" t="s">
        <v>162</v>
      </c>
      <c r="N170" s="859" t="s">
        <v>162</v>
      </c>
      <c r="O170" s="859" t="s">
        <v>162</v>
      </c>
      <c r="P170" s="859" t="s">
        <v>162</v>
      </c>
      <c r="Q170" s="860" t="s">
        <v>162</v>
      </c>
      <c r="R170" s="859" t="s">
        <v>162</v>
      </c>
      <c r="S170" s="859" t="s">
        <v>162</v>
      </c>
      <c r="T170" s="859" t="s">
        <v>162</v>
      </c>
      <c r="U170" s="859" t="s">
        <v>162</v>
      </c>
      <c r="V170" s="859" t="s">
        <v>162</v>
      </c>
      <c r="W170" s="859" t="s">
        <v>162</v>
      </c>
      <c r="X170" s="859" t="s">
        <v>162</v>
      </c>
      <c r="Y170" s="859" t="s">
        <v>162</v>
      </c>
      <c r="Z170" s="859" t="s">
        <v>162</v>
      </c>
      <c r="AA170" s="859" t="s">
        <v>162</v>
      </c>
      <c r="AB170" s="859" t="s">
        <v>162</v>
      </c>
      <c r="AC170" s="859" t="s">
        <v>162</v>
      </c>
      <c r="AD170" s="859" t="s">
        <v>162</v>
      </c>
      <c r="AE170" s="859" t="s">
        <v>162</v>
      </c>
      <c r="AF170" s="859" t="s">
        <v>162</v>
      </c>
      <c r="AG170" s="859" t="s">
        <v>162</v>
      </c>
      <c r="AH170" s="859" t="s">
        <v>162</v>
      </c>
      <c r="AI170" s="859" t="s">
        <v>162</v>
      </c>
      <c r="AJ170" s="859" t="s">
        <v>162</v>
      </c>
      <c r="AK170" s="859" t="s">
        <v>162</v>
      </c>
      <c r="AL170" s="859" t="s">
        <v>162</v>
      </c>
      <c r="AM170" s="859" t="s">
        <v>162</v>
      </c>
      <c r="AN170" s="859" t="s">
        <v>162</v>
      </c>
      <c r="AO170" s="859" t="s">
        <v>162</v>
      </c>
      <c r="AP170" s="859" t="s">
        <v>162</v>
      </c>
      <c r="AQ170" s="859" t="s">
        <v>162</v>
      </c>
      <c r="AR170" s="859" t="s">
        <v>162</v>
      </c>
      <c r="AS170" s="859" t="s">
        <v>162</v>
      </c>
      <c r="AT170" s="859" t="s">
        <v>162</v>
      </c>
      <c r="AU170" s="859" t="s">
        <v>162</v>
      </c>
      <c r="AV170" s="859" t="s">
        <v>162</v>
      </c>
      <c r="AW170" s="794"/>
      <c r="AX170" s="865" t="s">
        <v>977</v>
      </c>
      <c r="AY170" s="770" t="s">
        <v>96</v>
      </c>
    </row>
    <row r="171">
      <c r="A171" s="776"/>
      <c r="B171" s="538"/>
      <c r="C171" s="143"/>
      <c r="D171" s="143"/>
      <c r="E171" s="447"/>
      <c r="F171" s="533"/>
      <c r="G171" s="534"/>
      <c r="H171" s="680"/>
      <c r="I171" s="552"/>
      <c r="J171" s="552"/>
      <c r="K171" s="552"/>
      <c r="L171" s="552"/>
      <c r="M171" s="552"/>
      <c r="N171" s="552"/>
      <c r="O171" s="552"/>
      <c r="P171" s="552"/>
      <c r="Q171" s="553"/>
      <c r="R171" s="552"/>
      <c r="S171" s="552"/>
      <c r="T171" s="552"/>
      <c r="U171" s="552"/>
      <c r="V171" s="552"/>
      <c r="W171" s="552"/>
      <c r="X171" s="552"/>
      <c r="Y171" s="552"/>
      <c r="Z171" s="552"/>
      <c r="AA171" s="552"/>
      <c r="AB171" s="552"/>
      <c r="AC171" s="552"/>
      <c r="AD171" s="552"/>
      <c r="AE171" s="552"/>
      <c r="AF171" s="552"/>
      <c r="AG171" s="552"/>
      <c r="AH171" s="552"/>
      <c r="AI171" s="552"/>
      <c r="AJ171" s="552"/>
      <c r="AK171" s="552"/>
      <c r="AL171" s="552"/>
      <c r="AM171" s="552"/>
      <c r="AN171" s="552"/>
      <c r="AO171" s="552"/>
      <c r="AP171" s="552"/>
      <c r="AQ171" s="552"/>
      <c r="AR171" s="552"/>
      <c r="AS171" s="552"/>
      <c r="AT171" s="552"/>
      <c r="AU171" s="552"/>
      <c r="AV171" s="552"/>
      <c r="AW171" s="778"/>
      <c r="AX171" s="779"/>
      <c r="AY171" s="780"/>
    </row>
    <row r="172">
      <c r="A172" s="538"/>
      <c r="B172" s="538"/>
      <c r="C172" s="143" t="s">
        <v>639</v>
      </c>
      <c r="F172" s="533"/>
      <c r="G172" s="533"/>
      <c r="H172" s="680"/>
      <c r="I172" s="552"/>
      <c r="J172" s="552"/>
      <c r="K172" s="552"/>
      <c r="L172" s="552"/>
      <c r="M172" s="552"/>
      <c r="N172" s="552"/>
      <c r="O172" s="552"/>
      <c r="P172" s="552"/>
      <c r="Q172" s="553"/>
      <c r="R172" s="552"/>
      <c r="S172" s="552"/>
      <c r="T172" s="552"/>
      <c r="U172" s="552"/>
      <c r="V172" s="552"/>
      <c r="W172" s="552"/>
      <c r="X172" s="552"/>
      <c r="Y172" s="552"/>
      <c r="Z172" s="552"/>
      <c r="AA172" s="552"/>
      <c r="AB172" s="552"/>
      <c r="AC172" s="552"/>
      <c r="AD172" s="552"/>
      <c r="AE172" s="552"/>
      <c r="AF172" s="552"/>
      <c r="AG172" s="552"/>
      <c r="AH172" s="552"/>
      <c r="AI172" s="552"/>
      <c r="AJ172" s="552"/>
      <c r="AK172" s="552"/>
      <c r="AL172" s="552"/>
      <c r="AM172" s="552"/>
      <c r="AN172" s="552"/>
      <c r="AO172" s="552"/>
      <c r="AP172" s="552"/>
      <c r="AQ172" s="552"/>
      <c r="AR172" s="552"/>
      <c r="AS172" s="552"/>
      <c r="AT172" s="552"/>
      <c r="AU172" s="552"/>
      <c r="AV172" s="552"/>
      <c r="AW172" s="778"/>
      <c r="AX172" s="779"/>
      <c r="AY172" s="780"/>
    </row>
    <row r="173">
      <c r="A173" s="776"/>
      <c r="B173" s="538"/>
      <c r="C173" s="538"/>
      <c r="D173" s="538"/>
      <c r="E173" s="782" t="s">
        <v>641</v>
      </c>
      <c r="F173" s="539" t="s">
        <v>72</v>
      </c>
      <c r="G173" s="540" t="s">
        <v>165</v>
      </c>
      <c r="H173" s="808" t="s">
        <v>162</v>
      </c>
      <c r="I173" s="542">
        <f>IFERROR(__xludf.DUMMYFUNCTION("FILTER('GBD estimates'!$G$3:$G$1371,'GBD estimates'!$B$3:$B$1371=I$3,'GBD estimates'!$E$3:$E$1371=""Diarrheal diseases"",'GBD estimates'!$D$3:$D$1371=""Under 5"")"),0.028953826)</f>
        <v>0.028953826</v>
      </c>
      <c r="J173" s="542">
        <f>IFERROR(__xludf.DUMMYFUNCTION("FILTER('GBD estimates'!$G$3:$G$1371,'GBD estimates'!$B$3:$B$1371=J$3,'GBD estimates'!$E$3:$E$1371=""Diarrheal diseases"",'GBD estimates'!$D$3:$D$1371=""Under 5"")"),0.019935049)</f>
        <v>0.019935049</v>
      </c>
      <c r="K173" s="542">
        <f>IFERROR(__xludf.DUMMYFUNCTION("FILTER('GBD estimates'!$G$3:$G$1371,'GBD estimates'!$B$3:$B$1371=K$3,'GBD estimates'!$E$3:$E$1371=""Diarrheal diseases"",'GBD estimates'!$D$3:$D$1371=""Under 5"")"),0.023778119)</f>
        <v>0.023778119</v>
      </c>
      <c r="L173" s="542">
        <f t="shared" ref="L173:L180" si="48">AG173</f>
        <v>0.01066086</v>
      </c>
      <c r="M173" s="542">
        <f>IFERROR(__xludf.DUMMYFUNCTION("FILTER('GBD estimates'!$G$3:$G$1371,'GBD estimates'!$B$3:$B$1371=M$3,'GBD estimates'!$E$3:$E$1371=""Diarrheal diseases"",'GBD estimates'!$D$3:$D$1371=""Under 5"")"),0.019142781)</f>
        <v>0.019142781</v>
      </c>
      <c r="N173" s="542">
        <f>IFERROR(__xludf.DUMMYFUNCTION("FILTER('GBD estimates'!$G$3:$G$1371,'GBD estimates'!$B$3:$B$1371=N$3,'GBD estimates'!$E$3:$E$1371=""Diarrheal diseases"",'GBD estimates'!$D$3:$D$1371=""Under 5"")"),0.020195653)</f>
        <v>0.020195653</v>
      </c>
      <c r="O173" s="542">
        <f>IFERROR(__xludf.DUMMYFUNCTION("FILTER('GBD estimates'!$G$3:$G$1371,'GBD estimates'!$B$3:$B$1371=O$3,'GBD estimates'!$E$3:$E$1371=""Diarrheal diseases"",'GBD estimates'!$D$3:$D$1371=""Under 5"")"),0.022145719)</f>
        <v>0.022145719</v>
      </c>
      <c r="P173" s="542">
        <f>IFERROR(__xludf.DUMMYFUNCTION("FILTER('GBD estimates'!$G$3:$G$1371,'GBD estimates'!$B$3:$B$1371=P$3,'GBD estimates'!$E$3:$E$1371=""Diarrheal diseases"",'GBD estimates'!$D$3:$D$1371=""Under 5"")"),0.03220683)</f>
        <v>0.03220683</v>
      </c>
      <c r="Q173" s="543">
        <f>IFERROR(__xludf.DUMMYFUNCTION("FILTER('GBD estimates'!$G$3:$G$1371,'GBD estimates'!$B$3:$B$1371=Q$3,'GBD estimates'!$E$3:$E$1371=""Diarrheal diseases"",'GBD estimates'!$D$3:$D$1371=""Under 5"")"),0.038689546)</f>
        <v>0.038689546</v>
      </c>
      <c r="R173" s="542">
        <f>IFERROR(__xludf.DUMMYFUNCTION("FILTER('GBD estimates'!$G$3:$G$1371,'GBD estimates'!$B$3:$B$1371=R$3,'GBD estimates'!$E$3:$E$1371=""Diarrheal diseases"",'GBD estimates'!$D$3:$D$1371=""Under 5"")"),0.008317334)</f>
        <v>0.008317334</v>
      </c>
      <c r="S173" s="542">
        <f>IFERROR(__xludf.DUMMYFUNCTION("FILTER('GBD estimates'!$G$3:$G$1371,'GBD estimates'!$B$3:$B$1371=S$3,'GBD estimates'!$E$3:$E$1371=""Diarrheal diseases"",'GBD estimates'!$D$3:$D$1371=""Under 5"")"),0.017929219)</f>
        <v>0.017929219</v>
      </c>
      <c r="T173" s="542">
        <f>IFERROR(__xludf.DUMMYFUNCTION("FILTER('GBD estimates'!$G$3:$G$1371,'GBD estimates'!$B$3:$B$1371=T$3,'GBD estimates'!$E$3:$E$1371=""Diarrheal diseases"",'GBD estimates'!$D$3:$D$1371=""Under 5"")"),0.003771386)</f>
        <v>0.003771386</v>
      </c>
      <c r="U173" s="542">
        <f>IFERROR(__xludf.DUMMYFUNCTION("FILTER('GBD estimates'!$G$3:$G$1371,'GBD estimates'!$B$3:$B$1371=U$3,'GBD estimates'!$E$3:$E$1371=""Diarrheal diseases"",'GBD estimates'!$D$3:$D$1371=""Under 5"")"),0.003005545)</f>
        <v>0.003005545</v>
      </c>
      <c r="V173" s="542">
        <f>IFERROR(__xludf.DUMMYFUNCTION("FILTER('GBD estimates'!$G$3:$G$1371,'GBD estimates'!$B$3:$B$1371=V$3,'GBD estimates'!$E$3:$E$1371=""Diarrheal diseases"",'GBD estimates'!$D$3:$D$1371=""Under 5"")"),0.008466792)</f>
        <v>0.008466792</v>
      </c>
      <c r="W173" s="542">
        <f>IFERROR(__xludf.DUMMYFUNCTION("FILTER('GBD estimates'!$G$3:$G$1371,'GBD estimates'!$B$3:$B$1371=W$3,'GBD estimates'!$E$3:$E$1371=""Diarrheal diseases"",'GBD estimates'!$D$3:$D$1371=""Under 5"")"),0.011690826)</f>
        <v>0.011690826</v>
      </c>
      <c r="X173" s="542">
        <f>IFERROR(__xludf.DUMMYFUNCTION("FILTER('GBD estimates'!$G$3:$G$1371,'GBD estimates'!$B$3:$B$1371=X$3,'GBD estimates'!$E$3:$E$1371=""Diarrheal diseases"",'GBD estimates'!$D$3:$D$1371=""Under 5"")"),0.009844375)</f>
        <v>0.009844375</v>
      </c>
      <c r="Y173" s="542">
        <f>IFERROR(__xludf.DUMMYFUNCTION("FILTER('GBD estimates'!$G$3:$G$1371,'GBD estimates'!$B$3:$B$1371=Y$3,'GBD estimates'!$E$3:$E$1371=""Diarrheal diseases"",'GBD estimates'!$D$3:$D$1371=""Under 5"")"),0.004539302)</f>
        <v>0.004539302</v>
      </c>
      <c r="Z173" s="542">
        <f>IFERROR(__xludf.DUMMYFUNCTION("FILTER('GBD estimates'!$G$3:$G$1371,'GBD estimates'!$B$3:$B$1371=Z$3,'GBD estimates'!$E$3:$E$1371=""Diarrheal diseases"",'GBD estimates'!$D$3:$D$1371=""Under 5"")"),0.00495511)</f>
        <v>0.00495511</v>
      </c>
      <c r="AA173" s="542">
        <f>IFERROR(__xludf.DUMMYFUNCTION("FILTER('GBD estimates'!$G$3:$G$1371,'GBD estimates'!$B$3:$B$1371=AA$3,'GBD estimates'!$E$3:$E$1371=""Diarrheal diseases"",'GBD estimates'!$D$3:$D$1371=""Under 5"")"),0.007927072)</f>
        <v>0.007927072</v>
      </c>
      <c r="AB173" s="542">
        <f>IFERROR(__xludf.DUMMYFUNCTION("FILTER('GBD estimates'!$G$3:$G$1371,'GBD estimates'!$B$3:$B$1371=AB$3,'GBD estimates'!$E$3:$E$1371=""Diarrheal diseases"",'GBD estimates'!$D$3:$D$1371=""Under 5"")"),0.004365989)</f>
        <v>0.004365989</v>
      </c>
      <c r="AC173" s="542">
        <f>IFERROR(__xludf.DUMMYFUNCTION("FILTER('GBD estimates'!$G$3:$G$1371,'GBD estimates'!$B$3:$B$1371=AC$3,'GBD estimates'!$E$3:$E$1371=""Diarrheal diseases"",'GBD estimates'!$D$3:$D$1371=""Under 5"")"),0.004120486)</f>
        <v>0.004120486</v>
      </c>
      <c r="AD173" s="542">
        <f>IFERROR(__xludf.DUMMYFUNCTION("FILTER('GBD estimates'!$G$3:$G$1371,'GBD estimates'!$B$3:$B$1371=AD$3,'GBD estimates'!$E$3:$E$1371=""Diarrheal diseases"",'GBD estimates'!$D$3:$D$1371=""Under 5"")"),0.00271251)</f>
        <v>0.00271251</v>
      </c>
      <c r="AE173" s="542">
        <f>IFERROR(__xludf.DUMMYFUNCTION("FILTER('GBD estimates'!$G$3:$G$1371,'GBD estimates'!$B$3:$B$1371=AE$3,'GBD estimates'!$E$3:$E$1371=""Diarrheal diseases"",'GBD estimates'!$D$3:$D$1371=""Under 5"")"),0.004333639)</f>
        <v>0.004333639</v>
      </c>
      <c r="AF173" s="542">
        <f>IFERROR(__xludf.DUMMYFUNCTION("FILTER('GBD estimates'!$G$3:$G$1371,'GBD estimates'!$B$3:$B$1371=AF$3,'GBD estimates'!$E$3:$E$1371=""Diarrheal diseases"",'GBD estimates'!$D$3:$D$1371=""Under 5"")"),0.002607964)</f>
        <v>0.002607964</v>
      </c>
      <c r="AG173" s="542">
        <f>IFERROR(__xludf.DUMMYFUNCTION("FILTER('GBD estimates'!$G$3:$G$1371,'GBD estimates'!$B$3:$B$1371=AG$3,'GBD estimates'!$E$3:$E$1371=""Diarrheal diseases"",'GBD estimates'!$D$3:$D$1371=""Under 5"")"),0.01066086)</f>
        <v>0.01066086</v>
      </c>
      <c r="AH173" s="542">
        <f>IFERROR(__xludf.DUMMYFUNCTION("FILTER('GBD estimates'!$G$3:$G$1371,'GBD estimates'!$B$3:$B$1371=AH$3,'GBD estimates'!$E$3:$E$1371=""Diarrheal diseases"",'GBD estimates'!$D$3:$D$1371=""Under 5"")"),0.003592045)</f>
        <v>0.003592045</v>
      </c>
      <c r="AI173" s="542">
        <f>IFERROR(__xludf.DUMMYFUNCTION("FILTER('GBD estimates'!$G$3:$G$1371,'GBD estimates'!$B$3:$B$1371=AI$3,'GBD estimates'!$E$3:$E$1371=""Diarrheal diseases"",'GBD estimates'!$D$3:$D$1371=""Under 5"")"),0.002748778)</f>
        <v>0.002748778</v>
      </c>
      <c r="AJ173" s="542">
        <f>IFERROR(__xludf.DUMMYFUNCTION("FILTER('GBD estimates'!$G$3:$G$1371,'GBD estimates'!$B$3:$B$1371=AJ$3,'GBD estimates'!$E$3:$E$1371=""Diarrheal diseases"",'GBD estimates'!$D$3:$D$1371=""Under 5"")"),0.002528933)</f>
        <v>0.002528933</v>
      </c>
      <c r="AK173" s="542">
        <f>IFERROR(__xludf.DUMMYFUNCTION("FILTER('GBD estimates'!$G$3:$G$1371,'GBD estimates'!$B$3:$B$1371=AK$3,'GBD estimates'!$E$3:$E$1371=""Diarrheal diseases"",'GBD estimates'!$D$3:$D$1371=""Under 5"")"),0.006564346)</f>
        <v>0.006564346</v>
      </c>
      <c r="AL173" s="542">
        <f>IFERROR(__xludf.DUMMYFUNCTION("FILTER('GBD estimates'!$G$3:$G$1371,'GBD estimates'!$B$3:$B$1371=AL$3,'GBD estimates'!$E$3:$E$1371=""Diarrheal diseases"",'GBD estimates'!$D$3:$D$1371=""Under 5"")"),0.011935639)</f>
        <v>0.011935639</v>
      </c>
      <c r="AM173" s="542">
        <f t="shared" ref="AM173:AN173" si="47">AL173</f>
        <v>0.011935639</v>
      </c>
      <c r="AN173" s="542">
        <f t="shared" si="47"/>
        <v>0.011935639</v>
      </c>
      <c r="AO173" s="542">
        <f>IFERROR(__xludf.DUMMYFUNCTION("FILTER('GBD estimates'!$G$3:$G$1371,'GBD estimates'!$B$3:$B$1371=AO$3,'GBD estimates'!$E$3:$E$1371=""Diarrheal diseases"",'GBD estimates'!$D$3:$D$1371=""Under 5"")"),0.00391545)</f>
        <v>0.00391545</v>
      </c>
      <c r="AP173" s="542">
        <f>IFERROR(__xludf.DUMMYFUNCTION("FILTER('GBD estimates'!$G$3:$G$1371,'GBD estimates'!$B$3:$B$1371=AP$3,'GBD estimates'!$E$3:$E$1371=""Diarrheal diseases"",'GBD estimates'!$D$3:$D$1371=""Under 5"")"),0.004007555)</f>
        <v>0.004007555</v>
      </c>
      <c r="AQ173" s="542">
        <f>IFERROR(__xludf.DUMMYFUNCTION("FILTER('GBD estimates'!$G$3:$G$1371,'GBD estimates'!$B$3:$B$1371=AQ$3,'GBD estimates'!$E$3:$E$1371=""Diarrheal diseases"",'GBD estimates'!$D$3:$D$1371=""Under 5"")"),0.002237864)</f>
        <v>0.002237864</v>
      </c>
      <c r="AR173" s="542">
        <f>IFERROR(__xludf.DUMMYFUNCTION("FILTER('GBD estimates'!$G$3:$G$1371,'GBD estimates'!$B$3:$B$1371=AR$3,'GBD estimates'!$E$3:$E$1371=""Diarrheal diseases"",'GBD estimates'!$D$3:$D$1371=""Under 5"")"),0.002368033)</f>
        <v>0.002368033</v>
      </c>
      <c r="AS173" s="542">
        <f>IFERROR(__xludf.DUMMYFUNCTION("FILTER('GBD estimates'!$G$3:$G$1371,'GBD estimates'!$B$3:$B$1371=AS$3,'GBD estimates'!$E$3:$E$1371=""Diarrheal diseases"",'GBD estimates'!$D$3:$D$1371=""Under 5"")"),0.005945687)</f>
        <v>0.005945687</v>
      </c>
      <c r="AT173" s="542">
        <f>IFERROR(__xludf.DUMMYFUNCTION("FILTER('GBD estimates'!$G$3:$G$1371,'GBD estimates'!$B$3:$B$1371=AT$3,'GBD estimates'!$E$3:$E$1371=""Diarrheal diseases"",'GBD estimates'!$D$3:$D$1371=""Under 5"")"),0.004619085)</f>
        <v>0.004619085</v>
      </c>
      <c r="AU173" s="542">
        <f>IFERROR(__xludf.DUMMYFUNCTION("FILTER('GBD estimates'!$G$3:$G$1371,'GBD estimates'!$B$3:$B$1371=AU$3,'GBD estimates'!$E$3:$E$1371=""Diarrheal diseases"",'GBD estimates'!$D$3:$D$1371=""Under 5"")"),0.019506681)</f>
        <v>0.019506681</v>
      </c>
      <c r="AV173" s="542">
        <f>IFERROR(__xludf.DUMMYFUNCTION("FILTER('GBD estimates'!$G$3:$G$1371,'GBD estimates'!$B$3:$B$1371=AV$3,'GBD estimates'!$E$3:$E$1371=""Diarrheal diseases"",'GBD estimates'!$D$3:$D$1371=""Under 5"")"),0.014523595)</f>
        <v>0.014523595</v>
      </c>
      <c r="AW173" s="784"/>
      <c r="AX173" s="797" t="s">
        <v>999</v>
      </c>
      <c r="AY173" s="786"/>
    </row>
    <row r="174">
      <c r="A174" s="776"/>
      <c r="B174" s="538"/>
      <c r="C174" s="538"/>
      <c r="D174" s="538"/>
      <c r="E174" s="475" t="s">
        <v>642</v>
      </c>
      <c r="F174" s="554" t="s">
        <v>72</v>
      </c>
      <c r="G174" s="555" t="s">
        <v>165</v>
      </c>
      <c r="H174" s="811" t="s">
        <v>162</v>
      </c>
      <c r="I174" s="542">
        <f>IFERROR(__xludf.DUMMYFUNCTION("FILTER('GBD estimates'!$G$3:$G$1371,'GBD estimates'!$B$3:$B$1371=I$3,'GBD estimates'!$E$3:$E$1371=""Diarrheal diseases"",'GBD estimates'!$D$3:$D$1371=""5-14 years"")"),0.001404528)</f>
        <v>0.001404528</v>
      </c>
      <c r="J174" s="542">
        <f>IFERROR(__xludf.DUMMYFUNCTION("FILTER('GBD estimates'!$G$3:$G$1371,'GBD estimates'!$B$3:$B$1371=J$3,'GBD estimates'!$E$3:$E$1371=""Diarrheal diseases"",'GBD estimates'!$D$3:$D$1371=""5-14 years"")"),8.53859E-4)</f>
        <v>0.000853859</v>
      </c>
      <c r="K174" s="542">
        <f>IFERROR(__xludf.DUMMYFUNCTION("FILTER('GBD estimates'!$G$3:$G$1371,'GBD estimates'!$B$3:$B$1371=K$3,'GBD estimates'!$E$3:$E$1371=""Diarrheal diseases"",'GBD estimates'!$D$3:$D$1371=""5-14 years"")"),8.97047E-4)</f>
        <v>0.000897047</v>
      </c>
      <c r="L174" s="542">
        <f t="shared" si="48"/>
        <v>0.000336525</v>
      </c>
      <c r="M174" s="542">
        <f>IFERROR(__xludf.DUMMYFUNCTION("FILTER('GBD estimates'!$G$3:$G$1371,'GBD estimates'!$B$3:$B$1371=M$3,'GBD estimates'!$E$3:$E$1371=""Diarrheal diseases"",'GBD estimates'!$D$3:$D$1371=""5-14 years"")"),6.38931E-4)</f>
        <v>0.000638931</v>
      </c>
      <c r="N174" s="542">
        <f>IFERROR(__xludf.DUMMYFUNCTION("FILTER('GBD estimates'!$G$3:$G$1371,'GBD estimates'!$B$3:$B$1371=N$3,'GBD estimates'!$E$3:$E$1371=""Diarrheal diseases"",'GBD estimates'!$D$3:$D$1371=""5-14 years"")"),9.30212E-4)</f>
        <v>0.000930212</v>
      </c>
      <c r="O174" s="542">
        <f>IFERROR(__xludf.DUMMYFUNCTION("FILTER('GBD estimates'!$G$3:$G$1371,'GBD estimates'!$B$3:$B$1371=O$3,'GBD estimates'!$E$3:$E$1371=""Diarrheal diseases"",'GBD estimates'!$D$3:$D$1371=""5-14 years"")"),0.001073511)</f>
        <v>0.001073511</v>
      </c>
      <c r="P174" s="542">
        <f>IFERROR(__xludf.DUMMYFUNCTION("FILTER('GBD estimates'!$G$3:$G$1371,'GBD estimates'!$B$3:$B$1371=P$3,'GBD estimates'!$E$3:$E$1371=""Diarrheal diseases"",'GBD estimates'!$D$3:$D$1371=""5-14 years"")"),0.001322957)</f>
        <v>0.001322957</v>
      </c>
      <c r="Q174" s="543">
        <f>IFERROR(__xludf.DUMMYFUNCTION("FILTER('GBD estimates'!$G$3:$G$1371,'GBD estimates'!$B$3:$B$1371=Q$3,'GBD estimates'!$E$3:$E$1371=""Diarrheal diseases"",'GBD estimates'!$D$3:$D$1371=""5-14 years"")"),0.001353697)</f>
        <v>0.001353697</v>
      </c>
      <c r="R174" s="542">
        <f>IFERROR(__xludf.DUMMYFUNCTION("FILTER('GBD estimates'!$G$3:$G$1371,'GBD estimates'!$B$3:$B$1371=R$3,'GBD estimates'!$E$3:$E$1371=""Diarrheal diseases"",'GBD estimates'!$D$3:$D$1371=""5-14 years"")"),3.23519E-4)</f>
        <v>0.000323519</v>
      </c>
      <c r="S174" s="542">
        <f>IFERROR(__xludf.DUMMYFUNCTION("FILTER('GBD estimates'!$G$3:$G$1371,'GBD estimates'!$B$3:$B$1371=S$3,'GBD estimates'!$E$3:$E$1371=""Diarrheal diseases"",'GBD estimates'!$D$3:$D$1371=""5-14 years"")"),7.24649E-4)</f>
        <v>0.000724649</v>
      </c>
      <c r="T174" s="542">
        <f>IFERROR(__xludf.DUMMYFUNCTION("FILTER('GBD estimates'!$G$3:$G$1371,'GBD estimates'!$B$3:$B$1371=T$3,'GBD estimates'!$E$3:$E$1371=""Diarrheal diseases"",'GBD estimates'!$D$3:$D$1371=""5-14 years"")"),1.54387E-4)</f>
        <v>0.000154387</v>
      </c>
      <c r="U174" s="542">
        <f>IFERROR(__xludf.DUMMYFUNCTION("FILTER('GBD estimates'!$G$3:$G$1371,'GBD estimates'!$B$3:$B$1371=U$3,'GBD estimates'!$E$3:$E$1371=""Diarrheal diseases"",'GBD estimates'!$D$3:$D$1371=""5-14 years"")"),1.31084E-4)</f>
        <v>0.000131084</v>
      </c>
      <c r="V174" s="542">
        <f>IFERROR(__xludf.DUMMYFUNCTION("FILTER('GBD estimates'!$G$3:$G$1371,'GBD estimates'!$B$3:$B$1371=V$3,'GBD estimates'!$E$3:$E$1371=""Diarrheal diseases"",'GBD estimates'!$D$3:$D$1371=""5-14 years"")"),4.89032E-4)</f>
        <v>0.000489032</v>
      </c>
      <c r="W174" s="542">
        <f>IFERROR(__xludf.DUMMYFUNCTION("FILTER('GBD estimates'!$G$3:$G$1371,'GBD estimates'!$B$3:$B$1371=W$3,'GBD estimates'!$E$3:$E$1371=""Diarrheal diseases"",'GBD estimates'!$D$3:$D$1371=""5-14 years"")"),7.11628E-4)</f>
        <v>0.000711628</v>
      </c>
      <c r="X174" s="542">
        <f>IFERROR(__xludf.DUMMYFUNCTION("FILTER('GBD estimates'!$G$3:$G$1371,'GBD estimates'!$B$3:$B$1371=X$3,'GBD estimates'!$E$3:$E$1371=""Diarrheal diseases"",'GBD estimates'!$D$3:$D$1371=""5-14 years"")"),6.4437E-4)</f>
        <v>0.00064437</v>
      </c>
      <c r="Y174" s="542">
        <f>IFERROR(__xludf.DUMMYFUNCTION("FILTER('GBD estimates'!$G$3:$G$1371,'GBD estimates'!$B$3:$B$1371=Y$3,'GBD estimates'!$E$3:$E$1371=""Diarrheal diseases"",'GBD estimates'!$D$3:$D$1371=""5-14 years"")"),3.05489E-4)</f>
        <v>0.000305489</v>
      </c>
      <c r="Z174" s="542">
        <f>IFERROR(__xludf.DUMMYFUNCTION("FILTER('GBD estimates'!$G$3:$G$1371,'GBD estimates'!$B$3:$B$1371=Z$3,'GBD estimates'!$E$3:$E$1371=""Diarrheal diseases"",'GBD estimates'!$D$3:$D$1371=""5-14 years"")"),1.76048E-4)</f>
        <v>0.000176048</v>
      </c>
      <c r="AA174" s="542">
        <f>IFERROR(__xludf.DUMMYFUNCTION("FILTER('GBD estimates'!$G$3:$G$1371,'GBD estimates'!$B$3:$B$1371=AA$3,'GBD estimates'!$E$3:$E$1371=""Diarrheal diseases"",'GBD estimates'!$D$3:$D$1371=""5-14 years"")"),3.81868E-4)</f>
        <v>0.000381868</v>
      </c>
      <c r="AB174" s="542">
        <f>IFERROR(__xludf.DUMMYFUNCTION("FILTER('GBD estimates'!$G$3:$G$1371,'GBD estimates'!$B$3:$B$1371=AB$3,'GBD estimates'!$E$3:$E$1371=""Diarrheal diseases"",'GBD estimates'!$D$3:$D$1371=""5-14 years"")"),1.47834E-4)</f>
        <v>0.000147834</v>
      </c>
      <c r="AC174" s="542">
        <f>IFERROR(__xludf.DUMMYFUNCTION("FILTER('GBD estimates'!$G$3:$G$1371,'GBD estimates'!$B$3:$B$1371=AC$3,'GBD estimates'!$E$3:$E$1371=""Diarrheal diseases"",'GBD estimates'!$D$3:$D$1371=""5-14 years"")"),1.48033E-4)</f>
        <v>0.000148033</v>
      </c>
      <c r="AD174" s="542">
        <f>IFERROR(__xludf.DUMMYFUNCTION("FILTER('GBD estimates'!$G$3:$G$1371,'GBD estimates'!$B$3:$B$1371=AD$3,'GBD estimates'!$E$3:$E$1371=""Diarrheal diseases"",'GBD estimates'!$D$3:$D$1371=""5-14 years"")"),1.81021E-4)</f>
        <v>0.000181021</v>
      </c>
      <c r="AE174" s="542">
        <f>IFERROR(__xludf.DUMMYFUNCTION("FILTER('GBD estimates'!$G$3:$G$1371,'GBD estimates'!$B$3:$B$1371=AE$3,'GBD estimates'!$E$3:$E$1371=""Diarrheal diseases"",'GBD estimates'!$D$3:$D$1371=""5-14 years"")"),1.43824E-4)</f>
        <v>0.000143824</v>
      </c>
      <c r="AF174" s="542">
        <f>IFERROR(__xludf.DUMMYFUNCTION("FILTER('GBD estimates'!$G$3:$G$1371,'GBD estimates'!$B$3:$B$1371=AF$3,'GBD estimates'!$E$3:$E$1371=""Diarrheal diseases"",'GBD estimates'!$D$3:$D$1371=""5-14 years"")"),1.19542E-4)</f>
        <v>0.000119542</v>
      </c>
      <c r="AG174" s="542">
        <f>IFERROR(__xludf.DUMMYFUNCTION("FILTER('GBD estimates'!$G$3:$G$1371,'GBD estimates'!$B$3:$B$1371=AG$3,'GBD estimates'!$E$3:$E$1371=""Diarrheal diseases"",'GBD estimates'!$D$3:$D$1371=""5-14 years"")"),3.36525E-4)</f>
        <v>0.000336525</v>
      </c>
      <c r="AH174" s="542">
        <f>IFERROR(__xludf.DUMMYFUNCTION("FILTER('GBD estimates'!$G$3:$G$1371,'GBD estimates'!$B$3:$B$1371=AH$3,'GBD estimates'!$E$3:$E$1371=""Diarrheal diseases"",'GBD estimates'!$D$3:$D$1371=""5-14 years"")"),2.20572E-4)</f>
        <v>0.000220572</v>
      </c>
      <c r="AI174" s="542">
        <f>IFERROR(__xludf.DUMMYFUNCTION("FILTER('GBD estimates'!$G$3:$G$1371,'GBD estimates'!$B$3:$B$1371=AI$3,'GBD estimates'!$E$3:$E$1371=""Diarrheal diseases"",'GBD estimates'!$D$3:$D$1371=""5-14 years"")"),1.88882E-4)</f>
        <v>0.000188882</v>
      </c>
      <c r="AJ174" s="542">
        <f>IFERROR(__xludf.DUMMYFUNCTION("FILTER('GBD estimates'!$G$3:$G$1371,'GBD estimates'!$B$3:$B$1371=AJ$3,'GBD estimates'!$E$3:$E$1371=""Diarrheal diseases"",'GBD estimates'!$D$3:$D$1371=""5-14 years"")"),7.57E-5)</f>
        <v>0.0000757</v>
      </c>
      <c r="AK174" s="542">
        <f>IFERROR(__xludf.DUMMYFUNCTION("FILTER('GBD estimates'!$G$3:$G$1371,'GBD estimates'!$B$3:$B$1371=AK$3,'GBD estimates'!$E$3:$E$1371=""Diarrheal diseases"",'GBD estimates'!$D$3:$D$1371=""5-14 years"")"),3.65466E-4)</f>
        <v>0.000365466</v>
      </c>
      <c r="AL174" s="542">
        <f>IFERROR(__xludf.DUMMYFUNCTION("FILTER('GBD estimates'!$G$3:$G$1371,'GBD estimates'!$B$3:$B$1371=AL$3,'GBD estimates'!$E$3:$E$1371=""Diarrheal diseases"",'GBD estimates'!$D$3:$D$1371=""5-14 years"")"),5.88147E-4)</f>
        <v>0.000588147</v>
      </c>
      <c r="AM174" s="542">
        <f t="shared" ref="AM174:AN174" si="49">AL174</f>
        <v>0.000588147</v>
      </c>
      <c r="AN174" s="542">
        <f t="shared" si="49"/>
        <v>0.000588147</v>
      </c>
      <c r="AO174" s="542">
        <f>IFERROR(__xludf.DUMMYFUNCTION("FILTER('GBD estimates'!$G$3:$G$1371,'GBD estimates'!$B$3:$B$1371=AO$3,'GBD estimates'!$E$3:$E$1371=""Diarrheal diseases"",'GBD estimates'!$D$3:$D$1371=""5-14 years"")"),1.72906E-4)</f>
        <v>0.000172906</v>
      </c>
      <c r="AP174" s="542">
        <f>IFERROR(__xludf.DUMMYFUNCTION("FILTER('GBD estimates'!$G$3:$G$1371,'GBD estimates'!$B$3:$B$1371=AP$3,'GBD estimates'!$E$3:$E$1371=""Diarrheal diseases"",'GBD estimates'!$D$3:$D$1371=""5-14 years"")"),2.21703E-4)</f>
        <v>0.000221703</v>
      </c>
      <c r="AQ174" s="542">
        <f>IFERROR(__xludf.DUMMYFUNCTION("FILTER('GBD estimates'!$G$3:$G$1371,'GBD estimates'!$B$3:$B$1371=AQ$3,'GBD estimates'!$E$3:$E$1371=""Diarrheal diseases"",'GBD estimates'!$D$3:$D$1371=""5-14 years"")"),1.05538E-4)</f>
        <v>0.000105538</v>
      </c>
      <c r="AR174" s="542">
        <f>IFERROR(__xludf.DUMMYFUNCTION("FILTER('GBD estimates'!$G$3:$G$1371,'GBD estimates'!$B$3:$B$1371=AR$3,'GBD estimates'!$E$3:$E$1371=""Diarrheal diseases"",'GBD estimates'!$D$3:$D$1371=""5-14 years"")"),1.68951E-4)</f>
        <v>0.000168951</v>
      </c>
      <c r="AS174" s="542">
        <f>IFERROR(__xludf.DUMMYFUNCTION("FILTER('GBD estimates'!$G$3:$G$1371,'GBD estimates'!$B$3:$B$1371=AS$3,'GBD estimates'!$E$3:$E$1371=""Diarrheal diseases"",'GBD estimates'!$D$3:$D$1371=""5-14 years"")"),4.18418E-4)</f>
        <v>0.000418418</v>
      </c>
      <c r="AT174" s="542">
        <f>IFERROR(__xludf.DUMMYFUNCTION("FILTER('GBD estimates'!$G$3:$G$1371,'GBD estimates'!$B$3:$B$1371=AT$3,'GBD estimates'!$E$3:$E$1371=""Diarrheal diseases"",'GBD estimates'!$D$3:$D$1371=""5-14 years"")"),1.42167E-4)</f>
        <v>0.000142167</v>
      </c>
      <c r="AU174" s="542">
        <f>IFERROR(__xludf.DUMMYFUNCTION("FILTER('GBD estimates'!$G$3:$G$1371,'GBD estimates'!$B$3:$B$1371=AU$3,'GBD estimates'!$E$3:$E$1371=""Diarrheal diseases"",'GBD estimates'!$D$3:$D$1371=""5-14 years"")"),8.45421E-4)</f>
        <v>0.000845421</v>
      </c>
      <c r="AV174" s="542">
        <f>IFERROR(__xludf.DUMMYFUNCTION("FILTER('GBD estimates'!$G$3:$G$1371,'GBD estimates'!$B$3:$B$1371=AV$3,'GBD estimates'!$E$3:$E$1371=""Diarrheal diseases"",'GBD estimates'!$D$3:$D$1371=""5-14 years"")"),9.59022E-4)</f>
        <v>0.000959022</v>
      </c>
      <c r="AW174" s="788"/>
      <c r="AX174" s="798" t="s">
        <v>999</v>
      </c>
      <c r="AY174" s="790"/>
    </row>
    <row r="175">
      <c r="A175" s="776"/>
      <c r="B175" s="538"/>
      <c r="C175" s="538"/>
      <c r="D175" s="538"/>
      <c r="E175" s="475" t="s">
        <v>643</v>
      </c>
      <c r="F175" s="554" t="s">
        <v>72</v>
      </c>
      <c r="G175" s="555" t="s">
        <v>165</v>
      </c>
      <c r="H175" s="811" t="s">
        <v>162</v>
      </c>
      <c r="I175" s="542">
        <f>IFERROR(__xludf.DUMMYFUNCTION("FILTER('GBD estimates'!$G$3:$G$1371,'GBD estimates'!$B$3:$B$1371=I$3,'GBD estimates'!$E$3:$E$1371=""Diarrheal diseases"",'GBD estimates'!$D$3:$D$1371=""15-49 years"")"),0.004800212)</f>
        <v>0.004800212</v>
      </c>
      <c r="J175" s="542">
        <f>IFERROR(__xludf.DUMMYFUNCTION("FILTER('GBD estimates'!$G$3:$G$1371,'GBD estimates'!$B$3:$B$1371=J$3,'GBD estimates'!$E$3:$E$1371=""Diarrheal diseases"",'GBD estimates'!$D$3:$D$1371=""15-49 years"")"),0.002629884)</f>
        <v>0.002629884</v>
      </c>
      <c r="K175" s="542">
        <f>IFERROR(__xludf.DUMMYFUNCTION("FILTER('GBD estimates'!$G$3:$G$1371,'GBD estimates'!$B$3:$B$1371=K$3,'GBD estimates'!$E$3:$E$1371=""Diarrheal diseases"",'GBD estimates'!$D$3:$D$1371=""15-49 years"")"),0.003693331)</f>
        <v>0.003693331</v>
      </c>
      <c r="L175" s="542">
        <f t="shared" si="48"/>
        <v>0.001387744</v>
      </c>
      <c r="M175" s="542">
        <f>IFERROR(__xludf.DUMMYFUNCTION("FILTER('GBD estimates'!$G$3:$G$1371,'GBD estimates'!$B$3:$B$1371=M$3,'GBD estimates'!$E$3:$E$1371=""Diarrheal diseases"",'GBD estimates'!$D$3:$D$1371=""15-49 years"")"),0.002059414)</f>
        <v>0.002059414</v>
      </c>
      <c r="N175" s="542">
        <f>IFERROR(__xludf.DUMMYFUNCTION("FILTER('GBD estimates'!$G$3:$G$1371,'GBD estimates'!$B$3:$B$1371=N$3,'GBD estimates'!$E$3:$E$1371=""Diarrheal diseases"",'GBD estimates'!$D$3:$D$1371=""15-49 years"")"),0.003840535)</f>
        <v>0.003840535</v>
      </c>
      <c r="O175" s="542">
        <f>IFERROR(__xludf.DUMMYFUNCTION("FILTER('GBD estimates'!$G$3:$G$1371,'GBD estimates'!$B$3:$B$1371=O$3,'GBD estimates'!$E$3:$E$1371=""Diarrheal diseases"",'GBD estimates'!$D$3:$D$1371=""15-49 years"")"),0.004186265)</f>
        <v>0.004186265</v>
      </c>
      <c r="P175" s="542">
        <f>IFERROR(__xludf.DUMMYFUNCTION("FILTER('GBD estimates'!$G$3:$G$1371,'GBD estimates'!$B$3:$B$1371=P$3,'GBD estimates'!$E$3:$E$1371=""Diarrheal diseases"",'GBD estimates'!$D$3:$D$1371=""15-49 years"")"),0.005418147)</f>
        <v>0.005418147</v>
      </c>
      <c r="Q175" s="543">
        <f>IFERROR(__xludf.DUMMYFUNCTION("FILTER('GBD estimates'!$G$3:$G$1371,'GBD estimates'!$B$3:$B$1371=Q$3,'GBD estimates'!$E$3:$E$1371=""Diarrheal diseases"",'GBD estimates'!$D$3:$D$1371=""15-49 years"")"),0.004713418)</f>
        <v>0.004713418</v>
      </c>
      <c r="R175" s="542">
        <f>IFERROR(__xludf.DUMMYFUNCTION("FILTER('GBD estimates'!$G$3:$G$1371,'GBD estimates'!$B$3:$B$1371=R$3,'GBD estimates'!$E$3:$E$1371=""Diarrheal diseases"",'GBD estimates'!$D$3:$D$1371=""15-49 years"")"),9.358E-4)</f>
        <v>0.0009358</v>
      </c>
      <c r="S175" s="542">
        <f>IFERROR(__xludf.DUMMYFUNCTION("FILTER('GBD estimates'!$G$3:$G$1371,'GBD estimates'!$B$3:$B$1371=S$3,'GBD estimates'!$E$3:$E$1371=""Diarrheal diseases"",'GBD estimates'!$D$3:$D$1371=""15-49 years"")"),0.002464247)</f>
        <v>0.002464247</v>
      </c>
      <c r="T175" s="542">
        <f>IFERROR(__xludf.DUMMYFUNCTION("FILTER('GBD estimates'!$G$3:$G$1371,'GBD estimates'!$B$3:$B$1371=T$3,'GBD estimates'!$E$3:$E$1371=""Diarrheal diseases"",'GBD estimates'!$D$3:$D$1371=""15-49 years"")"),9.56354E-4)</f>
        <v>0.000956354</v>
      </c>
      <c r="U175" s="542">
        <f>IFERROR(__xludf.DUMMYFUNCTION("FILTER('GBD estimates'!$G$3:$G$1371,'GBD estimates'!$B$3:$B$1371=U$3,'GBD estimates'!$E$3:$E$1371=""Diarrheal diseases"",'GBD estimates'!$D$3:$D$1371=""15-49 years"")"),7.62501E-4)</f>
        <v>0.000762501</v>
      </c>
      <c r="V175" s="542">
        <f>IFERROR(__xludf.DUMMYFUNCTION("FILTER('GBD estimates'!$G$3:$G$1371,'GBD estimates'!$B$3:$B$1371=V$3,'GBD estimates'!$E$3:$E$1371=""Diarrheal diseases"",'GBD estimates'!$D$3:$D$1371=""15-49 years"")"),0.002117225)</f>
        <v>0.002117225</v>
      </c>
      <c r="W175" s="542">
        <f>IFERROR(__xludf.DUMMYFUNCTION("FILTER('GBD estimates'!$G$3:$G$1371,'GBD estimates'!$B$3:$B$1371=W$3,'GBD estimates'!$E$3:$E$1371=""Diarrheal diseases"",'GBD estimates'!$D$3:$D$1371=""15-49 years"")"),0.002781602)</f>
        <v>0.002781602</v>
      </c>
      <c r="X175" s="542">
        <f>IFERROR(__xludf.DUMMYFUNCTION("FILTER('GBD estimates'!$G$3:$G$1371,'GBD estimates'!$B$3:$B$1371=X$3,'GBD estimates'!$E$3:$E$1371=""Diarrheal diseases"",'GBD estimates'!$D$3:$D$1371=""15-49 years"")"),0.002375827)</f>
        <v>0.002375827</v>
      </c>
      <c r="Y175" s="542">
        <f>IFERROR(__xludf.DUMMYFUNCTION("FILTER('GBD estimates'!$G$3:$G$1371,'GBD estimates'!$B$3:$B$1371=Y$3,'GBD estimates'!$E$3:$E$1371=""Diarrheal diseases"",'GBD estimates'!$D$3:$D$1371=""15-49 years"")"),0.001715319)</f>
        <v>0.001715319</v>
      </c>
      <c r="Z175" s="542">
        <f>IFERROR(__xludf.DUMMYFUNCTION("FILTER('GBD estimates'!$G$3:$G$1371,'GBD estimates'!$B$3:$B$1371=Z$3,'GBD estimates'!$E$3:$E$1371=""Diarrheal diseases"",'GBD estimates'!$D$3:$D$1371=""15-49 years"")"),9.67394E-4)</f>
        <v>0.000967394</v>
      </c>
      <c r="AA175" s="542">
        <f>IFERROR(__xludf.DUMMYFUNCTION("FILTER('GBD estimates'!$G$3:$G$1371,'GBD estimates'!$B$3:$B$1371=AA$3,'GBD estimates'!$E$3:$E$1371=""Diarrheal diseases"",'GBD estimates'!$D$3:$D$1371=""15-49 years"")"),0.001784197)</f>
        <v>0.001784197</v>
      </c>
      <c r="AB175" s="542">
        <f>IFERROR(__xludf.DUMMYFUNCTION("FILTER('GBD estimates'!$G$3:$G$1371,'GBD estimates'!$B$3:$B$1371=AB$3,'GBD estimates'!$E$3:$E$1371=""Diarrheal diseases"",'GBD estimates'!$D$3:$D$1371=""15-49 years"")"),8.91718E-4)</f>
        <v>0.000891718</v>
      </c>
      <c r="AC175" s="542">
        <f>IFERROR(__xludf.DUMMYFUNCTION("FILTER('GBD estimates'!$G$3:$G$1371,'GBD estimates'!$B$3:$B$1371=AC$3,'GBD estimates'!$E$3:$E$1371=""Diarrheal diseases"",'GBD estimates'!$D$3:$D$1371=""15-49 years"")"),9.05281E-4)</f>
        <v>0.000905281</v>
      </c>
      <c r="AD175" s="542">
        <f>IFERROR(__xludf.DUMMYFUNCTION("FILTER('GBD estimates'!$G$3:$G$1371,'GBD estimates'!$B$3:$B$1371=AD$3,'GBD estimates'!$E$3:$E$1371=""Diarrheal diseases"",'GBD estimates'!$D$3:$D$1371=""15-49 years"")"),0.001086224)</f>
        <v>0.001086224</v>
      </c>
      <c r="AE175" s="542">
        <f>IFERROR(__xludf.DUMMYFUNCTION("FILTER('GBD estimates'!$G$3:$G$1371,'GBD estimates'!$B$3:$B$1371=AE$3,'GBD estimates'!$E$3:$E$1371=""Diarrheal diseases"",'GBD estimates'!$D$3:$D$1371=""15-49 years"")"),7.10434E-4)</f>
        <v>0.000710434</v>
      </c>
      <c r="AF175" s="542">
        <f>IFERROR(__xludf.DUMMYFUNCTION("FILTER('GBD estimates'!$G$3:$G$1371,'GBD estimates'!$B$3:$B$1371=AF$3,'GBD estimates'!$E$3:$E$1371=""Diarrheal diseases"",'GBD estimates'!$D$3:$D$1371=""15-49 years"")"),6.83345E-4)</f>
        <v>0.000683345</v>
      </c>
      <c r="AG175" s="542">
        <f>IFERROR(__xludf.DUMMYFUNCTION("FILTER('GBD estimates'!$G$3:$G$1371,'GBD estimates'!$B$3:$B$1371=AG$3,'GBD estimates'!$E$3:$E$1371=""Diarrheal diseases"",'GBD estimates'!$D$3:$D$1371=""15-49 years"")"),0.001387744)</f>
        <v>0.001387744</v>
      </c>
      <c r="AH175" s="542">
        <f>IFERROR(__xludf.DUMMYFUNCTION("FILTER('GBD estimates'!$G$3:$G$1371,'GBD estimates'!$B$3:$B$1371=AH$3,'GBD estimates'!$E$3:$E$1371=""Diarrheal diseases"",'GBD estimates'!$D$3:$D$1371=""15-49 years"")"),0.001335379)</f>
        <v>0.001335379</v>
      </c>
      <c r="AI175" s="542">
        <f>IFERROR(__xludf.DUMMYFUNCTION("FILTER('GBD estimates'!$G$3:$G$1371,'GBD estimates'!$B$3:$B$1371=AI$3,'GBD estimates'!$E$3:$E$1371=""Diarrheal diseases"",'GBD estimates'!$D$3:$D$1371=""15-49 years"")"),0.001365595)</f>
        <v>0.001365595</v>
      </c>
      <c r="AJ175" s="542">
        <f>IFERROR(__xludf.DUMMYFUNCTION("FILTER('GBD estimates'!$G$3:$G$1371,'GBD estimates'!$B$3:$B$1371=AJ$3,'GBD estimates'!$E$3:$E$1371=""Diarrheal diseases"",'GBD estimates'!$D$3:$D$1371=""15-49 years"")"),4.35125E-4)</f>
        <v>0.000435125</v>
      </c>
      <c r="AK175" s="542">
        <f>IFERROR(__xludf.DUMMYFUNCTION("FILTER('GBD estimates'!$G$3:$G$1371,'GBD estimates'!$B$3:$B$1371=AK$3,'GBD estimates'!$E$3:$E$1371=""Diarrheal diseases"",'GBD estimates'!$D$3:$D$1371=""15-49 years"")"),0.00190647)</f>
        <v>0.00190647</v>
      </c>
      <c r="AL175" s="542">
        <f>IFERROR(__xludf.DUMMYFUNCTION("FILTER('GBD estimates'!$G$3:$G$1371,'GBD estimates'!$B$3:$B$1371=AL$3,'GBD estimates'!$E$3:$E$1371=""Diarrheal diseases"",'GBD estimates'!$D$3:$D$1371=""15-49 years"")"),0.002810532)</f>
        <v>0.002810532</v>
      </c>
      <c r="AM175" s="542">
        <f t="shared" ref="AM175:AN175" si="50">AL175</f>
        <v>0.002810532</v>
      </c>
      <c r="AN175" s="542">
        <f t="shared" si="50"/>
        <v>0.002810532</v>
      </c>
      <c r="AO175" s="542">
        <f>IFERROR(__xludf.DUMMYFUNCTION("FILTER('GBD estimates'!$G$3:$G$1371,'GBD estimates'!$B$3:$B$1371=AO$3,'GBD estimates'!$E$3:$E$1371=""Diarrheal diseases"",'GBD estimates'!$D$3:$D$1371=""15-49 years"")"),0.001056943)</f>
        <v>0.001056943</v>
      </c>
      <c r="AP175" s="542">
        <f>IFERROR(__xludf.DUMMYFUNCTION("FILTER('GBD estimates'!$G$3:$G$1371,'GBD estimates'!$B$3:$B$1371=AP$3,'GBD estimates'!$E$3:$E$1371=""Diarrheal diseases"",'GBD estimates'!$D$3:$D$1371=""15-49 years"")"),0.001194849)</f>
        <v>0.001194849</v>
      </c>
      <c r="AQ175" s="542">
        <f>IFERROR(__xludf.DUMMYFUNCTION("FILTER('GBD estimates'!$G$3:$G$1371,'GBD estimates'!$B$3:$B$1371=AQ$3,'GBD estimates'!$E$3:$E$1371=""Diarrheal diseases"",'GBD estimates'!$D$3:$D$1371=""15-49 years"")"),6.74307E-4)</f>
        <v>0.000674307</v>
      </c>
      <c r="AR175" s="542">
        <f>IFERROR(__xludf.DUMMYFUNCTION("FILTER('GBD estimates'!$G$3:$G$1371,'GBD estimates'!$B$3:$B$1371=AR$3,'GBD estimates'!$E$3:$E$1371=""Diarrheal diseases"",'GBD estimates'!$D$3:$D$1371=""15-49 years"")"),0.001094594)</f>
        <v>0.001094594</v>
      </c>
      <c r="AS175" s="542">
        <f>IFERROR(__xludf.DUMMYFUNCTION("FILTER('GBD estimates'!$G$3:$G$1371,'GBD estimates'!$B$3:$B$1371=AS$3,'GBD estimates'!$E$3:$E$1371=""Diarrheal diseases"",'GBD estimates'!$D$3:$D$1371=""15-49 years"")"),0.002257257)</f>
        <v>0.002257257</v>
      </c>
      <c r="AT175" s="542">
        <f>IFERROR(__xludf.DUMMYFUNCTION("FILTER('GBD estimates'!$G$3:$G$1371,'GBD estimates'!$B$3:$B$1371=AT$3,'GBD estimates'!$E$3:$E$1371=""Diarrheal diseases"",'GBD estimates'!$D$3:$D$1371=""15-49 years"")"),8.24424E-4)</f>
        <v>0.000824424</v>
      </c>
      <c r="AU175" s="542">
        <f>IFERROR(__xludf.DUMMYFUNCTION("FILTER('GBD estimates'!$G$3:$G$1371,'GBD estimates'!$B$3:$B$1371=AU$3,'GBD estimates'!$E$3:$E$1371=""Diarrheal diseases"",'GBD estimates'!$D$3:$D$1371=""15-49 years"")"),0.003444727)</f>
        <v>0.003444727</v>
      </c>
      <c r="AV175" s="542">
        <f>IFERROR(__xludf.DUMMYFUNCTION("FILTER('GBD estimates'!$G$3:$G$1371,'GBD estimates'!$B$3:$B$1371=AV$3,'GBD estimates'!$E$3:$E$1371=""Diarrheal diseases"",'GBD estimates'!$D$3:$D$1371=""15-49 years"")"),0.004175441)</f>
        <v>0.004175441</v>
      </c>
      <c r="AW175" s="788"/>
      <c r="AX175" s="798" t="s">
        <v>999</v>
      </c>
      <c r="AY175" s="790"/>
    </row>
    <row r="176">
      <c r="A176" s="776"/>
      <c r="B176" s="538"/>
      <c r="C176" s="538"/>
      <c r="D176" s="538"/>
      <c r="E176" s="475" t="s">
        <v>644</v>
      </c>
      <c r="F176" s="554" t="s">
        <v>72</v>
      </c>
      <c r="G176" s="555" t="s">
        <v>165</v>
      </c>
      <c r="H176" s="811" t="s">
        <v>162</v>
      </c>
      <c r="I176" s="542">
        <f>IFERROR(__xludf.DUMMYFUNCTION("FILTER('GBD estimates'!$G$3:$G$1371,'GBD estimates'!$B$3:$B$1371=I$3,'GBD estimates'!$E$3:$E$1371=""Diarrheal diseases"",'GBD estimates'!$D$3:$D$1371=""50 to 74 years"")"),0.036211497)</f>
        <v>0.036211497</v>
      </c>
      <c r="J176" s="542">
        <f>IFERROR(__xludf.DUMMYFUNCTION("FILTER('GBD estimates'!$G$3:$G$1371,'GBD estimates'!$B$3:$B$1371=J$3,'GBD estimates'!$E$3:$E$1371=""Diarrheal diseases"",'GBD estimates'!$D$3:$D$1371=""50 to 74 years"")"),0.026063001)</f>
        <v>0.026063001</v>
      </c>
      <c r="K176" s="542">
        <f>IFERROR(__xludf.DUMMYFUNCTION("FILTER('GBD estimates'!$G$3:$G$1371,'GBD estimates'!$B$3:$B$1371=K$3,'GBD estimates'!$E$3:$E$1371=""Diarrheal diseases"",'GBD estimates'!$D$3:$D$1371=""50 to 74 years"")"),0.025191224)</f>
        <v>0.025191224</v>
      </c>
      <c r="L176" s="542">
        <f t="shared" si="48"/>
        <v>0.009476781</v>
      </c>
      <c r="M176" s="542">
        <f>IFERROR(__xludf.DUMMYFUNCTION("FILTER('GBD estimates'!$G$3:$G$1371,'GBD estimates'!$B$3:$B$1371=M$3,'GBD estimates'!$E$3:$E$1371=""Diarrheal diseases"",'GBD estimates'!$D$3:$D$1371=""50 to 74 years"")"),0.01495977)</f>
        <v>0.01495977</v>
      </c>
      <c r="N176" s="542">
        <f>IFERROR(__xludf.DUMMYFUNCTION("FILTER('GBD estimates'!$G$3:$G$1371,'GBD estimates'!$B$3:$B$1371=N$3,'GBD estimates'!$E$3:$E$1371=""Diarrheal diseases"",'GBD estimates'!$D$3:$D$1371=""50 to 74 years"")"),0.026991937)</f>
        <v>0.026991937</v>
      </c>
      <c r="O176" s="542">
        <f>IFERROR(__xludf.DUMMYFUNCTION("FILTER('GBD estimates'!$G$3:$G$1371,'GBD estimates'!$B$3:$B$1371=O$3,'GBD estimates'!$E$3:$E$1371=""Diarrheal diseases"",'GBD estimates'!$D$3:$D$1371=""50 to 74 years"")"),0.035335125)</f>
        <v>0.035335125</v>
      </c>
      <c r="P176" s="542">
        <f>IFERROR(__xludf.DUMMYFUNCTION("FILTER('GBD estimates'!$G$3:$G$1371,'GBD estimates'!$B$3:$B$1371=P$3,'GBD estimates'!$E$3:$E$1371=""Diarrheal diseases"",'GBD estimates'!$D$3:$D$1371=""50 to 74 years"")"),0.033801047)</f>
        <v>0.033801047</v>
      </c>
      <c r="Q176" s="543">
        <f>IFERROR(__xludf.DUMMYFUNCTION("FILTER('GBD estimates'!$G$3:$G$1371,'GBD estimates'!$B$3:$B$1371=Q$3,'GBD estimates'!$E$3:$E$1371=""Diarrheal diseases"",'GBD estimates'!$D$3:$D$1371=""50 to 74 years"")"),0.040274929)</f>
        <v>0.040274929</v>
      </c>
      <c r="R176" s="542">
        <f>IFERROR(__xludf.DUMMYFUNCTION("FILTER('GBD estimates'!$G$3:$G$1371,'GBD estimates'!$B$3:$B$1371=R$3,'GBD estimates'!$E$3:$E$1371=""Diarrheal diseases"",'GBD estimates'!$D$3:$D$1371=""50 to 74 years"")"),0.005661203)</f>
        <v>0.005661203</v>
      </c>
      <c r="S176" s="542">
        <f>IFERROR(__xludf.DUMMYFUNCTION("FILTER('GBD estimates'!$G$3:$G$1371,'GBD estimates'!$B$3:$B$1371=S$3,'GBD estimates'!$E$3:$E$1371=""Diarrheal diseases"",'GBD estimates'!$D$3:$D$1371=""50 to 74 years"")"),0.018103953)</f>
        <v>0.018103953</v>
      </c>
      <c r="T176" s="542">
        <f>IFERROR(__xludf.DUMMYFUNCTION("FILTER('GBD estimates'!$G$3:$G$1371,'GBD estimates'!$B$3:$B$1371=T$3,'GBD estimates'!$E$3:$E$1371=""Diarrheal diseases"",'GBD estimates'!$D$3:$D$1371=""50 to 74 years"")"),0.006871675)</f>
        <v>0.006871675</v>
      </c>
      <c r="U176" s="542">
        <f>IFERROR(__xludf.DUMMYFUNCTION("FILTER('GBD estimates'!$G$3:$G$1371,'GBD estimates'!$B$3:$B$1371=U$3,'GBD estimates'!$E$3:$E$1371=""Diarrheal diseases"",'GBD estimates'!$D$3:$D$1371=""50 to 74 years"")"),0.004802819)</f>
        <v>0.004802819</v>
      </c>
      <c r="V176" s="542">
        <f>IFERROR(__xludf.DUMMYFUNCTION("FILTER('GBD estimates'!$G$3:$G$1371,'GBD estimates'!$B$3:$B$1371=V$3,'GBD estimates'!$E$3:$E$1371=""Diarrheal diseases"",'GBD estimates'!$D$3:$D$1371=""50 to 74 years"")"),0.013675997)</f>
        <v>0.013675997</v>
      </c>
      <c r="W176" s="542">
        <f>IFERROR(__xludf.DUMMYFUNCTION("FILTER('GBD estimates'!$G$3:$G$1371,'GBD estimates'!$B$3:$B$1371=W$3,'GBD estimates'!$E$3:$E$1371=""Diarrheal diseases"",'GBD estimates'!$D$3:$D$1371=""50 to 74 years"")"),0.018155837)</f>
        <v>0.018155837</v>
      </c>
      <c r="X176" s="542">
        <f>IFERROR(__xludf.DUMMYFUNCTION("FILTER('GBD estimates'!$G$3:$G$1371,'GBD estimates'!$B$3:$B$1371=X$3,'GBD estimates'!$E$3:$E$1371=""Diarrheal diseases"",'GBD estimates'!$D$3:$D$1371=""50 to 74 years"")"),0.019158209)</f>
        <v>0.019158209</v>
      </c>
      <c r="Y176" s="542">
        <f>IFERROR(__xludf.DUMMYFUNCTION("FILTER('GBD estimates'!$G$3:$G$1371,'GBD estimates'!$B$3:$B$1371=Y$3,'GBD estimates'!$E$3:$E$1371=""Diarrheal diseases"",'GBD estimates'!$D$3:$D$1371=""50 to 74 years"")"),0.011142639)</f>
        <v>0.011142639</v>
      </c>
      <c r="Z176" s="542">
        <f>IFERROR(__xludf.DUMMYFUNCTION("FILTER('GBD estimates'!$G$3:$G$1371,'GBD estimates'!$B$3:$B$1371=Z$3,'GBD estimates'!$E$3:$E$1371=""Diarrheal diseases"",'GBD estimates'!$D$3:$D$1371=""50 to 74 years"")"),0.005654098)</f>
        <v>0.005654098</v>
      </c>
      <c r="AA176" s="542">
        <f>IFERROR(__xludf.DUMMYFUNCTION("FILTER('GBD estimates'!$G$3:$G$1371,'GBD estimates'!$B$3:$B$1371=AA$3,'GBD estimates'!$E$3:$E$1371=""Diarrheal diseases"",'GBD estimates'!$D$3:$D$1371=""50 to 74 years"")"),0.012145436)</f>
        <v>0.012145436</v>
      </c>
      <c r="AB176" s="542">
        <f>IFERROR(__xludf.DUMMYFUNCTION("FILTER('GBD estimates'!$G$3:$G$1371,'GBD estimates'!$B$3:$B$1371=AB$3,'GBD estimates'!$E$3:$E$1371=""Diarrheal diseases"",'GBD estimates'!$D$3:$D$1371=""50 to 74 years"")"),0.004878092)</f>
        <v>0.004878092</v>
      </c>
      <c r="AC176" s="542">
        <f>IFERROR(__xludf.DUMMYFUNCTION("FILTER('GBD estimates'!$G$3:$G$1371,'GBD estimates'!$B$3:$B$1371=AC$3,'GBD estimates'!$E$3:$E$1371=""Diarrheal diseases"",'GBD estimates'!$D$3:$D$1371=""50 to 74 years"")"),0.005995222)</f>
        <v>0.005995222</v>
      </c>
      <c r="AD176" s="542">
        <f>IFERROR(__xludf.DUMMYFUNCTION("FILTER('GBD estimates'!$G$3:$G$1371,'GBD estimates'!$B$3:$B$1371=AD$3,'GBD estimates'!$E$3:$E$1371=""Diarrheal diseases"",'GBD estimates'!$D$3:$D$1371=""50 to 74 years"")"),0.007440561)</f>
        <v>0.007440561</v>
      </c>
      <c r="AE176" s="542">
        <f>IFERROR(__xludf.DUMMYFUNCTION("FILTER('GBD estimates'!$G$3:$G$1371,'GBD estimates'!$B$3:$B$1371=AE$3,'GBD estimates'!$E$3:$E$1371=""Diarrheal diseases"",'GBD estimates'!$D$3:$D$1371=""50 to 74 years"")"),0.003652784)</f>
        <v>0.003652784</v>
      </c>
      <c r="AF176" s="542">
        <f>IFERROR(__xludf.DUMMYFUNCTION("FILTER('GBD estimates'!$G$3:$G$1371,'GBD estimates'!$B$3:$B$1371=AF$3,'GBD estimates'!$E$3:$E$1371=""Diarrheal diseases"",'GBD estimates'!$D$3:$D$1371=""50 to 74 years"")"),0.004392525)</f>
        <v>0.004392525</v>
      </c>
      <c r="AG176" s="542">
        <f>IFERROR(__xludf.DUMMYFUNCTION("FILTER('GBD estimates'!$G$3:$G$1371,'GBD estimates'!$B$3:$B$1371=AG$3,'GBD estimates'!$E$3:$E$1371=""Diarrheal diseases"",'GBD estimates'!$D$3:$D$1371=""50 to 74 years"")"),0.009476781)</f>
        <v>0.009476781</v>
      </c>
      <c r="AH176" s="542">
        <f>IFERROR(__xludf.DUMMYFUNCTION("FILTER('GBD estimates'!$G$3:$G$1371,'GBD estimates'!$B$3:$B$1371=AH$3,'GBD estimates'!$E$3:$E$1371=""Diarrheal diseases"",'GBD estimates'!$D$3:$D$1371=""50 to 74 years"")"),0.009759322)</f>
        <v>0.009759322</v>
      </c>
      <c r="AI176" s="542">
        <f>IFERROR(__xludf.DUMMYFUNCTION("FILTER('GBD estimates'!$G$3:$G$1371,'GBD estimates'!$B$3:$B$1371=AI$3,'GBD estimates'!$E$3:$E$1371=""Diarrheal diseases"",'GBD estimates'!$D$3:$D$1371=""50 to 74 years"")"),0.008120277)</f>
        <v>0.008120277</v>
      </c>
      <c r="AJ176" s="542">
        <f>IFERROR(__xludf.DUMMYFUNCTION("FILTER('GBD estimates'!$G$3:$G$1371,'GBD estimates'!$B$3:$B$1371=AJ$3,'GBD estimates'!$E$3:$E$1371=""Diarrheal diseases"",'GBD estimates'!$D$3:$D$1371=""50 to 74 years"")"),0.002439656)</f>
        <v>0.002439656</v>
      </c>
      <c r="AK176" s="542">
        <f>IFERROR(__xludf.DUMMYFUNCTION("FILTER('GBD estimates'!$G$3:$G$1371,'GBD estimates'!$B$3:$B$1371=AK$3,'GBD estimates'!$E$3:$E$1371=""Diarrheal diseases"",'GBD estimates'!$D$3:$D$1371=""50 to 74 years"")"),0.00992103)</f>
        <v>0.00992103</v>
      </c>
      <c r="AL176" s="542">
        <f>IFERROR(__xludf.DUMMYFUNCTION("FILTER('GBD estimates'!$G$3:$G$1371,'GBD estimates'!$B$3:$B$1371=AL$3,'GBD estimates'!$E$3:$E$1371=""Diarrheal diseases"",'GBD estimates'!$D$3:$D$1371=""50 to 74 years"")"),0.019015231)</f>
        <v>0.019015231</v>
      </c>
      <c r="AM176" s="542">
        <f t="shared" ref="AM176:AN176" si="51">AL176</f>
        <v>0.019015231</v>
      </c>
      <c r="AN176" s="542">
        <f t="shared" si="51"/>
        <v>0.019015231</v>
      </c>
      <c r="AO176" s="542">
        <f>IFERROR(__xludf.DUMMYFUNCTION("FILTER('GBD estimates'!$G$3:$G$1371,'GBD estimates'!$B$3:$B$1371=AO$3,'GBD estimates'!$E$3:$E$1371=""Diarrheal diseases"",'GBD estimates'!$D$3:$D$1371=""50 to 74 years"")"),0.007177345)</f>
        <v>0.007177345</v>
      </c>
      <c r="AP176" s="542">
        <f>IFERROR(__xludf.DUMMYFUNCTION("FILTER('GBD estimates'!$G$3:$G$1371,'GBD estimates'!$B$3:$B$1371=AP$3,'GBD estimates'!$E$3:$E$1371=""Diarrheal diseases"",'GBD estimates'!$D$3:$D$1371=""50 to 74 years"")"),0.008441165)</f>
        <v>0.008441165</v>
      </c>
      <c r="AQ176" s="542">
        <f>IFERROR(__xludf.DUMMYFUNCTION("FILTER('GBD estimates'!$G$3:$G$1371,'GBD estimates'!$B$3:$B$1371=AQ$3,'GBD estimates'!$E$3:$E$1371=""Diarrheal diseases"",'GBD estimates'!$D$3:$D$1371=""50 to 74 years"")"),0.0051643)</f>
        <v>0.0051643</v>
      </c>
      <c r="AR176" s="542">
        <f>IFERROR(__xludf.DUMMYFUNCTION("FILTER('GBD estimates'!$G$3:$G$1371,'GBD estimates'!$B$3:$B$1371=AR$3,'GBD estimates'!$E$3:$E$1371=""Diarrheal diseases"",'GBD estimates'!$D$3:$D$1371=""50 to 74 years"")"),0.007085762)</f>
        <v>0.007085762</v>
      </c>
      <c r="AS176" s="542">
        <f>IFERROR(__xludf.DUMMYFUNCTION("FILTER('GBD estimates'!$G$3:$G$1371,'GBD estimates'!$B$3:$B$1371=AS$3,'GBD estimates'!$E$3:$E$1371=""Diarrheal diseases"",'GBD estimates'!$D$3:$D$1371=""50 to 74 years"")"),0.011590778)</f>
        <v>0.011590778</v>
      </c>
      <c r="AT176" s="542">
        <f>IFERROR(__xludf.DUMMYFUNCTION("FILTER('GBD estimates'!$G$3:$G$1371,'GBD estimates'!$B$3:$B$1371=AT$3,'GBD estimates'!$E$3:$E$1371=""Diarrheal diseases"",'GBD estimates'!$D$3:$D$1371=""50 to 74 years"")"),0.005148075)</f>
        <v>0.005148075</v>
      </c>
      <c r="AU176" s="542">
        <f>IFERROR(__xludf.DUMMYFUNCTION("FILTER('GBD estimates'!$G$3:$G$1371,'GBD estimates'!$B$3:$B$1371=AU$3,'GBD estimates'!$E$3:$E$1371=""Diarrheal diseases"",'GBD estimates'!$D$3:$D$1371=""50 to 74 years"")"),0.018454295)</f>
        <v>0.018454295</v>
      </c>
      <c r="AV176" s="542">
        <f>IFERROR(__xludf.DUMMYFUNCTION("FILTER('GBD estimates'!$G$3:$G$1371,'GBD estimates'!$B$3:$B$1371=AV$3,'GBD estimates'!$E$3:$E$1371=""Diarrheal diseases"",'GBD estimates'!$D$3:$D$1371=""50 to 74 years"")"),0.030197009)</f>
        <v>0.030197009</v>
      </c>
      <c r="AW176" s="788"/>
      <c r="AX176" s="798" t="s">
        <v>999</v>
      </c>
      <c r="AY176" s="790"/>
    </row>
    <row r="177">
      <c r="A177" s="776"/>
      <c r="B177" s="538"/>
      <c r="C177" s="538"/>
      <c r="D177" s="538"/>
      <c r="E177" s="782" t="s">
        <v>646</v>
      </c>
      <c r="F177" s="539" t="s">
        <v>62</v>
      </c>
      <c r="G177" s="540" t="s">
        <v>165</v>
      </c>
      <c r="H177" s="808" t="s">
        <v>162</v>
      </c>
      <c r="I177" s="564">
        <f>IFERROR(__xludf.DUMMYFUNCTION("FILTER('GBD estimates'!$R$3:$R$1713,'GBD estimates'!$K$3:$K$1713=I$3,'GBD estimates'!$L$3:$L$1713=""Diarrheal diseases"",'GBD estimates'!$N$3:$N$1713=""Under 5"")"),8284.409952)</f>
        <v>8284.409952</v>
      </c>
      <c r="J177" s="564">
        <f>IFERROR(__xludf.DUMMYFUNCTION("FILTER('GBD estimates'!$R$3:$R$1713,'GBD estimates'!$K$3:$K$1713=J$3,'GBD estimates'!$L$3:$L$1713=""Diarrheal diseases"",'GBD estimates'!$N$3:$N$1713=""Under 5"")"),2640.339554)</f>
        <v>2640.339554</v>
      </c>
      <c r="K177" s="564">
        <f>IFERROR(__xludf.DUMMYFUNCTION("FILTER('GBD estimates'!$R$3:$R$1713,'GBD estimates'!$K$3:$K$1713=K$3,'GBD estimates'!$L$3:$L$1713=""Diarrheal diseases"",'GBD estimates'!$N$3:$N$1713=""Under 5"")"),5560.070956)</f>
        <v>5560.070956</v>
      </c>
      <c r="L177" s="564">
        <f t="shared" si="48"/>
        <v>4192.868343</v>
      </c>
      <c r="M177" s="564">
        <f>IFERROR(__xludf.DUMMYFUNCTION("FILTER('GBD estimates'!$R$3:$R$1713,'GBD estimates'!$K$3:$K$1713=M$3,'GBD estimates'!$L$3:$L$1713=""Diarrheal diseases"",'GBD estimates'!$N$3:$N$1713=""Under 5"")"),13242.14664)</f>
        <v>13242.14664</v>
      </c>
      <c r="N177" s="564">
        <f>IFERROR(__xludf.DUMMYFUNCTION("FILTER('GBD estimates'!$R$3:$R$1713,'GBD estimates'!$K$3:$K$1713=N$3,'GBD estimates'!$L$3:$L$1713=""Diarrheal diseases"",'GBD estimates'!$N$3:$N$1713=""Under 5"")"),8617.388016)</f>
        <v>8617.388016</v>
      </c>
      <c r="O177" s="564">
        <f>IFERROR(__xludf.DUMMYFUNCTION("FILTER('GBD estimates'!$R$3:$R$1713,'GBD estimates'!$K$3:$K$1713=O$3,'GBD estimates'!$L$3:$L$1713=""Diarrheal diseases"",'GBD estimates'!$N$3:$N$1713=""Under 5"")"),4482.685739)</f>
        <v>4482.685739</v>
      </c>
      <c r="P177" s="564">
        <f>IFERROR(__xludf.DUMMYFUNCTION("FILTER('GBD estimates'!$R$3:$R$1713,'GBD estimates'!$K$3:$K$1713=P$3,'GBD estimates'!$L$3:$L$1713=""Diarrheal diseases"",'GBD estimates'!$N$3:$N$1713=""Under 5"")"),9779.802062)</f>
        <v>9779.802062</v>
      </c>
      <c r="Q177" s="565">
        <f>IFERROR(__xludf.DUMMYFUNCTION("FILTER('GBD estimates'!$R$3:$R$1713,'GBD estimates'!$K$3:$K$1713=Q$3,'GBD estimates'!$L$3:$L$1713=""Diarrheal diseases"",'GBD estimates'!$N$3:$N$1713=""Under 5"")"),6371.181551)</f>
        <v>6371.181551</v>
      </c>
      <c r="R177" s="564">
        <f>IFERROR(__xludf.DUMMYFUNCTION("FILTER('GBD estimates'!$R$3:$R$1713,'GBD estimates'!$K$3:$K$1713=R$3,'GBD estimates'!$L$3:$L$1713=""Diarrheal diseases"",'GBD estimates'!$N$3:$N$1713=""Under 5"")"),1158.951025)</f>
        <v>1158.951025</v>
      </c>
      <c r="S177" s="564">
        <f>IFERROR(__xludf.DUMMYFUNCTION("FILTER('GBD estimates'!$R$3:$R$1713,'GBD estimates'!$K$3:$K$1713=S$3,'GBD estimates'!$L$3:$L$1713=""Diarrheal diseases"",'GBD estimates'!$N$3:$N$1713=""Under 5"")"),2039.447727)</f>
        <v>2039.447727</v>
      </c>
      <c r="T177" s="564">
        <f>IFERROR(__xludf.DUMMYFUNCTION("FILTER('GBD estimates'!$R$3:$R$1713,'GBD estimates'!$K$3:$K$1713=T$3,'GBD estimates'!$L$3:$L$1713=""Diarrheal diseases"",'GBD estimates'!$N$3:$N$1713=""Under 5"")"),226.7086025)</f>
        <v>226.7086025</v>
      </c>
      <c r="U177" s="564">
        <f>IFERROR(__xludf.DUMMYFUNCTION("FILTER('GBD estimates'!$R$3:$R$1713,'GBD estimates'!$K$3:$K$1713=U$3,'GBD estimates'!$L$3:$L$1713=""Diarrheal diseases"",'GBD estimates'!$N$3:$N$1713=""Under 5"")"),568.4169959)</f>
        <v>568.4169959</v>
      </c>
      <c r="V177" s="564">
        <f>IFERROR(__xludf.DUMMYFUNCTION("FILTER('GBD estimates'!$R$3:$R$1713,'GBD estimates'!$K$3:$K$1713=V$3,'GBD estimates'!$L$3:$L$1713=""Diarrheal diseases"",'GBD estimates'!$N$3:$N$1713=""Under 5"")"),184.6330508)</f>
        <v>184.6330508</v>
      </c>
      <c r="W177" s="564">
        <f>IFERROR(__xludf.DUMMYFUNCTION("FILTER('GBD estimates'!$R$3:$R$1713,'GBD estimates'!$K$3:$K$1713=W$3,'GBD estimates'!$L$3:$L$1713=""Diarrheal diseases"",'GBD estimates'!$N$3:$N$1713=""Under 5"")"),3569.77128)</f>
        <v>3569.77128</v>
      </c>
      <c r="X177" s="564">
        <f>IFERROR(__xludf.DUMMYFUNCTION("FILTER('GBD estimates'!$R$3:$R$1713,'GBD estimates'!$K$3:$K$1713=X$3,'GBD estimates'!$L$3:$L$1713=""Diarrheal diseases"",'GBD estimates'!$N$3:$N$1713=""Under 5"")"),1648.8014)</f>
        <v>1648.8014</v>
      </c>
      <c r="Y177" s="564">
        <f>IFERROR(__xludf.DUMMYFUNCTION("FILTER('GBD estimates'!$R$3:$R$1713,'GBD estimates'!$K$3:$K$1713=Y$3,'GBD estimates'!$L$3:$L$1713=""Diarrheal diseases"",'GBD estimates'!$N$3:$N$1713=""Under 5"")"),288.6730333)</f>
        <v>288.6730333</v>
      </c>
      <c r="Z177" s="564">
        <f>IFERROR(__xludf.DUMMYFUNCTION("FILTER('GBD estimates'!$R$3:$R$1713,'GBD estimates'!$K$3:$K$1713=Z$3,'GBD estimates'!$L$3:$L$1713=""Diarrheal diseases"",'GBD estimates'!$N$3:$N$1713=""Under 5"")"),595.7234079)</f>
        <v>595.7234079</v>
      </c>
      <c r="AA177" s="564">
        <f>IFERROR(__xludf.DUMMYFUNCTION("FILTER('GBD estimates'!$R$3:$R$1713,'GBD estimates'!$K$3:$K$1713=AA$3,'GBD estimates'!$L$3:$L$1713=""Diarrheal diseases"",'GBD estimates'!$N$3:$N$1713=""Under 5"")"),828.3284596)</f>
        <v>828.3284596</v>
      </c>
      <c r="AB177" s="564">
        <f>IFERROR(__xludf.DUMMYFUNCTION("FILTER('GBD estimates'!$R$3:$R$1713,'GBD estimates'!$K$3:$K$1713=AB$3,'GBD estimates'!$L$3:$L$1713=""Diarrheal diseases"",'GBD estimates'!$N$3:$N$1713=""Under 5"")"),443.4822393)</f>
        <v>443.4822393</v>
      </c>
      <c r="AC177" s="564">
        <f>IFERROR(__xludf.DUMMYFUNCTION("FILTER('GBD estimates'!$R$3:$R$1713,'GBD estimates'!$K$3:$K$1713=AC$3,'GBD estimates'!$L$3:$L$1713=""Diarrheal diseases"",'GBD estimates'!$N$3:$N$1713=""Under 5"")"),187.053837)</f>
        <v>187.053837</v>
      </c>
      <c r="AD177" s="564">
        <f>IFERROR(__xludf.DUMMYFUNCTION("FILTER('GBD estimates'!$R$3:$R$1713,'GBD estimates'!$K$3:$K$1713=AD$3,'GBD estimates'!$L$3:$L$1713=""Diarrheal diseases"",'GBD estimates'!$N$3:$N$1713=""Under 5"")"),342.7345588)</f>
        <v>342.7345588</v>
      </c>
      <c r="AE177" s="564">
        <f>IFERROR(__xludf.DUMMYFUNCTION("FILTER('GBD estimates'!$R$3:$R$1713,'GBD estimates'!$K$3:$K$1713=AE$3,'GBD estimates'!$L$3:$L$1713=""Diarrheal diseases"",'GBD estimates'!$N$3:$N$1713=""Under 5"")"),805.0707054)</f>
        <v>805.0707054</v>
      </c>
      <c r="AF177" s="564">
        <f>IFERROR(__xludf.DUMMYFUNCTION("FILTER('GBD estimates'!$R$3:$R$1713,'GBD estimates'!$K$3:$K$1713=AF$3,'GBD estimates'!$L$3:$L$1713=""Diarrheal diseases"",'GBD estimates'!$N$3:$N$1713=""Under 5"")"),805.4659353)</f>
        <v>805.4659353</v>
      </c>
      <c r="AG177" s="564">
        <f>IFERROR(__xludf.DUMMYFUNCTION("FILTER('GBD estimates'!$R$3:$R$1713,'GBD estimates'!$K$3:$K$1713=AG$3,'GBD estimates'!$L$3:$L$1713=""Diarrheal diseases"",'GBD estimates'!$N$3:$N$1713=""Under 5"")"),4192.868343)</f>
        <v>4192.868343</v>
      </c>
      <c r="AH177" s="564">
        <f>IFERROR(__xludf.DUMMYFUNCTION("FILTER('GBD estimates'!$R$3:$R$1713,'GBD estimates'!$K$3:$K$1713=AH$3,'GBD estimates'!$L$3:$L$1713=""Diarrheal diseases"",'GBD estimates'!$N$3:$N$1713=""Under 5"")"),301.2737867)</f>
        <v>301.2737867</v>
      </c>
      <c r="AI177" s="564">
        <f>IFERROR(__xludf.DUMMYFUNCTION("FILTER('GBD estimates'!$R$3:$R$1713,'GBD estimates'!$K$3:$K$1713=AI$3,'GBD estimates'!$L$3:$L$1713=""Diarrheal diseases"",'GBD estimates'!$N$3:$N$1713=""Under 5"")"),252.0689133)</f>
        <v>252.0689133</v>
      </c>
      <c r="AJ177" s="564">
        <f>IFERROR(__xludf.DUMMYFUNCTION("FILTER('GBD estimates'!$R$3:$R$1713,'GBD estimates'!$K$3:$K$1713=AJ$3,'GBD estimates'!$L$3:$L$1713=""Diarrheal diseases"",'GBD estimates'!$N$3:$N$1713=""Under 5"")"),338.9915872)</f>
        <v>338.9915872</v>
      </c>
      <c r="AK177" s="564">
        <f>IFERROR(__xludf.DUMMYFUNCTION("FILTER('GBD estimates'!$R$3:$R$1713,'GBD estimates'!$K$3:$K$1713=AK$3,'GBD estimates'!$L$3:$L$1713=""Diarrheal diseases"",'GBD estimates'!$N$3:$N$1713=""Under 5"")"),1286.590325)</f>
        <v>1286.590325</v>
      </c>
      <c r="AL177" s="564">
        <f>IFERROR(__xludf.DUMMYFUNCTION("FILTER('GBD estimates'!$R$3:$R$1713,'GBD estimates'!$K$3:$K$1713=AL$3,'GBD estimates'!$L$3:$L$1713=""Diarrheal diseases"",'GBD estimates'!$N$3:$N$1713=""Under 5"")"),5074.362776)</f>
        <v>5074.362776</v>
      </c>
      <c r="AM177" s="564">
        <f t="shared" ref="AM177:AN177" si="52">AL177</f>
        <v>5074.362776</v>
      </c>
      <c r="AN177" s="564">
        <f t="shared" si="52"/>
        <v>5074.362776</v>
      </c>
      <c r="AO177" s="564">
        <f>IFERROR(__xludf.DUMMYFUNCTION("FILTER('GBD estimates'!$R$3:$R$1713,'GBD estimates'!$K$3:$K$1713=AO$3,'GBD estimates'!$L$3:$L$1713=""Diarrheal diseases"",'GBD estimates'!$N$3:$N$1713=""Under 5"")"),1353.408118)</f>
        <v>1353.408118</v>
      </c>
      <c r="AP177" s="564">
        <f>IFERROR(__xludf.DUMMYFUNCTION("FILTER('GBD estimates'!$R$3:$R$1713,'GBD estimates'!$K$3:$K$1713=AP$3,'GBD estimates'!$L$3:$L$1713=""Diarrheal diseases"",'GBD estimates'!$N$3:$N$1713=""Under 5"")"),394.033726)</f>
        <v>394.033726</v>
      </c>
      <c r="AQ177" s="564">
        <f>IFERROR(__xludf.DUMMYFUNCTION("FILTER('GBD estimates'!$R$3:$R$1713,'GBD estimates'!$K$3:$K$1713=AQ$3,'GBD estimates'!$L$3:$L$1713=""Diarrheal diseases"",'GBD estimates'!$N$3:$N$1713=""Under 5"")"),253.304712)</f>
        <v>253.304712</v>
      </c>
      <c r="AR177" s="564">
        <f>IFERROR(__xludf.DUMMYFUNCTION("FILTER('GBD estimates'!$R$3:$R$1713,'GBD estimates'!$K$3:$K$1713=AR$3,'GBD estimates'!$L$3:$L$1713=""Diarrheal diseases"",'GBD estimates'!$N$3:$N$1713=""Under 5"")"),375.5448951)</f>
        <v>375.5448951</v>
      </c>
      <c r="AS177" s="564">
        <f>IFERROR(__xludf.DUMMYFUNCTION("FILTER('GBD estimates'!$R$3:$R$1713,'GBD estimates'!$K$3:$K$1713=AS$3,'GBD estimates'!$L$3:$L$1713=""Diarrheal diseases"",'GBD estimates'!$N$3:$N$1713=""Under 5"")"),2313.872491)</f>
        <v>2313.872491</v>
      </c>
      <c r="AT177" s="564">
        <f>IFERROR(__xludf.DUMMYFUNCTION("FILTER('GBD estimates'!$R$3:$R$1713,'GBD estimates'!$K$3:$K$1713=AT$3,'GBD estimates'!$L$3:$L$1713=""Diarrheal diseases"",'GBD estimates'!$N$3:$N$1713=""Under 5"")"),446.675248)</f>
        <v>446.675248</v>
      </c>
      <c r="AU177" s="564">
        <f>IFERROR(__xludf.DUMMYFUNCTION("FILTER('GBD estimates'!$R$3:$R$1713,'GBD estimates'!$K$3:$K$1713=AU$3,'GBD estimates'!$L$3:$L$1713=""Diarrheal diseases"",'GBD estimates'!$N$3:$N$1713=""Under 5"")"),5842.760068)</f>
        <v>5842.760068</v>
      </c>
      <c r="AV177" s="564">
        <f>IFERROR(__xludf.DUMMYFUNCTION("FILTER('GBD estimates'!$R$3:$R$1713,'GBD estimates'!$K$3:$K$1713=AV$3,'GBD estimates'!$L$3:$L$1713=""Diarrheal diseases"",'GBD estimates'!$N$3:$N$1713=""Under 5"")"),2495.721895)</f>
        <v>2495.721895</v>
      </c>
      <c r="AW177" s="784"/>
      <c r="AX177" s="797" t="s">
        <v>999</v>
      </c>
      <c r="AY177" s="786"/>
    </row>
    <row r="178">
      <c r="A178" s="776"/>
      <c r="B178" s="538"/>
      <c r="C178" s="538"/>
      <c r="D178" s="538"/>
      <c r="E178" s="475" t="s">
        <v>647</v>
      </c>
      <c r="F178" s="554" t="s">
        <v>62</v>
      </c>
      <c r="G178" s="555" t="s">
        <v>165</v>
      </c>
      <c r="H178" s="811" t="s">
        <v>162</v>
      </c>
      <c r="I178" s="564">
        <f>IFERROR(__xludf.DUMMYFUNCTION("FILTER('GBD estimates'!$AC$3:$AC$193,'GBD estimates'!$V$3:$V$193=I$3,'GBD estimates'!$Y$3:$Y$193=""Under 5"")"),3625.84195)</f>
        <v>3625.84195</v>
      </c>
      <c r="J178" s="564">
        <f>IFERROR(__xludf.DUMMYFUNCTION("FILTER('GBD estimates'!$AC$3:$AC$193,'GBD estimates'!$V$3:$V$193=J$3,'GBD estimates'!$Y$3:$Y$193=""Under 5"")"),1137.834685)</f>
        <v>1137.834685</v>
      </c>
      <c r="K178" s="564">
        <f>IFERROR(__xludf.DUMMYFUNCTION("FILTER('GBD estimates'!$AC$3:$AC$193,'GBD estimates'!$V$3:$V$193=K$3,'GBD estimates'!$Y$3:$Y$193=""Under 5"")"),2410.60305)</f>
        <v>2410.60305</v>
      </c>
      <c r="L178" s="564">
        <f t="shared" si="48"/>
        <v>1273.448484</v>
      </c>
      <c r="M178" s="564">
        <f>IFERROR(__xludf.DUMMYFUNCTION("FILTER('GBD estimates'!$AC$3:$AC$193,'GBD estimates'!$V$3:$V$193=M$3,'GBD estimates'!$Y$3:$Y$193=""Under 5"")"),5377.093494)</f>
        <v>5377.093494</v>
      </c>
      <c r="N178" s="564">
        <f>IFERROR(__xludf.DUMMYFUNCTION("FILTER('GBD estimates'!$AC$3:$AC$193,'GBD estimates'!$V$3:$V$193=N$3,'GBD estimates'!$Y$3:$Y$193=""Under 5"")"),3786.844637)</f>
        <v>3786.844637</v>
      </c>
      <c r="O178" s="564">
        <f>IFERROR(__xludf.DUMMYFUNCTION("FILTER('GBD estimates'!$AC$3:$AC$193,'GBD estimates'!$V$3:$V$193=O$3,'GBD estimates'!$Y$3:$Y$193=""Under 5"")"),2091.245025)</f>
        <v>2091.245025</v>
      </c>
      <c r="P178" s="564">
        <f>IFERROR(__xludf.DUMMYFUNCTION("FILTER('GBD estimates'!$AC$3:$AC$193,'GBD estimates'!$V$3:$V$193=P$3,'GBD estimates'!$Y$3:$Y$193=""Under 5"")"),4572.028262)</f>
        <v>4572.028262</v>
      </c>
      <c r="Q178" s="565">
        <f>IFERROR(__xludf.DUMMYFUNCTION("FILTER('GBD estimates'!$AC$3:$AC$193,'GBD estimates'!$V$3:$V$193=Q$3,'GBD estimates'!$Y$3:$Y$193=""Under 5"")"),2970.120621)</f>
        <v>2970.120621</v>
      </c>
      <c r="R178" s="564">
        <f>IFERROR(__xludf.DUMMYFUNCTION("FILTER('GBD estimates'!$AC$3:$AC$193,'GBD estimates'!$V$3:$V$193=R$3,'GBD estimates'!$Y$3:$Y$193=""Under 5"")"),345.3519197)</f>
        <v>345.3519197</v>
      </c>
      <c r="S178" s="564">
        <f>IFERROR(__xludf.DUMMYFUNCTION("FILTER('GBD estimates'!$AC$3:$AC$193,'GBD estimates'!$V$3:$V$193=S$3,'GBD estimates'!$Y$3:$Y$193=""Under 5"")"),739.4865851)</f>
        <v>739.4865851</v>
      </c>
      <c r="T178" s="564">
        <f>IFERROR(__xludf.DUMMYFUNCTION("FILTER('GBD estimates'!$AC$3:$AC$193,'GBD estimates'!$V$3:$V$193=T$3,'GBD estimates'!$Y$3:$Y$193=""Under 5"")"),71.41582122)</f>
        <v>71.41582122</v>
      </c>
      <c r="U178" s="564">
        <f>IFERROR(__xludf.DUMMYFUNCTION("FILTER('GBD estimates'!$AC$3:$AC$193,'GBD estimates'!$V$3:$V$193=U$3,'GBD estimates'!$Y$3:$Y$193=""Under 5"")"),150.2886761)</f>
        <v>150.2886761</v>
      </c>
      <c r="V178" s="564">
        <f>IFERROR(__xludf.DUMMYFUNCTION("FILTER('GBD estimates'!$AC$3:$AC$193,'GBD estimates'!$V$3:$V$193=V$3,'GBD estimates'!$Y$3:$Y$193=""Under 5"")"),66.14280564)</f>
        <v>66.14280564</v>
      </c>
      <c r="W178" s="564">
        <f>IFERROR(__xludf.DUMMYFUNCTION("FILTER('GBD estimates'!$AC$3:$AC$193,'GBD estimates'!$V$3:$V$193=W$3,'GBD estimates'!$Y$3:$Y$193=""Under 5"")"),1294.586663)</f>
        <v>1294.586663</v>
      </c>
      <c r="X178" s="564">
        <f>IFERROR(__xludf.DUMMYFUNCTION("FILTER('GBD estimates'!$AC$3:$AC$193,'GBD estimates'!$V$3:$V$193=X$3,'GBD estimates'!$Y$3:$Y$193=""Under 5"")"),690.0244535)</f>
        <v>690.0244535</v>
      </c>
      <c r="Y178" s="564">
        <f>IFERROR(__xludf.DUMMYFUNCTION("FILTER('GBD estimates'!$AC$3:$AC$193,'GBD estimates'!$V$3:$V$193=Y$3,'GBD estimates'!$Y$3:$Y$193=""Under 5"")"),93.3782931)</f>
        <v>93.3782931</v>
      </c>
      <c r="Z178" s="564">
        <f>IFERROR(__xludf.DUMMYFUNCTION("FILTER('GBD estimates'!$AC$3:$AC$193,'GBD estimates'!$V$3:$V$193=Z$3,'GBD estimates'!$Y$3:$Y$193=""Under 5"")"),177.9011811)</f>
        <v>177.9011811</v>
      </c>
      <c r="AA178" s="564">
        <f>IFERROR(__xludf.DUMMYFUNCTION("FILTER('GBD estimates'!$AC$3:$AC$193,'GBD estimates'!$V$3:$V$193=AA$3,'GBD estimates'!$Y$3:$Y$193=""Under 5"")"),263.2212521)</f>
        <v>263.2212521</v>
      </c>
      <c r="AB178" s="564">
        <f>IFERROR(__xludf.DUMMYFUNCTION("FILTER('GBD estimates'!$AC$3:$AC$193,'GBD estimates'!$V$3:$V$193=AB$3,'GBD estimates'!$Y$3:$Y$193=""Under 5"")"),74.54850696)</f>
        <v>74.54850696</v>
      </c>
      <c r="AC178" s="564">
        <f>IFERROR(__xludf.DUMMYFUNCTION("FILTER('GBD estimates'!$AC$3:$AC$193,'GBD estimates'!$V$3:$V$193=AC$3,'GBD estimates'!$Y$3:$Y$193=""Under 5"")"),48.08834941)</f>
        <v>48.08834941</v>
      </c>
      <c r="AD178" s="564">
        <f>IFERROR(__xludf.DUMMYFUNCTION("FILTER('GBD estimates'!$AC$3:$AC$193,'GBD estimates'!$V$3:$V$193=AD$3,'GBD estimates'!$Y$3:$Y$193=""Under 5"")"),99.83601953)</f>
        <v>99.83601953</v>
      </c>
      <c r="AE178" s="564">
        <f>IFERROR(__xludf.DUMMYFUNCTION("FILTER('GBD estimates'!$AC$3:$AC$193,'GBD estimates'!$V$3:$V$193=AE$3,'GBD estimates'!$Y$3:$Y$193=""Under 5"")"),239.3896887)</f>
        <v>239.3896887</v>
      </c>
      <c r="AF178" s="564">
        <f>IFERROR(__xludf.DUMMYFUNCTION("FILTER('GBD estimates'!$AC$3:$AC$193,'GBD estimates'!$V$3:$V$193=AF$3,'GBD estimates'!$Y$3:$Y$193=""Under 5"")"),223.1192041)</f>
        <v>223.1192041</v>
      </c>
      <c r="AG178" s="564">
        <f>IFERROR(__xludf.DUMMYFUNCTION("FILTER('GBD estimates'!$AC$3:$AC$193,'GBD estimates'!$V$3:$V$193=AG$3,'GBD estimates'!$Y$3:$Y$193=""Under 5"")"),1273.448484)</f>
        <v>1273.448484</v>
      </c>
      <c r="AH178" s="564">
        <f>IFERROR(__xludf.DUMMYFUNCTION("FILTER('GBD estimates'!$AC$3:$AC$193,'GBD estimates'!$V$3:$V$193=AH$3,'GBD estimates'!$Y$3:$Y$193=""Under 5"")"),102.1907455)</f>
        <v>102.1907455</v>
      </c>
      <c r="AI178" s="564">
        <f>IFERROR(__xludf.DUMMYFUNCTION("FILTER('GBD estimates'!$AC$3:$AC$193,'GBD estimates'!$V$3:$V$193=AI$3,'GBD estimates'!$Y$3:$Y$193=""Under 5"")"),107.931083)</f>
        <v>107.931083</v>
      </c>
      <c r="AJ178" s="564">
        <f>IFERROR(__xludf.DUMMYFUNCTION("FILTER('GBD estimates'!$AC$3:$AC$193,'GBD estimates'!$V$3:$V$193=AJ$3,'GBD estimates'!$Y$3:$Y$193=""Under 5"")"),85.10946315)</f>
        <v>85.10946315</v>
      </c>
      <c r="AK178" s="564">
        <f>IFERROR(__xludf.DUMMYFUNCTION("FILTER('GBD estimates'!$AC$3:$AC$193,'GBD estimates'!$V$3:$V$193=AK$3,'GBD estimates'!$Y$3:$Y$193=""Under 5"")"),476.5676973)</f>
        <v>476.5676973</v>
      </c>
      <c r="AL178" s="564">
        <f>IFERROR(__xludf.DUMMYFUNCTION("FILTER('GBD estimates'!$AC$3:$AC$193,'GBD estimates'!$V$3:$V$193=AL$3,'GBD estimates'!$Y$3:$Y$193=""Under 5"")"),2177.328018)</f>
        <v>2177.328018</v>
      </c>
      <c r="AM178" s="564">
        <f t="shared" ref="AM178:AN178" si="53">AL178</f>
        <v>2177.328018</v>
      </c>
      <c r="AN178" s="564">
        <f t="shared" si="53"/>
        <v>2177.328018</v>
      </c>
      <c r="AO178" s="564">
        <f>IFERROR(__xludf.DUMMYFUNCTION("FILTER('GBD estimates'!$AC$3:$AC$193,'GBD estimates'!$V$3:$V$193=AO$3,'GBD estimates'!$Y$3:$Y$193=""Under 5"")"),488.6068849)</f>
        <v>488.6068849</v>
      </c>
      <c r="AP178" s="564">
        <f>IFERROR(__xludf.DUMMYFUNCTION("FILTER('GBD estimates'!$AC$3:$AC$193,'GBD estimates'!$V$3:$V$193=AP$3,'GBD estimates'!$Y$3:$Y$193=""Under 5"")"),115.2410781)</f>
        <v>115.2410781</v>
      </c>
      <c r="AQ178" s="564">
        <f>IFERROR(__xludf.DUMMYFUNCTION("FILTER('GBD estimates'!$AC$3:$AC$193,'GBD estimates'!$V$3:$V$193=AQ$3,'GBD estimates'!$Y$3:$Y$193=""Under 5"")"),74.45673938)</f>
        <v>74.45673938</v>
      </c>
      <c r="AR178" s="564">
        <f>IFERROR(__xludf.DUMMYFUNCTION("FILTER('GBD estimates'!$AC$3:$AC$193,'GBD estimates'!$V$3:$V$193=AR$3,'GBD estimates'!$Y$3:$Y$193=""Under 5"")"),134.9534832)</f>
        <v>134.9534832</v>
      </c>
      <c r="AS178" s="564">
        <f>IFERROR(__xludf.DUMMYFUNCTION("FILTER('GBD estimates'!$AC$3:$AC$193,'GBD estimates'!$V$3:$V$193=AS$3,'GBD estimates'!$Y$3:$Y$193=""Under 5"")"),807.2348061)</f>
        <v>807.2348061</v>
      </c>
      <c r="AT178" s="564">
        <f>IFERROR(__xludf.DUMMYFUNCTION("FILTER('GBD estimates'!$AC$3:$AC$193,'GBD estimates'!$V$3:$V$193=AT$3,'GBD estimates'!$Y$3:$Y$193=""Under 5"")"),123.9583812)</f>
        <v>123.9583812</v>
      </c>
      <c r="AU178" s="564">
        <f>IFERROR(__xludf.DUMMYFUNCTION("FILTER('GBD estimates'!$AC$3:$AC$193,'GBD estimates'!$V$3:$V$193=AU$3,'GBD estimates'!$Y$3:$Y$193=""Under 5"")"),2380.243036)</f>
        <v>2380.243036</v>
      </c>
      <c r="AV178" s="564">
        <f>IFERROR(__xludf.DUMMYFUNCTION("FILTER('GBD estimates'!$AC$3:$AC$193,'GBD estimates'!$V$3:$V$193=AV$3,'GBD estimates'!$Y$3:$Y$193=""Under 5"")"),1117.05)</f>
        <v>1117.05</v>
      </c>
      <c r="AW178" s="788"/>
      <c r="AX178" s="798" t="s">
        <v>999</v>
      </c>
      <c r="AY178" s="790"/>
    </row>
    <row r="179">
      <c r="A179" s="776"/>
      <c r="B179" s="538"/>
      <c r="C179" s="538"/>
      <c r="D179" s="538"/>
      <c r="E179" s="475" t="s">
        <v>648</v>
      </c>
      <c r="F179" s="554" t="s">
        <v>62</v>
      </c>
      <c r="G179" s="555" t="s">
        <v>165</v>
      </c>
      <c r="H179" s="811" t="s">
        <v>162</v>
      </c>
      <c r="I179" s="564">
        <f>IFERROR(__xludf.DUMMYFUNCTION("FILTER('GBD estimates'!$AC$3:$AC$193,'GBD estimates'!$V$3:$V$193=I$3,'GBD estimates'!$Y$3:$Y$193=""Early Neonatal"")"),96.03063654)</f>
        <v>96.03063654</v>
      </c>
      <c r="J179" s="564">
        <f>IFERROR(__xludf.DUMMYFUNCTION("FILTER('GBD estimates'!$AC$3:$AC$193,'GBD estimates'!$V$3:$V$193=J$3,'GBD estimates'!$Y$3:$Y$193=""Early Neonatal"")"),28.65677424)</f>
        <v>28.65677424</v>
      </c>
      <c r="K179" s="564">
        <f>IFERROR(__xludf.DUMMYFUNCTION("FILTER('GBD estimates'!$AC$3:$AC$193,'GBD estimates'!$V$3:$V$193=K$3,'GBD estimates'!$Y$3:$Y$193=""Early Neonatal"")"),50.36035612)</f>
        <v>50.36035612</v>
      </c>
      <c r="L179" s="564">
        <f t="shared" si="48"/>
        <v>30.22220588</v>
      </c>
      <c r="M179" s="564">
        <f>IFERROR(__xludf.DUMMYFUNCTION("FILTER('GBD estimates'!$AC$3:$AC$193,'GBD estimates'!$V$3:$V$193=M$3,'GBD estimates'!$Y$3:$Y$193=""Early Neonatal"")"),144.822164)</f>
        <v>144.822164</v>
      </c>
      <c r="N179" s="564">
        <f>IFERROR(__xludf.DUMMYFUNCTION("FILTER('GBD estimates'!$AC$3:$AC$193,'GBD estimates'!$V$3:$V$193=N$3,'GBD estimates'!$Y$3:$Y$193=""Early Neonatal"")"),88.0938199)</f>
        <v>88.0938199</v>
      </c>
      <c r="O179" s="564">
        <f>IFERROR(__xludf.DUMMYFUNCTION("FILTER('GBD estimates'!$AC$3:$AC$193,'GBD estimates'!$V$3:$V$193=O$3,'GBD estimates'!$Y$3:$Y$193=""Early Neonatal"")"),62.04717829)</f>
        <v>62.04717829</v>
      </c>
      <c r="P179" s="564">
        <f>IFERROR(__xludf.DUMMYFUNCTION("FILTER('GBD estimates'!$AC$3:$AC$193,'GBD estimates'!$V$3:$V$193=P$3,'GBD estimates'!$Y$3:$Y$193=""Early Neonatal"")"),100.3682836)</f>
        <v>100.3682836</v>
      </c>
      <c r="Q179" s="565">
        <f>IFERROR(__xludf.DUMMYFUNCTION("FILTER('GBD estimates'!$AC$3:$AC$193,'GBD estimates'!$V$3:$V$193=Q$3,'GBD estimates'!$Y$3:$Y$193=""Early Neonatal"")"),45.55628334)</f>
        <v>45.55628334</v>
      </c>
      <c r="R179" s="564">
        <f>IFERROR(__xludf.DUMMYFUNCTION("FILTER('GBD estimates'!$AC$3:$AC$193,'GBD estimates'!$V$3:$V$193=R$3,'GBD estimates'!$Y$3:$Y$193=""Early Neonatal"")"),13.63670803)</f>
        <v>13.63670803</v>
      </c>
      <c r="S179" s="564">
        <f>IFERROR(__xludf.DUMMYFUNCTION("FILTER('GBD estimates'!$AC$3:$AC$193,'GBD estimates'!$V$3:$V$193=S$3,'GBD estimates'!$Y$3:$Y$193=""Early Neonatal"")"),19.9199481)</f>
        <v>19.9199481</v>
      </c>
      <c r="T179" s="564">
        <f>IFERROR(__xludf.DUMMYFUNCTION("FILTER('GBD estimates'!$AC$3:$AC$193,'GBD estimates'!$V$3:$V$193=T$3,'GBD estimates'!$Y$3:$Y$193=""Early Neonatal"")"),4.026044539)</f>
        <v>4.026044539</v>
      </c>
      <c r="U179" s="564">
        <f>IFERROR(__xludf.DUMMYFUNCTION("FILTER('GBD estimates'!$AC$3:$AC$193,'GBD estimates'!$V$3:$V$193=U$3,'GBD estimates'!$Y$3:$Y$193=""Early Neonatal"")"),9.323578194)</f>
        <v>9.323578194</v>
      </c>
      <c r="V179" s="564">
        <f>IFERROR(__xludf.DUMMYFUNCTION("FILTER('GBD estimates'!$AC$3:$AC$193,'GBD estimates'!$V$3:$V$193=V$3,'GBD estimates'!$Y$3:$Y$193=""Early Neonatal"")"),2.258670114)</f>
        <v>2.258670114</v>
      </c>
      <c r="W179" s="564">
        <f>IFERROR(__xludf.DUMMYFUNCTION("FILTER('GBD estimates'!$AC$3:$AC$193,'GBD estimates'!$V$3:$V$193=W$3,'GBD estimates'!$Y$3:$Y$193=""Early Neonatal"")"),54.1284809)</f>
        <v>54.1284809</v>
      </c>
      <c r="X179" s="564">
        <f>IFERROR(__xludf.DUMMYFUNCTION("FILTER('GBD estimates'!$AC$3:$AC$193,'GBD estimates'!$V$3:$V$193=X$3,'GBD estimates'!$Y$3:$Y$193=""Early Neonatal"")"),23.56598928)</f>
        <v>23.56598928</v>
      </c>
      <c r="Y179" s="564">
        <f>IFERROR(__xludf.DUMMYFUNCTION("FILTER('GBD estimates'!$AC$3:$AC$193,'GBD estimates'!$V$3:$V$193=Y$3,'GBD estimates'!$Y$3:$Y$193=""Early Neonatal"")"),4.107578218)</f>
        <v>4.107578218</v>
      </c>
      <c r="Z179" s="564">
        <f>IFERROR(__xludf.DUMMYFUNCTION("FILTER('GBD estimates'!$AC$3:$AC$193,'GBD estimates'!$V$3:$V$193=Z$3,'GBD estimates'!$Y$3:$Y$193=""Early Neonatal"")"),9.718463401)</f>
        <v>9.718463401</v>
      </c>
      <c r="AA179" s="564">
        <f>IFERROR(__xludf.DUMMYFUNCTION("FILTER('GBD estimates'!$AC$3:$AC$193,'GBD estimates'!$V$3:$V$193=AA$3,'GBD estimates'!$Y$3:$Y$193=""Early Neonatal"")"),14.37802528)</f>
        <v>14.37802528</v>
      </c>
      <c r="AB179" s="564">
        <f>IFERROR(__xludf.DUMMYFUNCTION("FILTER('GBD estimates'!$AC$3:$AC$193,'GBD estimates'!$V$3:$V$193=AB$3,'GBD estimates'!$Y$3:$Y$193=""Early Neonatal"")"),4.227489024)</f>
        <v>4.227489024</v>
      </c>
      <c r="AC179" s="564">
        <f>IFERROR(__xludf.DUMMYFUNCTION("FILTER('GBD estimates'!$AC$3:$AC$193,'GBD estimates'!$V$3:$V$193=AC$3,'GBD estimates'!$Y$3:$Y$193=""Early Neonatal"")"),3.622453428)</f>
        <v>3.622453428</v>
      </c>
      <c r="AD179" s="564">
        <f>IFERROR(__xludf.DUMMYFUNCTION("FILTER('GBD estimates'!$AC$3:$AC$193,'GBD estimates'!$V$3:$V$193=AD$3,'GBD estimates'!$Y$3:$Y$193=""Early Neonatal"")"),6.25564421)</f>
        <v>6.25564421</v>
      </c>
      <c r="AE179" s="564">
        <f>IFERROR(__xludf.DUMMYFUNCTION("FILTER('GBD estimates'!$AC$3:$AC$193,'GBD estimates'!$V$3:$V$193=AE$3,'GBD estimates'!$Y$3:$Y$193=""Early Neonatal"")"),14.38416767)</f>
        <v>14.38416767</v>
      </c>
      <c r="AF179" s="564">
        <f>IFERROR(__xludf.DUMMYFUNCTION("FILTER('GBD estimates'!$AC$3:$AC$193,'GBD estimates'!$V$3:$V$193=AF$3,'GBD estimates'!$Y$3:$Y$193=""Early Neonatal"")"),16.91253031)</f>
        <v>16.91253031</v>
      </c>
      <c r="AG179" s="564">
        <f>IFERROR(__xludf.DUMMYFUNCTION("FILTER('GBD estimates'!$AC$3:$AC$193,'GBD estimates'!$V$3:$V$193=AG$3,'GBD estimates'!$Y$3:$Y$193=""Early Neonatal"")"),30.22220588)</f>
        <v>30.22220588</v>
      </c>
      <c r="AH179" s="564">
        <f>IFERROR(__xludf.DUMMYFUNCTION("FILTER('GBD estimates'!$AC$3:$AC$193,'GBD estimates'!$V$3:$V$193=AH$3,'GBD estimates'!$Y$3:$Y$193=""Early Neonatal"")"),5.643334207)</f>
        <v>5.643334207</v>
      </c>
      <c r="AI179" s="564">
        <f>IFERROR(__xludf.DUMMYFUNCTION("FILTER('GBD estimates'!$AC$3:$AC$193,'GBD estimates'!$V$3:$V$193=AI$3,'GBD estimates'!$Y$3:$Y$193=""Early Neonatal"")"),6.095884171)</f>
        <v>6.095884171</v>
      </c>
      <c r="AJ179" s="564">
        <f>IFERROR(__xludf.DUMMYFUNCTION("FILTER('GBD estimates'!$AC$3:$AC$193,'GBD estimates'!$V$3:$V$193=AJ$3,'GBD estimates'!$Y$3:$Y$193=""Early Neonatal"")"),8.754156649)</f>
        <v>8.754156649</v>
      </c>
      <c r="AK179" s="564">
        <f>IFERROR(__xludf.DUMMYFUNCTION("FILTER('GBD estimates'!$AC$3:$AC$193,'GBD estimates'!$V$3:$V$193=AK$3,'GBD estimates'!$Y$3:$Y$193=""Early Neonatal"")"),20.66530714)</f>
        <v>20.66530714</v>
      </c>
      <c r="AL179" s="564">
        <f>IFERROR(__xludf.DUMMYFUNCTION("FILTER('GBD estimates'!$AC$3:$AC$193,'GBD estimates'!$V$3:$V$193=AL$3,'GBD estimates'!$Y$3:$Y$193=""Early Neonatal"")"),60.25987435)</f>
        <v>60.25987435</v>
      </c>
      <c r="AM179" s="564">
        <f t="shared" ref="AM179:AN179" si="54">AL179</f>
        <v>60.25987435</v>
      </c>
      <c r="AN179" s="564">
        <f t="shared" si="54"/>
        <v>60.25987435</v>
      </c>
      <c r="AO179" s="564">
        <f>IFERROR(__xludf.DUMMYFUNCTION("FILTER('GBD estimates'!$AC$3:$AC$193,'GBD estimates'!$V$3:$V$193=AO$3,'GBD estimates'!$Y$3:$Y$193=""Early Neonatal"")"),27.97002503)</f>
        <v>27.97002503</v>
      </c>
      <c r="AP179" s="564">
        <f>IFERROR(__xludf.DUMMYFUNCTION("FILTER('GBD estimates'!$AC$3:$AC$193,'GBD estimates'!$V$3:$V$193=AP$3,'GBD estimates'!$Y$3:$Y$193=""Early Neonatal"")"),7.69293674)</f>
        <v>7.69293674</v>
      </c>
      <c r="AQ179" s="564">
        <f>IFERROR(__xludf.DUMMYFUNCTION("FILTER('GBD estimates'!$AC$3:$AC$193,'GBD estimates'!$V$3:$V$193=AQ$3,'GBD estimates'!$Y$3:$Y$193=""Early Neonatal"")"),6.283501683)</f>
        <v>6.283501683</v>
      </c>
      <c r="AR179" s="564">
        <f>IFERROR(__xludf.DUMMYFUNCTION("FILTER('GBD estimates'!$AC$3:$AC$193,'GBD estimates'!$V$3:$V$193=AR$3,'GBD estimates'!$Y$3:$Y$193=""Early Neonatal"")"),8.293630658)</f>
        <v>8.293630658</v>
      </c>
      <c r="AS179" s="564">
        <f>IFERROR(__xludf.DUMMYFUNCTION("FILTER('GBD estimates'!$AC$3:$AC$193,'GBD estimates'!$V$3:$V$193=AS$3,'GBD estimates'!$Y$3:$Y$193=""Early Neonatal"")"),37.95574115)</f>
        <v>37.95574115</v>
      </c>
      <c r="AT179" s="564">
        <f>IFERROR(__xludf.DUMMYFUNCTION("FILTER('GBD estimates'!$AC$3:$AC$193,'GBD estimates'!$V$3:$V$193=AT$3,'GBD estimates'!$Y$3:$Y$193=""Early Neonatal"")"),7.313247348)</f>
        <v>7.313247348</v>
      </c>
      <c r="AU179" s="564">
        <f>IFERROR(__xludf.DUMMYFUNCTION("FILTER('GBD estimates'!$AC$3:$AC$193,'GBD estimates'!$V$3:$V$193=AU$3,'GBD estimates'!$Y$3:$Y$193=""Early Neonatal"")"),53.52855002)</f>
        <v>53.52855002</v>
      </c>
      <c r="AV179" s="564">
        <f>IFERROR(__xludf.DUMMYFUNCTION("FILTER('GBD estimates'!$AC$3:$AC$193,'GBD estimates'!$V$3:$V$193=AV$3,'GBD estimates'!$Y$3:$Y$193=""Early Neonatal"")"),44.82340316)</f>
        <v>44.82340316</v>
      </c>
      <c r="AW179" s="788"/>
      <c r="AX179" s="798" t="s">
        <v>999</v>
      </c>
      <c r="AY179" s="790"/>
    </row>
    <row r="180">
      <c r="A180" s="776"/>
      <c r="B180" s="538"/>
      <c r="C180" s="538"/>
      <c r="D180" s="538"/>
      <c r="E180" s="475" t="s">
        <v>649</v>
      </c>
      <c r="F180" s="554" t="s">
        <v>62</v>
      </c>
      <c r="G180" s="555" t="s">
        <v>165</v>
      </c>
      <c r="H180" s="811" t="s">
        <v>162</v>
      </c>
      <c r="I180" s="564">
        <f>IFERROR(__xludf.DUMMYFUNCTION("FILTER('GBD estimates'!$AC$3:$AC$193,'GBD estimates'!$V$3:$V$193=I$3,'GBD estimates'!$Y$3:$Y$193=""Late Neonatal"")"),98.96516718)</f>
        <v>98.96516718</v>
      </c>
      <c r="J180" s="564">
        <f>IFERROR(__xludf.DUMMYFUNCTION("FILTER('GBD estimates'!$AC$3:$AC$193,'GBD estimates'!$V$3:$V$193=J$3,'GBD estimates'!$Y$3:$Y$193=""Late Neonatal"")"),26.23729569)</f>
        <v>26.23729569</v>
      </c>
      <c r="K180" s="564">
        <f>IFERROR(__xludf.DUMMYFUNCTION("FILTER('GBD estimates'!$AC$3:$AC$193,'GBD estimates'!$V$3:$V$193=K$3,'GBD estimates'!$Y$3:$Y$193=""Late Neonatal"")"),48.78350373)</f>
        <v>48.78350373</v>
      </c>
      <c r="L180" s="564">
        <f t="shared" si="48"/>
        <v>36.54373339</v>
      </c>
      <c r="M180" s="564">
        <f>IFERROR(__xludf.DUMMYFUNCTION("FILTER('GBD estimates'!$AC$3:$AC$193,'GBD estimates'!$V$3:$V$193=M$3,'GBD estimates'!$Y$3:$Y$193=""Late Neonatal"")"),170.2882011)</f>
        <v>170.2882011</v>
      </c>
      <c r="N180" s="564">
        <f>IFERROR(__xludf.DUMMYFUNCTION("FILTER('GBD estimates'!$AC$3:$AC$193,'GBD estimates'!$V$3:$V$193=N$3,'GBD estimates'!$Y$3:$Y$193=""Late Neonatal"")"),132.9720289)</f>
        <v>132.9720289</v>
      </c>
      <c r="O180" s="564">
        <f>IFERROR(__xludf.DUMMYFUNCTION("FILTER('GBD estimates'!$AC$3:$AC$193,'GBD estimates'!$V$3:$V$193=O$3,'GBD estimates'!$Y$3:$Y$193=""Late Neonatal"")"),53.28450667)</f>
        <v>53.28450667</v>
      </c>
      <c r="P180" s="564">
        <f>IFERROR(__xludf.DUMMYFUNCTION("FILTER('GBD estimates'!$AC$3:$AC$193,'GBD estimates'!$V$3:$V$193=P$3,'GBD estimates'!$Y$3:$Y$193=""Late Neonatal"")"),124.715188)</f>
        <v>124.715188</v>
      </c>
      <c r="Q180" s="565">
        <f>IFERROR(__xludf.DUMMYFUNCTION("FILTER('GBD estimates'!$AC$3:$AC$193,'GBD estimates'!$V$3:$V$193=Q$3,'GBD estimates'!$Y$3:$Y$193=""Late Neonatal"")"),70.13753585)</f>
        <v>70.13753585</v>
      </c>
      <c r="R180" s="564">
        <f>IFERROR(__xludf.DUMMYFUNCTION("FILTER('GBD estimates'!$AC$3:$AC$193,'GBD estimates'!$V$3:$V$193=R$3,'GBD estimates'!$Y$3:$Y$193=""Late Neonatal"")"),21.61580495)</f>
        <v>21.61580495</v>
      </c>
      <c r="S180" s="564">
        <f>IFERROR(__xludf.DUMMYFUNCTION("FILTER('GBD estimates'!$AC$3:$AC$193,'GBD estimates'!$V$3:$V$193=S$3,'GBD estimates'!$Y$3:$Y$193=""Late Neonatal"")"),27.37456524)</f>
        <v>27.37456524</v>
      </c>
      <c r="T180" s="564">
        <f>IFERROR(__xludf.DUMMYFUNCTION("FILTER('GBD estimates'!$AC$3:$AC$193,'GBD estimates'!$V$3:$V$193=T$3,'GBD estimates'!$Y$3:$Y$193=""Late Neonatal"")"),3.634324906)</f>
        <v>3.634324906</v>
      </c>
      <c r="U180" s="564">
        <f>IFERROR(__xludf.DUMMYFUNCTION("FILTER('GBD estimates'!$AC$3:$AC$193,'GBD estimates'!$V$3:$V$193=U$3,'GBD estimates'!$Y$3:$Y$193=""Late Neonatal"")"),8.425251297)</f>
        <v>8.425251297</v>
      </c>
      <c r="V180" s="564">
        <f>IFERROR(__xludf.DUMMYFUNCTION("FILTER('GBD estimates'!$AC$3:$AC$193,'GBD estimates'!$V$3:$V$193=V$3,'GBD estimates'!$Y$3:$Y$193=""Late Neonatal"")"),3.594939414)</f>
        <v>3.594939414</v>
      </c>
      <c r="W180" s="564">
        <f>IFERROR(__xludf.DUMMYFUNCTION("FILTER('GBD estimates'!$AC$3:$AC$193,'GBD estimates'!$V$3:$V$193=W$3,'GBD estimates'!$Y$3:$Y$193=""Late Neonatal"")"),70.28343001)</f>
        <v>70.28343001</v>
      </c>
      <c r="X180" s="564">
        <f>IFERROR(__xludf.DUMMYFUNCTION("FILTER('GBD estimates'!$AC$3:$AC$193,'GBD estimates'!$V$3:$V$193=X$3,'GBD estimates'!$Y$3:$Y$193=""Late Neonatal"")"),32.90400786)</f>
        <v>32.90400786</v>
      </c>
      <c r="Y180" s="564">
        <f>IFERROR(__xludf.DUMMYFUNCTION("FILTER('GBD estimates'!$AC$3:$AC$193,'GBD estimates'!$V$3:$V$193=Y$3,'GBD estimates'!$Y$3:$Y$193=""Late Neonatal"")"),4.058509018)</f>
        <v>4.058509018</v>
      </c>
      <c r="Z180" s="564">
        <f>IFERROR(__xludf.DUMMYFUNCTION("FILTER('GBD estimates'!$AC$3:$AC$193,'GBD estimates'!$V$3:$V$193=Z$3,'GBD estimates'!$Y$3:$Y$193=""Late Neonatal"")"),10.68371767)</f>
        <v>10.68371767</v>
      </c>
      <c r="AA180" s="564">
        <f>IFERROR(__xludf.DUMMYFUNCTION("FILTER('GBD estimates'!$AC$3:$AC$193,'GBD estimates'!$V$3:$V$193=AA$3,'GBD estimates'!$Y$3:$Y$193=""Late Neonatal"")"),12.83494185)</f>
        <v>12.83494185</v>
      </c>
      <c r="AB180" s="564">
        <f>IFERROR(__xludf.DUMMYFUNCTION("FILTER('GBD estimates'!$AC$3:$AC$193,'GBD estimates'!$V$3:$V$193=AB$3,'GBD estimates'!$Y$3:$Y$193=""Late Neonatal"")"),4.108390579)</f>
        <v>4.108390579</v>
      </c>
      <c r="AC180" s="564">
        <f>IFERROR(__xludf.DUMMYFUNCTION("FILTER('GBD estimates'!$AC$3:$AC$193,'GBD estimates'!$V$3:$V$193=AC$3,'GBD estimates'!$Y$3:$Y$193=""Late Neonatal"")"),2.740234995)</f>
        <v>2.740234995</v>
      </c>
      <c r="AD180" s="564">
        <f>IFERROR(__xludf.DUMMYFUNCTION("FILTER('GBD estimates'!$AC$3:$AC$193,'GBD estimates'!$V$3:$V$193=AD$3,'GBD estimates'!$Y$3:$Y$193=""Late Neonatal"")"),7.777543056)</f>
        <v>7.777543056</v>
      </c>
      <c r="AE180" s="564">
        <f>IFERROR(__xludf.DUMMYFUNCTION("FILTER('GBD estimates'!$AC$3:$AC$193,'GBD estimates'!$V$3:$V$193=AE$3,'GBD estimates'!$Y$3:$Y$193=""Late Neonatal"")"),12.46753535)</f>
        <v>12.46753535</v>
      </c>
      <c r="AF180" s="564">
        <f>IFERROR(__xludf.DUMMYFUNCTION("FILTER('GBD estimates'!$AC$3:$AC$193,'GBD estimates'!$V$3:$V$193=AF$3,'GBD estimates'!$Y$3:$Y$193=""Late Neonatal"")"),9.218298886)</f>
        <v>9.218298886</v>
      </c>
      <c r="AG180" s="564">
        <f>IFERROR(__xludf.DUMMYFUNCTION("FILTER('GBD estimates'!$AC$3:$AC$193,'GBD estimates'!$V$3:$V$193=AG$3,'GBD estimates'!$Y$3:$Y$193=""Late Neonatal"")"),36.54373339)</f>
        <v>36.54373339</v>
      </c>
      <c r="AH180" s="564">
        <f>IFERROR(__xludf.DUMMYFUNCTION("FILTER('GBD estimates'!$AC$3:$AC$193,'GBD estimates'!$V$3:$V$193=AH$3,'GBD estimates'!$Y$3:$Y$193=""Late Neonatal"")"),4.688631751)</f>
        <v>4.688631751</v>
      </c>
      <c r="AI180" s="564">
        <f>IFERROR(__xludf.DUMMYFUNCTION("FILTER('GBD estimates'!$AC$3:$AC$193,'GBD estimates'!$V$3:$V$193=AI$3,'GBD estimates'!$Y$3:$Y$193=""Late Neonatal"")"),6.915606089)</f>
        <v>6.915606089</v>
      </c>
      <c r="AJ180" s="564">
        <f>IFERROR(__xludf.DUMMYFUNCTION("FILTER('GBD estimates'!$AC$3:$AC$193,'GBD estimates'!$V$3:$V$193=AJ$3,'GBD estimates'!$Y$3:$Y$193=""Late Neonatal"")"),8.469825947)</f>
        <v>8.469825947</v>
      </c>
      <c r="AK180" s="564">
        <f>IFERROR(__xludf.DUMMYFUNCTION("FILTER('GBD estimates'!$AC$3:$AC$193,'GBD estimates'!$V$3:$V$193=AK$3,'GBD estimates'!$Y$3:$Y$193=""Late Neonatal"")"),21.54317609)</f>
        <v>21.54317609</v>
      </c>
      <c r="AL180" s="564">
        <f>IFERROR(__xludf.DUMMYFUNCTION("FILTER('GBD estimates'!$AC$3:$AC$193,'GBD estimates'!$V$3:$V$193=AL$3,'GBD estimates'!$Y$3:$Y$193=""Late Neonatal"")"),86.34534535)</f>
        <v>86.34534535</v>
      </c>
      <c r="AM180" s="564">
        <f t="shared" ref="AM180:AN180" si="55">AL180</f>
        <v>86.34534535</v>
      </c>
      <c r="AN180" s="564">
        <f t="shared" si="55"/>
        <v>86.34534535</v>
      </c>
      <c r="AO180" s="564">
        <f>IFERROR(__xludf.DUMMYFUNCTION("FILTER('GBD estimates'!$AC$3:$AC$193,'GBD estimates'!$V$3:$V$193=AO$3,'GBD estimates'!$Y$3:$Y$193=""Late Neonatal"")"),34.02095421)</f>
        <v>34.02095421</v>
      </c>
      <c r="AP180" s="564">
        <f>IFERROR(__xludf.DUMMYFUNCTION("FILTER('GBD estimates'!$AC$3:$AC$193,'GBD estimates'!$V$3:$V$193=AP$3,'GBD estimates'!$Y$3:$Y$193=""Late Neonatal"")"),6.59126176)</f>
        <v>6.59126176</v>
      </c>
      <c r="AQ180" s="564">
        <f>IFERROR(__xludf.DUMMYFUNCTION("FILTER('GBD estimates'!$AC$3:$AC$193,'GBD estimates'!$V$3:$V$193=AQ$3,'GBD estimates'!$Y$3:$Y$193=""Late Neonatal"")"),6.517577825)</f>
        <v>6.517577825</v>
      </c>
      <c r="AR180" s="564">
        <f>IFERROR(__xludf.DUMMYFUNCTION("FILTER('GBD estimates'!$AC$3:$AC$193,'GBD estimates'!$V$3:$V$193=AR$3,'GBD estimates'!$Y$3:$Y$193=""Late Neonatal"")"),3.348123559)</f>
        <v>3.348123559</v>
      </c>
      <c r="AS180" s="564">
        <f>IFERROR(__xludf.DUMMYFUNCTION("FILTER('GBD estimates'!$AC$3:$AC$193,'GBD estimates'!$V$3:$V$193=AS$3,'GBD estimates'!$Y$3:$Y$193=""Late Neonatal"")"),46.4290133)</f>
        <v>46.4290133</v>
      </c>
      <c r="AT180" s="564">
        <f>IFERROR(__xludf.DUMMYFUNCTION("FILTER('GBD estimates'!$AC$3:$AC$193,'GBD estimates'!$V$3:$V$193=AT$3,'GBD estimates'!$Y$3:$Y$193=""Late Neonatal"")"),5.946327088)</f>
        <v>5.946327088</v>
      </c>
      <c r="AU180" s="564">
        <f>IFERROR(__xludf.DUMMYFUNCTION("FILTER('GBD estimates'!$AC$3:$AC$193,'GBD estimates'!$V$3:$V$193=AU$3,'GBD estimates'!$Y$3:$Y$193=""Late Neonatal"")"),56.00350404)</f>
        <v>56.00350404</v>
      </c>
      <c r="AV180" s="564">
        <f>IFERROR(__xludf.DUMMYFUNCTION("FILTER('GBD estimates'!$AC$3:$AC$193,'GBD estimates'!$V$3:$V$193=AV$3,'GBD estimates'!$Y$3:$Y$193=""Late Neonatal"")"),33.0291859)</f>
        <v>33.0291859</v>
      </c>
      <c r="AW180" s="788"/>
      <c r="AX180" s="798" t="s">
        <v>999</v>
      </c>
      <c r="AY180" s="790"/>
    </row>
    <row r="181">
      <c r="A181" s="776"/>
      <c r="B181" s="538"/>
      <c r="C181" s="538"/>
      <c r="D181" s="538"/>
      <c r="E181" s="792" t="s">
        <v>651</v>
      </c>
      <c r="F181" s="559" t="s">
        <v>72</v>
      </c>
      <c r="G181" s="560" t="s">
        <v>165</v>
      </c>
      <c r="H181" s="793">
        <v>0.1</v>
      </c>
      <c r="I181" s="859" t="s">
        <v>162</v>
      </c>
      <c r="J181" s="859" t="s">
        <v>162</v>
      </c>
      <c r="K181" s="859" t="s">
        <v>162</v>
      </c>
      <c r="L181" s="859" t="s">
        <v>162</v>
      </c>
      <c r="M181" s="859" t="s">
        <v>162</v>
      </c>
      <c r="N181" s="859" t="s">
        <v>162</v>
      </c>
      <c r="O181" s="859" t="s">
        <v>162</v>
      </c>
      <c r="P181" s="859" t="s">
        <v>162</v>
      </c>
      <c r="Q181" s="860" t="s">
        <v>162</v>
      </c>
      <c r="R181" s="859" t="s">
        <v>162</v>
      </c>
      <c r="S181" s="859" t="s">
        <v>162</v>
      </c>
      <c r="T181" s="859" t="s">
        <v>162</v>
      </c>
      <c r="U181" s="859" t="s">
        <v>162</v>
      </c>
      <c r="V181" s="859" t="s">
        <v>162</v>
      </c>
      <c r="W181" s="859" t="s">
        <v>162</v>
      </c>
      <c r="X181" s="859" t="s">
        <v>162</v>
      </c>
      <c r="Y181" s="859" t="s">
        <v>162</v>
      </c>
      <c r="Z181" s="859" t="s">
        <v>162</v>
      </c>
      <c r="AA181" s="859" t="s">
        <v>162</v>
      </c>
      <c r="AB181" s="859" t="s">
        <v>162</v>
      </c>
      <c r="AC181" s="859" t="s">
        <v>162</v>
      </c>
      <c r="AD181" s="859" t="s">
        <v>162</v>
      </c>
      <c r="AE181" s="859" t="s">
        <v>162</v>
      </c>
      <c r="AF181" s="859" t="s">
        <v>162</v>
      </c>
      <c r="AG181" s="859" t="s">
        <v>162</v>
      </c>
      <c r="AH181" s="859" t="s">
        <v>162</v>
      </c>
      <c r="AI181" s="859" t="s">
        <v>162</v>
      </c>
      <c r="AJ181" s="859" t="s">
        <v>162</v>
      </c>
      <c r="AK181" s="859" t="s">
        <v>162</v>
      </c>
      <c r="AL181" s="859" t="s">
        <v>162</v>
      </c>
      <c r="AM181" s="859" t="s">
        <v>162</v>
      </c>
      <c r="AN181" s="859" t="s">
        <v>162</v>
      </c>
      <c r="AO181" s="859" t="s">
        <v>162</v>
      </c>
      <c r="AP181" s="859" t="s">
        <v>162</v>
      </c>
      <c r="AQ181" s="859" t="s">
        <v>162</v>
      </c>
      <c r="AR181" s="859" t="s">
        <v>162</v>
      </c>
      <c r="AS181" s="859" t="s">
        <v>162</v>
      </c>
      <c r="AT181" s="859" t="s">
        <v>162</v>
      </c>
      <c r="AU181" s="859" t="s">
        <v>162</v>
      </c>
      <c r="AV181" s="859" t="s">
        <v>162</v>
      </c>
      <c r="AW181" s="794"/>
      <c r="AX181" s="799" t="s">
        <v>984</v>
      </c>
      <c r="AY181" s="796"/>
    </row>
    <row r="182">
      <c r="A182" s="776"/>
      <c r="B182" s="538"/>
      <c r="C182" s="143"/>
      <c r="F182" s="533"/>
      <c r="G182" s="534"/>
      <c r="H182" s="680"/>
      <c r="I182" s="404"/>
      <c r="J182" s="552"/>
      <c r="K182" s="552"/>
      <c r="L182" s="552"/>
      <c r="M182" s="552"/>
      <c r="N182" s="552"/>
      <c r="O182" s="552"/>
      <c r="P182" s="552"/>
      <c r="Q182" s="553"/>
      <c r="R182" s="552"/>
      <c r="S182" s="552"/>
      <c r="T182" s="552"/>
      <c r="U182" s="552"/>
      <c r="V182" s="552"/>
      <c r="W182" s="552"/>
      <c r="X182" s="552"/>
      <c r="Y182" s="552"/>
      <c r="Z182" s="552"/>
      <c r="AA182" s="552"/>
      <c r="AB182" s="552"/>
      <c r="AC182" s="552"/>
      <c r="AD182" s="552"/>
      <c r="AE182" s="552"/>
      <c r="AF182" s="552"/>
      <c r="AG182" s="552"/>
      <c r="AH182" s="552"/>
      <c r="AI182" s="552"/>
      <c r="AJ182" s="552"/>
      <c r="AK182" s="552"/>
      <c r="AL182" s="552"/>
      <c r="AM182" s="552"/>
      <c r="AN182" s="552"/>
      <c r="AO182" s="552"/>
      <c r="AP182" s="552"/>
      <c r="AQ182" s="552"/>
      <c r="AR182" s="552"/>
      <c r="AS182" s="552"/>
      <c r="AT182" s="552"/>
      <c r="AU182" s="552"/>
      <c r="AV182" s="552"/>
      <c r="AW182" s="778"/>
      <c r="AX182" s="779"/>
      <c r="AY182" s="780"/>
    </row>
    <row r="183">
      <c r="A183" s="538"/>
      <c r="B183" s="538"/>
      <c r="C183" s="143" t="s">
        <v>660</v>
      </c>
      <c r="F183" s="533"/>
      <c r="G183" s="533"/>
      <c r="H183" s="680"/>
      <c r="I183" s="552"/>
      <c r="J183" s="552"/>
      <c r="K183" s="552"/>
      <c r="L183" s="552"/>
      <c r="M183" s="552"/>
      <c r="N183" s="552"/>
      <c r="O183" s="552"/>
      <c r="P183" s="552"/>
      <c r="Q183" s="553"/>
      <c r="R183" s="552"/>
      <c r="S183" s="552"/>
      <c r="T183" s="552"/>
      <c r="U183" s="552"/>
      <c r="V183" s="552"/>
      <c r="W183" s="552"/>
      <c r="X183" s="552"/>
      <c r="Y183" s="552"/>
      <c r="Z183" s="552"/>
      <c r="AA183" s="552"/>
      <c r="AB183" s="552"/>
      <c r="AC183" s="552"/>
      <c r="AD183" s="552"/>
      <c r="AE183" s="552"/>
      <c r="AF183" s="552"/>
      <c r="AG183" s="552"/>
      <c r="AH183" s="552"/>
      <c r="AI183" s="552"/>
      <c r="AJ183" s="552"/>
      <c r="AK183" s="552"/>
      <c r="AL183" s="552"/>
      <c r="AM183" s="552"/>
      <c r="AN183" s="552"/>
      <c r="AO183" s="552"/>
      <c r="AP183" s="552"/>
      <c r="AQ183" s="552"/>
      <c r="AR183" s="552"/>
      <c r="AS183" s="552"/>
      <c r="AT183" s="552"/>
      <c r="AU183" s="552"/>
      <c r="AV183" s="552"/>
      <c r="AW183" s="778"/>
      <c r="AX183" s="779"/>
      <c r="AY183" s="780"/>
    </row>
    <row r="184">
      <c r="A184" s="776"/>
      <c r="B184" s="538"/>
      <c r="C184" s="538"/>
      <c r="D184" s="538"/>
      <c r="E184" s="782" t="s">
        <v>662</v>
      </c>
      <c r="F184" s="539" t="s">
        <v>72</v>
      </c>
      <c r="G184" s="540" t="s">
        <v>165</v>
      </c>
      <c r="H184" s="808" t="s">
        <v>162</v>
      </c>
      <c r="I184" s="542">
        <f>IFERROR(__xludf.DUMMYFUNCTION("FILTER('GBD estimates'!$G$3:$G$1371,'GBD estimates'!$B$3:$B$1371=I$3,'GBD estimates'!$E$3:$E$1371=""Measles"",'GBD estimates'!$D$3:$D$1371=""Under 5"")"),0.001684193)</f>
        <v>0.001684193</v>
      </c>
      <c r="J184" s="542">
        <f>IFERROR(__xludf.DUMMYFUNCTION("FILTER('GBD estimates'!$G$3:$G$1371,'GBD estimates'!$B$3:$B$1371=J$3,'GBD estimates'!$E$3:$E$1371=""Measles"",'GBD estimates'!$D$3:$D$1371=""Under 5"")"),9.21641E-4)</f>
        <v>0.000921641</v>
      </c>
      <c r="K184" s="542">
        <f>IFERROR(__xludf.DUMMYFUNCTION("FILTER('GBD estimates'!$G$3:$G$1371,'GBD estimates'!$B$3:$B$1371=K$3,'GBD estimates'!$E$3:$E$1371=""Measles"",'GBD estimates'!$D$3:$D$1371=""Under 5"")"),0.001855196)</f>
        <v>0.001855196</v>
      </c>
      <c r="L184" s="542">
        <f t="shared" ref="L184:L189" si="57">AG184</f>
        <v>0.000622002</v>
      </c>
      <c r="M184" s="542">
        <f>IFERROR(__xludf.DUMMYFUNCTION("FILTER('GBD estimates'!$G$3:$G$1371,'GBD estimates'!$B$3:$B$1371=M$3,'GBD estimates'!$E$3:$E$1371=""Measles"",'GBD estimates'!$D$3:$D$1371=""Under 5"")"),6.37374E-4)</f>
        <v>0.000637374</v>
      </c>
      <c r="N184" s="542">
        <f>IFERROR(__xludf.DUMMYFUNCTION("FILTER('GBD estimates'!$G$3:$G$1371,'GBD estimates'!$B$3:$B$1371=N$3,'GBD estimates'!$E$3:$E$1371=""Measles"",'GBD estimates'!$D$3:$D$1371=""Under 5"")"),0.001680384)</f>
        <v>0.001680384</v>
      </c>
      <c r="O184" s="542">
        <f>IFERROR(__xludf.DUMMYFUNCTION("FILTER('GBD estimates'!$G$3:$G$1371,'GBD estimates'!$B$3:$B$1371=O$3,'GBD estimates'!$E$3:$E$1371=""Measles"",'GBD estimates'!$D$3:$D$1371=""Under 5"")"),0.001550532)</f>
        <v>0.001550532</v>
      </c>
      <c r="P184" s="542">
        <f>IFERROR(__xludf.DUMMYFUNCTION("FILTER('GBD estimates'!$G$3:$G$1371,'GBD estimates'!$B$3:$B$1371=P$3,'GBD estimates'!$E$3:$E$1371=""Measles"",'GBD estimates'!$D$3:$D$1371=""Under 5"")"),0.002217853)</f>
        <v>0.002217853</v>
      </c>
      <c r="Q184" s="543">
        <f>IFERROR(__xludf.DUMMYFUNCTION("FILTER('GBD estimates'!$G$3:$G$1371,'GBD estimates'!$B$3:$B$1371=Q$3,'GBD estimates'!$E$3:$E$1371=""Measles"",'GBD estimates'!$D$3:$D$1371=""Under 5"")"),0.00256188)</f>
        <v>0.00256188</v>
      </c>
      <c r="R184" s="542">
        <f>IFERROR(__xludf.DUMMYFUNCTION("FILTER('GBD estimates'!$G$3:$G$1371,'GBD estimates'!$B$3:$B$1371=R$3,'GBD estimates'!$E$3:$E$1371=""Measles"",'GBD estimates'!$D$3:$D$1371=""Under 5"")"),1.41832E-4)</f>
        <v>0.000141832</v>
      </c>
      <c r="S184" s="542">
        <f>IFERROR(__xludf.DUMMYFUNCTION("FILTER('GBD estimates'!$G$3:$G$1371,'GBD estimates'!$B$3:$B$1371=S$3,'GBD estimates'!$E$3:$E$1371=""Measles"",'GBD estimates'!$D$3:$D$1371=""Under 5"")"),5.08638E-4)</f>
        <v>0.000508638</v>
      </c>
      <c r="T184" s="542">
        <f>IFERROR(__xludf.DUMMYFUNCTION("FILTER('GBD estimates'!$G$3:$G$1371,'GBD estimates'!$B$3:$B$1371=T$3,'GBD estimates'!$E$3:$E$1371=""Measles"",'GBD estimates'!$D$3:$D$1371=""Under 5"")"),1.89306E-4)</f>
        <v>0.000189306</v>
      </c>
      <c r="U184" s="542">
        <f>IFERROR(__xludf.DUMMYFUNCTION("FILTER('GBD estimates'!$G$3:$G$1371,'GBD estimates'!$B$3:$B$1371=U$3,'GBD estimates'!$E$3:$E$1371=""Measles"",'GBD estimates'!$D$3:$D$1371=""Under 5"")"),1.45828E-4)</f>
        <v>0.000145828</v>
      </c>
      <c r="V184" s="542">
        <f>IFERROR(__xludf.DUMMYFUNCTION("FILTER('GBD estimates'!$G$3:$G$1371,'GBD estimates'!$B$3:$B$1371=V$3,'GBD estimates'!$E$3:$E$1371=""Measles"",'GBD estimates'!$D$3:$D$1371=""Under 5"")"),3.56325E-4)</f>
        <v>0.000356325</v>
      </c>
      <c r="W184" s="542">
        <f>IFERROR(__xludf.DUMMYFUNCTION("FILTER('GBD estimates'!$G$3:$G$1371,'GBD estimates'!$B$3:$B$1371=W$3,'GBD estimates'!$E$3:$E$1371=""Measles"",'GBD estimates'!$D$3:$D$1371=""Under 5"")"),2.84489E-4)</f>
        <v>0.000284489</v>
      </c>
      <c r="X184" s="542">
        <f>IFERROR(__xludf.DUMMYFUNCTION("FILTER('GBD estimates'!$G$3:$G$1371,'GBD estimates'!$B$3:$B$1371=X$3,'GBD estimates'!$E$3:$E$1371=""Measles"",'GBD estimates'!$D$3:$D$1371=""Under 5"")"),5.85515E-4)</f>
        <v>0.000585515</v>
      </c>
      <c r="Y184" s="542">
        <f>IFERROR(__xludf.DUMMYFUNCTION("FILTER('GBD estimates'!$G$3:$G$1371,'GBD estimates'!$B$3:$B$1371=Y$3,'GBD estimates'!$E$3:$E$1371=""Measles"",'GBD estimates'!$D$3:$D$1371=""Under 5"")"),2.27998E-4)</f>
        <v>0.000227998</v>
      </c>
      <c r="Z184" s="542">
        <f>IFERROR(__xludf.DUMMYFUNCTION("FILTER('GBD estimates'!$G$3:$G$1371,'GBD estimates'!$B$3:$B$1371=Z$3,'GBD estimates'!$E$3:$E$1371=""Measles"",'GBD estimates'!$D$3:$D$1371=""Under 5"")"),2.0488E-4)</f>
        <v>0.00020488</v>
      </c>
      <c r="AA184" s="542">
        <f>IFERROR(__xludf.DUMMYFUNCTION("FILTER('GBD estimates'!$G$3:$G$1371,'GBD estimates'!$B$3:$B$1371=AA$3,'GBD estimates'!$E$3:$E$1371=""Measles"",'GBD estimates'!$D$3:$D$1371=""Under 5"")"),2.59696E-4)</f>
        <v>0.000259696</v>
      </c>
      <c r="AB184" s="542">
        <f>IFERROR(__xludf.DUMMYFUNCTION("FILTER('GBD estimates'!$G$3:$G$1371,'GBD estimates'!$B$3:$B$1371=AB$3,'GBD estimates'!$E$3:$E$1371=""Measles"",'GBD estimates'!$D$3:$D$1371=""Under 5"")"),1.80419E-4)</f>
        <v>0.000180419</v>
      </c>
      <c r="AC184" s="542">
        <f>IFERROR(__xludf.DUMMYFUNCTION("FILTER('GBD estimates'!$G$3:$G$1371,'GBD estimates'!$B$3:$B$1371=AC$3,'GBD estimates'!$E$3:$E$1371=""Measles"",'GBD estimates'!$D$3:$D$1371=""Under 5"")"),1.73715E-4)</f>
        <v>0.000173715</v>
      </c>
      <c r="AD184" s="542">
        <f>IFERROR(__xludf.DUMMYFUNCTION("FILTER('GBD estimates'!$G$3:$G$1371,'GBD estimates'!$B$3:$B$1371=AD$3,'GBD estimates'!$E$3:$E$1371=""Measles"",'GBD estimates'!$D$3:$D$1371=""Under 5"")"),1.22419E-4)</f>
        <v>0.000122419</v>
      </c>
      <c r="AE184" s="542">
        <f>IFERROR(__xludf.DUMMYFUNCTION("FILTER('GBD estimates'!$G$3:$G$1371,'GBD estimates'!$B$3:$B$1371=AE$3,'GBD estimates'!$E$3:$E$1371=""Measles"",'GBD estimates'!$D$3:$D$1371=""Under 5"")"),1.35426E-4)</f>
        <v>0.000135426</v>
      </c>
      <c r="AF184" s="542">
        <f>IFERROR(__xludf.DUMMYFUNCTION("FILTER('GBD estimates'!$G$3:$G$1371,'GBD estimates'!$B$3:$B$1371=AF$3,'GBD estimates'!$E$3:$E$1371=""Measles"",'GBD estimates'!$D$3:$D$1371=""Under 5"")"),1.01351E-4)</f>
        <v>0.000101351</v>
      </c>
      <c r="AG184" s="542">
        <f>IFERROR(__xludf.DUMMYFUNCTION("FILTER('GBD estimates'!$G$3:$G$1371,'GBD estimates'!$B$3:$B$1371=AG$3,'GBD estimates'!$E$3:$E$1371=""Measles"",'GBD estimates'!$D$3:$D$1371=""Under 5"")"),6.22002E-4)</f>
        <v>0.000622002</v>
      </c>
      <c r="AH184" s="542">
        <f>IFERROR(__xludf.DUMMYFUNCTION("FILTER('GBD estimates'!$G$3:$G$1371,'GBD estimates'!$B$3:$B$1371=AH$3,'GBD estimates'!$E$3:$E$1371=""Measles"",'GBD estimates'!$D$3:$D$1371=""Under 5"")"),2.45612E-4)</f>
        <v>0.000245612</v>
      </c>
      <c r="AI184" s="542">
        <f>IFERROR(__xludf.DUMMYFUNCTION("FILTER('GBD estimates'!$G$3:$G$1371,'GBD estimates'!$B$3:$B$1371=AI$3,'GBD estimates'!$E$3:$E$1371=""Measles"",'GBD estimates'!$D$3:$D$1371=""Under 5"")"),2.51249E-4)</f>
        <v>0.000251249</v>
      </c>
      <c r="AJ184" s="542">
        <f>IFERROR(__xludf.DUMMYFUNCTION("FILTER('GBD estimates'!$G$3:$G$1371,'GBD estimates'!$B$3:$B$1371=AJ$3,'GBD estimates'!$E$3:$E$1371=""Measles"",'GBD estimates'!$D$3:$D$1371=""Under 5"")"),8.71E-5)</f>
        <v>0.0000871</v>
      </c>
      <c r="AK184" s="542">
        <f>IFERROR(__xludf.DUMMYFUNCTION("FILTER('GBD estimates'!$G$3:$G$1371,'GBD estimates'!$B$3:$B$1371=AK$3,'GBD estimates'!$E$3:$E$1371=""Measles"",'GBD estimates'!$D$3:$D$1371=""Under 5"")"),3.46226E-4)</f>
        <v>0.000346226</v>
      </c>
      <c r="AL184" s="542">
        <f>IFERROR(__xludf.DUMMYFUNCTION("FILTER('GBD estimates'!$G$3:$G$1371,'GBD estimates'!$B$3:$B$1371=AL$3,'GBD estimates'!$E$3:$E$1371=""Measles"",'GBD estimates'!$D$3:$D$1371=""Under 5"")"),5.47186E-4)</f>
        <v>0.000547186</v>
      </c>
      <c r="AM184" s="542">
        <f t="shared" ref="AM184:AN184" si="56">AL184</f>
        <v>0.000547186</v>
      </c>
      <c r="AN184" s="542">
        <f t="shared" si="56"/>
        <v>0.000547186</v>
      </c>
      <c r="AO184" s="542">
        <f>IFERROR(__xludf.DUMMYFUNCTION("FILTER('GBD estimates'!$G$3:$G$1371,'GBD estimates'!$B$3:$B$1371=AO$3,'GBD estimates'!$E$3:$E$1371=""Measles"",'GBD estimates'!$D$3:$D$1371=""Under 5"")"),1.83463E-4)</f>
        <v>0.000183463</v>
      </c>
      <c r="AP184" s="542">
        <f>IFERROR(__xludf.DUMMYFUNCTION("FILTER('GBD estimates'!$G$3:$G$1371,'GBD estimates'!$B$3:$B$1371=AP$3,'GBD estimates'!$E$3:$E$1371=""Measles"",'GBD estimates'!$D$3:$D$1371=""Under 5"")"),1.7625E-4)</f>
        <v>0.00017625</v>
      </c>
      <c r="AQ184" s="542">
        <f>IFERROR(__xludf.DUMMYFUNCTION("FILTER('GBD estimates'!$G$3:$G$1371,'GBD estimates'!$B$3:$B$1371=AQ$3,'GBD estimates'!$E$3:$E$1371=""Measles"",'GBD estimates'!$D$3:$D$1371=""Under 5"")"),1.0284E-4)</f>
        <v>0.00010284</v>
      </c>
      <c r="AR184" s="542">
        <f>IFERROR(__xludf.DUMMYFUNCTION("FILTER('GBD estimates'!$G$3:$G$1371,'GBD estimates'!$B$3:$B$1371=AR$3,'GBD estimates'!$E$3:$E$1371=""Measles"",'GBD estimates'!$D$3:$D$1371=""Under 5"")"),1.7111E-4)</f>
        <v>0.00017111</v>
      </c>
      <c r="AS184" s="542">
        <f>IFERROR(__xludf.DUMMYFUNCTION("FILTER('GBD estimates'!$G$3:$G$1371,'GBD estimates'!$B$3:$B$1371=AS$3,'GBD estimates'!$E$3:$E$1371=""Measles"",'GBD estimates'!$D$3:$D$1371=""Under 5"")"),2.3164E-4)</f>
        <v>0.00023164</v>
      </c>
      <c r="AT184" s="542">
        <f>IFERROR(__xludf.DUMMYFUNCTION("FILTER('GBD estimates'!$G$3:$G$1371,'GBD estimates'!$B$3:$B$1371=AT$3,'GBD estimates'!$E$3:$E$1371=""Measles"",'GBD estimates'!$D$3:$D$1371=""Under 5"")"),1.74496E-4)</f>
        <v>0.000174496</v>
      </c>
      <c r="AU184" s="542">
        <f>IFERROR(__xludf.DUMMYFUNCTION("FILTER('GBD estimates'!$G$3:$G$1371,'GBD estimates'!$B$3:$B$1371=AU$3,'GBD estimates'!$E$3:$E$1371=""Measles"",'GBD estimates'!$D$3:$D$1371=""Under 5"")"),5.64633E-4)</f>
        <v>0.000564633</v>
      </c>
      <c r="AV184" s="542">
        <f>IFERROR(__xludf.DUMMYFUNCTION("FILTER('GBD estimates'!$G$3:$G$1371,'GBD estimates'!$B$3:$B$1371=AV$3,'GBD estimates'!$E$3:$E$1371=""Measles"",'GBD estimates'!$D$3:$D$1371=""Under 5"")"),0.001123738)</f>
        <v>0.001123738</v>
      </c>
      <c r="AW184" s="784"/>
      <c r="AX184" s="797" t="s">
        <v>999</v>
      </c>
      <c r="AY184" s="786"/>
    </row>
    <row r="185">
      <c r="A185" s="776"/>
      <c r="B185" s="538"/>
      <c r="C185" s="538"/>
      <c r="D185" s="538"/>
      <c r="E185" s="475" t="s">
        <v>663</v>
      </c>
      <c r="F185" s="554" t="s">
        <v>72</v>
      </c>
      <c r="G185" s="555" t="s">
        <v>165</v>
      </c>
      <c r="H185" s="811" t="s">
        <v>162</v>
      </c>
      <c r="I185" s="542">
        <f>IFERROR(__xludf.DUMMYFUNCTION("FILTER('GBD estimates'!$G$3:$G$1371,'GBD estimates'!$B$3:$B$1371=I$3,'GBD estimates'!$E$3:$E$1371=""Measles"",'GBD estimates'!$D$3:$D$1371=""5-14 years"")"),2.58566E-4)</f>
        <v>0.000258566</v>
      </c>
      <c r="J185" s="542">
        <f>IFERROR(__xludf.DUMMYFUNCTION("FILTER('GBD estimates'!$G$3:$G$1371,'GBD estimates'!$B$3:$B$1371=J$3,'GBD estimates'!$E$3:$E$1371=""Measles"",'GBD estimates'!$D$3:$D$1371=""5-14 years"")"),1.38837E-4)</f>
        <v>0.000138837</v>
      </c>
      <c r="K185" s="542">
        <f>IFERROR(__xludf.DUMMYFUNCTION("FILTER('GBD estimates'!$G$3:$G$1371,'GBD estimates'!$B$3:$B$1371=K$3,'GBD estimates'!$E$3:$E$1371=""Measles"",'GBD estimates'!$D$3:$D$1371=""5-14 years"")"),2.90386E-4)</f>
        <v>0.000290386</v>
      </c>
      <c r="L185" s="542">
        <f t="shared" si="57"/>
        <v>0.000109043</v>
      </c>
      <c r="M185" s="542">
        <f>IFERROR(__xludf.DUMMYFUNCTION("FILTER('GBD estimates'!$G$3:$G$1371,'GBD estimates'!$B$3:$B$1371=M$3,'GBD estimates'!$E$3:$E$1371=""Measles"",'GBD estimates'!$D$3:$D$1371=""5-14 years"")"),1.02012E-4)</f>
        <v>0.000102012</v>
      </c>
      <c r="N185" s="542">
        <f>IFERROR(__xludf.DUMMYFUNCTION("FILTER('GBD estimates'!$G$3:$G$1371,'GBD estimates'!$B$3:$B$1371=N$3,'GBD estimates'!$E$3:$E$1371=""Measles"",'GBD estimates'!$D$3:$D$1371=""5-14 years"")"),2.59127E-4)</f>
        <v>0.000259127</v>
      </c>
      <c r="O185" s="542">
        <f>IFERROR(__xludf.DUMMYFUNCTION("FILTER('GBD estimates'!$G$3:$G$1371,'GBD estimates'!$B$3:$B$1371=O$3,'GBD estimates'!$E$3:$E$1371=""Measles"",'GBD estimates'!$D$3:$D$1371=""5-14 years"")"),2.46282E-4)</f>
        <v>0.000246282</v>
      </c>
      <c r="P185" s="542">
        <f>IFERROR(__xludf.DUMMYFUNCTION("FILTER('GBD estimates'!$G$3:$G$1371,'GBD estimates'!$B$3:$B$1371=P$3,'GBD estimates'!$E$3:$E$1371=""Measles"",'GBD estimates'!$D$3:$D$1371=""5-14 years"")"),3.44136E-4)</f>
        <v>0.000344136</v>
      </c>
      <c r="Q185" s="543">
        <f>IFERROR(__xludf.DUMMYFUNCTION("FILTER('GBD estimates'!$G$3:$G$1371,'GBD estimates'!$B$3:$B$1371=Q$3,'GBD estimates'!$E$3:$E$1371=""Measles"",'GBD estimates'!$D$3:$D$1371=""5-14 years"")"),3.60388E-4)</f>
        <v>0.000360388</v>
      </c>
      <c r="R185" s="542">
        <f>IFERROR(__xludf.DUMMYFUNCTION("FILTER('GBD estimates'!$G$3:$G$1371,'GBD estimates'!$B$3:$B$1371=R$3,'GBD estimates'!$E$3:$E$1371=""Measles"",'GBD estimates'!$D$3:$D$1371=""5-14 years"")"),2.44E-5)</f>
        <v>0.0000244</v>
      </c>
      <c r="S185" s="542">
        <f>IFERROR(__xludf.DUMMYFUNCTION("FILTER('GBD estimates'!$G$3:$G$1371,'GBD estimates'!$B$3:$B$1371=S$3,'GBD estimates'!$E$3:$E$1371=""Measles"",'GBD estimates'!$D$3:$D$1371=""5-14 years"")"),8.0E-5)</f>
        <v>0.00008</v>
      </c>
      <c r="T185" s="542">
        <f>IFERROR(__xludf.DUMMYFUNCTION("FILTER('GBD estimates'!$G$3:$G$1371,'GBD estimates'!$B$3:$B$1371=T$3,'GBD estimates'!$E$3:$E$1371=""Measles"",'GBD estimates'!$D$3:$D$1371=""5-14 years"")"),3.4E-5)</f>
        <v>0.000034</v>
      </c>
      <c r="U185" s="542">
        <f>IFERROR(__xludf.DUMMYFUNCTION("FILTER('GBD estimates'!$G$3:$G$1371,'GBD estimates'!$B$3:$B$1371=U$3,'GBD estimates'!$E$3:$E$1371=""Measles"",'GBD estimates'!$D$3:$D$1371=""5-14 years"")"),2.65E-5)</f>
        <v>0.0000265</v>
      </c>
      <c r="V185" s="542">
        <f>IFERROR(__xludf.DUMMYFUNCTION("FILTER('GBD estimates'!$G$3:$G$1371,'GBD estimates'!$B$3:$B$1371=V$3,'GBD estimates'!$E$3:$E$1371=""Measles"",'GBD estimates'!$D$3:$D$1371=""5-14 years"")"),5.56E-5)</f>
        <v>0.0000556</v>
      </c>
      <c r="W185" s="542">
        <f>IFERROR(__xludf.DUMMYFUNCTION("FILTER('GBD estimates'!$G$3:$G$1371,'GBD estimates'!$B$3:$B$1371=W$3,'GBD estimates'!$E$3:$E$1371=""Measles"",'GBD estimates'!$D$3:$D$1371=""5-14 years"")"),4.97E-5)</f>
        <v>0.0000497</v>
      </c>
      <c r="X185" s="542">
        <f>IFERROR(__xludf.DUMMYFUNCTION("FILTER('GBD estimates'!$G$3:$G$1371,'GBD estimates'!$B$3:$B$1371=X$3,'GBD estimates'!$E$3:$E$1371=""Measles"",'GBD estimates'!$D$3:$D$1371=""5-14 years"")"),9.23E-5)</f>
        <v>0.0000923</v>
      </c>
      <c r="Y185" s="542">
        <f>IFERROR(__xludf.DUMMYFUNCTION("FILTER('GBD estimates'!$G$3:$G$1371,'GBD estimates'!$B$3:$B$1371=Y$3,'GBD estimates'!$E$3:$E$1371=""Measles"",'GBD estimates'!$D$3:$D$1371=""5-14 years"")"),3.92E-5)</f>
        <v>0.0000392</v>
      </c>
      <c r="Z185" s="542">
        <f>IFERROR(__xludf.DUMMYFUNCTION("FILTER('GBD estimates'!$G$3:$G$1371,'GBD estimates'!$B$3:$B$1371=Z$3,'GBD estimates'!$E$3:$E$1371=""Measles"",'GBD estimates'!$D$3:$D$1371=""5-14 years"")"),3.87E-5)</f>
        <v>0.0000387</v>
      </c>
      <c r="AA185" s="542">
        <f>IFERROR(__xludf.DUMMYFUNCTION("FILTER('GBD estimates'!$G$3:$G$1371,'GBD estimates'!$B$3:$B$1371=AA$3,'GBD estimates'!$E$3:$E$1371=""Measles"",'GBD estimates'!$D$3:$D$1371=""5-14 years"")"),5.07E-5)</f>
        <v>0.0000507</v>
      </c>
      <c r="AB185" s="542">
        <f>IFERROR(__xludf.DUMMYFUNCTION("FILTER('GBD estimates'!$G$3:$G$1371,'GBD estimates'!$B$3:$B$1371=AB$3,'GBD estimates'!$E$3:$E$1371=""Measles"",'GBD estimates'!$D$3:$D$1371=""5-14 years"")"),2.72E-5)</f>
        <v>0.0000272</v>
      </c>
      <c r="AC185" s="542">
        <f>IFERROR(__xludf.DUMMYFUNCTION("FILTER('GBD estimates'!$G$3:$G$1371,'GBD estimates'!$B$3:$B$1371=AC$3,'GBD estimates'!$E$3:$E$1371=""Measles"",'GBD estimates'!$D$3:$D$1371=""5-14 years"")"),3.07E-5)</f>
        <v>0.0000307</v>
      </c>
      <c r="AD185" s="542">
        <f>IFERROR(__xludf.DUMMYFUNCTION("FILTER('GBD estimates'!$G$3:$G$1371,'GBD estimates'!$B$3:$B$1371=AD$3,'GBD estimates'!$E$3:$E$1371=""Measles"",'GBD estimates'!$D$3:$D$1371=""5-14 years"")"),2.35E-5)</f>
        <v>0.0000235</v>
      </c>
      <c r="AE185" s="542">
        <f>IFERROR(__xludf.DUMMYFUNCTION("FILTER('GBD estimates'!$G$3:$G$1371,'GBD estimates'!$B$3:$B$1371=AE$3,'GBD estimates'!$E$3:$E$1371=""Measles"",'GBD estimates'!$D$3:$D$1371=""5-14 years"")"),2.46E-5)</f>
        <v>0.0000246</v>
      </c>
      <c r="AF185" s="542">
        <f>IFERROR(__xludf.DUMMYFUNCTION("FILTER('GBD estimates'!$G$3:$G$1371,'GBD estimates'!$B$3:$B$1371=AF$3,'GBD estimates'!$E$3:$E$1371=""Measles"",'GBD estimates'!$D$3:$D$1371=""5-14 years"")"),1.98E-5)</f>
        <v>0.0000198</v>
      </c>
      <c r="AG185" s="542">
        <f>IFERROR(__xludf.DUMMYFUNCTION("FILTER('GBD estimates'!$G$3:$G$1371,'GBD estimates'!$B$3:$B$1371=AG$3,'GBD estimates'!$E$3:$E$1371=""Measles"",'GBD estimates'!$D$3:$D$1371=""5-14 years"")"),1.09043E-4)</f>
        <v>0.000109043</v>
      </c>
      <c r="AH185" s="542">
        <f>IFERROR(__xludf.DUMMYFUNCTION("FILTER('GBD estimates'!$G$3:$G$1371,'GBD estimates'!$B$3:$B$1371=AH$3,'GBD estimates'!$E$3:$E$1371=""Measles"",'GBD estimates'!$D$3:$D$1371=""5-14 years"")"),4.42E-5)</f>
        <v>0.0000442</v>
      </c>
      <c r="AI185" s="542">
        <f>IFERROR(__xludf.DUMMYFUNCTION("FILTER('GBD estimates'!$G$3:$G$1371,'GBD estimates'!$B$3:$B$1371=AI$3,'GBD estimates'!$E$3:$E$1371=""Measles"",'GBD estimates'!$D$3:$D$1371=""5-14 years"")"),4.89E-5)</f>
        <v>0.0000489</v>
      </c>
      <c r="AJ185" s="542">
        <f>IFERROR(__xludf.DUMMYFUNCTION("FILTER('GBD estimates'!$G$3:$G$1371,'GBD estimates'!$B$3:$B$1371=AJ$3,'GBD estimates'!$E$3:$E$1371=""Measles"",'GBD estimates'!$D$3:$D$1371=""5-14 years"")"),1.83E-5)</f>
        <v>0.0000183</v>
      </c>
      <c r="AK185" s="542">
        <f>IFERROR(__xludf.DUMMYFUNCTION("FILTER('GBD estimates'!$G$3:$G$1371,'GBD estimates'!$B$3:$B$1371=AK$3,'GBD estimates'!$E$3:$E$1371=""Measles"",'GBD estimates'!$D$3:$D$1371=""5-14 years"")"),5.95E-5)</f>
        <v>0.0000595</v>
      </c>
      <c r="AL185" s="542">
        <f>IFERROR(__xludf.DUMMYFUNCTION("FILTER('GBD estimates'!$G$3:$G$1371,'GBD estimates'!$B$3:$B$1371=AL$3,'GBD estimates'!$E$3:$E$1371=""Measles"",'GBD estimates'!$D$3:$D$1371=""5-14 years"")"),8.68E-5)</f>
        <v>0.0000868</v>
      </c>
      <c r="AM185" s="542">
        <f t="shared" ref="AM185:AN185" si="58">AL185</f>
        <v>0.0000868</v>
      </c>
      <c r="AN185" s="542">
        <f t="shared" si="58"/>
        <v>0.0000868</v>
      </c>
      <c r="AO185" s="542">
        <f>IFERROR(__xludf.DUMMYFUNCTION("FILTER('GBD estimates'!$G$3:$G$1371,'GBD estimates'!$B$3:$B$1371=AO$3,'GBD estimates'!$E$3:$E$1371=""Measles"",'GBD estimates'!$D$3:$D$1371=""5-14 years"")"),3.22E-5)</f>
        <v>0.0000322</v>
      </c>
      <c r="AP185" s="542">
        <f>IFERROR(__xludf.DUMMYFUNCTION("FILTER('GBD estimates'!$G$3:$G$1371,'GBD estimates'!$B$3:$B$1371=AP$3,'GBD estimates'!$E$3:$E$1371=""Measles"",'GBD estimates'!$D$3:$D$1371=""5-14 years"")"),3.34E-5)</f>
        <v>0.0000334</v>
      </c>
      <c r="AQ185" s="542">
        <f>IFERROR(__xludf.DUMMYFUNCTION("FILTER('GBD estimates'!$G$3:$G$1371,'GBD estimates'!$B$3:$B$1371=AQ$3,'GBD estimates'!$E$3:$E$1371=""Measles"",'GBD estimates'!$D$3:$D$1371=""5-14 years"")"),1.93E-5)</f>
        <v>0.0000193</v>
      </c>
      <c r="AR185" s="542">
        <f>IFERROR(__xludf.DUMMYFUNCTION("FILTER('GBD estimates'!$G$3:$G$1371,'GBD estimates'!$B$3:$B$1371=AR$3,'GBD estimates'!$E$3:$E$1371=""Measles"",'GBD estimates'!$D$3:$D$1371=""5-14 years"")"),2.84E-5)</f>
        <v>0.0000284</v>
      </c>
      <c r="AS185" s="542">
        <f>IFERROR(__xludf.DUMMYFUNCTION("FILTER('GBD estimates'!$G$3:$G$1371,'GBD estimates'!$B$3:$B$1371=AS$3,'GBD estimates'!$E$3:$E$1371=""Measles"",'GBD estimates'!$D$3:$D$1371=""5-14 years"")"),4.82E-5)</f>
        <v>0.0000482</v>
      </c>
      <c r="AT185" s="542">
        <f>IFERROR(__xludf.DUMMYFUNCTION("FILTER('GBD estimates'!$G$3:$G$1371,'GBD estimates'!$B$3:$B$1371=AT$3,'GBD estimates'!$E$3:$E$1371=""Measles"",'GBD estimates'!$D$3:$D$1371=""5-14 years"")"),2.97E-5)</f>
        <v>0.0000297</v>
      </c>
      <c r="AU185" s="542">
        <f>IFERROR(__xludf.DUMMYFUNCTION("FILTER('GBD estimates'!$G$3:$G$1371,'GBD estimates'!$B$3:$B$1371=AU$3,'GBD estimates'!$E$3:$E$1371=""Measles"",'GBD estimates'!$D$3:$D$1371=""5-14 years"")"),9.21E-5)</f>
        <v>0.0000921</v>
      </c>
      <c r="AV185" s="542">
        <f>IFERROR(__xludf.DUMMYFUNCTION("FILTER('GBD estimates'!$G$3:$G$1371,'GBD estimates'!$B$3:$B$1371=AV$3,'GBD estimates'!$E$3:$E$1371=""Measles"",'GBD estimates'!$D$3:$D$1371=""5-14 years"")"),1.72181E-4)</f>
        <v>0.000172181</v>
      </c>
      <c r="AW185" s="788"/>
      <c r="AX185" s="798" t="s">
        <v>999</v>
      </c>
      <c r="AY185" s="790"/>
    </row>
    <row r="186">
      <c r="A186" s="776"/>
      <c r="B186" s="538"/>
      <c r="C186" s="538"/>
      <c r="D186" s="538"/>
      <c r="E186" s="475" t="s">
        <v>664</v>
      </c>
      <c r="F186" s="554" t="s">
        <v>72</v>
      </c>
      <c r="G186" s="555" t="s">
        <v>165</v>
      </c>
      <c r="H186" s="811" t="s">
        <v>162</v>
      </c>
      <c r="I186" s="542">
        <f>IFERROR(__xludf.DUMMYFUNCTION("FILTER('GBD estimates'!$G$3:$G$1371,'GBD estimates'!$B$3:$B$1371=I$3,'GBD estimates'!$E$3:$E$1371=""Measles"",'GBD estimates'!$D$3:$D$1371=""15-49 years"")"),5.31E-5)</f>
        <v>0.0000531</v>
      </c>
      <c r="J186" s="542">
        <f>IFERROR(__xludf.DUMMYFUNCTION("FILTER('GBD estimates'!$G$3:$G$1371,'GBD estimates'!$B$3:$B$1371=J$3,'GBD estimates'!$E$3:$E$1371=""Measles"",'GBD estimates'!$D$3:$D$1371=""15-49 years"")"),2.4E-5)</f>
        <v>0.000024</v>
      </c>
      <c r="K186" s="542">
        <f>IFERROR(__xludf.DUMMYFUNCTION("FILTER('GBD estimates'!$G$3:$G$1371,'GBD estimates'!$B$3:$B$1371=K$3,'GBD estimates'!$E$3:$E$1371=""Measles"",'GBD estimates'!$D$3:$D$1371=""15-49 years"")"),7.73E-5)</f>
        <v>0.0000773</v>
      </c>
      <c r="L186" s="542">
        <f t="shared" si="57"/>
        <v>0.0000223</v>
      </c>
      <c r="M186" s="542">
        <f>IFERROR(__xludf.DUMMYFUNCTION("FILTER('GBD estimates'!$G$3:$G$1371,'GBD estimates'!$B$3:$B$1371=M$3,'GBD estimates'!$E$3:$E$1371=""Measles"",'GBD estimates'!$D$3:$D$1371=""15-49 years"")"),1.9E-5)</f>
        <v>0.000019</v>
      </c>
      <c r="N186" s="542">
        <f>IFERROR(__xludf.DUMMYFUNCTION("FILTER('GBD estimates'!$G$3:$G$1371,'GBD estimates'!$B$3:$B$1371=N$3,'GBD estimates'!$E$3:$E$1371=""Measles"",'GBD estimates'!$D$3:$D$1371=""15-49 years"")"),5.92E-5)</f>
        <v>0.0000592</v>
      </c>
      <c r="O186" s="542">
        <f>IFERROR(__xludf.DUMMYFUNCTION("FILTER('GBD estimates'!$G$3:$G$1371,'GBD estimates'!$B$3:$B$1371=O$3,'GBD estimates'!$E$3:$E$1371=""Measles"",'GBD estimates'!$D$3:$D$1371=""15-49 years"")"),5.1E-5)</f>
        <v>0.000051</v>
      </c>
      <c r="P186" s="542">
        <f>IFERROR(__xludf.DUMMYFUNCTION("FILTER('GBD estimates'!$G$3:$G$1371,'GBD estimates'!$B$3:$B$1371=P$3,'GBD estimates'!$E$3:$E$1371=""Measles"",'GBD estimates'!$D$3:$D$1371=""15-49 years"")"),8.11E-5)</f>
        <v>0.0000811</v>
      </c>
      <c r="Q186" s="543">
        <f>IFERROR(__xludf.DUMMYFUNCTION("FILTER('GBD estimates'!$G$3:$G$1371,'GBD estimates'!$B$3:$B$1371=Q$3,'GBD estimates'!$E$3:$E$1371=""Measles"",'GBD estimates'!$D$3:$D$1371=""15-49 years"")"),7.78E-5)</f>
        <v>0.0000778</v>
      </c>
      <c r="R186" s="542">
        <f>IFERROR(__xludf.DUMMYFUNCTION("FILTER('GBD estimates'!$G$3:$G$1371,'GBD estimates'!$B$3:$B$1371=R$3,'GBD estimates'!$E$3:$E$1371=""Measles"",'GBD estimates'!$D$3:$D$1371=""15-49 years"")"),5.71E-6)</f>
        <v>0.00000571</v>
      </c>
      <c r="S186" s="542">
        <f>IFERROR(__xludf.DUMMYFUNCTION("FILTER('GBD estimates'!$G$3:$G$1371,'GBD estimates'!$B$3:$B$1371=S$3,'GBD estimates'!$E$3:$E$1371=""Measles"",'GBD estimates'!$D$3:$D$1371=""15-49 years"")"),1.86E-5)</f>
        <v>0.0000186</v>
      </c>
      <c r="T186" s="542">
        <f>IFERROR(__xludf.DUMMYFUNCTION("FILTER('GBD estimates'!$G$3:$G$1371,'GBD estimates'!$B$3:$B$1371=T$3,'GBD estimates'!$E$3:$E$1371=""Measles"",'GBD estimates'!$D$3:$D$1371=""15-49 years"")"),8.59E-6)</f>
        <v>0.00000859</v>
      </c>
      <c r="U186" s="542">
        <f>IFERROR(__xludf.DUMMYFUNCTION("FILTER('GBD estimates'!$G$3:$G$1371,'GBD estimates'!$B$3:$B$1371=U$3,'GBD estimates'!$E$3:$E$1371=""Measles"",'GBD estimates'!$D$3:$D$1371=""15-49 years"")"),7.19E-6)</f>
        <v>0.00000719</v>
      </c>
      <c r="V186" s="542">
        <f>IFERROR(__xludf.DUMMYFUNCTION("FILTER('GBD estimates'!$G$3:$G$1371,'GBD estimates'!$B$3:$B$1371=V$3,'GBD estimates'!$E$3:$E$1371=""Measles"",'GBD estimates'!$D$3:$D$1371=""15-49 years"")"),1.39E-5)</f>
        <v>0.0000139</v>
      </c>
      <c r="W186" s="542">
        <f>IFERROR(__xludf.DUMMYFUNCTION("FILTER('GBD estimates'!$G$3:$G$1371,'GBD estimates'!$B$3:$B$1371=W$3,'GBD estimates'!$E$3:$E$1371=""Measles"",'GBD estimates'!$D$3:$D$1371=""15-49 years"")"),1.25E-5)</f>
        <v>0.0000125</v>
      </c>
      <c r="X186" s="542">
        <f>IFERROR(__xludf.DUMMYFUNCTION("FILTER('GBD estimates'!$G$3:$G$1371,'GBD estimates'!$B$3:$B$1371=X$3,'GBD estimates'!$E$3:$E$1371=""Measles"",'GBD estimates'!$D$3:$D$1371=""15-49 years"")"),2.39E-5)</f>
        <v>0.0000239</v>
      </c>
      <c r="Y186" s="542">
        <f>IFERROR(__xludf.DUMMYFUNCTION("FILTER('GBD estimates'!$G$3:$G$1371,'GBD estimates'!$B$3:$B$1371=Y$3,'GBD estimates'!$E$3:$E$1371=""Measles"",'GBD estimates'!$D$3:$D$1371=""15-49 years"")"),9.57E-6)</f>
        <v>0.00000957</v>
      </c>
      <c r="Z186" s="542">
        <f>IFERROR(__xludf.DUMMYFUNCTION("FILTER('GBD estimates'!$G$3:$G$1371,'GBD estimates'!$B$3:$B$1371=Z$3,'GBD estimates'!$E$3:$E$1371=""Measles"",'GBD estimates'!$D$3:$D$1371=""15-49 years"")"),9.26E-6)</f>
        <v>0.00000926</v>
      </c>
      <c r="AA186" s="542">
        <f>IFERROR(__xludf.DUMMYFUNCTION("FILTER('GBD estimates'!$G$3:$G$1371,'GBD estimates'!$B$3:$B$1371=AA$3,'GBD estimates'!$E$3:$E$1371=""Measles"",'GBD estimates'!$D$3:$D$1371=""15-49 years"")"),1.17E-5)</f>
        <v>0.0000117</v>
      </c>
      <c r="AB186" s="542">
        <f>IFERROR(__xludf.DUMMYFUNCTION("FILTER('GBD estimates'!$G$3:$G$1371,'GBD estimates'!$B$3:$B$1371=AB$3,'GBD estimates'!$E$3:$E$1371=""Measles"",'GBD estimates'!$D$3:$D$1371=""15-49 years"")"),6.52E-6)</f>
        <v>0.00000652</v>
      </c>
      <c r="AC186" s="542">
        <f>IFERROR(__xludf.DUMMYFUNCTION("FILTER('GBD estimates'!$G$3:$G$1371,'GBD estimates'!$B$3:$B$1371=AC$3,'GBD estimates'!$E$3:$E$1371=""Measles"",'GBD estimates'!$D$3:$D$1371=""15-49 years"")"),6.97E-6)</f>
        <v>0.00000697</v>
      </c>
      <c r="AD186" s="542">
        <f>IFERROR(__xludf.DUMMYFUNCTION("FILTER('GBD estimates'!$G$3:$G$1371,'GBD estimates'!$B$3:$B$1371=AD$3,'GBD estimates'!$E$3:$E$1371=""Measles"",'GBD estimates'!$D$3:$D$1371=""15-49 years"")"),6.58E-6)</f>
        <v>0.00000658</v>
      </c>
      <c r="AE186" s="542">
        <f>IFERROR(__xludf.DUMMYFUNCTION("FILTER('GBD estimates'!$G$3:$G$1371,'GBD estimates'!$B$3:$B$1371=AE$3,'GBD estimates'!$E$3:$E$1371=""Measles"",'GBD estimates'!$D$3:$D$1371=""15-49 years"")"),6.57E-6)</f>
        <v>0.00000657</v>
      </c>
      <c r="AF186" s="542">
        <f>IFERROR(__xludf.DUMMYFUNCTION("FILTER('GBD estimates'!$G$3:$G$1371,'GBD estimates'!$B$3:$B$1371=AF$3,'GBD estimates'!$E$3:$E$1371=""Measles"",'GBD estimates'!$D$3:$D$1371=""15-49 years"")"),5.32E-6)</f>
        <v>0.00000532</v>
      </c>
      <c r="AG186" s="542">
        <f>IFERROR(__xludf.DUMMYFUNCTION("FILTER('GBD estimates'!$G$3:$G$1371,'GBD estimates'!$B$3:$B$1371=AG$3,'GBD estimates'!$E$3:$E$1371=""Measles"",'GBD estimates'!$D$3:$D$1371=""15-49 years"")"),2.23E-5)</f>
        <v>0.0000223</v>
      </c>
      <c r="AH186" s="542">
        <f>IFERROR(__xludf.DUMMYFUNCTION("FILTER('GBD estimates'!$G$3:$G$1371,'GBD estimates'!$B$3:$B$1371=AH$3,'GBD estimates'!$E$3:$E$1371=""Measles"",'GBD estimates'!$D$3:$D$1371=""15-49 years"")"),1.17E-5)</f>
        <v>0.0000117</v>
      </c>
      <c r="AI186" s="542">
        <f>IFERROR(__xludf.DUMMYFUNCTION("FILTER('GBD estimates'!$G$3:$G$1371,'GBD estimates'!$B$3:$B$1371=AI$3,'GBD estimates'!$E$3:$E$1371=""Measles"",'GBD estimates'!$D$3:$D$1371=""15-49 years"")"),1.24E-5)</f>
        <v>0.0000124</v>
      </c>
      <c r="AJ186" s="542">
        <f>IFERROR(__xludf.DUMMYFUNCTION("FILTER('GBD estimates'!$G$3:$G$1371,'GBD estimates'!$B$3:$B$1371=AJ$3,'GBD estimates'!$E$3:$E$1371=""Measles"",'GBD estimates'!$D$3:$D$1371=""15-49 years"")"),4.67E-6)</f>
        <v>0.00000467</v>
      </c>
      <c r="AK186" s="542">
        <f>IFERROR(__xludf.DUMMYFUNCTION("FILTER('GBD estimates'!$G$3:$G$1371,'GBD estimates'!$B$3:$B$1371=AK$3,'GBD estimates'!$E$3:$E$1371=""Measles"",'GBD estimates'!$D$3:$D$1371=""15-49 years"")"),1.51E-5)</f>
        <v>0.0000151</v>
      </c>
      <c r="AL186" s="542">
        <f>IFERROR(__xludf.DUMMYFUNCTION("FILTER('GBD estimates'!$G$3:$G$1371,'GBD estimates'!$B$3:$B$1371=AL$3,'GBD estimates'!$E$3:$E$1371=""Measles"",'GBD estimates'!$D$3:$D$1371=""15-49 years"")"),2.22E-5)</f>
        <v>0.0000222</v>
      </c>
      <c r="AM186" s="542">
        <f t="shared" ref="AM186:AN186" si="59">AL186</f>
        <v>0.0000222</v>
      </c>
      <c r="AN186" s="542">
        <f t="shared" si="59"/>
        <v>0.0000222</v>
      </c>
      <c r="AO186" s="542">
        <f>IFERROR(__xludf.DUMMYFUNCTION("FILTER('GBD estimates'!$G$3:$G$1371,'GBD estimates'!$B$3:$B$1371=AO$3,'GBD estimates'!$E$3:$E$1371=""Measles"",'GBD estimates'!$D$3:$D$1371=""15-49 years"")"),9.41E-6)</f>
        <v>0.00000941</v>
      </c>
      <c r="AP186" s="542">
        <f>IFERROR(__xludf.DUMMYFUNCTION("FILTER('GBD estimates'!$G$3:$G$1371,'GBD estimates'!$B$3:$B$1371=AP$3,'GBD estimates'!$E$3:$E$1371=""Measles"",'GBD estimates'!$D$3:$D$1371=""15-49 years"")"),8.05E-6)</f>
        <v>0.00000805</v>
      </c>
      <c r="AQ186" s="542">
        <f>IFERROR(__xludf.DUMMYFUNCTION("FILTER('GBD estimates'!$G$3:$G$1371,'GBD estimates'!$B$3:$B$1371=AQ$3,'GBD estimates'!$E$3:$E$1371=""Measles"",'GBD estimates'!$D$3:$D$1371=""15-49 years"")"),5.0E-6)</f>
        <v>0.000005</v>
      </c>
      <c r="AR186" s="542">
        <f>IFERROR(__xludf.DUMMYFUNCTION("FILTER('GBD estimates'!$G$3:$G$1371,'GBD estimates'!$B$3:$B$1371=AR$3,'GBD estimates'!$E$3:$E$1371=""Measles"",'GBD estimates'!$D$3:$D$1371=""15-49 years"")"),7.49E-6)</f>
        <v>0.00000749</v>
      </c>
      <c r="AS186" s="542">
        <f>IFERROR(__xludf.DUMMYFUNCTION("FILTER('GBD estimates'!$G$3:$G$1371,'GBD estimates'!$B$3:$B$1371=AS$3,'GBD estimates'!$E$3:$E$1371=""Measles"",'GBD estimates'!$D$3:$D$1371=""15-49 years"")"),1.34E-5)</f>
        <v>0.0000134</v>
      </c>
      <c r="AT186" s="542">
        <f>IFERROR(__xludf.DUMMYFUNCTION("FILTER('GBD estimates'!$G$3:$G$1371,'GBD estimates'!$B$3:$B$1371=AT$3,'GBD estimates'!$E$3:$E$1371=""Measles"",'GBD estimates'!$D$3:$D$1371=""15-49 years"")"),6.71E-6)</f>
        <v>0.00000671</v>
      </c>
      <c r="AU186" s="542">
        <f>IFERROR(__xludf.DUMMYFUNCTION("FILTER('GBD estimates'!$G$3:$G$1371,'GBD estimates'!$B$3:$B$1371=AU$3,'GBD estimates'!$E$3:$E$1371=""Measles"",'GBD estimates'!$D$3:$D$1371=""15-49 years"")"),2.0E-5)</f>
        <v>0.00002</v>
      </c>
      <c r="AV186" s="542">
        <f>IFERROR(__xludf.DUMMYFUNCTION("FILTER('GBD estimates'!$G$3:$G$1371,'GBD estimates'!$B$3:$B$1371=AV$3,'GBD estimates'!$E$3:$E$1371=""Measles"",'GBD estimates'!$D$3:$D$1371=""15-49 years"")"),4.79E-5)</f>
        <v>0.0000479</v>
      </c>
      <c r="AW186" s="788"/>
      <c r="AX186" s="798" t="s">
        <v>999</v>
      </c>
      <c r="AY186" s="790"/>
    </row>
    <row r="187">
      <c r="A187" s="776"/>
      <c r="B187" s="538"/>
      <c r="C187" s="538"/>
      <c r="D187" s="538"/>
      <c r="E187" s="475" t="s">
        <v>665</v>
      </c>
      <c r="F187" s="554" t="s">
        <v>72</v>
      </c>
      <c r="G187" s="555" t="s">
        <v>165</v>
      </c>
      <c r="H187" s="811" t="s">
        <v>162</v>
      </c>
      <c r="I187" s="542">
        <f>IFERROR(__xludf.DUMMYFUNCTION("FILTER('GBD estimates'!$G$3:$G$1371,'GBD estimates'!$B$3:$B$1371=I$3,'GBD estimates'!$E$3:$E$1371=""Measles"",'GBD estimates'!$D$3:$D$1371=""50 to 74 years"")"),1.3E-5)</f>
        <v>0.000013</v>
      </c>
      <c r="J187" s="542">
        <f>IFERROR(__xludf.DUMMYFUNCTION("FILTER('GBD estimates'!$G$3:$G$1371,'GBD estimates'!$B$3:$B$1371=J$3,'GBD estimates'!$E$3:$E$1371=""Measles"",'GBD estimates'!$D$3:$D$1371=""50 to 74 years"")"),6.97E-6)</f>
        <v>0.00000697</v>
      </c>
      <c r="K187" s="542">
        <f>IFERROR(__xludf.DUMMYFUNCTION("FILTER('GBD estimates'!$G$3:$G$1371,'GBD estimates'!$B$3:$B$1371=K$3,'GBD estimates'!$E$3:$E$1371=""Measles"",'GBD estimates'!$D$3:$D$1371=""50 to 74 years"")"),1.36E-5)</f>
        <v>0.0000136</v>
      </c>
      <c r="L187" s="542">
        <f t="shared" si="57"/>
        <v>0.00000524</v>
      </c>
      <c r="M187" s="542">
        <f>IFERROR(__xludf.DUMMYFUNCTION("FILTER('GBD estimates'!$G$3:$G$1371,'GBD estimates'!$B$3:$B$1371=M$3,'GBD estimates'!$E$3:$E$1371=""Measles"",'GBD estimates'!$D$3:$D$1371=""50 to 74 years"")"),5.1E-6)</f>
        <v>0.0000051</v>
      </c>
      <c r="N187" s="542">
        <f>IFERROR(__xludf.DUMMYFUNCTION("FILTER('GBD estimates'!$G$3:$G$1371,'GBD estimates'!$B$3:$B$1371=N$3,'GBD estimates'!$E$3:$E$1371=""Measles"",'GBD estimates'!$D$3:$D$1371=""50 to 74 years"")"),1.35E-5)</f>
        <v>0.0000135</v>
      </c>
      <c r="O187" s="542">
        <f>IFERROR(__xludf.DUMMYFUNCTION("FILTER('GBD estimates'!$G$3:$G$1371,'GBD estimates'!$B$3:$B$1371=O$3,'GBD estimates'!$E$3:$E$1371=""Measles"",'GBD estimates'!$D$3:$D$1371=""50 to 74 years"")"),1.28E-5)</f>
        <v>0.0000128</v>
      </c>
      <c r="P187" s="542">
        <f>IFERROR(__xludf.DUMMYFUNCTION("FILTER('GBD estimates'!$G$3:$G$1371,'GBD estimates'!$B$3:$B$1371=P$3,'GBD estimates'!$E$3:$E$1371=""Measles"",'GBD estimates'!$D$3:$D$1371=""50 to 74 years"")"),1.72E-5)</f>
        <v>0.0000172</v>
      </c>
      <c r="Q187" s="543">
        <f>IFERROR(__xludf.DUMMYFUNCTION("FILTER('GBD estimates'!$G$3:$G$1371,'GBD estimates'!$B$3:$B$1371=Q$3,'GBD estimates'!$E$3:$E$1371=""Measles"",'GBD estimates'!$D$3:$D$1371=""50 to 74 years"")"),1.78E-5)</f>
        <v>0.0000178</v>
      </c>
      <c r="R187" s="542">
        <f>IFERROR(__xludf.DUMMYFUNCTION("FILTER('GBD estimates'!$G$3:$G$1371,'GBD estimates'!$B$3:$B$1371=R$3,'GBD estimates'!$E$3:$E$1371=""Measles"",'GBD estimates'!$D$3:$D$1371=""50 to 74 years"")"),1.28E-6)</f>
        <v>0.00000128</v>
      </c>
      <c r="S187" s="542">
        <f>IFERROR(__xludf.DUMMYFUNCTION("FILTER('GBD estimates'!$G$3:$G$1371,'GBD estimates'!$B$3:$B$1371=S$3,'GBD estimates'!$E$3:$E$1371=""Measles"",'GBD estimates'!$D$3:$D$1371=""50 to 74 years"")"),3.65E-6)</f>
        <v>0.00000365</v>
      </c>
      <c r="T187" s="542">
        <f>IFERROR(__xludf.DUMMYFUNCTION("FILTER('GBD estimates'!$G$3:$G$1371,'GBD estimates'!$B$3:$B$1371=T$3,'GBD estimates'!$E$3:$E$1371=""Measles"",'GBD estimates'!$D$3:$D$1371=""50 to 74 years"")"),2.07E-6)</f>
        <v>0.00000207</v>
      </c>
      <c r="U187" s="542">
        <f>IFERROR(__xludf.DUMMYFUNCTION("FILTER('GBD estimates'!$G$3:$G$1371,'GBD estimates'!$B$3:$B$1371=U$3,'GBD estimates'!$E$3:$E$1371=""Measles"",'GBD estimates'!$D$3:$D$1371=""50 to 74 years"")"),1.49E-6)</f>
        <v>0.00000149</v>
      </c>
      <c r="V187" s="542">
        <f>IFERROR(__xludf.DUMMYFUNCTION("FILTER('GBD estimates'!$G$3:$G$1371,'GBD estimates'!$B$3:$B$1371=V$3,'GBD estimates'!$E$3:$E$1371=""Measles"",'GBD estimates'!$D$3:$D$1371=""50 to 74 years"")"),2.87E-6)</f>
        <v>0.00000287</v>
      </c>
      <c r="W187" s="542">
        <f>IFERROR(__xludf.DUMMYFUNCTION("FILTER('GBD estimates'!$G$3:$G$1371,'GBD estimates'!$B$3:$B$1371=W$3,'GBD estimates'!$E$3:$E$1371=""Measles"",'GBD estimates'!$D$3:$D$1371=""50 to 74 years"")"),2.53E-6)</f>
        <v>0.00000253</v>
      </c>
      <c r="X187" s="542">
        <f>IFERROR(__xludf.DUMMYFUNCTION("FILTER('GBD estimates'!$G$3:$G$1371,'GBD estimates'!$B$3:$B$1371=X$3,'GBD estimates'!$E$3:$E$1371=""Measles"",'GBD estimates'!$D$3:$D$1371=""50 to 74 years"")"),5.37E-6)</f>
        <v>0.00000537</v>
      </c>
      <c r="Y187" s="542">
        <f>IFERROR(__xludf.DUMMYFUNCTION("FILTER('GBD estimates'!$G$3:$G$1371,'GBD estimates'!$B$3:$B$1371=Y$3,'GBD estimates'!$E$3:$E$1371=""Measles"",'GBD estimates'!$D$3:$D$1371=""50 to 74 years"")"),2.15E-6)</f>
        <v>0.00000215</v>
      </c>
      <c r="Z187" s="542">
        <f>IFERROR(__xludf.DUMMYFUNCTION("FILTER('GBD estimates'!$G$3:$G$1371,'GBD estimates'!$B$3:$B$1371=Z$3,'GBD estimates'!$E$3:$E$1371=""Measles"",'GBD estimates'!$D$3:$D$1371=""50 to 74 years"")"),1.87E-6)</f>
        <v>0.00000187</v>
      </c>
      <c r="AA187" s="542">
        <f>IFERROR(__xludf.DUMMYFUNCTION("FILTER('GBD estimates'!$G$3:$G$1371,'GBD estimates'!$B$3:$B$1371=AA$3,'GBD estimates'!$E$3:$E$1371=""Measles"",'GBD estimates'!$D$3:$D$1371=""50 to 74 years"")"),2.4E-6)</f>
        <v>0.0000024</v>
      </c>
      <c r="AB187" s="542">
        <f>IFERROR(__xludf.DUMMYFUNCTION("FILTER('GBD estimates'!$G$3:$G$1371,'GBD estimates'!$B$3:$B$1371=AB$3,'GBD estimates'!$E$3:$E$1371=""Measles"",'GBD estimates'!$D$3:$D$1371=""50 to 74 years"")"),1.49E-6)</f>
        <v>0.00000149</v>
      </c>
      <c r="AC187" s="542">
        <f>IFERROR(__xludf.DUMMYFUNCTION("FILTER('GBD estimates'!$G$3:$G$1371,'GBD estimates'!$B$3:$B$1371=AC$3,'GBD estimates'!$E$3:$E$1371=""Measles"",'GBD estimates'!$D$3:$D$1371=""50 to 74 years"")"),1.67E-6)</f>
        <v>0.00000167</v>
      </c>
      <c r="AD187" s="542">
        <f>IFERROR(__xludf.DUMMYFUNCTION("FILTER('GBD estimates'!$G$3:$G$1371,'GBD estimates'!$B$3:$B$1371=AD$3,'GBD estimates'!$E$3:$E$1371=""Measles"",'GBD estimates'!$D$3:$D$1371=""50 to 74 years"")"),1.3E-6)</f>
        <v>0.0000013</v>
      </c>
      <c r="AE187" s="542">
        <f>IFERROR(__xludf.DUMMYFUNCTION("FILTER('GBD estimates'!$G$3:$G$1371,'GBD estimates'!$B$3:$B$1371=AE$3,'GBD estimates'!$E$3:$E$1371=""Measles"",'GBD estimates'!$D$3:$D$1371=""50 to 74 years"")"),1.37E-6)</f>
        <v>0.00000137</v>
      </c>
      <c r="AF187" s="542">
        <f>IFERROR(__xludf.DUMMYFUNCTION("FILTER('GBD estimates'!$G$3:$G$1371,'GBD estimates'!$B$3:$B$1371=AF$3,'GBD estimates'!$E$3:$E$1371=""Measles"",'GBD estimates'!$D$3:$D$1371=""50 to 74 years"")"),1.18E-6)</f>
        <v>0.00000118</v>
      </c>
      <c r="AG187" s="542">
        <f>IFERROR(__xludf.DUMMYFUNCTION("FILTER('GBD estimates'!$G$3:$G$1371,'GBD estimates'!$B$3:$B$1371=AG$3,'GBD estimates'!$E$3:$E$1371=""Measles"",'GBD estimates'!$D$3:$D$1371=""50 to 74 years"")"),5.24E-6)</f>
        <v>0.00000524</v>
      </c>
      <c r="AH187" s="542">
        <f>IFERROR(__xludf.DUMMYFUNCTION("FILTER('GBD estimates'!$G$3:$G$1371,'GBD estimates'!$B$3:$B$1371=AH$3,'GBD estimates'!$E$3:$E$1371=""Measles"",'GBD estimates'!$D$3:$D$1371=""50 to 74 years"")"),2.43E-6)</f>
        <v>0.00000243</v>
      </c>
      <c r="AI187" s="542">
        <f>IFERROR(__xludf.DUMMYFUNCTION("FILTER('GBD estimates'!$G$3:$G$1371,'GBD estimates'!$B$3:$B$1371=AI$3,'GBD estimates'!$E$3:$E$1371=""Measles"",'GBD estimates'!$D$3:$D$1371=""50 to 74 years"")"),3.1E-6)</f>
        <v>0.0000031</v>
      </c>
      <c r="AJ187" s="542">
        <f>IFERROR(__xludf.DUMMYFUNCTION("FILTER('GBD estimates'!$G$3:$G$1371,'GBD estimates'!$B$3:$B$1371=AJ$3,'GBD estimates'!$E$3:$E$1371=""Measles"",'GBD estimates'!$D$3:$D$1371=""50 to 74 years"")"),1.08E-6)</f>
        <v>0.00000108</v>
      </c>
      <c r="AK187" s="542">
        <f>IFERROR(__xludf.DUMMYFUNCTION("FILTER('GBD estimates'!$G$3:$G$1371,'GBD estimates'!$B$3:$B$1371=AK$3,'GBD estimates'!$E$3:$E$1371=""Measles"",'GBD estimates'!$D$3:$D$1371=""50 to 74 years"")"),3.03E-6)</f>
        <v>0.00000303</v>
      </c>
      <c r="AL187" s="542">
        <f>IFERROR(__xludf.DUMMYFUNCTION("FILTER('GBD estimates'!$G$3:$G$1371,'GBD estimates'!$B$3:$B$1371=AL$3,'GBD estimates'!$E$3:$E$1371=""Measles"",'GBD estimates'!$D$3:$D$1371=""50 to 74 years"")"),5.11E-6)</f>
        <v>0.00000511</v>
      </c>
      <c r="AM187" s="542">
        <f t="shared" ref="AM187:AN187" si="60">AL187</f>
        <v>0.00000511</v>
      </c>
      <c r="AN187" s="542">
        <f t="shared" si="60"/>
        <v>0.00000511</v>
      </c>
      <c r="AO187" s="542">
        <f>IFERROR(__xludf.DUMMYFUNCTION("FILTER('GBD estimates'!$G$3:$G$1371,'GBD estimates'!$B$3:$B$1371=AO$3,'GBD estimates'!$E$3:$E$1371=""Measles"",'GBD estimates'!$D$3:$D$1371=""50 to 74 years"")"),1.99E-6)</f>
        <v>0.00000199</v>
      </c>
      <c r="AP187" s="542">
        <f>IFERROR(__xludf.DUMMYFUNCTION("FILTER('GBD estimates'!$G$3:$G$1371,'GBD estimates'!$B$3:$B$1371=AP$3,'GBD estimates'!$E$3:$E$1371=""Measles"",'GBD estimates'!$D$3:$D$1371=""50 to 74 years"")"),1.67E-6)</f>
        <v>0.00000167</v>
      </c>
      <c r="AQ187" s="542">
        <f>IFERROR(__xludf.DUMMYFUNCTION("FILTER('GBD estimates'!$G$3:$G$1371,'GBD estimates'!$B$3:$B$1371=AQ$3,'GBD estimates'!$E$3:$E$1371=""Measles"",'GBD estimates'!$D$3:$D$1371=""50 to 74 years"")"),1.2E-6)</f>
        <v>0.0000012</v>
      </c>
      <c r="AR187" s="542">
        <f>IFERROR(__xludf.DUMMYFUNCTION("FILTER('GBD estimates'!$G$3:$G$1371,'GBD estimates'!$B$3:$B$1371=AR$3,'GBD estimates'!$E$3:$E$1371=""Measles"",'GBD estimates'!$D$3:$D$1371=""50 to 74 years"")"),1.74E-6)</f>
        <v>0.00000174</v>
      </c>
      <c r="AS187" s="542">
        <f>IFERROR(__xludf.DUMMYFUNCTION("FILTER('GBD estimates'!$G$3:$G$1371,'GBD estimates'!$B$3:$B$1371=AS$3,'GBD estimates'!$E$3:$E$1371=""Measles"",'GBD estimates'!$D$3:$D$1371=""50 to 74 years"")"),2.55E-6)</f>
        <v>0.00000255</v>
      </c>
      <c r="AT187" s="542">
        <f>IFERROR(__xludf.DUMMYFUNCTION("FILTER('GBD estimates'!$G$3:$G$1371,'GBD estimates'!$B$3:$B$1371=AT$3,'GBD estimates'!$E$3:$E$1371=""Measles"",'GBD estimates'!$D$3:$D$1371=""50 to 74 years"")"),1.61E-6)</f>
        <v>0.00000161</v>
      </c>
      <c r="AU187" s="542">
        <f>IFERROR(__xludf.DUMMYFUNCTION("FILTER('GBD estimates'!$G$3:$G$1371,'GBD estimates'!$B$3:$B$1371=AU$3,'GBD estimates'!$E$3:$E$1371=""Measles"",'GBD estimates'!$D$3:$D$1371=""50 to 74 years"")"),4.87E-6)</f>
        <v>0.00000487</v>
      </c>
      <c r="AV187" s="542">
        <f>IFERROR(__xludf.DUMMYFUNCTION("FILTER('GBD estimates'!$G$3:$G$1371,'GBD estimates'!$B$3:$B$1371=AV$3,'GBD estimates'!$E$3:$E$1371=""Measles"",'GBD estimates'!$D$3:$D$1371=""50 to 74 years"")"),9.88E-6)</f>
        <v>0.00000988</v>
      </c>
      <c r="AW187" s="788"/>
      <c r="AX187" s="798" t="s">
        <v>999</v>
      </c>
      <c r="AY187" s="790"/>
    </row>
    <row r="188">
      <c r="A188" s="776"/>
      <c r="B188" s="538"/>
      <c r="C188" s="538"/>
      <c r="D188" s="538"/>
      <c r="E188" s="475" t="s">
        <v>667</v>
      </c>
      <c r="F188" s="554" t="s">
        <v>62</v>
      </c>
      <c r="G188" s="555" t="s">
        <v>165</v>
      </c>
      <c r="H188" s="811" t="s">
        <v>162</v>
      </c>
      <c r="I188" s="564">
        <f>IFERROR(__xludf.DUMMYFUNCTION("FILTER('GBD estimates'!$R$3:$R$1713,'GBD estimates'!$K$3:$K$1713=I$3,'GBD estimates'!$L$3:$L$1713=""Measles"",'GBD estimates'!$N$3:$N$1713=""Under 5"")"),472.6800099)</f>
        <v>472.6800099</v>
      </c>
      <c r="J188" s="564">
        <f>IFERROR(__xludf.DUMMYFUNCTION("FILTER('GBD estimates'!$R$3:$R$1713,'GBD estimates'!$K$3:$K$1713=J$3,'GBD estimates'!$L$3:$L$1713=""Measles"",'GBD estimates'!$N$3:$N$1713=""Under 5"")"),120.4429596)</f>
        <v>120.4429596</v>
      </c>
      <c r="K188" s="564">
        <f>IFERROR(__xludf.DUMMYFUNCTION("FILTER('GBD estimates'!$R$3:$R$1713,'GBD estimates'!$K$3:$K$1713=K$3,'GBD estimates'!$L$3:$L$1713=""Measles"",'GBD estimates'!$N$3:$N$1713=""Under 5"")"),427.1372344)</f>
        <v>427.1372344</v>
      </c>
      <c r="L188" s="564">
        <f t="shared" si="57"/>
        <v>242.91073</v>
      </c>
      <c r="M188" s="564">
        <f>IFERROR(__xludf.DUMMYFUNCTION("FILTER('GBD estimates'!$R$3:$R$1713,'GBD estimates'!$K$3:$K$1713=M$3,'GBD estimates'!$L$3:$L$1713=""Measles"",'GBD estimates'!$N$3:$N$1713=""Under 5"")"),435.1934643)</f>
        <v>435.1934643</v>
      </c>
      <c r="N188" s="564">
        <f>IFERROR(__xludf.DUMMYFUNCTION("FILTER('GBD estimates'!$R$3:$R$1713,'GBD estimates'!$K$3:$K$1713=N$3,'GBD estimates'!$L$3:$L$1713=""Measles"",'GBD estimates'!$N$3:$N$1713=""Under 5"")"),707.7079348)</f>
        <v>707.7079348</v>
      </c>
      <c r="O188" s="564">
        <f>IFERROR(__xludf.DUMMYFUNCTION("FILTER('GBD estimates'!$R$3:$R$1713,'GBD estimates'!$K$3:$K$1713=O$3,'GBD estimates'!$L$3:$L$1713=""Measles"",'GBD estimates'!$N$3:$N$1713=""Under 5"")"),309.3255788)</f>
        <v>309.3255788</v>
      </c>
      <c r="P188" s="564">
        <f>IFERROR(__xludf.DUMMYFUNCTION("FILTER('GBD estimates'!$R$3:$R$1713,'GBD estimates'!$K$3:$K$1713=P$3,'GBD estimates'!$L$3:$L$1713=""Measles"",'GBD estimates'!$N$3:$N$1713=""Under 5"")"),659.3052148)</f>
        <v>659.3052148</v>
      </c>
      <c r="Q188" s="565">
        <f>IFERROR(__xludf.DUMMYFUNCTION("FILTER('GBD estimates'!$R$3:$R$1713,'GBD estimates'!$K$3:$K$1713=Q$3,'GBD estimates'!$L$3:$L$1713=""Measles"",'GBD estimates'!$N$3:$N$1713=""Under 5"")"),411.1880719)</f>
        <v>411.1880719</v>
      </c>
      <c r="R188" s="564">
        <f>IFERROR(__xludf.DUMMYFUNCTION("FILTER('GBD estimates'!$R$3:$R$1713,'GBD estimates'!$K$3:$K$1713=R$3,'GBD estimates'!$L$3:$L$1713=""Measles"",'GBD estimates'!$N$3:$N$1713=""Under 5"")"),19.64992346)</f>
        <v>19.64992346</v>
      </c>
      <c r="S188" s="564">
        <f>IFERROR(__xludf.DUMMYFUNCTION("FILTER('GBD estimates'!$R$3:$R$1713,'GBD estimates'!$K$3:$K$1713=S$3,'GBD estimates'!$L$3:$L$1713=""Measles"",'GBD estimates'!$N$3:$N$1713=""Under 5"")"),57.15170644)</f>
        <v>57.15170644</v>
      </c>
      <c r="T188" s="564">
        <f>IFERROR(__xludf.DUMMYFUNCTION("FILTER('GBD estimates'!$R$3:$R$1713,'GBD estimates'!$K$3:$K$1713=T$3,'GBD estimates'!$L$3:$L$1713=""Measles"",'GBD estimates'!$N$3:$N$1713=""Under 5"")"),11.3511831)</f>
        <v>11.3511831</v>
      </c>
      <c r="U188" s="564">
        <f>IFERROR(__xludf.DUMMYFUNCTION("FILTER('GBD estimates'!$R$3:$R$1713,'GBD estimates'!$K$3:$K$1713=U$3,'GBD estimates'!$L$3:$L$1713=""Measles"",'GBD estimates'!$N$3:$N$1713=""Under 5"")"),27.52427559)</f>
        <v>27.52427559</v>
      </c>
      <c r="V188" s="564">
        <f>IFERROR(__xludf.DUMMYFUNCTION("FILTER('GBD estimates'!$R$3:$R$1713,'GBD estimates'!$K$3:$K$1713=V$3,'GBD estimates'!$L$3:$L$1713=""Measles"",'GBD estimates'!$N$3:$N$1713=""Under 5"")"),7.726148051)</f>
        <v>7.726148051</v>
      </c>
      <c r="W188" s="564">
        <f>IFERROR(__xludf.DUMMYFUNCTION("FILTER('GBD estimates'!$R$3:$R$1713,'GBD estimates'!$K$3:$K$1713=W$3,'GBD estimates'!$L$3:$L$1713=""Measles"",'GBD estimates'!$N$3:$N$1713=""Under 5"")"),86.17436042)</f>
        <v>86.17436042</v>
      </c>
      <c r="X188" s="564">
        <f>IFERROR(__xludf.DUMMYFUNCTION("FILTER('GBD estimates'!$R$3:$R$1713,'GBD estimates'!$K$3:$K$1713=X$3,'GBD estimates'!$L$3:$L$1713=""Measles"",'GBD estimates'!$N$3:$N$1713=""Under 5"")"),97.4300913)</f>
        <v>97.4300913</v>
      </c>
      <c r="Y188" s="564">
        <f>IFERROR(__xludf.DUMMYFUNCTION("FILTER('GBD estimates'!$R$3:$R$1713,'GBD estimates'!$K$3:$K$1713=Y$3,'GBD estimates'!$L$3:$L$1713=""Measles"",'GBD estimates'!$N$3:$N$1713=""Under 5"")"),14.45558554)</f>
        <v>14.45558554</v>
      </c>
      <c r="Z188" s="564">
        <f>IFERROR(__xludf.DUMMYFUNCTION("FILTER('GBD estimates'!$R$3:$R$1713,'GBD estimates'!$K$3:$K$1713=Z$3,'GBD estimates'!$L$3:$L$1713=""Measles"",'GBD estimates'!$N$3:$N$1713=""Under 5"")"),24.5496389)</f>
        <v>24.5496389</v>
      </c>
      <c r="AA188" s="564">
        <f>IFERROR(__xludf.DUMMYFUNCTION("FILTER('GBD estimates'!$R$3:$R$1713,'GBD estimates'!$K$3:$K$1713=AA$3,'GBD estimates'!$L$3:$L$1713=""Measles"",'GBD estimates'!$N$3:$N$1713=""Under 5"")"),26.99088502)</f>
        <v>26.99088502</v>
      </c>
      <c r="AB188" s="564">
        <f>IFERROR(__xludf.DUMMYFUNCTION("FILTER('GBD estimates'!$R$3:$R$1713,'GBD estimates'!$K$3:$K$1713=AB$3,'GBD estimates'!$L$3:$L$1713=""Measles"",'GBD estimates'!$N$3:$N$1713=""Under 5"")"),18.27260394)</f>
        <v>18.27260394</v>
      </c>
      <c r="AC188" s="564">
        <f>IFERROR(__xludf.DUMMYFUNCTION("FILTER('GBD estimates'!$R$3:$R$1713,'GBD estimates'!$K$3:$K$1713=AC$3,'GBD estimates'!$L$3:$L$1713=""Measles"",'GBD estimates'!$N$3:$N$1713=""Under 5"")"),7.864191713)</f>
        <v>7.864191713</v>
      </c>
      <c r="AD188" s="564">
        <f>IFERROR(__xludf.DUMMYFUNCTION("FILTER('GBD estimates'!$R$3:$R$1713,'GBD estimates'!$K$3:$K$1713=AD$3,'GBD estimates'!$L$3:$L$1713=""Measles"",'GBD estimates'!$N$3:$N$1713=""Under 5"")"),15.43996003)</f>
        <v>15.43996003</v>
      </c>
      <c r="AE188" s="564">
        <f>IFERROR(__xludf.DUMMYFUNCTION("FILTER('GBD estimates'!$R$3:$R$1713,'GBD estimates'!$K$3:$K$1713=AE$3,'GBD estimates'!$L$3:$L$1713=""Measles"",'GBD estimates'!$N$3:$N$1713=""Under 5"")"),25.08451142)</f>
        <v>25.08451142</v>
      </c>
      <c r="AF188" s="564">
        <f>IFERROR(__xludf.DUMMYFUNCTION("FILTER('GBD estimates'!$R$3:$R$1713,'GBD estimates'!$K$3:$K$1713=AF$3,'GBD estimates'!$L$3:$L$1713=""Measles"",'GBD estimates'!$N$3:$N$1713=""Under 5"")"),31.24723193)</f>
        <v>31.24723193</v>
      </c>
      <c r="AG188" s="564">
        <f>IFERROR(__xludf.DUMMYFUNCTION("FILTER('GBD estimates'!$R$3:$R$1713,'GBD estimates'!$K$3:$K$1713=AG$3,'GBD estimates'!$L$3:$L$1713=""Measles"",'GBD estimates'!$N$3:$N$1713=""Under 5"")"),242.91073)</f>
        <v>242.91073</v>
      </c>
      <c r="AH188" s="564">
        <f>IFERROR(__xludf.DUMMYFUNCTION("FILTER('GBD estimates'!$R$3:$R$1713,'GBD estimates'!$K$3:$K$1713=AH$3,'GBD estimates'!$L$3:$L$1713=""Measles"",'GBD estimates'!$N$3:$N$1713=""Under 5"")"),20.55180154)</f>
        <v>20.55180154</v>
      </c>
      <c r="AI188" s="564">
        <f>IFERROR(__xludf.DUMMYFUNCTION("FILTER('GBD estimates'!$R$3:$R$1713,'GBD estimates'!$K$3:$K$1713=AI$3,'GBD estimates'!$L$3:$L$1713=""Measles"",'GBD estimates'!$N$3:$N$1713=""Under 5"")"),22.99981667)</f>
        <v>22.99981667</v>
      </c>
      <c r="AJ188" s="564">
        <f>IFERROR(__xludf.DUMMYFUNCTION("FILTER('GBD estimates'!$R$3:$R$1713,'GBD estimates'!$K$3:$K$1713=AJ$3,'GBD estimates'!$L$3:$L$1713=""Measles"",'GBD estimates'!$N$3:$N$1713=""Under 5"")"),11.65287169)</f>
        <v>11.65287169</v>
      </c>
      <c r="AK188" s="564">
        <f>IFERROR(__xludf.DUMMYFUNCTION("FILTER('GBD estimates'!$R$3:$R$1713,'GBD estimates'!$K$3:$K$1713=AK$3,'GBD estimates'!$L$3:$L$1713=""Measles"",'GBD estimates'!$N$3:$N$1713=""Under 5"")"),67.56362384)</f>
        <v>67.56362384</v>
      </c>
      <c r="AL188" s="564">
        <f>IFERROR(__xludf.DUMMYFUNCTION("FILTER('GBD estimates'!$R$3:$R$1713,'GBD estimates'!$K$3:$K$1713=AL$3,'GBD estimates'!$L$3:$L$1713=""Measles"",'GBD estimates'!$N$3:$N$1713=""Under 5"")"),230.7773845)</f>
        <v>230.7773845</v>
      </c>
      <c r="AM188" s="564">
        <f t="shared" ref="AM188:AN188" si="61">AL188</f>
        <v>230.7773845</v>
      </c>
      <c r="AN188" s="564">
        <f t="shared" si="61"/>
        <v>230.7773845</v>
      </c>
      <c r="AO188" s="564">
        <f>IFERROR(__xludf.DUMMYFUNCTION("FILTER('GBD estimates'!$R$3:$R$1713,'GBD estimates'!$K$3:$K$1713=AO$3,'GBD estimates'!$L$3:$L$1713=""Measles"",'GBD estimates'!$N$3:$N$1713=""Under 5"")"),63.24989724)</f>
        <v>63.24989724</v>
      </c>
      <c r="AP188" s="564">
        <f>IFERROR(__xludf.DUMMYFUNCTION("FILTER('GBD estimates'!$R$3:$R$1713,'GBD estimates'!$K$3:$K$1713=AP$3,'GBD estimates'!$L$3:$L$1713=""Measles"",'GBD estimates'!$N$3:$N$1713=""Under 5"")"),17.2829085)</f>
        <v>17.2829085</v>
      </c>
      <c r="AQ188" s="564">
        <f>IFERROR(__xludf.DUMMYFUNCTION("FILTER('GBD estimates'!$R$3:$R$1713,'GBD estimates'!$K$3:$K$1713=AQ$3,'GBD estimates'!$L$3:$L$1713=""Measles"",'GBD estimates'!$N$3:$N$1713=""Under 5"")"),11.62308299)</f>
        <v>11.62308299</v>
      </c>
      <c r="AR188" s="564">
        <f>IFERROR(__xludf.DUMMYFUNCTION("FILTER('GBD estimates'!$R$3:$R$1713,'GBD estimates'!$K$3:$K$1713=AR$3,'GBD estimates'!$L$3:$L$1713=""Measles"",'GBD estimates'!$N$3:$N$1713=""Under 5"")"),27.09449686)</f>
        <v>27.09449686</v>
      </c>
      <c r="AS188" s="564">
        <f>IFERROR(__xludf.DUMMYFUNCTION("FILTER('GBD estimates'!$R$3:$R$1713,'GBD estimates'!$K$3:$K$1713=AS$3,'GBD estimates'!$L$3:$L$1713=""Measles"",'GBD estimates'!$N$3:$N$1713=""Under 5"")"),89.78641677)</f>
        <v>89.78641677</v>
      </c>
      <c r="AT188" s="564">
        <f>IFERROR(__xludf.DUMMYFUNCTION("FILTER('GBD estimates'!$R$3:$R$1713,'GBD estimates'!$K$3:$K$1713=AT$3,'GBD estimates'!$L$3:$L$1713=""Measles"",'GBD estimates'!$N$3:$N$1713=""Under 5"")"),16.82160947)</f>
        <v>16.82160947</v>
      </c>
      <c r="AU188" s="564">
        <f>IFERROR(__xludf.DUMMYFUNCTION("FILTER('GBD estimates'!$R$3:$R$1713,'GBD estimates'!$K$3:$K$1713=AU$3,'GBD estimates'!$L$3:$L$1713=""Measles"",'GBD estimates'!$N$3:$N$1713=""Under 5"")"),166.8788999)</f>
        <v>166.8788999</v>
      </c>
      <c r="AV188" s="564">
        <f>IFERROR(__xludf.DUMMYFUNCTION("FILTER('GBD estimates'!$R$3:$R$1713,'GBD estimates'!$K$3:$K$1713=AV$3,'GBD estimates'!$L$3:$L$1713=""Measles"",'GBD estimates'!$N$3:$N$1713=""Under 5"")"),191.2894986)</f>
        <v>191.2894986</v>
      </c>
      <c r="AW188" s="788"/>
      <c r="AX188" s="798" t="s">
        <v>999</v>
      </c>
      <c r="AY188" s="790"/>
    </row>
    <row r="189">
      <c r="A189" s="776"/>
      <c r="B189" s="538"/>
      <c r="C189" s="538"/>
      <c r="D189" s="538"/>
      <c r="E189" s="475" t="s">
        <v>668</v>
      </c>
      <c r="F189" s="554" t="s">
        <v>62</v>
      </c>
      <c r="G189" s="555" t="s">
        <v>165</v>
      </c>
      <c r="H189" s="811" t="s">
        <v>162</v>
      </c>
      <c r="I189" s="564">
        <f>IFERROR(__xludf.DUMMYFUNCTION("SUM(FILTER('GBD estimates'!$R$3:$R$1713,'GBD estimates'!$K$3:$K$1713=I$3,'GBD estimates'!$L$3:$L$1713=""Measles"",'GBD estimates'!$N$3:$N$1713=""Early Neonatal""),FILTER('GBD estimates'!$R$3:$R$1713,'GBD estimates'!$K$3:$K$1713=I$3,'GBD estimates'!$L$3:$L"&amp;"$1713=""Measles"",'GBD estimates'!$N$3:$N$1713=""Late Neonatal""),FILTER('GBD estimates'!$R$3:$R$1713,'GBD estimates'!$K$3:$K$1713=I$3,'GBD estimates'!$L$3:$L$1713=""Measles"",'GBD estimates'!$N$3:$N$1713=""Post Neonatal""))"),123.6158501)</f>
        <v>123.6158501</v>
      </c>
      <c r="J189" s="564">
        <f>IFERROR(__xludf.DUMMYFUNCTION("SUM(FILTER('GBD estimates'!$R$3:$R$1713,'GBD estimates'!$K$3:$K$1713=J$3,'GBD estimates'!$L$3:$L$1713=""Measles"",'GBD estimates'!$N$3:$N$1713=""Early Neonatal""),FILTER('GBD estimates'!$R$3:$R$1713,'GBD estimates'!$K$3:$K$1713=J$3,'GBD estimates'!$L$3:$L"&amp;"$1713=""Measles"",'GBD estimates'!$N$3:$N$1713=""Late Neonatal""),FILTER('GBD estimates'!$R$3:$R$1713,'GBD estimates'!$K$3:$K$1713=J$3,'GBD estimates'!$L$3:$L$1713=""Measles"",'GBD estimates'!$N$3:$N$1713=""Post Neonatal""))"),32.77345624)</f>
        <v>32.77345624</v>
      </c>
      <c r="K189" s="564">
        <f>IFERROR(__xludf.DUMMYFUNCTION("SUM(FILTER('GBD estimates'!$R$3:$R$1713,'GBD estimates'!$K$3:$K$1713=K$3,'GBD estimates'!$L$3:$L$1713=""Measles"",'GBD estimates'!$N$3:$N$1713=""Early Neonatal""),FILTER('GBD estimates'!$R$3:$R$1713,'GBD estimates'!$K$3:$K$1713=K$3,'GBD estimates'!$L$3:$L"&amp;"$1713=""Measles"",'GBD estimates'!$N$3:$N$1713=""Late Neonatal""),FILTER('GBD estimates'!$R$3:$R$1713,'GBD estimates'!$K$3:$K$1713=K$3,'GBD estimates'!$L$3:$L$1713=""Measles"",'GBD estimates'!$N$3:$N$1713=""Post Neonatal""))"),116.0566233)</f>
        <v>116.0566233</v>
      </c>
      <c r="L189" s="564">
        <f t="shared" si="57"/>
        <v>74.96143679</v>
      </c>
      <c r="M189" s="564">
        <f>IFERROR(__xludf.DUMMYFUNCTION("SUM(FILTER('GBD estimates'!$R$3:$R$1713,'GBD estimates'!$K$3:$K$1713=M$3,'GBD estimates'!$L$3:$L$1713=""Measles"",'GBD estimates'!$N$3:$N$1713=""Early Neonatal""),FILTER('GBD estimates'!$R$3:$R$1713,'GBD estimates'!$K$3:$K$1713=M$3,'GBD estimates'!$L$3:$L"&amp;"$1713=""Measles"",'GBD estimates'!$N$3:$N$1713=""Late Neonatal""),FILTER('GBD estimates'!$R$3:$R$1713,'GBD estimates'!$K$3:$K$1713=M$3,'GBD estimates'!$L$3:$L$1713=""Measles"",'GBD estimates'!$N$3:$N$1713=""Post Neonatal""))"),116.1328452)</f>
        <v>116.1328452</v>
      </c>
      <c r="N189" s="564">
        <f>IFERROR(__xludf.DUMMYFUNCTION("SUM(FILTER('GBD estimates'!$R$3:$R$1713,'GBD estimates'!$K$3:$K$1713=N$3,'GBD estimates'!$L$3:$L$1713=""Measles"",'GBD estimates'!$N$3:$N$1713=""Early Neonatal""),FILTER('GBD estimates'!$R$3:$R$1713,'GBD estimates'!$K$3:$K$1713=N$3,'GBD estimates'!$L$3:$L"&amp;"$1713=""Measles"",'GBD estimates'!$N$3:$N$1713=""Late Neonatal""),FILTER('GBD estimates'!$R$3:$R$1713,'GBD estimates'!$K$3:$K$1713=N$3,'GBD estimates'!$L$3:$L$1713=""Measles"",'GBD estimates'!$N$3:$N$1713=""Post Neonatal""))"),209.1222026)</f>
        <v>209.1222026</v>
      </c>
      <c r="O189" s="564">
        <f>IFERROR(__xludf.DUMMYFUNCTION("SUM(FILTER('GBD estimates'!$R$3:$R$1713,'GBD estimates'!$K$3:$K$1713=O$3,'GBD estimates'!$L$3:$L$1713=""Measles"",'GBD estimates'!$N$3:$N$1713=""Early Neonatal""),FILTER('GBD estimates'!$R$3:$R$1713,'GBD estimates'!$K$3:$K$1713=O$3,'GBD estimates'!$L$3:$L"&amp;"$1713=""Measles"",'GBD estimates'!$N$3:$N$1713=""Late Neonatal""),FILTER('GBD estimates'!$R$3:$R$1713,'GBD estimates'!$K$3:$K$1713=O$3,'GBD estimates'!$L$3:$L$1713=""Measles"",'GBD estimates'!$N$3:$N$1713=""Post Neonatal""))"),86.07944075)</f>
        <v>86.07944075</v>
      </c>
      <c r="P189" s="564">
        <f>IFERROR(__xludf.DUMMYFUNCTION("SUM(FILTER('GBD estimates'!$R$3:$R$1713,'GBD estimates'!$K$3:$K$1713=P$3,'GBD estimates'!$L$3:$L$1713=""Measles"",'GBD estimates'!$N$3:$N$1713=""Early Neonatal""),FILTER('GBD estimates'!$R$3:$R$1713,'GBD estimates'!$K$3:$K$1713=P$3,'GBD estimates'!$L$3:$L"&amp;"$1713=""Measles"",'GBD estimates'!$N$3:$N$1713=""Late Neonatal""),FILTER('GBD estimates'!$R$3:$R$1713,'GBD estimates'!$K$3:$K$1713=P$3,'GBD estimates'!$L$3:$L$1713=""Measles"",'GBD estimates'!$N$3:$N$1713=""Post Neonatal""))"),175.7971347)</f>
        <v>175.7971347</v>
      </c>
      <c r="Q189" s="565">
        <f>IFERROR(__xludf.DUMMYFUNCTION("SUM(FILTER('GBD estimates'!$R$3:$R$1713,'GBD estimates'!$K$3:$K$1713=Q$3,'GBD estimates'!$L$3:$L$1713=""Measles"",'GBD estimates'!$N$3:$N$1713=""Early Neonatal""),FILTER('GBD estimates'!$R$3:$R$1713,'GBD estimates'!$K$3:$K$1713=Q$3,'GBD estimates'!$L$3:$L"&amp;"$1713=""Measles"",'GBD estimates'!$N$3:$N$1713=""Late Neonatal""),FILTER('GBD estimates'!$R$3:$R$1713,'GBD estimates'!$K$3:$K$1713=Q$3,'GBD estimates'!$L$3:$L$1713=""Measles"",'GBD estimates'!$N$3:$N$1713=""Post Neonatal""))"),110.6578518)</f>
        <v>110.6578518</v>
      </c>
      <c r="R189" s="564">
        <f>IFERROR(__xludf.DUMMYFUNCTION("SUM(FILTER('GBD estimates'!$R$3:$R$1713,'GBD estimates'!$K$3:$K$1713=R$3,'GBD estimates'!$L$3:$L$1713=""Measles"",'GBD estimates'!$N$3:$N$1713=""Early Neonatal""),FILTER('GBD estimates'!$R$3:$R$1713,'GBD estimates'!$K$3:$K$1713=R$3,'GBD estimates'!$L$3:$L"&amp;"$1713=""Measles"",'GBD estimates'!$N$3:$N$1713=""Late Neonatal""),FILTER('GBD estimates'!$R$3:$R$1713,'GBD estimates'!$K$3:$K$1713=R$3,'GBD estimates'!$L$3:$L$1713=""Measles"",'GBD estimates'!$N$3:$N$1713=""Post Neonatal""))"),6.245814071)</f>
        <v>6.245814071</v>
      </c>
      <c r="S189" s="564">
        <f>IFERROR(__xludf.DUMMYFUNCTION("SUM(FILTER('GBD estimates'!$R$3:$R$1713,'GBD estimates'!$K$3:$K$1713=S$3,'GBD estimates'!$L$3:$L$1713=""Measles"",'GBD estimates'!$N$3:$N$1713=""Early Neonatal""),FILTER('GBD estimates'!$R$3:$R$1713,'GBD estimates'!$K$3:$K$1713=S$3,'GBD estimates'!$L$3:$L"&amp;"$1713=""Measles"",'GBD estimates'!$N$3:$N$1713=""Late Neonatal""),FILTER('GBD estimates'!$R$3:$R$1713,'GBD estimates'!$K$3:$K$1713=S$3,'GBD estimates'!$L$3:$L$1713=""Measles"",'GBD estimates'!$N$3:$N$1713=""Post Neonatal""))"),16.75551183)</f>
        <v>16.75551183</v>
      </c>
      <c r="T189" s="564">
        <f>IFERROR(__xludf.DUMMYFUNCTION("SUM(FILTER('GBD estimates'!$R$3:$R$1713,'GBD estimates'!$K$3:$K$1713=T$3,'GBD estimates'!$L$3:$L$1713=""Measles"",'GBD estimates'!$N$3:$N$1713=""Early Neonatal""),FILTER('GBD estimates'!$R$3:$R$1713,'GBD estimates'!$K$3:$K$1713=T$3,'GBD estimates'!$L$3:$L"&amp;"$1713=""Measles"",'GBD estimates'!$N$3:$N$1713=""Late Neonatal""),FILTER('GBD estimates'!$R$3:$R$1713,'GBD estimates'!$K$3:$K$1713=T$3,'GBD estimates'!$L$3:$L$1713=""Measles"",'GBD estimates'!$N$3:$N$1713=""Post Neonatal""))"),3.128830425)</f>
        <v>3.128830425</v>
      </c>
      <c r="U189" s="564">
        <f>IFERROR(__xludf.DUMMYFUNCTION("SUM(FILTER('GBD estimates'!$R$3:$R$1713,'GBD estimates'!$K$3:$K$1713=U$3,'GBD estimates'!$L$3:$L$1713=""Measles"",'GBD estimates'!$N$3:$N$1713=""Early Neonatal""),FILTER('GBD estimates'!$R$3:$R$1713,'GBD estimates'!$K$3:$K$1713=U$3,'GBD estimates'!$L$3:$L"&amp;"$1713=""Measles"",'GBD estimates'!$N$3:$N$1713=""Late Neonatal""),FILTER('GBD estimates'!$R$3:$R$1713,'GBD estimates'!$K$3:$K$1713=U$3,'GBD estimates'!$L$3:$L$1713=""Measles"",'GBD estimates'!$N$3:$N$1713=""Post Neonatal""))"),8.324464269)</f>
        <v>8.324464269</v>
      </c>
      <c r="V189" s="564">
        <f>IFERROR(__xludf.DUMMYFUNCTION("SUM(FILTER('GBD estimates'!$R$3:$R$1713,'GBD estimates'!$K$3:$K$1713=V$3,'GBD estimates'!$L$3:$L$1713=""Measles"",'GBD estimates'!$N$3:$N$1713=""Early Neonatal""),FILTER('GBD estimates'!$R$3:$R$1713,'GBD estimates'!$K$3:$K$1713=V$3,'GBD estimates'!$L$3:$L"&amp;"$1713=""Measles"",'GBD estimates'!$N$3:$N$1713=""Late Neonatal""),FILTER('GBD estimates'!$R$3:$R$1713,'GBD estimates'!$K$3:$K$1713=V$3,'GBD estimates'!$L$3:$L$1713=""Measles"",'GBD estimates'!$N$3:$N$1713=""Post Neonatal""))"),2.099747283)</f>
        <v>2.099747283</v>
      </c>
      <c r="W189" s="564">
        <f>IFERROR(__xludf.DUMMYFUNCTION("SUM(FILTER('GBD estimates'!$R$3:$R$1713,'GBD estimates'!$K$3:$K$1713=W$3,'GBD estimates'!$L$3:$L$1713=""Measles"",'GBD estimates'!$N$3:$N$1713=""Early Neonatal""),FILTER('GBD estimates'!$R$3:$R$1713,'GBD estimates'!$K$3:$K$1713=W$3,'GBD estimates'!$L$3:$L"&amp;"$1713=""Measles"",'GBD estimates'!$N$3:$N$1713=""Late Neonatal""),FILTER('GBD estimates'!$R$3:$R$1713,'GBD estimates'!$K$3:$K$1713=W$3,'GBD estimates'!$L$3:$L$1713=""Measles"",'GBD estimates'!$N$3:$N$1713=""Post Neonatal""))"),28.50790177)</f>
        <v>28.50790177</v>
      </c>
      <c r="X189" s="564">
        <f>IFERROR(__xludf.DUMMYFUNCTION("SUM(FILTER('GBD estimates'!$R$3:$R$1713,'GBD estimates'!$K$3:$K$1713=X$3,'GBD estimates'!$L$3:$L$1713=""Measles"",'GBD estimates'!$N$3:$N$1713=""Early Neonatal""),FILTER('GBD estimates'!$R$3:$R$1713,'GBD estimates'!$K$3:$K$1713=X$3,'GBD estimates'!$L$3:$L"&amp;"$1713=""Measles"",'GBD estimates'!$N$3:$N$1713=""Late Neonatal""),FILTER('GBD estimates'!$R$3:$R$1713,'GBD estimates'!$K$3:$K$1713=X$3,'GBD estimates'!$L$3:$L$1713=""Measles"",'GBD estimates'!$N$3:$N$1713=""Post Neonatal""))"),29.56511455)</f>
        <v>29.56511455</v>
      </c>
      <c r="Y189" s="564">
        <f>IFERROR(__xludf.DUMMYFUNCTION("SUM(FILTER('GBD estimates'!$R$3:$R$1713,'GBD estimates'!$K$3:$K$1713=Y$3,'GBD estimates'!$L$3:$L$1713=""Measles"",'GBD estimates'!$N$3:$N$1713=""Early Neonatal""),FILTER('GBD estimates'!$R$3:$R$1713,'GBD estimates'!$K$3:$K$1713=Y$3,'GBD estimates'!$L$3:$L"&amp;"$1713=""Measles"",'GBD estimates'!$N$3:$N$1713=""Late Neonatal""),FILTER('GBD estimates'!$R$3:$R$1713,'GBD estimates'!$K$3:$K$1713=Y$3,'GBD estimates'!$L$3:$L$1713=""Measles"",'GBD estimates'!$N$3:$N$1713=""Post Neonatal""))"),3.708497067)</f>
        <v>3.708497067</v>
      </c>
      <c r="Z189" s="564">
        <f>IFERROR(__xludf.DUMMYFUNCTION("SUM(FILTER('GBD estimates'!$R$3:$R$1713,'GBD estimates'!$K$3:$K$1713=Z$3,'GBD estimates'!$L$3:$L$1713=""Measles"",'GBD estimates'!$N$3:$N$1713=""Early Neonatal""),FILTER('GBD estimates'!$R$3:$R$1713,'GBD estimates'!$K$3:$K$1713=Z$3,'GBD estimates'!$L$3:$L"&amp;"$1713=""Measles"",'GBD estimates'!$N$3:$N$1713=""Late Neonatal""),FILTER('GBD estimates'!$R$3:$R$1713,'GBD estimates'!$K$3:$K$1713=Z$3,'GBD estimates'!$L$3:$L$1713=""Measles"",'GBD estimates'!$N$3:$N$1713=""Post Neonatal""))"),7.372635941)</f>
        <v>7.372635941</v>
      </c>
      <c r="AA189" s="564">
        <f>IFERROR(__xludf.DUMMYFUNCTION("SUM(FILTER('GBD estimates'!$R$3:$R$1713,'GBD estimates'!$K$3:$K$1713=AA$3,'GBD estimates'!$L$3:$L$1713=""Measles"",'GBD estimates'!$N$3:$N$1713=""Early Neonatal""),FILTER('GBD estimates'!$R$3:$R$1713,'GBD estimates'!$K$3:$K$1713=AA$3,'GBD estimates'!$L$3:"&amp;"$L$1713=""Measles"",'GBD estimates'!$N$3:$N$1713=""Late Neonatal""),FILTER('GBD estimates'!$R$3:$R$1713,'GBD estimates'!$K$3:$K$1713=AA$3,'GBD estimates'!$L$3:$L$1713=""Measles"",'GBD estimates'!$N$3:$N$1713=""Post Neonatal""))"),9.30597901)</f>
        <v>9.30597901</v>
      </c>
      <c r="AB189" s="564">
        <f>IFERROR(__xludf.DUMMYFUNCTION("SUM(FILTER('GBD estimates'!$R$3:$R$1713,'GBD estimates'!$K$3:$K$1713=AB$3,'GBD estimates'!$L$3:$L$1713=""Measles"",'GBD estimates'!$N$3:$N$1713=""Early Neonatal""),FILTER('GBD estimates'!$R$3:$R$1713,'GBD estimates'!$K$3:$K$1713=AB$3,'GBD estimates'!$L$3:"&amp;"$L$1713=""Measles"",'GBD estimates'!$N$3:$N$1713=""Late Neonatal""),FILTER('GBD estimates'!$R$3:$R$1713,'GBD estimates'!$K$3:$K$1713=AB$3,'GBD estimates'!$L$3:$L$1713=""Measles"",'GBD estimates'!$N$3:$N$1713=""Post Neonatal""))"),4.691736835)</f>
        <v>4.691736835</v>
      </c>
      <c r="AC189" s="564">
        <f>IFERROR(__xludf.DUMMYFUNCTION("SUM(FILTER('GBD estimates'!$R$3:$R$1713,'GBD estimates'!$K$3:$K$1713=AC$3,'GBD estimates'!$L$3:$L$1713=""Measles"",'GBD estimates'!$N$3:$N$1713=""Early Neonatal""),FILTER('GBD estimates'!$R$3:$R$1713,'GBD estimates'!$K$3:$K$1713=AC$3,'GBD estimates'!$L$3:"&amp;"$L$1713=""Measles"",'GBD estimates'!$N$3:$N$1713=""Late Neonatal""),FILTER('GBD estimates'!$R$3:$R$1713,'GBD estimates'!$K$3:$K$1713=AC$3,'GBD estimates'!$L$3:$L$1713=""Measles"",'GBD estimates'!$N$3:$N$1713=""Post Neonatal""))"),2.190584213)</f>
        <v>2.190584213</v>
      </c>
      <c r="AD189" s="564">
        <f>IFERROR(__xludf.DUMMYFUNCTION("SUM(FILTER('GBD estimates'!$R$3:$R$1713,'GBD estimates'!$K$3:$K$1713=AD$3,'GBD estimates'!$L$3:$L$1713=""Measles"",'GBD estimates'!$N$3:$N$1713=""Early Neonatal""),FILTER('GBD estimates'!$R$3:$R$1713,'GBD estimates'!$K$3:$K$1713=AD$3,'GBD estimates'!$L$3:"&amp;"$L$1713=""Measles"",'GBD estimates'!$N$3:$N$1713=""Late Neonatal""),FILTER('GBD estimates'!$R$3:$R$1713,'GBD estimates'!$K$3:$K$1713=AD$3,'GBD estimates'!$L$3:$L$1713=""Measles"",'GBD estimates'!$N$3:$N$1713=""Post Neonatal""))"),4.65032017)</f>
        <v>4.65032017</v>
      </c>
      <c r="AE189" s="564">
        <f>IFERROR(__xludf.DUMMYFUNCTION("SUM(FILTER('GBD estimates'!$R$3:$R$1713,'GBD estimates'!$K$3:$K$1713=AE$3,'GBD estimates'!$L$3:$L$1713=""Measles"",'GBD estimates'!$N$3:$N$1713=""Early Neonatal""),FILTER('GBD estimates'!$R$3:$R$1713,'GBD estimates'!$K$3:$K$1713=AE$3,'GBD estimates'!$L$3:"&amp;"$L$1713=""Measles"",'GBD estimates'!$N$3:$N$1713=""Late Neonatal""),FILTER('GBD estimates'!$R$3:$R$1713,'GBD estimates'!$K$3:$K$1713=AE$3,'GBD estimates'!$L$3:$L$1713=""Measles"",'GBD estimates'!$N$3:$N$1713=""Post Neonatal""))"),8.222003395)</f>
        <v>8.222003395</v>
      </c>
      <c r="AF189" s="564">
        <f>IFERROR(__xludf.DUMMYFUNCTION("SUM(FILTER('GBD estimates'!$R$3:$R$1713,'GBD estimates'!$K$3:$K$1713=AF$3,'GBD estimates'!$L$3:$L$1713=""Measles"",'GBD estimates'!$N$3:$N$1713=""Early Neonatal""),FILTER('GBD estimates'!$R$3:$R$1713,'GBD estimates'!$K$3:$K$1713=AF$3,'GBD estimates'!$L$3:"&amp;"$L$1713=""Measles"",'GBD estimates'!$N$3:$N$1713=""Late Neonatal""),FILTER('GBD estimates'!$R$3:$R$1713,'GBD estimates'!$K$3:$K$1713=AF$3,'GBD estimates'!$L$3:$L$1713=""Measles"",'GBD estimates'!$N$3:$N$1713=""Post Neonatal""))"),9.336035784)</f>
        <v>9.336035784</v>
      </c>
      <c r="AG189" s="564">
        <f>IFERROR(__xludf.DUMMYFUNCTION("SUM(FILTER('GBD estimates'!$R$3:$R$1713,'GBD estimates'!$K$3:$K$1713=AG$3,'GBD estimates'!$L$3:$L$1713=""Measles"",'GBD estimates'!$N$3:$N$1713=""Early Neonatal""),FILTER('GBD estimates'!$R$3:$R$1713,'GBD estimates'!$K$3:$K$1713=AG$3,'GBD estimates'!$L$3:"&amp;"$L$1713=""Measles"",'GBD estimates'!$N$3:$N$1713=""Late Neonatal""),FILTER('GBD estimates'!$R$3:$R$1713,'GBD estimates'!$K$3:$K$1713=AG$3,'GBD estimates'!$L$3:$L$1713=""Measles"",'GBD estimates'!$N$3:$N$1713=""Post Neonatal""))"),74.96143679)</f>
        <v>74.96143679</v>
      </c>
      <c r="AH189" s="564">
        <f>IFERROR(__xludf.DUMMYFUNCTION("SUM(FILTER('GBD estimates'!$R$3:$R$1713,'GBD estimates'!$K$3:$K$1713=AH$3,'GBD estimates'!$L$3:$L$1713=""Measles"",'GBD estimates'!$N$3:$N$1713=""Early Neonatal""),FILTER('GBD estimates'!$R$3:$R$1713,'GBD estimates'!$K$3:$K$1713=AH$3,'GBD estimates'!$L$3:"&amp;"$L$1713=""Measles"",'GBD estimates'!$N$3:$N$1713=""Late Neonatal""),FILTER('GBD estimates'!$R$3:$R$1713,'GBD estimates'!$K$3:$K$1713=AH$3,'GBD estimates'!$L$3:$L$1713=""Measles"",'GBD estimates'!$N$3:$N$1713=""Post Neonatal""))"),5.181093854)</f>
        <v>5.181093854</v>
      </c>
      <c r="AI189" s="564">
        <f>IFERROR(__xludf.DUMMYFUNCTION("SUM(FILTER('GBD estimates'!$R$3:$R$1713,'GBD estimates'!$K$3:$K$1713=AI$3,'GBD estimates'!$L$3:$L$1713=""Measles"",'GBD estimates'!$N$3:$N$1713=""Early Neonatal""),FILTER('GBD estimates'!$R$3:$R$1713,'GBD estimates'!$K$3:$K$1713=AI$3,'GBD estimates'!$L$3:"&amp;"$L$1713=""Measles"",'GBD estimates'!$N$3:$N$1713=""Late Neonatal""),FILTER('GBD estimates'!$R$3:$R$1713,'GBD estimates'!$K$3:$K$1713=AI$3,'GBD estimates'!$L$3:$L$1713=""Measles"",'GBD estimates'!$N$3:$N$1713=""Post Neonatal""))"),6.943144129)</f>
        <v>6.943144129</v>
      </c>
      <c r="AJ189" s="564">
        <f>IFERROR(__xludf.DUMMYFUNCTION("SUM(FILTER('GBD estimates'!$R$3:$R$1713,'GBD estimates'!$K$3:$K$1713=AJ$3,'GBD estimates'!$L$3:$L$1713=""Measles"",'GBD estimates'!$N$3:$N$1713=""Early Neonatal""),FILTER('GBD estimates'!$R$3:$R$1713,'GBD estimates'!$K$3:$K$1713=AJ$3,'GBD estimates'!$L$3:"&amp;"$L$1713=""Measles"",'GBD estimates'!$N$3:$N$1713=""Late Neonatal""),FILTER('GBD estimates'!$R$3:$R$1713,'GBD estimates'!$K$3:$K$1713=AJ$3,'GBD estimates'!$L$3:$L$1713=""Measles"",'GBD estimates'!$N$3:$N$1713=""Post Neonatal""))"),3.804454448)</f>
        <v>3.804454448</v>
      </c>
      <c r="AK189" s="564">
        <f>IFERROR(__xludf.DUMMYFUNCTION("SUM(FILTER('GBD estimates'!$R$3:$R$1713,'GBD estimates'!$K$3:$K$1713=AK$3,'GBD estimates'!$L$3:$L$1713=""Measles"",'GBD estimates'!$N$3:$N$1713=""Early Neonatal""),FILTER('GBD estimates'!$R$3:$R$1713,'GBD estimates'!$K$3:$K$1713=AK$3,'GBD estimates'!$L$3:"&amp;"$L$1713=""Measles"",'GBD estimates'!$N$3:$N$1713=""Late Neonatal""),FILTER('GBD estimates'!$R$3:$R$1713,'GBD estimates'!$K$3:$K$1713=AK$3,'GBD estimates'!$L$3:$L$1713=""Measles"",'GBD estimates'!$N$3:$N$1713=""Post Neonatal""))"),21.01233846)</f>
        <v>21.01233846</v>
      </c>
      <c r="AL189" s="564">
        <f>IFERROR(__xludf.DUMMYFUNCTION("SUM(FILTER('GBD estimates'!$R$3:$R$1713,'GBD estimates'!$K$3:$K$1713=AL$3,'GBD estimates'!$L$3:$L$1713=""Measles"",'GBD estimates'!$N$3:$N$1713=""Early Neonatal""),FILTER('GBD estimates'!$R$3:$R$1713,'GBD estimates'!$K$3:$K$1713=AL$3,'GBD estimates'!$L$3:"&amp;"$L$1713=""Measles"",'GBD estimates'!$N$3:$N$1713=""Late Neonatal""),FILTER('GBD estimates'!$R$3:$R$1713,'GBD estimates'!$K$3:$K$1713=AL$3,'GBD estimates'!$L$3:$L$1713=""Measles"",'GBD estimates'!$N$3:$N$1713=""Post Neonatal""))"),69.09166579)</f>
        <v>69.09166579</v>
      </c>
      <c r="AM189" s="564">
        <f t="shared" ref="AM189:AN189" si="62">AL189</f>
        <v>69.09166579</v>
      </c>
      <c r="AN189" s="564">
        <f t="shared" si="62"/>
        <v>69.09166579</v>
      </c>
      <c r="AO189" s="564">
        <f>IFERROR(__xludf.DUMMYFUNCTION("SUM(FILTER('GBD estimates'!$R$3:$R$1713,'GBD estimates'!$K$3:$K$1713=AO$3,'GBD estimates'!$L$3:$L$1713=""Measles"",'GBD estimates'!$N$3:$N$1713=""Early Neonatal""),FILTER('GBD estimates'!$R$3:$R$1713,'GBD estimates'!$K$3:$K$1713=AO$3,'GBD estimates'!$L$3:"&amp;"$L$1713=""Measles"",'GBD estimates'!$N$3:$N$1713=""Late Neonatal""),FILTER('GBD estimates'!$R$3:$R$1713,'GBD estimates'!$K$3:$K$1713=AO$3,'GBD estimates'!$L$3:$L$1713=""Measles"",'GBD estimates'!$N$3:$N$1713=""Post Neonatal""))"),18.58617067)</f>
        <v>18.58617067</v>
      </c>
      <c r="AP189" s="564">
        <f>IFERROR(__xludf.DUMMYFUNCTION("SUM(FILTER('GBD estimates'!$R$3:$R$1713,'GBD estimates'!$K$3:$K$1713=AP$3,'GBD estimates'!$L$3:$L$1713=""Measles"",'GBD estimates'!$N$3:$N$1713=""Early Neonatal""),FILTER('GBD estimates'!$R$3:$R$1713,'GBD estimates'!$K$3:$K$1713=AP$3,'GBD estimates'!$L$3:"&amp;"$L$1713=""Measles"",'GBD estimates'!$N$3:$N$1713=""Late Neonatal""),FILTER('GBD estimates'!$R$3:$R$1713,'GBD estimates'!$K$3:$K$1713=AP$3,'GBD estimates'!$L$3:$L$1713=""Measles"",'GBD estimates'!$N$3:$N$1713=""Post Neonatal""))"),3.664630471)</f>
        <v>3.664630471</v>
      </c>
      <c r="AQ189" s="564">
        <f>IFERROR(__xludf.DUMMYFUNCTION("SUM(FILTER('GBD estimates'!$R$3:$R$1713,'GBD estimates'!$K$3:$K$1713=AQ$3,'GBD estimates'!$L$3:$L$1713=""Measles"",'GBD estimates'!$N$3:$N$1713=""Early Neonatal""),FILTER('GBD estimates'!$R$3:$R$1713,'GBD estimates'!$K$3:$K$1713=AQ$3,'GBD estimates'!$L$3:"&amp;"$L$1713=""Measles"",'GBD estimates'!$N$3:$N$1713=""Late Neonatal""),FILTER('GBD estimates'!$R$3:$R$1713,'GBD estimates'!$K$3:$K$1713=AQ$3,'GBD estimates'!$L$3:$L$1713=""Measles"",'GBD estimates'!$N$3:$N$1713=""Post Neonatal""))"),3.407159141)</f>
        <v>3.407159141</v>
      </c>
      <c r="AR189" s="564">
        <f>IFERROR(__xludf.DUMMYFUNCTION("SUM(FILTER('GBD estimates'!$R$3:$R$1713,'GBD estimates'!$K$3:$K$1713=AR$3,'GBD estimates'!$L$3:$L$1713=""Measles"",'GBD estimates'!$N$3:$N$1713=""Early Neonatal""),FILTER('GBD estimates'!$R$3:$R$1713,'GBD estimates'!$K$3:$K$1713=AR$3,'GBD estimates'!$L$3:"&amp;"$L$1713=""Measles"",'GBD estimates'!$N$3:$N$1713=""Late Neonatal""),FILTER('GBD estimates'!$R$3:$R$1713,'GBD estimates'!$K$3:$K$1713=AR$3,'GBD estimates'!$L$3:$L$1713=""Measles"",'GBD estimates'!$N$3:$N$1713=""Post Neonatal""))"),7.295412577)</f>
        <v>7.295412577</v>
      </c>
      <c r="AS189" s="564">
        <f>IFERROR(__xludf.DUMMYFUNCTION("SUM(FILTER('GBD estimates'!$R$3:$R$1713,'GBD estimates'!$K$3:$K$1713=AS$3,'GBD estimates'!$L$3:$L$1713=""Measles"",'GBD estimates'!$N$3:$N$1713=""Early Neonatal""),FILTER('GBD estimates'!$R$3:$R$1713,'GBD estimates'!$K$3:$K$1713=AS$3,'GBD estimates'!$L$3:"&amp;"$L$1713=""Measles"",'GBD estimates'!$N$3:$N$1713=""Late Neonatal""),FILTER('GBD estimates'!$R$3:$R$1713,'GBD estimates'!$K$3:$K$1713=AS$3,'GBD estimates'!$L$3:$L$1713=""Measles"",'GBD estimates'!$N$3:$N$1713=""Post Neonatal""))"),29.76393726)</f>
        <v>29.76393726</v>
      </c>
      <c r="AT189" s="564">
        <f>IFERROR(__xludf.DUMMYFUNCTION("SUM(FILTER('GBD estimates'!$R$3:$R$1713,'GBD estimates'!$K$3:$K$1713=AT$3,'GBD estimates'!$L$3:$L$1713=""Measles"",'GBD estimates'!$N$3:$N$1713=""Early Neonatal""),FILTER('GBD estimates'!$R$3:$R$1713,'GBD estimates'!$K$3:$K$1713=AT$3,'GBD estimates'!$L$3:"&amp;"$L$1713=""Measles"",'GBD estimates'!$N$3:$N$1713=""Late Neonatal""),FILTER('GBD estimates'!$R$3:$R$1713,'GBD estimates'!$K$3:$K$1713=AT$3,'GBD estimates'!$L$3:$L$1713=""Measles"",'GBD estimates'!$N$3:$N$1713=""Post Neonatal""))"),4.950529953)</f>
        <v>4.950529953</v>
      </c>
      <c r="AU189" s="564">
        <f>IFERROR(__xludf.DUMMYFUNCTION("SUM(FILTER('GBD estimates'!$R$3:$R$1713,'GBD estimates'!$K$3:$K$1713=AU$3,'GBD estimates'!$L$3:$L$1713=""Measles"",'GBD estimates'!$N$3:$N$1713=""Early Neonatal""),FILTER('GBD estimates'!$R$3:$R$1713,'GBD estimates'!$K$3:$K$1713=AU$3,'GBD estimates'!$L$3:"&amp;"$L$1713=""Measles"",'GBD estimates'!$N$3:$N$1713=""Late Neonatal""),FILTER('GBD estimates'!$R$3:$R$1713,'GBD estimates'!$K$3:$K$1713=AU$3,'GBD estimates'!$L$3:$L$1713=""Measles"",'GBD estimates'!$N$3:$N$1713=""Post Neonatal""))"),48.29191406)</f>
        <v>48.29191406</v>
      </c>
      <c r="AV189" s="564">
        <f>IFERROR(__xludf.DUMMYFUNCTION("SUM(FILTER('GBD estimates'!$R$3:$R$1713,'GBD estimates'!$K$3:$K$1713=AV$3,'GBD estimates'!$L$3:$L$1713=""Measles"",'GBD estimates'!$N$3:$N$1713=""Early Neonatal""),FILTER('GBD estimates'!$R$3:$R$1713,'GBD estimates'!$K$3:$K$1713=AV$3,'GBD estimates'!$L$3:"&amp;"$L$1713=""Measles"",'GBD estimates'!$N$3:$N$1713=""Late Neonatal""),FILTER('GBD estimates'!$R$3:$R$1713,'GBD estimates'!$K$3:$K$1713=AV$3,'GBD estimates'!$L$3:$L$1713=""Measles"",'GBD estimates'!$N$3:$N$1713=""Post Neonatal""))"),53.76490975)</f>
        <v>53.76490975</v>
      </c>
      <c r="AW189" s="788"/>
      <c r="AX189" s="798" t="s">
        <v>999</v>
      </c>
      <c r="AY189" s="790"/>
    </row>
    <row r="190">
      <c r="A190" s="776"/>
      <c r="B190" s="538"/>
      <c r="C190" s="538"/>
      <c r="D190" s="538"/>
      <c r="E190" s="792" t="s">
        <v>670</v>
      </c>
      <c r="F190" s="559" t="s">
        <v>72</v>
      </c>
      <c r="G190" s="560" t="s">
        <v>165</v>
      </c>
      <c r="H190" s="793">
        <v>0.75</v>
      </c>
      <c r="I190" s="859" t="s">
        <v>162</v>
      </c>
      <c r="J190" s="859" t="s">
        <v>162</v>
      </c>
      <c r="K190" s="859" t="s">
        <v>162</v>
      </c>
      <c r="L190" s="859" t="s">
        <v>162</v>
      </c>
      <c r="M190" s="859" t="s">
        <v>162</v>
      </c>
      <c r="N190" s="859" t="s">
        <v>162</v>
      </c>
      <c r="O190" s="859" t="s">
        <v>162</v>
      </c>
      <c r="P190" s="859" t="s">
        <v>162</v>
      </c>
      <c r="Q190" s="860" t="s">
        <v>162</v>
      </c>
      <c r="R190" s="859" t="s">
        <v>162</v>
      </c>
      <c r="S190" s="859" t="s">
        <v>162</v>
      </c>
      <c r="T190" s="859" t="s">
        <v>162</v>
      </c>
      <c r="U190" s="859" t="s">
        <v>162</v>
      </c>
      <c r="V190" s="859" t="s">
        <v>162</v>
      </c>
      <c r="W190" s="859" t="s">
        <v>162</v>
      </c>
      <c r="X190" s="859" t="s">
        <v>162</v>
      </c>
      <c r="Y190" s="859" t="s">
        <v>162</v>
      </c>
      <c r="Z190" s="859" t="s">
        <v>162</v>
      </c>
      <c r="AA190" s="859" t="s">
        <v>162</v>
      </c>
      <c r="AB190" s="859" t="s">
        <v>162</v>
      </c>
      <c r="AC190" s="859" t="s">
        <v>162</v>
      </c>
      <c r="AD190" s="859" t="s">
        <v>162</v>
      </c>
      <c r="AE190" s="859" t="s">
        <v>162</v>
      </c>
      <c r="AF190" s="859" t="s">
        <v>162</v>
      </c>
      <c r="AG190" s="859" t="s">
        <v>162</v>
      </c>
      <c r="AH190" s="859" t="s">
        <v>162</v>
      </c>
      <c r="AI190" s="859" t="s">
        <v>162</v>
      </c>
      <c r="AJ190" s="859" t="s">
        <v>162</v>
      </c>
      <c r="AK190" s="859" t="s">
        <v>162</v>
      </c>
      <c r="AL190" s="859" t="s">
        <v>162</v>
      </c>
      <c r="AM190" s="859" t="s">
        <v>162</v>
      </c>
      <c r="AN190" s="859" t="s">
        <v>162</v>
      </c>
      <c r="AO190" s="859" t="s">
        <v>162</v>
      </c>
      <c r="AP190" s="859" t="s">
        <v>162</v>
      </c>
      <c r="AQ190" s="859" t="s">
        <v>162</v>
      </c>
      <c r="AR190" s="859" t="s">
        <v>162</v>
      </c>
      <c r="AS190" s="859" t="s">
        <v>162</v>
      </c>
      <c r="AT190" s="859" t="s">
        <v>162</v>
      </c>
      <c r="AU190" s="859" t="s">
        <v>162</v>
      </c>
      <c r="AV190" s="859" t="s">
        <v>162</v>
      </c>
      <c r="AW190" s="794"/>
      <c r="AX190" s="799" t="s">
        <v>984</v>
      </c>
      <c r="AY190" s="796"/>
    </row>
    <row r="191">
      <c r="A191" s="776"/>
      <c r="B191" s="538"/>
      <c r="C191" s="538"/>
      <c r="D191" s="538"/>
      <c r="E191" s="777"/>
      <c r="F191" s="533"/>
      <c r="G191" s="534"/>
      <c r="H191" s="680"/>
      <c r="I191" s="552"/>
      <c r="J191" s="552"/>
      <c r="K191" s="552"/>
      <c r="L191" s="552"/>
      <c r="M191" s="552"/>
      <c r="N191" s="552"/>
      <c r="O191" s="552"/>
      <c r="P191" s="552"/>
      <c r="Q191" s="553"/>
      <c r="R191" s="552"/>
      <c r="S191" s="552"/>
      <c r="T191" s="552"/>
      <c r="U191" s="552"/>
      <c r="V191" s="552"/>
      <c r="W191" s="552"/>
      <c r="X191" s="552"/>
      <c r="Y191" s="552"/>
      <c r="Z191" s="552"/>
      <c r="AA191" s="552"/>
      <c r="AB191" s="552"/>
      <c r="AC191" s="552"/>
      <c r="AD191" s="552"/>
      <c r="AE191" s="552"/>
      <c r="AF191" s="552"/>
      <c r="AG191" s="552"/>
      <c r="AH191" s="552"/>
      <c r="AI191" s="552"/>
      <c r="AJ191" s="552"/>
      <c r="AK191" s="552"/>
      <c r="AL191" s="552"/>
      <c r="AM191" s="552"/>
      <c r="AN191" s="552"/>
      <c r="AO191" s="552"/>
      <c r="AP191" s="552"/>
      <c r="AQ191" s="552"/>
      <c r="AR191" s="552"/>
      <c r="AS191" s="552"/>
      <c r="AT191" s="552"/>
      <c r="AU191" s="552"/>
      <c r="AV191" s="552"/>
      <c r="AW191" s="778"/>
      <c r="AX191" s="779"/>
      <c r="AY191" s="780"/>
    </row>
    <row r="192">
      <c r="A192" s="776"/>
      <c r="B192" s="538"/>
      <c r="C192" s="143" t="s">
        <v>688</v>
      </c>
      <c r="F192" s="533"/>
      <c r="G192" s="534"/>
      <c r="H192" s="680"/>
      <c r="I192" s="552"/>
      <c r="J192" s="552"/>
      <c r="K192" s="552"/>
      <c r="L192" s="552"/>
      <c r="M192" s="552"/>
      <c r="N192" s="552"/>
      <c r="O192" s="552"/>
      <c r="P192" s="552"/>
      <c r="Q192" s="553"/>
      <c r="R192" s="552"/>
      <c r="S192" s="552"/>
      <c r="T192" s="552"/>
      <c r="U192" s="552"/>
      <c r="V192" s="552"/>
      <c r="W192" s="552"/>
      <c r="X192" s="552"/>
      <c r="Y192" s="552"/>
      <c r="Z192" s="552"/>
      <c r="AA192" s="552"/>
      <c r="AB192" s="552"/>
      <c r="AC192" s="552"/>
      <c r="AD192" s="552"/>
      <c r="AE192" s="552"/>
      <c r="AF192" s="552"/>
      <c r="AG192" s="552"/>
      <c r="AH192" s="552"/>
      <c r="AI192" s="552"/>
      <c r="AJ192" s="552"/>
      <c r="AK192" s="552"/>
      <c r="AL192" s="552"/>
      <c r="AM192" s="552"/>
      <c r="AN192" s="552"/>
      <c r="AO192" s="552"/>
      <c r="AP192" s="552"/>
      <c r="AQ192" s="552"/>
      <c r="AR192" s="552"/>
      <c r="AS192" s="552"/>
      <c r="AT192" s="552"/>
      <c r="AU192" s="552"/>
      <c r="AV192" s="552"/>
      <c r="AW192" s="778"/>
      <c r="AX192" s="779"/>
      <c r="AY192" s="780"/>
    </row>
    <row r="193">
      <c r="A193" s="776"/>
      <c r="B193" s="538"/>
      <c r="C193" s="538"/>
      <c r="D193" s="538"/>
      <c r="E193" s="782" t="s">
        <v>426</v>
      </c>
      <c r="F193" s="539" t="s">
        <v>72</v>
      </c>
      <c r="G193" s="540" t="s">
        <v>165</v>
      </c>
      <c r="H193" s="783">
        <v>-0.5</v>
      </c>
      <c r="I193" s="564" t="s">
        <v>162</v>
      </c>
      <c r="J193" s="564" t="s">
        <v>162</v>
      </c>
      <c r="K193" s="564" t="s">
        <v>162</v>
      </c>
      <c r="L193" s="564" t="s">
        <v>162</v>
      </c>
      <c r="M193" s="564" t="s">
        <v>162</v>
      </c>
      <c r="N193" s="564" t="s">
        <v>162</v>
      </c>
      <c r="O193" s="564" t="s">
        <v>162</v>
      </c>
      <c r="P193" s="564" t="s">
        <v>162</v>
      </c>
      <c r="Q193" s="565" t="s">
        <v>162</v>
      </c>
      <c r="R193" s="564" t="s">
        <v>162</v>
      </c>
      <c r="S193" s="564" t="s">
        <v>162</v>
      </c>
      <c r="T193" s="564" t="s">
        <v>162</v>
      </c>
      <c r="U193" s="564" t="s">
        <v>162</v>
      </c>
      <c r="V193" s="564" t="s">
        <v>162</v>
      </c>
      <c r="W193" s="564" t="s">
        <v>162</v>
      </c>
      <c r="X193" s="564" t="s">
        <v>162</v>
      </c>
      <c r="Y193" s="564" t="s">
        <v>162</v>
      </c>
      <c r="Z193" s="564" t="s">
        <v>162</v>
      </c>
      <c r="AA193" s="564" t="s">
        <v>162</v>
      </c>
      <c r="AB193" s="564" t="s">
        <v>162</v>
      </c>
      <c r="AC193" s="564" t="s">
        <v>162</v>
      </c>
      <c r="AD193" s="564" t="s">
        <v>162</v>
      </c>
      <c r="AE193" s="564" t="s">
        <v>162</v>
      </c>
      <c r="AF193" s="564" t="s">
        <v>162</v>
      </c>
      <c r="AG193" s="564" t="s">
        <v>162</v>
      </c>
      <c r="AH193" s="564" t="s">
        <v>162</v>
      </c>
      <c r="AI193" s="564" t="s">
        <v>162</v>
      </c>
      <c r="AJ193" s="564" t="s">
        <v>162</v>
      </c>
      <c r="AK193" s="564" t="s">
        <v>162</v>
      </c>
      <c r="AL193" s="564" t="s">
        <v>162</v>
      </c>
      <c r="AM193" s="564" t="s">
        <v>162</v>
      </c>
      <c r="AN193" s="564" t="s">
        <v>162</v>
      </c>
      <c r="AO193" s="564" t="s">
        <v>162</v>
      </c>
      <c r="AP193" s="564" t="s">
        <v>162</v>
      </c>
      <c r="AQ193" s="564" t="s">
        <v>162</v>
      </c>
      <c r="AR193" s="564" t="s">
        <v>162</v>
      </c>
      <c r="AS193" s="564" t="s">
        <v>162</v>
      </c>
      <c r="AT193" s="564" t="s">
        <v>162</v>
      </c>
      <c r="AU193" s="564" t="s">
        <v>162</v>
      </c>
      <c r="AV193" s="564" t="s">
        <v>162</v>
      </c>
      <c r="AW193" s="784"/>
      <c r="AX193" s="797" t="s">
        <v>984</v>
      </c>
      <c r="AY193" s="786"/>
    </row>
    <row r="194">
      <c r="A194" s="776"/>
      <c r="B194" s="538"/>
      <c r="C194" s="538"/>
      <c r="D194" s="538"/>
      <c r="E194" s="475" t="s">
        <v>699</v>
      </c>
      <c r="F194" s="554" t="s">
        <v>72</v>
      </c>
      <c r="G194" s="555" t="s">
        <v>165</v>
      </c>
      <c r="H194" s="787">
        <v>-0.1</v>
      </c>
      <c r="I194" s="310" t="s">
        <v>162</v>
      </c>
      <c r="J194" s="310" t="s">
        <v>162</v>
      </c>
      <c r="K194" s="564" t="s">
        <v>162</v>
      </c>
      <c r="L194" s="564" t="s">
        <v>162</v>
      </c>
      <c r="M194" s="310" t="s">
        <v>162</v>
      </c>
      <c r="N194" s="310" t="s">
        <v>162</v>
      </c>
      <c r="O194" s="310" t="s">
        <v>162</v>
      </c>
      <c r="P194" s="310" t="s">
        <v>162</v>
      </c>
      <c r="Q194" s="251" t="s">
        <v>162</v>
      </c>
      <c r="R194" s="310" t="s">
        <v>162</v>
      </c>
      <c r="S194" s="310" t="s">
        <v>162</v>
      </c>
      <c r="T194" s="310" t="s">
        <v>162</v>
      </c>
      <c r="U194" s="310" t="s">
        <v>162</v>
      </c>
      <c r="V194" s="310" t="s">
        <v>162</v>
      </c>
      <c r="W194" s="310" t="s">
        <v>162</v>
      </c>
      <c r="X194" s="310" t="s">
        <v>162</v>
      </c>
      <c r="Y194" s="310" t="s">
        <v>162</v>
      </c>
      <c r="Z194" s="310" t="s">
        <v>162</v>
      </c>
      <c r="AA194" s="310" t="s">
        <v>162</v>
      </c>
      <c r="AB194" s="310" t="s">
        <v>162</v>
      </c>
      <c r="AC194" s="310" t="s">
        <v>162</v>
      </c>
      <c r="AD194" s="310" t="s">
        <v>162</v>
      </c>
      <c r="AE194" s="310" t="s">
        <v>162</v>
      </c>
      <c r="AF194" s="310" t="s">
        <v>162</v>
      </c>
      <c r="AG194" s="310" t="s">
        <v>162</v>
      </c>
      <c r="AH194" s="310" t="s">
        <v>162</v>
      </c>
      <c r="AI194" s="310" t="s">
        <v>162</v>
      </c>
      <c r="AJ194" s="310" t="s">
        <v>162</v>
      </c>
      <c r="AK194" s="310" t="s">
        <v>162</v>
      </c>
      <c r="AL194" s="310" t="s">
        <v>162</v>
      </c>
      <c r="AM194" s="310" t="s">
        <v>162</v>
      </c>
      <c r="AN194" s="310" t="s">
        <v>162</v>
      </c>
      <c r="AO194" s="310" t="s">
        <v>162</v>
      </c>
      <c r="AP194" s="310" t="s">
        <v>162</v>
      </c>
      <c r="AQ194" s="310" t="s">
        <v>162</v>
      </c>
      <c r="AR194" s="310" t="s">
        <v>162</v>
      </c>
      <c r="AS194" s="310" t="s">
        <v>162</v>
      </c>
      <c r="AT194" s="310" t="s">
        <v>162</v>
      </c>
      <c r="AU194" s="310" t="s">
        <v>162</v>
      </c>
      <c r="AV194" s="310" t="s">
        <v>162</v>
      </c>
      <c r="AW194" s="788"/>
      <c r="AX194" s="798" t="s">
        <v>984</v>
      </c>
      <c r="AY194" s="790"/>
    </row>
    <row r="195">
      <c r="A195" s="776"/>
      <c r="B195" s="538"/>
      <c r="C195" s="538"/>
      <c r="D195" s="538"/>
      <c r="E195" s="782" t="s">
        <v>690</v>
      </c>
      <c r="F195" s="539" t="s">
        <v>72</v>
      </c>
      <c r="G195" s="540" t="s">
        <v>165</v>
      </c>
      <c r="H195" s="783">
        <v>-0.1</v>
      </c>
      <c r="I195" s="564" t="s">
        <v>162</v>
      </c>
      <c r="J195" s="564" t="s">
        <v>162</v>
      </c>
      <c r="K195" s="564" t="s">
        <v>162</v>
      </c>
      <c r="L195" s="564" t="s">
        <v>162</v>
      </c>
      <c r="M195" s="564" t="s">
        <v>162</v>
      </c>
      <c r="N195" s="564" t="s">
        <v>162</v>
      </c>
      <c r="O195" s="564" t="s">
        <v>162</v>
      </c>
      <c r="P195" s="564" t="s">
        <v>162</v>
      </c>
      <c r="Q195" s="565" t="s">
        <v>162</v>
      </c>
      <c r="R195" s="564" t="s">
        <v>162</v>
      </c>
      <c r="S195" s="564" t="s">
        <v>162</v>
      </c>
      <c r="T195" s="564" t="s">
        <v>162</v>
      </c>
      <c r="U195" s="564" t="s">
        <v>162</v>
      </c>
      <c r="V195" s="564" t="s">
        <v>162</v>
      </c>
      <c r="W195" s="564" t="s">
        <v>162</v>
      </c>
      <c r="X195" s="564" t="s">
        <v>162</v>
      </c>
      <c r="Y195" s="564" t="s">
        <v>162</v>
      </c>
      <c r="Z195" s="564" t="s">
        <v>162</v>
      </c>
      <c r="AA195" s="564" t="s">
        <v>162</v>
      </c>
      <c r="AB195" s="564" t="s">
        <v>162</v>
      </c>
      <c r="AC195" s="564" t="s">
        <v>162</v>
      </c>
      <c r="AD195" s="564" t="s">
        <v>162</v>
      </c>
      <c r="AE195" s="564" t="s">
        <v>162</v>
      </c>
      <c r="AF195" s="564" t="s">
        <v>162</v>
      </c>
      <c r="AG195" s="564" t="s">
        <v>162</v>
      </c>
      <c r="AH195" s="564" t="s">
        <v>162</v>
      </c>
      <c r="AI195" s="564" t="s">
        <v>162</v>
      </c>
      <c r="AJ195" s="564" t="s">
        <v>162</v>
      </c>
      <c r="AK195" s="564" t="s">
        <v>162</v>
      </c>
      <c r="AL195" s="564" t="s">
        <v>162</v>
      </c>
      <c r="AM195" s="564" t="s">
        <v>162</v>
      </c>
      <c r="AN195" s="564" t="s">
        <v>162</v>
      </c>
      <c r="AO195" s="564" t="s">
        <v>162</v>
      </c>
      <c r="AP195" s="564" t="s">
        <v>162</v>
      </c>
      <c r="AQ195" s="564" t="s">
        <v>162</v>
      </c>
      <c r="AR195" s="564" t="s">
        <v>162</v>
      </c>
      <c r="AS195" s="564" t="s">
        <v>162</v>
      </c>
      <c r="AT195" s="564" t="s">
        <v>162</v>
      </c>
      <c r="AU195" s="564" t="s">
        <v>162</v>
      </c>
      <c r="AV195" s="564" t="s">
        <v>162</v>
      </c>
      <c r="AW195" s="784"/>
      <c r="AX195" s="797" t="s">
        <v>984</v>
      </c>
      <c r="AY195" s="786"/>
    </row>
    <row r="196">
      <c r="A196" s="776"/>
      <c r="B196" s="538"/>
      <c r="C196" s="538"/>
      <c r="D196" s="538"/>
      <c r="E196" s="475" t="s">
        <v>449</v>
      </c>
      <c r="F196" s="554" t="s">
        <v>72</v>
      </c>
      <c r="G196" s="555" t="s">
        <v>165</v>
      </c>
      <c r="H196" s="787">
        <v>-0.8</v>
      </c>
      <c r="I196" s="310" t="s">
        <v>162</v>
      </c>
      <c r="J196" s="310" t="s">
        <v>162</v>
      </c>
      <c r="K196" s="564" t="s">
        <v>162</v>
      </c>
      <c r="L196" s="564" t="s">
        <v>162</v>
      </c>
      <c r="M196" s="310" t="s">
        <v>162</v>
      </c>
      <c r="N196" s="310" t="s">
        <v>162</v>
      </c>
      <c r="O196" s="310" t="s">
        <v>162</v>
      </c>
      <c r="P196" s="310" t="s">
        <v>162</v>
      </c>
      <c r="Q196" s="251" t="s">
        <v>162</v>
      </c>
      <c r="R196" s="310" t="s">
        <v>162</v>
      </c>
      <c r="S196" s="310" t="s">
        <v>162</v>
      </c>
      <c r="T196" s="310" t="s">
        <v>162</v>
      </c>
      <c r="U196" s="310" t="s">
        <v>162</v>
      </c>
      <c r="V196" s="310" t="s">
        <v>162</v>
      </c>
      <c r="W196" s="310" t="s">
        <v>162</v>
      </c>
      <c r="X196" s="310" t="s">
        <v>162</v>
      </c>
      <c r="Y196" s="310" t="s">
        <v>162</v>
      </c>
      <c r="Z196" s="310" t="s">
        <v>162</v>
      </c>
      <c r="AA196" s="310" t="s">
        <v>162</v>
      </c>
      <c r="AB196" s="310" t="s">
        <v>162</v>
      </c>
      <c r="AC196" s="310" t="s">
        <v>162</v>
      </c>
      <c r="AD196" s="310" t="s">
        <v>162</v>
      </c>
      <c r="AE196" s="310" t="s">
        <v>162</v>
      </c>
      <c r="AF196" s="310" t="s">
        <v>162</v>
      </c>
      <c r="AG196" s="310" t="s">
        <v>162</v>
      </c>
      <c r="AH196" s="310" t="s">
        <v>162</v>
      </c>
      <c r="AI196" s="310" t="s">
        <v>162</v>
      </c>
      <c r="AJ196" s="310" t="s">
        <v>162</v>
      </c>
      <c r="AK196" s="310" t="s">
        <v>162</v>
      </c>
      <c r="AL196" s="310" t="s">
        <v>162</v>
      </c>
      <c r="AM196" s="310" t="s">
        <v>162</v>
      </c>
      <c r="AN196" s="310" t="s">
        <v>162</v>
      </c>
      <c r="AO196" s="310" t="s">
        <v>162</v>
      </c>
      <c r="AP196" s="310" t="s">
        <v>162</v>
      </c>
      <c r="AQ196" s="310" t="s">
        <v>162</v>
      </c>
      <c r="AR196" s="310" t="s">
        <v>162</v>
      </c>
      <c r="AS196" s="310" t="s">
        <v>162</v>
      </c>
      <c r="AT196" s="310" t="s">
        <v>162</v>
      </c>
      <c r="AU196" s="310" t="s">
        <v>162</v>
      </c>
      <c r="AV196" s="310" t="s">
        <v>162</v>
      </c>
      <c r="AW196" s="788"/>
      <c r="AX196" s="798" t="s">
        <v>984</v>
      </c>
      <c r="AY196" s="790"/>
    </row>
    <row r="197">
      <c r="A197" s="776"/>
      <c r="B197" s="538"/>
      <c r="C197" s="538"/>
      <c r="D197" s="538"/>
      <c r="E197" s="475" t="s">
        <v>717</v>
      </c>
      <c r="F197" s="554" t="s">
        <v>72</v>
      </c>
      <c r="G197" s="555" t="s">
        <v>165</v>
      </c>
      <c r="H197" s="787">
        <v>-0.4</v>
      </c>
      <c r="I197" s="310" t="s">
        <v>162</v>
      </c>
      <c r="J197" s="310" t="s">
        <v>162</v>
      </c>
      <c r="K197" s="564" t="s">
        <v>162</v>
      </c>
      <c r="L197" s="564" t="s">
        <v>162</v>
      </c>
      <c r="M197" s="310" t="s">
        <v>162</v>
      </c>
      <c r="N197" s="310" t="s">
        <v>162</v>
      </c>
      <c r="O197" s="310" t="s">
        <v>162</v>
      </c>
      <c r="P197" s="310" t="s">
        <v>162</v>
      </c>
      <c r="Q197" s="251" t="s">
        <v>162</v>
      </c>
      <c r="R197" s="310" t="s">
        <v>162</v>
      </c>
      <c r="S197" s="310" t="s">
        <v>162</v>
      </c>
      <c r="T197" s="310" t="s">
        <v>162</v>
      </c>
      <c r="U197" s="310" t="s">
        <v>162</v>
      </c>
      <c r="V197" s="310" t="s">
        <v>162</v>
      </c>
      <c r="W197" s="310" t="s">
        <v>162</v>
      </c>
      <c r="X197" s="310" t="s">
        <v>162</v>
      </c>
      <c r="Y197" s="310" t="s">
        <v>162</v>
      </c>
      <c r="Z197" s="310" t="s">
        <v>162</v>
      </c>
      <c r="AA197" s="310" t="s">
        <v>162</v>
      </c>
      <c r="AB197" s="310" t="s">
        <v>162</v>
      </c>
      <c r="AC197" s="310" t="s">
        <v>162</v>
      </c>
      <c r="AD197" s="310" t="s">
        <v>162</v>
      </c>
      <c r="AE197" s="310" t="s">
        <v>162</v>
      </c>
      <c r="AF197" s="310" t="s">
        <v>162</v>
      </c>
      <c r="AG197" s="310" t="s">
        <v>162</v>
      </c>
      <c r="AH197" s="310" t="s">
        <v>162</v>
      </c>
      <c r="AI197" s="310" t="s">
        <v>162</v>
      </c>
      <c r="AJ197" s="310" t="s">
        <v>162</v>
      </c>
      <c r="AK197" s="310" t="s">
        <v>162</v>
      </c>
      <c r="AL197" s="310" t="s">
        <v>162</v>
      </c>
      <c r="AM197" s="310" t="s">
        <v>162</v>
      </c>
      <c r="AN197" s="310" t="s">
        <v>162</v>
      </c>
      <c r="AO197" s="310" t="s">
        <v>162</v>
      </c>
      <c r="AP197" s="310" t="s">
        <v>162</v>
      </c>
      <c r="AQ197" s="310" t="s">
        <v>162</v>
      </c>
      <c r="AR197" s="310" t="s">
        <v>162</v>
      </c>
      <c r="AS197" s="310" t="s">
        <v>162</v>
      </c>
      <c r="AT197" s="310" t="s">
        <v>162</v>
      </c>
      <c r="AU197" s="310" t="s">
        <v>162</v>
      </c>
      <c r="AV197" s="310" t="s">
        <v>162</v>
      </c>
      <c r="AW197" s="788"/>
      <c r="AX197" s="798" t="s">
        <v>984</v>
      </c>
      <c r="AY197" s="790"/>
    </row>
    <row r="198">
      <c r="A198" s="776"/>
      <c r="B198" s="538"/>
      <c r="C198" s="538"/>
      <c r="D198" s="538"/>
      <c r="E198" s="475" t="s">
        <v>718</v>
      </c>
      <c r="F198" s="539" t="s">
        <v>72</v>
      </c>
      <c r="G198" s="540" t="s">
        <v>165</v>
      </c>
      <c r="H198" s="783">
        <v>-0.8</v>
      </c>
      <c r="I198" s="310" t="s">
        <v>162</v>
      </c>
      <c r="J198" s="310" t="s">
        <v>162</v>
      </c>
      <c r="K198" s="564" t="s">
        <v>162</v>
      </c>
      <c r="L198" s="564" t="s">
        <v>162</v>
      </c>
      <c r="M198" s="310" t="s">
        <v>162</v>
      </c>
      <c r="N198" s="310" t="s">
        <v>162</v>
      </c>
      <c r="O198" s="310" t="s">
        <v>162</v>
      </c>
      <c r="P198" s="310" t="s">
        <v>162</v>
      </c>
      <c r="Q198" s="251" t="s">
        <v>162</v>
      </c>
      <c r="R198" s="310" t="s">
        <v>162</v>
      </c>
      <c r="S198" s="310" t="s">
        <v>162</v>
      </c>
      <c r="T198" s="310" t="s">
        <v>162</v>
      </c>
      <c r="U198" s="310" t="s">
        <v>162</v>
      </c>
      <c r="V198" s="310" t="s">
        <v>162</v>
      </c>
      <c r="W198" s="310" t="s">
        <v>162</v>
      </c>
      <c r="X198" s="310" t="s">
        <v>162</v>
      </c>
      <c r="Y198" s="310" t="s">
        <v>162</v>
      </c>
      <c r="Z198" s="310" t="s">
        <v>162</v>
      </c>
      <c r="AA198" s="310" t="s">
        <v>162</v>
      </c>
      <c r="AB198" s="310" t="s">
        <v>162</v>
      </c>
      <c r="AC198" s="310" t="s">
        <v>162</v>
      </c>
      <c r="AD198" s="310" t="s">
        <v>162</v>
      </c>
      <c r="AE198" s="310" t="s">
        <v>162</v>
      </c>
      <c r="AF198" s="310" t="s">
        <v>162</v>
      </c>
      <c r="AG198" s="310" t="s">
        <v>162</v>
      </c>
      <c r="AH198" s="310" t="s">
        <v>162</v>
      </c>
      <c r="AI198" s="310" t="s">
        <v>162</v>
      </c>
      <c r="AJ198" s="310" t="s">
        <v>162</v>
      </c>
      <c r="AK198" s="310" t="s">
        <v>162</v>
      </c>
      <c r="AL198" s="310" t="s">
        <v>162</v>
      </c>
      <c r="AM198" s="310" t="s">
        <v>162</v>
      </c>
      <c r="AN198" s="310" t="s">
        <v>162</v>
      </c>
      <c r="AO198" s="310" t="s">
        <v>162</v>
      </c>
      <c r="AP198" s="310" t="s">
        <v>162</v>
      </c>
      <c r="AQ198" s="310" t="s">
        <v>162</v>
      </c>
      <c r="AR198" s="310" t="s">
        <v>162</v>
      </c>
      <c r="AS198" s="310" t="s">
        <v>162</v>
      </c>
      <c r="AT198" s="310" t="s">
        <v>162</v>
      </c>
      <c r="AU198" s="310" t="s">
        <v>162</v>
      </c>
      <c r="AV198" s="310" t="s">
        <v>162</v>
      </c>
      <c r="AW198" s="788"/>
      <c r="AX198" s="798" t="s">
        <v>984</v>
      </c>
      <c r="AY198" s="790"/>
    </row>
    <row r="199">
      <c r="A199" s="776"/>
      <c r="B199" s="538"/>
      <c r="C199" s="538"/>
      <c r="D199" s="538"/>
      <c r="E199" s="782" t="s">
        <v>708</v>
      </c>
      <c r="F199" s="539" t="s">
        <v>72</v>
      </c>
      <c r="G199" s="540" t="s">
        <v>165</v>
      </c>
      <c r="H199" s="783">
        <v>-0.3</v>
      </c>
      <c r="I199" s="564" t="s">
        <v>162</v>
      </c>
      <c r="J199" s="564" t="s">
        <v>162</v>
      </c>
      <c r="K199" s="564" t="s">
        <v>162</v>
      </c>
      <c r="L199" s="564" t="s">
        <v>162</v>
      </c>
      <c r="M199" s="564" t="s">
        <v>162</v>
      </c>
      <c r="N199" s="564" t="s">
        <v>162</v>
      </c>
      <c r="O199" s="564" t="s">
        <v>162</v>
      </c>
      <c r="P199" s="564" t="s">
        <v>162</v>
      </c>
      <c r="Q199" s="565" t="s">
        <v>162</v>
      </c>
      <c r="R199" s="564" t="s">
        <v>162</v>
      </c>
      <c r="S199" s="564" t="s">
        <v>162</v>
      </c>
      <c r="T199" s="564" t="s">
        <v>162</v>
      </c>
      <c r="U199" s="564" t="s">
        <v>162</v>
      </c>
      <c r="V199" s="564" t="s">
        <v>162</v>
      </c>
      <c r="W199" s="564" t="s">
        <v>162</v>
      </c>
      <c r="X199" s="564" t="s">
        <v>162</v>
      </c>
      <c r="Y199" s="564" t="s">
        <v>162</v>
      </c>
      <c r="Z199" s="564" t="s">
        <v>162</v>
      </c>
      <c r="AA199" s="564" t="s">
        <v>162</v>
      </c>
      <c r="AB199" s="564" t="s">
        <v>162</v>
      </c>
      <c r="AC199" s="564" t="s">
        <v>162</v>
      </c>
      <c r="AD199" s="564" t="s">
        <v>162</v>
      </c>
      <c r="AE199" s="564" t="s">
        <v>162</v>
      </c>
      <c r="AF199" s="564" t="s">
        <v>162</v>
      </c>
      <c r="AG199" s="564" t="s">
        <v>162</v>
      </c>
      <c r="AH199" s="564" t="s">
        <v>162</v>
      </c>
      <c r="AI199" s="564" t="s">
        <v>162</v>
      </c>
      <c r="AJ199" s="564" t="s">
        <v>162</v>
      </c>
      <c r="AK199" s="564" t="s">
        <v>162</v>
      </c>
      <c r="AL199" s="564" t="s">
        <v>162</v>
      </c>
      <c r="AM199" s="564" t="s">
        <v>162</v>
      </c>
      <c r="AN199" s="564" t="s">
        <v>162</v>
      </c>
      <c r="AO199" s="564" t="s">
        <v>162</v>
      </c>
      <c r="AP199" s="564" t="s">
        <v>162</v>
      </c>
      <c r="AQ199" s="564" t="s">
        <v>162</v>
      </c>
      <c r="AR199" s="564" t="s">
        <v>162</v>
      </c>
      <c r="AS199" s="564" t="s">
        <v>162</v>
      </c>
      <c r="AT199" s="564" t="s">
        <v>162</v>
      </c>
      <c r="AU199" s="564" t="s">
        <v>162</v>
      </c>
      <c r="AV199" s="564" t="s">
        <v>162</v>
      </c>
      <c r="AW199" s="784"/>
      <c r="AX199" s="797" t="s">
        <v>984</v>
      </c>
      <c r="AY199" s="786"/>
    </row>
    <row r="200">
      <c r="A200" s="776"/>
      <c r="B200" s="538"/>
      <c r="C200" s="538"/>
      <c r="D200" s="538"/>
      <c r="E200" s="475" t="s">
        <v>472</v>
      </c>
      <c r="F200" s="554" t="s">
        <v>72</v>
      </c>
      <c r="G200" s="555" t="s">
        <v>165</v>
      </c>
      <c r="H200" s="787">
        <v>-0.9</v>
      </c>
      <c r="I200" s="310" t="s">
        <v>162</v>
      </c>
      <c r="J200" s="310" t="s">
        <v>162</v>
      </c>
      <c r="K200" s="564" t="s">
        <v>162</v>
      </c>
      <c r="L200" s="564" t="s">
        <v>162</v>
      </c>
      <c r="M200" s="310" t="s">
        <v>162</v>
      </c>
      <c r="N200" s="310" t="s">
        <v>162</v>
      </c>
      <c r="O200" s="310" t="s">
        <v>162</v>
      </c>
      <c r="P200" s="310" t="s">
        <v>162</v>
      </c>
      <c r="Q200" s="251" t="s">
        <v>162</v>
      </c>
      <c r="R200" s="310" t="s">
        <v>162</v>
      </c>
      <c r="S200" s="310" t="s">
        <v>162</v>
      </c>
      <c r="T200" s="310" t="s">
        <v>162</v>
      </c>
      <c r="U200" s="310" t="s">
        <v>162</v>
      </c>
      <c r="V200" s="310" t="s">
        <v>162</v>
      </c>
      <c r="W200" s="310" t="s">
        <v>162</v>
      </c>
      <c r="X200" s="310" t="s">
        <v>162</v>
      </c>
      <c r="Y200" s="310" t="s">
        <v>162</v>
      </c>
      <c r="Z200" s="310" t="s">
        <v>162</v>
      </c>
      <c r="AA200" s="310" t="s">
        <v>162</v>
      </c>
      <c r="AB200" s="310" t="s">
        <v>162</v>
      </c>
      <c r="AC200" s="310" t="s">
        <v>162</v>
      </c>
      <c r="AD200" s="310" t="s">
        <v>162</v>
      </c>
      <c r="AE200" s="310" t="s">
        <v>162</v>
      </c>
      <c r="AF200" s="310" t="s">
        <v>162</v>
      </c>
      <c r="AG200" s="310" t="s">
        <v>162</v>
      </c>
      <c r="AH200" s="310" t="s">
        <v>162</v>
      </c>
      <c r="AI200" s="310" t="s">
        <v>162</v>
      </c>
      <c r="AJ200" s="310" t="s">
        <v>162</v>
      </c>
      <c r="AK200" s="310" t="s">
        <v>162</v>
      </c>
      <c r="AL200" s="310" t="s">
        <v>162</v>
      </c>
      <c r="AM200" s="310" t="s">
        <v>162</v>
      </c>
      <c r="AN200" s="310" t="s">
        <v>162</v>
      </c>
      <c r="AO200" s="310" t="s">
        <v>162</v>
      </c>
      <c r="AP200" s="310" t="s">
        <v>162</v>
      </c>
      <c r="AQ200" s="310" t="s">
        <v>162</v>
      </c>
      <c r="AR200" s="310" t="s">
        <v>162</v>
      </c>
      <c r="AS200" s="310" t="s">
        <v>162</v>
      </c>
      <c r="AT200" s="310" t="s">
        <v>162</v>
      </c>
      <c r="AU200" s="310" t="s">
        <v>162</v>
      </c>
      <c r="AV200" s="310" t="s">
        <v>162</v>
      </c>
      <c r="AW200" s="788"/>
      <c r="AX200" s="798" t="s">
        <v>984</v>
      </c>
      <c r="AY200" s="790"/>
    </row>
    <row r="201">
      <c r="A201" s="776"/>
      <c r="B201" s="538"/>
      <c r="C201" s="538"/>
      <c r="D201" s="538"/>
      <c r="E201" s="475" t="s">
        <v>736</v>
      </c>
      <c r="F201" s="554" t="s">
        <v>72</v>
      </c>
      <c r="G201" s="555" t="s">
        <v>165</v>
      </c>
      <c r="H201" s="787">
        <v>-0.7</v>
      </c>
      <c r="I201" s="310" t="s">
        <v>162</v>
      </c>
      <c r="J201" s="310" t="s">
        <v>162</v>
      </c>
      <c r="K201" s="564" t="s">
        <v>162</v>
      </c>
      <c r="L201" s="564" t="s">
        <v>162</v>
      </c>
      <c r="M201" s="310" t="s">
        <v>162</v>
      </c>
      <c r="N201" s="310" t="s">
        <v>162</v>
      </c>
      <c r="O201" s="310" t="s">
        <v>162</v>
      </c>
      <c r="P201" s="310" t="s">
        <v>162</v>
      </c>
      <c r="Q201" s="251" t="s">
        <v>162</v>
      </c>
      <c r="R201" s="310" t="s">
        <v>162</v>
      </c>
      <c r="S201" s="310" t="s">
        <v>162</v>
      </c>
      <c r="T201" s="310" t="s">
        <v>162</v>
      </c>
      <c r="U201" s="310" t="s">
        <v>162</v>
      </c>
      <c r="V201" s="310" t="s">
        <v>162</v>
      </c>
      <c r="W201" s="310" t="s">
        <v>162</v>
      </c>
      <c r="X201" s="310" t="s">
        <v>162</v>
      </c>
      <c r="Y201" s="310" t="s">
        <v>162</v>
      </c>
      <c r="Z201" s="310" t="s">
        <v>162</v>
      </c>
      <c r="AA201" s="310" t="s">
        <v>162</v>
      </c>
      <c r="AB201" s="310" t="s">
        <v>162</v>
      </c>
      <c r="AC201" s="310" t="s">
        <v>162</v>
      </c>
      <c r="AD201" s="310" t="s">
        <v>162</v>
      </c>
      <c r="AE201" s="310" t="s">
        <v>162</v>
      </c>
      <c r="AF201" s="310" t="s">
        <v>162</v>
      </c>
      <c r="AG201" s="310" t="s">
        <v>162</v>
      </c>
      <c r="AH201" s="310" t="s">
        <v>162</v>
      </c>
      <c r="AI201" s="310" t="s">
        <v>162</v>
      </c>
      <c r="AJ201" s="310" t="s">
        <v>162</v>
      </c>
      <c r="AK201" s="310" t="s">
        <v>162</v>
      </c>
      <c r="AL201" s="310" t="s">
        <v>162</v>
      </c>
      <c r="AM201" s="310" t="s">
        <v>162</v>
      </c>
      <c r="AN201" s="310" t="s">
        <v>162</v>
      </c>
      <c r="AO201" s="310" t="s">
        <v>162</v>
      </c>
      <c r="AP201" s="310" t="s">
        <v>162</v>
      </c>
      <c r="AQ201" s="310" t="s">
        <v>162</v>
      </c>
      <c r="AR201" s="310" t="s">
        <v>162</v>
      </c>
      <c r="AS201" s="310" t="s">
        <v>162</v>
      </c>
      <c r="AT201" s="310" t="s">
        <v>162</v>
      </c>
      <c r="AU201" s="310" t="s">
        <v>162</v>
      </c>
      <c r="AV201" s="310" t="s">
        <v>162</v>
      </c>
      <c r="AW201" s="788"/>
      <c r="AX201" s="798" t="s">
        <v>984</v>
      </c>
      <c r="AY201" s="790"/>
    </row>
    <row r="202">
      <c r="A202" s="776"/>
      <c r="B202" s="538"/>
      <c r="C202" s="538"/>
      <c r="D202" s="538"/>
      <c r="E202" s="475" t="s">
        <v>737</v>
      </c>
      <c r="F202" s="539" t="s">
        <v>72</v>
      </c>
      <c r="G202" s="540" t="s">
        <v>165</v>
      </c>
      <c r="H202" s="783">
        <v>-0.9</v>
      </c>
      <c r="I202" s="310" t="s">
        <v>162</v>
      </c>
      <c r="J202" s="310" t="s">
        <v>162</v>
      </c>
      <c r="K202" s="564" t="s">
        <v>162</v>
      </c>
      <c r="L202" s="564" t="s">
        <v>162</v>
      </c>
      <c r="M202" s="310" t="s">
        <v>162</v>
      </c>
      <c r="N202" s="310" t="s">
        <v>162</v>
      </c>
      <c r="O202" s="310" t="s">
        <v>162</v>
      </c>
      <c r="P202" s="310" t="s">
        <v>162</v>
      </c>
      <c r="Q202" s="251" t="s">
        <v>162</v>
      </c>
      <c r="R202" s="310" t="s">
        <v>162</v>
      </c>
      <c r="S202" s="310" t="s">
        <v>162</v>
      </c>
      <c r="T202" s="310" t="s">
        <v>162</v>
      </c>
      <c r="U202" s="310" t="s">
        <v>162</v>
      </c>
      <c r="V202" s="310" t="s">
        <v>162</v>
      </c>
      <c r="W202" s="310" t="s">
        <v>162</v>
      </c>
      <c r="X202" s="310" t="s">
        <v>162</v>
      </c>
      <c r="Y202" s="310" t="s">
        <v>162</v>
      </c>
      <c r="Z202" s="310" t="s">
        <v>162</v>
      </c>
      <c r="AA202" s="310" t="s">
        <v>162</v>
      </c>
      <c r="AB202" s="310" t="s">
        <v>162</v>
      </c>
      <c r="AC202" s="310" t="s">
        <v>162</v>
      </c>
      <c r="AD202" s="310" t="s">
        <v>162</v>
      </c>
      <c r="AE202" s="310" t="s">
        <v>162</v>
      </c>
      <c r="AF202" s="310" t="s">
        <v>162</v>
      </c>
      <c r="AG202" s="310" t="s">
        <v>162</v>
      </c>
      <c r="AH202" s="310" t="s">
        <v>162</v>
      </c>
      <c r="AI202" s="310" t="s">
        <v>162</v>
      </c>
      <c r="AJ202" s="310" t="s">
        <v>162</v>
      </c>
      <c r="AK202" s="310" t="s">
        <v>162</v>
      </c>
      <c r="AL202" s="310" t="s">
        <v>162</v>
      </c>
      <c r="AM202" s="310" t="s">
        <v>162</v>
      </c>
      <c r="AN202" s="310" t="s">
        <v>162</v>
      </c>
      <c r="AO202" s="310" t="s">
        <v>162</v>
      </c>
      <c r="AP202" s="310" t="s">
        <v>162</v>
      </c>
      <c r="AQ202" s="310" t="s">
        <v>162</v>
      </c>
      <c r="AR202" s="310" t="s">
        <v>162</v>
      </c>
      <c r="AS202" s="310" t="s">
        <v>162</v>
      </c>
      <c r="AT202" s="310" t="s">
        <v>162</v>
      </c>
      <c r="AU202" s="310" t="s">
        <v>162</v>
      </c>
      <c r="AV202" s="310" t="s">
        <v>162</v>
      </c>
      <c r="AW202" s="788"/>
      <c r="AX202" s="798" t="s">
        <v>984</v>
      </c>
      <c r="AY202" s="790"/>
    </row>
    <row r="203">
      <c r="A203" s="776"/>
      <c r="B203" s="538"/>
      <c r="C203" s="538"/>
      <c r="D203" s="538"/>
      <c r="E203" s="792" t="s">
        <v>727</v>
      </c>
      <c r="F203" s="559" t="s">
        <v>72</v>
      </c>
      <c r="G203" s="560" t="s">
        <v>165</v>
      </c>
      <c r="H203" s="793">
        <v>-0.6</v>
      </c>
      <c r="I203" s="859" t="s">
        <v>162</v>
      </c>
      <c r="J203" s="859" t="s">
        <v>162</v>
      </c>
      <c r="K203" s="859" t="s">
        <v>162</v>
      </c>
      <c r="L203" s="859" t="s">
        <v>162</v>
      </c>
      <c r="M203" s="859" t="s">
        <v>162</v>
      </c>
      <c r="N203" s="859" t="s">
        <v>162</v>
      </c>
      <c r="O203" s="859" t="s">
        <v>162</v>
      </c>
      <c r="P203" s="859" t="s">
        <v>162</v>
      </c>
      <c r="Q203" s="860" t="s">
        <v>162</v>
      </c>
      <c r="R203" s="859" t="s">
        <v>162</v>
      </c>
      <c r="S203" s="859" t="s">
        <v>162</v>
      </c>
      <c r="T203" s="859" t="s">
        <v>162</v>
      </c>
      <c r="U203" s="859" t="s">
        <v>162</v>
      </c>
      <c r="V203" s="859" t="s">
        <v>162</v>
      </c>
      <c r="W203" s="859" t="s">
        <v>162</v>
      </c>
      <c r="X203" s="859" t="s">
        <v>162</v>
      </c>
      <c r="Y203" s="859" t="s">
        <v>162</v>
      </c>
      <c r="Z203" s="859" t="s">
        <v>162</v>
      </c>
      <c r="AA203" s="859" t="s">
        <v>162</v>
      </c>
      <c r="AB203" s="859" t="s">
        <v>162</v>
      </c>
      <c r="AC203" s="859" t="s">
        <v>162</v>
      </c>
      <c r="AD203" s="859" t="s">
        <v>162</v>
      </c>
      <c r="AE203" s="859" t="s">
        <v>162</v>
      </c>
      <c r="AF203" s="859" t="s">
        <v>162</v>
      </c>
      <c r="AG203" s="859" t="s">
        <v>162</v>
      </c>
      <c r="AH203" s="859" t="s">
        <v>162</v>
      </c>
      <c r="AI203" s="859" t="s">
        <v>162</v>
      </c>
      <c r="AJ203" s="859" t="s">
        <v>162</v>
      </c>
      <c r="AK203" s="859" t="s">
        <v>162</v>
      </c>
      <c r="AL203" s="859" t="s">
        <v>162</v>
      </c>
      <c r="AM203" s="859" t="s">
        <v>162</v>
      </c>
      <c r="AN203" s="859" t="s">
        <v>162</v>
      </c>
      <c r="AO203" s="859" t="s">
        <v>162</v>
      </c>
      <c r="AP203" s="859" t="s">
        <v>162</v>
      </c>
      <c r="AQ203" s="859" t="s">
        <v>162</v>
      </c>
      <c r="AR203" s="859" t="s">
        <v>162</v>
      </c>
      <c r="AS203" s="859" t="s">
        <v>162</v>
      </c>
      <c r="AT203" s="859" t="s">
        <v>162</v>
      </c>
      <c r="AU203" s="859" t="s">
        <v>162</v>
      </c>
      <c r="AV203" s="859" t="s">
        <v>162</v>
      </c>
      <c r="AW203" s="794"/>
      <c r="AX203" s="799" t="s">
        <v>984</v>
      </c>
      <c r="AY203" s="796"/>
    </row>
    <row r="204">
      <c r="A204" s="776"/>
      <c r="B204" s="538"/>
      <c r="C204" s="538"/>
      <c r="D204" s="538"/>
      <c r="E204" s="777"/>
      <c r="F204" s="533"/>
      <c r="G204" s="534"/>
      <c r="H204" s="680"/>
      <c r="I204" s="552"/>
      <c r="J204" s="552"/>
      <c r="K204" s="552"/>
      <c r="L204" s="552"/>
      <c r="M204" s="552"/>
      <c r="N204" s="552"/>
      <c r="O204" s="552"/>
      <c r="P204" s="552"/>
      <c r="Q204" s="553"/>
      <c r="R204" s="552"/>
      <c r="S204" s="552"/>
      <c r="T204" s="552"/>
      <c r="U204" s="552"/>
      <c r="V204" s="552"/>
      <c r="W204" s="552"/>
      <c r="X204" s="552"/>
      <c r="Y204" s="552"/>
      <c r="Z204" s="552"/>
      <c r="AA204" s="552"/>
      <c r="AB204" s="552"/>
      <c r="AC204" s="552"/>
      <c r="AD204" s="552"/>
      <c r="AE204" s="552"/>
      <c r="AF204" s="552"/>
      <c r="AG204" s="552"/>
      <c r="AH204" s="552"/>
      <c r="AI204" s="552"/>
      <c r="AJ204" s="552"/>
      <c r="AK204" s="552"/>
      <c r="AL204" s="552"/>
      <c r="AM204" s="552"/>
      <c r="AN204" s="552"/>
      <c r="AO204" s="552"/>
      <c r="AP204" s="552"/>
      <c r="AQ204" s="552"/>
      <c r="AR204" s="552"/>
      <c r="AS204" s="552"/>
      <c r="AT204" s="552"/>
      <c r="AU204" s="552"/>
      <c r="AV204" s="552"/>
      <c r="AW204" s="778"/>
      <c r="AX204" s="779"/>
      <c r="AY204" s="780"/>
    </row>
    <row r="205">
      <c r="A205" s="117" t="s">
        <v>6</v>
      </c>
      <c r="B205" s="7"/>
      <c r="C205" s="7"/>
      <c r="D205" s="7"/>
      <c r="E205" s="7"/>
      <c r="F205" s="7"/>
      <c r="G205" s="659"/>
      <c r="H205" s="771"/>
      <c r="I205" s="772"/>
      <c r="J205" s="772"/>
      <c r="K205" s="772"/>
      <c r="L205" s="772"/>
      <c r="M205" s="772"/>
      <c r="N205" s="772"/>
      <c r="O205" s="772"/>
      <c r="P205" s="772"/>
      <c r="Q205" s="679"/>
      <c r="R205" s="772"/>
      <c r="S205" s="772"/>
      <c r="T205" s="772"/>
      <c r="U205" s="772"/>
      <c r="V205" s="772"/>
      <c r="W205" s="772"/>
      <c r="X205" s="772"/>
      <c r="Y205" s="772"/>
      <c r="Z205" s="772"/>
      <c r="AA205" s="772"/>
      <c r="AB205" s="772"/>
      <c r="AC205" s="772"/>
      <c r="AD205" s="772"/>
      <c r="AE205" s="772"/>
      <c r="AF205" s="772"/>
      <c r="AG205" s="772"/>
      <c r="AH205" s="772"/>
      <c r="AI205" s="772"/>
      <c r="AJ205" s="772"/>
      <c r="AK205" s="772"/>
      <c r="AL205" s="772"/>
      <c r="AM205" s="772"/>
      <c r="AN205" s="772"/>
      <c r="AO205" s="772"/>
      <c r="AP205" s="772"/>
      <c r="AQ205" s="772"/>
      <c r="AR205" s="772"/>
      <c r="AS205" s="772"/>
      <c r="AT205" s="772"/>
      <c r="AU205" s="772"/>
      <c r="AV205" s="772"/>
      <c r="AW205" s="773"/>
      <c r="AX205" s="774"/>
      <c r="AY205" s="775"/>
    </row>
    <row r="206">
      <c r="A206" s="776"/>
      <c r="B206" s="538"/>
      <c r="C206" s="538"/>
      <c r="D206" s="538"/>
      <c r="E206" s="777"/>
      <c r="F206" s="533"/>
      <c r="G206" s="534"/>
      <c r="H206" s="680"/>
      <c r="I206" s="482"/>
      <c r="J206" s="482"/>
      <c r="K206" s="482"/>
      <c r="L206" s="482"/>
      <c r="M206" s="482"/>
      <c r="N206" s="482"/>
      <c r="O206" s="482"/>
      <c r="P206" s="482"/>
      <c r="Q206" s="132"/>
      <c r="R206" s="482"/>
      <c r="S206" s="482"/>
      <c r="T206" s="482"/>
      <c r="U206" s="482"/>
      <c r="V206" s="482"/>
      <c r="W206" s="482"/>
      <c r="X206" s="482"/>
      <c r="Y206" s="482"/>
      <c r="Z206" s="482"/>
      <c r="AA206" s="482"/>
      <c r="AB206" s="482"/>
      <c r="AC206" s="482"/>
      <c r="AD206" s="482"/>
      <c r="AE206" s="482"/>
      <c r="AF206" s="482"/>
      <c r="AG206" s="482"/>
      <c r="AH206" s="482"/>
      <c r="AI206" s="482"/>
      <c r="AJ206" s="482"/>
      <c r="AK206" s="482"/>
      <c r="AL206" s="482"/>
      <c r="AM206" s="482"/>
      <c r="AN206" s="482"/>
      <c r="AO206" s="482"/>
      <c r="AP206" s="482"/>
      <c r="AQ206" s="482"/>
      <c r="AR206" s="482"/>
      <c r="AS206" s="482"/>
      <c r="AT206" s="482"/>
      <c r="AU206" s="482"/>
      <c r="AV206" s="482"/>
      <c r="AW206" s="778"/>
      <c r="AX206" s="779"/>
      <c r="AY206" s="780"/>
    </row>
    <row r="207">
      <c r="A207" s="538"/>
      <c r="B207" s="538"/>
      <c r="C207" s="53" t="s">
        <v>480</v>
      </c>
      <c r="F207" s="533"/>
      <c r="G207" s="533"/>
      <c r="H207" s="680"/>
      <c r="I207" s="482"/>
      <c r="J207" s="482"/>
      <c r="K207" s="482"/>
      <c r="L207" s="482"/>
      <c r="M207" s="482"/>
      <c r="N207" s="482"/>
      <c r="O207" s="482"/>
      <c r="P207" s="482"/>
      <c r="Q207" s="132"/>
      <c r="R207" s="482"/>
      <c r="S207" s="482"/>
      <c r="T207" s="482"/>
      <c r="U207" s="482"/>
      <c r="V207" s="482"/>
      <c r="W207" s="482"/>
      <c r="X207" s="482"/>
      <c r="Y207" s="482"/>
      <c r="Z207" s="482"/>
      <c r="AA207" s="482"/>
      <c r="AB207" s="482"/>
      <c r="AC207" s="482"/>
      <c r="AD207" s="482"/>
      <c r="AE207" s="482"/>
      <c r="AF207" s="482"/>
      <c r="AG207" s="482"/>
      <c r="AH207" s="482"/>
      <c r="AI207" s="482"/>
      <c r="AJ207" s="482"/>
      <c r="AK207" s="482"/>
      <c r="AL207" s="482"/>
      <c r="AM207" s="482"/>
      <c r="AN207" s="482"/>
      <c r="AO207" s="482"/>
      <c r="AP207" s="482"/>
      <c r="AQ207" s="482"/>
      <c r="AR207" s="482"/>
      <c r="AS207" s="482"/>
      <c r="AT207" s="482"/>
      <c r="AU207" s="482"/>
      <c r="AV207" s="482"/>
      <c r="AW207" s="778"/>
      <c r="AX207" s="779"/>
      <c r="AY207" s="780"/>
    </row>
    <row r="208">
      <c r="A208" s="538"/>
      <c r="B208" s="538"/>
      <c r="C208" s="53"/>
      <c r="D208" s="53"/>
      <c r="E208" s="866" t="s">
        <v>481</v>
      </c>
      <c r="F208" s="539" t="s">
        <v>72</v>
      </c>
      <c r="G208" s="539" t="s">
        <v>165</v>
      </c>
      <c r="H208" s="783">
        <v>0.63</v>
      </c>
      <c r="I208" s="483" t="s">
        <v>162</v>
      </c>
      <c r="J208" s="483" t="s">
        <v>162</v>
      </c>
      <c r="K208" s="483" t="s">
        <v>162</v>
      </c>
      <c r="L208" s="483" t="s">
        <v>162</v>
      </c>
      <c r="M208" s="483" t="s">
        <v>162</v>
      </c>
      <c r="N208" s="483" t="s">
        <v>162</v>
      </c>
      <c r="O208" s="483" t="s">
        <v>162</v>
      </c>
      <c r="P208" s="483" t="s">
        <v>162</v>
      </c>
      <c r="Q208" s="194" t="s">
        <v>162</v>
      </c>
      <c r="R208" s="483" t="s">
        <v>162</v>
      </c>
      <c r="S208" s="483" t="s">
        <v>162</v>
      </c>
      <c r="T208" s="483" t="s">
        <v>162</v>
      </c>
      <c r="U208" s="483" t="s">
        <v>162</v>
      </c>
      <c r="V208" s="483" t="s">
        <v>162</v>
      </c>
      <c r="W208" s="483" t="s">
        <v>162</v>
      </c>
      <c r="X208" s="483" t="s">
        <v>162</v>
      </c>
      <c r="Y208" s="483" t="s">
        <v>162</v>
      </c>
      <c r="Z208" s="483" t="s">
        <v>162</v>
      </c>
      <c r="AA208" s="483" t="s">
        <v>162</v>
      </c>
      <c r="AB208" s="483" t="s">
        <v>162</v>
      </c>
      <c r="AC208" s="483" t="s">
        <v>162</v>
      </c>
      <c r="AD208" s="483" t="s">
        <v>162</v>
      </c>
      <c r="AE208" s="483" t="s">
        <v>162</v>
      </c>
      <c r="AF208" s="483" t="s">
        <v>162</v>
      </c>
      <c r="AG208" s="483" t="s">
        <v>162</v>
      </c>
      <c r="AH208" s="483" t="s">
        <v>162</v>
      </c>
      <c r="AI208" s="483" t="s">
        <v>162</v>
      </c>
      <c r="AJ208" s="483" t="s">
        <v>162</v>
      </c>
      <c r="AK208" s="483" t="s">
        <v>162</v>
      </c>
      <c r="AL208" s="483" t="s">
        <v>162</v>
      </c>
      <c r="AM208" s="483" t="s">
        <v>162</v>
      </c>
      <c r="AN208" s="483" t="s">
        <v>162</v>
      </c>
      <c r="AO208" s="483" t="s">
        <v>162</v>
      </c>
      <c r="AP208" s="483" t="s">
        <v>162</v>
      </c>
      <c r="AQ208" s="483" t="s">
        <v>162</v>
      </c>
      <c r="AR208" s="483" t="s">
        <v>162</v>
      </c>
      <c r="AS208" s="483" t="s">
        <v>162</v>
      </c>
      <c r="AT208" s="483" t="s">
        <v>162</v>
      </c>
      <c r="AU208" s="483" t="s">
        <v>162</v>
      </c>
      <c r="AV208" s="483" t="s">
        <v>162</v>
      </c>
      <c r="AW208" s="784"/>
      <c r="AX208" s="809" t="s">
        <v>1005</v>
      </c>
      <c r="AY208" s="786"/>
    </row>
    <row r="209">
      <c r="A209" s="538"/>
      <c r="B209" s="538"/>
      <c r="C209" s="53"/>
      <c r="D209" s="53"/>
      <c r="E209" s="867" t="s">
        <v>482</v>
      </c>
      <c r="F209" s="554" t="s">
        <v>72</v>
      </c>
      <c r="G209" s="554" t="s">
        <v>165</v>
      </c>
      <c r="H209" s="787">
        <v>0.5419</v>
      </c>
      <c r="I209" s="485" t="s">
        <v>162</v>
      </c>
      <c r="J209" s="485" t="s">
        <v>162</v>
      </c>
      <c r="K209" s="483" t="s">
        <v>162</v>
      </c>
      <c r="L209" s="483" t="s">
        <v>162</v>
      </c>
      <c r="M209" s="485" t="s">
        <v>162</v>
      </c>
      <c r="N209" s="485" t="s">
        <v>162</v>
      </c>
      <c r="O209" s="485" t="s">
        <v>162</v>
      </c>
      <c r="P209" s="485" t="s">
        <v>162</v>
      </c>
      <c r="Q209" s="214" t="s">
        <v>162</v>
      </c>
      <c r="R209" s="485" t="s">
        <v>162</v>
      </c>
      <c r="S209" s="485" t="s">
        <v>162</v>
      </c>
      <c r="T209" s="485" t="s">
        <v>162</v>
      </c>
      <c r="U209" s="485" t="s">
        <v>162</v>
      </c>
      <c r="V209" s="485" t="s">
        <v>162</v>
      </c>
      <c r="W209" s="485" t="s">
        <v>162</v>
      </c>
      <c r="X209" s="485" t="s">
        <v>162</v>
      </c>
      <c r="Y209" s="485" t="s">
        <v>162</v>
      </c>
      <c r="Z209" s="485" t="s">
        <v>162</v>
      </c>
      <c r="AA209" s="485" t="s">
        <v>162</v>
      </c>
      <c r="AB209" s="485" t="s">
        <v>162</v>
      </c>
      <c r="AC209" s="485" t="s">
        <v>162</v>
      </c>
      <c r="AD209" s="485" t="s">
        <v>162</v>
      </c>
      <c r="AE209" s="485" t="s">
        <v>162</v>
      </c>
      <c r="AF209" s="485" t="s">
        <v>162</v>
      </c>
      <c r="AG209" s="485" t="s">
        <v>162</v>
      </c>
      <c r="AH209" s="485" t="s">
        <v>162</v>
      </c>
      <c r="AI209" s="485" t="s">
        <v>162</v>
      </c>
      <c r="AJ209" s="485" t="s">
        <v>162</v>
      </c>
      <c r="AK209" s="485" t="s">
        <v>162</v>
      </c>
      <c r="AL209" s="483" t="s">
        <v>162</v>
      </c>
      <c r="AM209" s="483" t="s">
        <v>162</v>
      </c>
      <c r="AN209" s="483" t="s">
        <v>162</v>
      </c>
      <c r="AO209" s="485" t="s">
        <v>162</v>
      </c>
      <c r="AP209" s="485" t="s">
        <v>162</v>
      </c>
      <c r="AQ209" s="485" t="s">
        <v>162</v>
      </c>
      <c r="AR209" s="485" t="s">
        <v>162</v>
      </c>
      <c r="AS209" s="485" t="s">
        <v>162</v>
      </c>
      <c r="AT209" s="485" t="s">
        <v>162</v>
      </c>
      <c r="AU209" s="485" t="s">
        <v>162</v>
      </c>
      <c r="AV209" s="485" t="s">
        <v>162</v>
      </c>
      <c r="AW209" s="788"/>
      <c r="AX209" s="809" t="s">
        <v>1005</v>
      </c>
      <c r="AY209" s="790"/>
    </row>
    <row r="210">
      <c r="A210" s="538"/>
      <c r="B210" s="538"/>
      <c r="C210" s="53"/>
      <c r="D210" s="53"/>
      <c r="E210" s="867" t="s">
        <v>483</v>
      </c>
      <c r="F210" s="554" t="s">
        <v>72</v>
      </c>
      <c r="G210" s="554" t="s">
        <v>165</v>
      </c>
      <c r="H210" s="787">
        <v>0.3961</v>
      </c>
      <c r="I210" s="485" t="s">
        <v>162</v>
      </c>
      <c r="J210" s="485" t="s">
        <v>162</v>
      </c>
      <c r="K210" s="483" t="s">
        <v>162</v>
      </c>
      <c r="L210" s="483" t="s">
        <v>162</v>
      </c>
      <c r="M210" s="485" t="s">
        <v>162</v>
      </c>
      <c r="N210" s="485" t="s">
        <v>162</v>
      </c>
      <c r="O210" s="485" t="s">
        <v>162</v>
      </c>
      <c r="P210" s="485" t="s">
        <v>162</v>
      </c>
      <c r="Q210" s="214" t="s">
        <v>162</v>
      </c>
      <c r="R210" s="485" t="s">
        <v>162</v>
      </c>
      <c r="S210" s="485" t="s">
        <v>162</v>
      </c>
      <c r="T210" s="485" t="s">
        <v>162</v>
      </c>
      <c r="U210" s="485" t="s">
        <v>162</v>
      </c>
      <c r="V210" s="485" t="s">
        <v>162</v>
      </c>
      <c r="W210" s="485" t="s">
        <v>162</v>
      </c>
      <c r="X210" s="485" t="s">
        <v>162</v>
      </c>
      <c r="Y210" s="485" t="s">
        <v>162</v>
      </c>
      <c r="Z210" s="485" t="s">
        <v>162</v>
      </c>
      <c r="AA210" s="485" t="s">
        <v>162</v>
      </c>
      <c r="AB210" s="485" t="s">
        <v>162</v>
      </c>
      <c r="AC210" s="485" t="s">
        <v>162</v>
      </c>
      <c r="AD210" s="485" t="s">
        <v>162</v>
      </c>
      <c r="AE210" s="485" t="s">
        <v>162</v>
      </c>
      <c r="AF210" s="485" t="s">
        <v>162</v>
      </c>
      <c r="AG210" s="485" t="s">
        <v>162</v>
      </c>
      <c r="AH210" s="485" t="s">
        <v>162</v>
      </c>
      <c r="AI210" s="485" t="s">
        <v>162</v>
      </c>
      <c r="AJ210" s="485" t="s">
        <v>162</v>
      </c>
      <c r="AK210" s="485" t="s">
        <v>162</v>
      </c>
      <c r="AL210" s="483" t="s">
        <v>162</v>
      </c>
      <c r="AM210" s="483" t="s">
        <v>162</v>
      </c>
      <c r="AN210" s="483" t="s">
        <v>162</v>
      </c>
      <c r="AO210" s="485" t="s">
        <v>162</v>
      </c>
      <c r="AP210" s="485" t="s">
        <v>162</v>
      </c>
      <c r="AQ210" s="485" t="s">
        <v>162</v>
      </c>
      <c r="AR210" s="485" t="s">
        <v>162</v>
      </c>
      <c r="AS210" s="485" t="s">
        <v>162</v>
      </c>
      <c r="AT210" s="485" t="s">
        <v>162</v>
      </c>
      <c r="AU210" s="485" t="s">
        <v>162</v>
      </c>
      <c r="AV210" s="485" t="s">
        <v>162</v>
      </c>
      <c r="AW210" s="788"/>
      <c r="AX210" s="809" t="s">
        <v>1005</v>
      </c>
      <c r="AY210" s="790"/>
    </row>
    <row r="211">
      <c r="A211" s="538"/>
      <c r="B211" s="538"/>
      <c r="C211" s="53"/>
      <c r="D211" s="53"/>
      <c r="E211" s="867" t="s">
        <v>484</v>
      </c>
      <c r="F211" s="554" t="s">
        <v>72</v>
      </c>
      <c r="G211" s="554" t="s">
        <v>165</v>
      </c>
      <c r="H211" s="787">
        <v>0.2978</v>
      </c>
      <c r="I211" s="485" t="s">
        <v>162</v>
      </c>
      <c r="J211" s="485" t="s">
        <v>162</v>
      </c>
      <c r="K211" s="483" t="s">
        <v>162</v>
      </c>
      <c r="L211" s="483" t="s">
        <v>162</v>
      </c>
      <c r="M211" s="485" t="s">
        <v>162</v>
      </c>
      <c r="N211" s="485" t="s">
        <v>162</v>
      </c>
      <c r="O211" s="485" t="s">
        <v>162</v>
      </c>
      <c r="P211" s="485" t="s">
        <v>162</v>
      </c>
      <c r="Q211" s="214" t="s">
        <v>162</v>
      </c>
      <c r="R211" s="485" t="s">
        <v>162</v>
      </c>
      <c r="S211" s="485" t="s">
        <v>162</v>
      </c>
      <c r="T211" s="485" t="s">
        <v>162</v>
      </c>
      <c r="U211" s="485" t="s">
        <v>162</v>
      </c>
      <c r="V211" s="485" t="s">
        <v>162</v>
      </c>
      <c r="W211" s="485" t="s">
        <v>162</v>
      </c>
      <c r="X211" s="485" t="s">
        <v>162</v>
      </c>
      <c r="Y211" s="485" t="s">
        <v>162</v>
      </c>
      <c r="Z211" s="485" t="s">
        <v>162</v>
      </c>
      <c r="AA211" s="485" t="s">
        <v>162</v>
      </c>
      <c r="AB211" s="485" t="s">
        <v>162</v>
      </c>
      <c r="AC211" s="485" t="s">
        <v>162</v>
      </c>
      <c r="AD211" s="485" t="s">
        <v>162</v>
      </c>
      <c r="AE211" s="485" t="s">
        <v>162</v>
      </c>
      <c r="AF211" s="485" t="s">
        <v>162</v>
      </c>
      <c r="AG211" s="485" t="s">
        <v>162</v>
      </c>
      <c r="AH211" s="485" t="s">
        <v>162</v>
      </c>
      <c r="AI211" s="485" t="s">
        <v>162</v>
      </c>
      <c r="AJ211" s="485" t="s">
        <v>162</v>
      </c>
      <c r="AK211" s="485" t="s">
        <v>162</v>
      </c>
      <c r="AL211" s="483" t="s">
        <v>162</v>
      </c>
      <c r="AM211" s="483" t="s">
        <v>162</v>
      </c>
      <c r="AN211" s="483" t="s">
        <v>162</v>
      </c>
      <c r="AO211" s="485" t="s">
        <v>162</v>
      </c>
      <c r="AP211" s="485" t="s">
        <v>162</v>
      </c>
      <c r="AQ211" s="485" t="s">
        <v>162</v>
      </c>
      <c r="AR211" s="485" t="s">
        <v>162</v>
      </c>
      <c r="AS211" s="485" t="s">
        <v>162</v>
      </c>
      <c r="AT211" s="485" t="s">
        <v>162</v>
      </c>
      <c r="AU211" s="485" t="s">
        <v>162</v>
      </c>
      <c r="AV211" s="485" t="s">
        <v>162</v>
      </c>
      <c r="AW211" s="788"/>
      <c r="AX211" s="809" t="s">
        <v>1005</v>
      </c>
      <c r="AY211" s="790"/>
    </row>
    <row r="212">
      <c r="A212" s="538"/>
      <c r="B212" s="538"/>
      <c r="C212" s="53"/>
      <c r="D212" s="53"/>
      <c r="E212" s="867" t="s">
        <v>485</v>
      </c>
      <c r="F212" s="554" t="s">
        <v>72</v>
      </c>
      <c r="G212" s="554" t="s">
        <v>165</v>
      </c>
      <c r="H212" s="787">
        <v>0.4954</v>
      </c>
      <c r="I212" s="485" t="s">
        <v>162</v>
      </c>
      <c r="J212" s="485" t="s">
        <v>162</v>
      </c>
      <c r="K212" s="483" t="s">
        <v>162</v>
      </c>
      <c r="L212" s="483" t="s">
        <v>162</v>
      </c>
      <c r="M212" s="485" t="s">
        <v>162</v>
      </c>
      <c r="N212" s="485" t="s">
        <v>162</v>
      </c>
      <c r="O212" s="485" t="s">
        <v>162</v>
      </c>
      <c r="P212" s="485" t="s">
        <v>162</v>
      </c>
      <c r="Q212" s="214" t="s">
        <v>162</v>
      </c>
      <c r="R212" s="485" t="s">
        <v>162</v>
      </c>
      <c r="S212" s="485" t="s">
        <v>162</v>
      </c>
      <c r="T212" s="485" t="s">
        <v>162</v>
      </c>
      <c r="U212" s="485" t="s">
        <v>162</v>
      </c>
      <c r="V212" s="485" t="s">
        <v>162</v>
      </c>
      <c r="W212" s="485" t="s">
        <v>162</v>
      </c>
      <c r="X212" s="485" t="s">
        <v>162</v>
      </c>
      <c r="Y212" s="485" t="s">
        <v>162</v>
      </c>
      <c r="Z212" s="485" t="s">
        <v>162</v>
      </c>
      <c r="AA212" s="485" t="s">
        <v>162</v>
      </c>
      <c r="AB212" s="485" t="s">
        <v>162</v>
      </c>
      <c r="AC212" s="485" t="s">
        <v>162</v>
      </c>
      <c r="AD212" s="485" t="s">
        <v>162</v>
      </c>
      <c r="AE212" s="485" t="s">
        <v>162</v>
      </c>
      <c r="AF212" s="485" t="s">
        <v>162</v>
      </c>
      <c r="AG212" s="485" t="s">
        <v>162</v>
      </c>
      <c r="AH212" s="485" t="s">
        <v>162</v>
      </c>
      <c r="AI212" s="485" t="s">
        <v>162</v>
      </c>
      <c r="AJ212" s="485" t="s">
        <v>162</v>
      </c>
      <c r="AK212" s="485" t="s">
        <v>162</v>
      </c>
      <c r="AL212" s="483" t="s">
        <v>162</v>
      </c>
      <c r="AM212" s="483" t="s">
        <v>162</v>
      </c>
      <c r="AN212" s="483" t="s">
        <v>162</v>
      </c>
      <c r="AO212" s="485" t="s">
        <v>162</v>
      </c>
      <c r="AP212" s="485" t="s">
        <v>162</v>
      </c>
      <c r="AQ212" s="485" t="s">
        <v>162</v>
      </c>
      <c r="AR212" s="485" t="s">
        <v>162</v>
      </c>
      <c r="AS212" s="485" t="s">
        <v>162</v>
      </c>
      <c r="AT212" s="485" t="s">
        <v>162</v>
      </c>
      <c r="AU212" s="485" t="s">
        <v>162</v>
      </c>
      <c r="AV212" s="485" t="s">
        <v>162</v>
      </c>
      <c r="AW212" s="788"/>
      <c r="AX212" s="809" t="s">
        <v>1005</v>
      </c>
      <c r="AY212" s="790"/>
    </row>
    <row r="213">
      <c r="A213" s="538"/>
      <c r="B213" s="538"/>
      <c r="C213" s="53"/>
      <c r="D213" s="53"/>
      <c r="E213" s="867" t="s">
        <v>486</v>
      </c>
      <c r="F213" s="554" t="s">
        <v>72</v>
      </c>
      <c r="G213" s="554" t="s">
        <v>165</v>
      </c>
      <c r="H213" s="787">
        <v>0.3554</v>
      </c>
      <c r="I213" s="485" t="s">
        <v>162</v>
      </c>
      <c r="J213" s="485" t="s">
        <v>162</v>
      </c>
      <c r="K213" s="483" t="s">
        <v>162</v>
      </c>
      <c r="L213" s="483" t="s">
        <v>162</v>
      </c>
      <c r="M213" s="485" t="s">
        <v>162</v>
      </c>
      <c r="N213" s="485" t="s">
        <v>162</v>
      </c>
      <c r="O213" s="485" t="s">
        <v>162</v>
      </c>
      <c r="P213" s="485" t="s">
        <v>162</v>
      </c>
      <c r="Q213" s="214" t="s">
        <v>162</v>
      </c>
      <c r="R213" s="485" t="s">
        <v>162</v>
      </c>
      <c r="S213" s="485" t="s">
        <v>162</v>
      </c>
      <c r="T213" s="485" t="s">
        <v>162</v>
      </c>
      <c r="U213" s="485" t="s">
        <v>162</v>
      </c>
      <c r="V213" s="485" t="s">
        <v>162</v>
      </c>
      <c r="W213" s="485" t="s">
        <v>162</v>
      </c>
      <c r="X213" s="485" t="s">
        <v>162</v>
      </c>
      <c r="Y213" s="485" t="s">
        <v>162</v>
      </c>
      <c r="Z213" s="485" t="s">
        <v>162</v>
      </c>
      <c r="AA213" s="485" t="s">
        <v>162</v>
      </c>
      <c r="AB213" s="485" t="s">
        <v>162</v>
      </c>
      <c r="AC213" s="485" t="s">
        <v>162</v>
      </c>
      <c r="AD213" s="485" t="s">
        <v>162</v>
      </c>
      <c r="AE213" s="485" t="s">
        <v>162</v>
      </c>
      <c r="AF213" s="485" t="s">
        <v>162</v>
      </c>
      <c r="AG213" s="485" t="s">
        <v>162</v>
      </c>
      <c r="AH213" s="485" t="s">
        <v>162</v>
      </c>
      <c r="AI213" s="485" t="s">
        <v>162</v>
      </c>
      <c r="AJ213" s="485" t="s">
        <v>162</v>
      </c>
      <c r="AK213" s="485" t="s">
        <v>162</v>
      </c>
      <c r="AL213" s="483" t="s">
        <v>162</v>
      </c>
      <c r="AM213" s="483" t="s">
        <v>162</v>
      </c>
      <c r="AN213" s="483" t="s">
        <v>162</v>
      </c>
      <c r="AO213" s="485" t="s">
        <v>162</v>
      </c>
      <c r="AP213" s="485" t="s">
        <v>162</v>
      </c>
      <c r="AQ213" s="485" t="s">
        <v>162</v>
      </c>
      <c r="AR213" s="485" t="s">
        <v>162</v>
      </c>
      <c r="AS213" s="485" t="s">
        <v>162</v>
      </c>
      <c r="AT213" s="485" t="s">
        <v>162</v>
      </c>
      <c r="AU213" s="485" t="s">
        <v>162</v>
      </c>
      <c r="AV213" s="485" t="s">
        <v>162</v>
      </c>
      <c r="AW213" s="788"/>
      <c r="AX213" s="809" t="s">
        <v>1005</v>
      </c>
      <c r="AY213" s="790"/>
    </row>
    <row r="214">
      <c r="A214" s="538"/>
      <c r="B214" s="538"/>
      <c r="C214" s="53"/>
      <c r="D214" s="53"/>
      <c r="E214" s="867" t="s">
        <v>487</v>
      </c>
      <c r="F214" s="554" t="s">
        <v>72</v>
      </c>
      <c r="G214" s="554" t="s">
        <v>165</v>
      </c>
      <c r="H214" s="787">
        <v>0.266</v>
      </c>
      <c r="I214" s="485" t="s">
        <v>162</v>
      </c>
      <c r="J214" s="485" t="s">
        <v>162</v>
      </c>
      <c r="K214" s="483" t="s">
        <v>162</v>
      </c>
      <c r="L214" s="483" t="s">
        <v>162</v>
      </c>
      <c r="M214" s="485" t="s">
        <v>162</v>
      </c>
      <c r="N214" s="485" t="s">
        <v>162</v>
      </c>
      <c r="O214" s="485" t="s">
        <v>162</v>
      </c>
      <c r="P214" s="485" t="s">
        <v>162</v>
      </c>
      <c r="Q214" s="214" t="s">
        <v>162</v>
      </c>
      <c r="R214" s="485" t="s">
        <v>162</v>
      </c>
      <c r="S214" s="485" t="s">
        <v>162</v>
      </c>
      <c r="T214" s="485" t="s">
        <v>162</v>
      </c>
      <c r="U214" s="485" t="s">
        <v>162</v>
      </c>
      <c r="V214" s="485" t="s">
        <v>162</v>
      </c>
      <c r="W214" s="485" t="s">
        <v>162</v>
      </c>
      <c r="X214" s="485" t="s">
        <v>162</v>
      </c>
      <c r="Y214" s="485" t="s">
        <v>162</v>
      </c>
      <c r="Z214" s="485" t="s">
        <v>162</v>
      </c>
      <c r="AA214" s="485" t="s">
        <v>162</v>
      </c>
      <c r="AB214" s="485" t="s">
        <v>162</v>
      </c>
      <c r="AC214" s="485" t="s">
        <v>162</v>
      </c>
      <c r="AD214" s="485" t="s">
        <v>162</v>
      </c>
      <c r="AE214" s="485" t="s">
        <v>162</v>
      </c>
      <c r="AF214" s="485" t="s">
        <v>162</v>
      </c>
      <c r="AG214" s="485" t="s">
        <v>162</v>
      </c>
      <c r="AH214" s="485" t="s">
        <v>162</v>
      </c>
      <c r="AI214" s="485" t="s">
        <v>162</v>
      </c>
      <c r="AJ214" s="485" t="s">
        <v>162</v>
      </c>
      <c r="AK214" s="485" t="s">
        <v>162</v>
      </c>
      <c r="AL214" s="483" t="s">
        <v>162</v>
      </c>
      <c r="AM214" s="483" t="s">
        <v>162</v>
      </c>
      <c r="AN214" s="483" t="s">
        <v>162</v>
      </c>
      <c r="AO214" s="485" t="s">
        <v>162</v>
      </c>
      <c r="AP214" s="485" t="s">
        <v>162</v>
      </c>
      <c r="AQ214" s="485" t="s">
        <v>162</v>
      </c>
      <c r="AR214" s="485" t="s">
        <v>162</v>
      </c>
      <c r="AS214" s="485" t="s">
        <v>162</v>
      </c>
      <c r="AT214" s="485" t="s">
        <v>162</v>
      </c>
      <c r="AU214" s="485" t="s">
        <v>162</v>
      </c>
      <c r="AV214" s="485" t="s">
        <v>162</v>
      </c>
      <c r="AW214" s="788"/>
      <c r="AX214" s="809" t="s">
        <v>1005</v>
      </c>
      <c r="AY214" s="790"/>
    </row>
    <row r="215">
      <c r="A215" s="538"/>
      <c r="B215" s="538"/>
      <c r="C215" s="53"/>
      <c r="D215" s="53"/>
      <c r="E215" s="868" t="s">
        <v>488</v>
      </c>
      <c r="F215" s="559" t="s">
        <v>72</v>
      </c>
      <c r="G215" s="559" t="s">
        <v>165</v>
      </c>
      <c r="H215" s="793">
        <v>0.5894</v>
      </c>
      <c r="I215" s="487" t="s">
        <v>162</v>
      </c>
      <c r="J215" s="487" t="s">
        <v>162</v>
      </c>
      <c r="K215" s="487" t="s">
        <v>162</v>
      </c>
      <c r="L215" s="487" t="s">
        <v>162</v>
      </c>
      <c r="M215" s="487" t="s">
        <v>162</v>
      </c>
      <c r="N215" s="487" t="s">
        <v>162</v>
      </c>
      <c r="O215" s="487" t="s">
        <v>162</v>
      </c>
      <c r="P215" s="487" t="s">
        <v>162</v>
      </c>
      <c r="Q215" s="201" t="s">
        <v>162</v>
      </c>
      <c r="R215" s="487" t="s">
        <v>162</v>
      </c>
      <c r="S215" s="487" t="s">
        <v>162</v>
      </c>
      <c r="T215" s="487" t="s">
        <v>162</v>
      </c>
      <c r="U215" s="487" t="s">
        <v>162</v>
      </c>
      <c r="V215" s="487" t="s">
        <v>162</v>
      </c>
      <c r="W215" s="487" t="s">
        <v>162</v>
      </c>
      <c r="X215" s="487" t="s">
        <v>162</v>
      </c>
      <c r="Y215" s="487" t="s">
        <v>162</v>
      </c>
      <c r="Z215" s="487" t="s">
        <v>162</v>
      </c>
      <c r="AA215" s="487" t="s">
        <v>162</v>
      </c>
      <c r="AB215" s="487" t="s">
        <v>162</v>
      </c>
      <c r="AC215" s="487" t="s">
        <v>162</v>
      </c>
      <c r="AD215" s="487" t="s">
        <v>162</v>
      </c>
      <c r="AE215" s="487" t="s">
        <v>162</v>
      </c>
      <c r="AF215" s="487" t="s">
        <v>162</v>
      </c>
      <c r="AG215" s="487" t="s">
        <v>162</v>
      </c>
      <c r="AH215" s="487" t="s">
        <v>162</v>
      </c>
      <c r="AI215" s="487" t="s">
        <v>162</v>
      </c>
      <c r="AJ215" s="487" t="s">
        <v>162</v>
      </c>
      <c r="AK215" s="487" t="s">
        <v>162</v>
      </c>
      <c r="AL215" s="487" t="s">
        <v>162</v>
      </c>
      <c r="AM215" s="487" t="s">
        <v>162</v>
      </c>
      <c r="AN215" s="487" t="s">
        <v>162</v>
      </c>
      <c r="AO215" s="487" t="s">
        <v>162</v>
      </c>
      <c r="AP215" s="487" t="s">
        <v>162</v>
      </c>
      <c r="AQ215" s="487" t="s">
        <v>162</v>
      </c>
      <c r="AR215" s="487" t="s">
        <v>162</v>
      </c>
      <c r="AS215" s="487" t="s">
        <v>162</v>
      </c>
      <c r="AT215" s="487" t="s">
        <v>162</v>
      </c>
      <c r="AU215" s="487" t="s">
        <v>162</v>
      </c>
      <c r="AV215" s="487" t="s">
        <v>162</v>
      </c>
      <c r="AW215" s="794"/>
      <c r="AX215" s="835" t="s">
        <v>1005</v>
      </c>
      <c r="AY215" s="796"/>
    </row>
    <row r="216">
      <c r="A216" s="538"/>
      <c r="B216" s="538"/>
      <c r="C216" s="524"/>
      <c r="D216" s="524"/>
      <c r="E216" s="524"/>
      <c r="F216" s="533"/>
      <c r="G216" s="533"/>
      <c r="H216" s="680"/>
      <c r="I216" s="482"/>
      <c r="J216" s="482"/>
      <c r="K216" s="482"/>
      <c r="L216" s="482"/>
      <c r="M216" s="482"/>
      <c r="N216" s="482"/>
      <c r="O216" s="482"/>
      <c r="P216" s="482"/>
      <c r="Q216" s="132"/>
      <c r="R216" s="482"/>
      <c r="S216" s="482"/>
      <c r="T216" s="482"/>
      <c r="U216" s="482"/>
      <c r="V216" s="482"/>
      <c r="W216" s="482"/>
      <c r="X216" s="482"/>
      <c r="Y216" s="482"/>
      <c r="Z216" s="482"/>
      <c r="AA216" s="482"/>
      <c r="AB216" s="482"/>
      <c r="AC216" s="482"/>
      <c r="AD216" s="482"/>
      <c r="AE216" s="482"/>
      <c r="AF216" s="482"/>
      <c r="AG216" s="482"/>
      <c r="AH216" s="482"/>
      <c r="AI216" s="482"/>
      <c r="AJ216" s="482"/>
      <c r="AK216" s="482"/>
      <c r="AL216" s="482"/>
      <c r="AM216" s="482"/>
      <c r="AN216" s="482"/>
      <c r="AO216" s="482"/>
      <c r="AP216" s="482"/>
      <c r="AQ216" s="482"/>
      <c r="AR216" s="482"/>
      <c r="AS216" s="482"/>
      <c r="AT216" s="482"/>
      <c r="AU216" s="482"/>
      <c r="AV216" s="482"/>
      <c r="AW216" s="778"/>
      <c r="AX216" s="779"/>
      <c r="AY216" s="780"/>
    </row>
    <row r="217">
      <c r="A217" s="602"/>
      <c r="B217" s="602"/>
      <c r="C217" s="53" t="s">
        <v>489</v>
      </c>
      <c r="F217" s="869"/>
      <c r="G217" s="869"/>
      <c r="H217" s="870"/>
      <c r="I217" s="871"/>
      <c r="J217" s="871"/>
      <c r="K217" s="871"/>
      <c r="L217" s="871"/>
      <c r="M217" s="871"/>
      <c r="N217" s="871"/>
      <c r="O217" s="871"/>
      <c r="P217" s="871"/>
      <c r="Q217" s="872"/>
      <c r="R217" s="871"/>
      <c r="S217" s="871"/>
      <c r="T217" s="871"/>
      <c r="U217" s="871"/>
      <c r="V217" s="871"/>
      <c r="W217" s="871"/>
      <c r="X217" s="871"/>
      <c r="Y217" s="871"/>
      <c r="Z217" s="871"/>
      <c r="AA217" s="871"/>
      <c r="AB217" s="871"/>
      <c r="AC217" s="871"/>
      <c r="AD217" s="871"/>
      <c r="AE217" s="871"/>
      <c r="AF217" s="871"/>
      <c r="AG217" s="871"/>
      <c r="AH217" s="871"/>
      <c r="AI217" s="871"/>
      <c r="AJ217" s="871"/>
      <c r="AK217" s="871"/>
      <c r="AL217" s="871"/>
      <c r="AM217" s="871"/>
      <c r="AN217" s="871"/>
      <c r="AO217" s="871"/>
      <c r="AP217" s="871"/>
      <c r="AQ217" s="871"/>
      <c r="AR217" s="871"/>
      <c r="AS217" s="871"/>
      <c r="AT217" s="871"/>
      <c r="AU217" s="871"/>
      <c r="AV217" s="871"/>
      <c r="AW217" s="873"/>
      <c r="AX217" s="874"/>
      <c r="AY217" s="875"/>
    </row>
    <row r="218">
      <c r="A218" s="602"/>
      <c r="B218" s="602"/>
      <c r="C218" s="876"/>
      <c r="D218" s="876"/>
      <c r="E218" s="877" t="s">
        <v>490</v>
      </c>
      <c r="F218" s="878" t="s">
        <v>72</v>
      </c>
      <c r="G218" s="878" t="s">
        <v>165</v>
      </c>
      <c r="H218" s="879">
        <v>-0.2768959</v>
      </c>
      <c r="I218" s="880" t="s">
        <v>162</v>
      </c>
      <c r="J218" s="880" t="s">
        <v>162</v>
      </c>
      <c r="K218" s="880" t="s">
        <v>162</v>
      </c>
      <c r="L218" s="880" t="s">
        <v>162</v>
      </c>
      <c r="M218" s="880" t="s">
        <v>162</v>
      </c>
      <c r="N218" s="880" t="s">
        <v>162</v>
      </c>
      <c r="O218" s="880" t="s">
        <v>162</v>
      </c>
      <c r="P218" s="880" t="s">
        <v>162</v>
      </c>
      <c r="Q218" s="881" t="s">
        <v>162</v>
      </c>
      <c r="R218" s="880" t="s">
        <v>162</v>
      </c>
      <c r="S218" s="880" t="s">
        <v>162</v>
      </c>
      <c r="T218" s="880" t="s">
        <v>162</v>
      </c>
      <c r="U218" s="880" t="s">
        <v>162</v>
      </c>
      <c r="V218" s="880" t="s">
        <v>162</v>
      </c>
      <c r="W218" s="880" t="s">
        <v>162</v>
      </c>
      <c r="X218" s="880" t="s">
        <v>162</v>
      </c>
      <c r="Y218" s="880" t="s">
        <v>162</v>
      </c>
      <c r="Z218" s="880" t="s">
        <v>162</v>
      </c>
      <c r="AA218" s="880" t="s">
        <v>162</v>
      </c>
      <c r="AB218" s="880" t="s">
        <v>162</v>
      </c>
      <c r="AC218" s="880" t="s">
        <v>162</v>
      </c>
      <c r="AD218" s="880" t="s">
        <v>162</v>
      </c>
      <c r="AE218" s="880" t="s">
        <v>162</v>
      </c>
      <c r="AF218" s="880" t="s">
        <v>162</v>
      </c>
      <c r="AG218" s="880" t="s">
        <v>162</v>
      </c>
      <c r="AH218" s="880" t="s">
        <v>162</v>
      </c>
      <c r="AI218" s="880" t="s">
        <v>162</v>
      </c>
      <c r="AJ218" s="880" t="s">
        <v>162</v>
      </c>
      <c r="AK218" s="880" t="s">
        <v>162</v>
      </c>
      <c r="AL218" s="880" t="s">
        <v>162</v>
      </c>
      <c r="AM218" s="880" t="s">
        <v>162</v>
      </c>
      <c r="AN218" s="880" t="s">
        <v>162</v>
      </c>
      <c r="AO218" s="880" t="s">
        <v>162</v>
      </c>
      <c r="AP218" s="880" t="s">
        <v>162</v>
      </c>
      <c r="AQ218" s="880" t="s">
        <v>162</v>
      </c>
      <c r="AR218" s="880" t="s">
        <v>162</v>
      </c>
      <c r="AS218" s="880" t="s">
        <v>162</v>
      </c>
      <c r="AT218" s="880" t="s">
        <v>162</v>
      </c>
      <c r="AU218" s="880" t="s">
        <v>162</v>
      </c>
      <c r="AV218" s="880" t="s">
        <v>162</v>
      </c>
      <c r="AW218" s="882"/>
      <c r="AX218" s="883" t="s">
        <v>977</v>
      </c>
      <c r="AY218" s="770" t="s">
        <v>95</v>
      </c>
    </row>
    <row r="219">
      <c r="A219" s="602"/>
      <c r="B219" s="602"/>
      <c r="C219" s="876"/>
      <c r="D219" s="876"/>
      <c r="E219" s="876"/>
      <c r="F219" s="869"/>
      <c r="G219" s="869"/>
      <c r="H219" s="870"/>
      <c r="I219" s="871"/>
      <c r="J219" s="871"/>
      <c r="K219" s="871"/>
      <c r="L219" s="871"/>
      <c r="M219" s="871"/>
      <c r="N219" s="871"/>
      <c r="O219" s="871"/>
      <c r="P219" s="871"/>
      <c r="Q219" s="872"/>
      <c r="R219" s="871"/>
      <c r="S219" s="871"/>
      <c r="T219" s="871"/>
      <c r="U219" s="871"/>
      <c r="V219" s="871"/>
      <c r="W219" s="871"/>
      <c r="X219" s="871"/>
      <c r="Y219" s="871"/>
      <c r="Z219" s="871"/>
      <c r="AA219" s="871"/>
      <c r="AB219" s="871"/>
      <c r="AC219" s="871"/>
      <c r="AD219" s="871"/>
      <c r="AE219" s="871"/>
      <c r="AF219" s="871"/>
      <c r="AG219" s="871"/>
      <c r="AH219" s="871"/>
      <c r="AI219" s="871"/>
      <c r="AJ219" s="871"/>
      <c r="AK219" s="871"/>
      <c r="AL219" s="871"/>
      <c r="AM219" s="871"/>
      <c r="AN219" s="871"/>
      <c r="AO219" s="871"/>
      <c r="AP219" s="871"/>
      <c r="AQ219" s="871"/>
      <c r="AR219" s="871"/>
      <c r="AS219" s="871"/>
      <c r="AT219" s="871"/>
      <c r="AU219" s="871"/>
      <c r="AV219" s="871"/>
      <c r="AW219" s="873"/>
      <c r="AX219" s="874"/>
      <c r="AY219" s="875"/>
    </row>
    <row r="220">
      <c r="A220" s="538"/>
      <c r="B220" s="538"/>
      <c r="C220" s="53" t="s">
        <v>512</v>
      </c>
      <c r="F220" s="533"/>
      <c r="G220" s="533"/>
      <c r="H220" s="680"/>
      <c r="I220" s="482"/>
      <c r="J220" s="482"/>
      <c r="K220" s="482"/>
      <c r="L220" s="482"/>
      <c r="M220" s="482"/>
      <c r="N220" s="482"/>
      <c r="O220" s="482"/>
      <c r="P220" s="482"/>
      <c r="Q220" s="132"/>
      <c r="R220" s="482"/>
      <c r="S220" s="482"/>
      <c r="T220" s="482"/>
      <c r="U220" s="482"/>
      <c r="V220" s="482"/>
      <c r="W220" s="482"/>
      <c r="X220" s="482"/>
      <c r="Y220" s="482"/>
      <c r="Z220" s="482"/>
      <c r="AA220" s="482"/>
      <c r="AB220" s="482"/>
      <c r="AC220" s="482"/>
      <c r="AD220" s="482"/>
      <c r="AE220" s="482"/>
      <c r="AF220" s="482"/>
      <c r="AG220" s="482"/>
      <c r="AH220" s="482"/>
      <c r="AI220" s="482"/>
      <c r="AJ220" s="482"/>
      <c r="AK220" s="482"/>
      <c r="AL220" s="482"/>
      <c r="AM220" s="482"/>
      <c r="AN220" s="482"/>
      <c r="AO220" s="482"/>
      <c r="AP220" s="482"/>
      <c r="AQ220" s="482"/>
      <c r="AR220" s="482"/>
      <c r="AS220" s="482"/>
      <c r="AT220" s="482"/>
      <c r="AU220" s="482"/>
      <c r="AV220" s="482"/>
      <c r="AW220" s="778"/>
      <c r="AX220" s="779"/>
      <c r="AY220" s="780"/>
    </row>
    <row r="221">
      <c r="A221" s="776"/>
      <c r="B221" s="538"/>
      <c r="C221" s="538"/>
      <c r="D221" s="538"/>
      <c r="E221" s="782" t="s">
        <v>513</v>
      </c>
      <c r="F221" s="539" t="s">
        <v>72</v>
      </c>
      <c r="G221" s="540" t="s">
        <v>165</v>
      </c>
      <c r="H221" s="783">
        <v>0.1642</v>
      </c>
      <c r="I221" s="483" t="s">
        <v>162</v>
      </c>
      <c r="J221" s="483" t="s">
        <v>162</v>
      </c>
      <c r="K221" s="483" t="s">
        <v>162</v>
      </c>
      <c r="L221" s="483" t="s">
        <v>162</v>
      </c>
      <c r="M221" s="483" t="s">
        <v>162</v>
      </c>
      <c r="N221" s="483" t="s">
        <v>162</v>
      </c>
      <c r="O221" s="483" t="s">
        <v>162</v>
      </c>
      <c r="P221" s="483" t="s">
        <v>162</v>
      </c>
      <c r="Q221" s="194" t="s">
        <v>162</v>
      </c>
      <c r="R221" s="483" t="s">
        <v>162</v>
      </c>
      <c r="S221" s="483" t="s">
        <v>162</v>
      </c>
      <c r="T221" s="483" t="s">
        <v>162</v>
      </c>
      <c r="U221" s="483" t="s">
        <v>162</v>
      </c>
      <c r="V221" s="483" t="s">
        <v>162</v>
      </c>
      <c r="W221" s="483" t="s">
        <v>162</v>
      </c>
      <c r="X221" s="483" t="s">
        <v>162</v>
      </c>
      <c r="Y221" s="483" t="s">
        <v>162</v>
      </c>
      <c r="Z221" s="483" t="s">
        <v>162</v>
      </c>
      <c r="AA221" s="483" t="s">
        <v>162</v>
      </c>
      <c r="AB221" s="483" t="s">
        <v>162</v>
      </c>
      <c r="AC221" s="483" t="s">
        <v>162</v>
      </c>
      <c r="AD221" s="483" t="s">
        <v>162</v>
      </c>
      <c r="AE221" s="483" t="s">
        <v>162</v>
      </c>
      <c r="AF221" s="483" t="s">
        <v>162</v>
      </c>
      <c r="AG221" s="483" t="s">
        <v>162</v>
      </c>
      <c r="AH221" s="483" t="s">
        <v>162</v>
      </c>
      <c r="AI221" s="483" t="s">
        <v>162</v>
      </c>
      <c r="AJ221" s="483" t="s">
        <v>162</v>
      </c>
      <c r="AK221" s="483" t="s">
        <v>162</v>
      </c>
      <c r="AL221" s="483" t="s">
        <v>162</v>
      </c>
      <c r="AM221" s="483" t="s">
        <v>162</v>
      </c>
      <c r="AN221" s="483" t="s">
        <v>162</v>
      </c>
      <c r="AO221" s="483" t="s">
        <v>162</v>
      </c>
      <c r="AP221" s="483" t="s">
        <v>162</v>
      </c>
      <c r="AQ221" s="483" t="s">
        <v>162</v>
      </c>
      <c r="AR221" s="483" t="s">
        <v>162</v>
      </c>
      <c r="AS221" s="483" t="s">
        <v>162</v>
      </c>
      <c r="AT221" s="483" t="s">
        <v>162</v>
      </c>
      <c r="AU221" s="483" t="s">
        <v>162</v>
      </c>
      <c r="AV221" s="483" t="s">
        <v>162</v>
      </c>
      <c r="AW221" s="784"/>
      <c r="AX221" s="809" t="s">
        <v>1006</v>
      </c>
      <c r="AY221" s="786"/>
    </row>
    <row r="222">
      <c r="A222" s="776"/>
      <c r="B222" s="538"/>
      <c r="C222" s="538"/>
      <c r="D222" s="538"/>
      <c r="E222" s="782" t="s">
        <v>514</v>
      </c>
      <c r="F222" s="539" t="s">
        <v>72</v>
      </c>
      <c r="G222" s="540" t="s">
        <v>165</v>
      </c>
      <c r="H222" s="783">
        <v>0.2093</v>
      </c>
      <c r="I222" s="483" t="s">
        <v>162</v>
      </c>
      <c r="J222" s="483" t="s">
        <v>162</v>
      </c>
      <c r="K222" s="483" t="s">
        <v>162</v>
      </c>
      <c r="L222" s="483" t="s">
        <v>162</v>
      </c>
      <c r="M222" s="483" t="s">
        <v>162</v>
      </c>
      <c r="N222" s="483" t="s">
        <v>162</v>
      </c>
      <c r="O222" s="483" t="s">
        <v>162</v>
      </c>
      <c r="P222" s="483" t="s">
        <v>162</v>
      </c>
      <c r="Q222" s="194" t="s">
        <v>162</v>
      </c>
      <c r="R222" s="483" t="s">
        <v>162</v>
      </c>
      <c r="S222" s="483" t="s">
        <v>162</v>
      </c>
      <c r="T222" s="483" t="s">
        <v>162</v>
      </c>
      <c r="U222" s="483" t="s">
        <v>162</v>
      </c>
      <c r="V222" s="483" t="s">
        <v>162</v>
      </c>
      <c r="W222" s="483" t="s">
        <v>162</v>
      </c>
      <c r="X222" s="483" t="s">
        <v>162</v>
      </c>
      <c r="Y222" s="483" t="s">
        <v>162</v>
      </c>
      <c r="Z222" s="483" t="s">
        <v>162</v>
      </c>
      <c r="AA222" s="483" t="s">
        <v>162</v>
      </c>
      <c r="AB222" s="483" t="s">
        <v>162</v>
      </c>
      <c r="AC222" s="483" t="s">
        <v>162</v>
      </c>
      <c r="AD222" s="483" t="s">
        <v>162</v>
      </c>
      <c r="AE222" s="483" t="s">
        <v>162</v>
      </c>
      <c r="AF222" s="483" t="s">
        <v>162</v>
      </c>
      <c r="AG222" s="483" t="s">
        <v>162</v>
      </c>
      <c r="AH222" s="483" t="s">
        <v>162</v>
      </c>
      <c r="AI222" s="483" t="s">
        <v>162</v>
      </c>
      <c r="AJ222" s="483" t="s">
        <v>162</v>
      </c>
      <c r="AK222" s="483" t="s">
        <v>162</v>
      </c>
      <c r="AL222" s="483" t="s">
        <v>162</v>
      </c>
      <c r="AM222" s="483" t="s">
        <v>162</v>
      </c>
      <c r="AN222" s="483" t="s">
        <v>162</v>
      </c>
      <c r="AO222" s="483" t="s">
        <v>162</v>
      </c>
      <c r="AP222" s="483" t="s">
        <v>162</v>
      </c>
      <c r="AQ222" s="483" t="s">
        <v>162</v>
      </c>
      <c r="AR222" s="483" t="s">
        <v>162</v>
      </c>
      <c r="AS222" s="483" t="s">
        <v>162</v>
      </c>
      <c r="AT222" s="483" t="s">
        <v>162</v>
      </c>
      <c r="AU222" s="483" t="s">
        <v>162</v>
      </c>
      <c r="AV222" s="483" t="s">
        <v>162</v>
      </c>
      <c r="AW222" s="784"/>
      <c r="AX222" s="809" t="s">
        <v>1006</v>
      </c>
      <c r="AY222" s="786"/>
    </row>
    <row r="223">
      <c r="A223" s="776"/>
      <c r="B223" s="538"/>
      <c r="C223" s="538"/>
      <c r="D223" s="538"/>
      <c r="E223" s="475" t="s">
        <v>515</v>
      </c>
      <c r="F223" s="554" t="s">
        <v>72</v>
      </c>
      <c r="G223" s="555" t="s">
        <v>165</v>
      </c>
      <c r="H223" s="787">
        <v>0.2659</v>
      </c>
      <c r="I223" s="485" t="s">
        <v>162</v>
      </c>
      <c r="J223" s="485" t="s">
        <v>162</v>
      </c>
      <c r="K223" s="483" t="s">
        <v>162</v>
      </c>
      <c r="L223" s="483" t="s">
        <v>162</v>
      </c>
      <c r="M223" s="485" t="s">
        <v>162</v>
      </c>
      <c r="N223" s="485" t="s">
        <v>162</v>
      </c>
      <c r="O223" s="485" t="s">
        <v>162</v>
      </c>
      <c r="P223" s="485" t="s">
        <v>162</v>
      </c>
      <c r="Q223" s="214" t="s">
        <v>162</v>
      </c>
      <c r="R223" s="485" t="s">
        <v>162</v>
      </c>
      <c r="S223" s="485" t="s">
        <v>162</v>
      </c>
      <c r="T223" s="485" t="s">
        <v>162</v>
      </c>
      <c r="U223" s="485" t="s">
        <v>162</v>
      </c>
      <c r="V223" s="485" t="s">
        <v>162</v>
      </c>
      <c r="W223" s="485" t="s">
        <v>162</v>
      </c>
      <c r="X223" s="485" t="s">
        <v>162</v>
      </c>
      <c r="Y223" s="485" t="s">
        <v>162</v>
      </c>
      <c r="Z223" s="485" t="s">
        <v>162</v>
      </c>
      <c r="AA223" s="485" t="s">
        <v>162</v>
      </c>
      <c r="AB223" s="485" t="s">
        <v>162</v>
      </c>
      <c r="AC223" s="485" t="s">
        <v>162</v>
      </c>
      <c r="AD223" s="485" t="s">
        <v>162</v>
      </c>
      <c r="AE223" s="485" t="s">
        <v>162</v>
      </c>
      <c r="AF223" s="485" t="s">
        <v>162</v>
      </c>
      <c r="AG223" s="485" t="s">
        <v>162</v>
      </c>
      <c r="AH223" s="485" t="s">
        <v>162</v>
      </c>
      <c r="AI223" s="485" t="s">
        <v>162</v>
      </c>
      <c r="AJ223" s="485" t="s">
        <v>162</v>
      </c>
      <c r="AK223" s="485" t="s">
        <v>162</v>
      </c>
      <c r="AL223" s="483" t="s">
        <v>162</v>
      </c>
      <c r="AM223" s="483" t="s">
        <v>162</v>
      </c>
      <c r="AN223" s="483" t="s">
        <v>162</v>
      </c>
      <c r="AO223" s="485" t="s">
        <v>162</v>
      </c>
      <c r="AP223" s="485" t="s">
        <v>162</v>
      </c>
      <c r="AQ223" s="485" t="s">
        <v>162</v>
      </c>
      <c r="AR223" s="485" t="s">
        <v>162</v>
      </c>
      <c r="AS223" s="485" t="s">
        <v>162</v>
      </c>
      <c r="AT223" s="485" t="s">
        <v>162</v>
      </c>
      <c r="AU223" s="485" t="s">
        <v>162</v>
      </c>
      <c r="AV223" s="485" t="s">
        <v>162</v>
      </c>
      <c r="AW223" s="788"/>
      <c r="AX223" s="809" t="s">
        <v>1006</v>
      </c>
      <c r="AY223" s="790"/>
    </row>
    <row r="224">
      <c r="A224" s="776"/>
      <c r="B224" s="538"/>
      <c r="C224" s="538"/>
      <c r="D224" s="538"/>
      <c r="E224" s="475" t="s">
        <v>516</v>
      </c>
      <c r="F224" s="554" t="s">
        <v>72</v>
      </c>
      <c r="G224" s="555" t="s">
        <v>165</v>
      </c>
      <c r="H224" s="787">
        <v>0.275</v>
      </c>
      <c r="I224" s="485" t="s">
        <v>162</v>
      </c>
      <c r="J224" s="485" t="s">
        <v>162</v>
      </c>
      <c r="K224" s="483" t="s">
        <v>162</v>
      </c>
      <c r="L224" s="483" t="s">
        <v>162</v>
      </c>
      <c r="M224" s="485" t="s">
        <v>162</v>
      </c>
      <c r="N224" s="485" t="s">
        <v>162</v>
      </c>
      <c r="O224" s="485" t="s">
        <v>162</v>
      </c>
      <c r="P224" s="485" t="s">
        <v>162</v>
      </c>
      <c r="Q224" s="214" t="s">
        <v>162</v>
      </c>
      <c r="R224" s="485" t="s">
        <v>162</v>
      </c>
      <c r="S224" s="485" t="s">
        <v>162</v>
      </c>
      <c r="T224" s="485" t="s">
        <v>162</v>
      </c>
      <c r="U224" s="485" t="s">
        <v>162</v>
      </c>
      <c r="V224" s="485" t="s">
        <v>162</v>
      </c>
      <c r="W224" s="485" t="s">
        <v>162</v>
      </c>
      <c r="X224" s="485" t="s">
        <v>162</v>
      </c>
      <c r="Y224" s="485" t="s">
        <v>162</v>
      </c>
      <c r="Z224" s="485" t="s">
        <v>162</v>
      </c>
      <c r="AA224" s="485" t="s">
        <v>162</v>
      </c>
      <c r="AB224" s="485" t="s">
        <v>162</v>
      </c>
      <c r="AC224" s="485" t="s">
        <v>162</v>
      </c>
      <c r="AD224" s="485" t="s">
        <v>162</v>
      </c>
      <c r="AE224" s="485" t="s">
        <v>162</v>
      </c>
      <c r="AF224" s="485" t="s">
        <v>162</v>
      </c>
      <c r="AG224" s="485" t="s">
        <v>162</v>
      </c>
      <c r="AH224" s="485" t="s">
        <v>162</v>
      </c>
      <c r="AI224" s="485" t="s">
        <v>162</v>
      </c>
      <c r="AJ224" s="485" t="s">
        <v>162</v>
      </c>
      <c r="AK224" s="485" t="s">
        <v>162</v>
      </c>
      <c r="AL224" s="483" t="s">
        <v>162</v>
      </c>
      <c r="AM224" s="483" t="s">
        <v>162</v>
      </c>
      <c r="AN224" s="483" t="s">
        <v>162</v>
      </c>
      <c r="AO224" s="485" t="s">
        <v>162</v>
      </c>
      <c r="AP224" s="485" t="s">
        <v>162</v>
      </c>
      <c r="AQ224" s="485" t="s">
        <v>162</v>
      </c>
      <c r="AR224" s="485" t="s">
        <v>162</v>
      </c>
      <c r="AS224" s="485" t="s">
        <v>162</v>
      </c>
      <c r="AT224" s="485" t="s">
        <v>162</v>
      </c>
      <c r="AU224" s="485" t="s">
        <v>162</v>
      </c>
      <c r="AV224" s="485" t="s">
        <v>162</v>
      </c>
      <c r="AW224" s="788"/>
      <c r="AX224" s="809" t="s">
        <v>1006</v>
      </c>
      <c r="AY224" s="790"/>
    </row>
    <row r="225">
      <c r="A225" s="776"/>
      <c r="B225" s="538"/>
      <c r="C225" s="538"/>
      <c r="D225" s="538"/>
      <c r="E225" s="475" t="s">
        <v>517</v>
      </c>
      <c r="F225" s="554" t="s">
        <v>72</v>
      </c>
      <c r="G225" s="555" t="s">
        <v>165</v>
      </c>
      <c r="H225" s="787">
        <v>0.2227</v>
      </c>
      <c r="I225" s="485" t="s">
        <v>162</v>
      </c>
      <c r="J225" s="485" t="s">
        <v>162</v>
      </c>
      <c r="K225" s="483" t="s">
        <v>162</v>
      </c>
      <c r="L225" s="483" t="s">
        <v>162</v>
      </c>
      <c r="M225" s="485" t="s">
        <v>162</v>
      </c>
      <c r="N225" s="485" t="s">
        <v>162</v>
      </c>
      <c r="O225" s="485" t="s">
        <v>162</v>
      </c>
      <c r="P225" s="485" t="s">
        <v>162</v>
      </c>
      <c r="Q225" s="214" t="s">
        <v>162</v>
      </c>
      <c r="R225" s="485" t="s">
        <v>162</v>
      </c>
      <c r="S225" s="485" t="s">
        <v>162</v>
      </c>
      <c r="T225" s="485" t="s">
        <v>162</v>
      </c>
      <c r="U225" s="485" t="s">
        <v>162</v>
      </c>
      <c r="V225" s="485" t="s">
        <v>162</v>
      </c>
      <c r="W225" s="485" t="s">
        <v>162</v>
      </c>
      <c r="X225" s="485" t="s">
        <v>162</v>
      </c>
      <c r="Y225" s="485" t="s">
        <v>162</v>
      </c>
      <c r="Z225" s="485" t="s">
        <v>162</v>
      </c>
      <c r="AA225" s="485" t="s">
        <v>162</v>
      </c>
      <c r="AB225" s="485" t="s">
        <v>162</v>
      </c>
      <c r="AC225" s="485" t="s">
        <v>162</v>
      </c>
      <c r="AD225" s="485" t="s">
        <v>162</v>
      </c>
      <c r="AE225" s="485" t="s">
        <v>162</v>
      </c>
      <c r="AF225" s="485" t="s">
        <v>162</v>
      </c>
      <c r="AG225" s="485" t="s">
        <v>162</v>
      </c>
      <c r="AH225" s="485" t="s">
        <v>162</v>
      </c>
      <c r="AI225" s="485" t="s">
        <v>162</v>
      </c>
      <c r="AJ225" s="485" t="s">
        <v>162</v>
      </c>
      <c r="AK225" s="485" t="s">
        <v>162</v>
      </c>
      <c r="AL225" s="483" t="s">
        <v>162</v>
      </c>
      <c r="AM225" s="483" t="s">
        <v>162</v>
      </c>
      <c r="AN225" s="483" t="s">
        <v>162</v>
      </c>
      <c r="AO225" s="485" t="s">
        <v>162</v>
      </c>
      <c r="AP225" s="485" t="s">
        <v>162</v>
      </c>
      <c r="AQ225" s="485" t="s">
        <v>162</v>
      </c>
      <c r="AR225" s="485" t="s">
        <v>162</v>
      </c>
      <c r="AS225" s="485" t="s">
        <v>162</v>
      </c>
      <c r="AT225" s="485" t="s">
        <v>162</v>
      </c>
      <c r="AU225" s="485" t="s">
        <v>162</v>
      </c>
      <c r="AV225" s="485" t="s">
        <v>162</v>
      </c>
      <c r="AW225" s="788"/>
      <c r="AX225" s="809" t="s">
        <v>1006</v>
      </c>
      <c r="AY225" s="790"/>
    </row>
    <row r="226">
      <c r="A226" s="776"/>
      <c r="B226" s="538"/>
      <c r="C226" s="538"/>
      <c r="D226" s="538"/>
      <c r="E226" s="475" t="s">
        <v>518</v>
      </c>
      <c r="F226" s="554" t="s">
        <v>72</v>
      </c>
      <c r="G226" s="555" t="s">
        <v>165</v>
      </c>
      <c r="H226" s="787">
        <v>0.2726</v>
      </c>
      <c r="I226" s="485" t="s">
        <v>162</v>
      </c>
      <c r="J226" s="485" t="s">
        <v>162</v>
      </c>
      <c r="K226" s="483" t="s">
        <v>162</v>
      </c>
      <c r="L226" s="483" t="s">
        <v>162</v>
      </c>
      <c r="M226" s="485" t="s">
        <v>162</v>
      </c>
      <c r="N226" s="485" t="s">
        <v>162</v>
      </c>
      <c r="O226" s="485" t="s">
        <v>162</v>
      </c>
      <c r="P226" s="485" t="s">
        <v>162</v>
      </c>
      <c r="Q226" s="214" t="s">
        <v>162</v>
      </c>
      <c r="R226" s="485" t="s">
        <v>162</v>
      </c>
      <c r="S226" s="485" t="s">
        <v>162</v>
      </c>
      <c r="T226" s="485" t="s">
        <v>162</v>
      </c>
      <c r="U226" s="485" t="s">
        <v>162</v>
      </c>
      <c r="V226" s="485" t="s">
        <v>162</v>
      </c>
      <c r="W226" s="485" t="s">
        <v>162</v>
      </c>
      <c r="X226" s="485" t="s">
        <v>162</v>
      </c>
      <c r="Y226" s="485" t="s">
        <v>162</v>
      </c>
      <c r="Z226" s="485" t="s">
        <v>162</v>
      </c>
      <c r="AA226" s="485" t="s">
        <v>162</v>
      </c>
      <c r="AB226" s="485" t="s">
        <v>162</v>
      </c>
      <c r="AC226" s="485" t="s">
        <v>162</v>
      </c>
      <c r="AD226" s="485" t="s">
        <v>162</v>
      </c>
      <c r="AE226" s="485" t="s">
        <v>162</v>
      </c>
      <c r="AF226" s="485" t="s">
        <v>162</v>
      </c>
      <c r="AG226" s="485" t="s">
        <v>162</v>
      </c>
      <c r="AH226" s="485" t="s">
        <v>162</v>
      </c>
      <c r="AI226" s="485" t="s">
        <v>162</v>
      </c>
      <c r="AJ226" s="485" t="s">
        <v>162</v>
      </c>
      <c r="AK226" s="485" t="s">
        <v>162</v>
      </c>
      <c r="AL226" s="483" t="s">
        <v>162</v>
      </c>
      <c r="AM226" s="483" t="s">
        <v>162</v>
      </c>
      <c r="AN226" s="483" t="s">
        <v>162</v>
      </c>
      <c r="AO226" s="485" t="s">
        <v>162</v>
      </c>
      <c r="AP226" s="485" t="s">
        <v>162</v>
      </c>
      <c r="AQ226" s="485" t="s">
        <v>162</v>
      </c>
      <c r="AR226" s="485" t="s">
        <v>162</v>
      </c>
      <c r="AS226" s="485" t="s">
        <v>162</v>
      </c>
      <c r="AT226" s="485" t="s">
        <v>162</v>
      </c>
      <c r="AU226" s="485" t="s">
        <v>162</v>
      </c>
      <c r="AV226" s="485" t="s">
        <v>162</v>
      </c>
      <c r="AW226" s="788"/>
      <c r="AX226" s="809" t="s">
        <v>1006</v>
      </c>
      <c r="AY226" s="790"/>
    </row>
    <row r="227">
      <c r="A227" s="776"/>
      <c r="B227" s="538"/>
      <c r="C227" s="538"/>
      <c r="D227" s="538"/>
      <c r="E227" s="475" t="s">
        <v>519</v>
      </c>
      <c r="F227" s="554" t="s">
        <v>72</v>
      </c>
      <c r="G227" s="555" t="s">
        <v>165</v>
      </c>
      <c r="H227" s="787">
        <v>0.2471</v>
      </c>
      <c r="I227" s="485" t="s">
        <v>162</v>
      </c>
      <c r="J227" s="485" t="s">
        <v>162</v>
      </c>
      <c r="K227" s="483" t="s">
        <v>162</v>
      </c>
      <c r="L227" s="483" t="s">
        <v>162</v>
      </c>
      <c r="M227" s="485" t="s">
        <v>162</v>
      </c>
      <c r="N227" s="485" t="s">
        <v>162</v>
      </c>
      <c r="O227" s="485" t="s">
        <v>162</v>
      </c>
      <c r="P227" s="485" t="s">
        <v>162</v>
      </c>
      <c r="Q227" s="214" t="s">
        <v>162</v>
      </c>
      <c r="R227" s="485" t="s">
        <v>162</v>
      </c>
      <c r="S227" s="485" t="s">
        <v>162</v>
      </c>
      <c r="T227" s="485" t="s">
        <v>162</v>
      </c>
      <c r="U227" s="485" t="s">
        <v>162</v>
      </c>
      <c r="V227" s="485" t="s">
        <v>162</v>
      </c>
      <c r="W227" s="485" t="s">
        <v>162</v>
      </c>
      <c r="X227" s="485" t="s">
        <v>162</v>
      </c>
      <c r="Y227" s="485" t="s">
        <v>162</v>
      </c>
      <c r="Z227" s="485" t="s">
        <v>162</v>
      </c>
      <c r="AA227" s="485" t="s">
        <v>162</v>
      </c>
      <c r="AB227" s="485" t="s">
        <v>162</v>
      </c>
      <c r="AC227" s="485" t="s">
        <v>162</v>
      </c>
      <c r="AD227" s="485" t="s">
        <v>162</v>
      </c>
      <c r="AE227" s="485" t="s">
        <v>162</v>
      </c>
      <c r="AF227" s="485" t="s">
        <v>162</v>
      </c>
      <c r="AG227" s="485" t="s">
        <v>162</v>
      </c>
      <c r="AH227" s="485" t="s">
        <v>162</v>
      </c>
      <c r="AI227" s="485" t="s">
        <v>162</v>
      </c>
      <c r="AJ227" s="485" t="s">
        <v>162</v>
      </c>
      <c r="AK227" s="485" t="s">
        <v>162</v>
      </c>
      <c r="AL227" s="483" t="s">
        <v>162</v>
      </c>
      <c r="AM227" s="483" t="s">
        <v>162</v>
      </c>
      <c r="AN227" s="483" t="s">
        <v>162</v>
      </c>
      <c r="AO227" s="485" t="s">
        <v>162</v>
      </c>
      <c r="AP227" s="485" t="s">
        <v>162</v>
      </c>
      <c r="AQ227" s="485" t="s">
        <v>162</v>
      </c>
      <c r="AR227" s="485" t="s">
        <v>162</v>
      </c>
      <c r="AS227" s="485" t="s">
        <v>162</v>
      </c>
      <c r="AT227" s="485" t="s">
        <v>162</v>
      </c>
      <c r="AU227" s="485" t="s">
        <v>162</v>
      </c>
      <c r="AV227" s="485" t="s">
        <v>162</v>
      </c>
      <c r="AW227" s="788"/>
      <c r="AX227" s="809" t="s">
        <v>1006</v>
      </c>
      <c r="AY227" s="790"/>
    </row>
    <row r="228">
      <c r="A228" s="776"/>
      <c r="B228" s="538"/>
      <c r="C228" s="538"/>
      <c r="D228" s="538"/>
      <c r="E228" s="792" t="s">
        <v>520</v>
      </c>
      <c r="F228" s="559" t="s">
        <v>72</v>
      </c>
      <c r="G228" s="560" t="s">
        <v>165</v>
      </c>
      <c r="H228" s="793">
        <v>0.1432</v>
      </c>
      <c r="I228" s="487" t="s">
        <v>162</v>
      </c>
      <c r="J228" s="487" t="s">
        <v>162</v>
      </c>
      <c r="K228" s="487" t="s">
        <v>162</v>
      </c>
      <c r="L228" s="487" t="s">
        <v>162</v>
      </c>
      <c r="M228" s="487" t="s">
        <v>162</v>
      </c>
      <c r="N228" s="487" t="s">
        <v>162</v>
      </c>
      <c r="O228" s="487" t="s">
        <v>162</v>
      </c>
      <c r="P228" s="487" t="s">
        <v>162</v>
      </c>
      <c r="Q228" s="201" t="s">
        <v>162</v>
      </c>
      <c r="R228" s="487" t="s">
        <v>162</v>
      </c>
      <c r="S228" s="487" t="s">
        <v>162</v>
      </c>
      <c r="T228" s="487" t="s">
        <v>162</v>
      </c>
      <c r="U228" s="487" t="s">
        <v>162</v>
      </c>
      <c r="V228" s="487" t="s">
        <v>162</v>
      </c>
      <c r="W228" s="487" t="s">
        <v>162</v>
      </c>
      <c r="X228" s="487" t="s">
        <v>162</v>
      </c>
      <c r="Y228" s="487" t="s">
        <v>162</v>
      </c>
      <c r="Z228" s="487" t="s">
        <v>162</v>
      </c>
      <c r="AA228" s="487" t="s">
        <v>162</v>
      </c>
      <c r="AB228" s="487" t="s">
        <v>162</v>
      </c>
      <c r="AC228" s="487" t="s">
        <v>162</v>
      </c>
      <c r="AD228" s="487" t="s">
        <v>162</v>
      </c>
      <c r="AE228" s="487" t="s">
        <v>162</v>
      </c>
      <c r="AF228" s="487" t="s">
        <v>162</v>
      </c>
      <c r="AG228" s="487" t="s">
        <v>162</v>
      </c>
      <c r="AH228" s="487" t="s">
        <v>162</v>
      </c>
      <c r="AI228" s="487" t="s">
        <v>162</v>
      </c>
      <c r="AJ228" s="487" t="s">
        <v>162</v>
      </c>
      <c r="AK228" s="487" t="s">
        <v>162</v>
      </c>
      <c r="AL228" s="487" t="s">
        <v>162</v>
      </c>
      <c r="AM228" s="487" t="s">
        <v>162</v>
      </c>
      <c r="AN228" s="487" t="s">
        <v>162</v>
      </c>
      <c r="AO228" s="487" t="s">
        <v>162</v>
      </c>
      <c r="AP228" s="487" t="s">
        <v>162</v>
      </c>
      <c r="AQ228" s="487" t="s">
        <v>162</v>
      </c>
      <c r="AR228" s="487" t="s">
        <v>162</v>
      </c>
      <c r="AS228" s="487" t="s">
        <v>162</v>
      </c>
      <c r="AT228" s="487" t="s">
        <v>162</v>
      </c>
      <c r="AU228" s="487" t="s">
        <v>162</v>
      </c>
      <c r="AV228" s="487" t="s">
        <v>162</v>
      </c>
      <c r="AW228" s="794"/>
      <c r="AX228" s="835" t="s">
        <v>1006</v>
      </c>
      <c r="AY228" s="796"/>
    </row>
    <row r="229">
      <c r="A229" s="776"/>
      <c r="B229" s="538"/>
      <c r="C229" s="538"/>
      <c r="D229" s="538"/>
      <c r="E229" s="777"/>
      <c r="F229" s="533"/>
      <c r="G229" s="534"/>
      <c r="H229" s="680"/>
      <c r="I229" s="482"/>
      <c r="J229" s="482"/>
      <c r="K229" s="482"/>
      <c r="L229" s="482"/>
      <c r="M229" s="482"/>
      <c r="N229" s="482"/>
      <c r="O229" s="482"/>
      <c r="P229" s="482"/>
      <c r="Q229" s="132"/>
      <c r="R229" s="482"/>
      <c r="S229" s="482"/>
      <c r="T229" s="482"/>
      <c r="U229" s="482"/>
      <c r="V229" s="482"/>
      <c r="W229" s="482"/>
      <c r="X229" s="482"/>
      <c r="Y229" s="482"/>
      <c r="Z229" s="482"/>
      <c r="AA229" s="482"/>
      <c r="AB229" s="482"/>
      <c r="AC229" s="482"/>
      <c r="AD229" s="482"/>
      <c r="AE229" s="482"/>
      <c r="AF229" s="482"/>
      <c r="AG229" s="482"/>
      <c r="AH229" s="482"/>
      <c r="AI229" s="482"/>
      <c r="AJ229" s="482"/>
      <c r="AK229" s="482"/>
      <c r="AL229" s="482"/>
      <c r="AM229" s="482"/>
      <c r="AN229" s="482"/>
      <c r="AO229" s="482"/>
      <c r="AP229" s="482"/>
      <c r="AQ229" s="482"/>
      <c r="AR229" s="482"/>
      <c r="AS229" s="482"/>
      <c r="AT229" s="482"/>
      <c r="AU229" s="482"/>
      <c r="AV229" s="482"/>
      <c r="AW229" s="778"/>
      <c r="AX229" s="779"/>
      <c r="AY229" s="780"/>
    </row>
    <row r="230">
      <c r="A230" s="602"/>
      <c r="B230" s="602"/>
      <c r="C230" s="53" t="s">
        <v>1007</v>
      </c>
      <c r="F230" s="869"/>
      <c r="G230" s="869"/>
      <c r="H230" s="870"/>
      <c r="I230" s="871"/>
      <c r="J230" s="871"/>
      <c r="K230" s="871"/>
      <c r="L230" s="871"/>
      <c r="M230" s="871"/>
      <c r="N230" s="871"/>
      <c r="O230" s="871"/>
      <c r="P230" s="871"/>
      <c r="Q230" s="872"/>
      <c r="R230" s="871"/>
      <c r="S230" s="871"/>
      <c r="T230" s="871"/>
      <c r="U230" s="871"/>
      <c r="V230" s="871"/>
      <c r="W230" s="871"/>
      <c r="X230" s="871"/>
      <c r="Y230" s="871"/>
      <c r="Z230" s="871"/>
      <c r="AA230" s="871"/>
      <c r="AB230" s="871"/>
      <c r="AC230" s="871"/>
      <c r="AD230" s="871"/>
      <c r="AE230" s="871"/>
      <c r="AF230" s="871"/>
      <c r="AG230" s="871"/>
      <c r="AH230" s="871"/>
      <c r="AI230" s="871"/>
      <c r="AJ230" s="871"/>
      <c r="AK230" s="871"/>
      <c r="AL230" s="871"/>
      <c r="AM230" s="871"/>
      <c r="AN230" s="871"/>
      <c r="AO230" s="871"/>
      <c r="AP230" s="871"/>
      <c r="AQ230" s="871"/>
      <c r="AR230" s="871"/>
      <c r="AS230" s="871"/>
      <c r="AT230" s="871"/>
      <c r="AU230" s="871"/>
      <c r="AV230" s="871"/>
      <c r="AW230" s="873"/>
      <c r="AX230" s="874"/>
      <c r="AY230" s="875"/>
    </row>
    <row r="231">
      <c r="A231" s="602"/>
      <c r="B231" s="602"/>
      <c r="C231" s="53"/>
      <c r="D231" s="53"/>
      <c r="E231" s="490" t="s">
        <v>525</v>
      </c>
      <c r="F231" s="544" t="s">
        <v>72</v>
      </c>
      <c r="G231" s="544" t="s">
        <v>165</v>
      </c>
      <c r="H231" s="399">
        <v>0.85</v>
      </c>
      <c r="I231" s="884" t="s">
        <v>162</v>
      </c>
      <c r="J231" s="400" t="s">
        <v>162</v>
      </c>
      <c r="K231" s="400" t="s">
        <v>162</v>
      </c>
      <c r="L231" s="400" t="s">
        <v>162</v>
      </c>
      <c r="M231" s="400" t="s">
        <v>162</v>
      </c>
      <c r="N231" s="400" t="s">
        <v>162</v>
      </c>
      <c r="O231" s="400" t="s">
        <v>162</v>
      </c>
      <c r="P231" s="400" t="s">
        <v>162</v>
      </c>
      <c r="Q231" s="401" t="s">
        <v>162</v>
      </c>
      <c r="R231" s="400" t="s">
        <v>162</v>
      </c>
      <c r="S231" s="400" t="s">
        <v>162</v>
      </c>
      <c r="T231" s="400" t="s">
        <v>162</v>
      </c>
      <c r="U231" s="400" t="s">
        <v>162</v>
      </c>
      <c r="V231" s="400" t="s">
        <v>162</v>
      </c>
      <c r="W231" s="400" t="s">
        <v>162</v>
      </c>
      <c r="X231" s="400" t="s">
        <v>162</v>
      </c>
      <c r="Y231" s="400" t="s">
        <v>162</v>
      </c>
      <c r="Z231" s="400" t="s">
        <v>162</v>
      </c>
      <c r="AA231" s="400" t="s">
        <v>162</v>
      </c>
      <c r="AB231" s="400" t="s">
        <v>162</v>
      </c>
      <c r="AC231" s="400" t="s">
        <v>162</v>
      </c>
      <c r="AD231" s="400" t="s">
        <v>162</v>
      </c>
      <c r="AE231" s="400" t="s">
        <v>162</v>
      </c>
      <c r="AF231" s="400" t="s">
        <v>162</v>
      </c>
      <c r="AG231" s="400" t="s">
        <v>162</v>
      </c>
      <c r="AH231" s="400" t="s">
        <v>162</v>
      </c>
      <c r="AI231" s="400" t="s">
        <v>162</v>
      </c>
      <c r="AJ231" s="400" t="s">
        <v>162</v>
      </c>
      <c r="AK231" s="400" t="s">
        <v>162</v>
      </c>
      <c r="AL231" s="400" t="s">
        <v>162</v>
      </c>
      <c r="AM231" s="400" t="s">
        <v>162</v>
      </c>
      <c r="AN231" s="400" t="s">
        <v>162</v>
      </c>
      <c r="AO231" s="400" t="s">
        <v>162</v>
      </c>
      <c r="AP231" s="400" t="s">
        <v>162</v>
      </c>
      <c r="AQ231" s="400" t="s">
        <v>162</v>
      </c>
      <c r="AR231" s="400" t="s">
        <v>162</v>
      </c>
      <c r="AS231" s="400" t="s">
        <v>162</v>
      </c>
      <c r="AT231" s="400" t="s">
        <v>162</v>
      </c>
      <c r="AU231" s="400" t="s">
        <v>162</v>
      </c>
      <c r="AV231" s="401" t="s">
        <v>162</v>
      </c>
      <c r="AW231" s="400"/>
      <c r="AX231" s="885" t="s">
        <v>984</v>
      </c>
      <c r="AY231" s="400"/>
    </row>
    <row r="232">
      <c r="A232" s="776"/>
      <c r="B232" s="538"/>
      <c r="C232" s="538"/>
      <c r="D232" s="538"/>
      <c r="E232" s="777"/>
      <c r="F232" s="533"/>
      <c r="G232" s="534"/>
      <c r="H232" s="680"/>
      <c r="I232" s="482"/>
      <c r="J232" s="482"/>
      <c r="K232" s="482"/>
      <c r="L232" s="482"/>
      <c r="M232" s="482"/>
      <c r="N232" s="482"/>
      <c r="O232" s="482"/>
      <c r="P232" s="482"/>
      <c r="Q232" s="132"/>
      <c r="R232" s="482"/>
      <c r="S232" s="482"/>
      <c r="T232" s="482"/>
      <c r="U232" s="482"/>
      <c r="V232" s="482"/>
      <c r="W232" s="482"/>
      <c r="X232" s="482"/>
      <c r="Y232" s="482"/>
      <c r="Z232" s="482"/>
      <c r="AA232" s="482"/>
      <c r="AB232" s="482"/>
      <c r="AC232" s="482"/>
      <c r="AD232" s="482"/>
      <c r="AE232" s="482"/>
      <c r="AF232" s="482"/>
      <c r="AG232" s="482"/>
      <c r="AH232" s="482"/>
      <c r="AI232" s="482"/>
      <c r="AJ232" s="482"/>
      <c r="AK232" s="482"/>
      <c r="AL232" s="482"/>
      <c r="AM232" s="482"/>
      <c r="AN232" s="482"/>
      <c r="AO232" s="482"/>
      <c r="AP232" s="482"/>
      <c r="AQ232" s="482"/>
      <c r="AR232" s="482"/>
      <c r="AS232" s="482"/>
      <c r="AT232" s="482"/>
      <c r="AU232" s="482"/>
      <c r="AV232" s="482"/>
      <c r="AW232" s="778"/>
      <c r="AX232" s="779"/>
      <c r="AY232" s="780"/>
    </row>
    <row r="233">
      <c r="A233" s="117" t="s">
        <v>168</v>
      </c>
      <c r="B233" s="7"/>
      <c r="C233" s="7"/>
      <c r="D233" s="7"/>
      <c r="E233" s="7"/>
      <c r="F233" s="7"/>
      <c r="G233" s="659"/>
      <c r="H233" s="771"/>
      <c r="I233" s="772"/>
      <c r="J233" s="772"/>
      <c r="K233" s="772"/>
      <c r="L233" s="772"/>
      <c r="M233" s="772"/>
      <c r="N233" s="772"/>
      <c r="O233" s="772"/>
      <c r="P233" s="772"/>
      <c r="Q233" s="679"/>
      <c r="R233" s="772"/>
      <c r="S233" s="772"/>
      <c r="T233" s="772"/>
      <c r="U233" s="772"/>
      <c r="V233" s="772"/>
      <c r="W233" s="772"/>
      <c r="X233" s="772"/>
      <c r="Y233" s="772"/>
      <c r="Z233" s="772"/>
      <c r="AA233" s="772"/>
      <c r="AB233" s="772"/>
      <c r="AC233" s="772"/>
      <c r="AD233" s="772"/>
      <c r="AE233" s="772"/>
      <c r="AF233" s="772"/>
      <c r="AG233" s="772"/>
      <c r="AH233" s="772"/>
      <c r="AI233" s="772"/>
      <c r="AJ233" s="772"/>
      <c r="AK233" s="772"/>
      <c r="AL233" s="772"/>
      <c r="AM233" s="772"/>
      <c r="AN233" s="772"/>
      <c r="AO233" s="772"/>
      <c r="AP233" s="772"/>
      <c r="AQ233" s="772"/>
      <c r="AR233" s="772"/>
      <c r="AS233" s="772"/>
      <c r="AT233" s="772"/>
      <c r="AU233" s="772"/>
      <c r="AV233" s="772"/>
      <c r="AW233" s="773"/>
      <c r="AX233" s="774"/>
      <c r="AY233" s="775"/>
    </row>
    <row r="234">
      <c r="A234" s="687"/>
      <c r="B234" s="852"/>
      <c r="C234" s="852"/>
      <c r="D234" s="852"/>
      <c r="E234" s="853"/>
      <c r="F234" s="854"/>
      <c r="G234" s="855"/>
      <c r="H234" s="680"/>
      <c r="I234" s="482"/>
      <c r="J234" s="482"/>
      <c r="K234" s="482"/>
      <c r="L234" s="482"/>
      <c r="M234" s="482"/>
      <c r="N234" s="482"/>
      <c r="O234" s="482"/>
      <c r="P234" s="482"/>
      <c r="Q234" s="132"/>
      <c r="R234" s="482"/>
      <c r="S234" s="482"/>
      <c r="T234" s="482"/>
      <c r="U234" s="482"/>
      <c r="V234" s="482"/>
      <c r="W234" s="482"/>
      <c r="X234" s="482"/>
      <c r="Y234" s="482"/>
      <c r="Z234" s="482"/>
      <c r="AA234" s="482"/>
      <c r="AB234" s="482"/>
      <c r="AC234" s="482"/>
      <c r="AD234" s="482"/>
      <c r="AE234" s="482"/>
      <c r="AF234" s="482"/>
      <c r="AG234" s="482"/>
      <c r="AH234" s="482"/>
      <c r="AI234" s="482"/>
      <c r="AJ234" s="482"/>
      <c r="AK234" s="482"/>
      <c r="AL234" s="482"/>
      <c r="AM234" s="482"/>
      <c r="AN234" s="482"/>
      <c r="AO234" s="482"/>
      <c r="AP234" s="482"/>
      <c r="AQ234" s="482"/>
      <c r="AR234" s="482"/>
      <c r="AS234" s="482"/>
      <c r="AT234" s="482"/>
      <c r="AU234" s="482"/>
      <c r="AV234" s="482"/>
      <c r="AW234" s="778"/>
      <c r="AX234" s="779"/>
      <c r="AY234" s="780"/>
    </row>
    <row r="235">
      <c r="A235" s="776"/>
      <c r="B235" s="538"/>
      <c r="C235" s="143" t="s">
        <v>175</v>
      </c>
      <c r="F235" s="533"/>
      <c r="G235" s="534"/>
      <c r="H235" s="680"/>
      <c r="I235" s="482"/>
      <c r="J235" s="482"/>
      <c r="K235" s="482"/>
      <c r="L235" s="482"/>
      <c r="M235" s="482"/>
      <c r="N235" s="482"/>
      <c r="O235" s="482"/>
      <c r="P235" s="482"/>
      <c r="Q235" s="132"/>
      <c r="R235" s="482"/>
      <c r="S235" s="482"/>
      <c r="T235" s="482"/>
      <c r="U235" s="482"/>
      <c r="V235" s="482"/>
      <c r="W235" s="482"/>
      <c r="X235" s="482"/>
      <c r="Y235" s="482"/>
      <c r="Z235" s="482"/>
      <c r="AA235" s="482"/>
      <c r="AB235" s="482"/>
      <c r="AC235" s="482"/>
      <c r="AD235" s="482"/>
      <c r="AE235" s="482"/>
      <c r="AF235" s="482"/>
      <c r="AG235" s="482"/>
      <c r="AH235" s="482"/>
      <c r="AI235" s="482"/>
      <c r="AJ235" s="482"/>
      <c r="AK235" s="482"/>
      <c r="AL235" s="482"/>
      <c r="AM235" s="482"/>
      <c r="AN235" s="482"/>
      <c r="AO235" s="482"/>
      <c r="AP235" s="482"/>
      <c r="AQ235" s="482"/>
      <c r="AR235" s="482"/>
      <c r="AS235" s="482"/>
      <c r="AT235" s="482"/>
      <c r="AU235" s="482"/>
      <c r="AV235" s="482"/>
      <c r="AW235" s="778"/>
      <c r="AX235" s="779"/>
      <c r="AY235" s="780"/>
    </row>
    <row r="236">
      <c r="A236" s="538"/>
      <c r="B236" s="538"/>
      <c r="C236" s="538"/>
      <c r="D236" s="538"/>
      <c r="E236" s="800" t="s">
        <v>177</v>
      </c>
      <c r="F236" s="544" t="s">
        <v>72</v>
      </c>
      <c r="G236" s="544" t="s">
        <v>165</v>
      </c>
      <c r="H236" s="803">
        <v>-0.12</v>
      </c>
      <c r="I236" s="491" t="s">
        <v>162</v>
      </c>
      <c r="J236" s="491" t="s">
        <v>162</v>
      </c>
      <c r="K236" s="491" t="s">
        <v>162</v>
      </c>
      <c r="L236" s="491" t="s">
        <v>162</v>
      </c>
      <c r="M236" s="491" t="s">
        <v>162</v>
      </c>
      <c r="N236" s="491" t="s">
        <v>162</v>
      </c>
      <c r="O236" s="491" t="s">
        <v>162</v>
      </c>
      <c r="P236" s="491" t="s">
        <v>162</v>
      </c>
      <c r="Q236" s="184" t="s">
        <v>162</v>
      </c>
      <c r="R236" s="491" t="s">
        <v>162</v>
      </c>
      <c r="S236" s="491" t="s">
        <v>162</v>
      </c>
      <c r="T236" s="491" t="s">
        <v>162</v>
      </c>
      <c r="U236" s="491" t="s">
        <v>162</v>
      </c>
      <c r="V236" s="491" t="s">
        <v>162</v>
      </c>
      <c r="W236" s="491" t="s">
        <v>162</v>
      </c>
      <c r="X236" s="491" t="s">
        <v>162</v>
      </c>
      <c r="Y236" s="491" t="s">
        <v>162</v>
      </c>
      <c r="Z236" s="491" t="s">
        <v>162</v>
      </c>
      <c r="AA236" s="491" t="s">
        <v>162</v>
      </c>
      <c r="AB236" s="491" t="s">
        <v>162</v>
      </c>
      <c r="AC236" s="491" t="s">
        <v>162</v>
      </c>
      <c r="AD236" s="491" t="s">
        <v>162</v>
      </c>
      <c r="AE236" s="491" t="s">
        <v>162</v>
      </c>
      <c r="AF236" s="491" t="s">
        <v>162</v>
      </c>
      <c r="AG236" s="491" t="s">
        <v>162</v>
      </c>
      <c r="AH236" s="491" t="s">
        <v>162</v>
      </c>
      <c r="AI236" s="491" t="s">
        <v>162</v>
      </c>
      <c r="AJ236" s="491" t="s">
        <v>162</v>
      </c>
      <c r="AK236" s="491" t="s">
        <v>162</v>
      </c>
      <c r="AL236" s="491" t="s">
        <v>162</v>
      </c>
      <c r="AM236" s="491" t="s">
        <v>162</v>
      </c>
      <c r="AN236" s="491" t="s">
        <v>162</v>
      </c>
      <c r="AO236" s="491" t="s">
        <v>162</v>
      </c>
      <c r="AP236" s="491" t="s">
        <v>162</v>
      </c>
      <c r="AQ236" s="491" t="s">
        <v>162</v>
      </c>
      <c r="AR236" s="491" t="s">
        <v>162</v>
      </c>
      <c r="AS236" s="491" t="s">
        <v>162</v>
      </c>
      <c r="AT236" s="491" t="s">
        <v>162</v>
      </c>
      <c r="AU236" s="491" t="s">
        <v>162</v>
      </c>
      <c r="AV236" s="491" t="s">
        <v>162</v>
      </c>
      <c r="AW236" s="804"/>
      <c r="AX236" s="835" t="s">
        <v>1008</v>
      </c>
      <c r="AY236" s="806"/>
    </row>
    <row r="237">
      <c r="A237" s="776"/>
      <c r="B237" s="538"/>
      <c r="C237" s="538"/>
      <c r="D237" s="538"/>
      <c r="E237" s="777"/>
      <c r="F237" s="533"/>
      <c r="G237" s="534"/>
      <c r="H237" s="680"/>
      <c r="I237" s="482"/>
      <c r="J237" s="482"/>
      <c r="K237" s="482"/>
      <c r="L237" s="482"/>
      <c r="M237" s="482"/>
      <c r="N237" s="482"/>
      <c r="O237" s="482"/>
      <c r="P237" s="482"/>
      <c r="Q237" s="132"/>
      <c r="R237" s="482"/>
      <c r="S237" s="482"/>
      <c r="T237" s="482"/>
      <c r="U237" s="482"/>
      <c r="V237" s="482"/>
      <c r="W237" s="482"/>
      <c r="X237" s="482"/>
      <c r="Y237" s="482"/>
      <c r="Z237" s="482"/>
      <c r="AA237" s="482"/>
      <c r="AB237" s="482"/>
      <c r="AC237" s="482"/>
      <c r="AD237" s="482"/>
      <c r="AE237" s="482"/>
      <c r="AF237" s="482"/>
      <c r="AG237" s="482"/>
      <c r="AH237" s="482"/>
      <c r="AI237" s="482"/>
      <c r="AJ237" s="482"/>
      <c r="AK237" s="482"/>
      <c r="AL237" s="482"/>
      <c r="AM237" s="482"/>
      <c r="AN237" s="482"/>
      <c r="AO237" s="482"/>
      <c r="AP237" s="482"/>
      <c r="AQ237" s="482"/>
      <c r="AR237" s="482"/>
      <c r="AS237" s="482"/>
      <c r="AT237" s="482"/>
      <c r="AU237" s="482"/>
      <c r="AV237" s="482"/>
      <c r="AW237" s="778"/>
      <c r="AX237" s="779"/>
      <c r="AY237" s="780"/>
    </row>
    <row r="238">
      <c r="A238" s="117" t="s">
        <v>184</v>
      </c>
      <c r="B238" s="7"/>
      <c r="C238" s="7"/>
      <c r="D238" s="7"/>
      <c r="E238" s="7"/>
      <c r="F238" s="7"/>
      <c r="G238" s="659"/>
      <c r="H238" s="771"/>
      <c r="I238" s="772"/>
      <c r="J238" s="772"/>
      <c r="K238" s="772"/>
      <c r="L238" s="772"/>
      <c r="M238" s="772"/>
      <c r="N238" s="772"/>
      <c r="O238" s="772"/>
      <c r="P238" s="772"/>
      <c r="Q238" s="679"/>
      <c r="R238" s="772"/>
      <c r="S238" s="772"/>
      <c r="T238" s="772"/>
      <c r="U238" s="772"/>
      <c r="V238" s="772"/>
      <c r="W238" s="772"/>
      <c r="X238" s="772"/>
      <c r="Y238" s="772"/>
      <c r="Z238" s="772"/>
      <c r="AA238" s="772"/>
      <c r="AB238" s="772"/>
      <c r="AC238" s="772"/>
      <c r="AD238" s="772"/>
      <c r="AE238" s="772"/>
      <c r="AF238" s="772"/>
      <c r="AG238" s="772"/>
      <c r="AH238" s="772"/>
      <c r="AI238" s="772"/>
      <c r="AJ238" s="772"/>
      <c r="AK238" s="772"/>
      <c r="AL238" s="772"/>
      <c r="AM238" s="772"/>
      <c r="AN238" s="772"/>
      <c r="AO238" s="772"/>
      <c r="AP238" s="772"/>
      <c r="AQ238" s="772"/>
      <c r="AR238" s="772"/>
      <c r="AS238" s="772"/>
      <c r="AT238" s="772"/>
      <c r="AU238" s="772"/>
      <c r="AV238" s="772"/>
      <c r="AW238" s="773"/>
      <c r="AX238" s="774"/>
      <c r="AY238" s="775"/>
    </row>
    <row r="239">
      <c r="A239" s="122"/>
      <c r="B239" s="123"/>
      <c r="C239" s="183"/>
      <c r="D239" s="123"/>
      <c r="E239" s="445"/>
      <c r="F239" s="125"/>
      <c r="G239" s="126"/>
      <c r="H239" s="753"/>
      <c r="I239" s="315"/>
      <c r="J239" s="315"/>
      <c r="K239" s="315"/>
      <c r="L239" s="315"/>
      <c r="M239" s="315"/>
      <c r="N239" s="315"/>
      <c r="O239" s="315"/>
      <c r="P239" s="315"/>
      <c r="Q239" s="316"/>
      <c r="R239" s="315"/>
      <c r="S239" s="315"/>
      <c r="T239" s="315"/>
      <c r="U239" s="315"/>
      <c r="V239" s="315"/>
      <c r="W239" s="315"/>
      <c r="X239" s="315"/>
      <c r="Y239" s="315"/>
      <c r="Z239" s="315"/>
      <c r="AA239" s="315"/>
      <c r="AB239" s="315"/>
      <c r="AC239" s="315"/>
      <c r="AD239" s="315"/>
      <c r="AE239" s="315"/>
      <c r="AF239" s="315"/>
      <c r="AG239" s="315"/>
      <c r="AH239" s="315"/>
      <c r="AI239" s="315"/>
      <c r="AJ239" s="315"/>
      <c r="AK239" s="315"/>
      <c r="AL239" s="315"/>
      <c r="AM239" s="315"/>
      <c r="AN239" s="315"/>
      <c r="AO239" s="315"/>
      <c r="AP239" s="315"/>
      <c r="AQ239" s="315"/>
      <c r="AR239" s="315"/>
      <c r="AS239" s="315"/>
      <c r="AT239" s="315"/>
      <c r="AU239" s="315"/>
      <c r="AV239" s="315"/>
      <c r="AW239" s="68"/>
      <c r="AX239" s="754"/>
      <c r="AY239" s="755"/>
    </row>
    <row r="240">
      <c r="A240" s="122"/>
      <c r="B240" s="123"/>
      <c r="C240" s="187" t="s">
        <v>185</v>
      </c>
      <c r="F240" s="125"/>
      <c r="G240" s="126"/>
      <c r="H240" s="753"/>
      <c r="I240" s="315"/>
      <c r="J240" s="315"/>
      <c r="K240" s="315"/>
      <c r="L240" s="315"/>
      <c r="M240" s="315"/>
      <c r="N240" s="315"/>
      <c r="O240" s="315"/>
      <c r="P240" s="315"/>
      <c r="Q240" s="316"/>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c r="AN240" s="315"/>
      <c r="AO240" s="315"/>
      <c r="AP240" s="315"/>
      <c r="AQ240" s="315"/>
      <c r="AR240" s="315"/>
      <c r="AS240" s="315"/>
      <c r="AT240" s="315"/>
      <c r="AU240" s="315"/>
      <c r="AV240" s="315"/>
      <c r="AW240" s="68"/>
      <c r="AX240" s="754"/>
      <c r="AY240" s="755"/>
    </row>
    <row r="241">
      <c r="A241" s="122"/>
      <c r="B241" s="123"/>
      <c r="C241" s="342"/>
      <c r="D241" s="123"/>
      <c r="E241" s="782" t="s">
        <v>190</v>
      </c>
      <c r="F241" s="193" t="s">
        <v>72</v>
      </c>
      <c r="G241" s="235" t="s">
        <v>165</v>
      </c>
      <c r="H241" s="886">
        <v>0.75</v>
      </c>
      <c r="I241" s="665" t="s">
        <v>162</v>
      </c>
      <c r="J241" s="665" t="s">
        <v>162</v>
      </c>
      <c r="K241" s="665" t="s">
        <v>162</v>
      </c>
      <c r="L241" s="665" t="s">
        <v>162</v>
      </c>
      <c r="M241" s="665" t="s">
        <v>162</v>
      </c>
      <c r="N241" s="665" t="s">
        <v>162</v>
      </c>
      <c r="O241" s="665" t="s">
        <v>162</v>
      </c>
      <c r="P241" s="665" t="s">
        <v>162</v>
      </c>
      <c r="Q241" s="666" t="s">
        <v>162</v>
      </c>
      <c r="R241" s="665" t="s">
        <v>162</v>
      </c>
      <c r="S241" s="665" t="s">
        <v>162</v>
      </c>
      <c r="T241" s="665" t="s">
        <v>162</v>
      </c>
      <c r="U241" s="665" t="s">
        <v>162</v>
      </c>
      <c r="V241" s="665" t="s">
        <v>162</v>
      </c>
      <c r="W241" s="665" t="s">
        <v>162</v>
      </c>
      <c r="X241" s="665" t="s">
        <v>162</v>
      </c>
      <c r="Y241" s="665" t="s">
        <v>162</v>
      </c>
      <c r="Z241" s="665" t="s">
        <v>162</v>
      </c>
      <c r="AA241" s="665" t="s">
        <v>162</v>
      </c>
      <c r="AB241" s="665" t="s">
        <v>162</v>
      </c>
      <c r="AC241" s="665" t="s">
        <v>162</v>
      </c>
      <c r="AD241" s="665" t="s">
        <v>162</v>
      </c>
      <c r="AE241" s="665" t="s">
        <v>162</v>
      </c>
      <c r="AF241" s="665" t="s">
        <v>162</v>
      </c>
      <c r="AG241" s="665" t="s">
        <v>162</v>
      </c>
      <c r="AH241" s="665" t="s">
        <v>162</v>
      </c>
      <c r="AI241" s="665" t="s">
        <v>162</v>
      </c>
      <c r="AJ241" s="665" t="s">
        <v>162</v>
      </c>
      <c r="AK241" s="665" t="s">
        <v>162</v>
      </c>
      <c r="AL241" s="665" t="s">
        <v>162</v>
      </c>
      <c r="AM241" s="665" t="s">
        <v>162</v>
      </c>
      <c r="AN241" s="665" t="s">
        <v>162</v>
      </c>
      <c r="AO241" s="665" t="s">
        <v>162</v>
      </c>
      <c r="AP241" s="665" t="s">
        <v>162</v>
      </c>
      <c r="AQ241" s="665" t="s">
        <v>162</v>
      </c>
      <c r="AR241" s="665" t="s">
        <v>162</v>
      </c>
      <c r="AS241" s="665" t="s">
        <v>162</v>
      </c>
      <c r="AT241" s="665" t="s">
        <v>162</v>
      </c>
      <c r="AU241" s="665" t="s">
        <v>162</v>
      </c>
      <c r="AV241" s="665" t="s">
        <v>162</v>
      </c>
      <c r="AW241" s="887"/>
      <c r="AX241" s="888" t="s">
        <v>984</v>
      </c>
      <c r="AY241" s="889"/>
    </row>
    <row r="242">
      <c r="A242" s="122"/>
      <c r="B242" s="123"/>
      <c r="C242" s="342"/>
      <c r="D242" s="123"/>
      <c r="E242" s="792" t="s">
        <v>192</v>
      </c>
      <c r="F242" s="200" t="s">
        <v>72</v>
      </c>
      <c r="G242" s="273" t="s">
        <v>165</v>
      </c>
      <c r="H242" s="890">
        <v>1.0</v>
      </c>
      <c r="I242" s="337" t="s">
        <v>162</v>
      </c>
      <c r="J242" s="337" t="s">
        <v>162</v>
      </c>
      <c r="K242" s="337" t="s">
        <v>162</v>
      </c>
      <c r="L242" s="337" t="s">
        <v>162</v>
      </c>
      <c r="M242" s="337" t="s">
        <v>162</v>
      </c>
      <c r="N242" s="337" t="s">
        <v>162</v>
      </c>
      <c r="O242" s="337" t="s">
        <v>162</v>
      </c>
      <c r="P242" s="337" t="s">
        <v>162</v>
      </c>
      <c r="Q242" s="670" t="s">
        <v>162</v>
      </c>
      <c r="R242" s="337" t="s">
        <v>162</v>
      </c>
      <c r="S242" s="337" t="s">
        <v>162</v>
      </c>
      <c r="T242" s="337" t="s">
        <v>162</v>
      </c>
      <c r="U242" s="337" t="s">
        <v>162</v>
      </c>
      <c r="V242" s="337" t="s">
        <v>162</v>
      </c>
      <c r="W242" s="337" t="s">
        <v>162</v>
      </c>
      <c r="X242" s="337" t="s">
        <v>162</v>
      </c>
      <c r="Y242" s="337" t="s">
        <v>162</v>
      </c>
      <c r="Z242" s="337" t="s">
        <v>162</v>
      </c>
      <c r="AA242" s="337" t="s">
        <v>162</v>
      </c>
      <c r="AB242" s="337" t="s">
        <v>162</v>
      </c>
      <c r="AC242" s="337" t="s">
        <v>162</v>
      </c>
      <c r="AD242" s="337" t="s">
        <v>162</v>
      </c>
      <c r="AE242" s="337" t="s">
        <v>162</v>
      </c>
      <c r="AF242" s="337" t="s">
        <v>162</v>
      </c>
      <c r="AG242" s="337" t="s">
        <v>162</v>
      </c>
      <c r="AH242" s="337" t="s">
        <v>162</v>
      </c>
      <c r="AI242" s="337" t="s">
        <v>162</v>
      </c>
      <c r="AJ242" s="337" t="s">
        <v>162</v>
      </c>
      <c r="AK242" s="337" t="s">
        <v>162</v>
      </c>
      <c r="AL242" s="337" t="s">
        <v>162</v>
      </c>
      <c r="AM242" s="337" t="s">
        <v>162</v>
      </c>
      <c r="AN242" s="337" t="s">
        <v>162</v>
      </c>
      <c r="AO242" s="337" t="s">
        <v>162</v>
      </c>
      <c r="AP242" s="337" t="s">
        <v>162</v>
      </c>
      <c r="AQ242" s="337" t="s">
        <v>162</v>
      </c>
      <c r="AR242" s="337" t="s">
        <v>162</v>
      </c>
      <c r="AS242" s="337" t="s">
        <v>162</v>
      </c>
      <c r="AT242" s="337" t="s">
        <v>162</v>
      </c>
      <c r="AU242" s="337" t="s">
        <v>162</v>
      </c>
      <c r="AV242" s="337" t="s">
        <v>162</v>
      </c>
      <c r="AW242" s="891"/>
      <c r="AX242" s="892" t="s">
        <v>984</v>
      </c>
      <c r="AY242" s="893"/>
    </row>
    <row r="243">
      <c r="A243" s="122"/>
      <c r="B243" s="123"/>
      <c r="C243" s="342"/>
      <c r="D243" s="123"/>
      <c r="E243" s="445"/>
      <c r="F243" s="125"/>
      <c r="G243" s="126"/>
      <c r="H243" s="753"/>
      <c r="I243" s="315"/>
      <c r="J243" s="315"/>
      <c r="K243" s="315"/>
      <c r="L243" s="315"/>
      <c r="M243" s="315"/>
      <c r="N243" s="315"/>
      <c r="O243" s="315"/>
      <c r="P243" s="315"/>
      <c r="Q243" s="316"/>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c r="AN243" s="315"/>
      <c r="AO243" s="315"/>
      <c r="AP243" s="315"/>
      <c r="AQ243" s="315"/>
      <c r="AR243" s="315"/>
      <c r="AS243" s="315"/>
      <c r="AT243" s="315"/>
      <c r="AU243" s="315"/>
      <c r="AV243" s="315"/>
      <c r="AW243" s="68"/>
      <c r="AX243" s="754"/>
      <c r="AY243" s="755"/>
    </row>
    <row r="244">
      <c r="A244" s="122"/>
      <c r="B244" s="123"/>
      <c r="C244" s="131" t="s">
        <v>1009</v>
      </c>
      <c r="F244" s="141"/>
      <c r="G244" s="141"/>
      <c r="H244" s="894"/>
      <c r="I244" s="895"/>
      <c r="J244" s="895"/>
      <c r="K244" s="895"/>
      <c r="L244" s="895"/>
      <c r="M244" s="895"/>
      <c r="N244" s="895"/>
      <c r="O244" s="895"/>
      <c r="P244" s="895"/>
      <c r="Q244" s="896"/>
      <c r="R244" s="895"/>
      <c r="S244" s="895"/>
      <c r="T244" s="895"/>
      <c r="U244" s="895"/>
      <c r="V244" s="895"/>
      <c r="W244" s="895"/>
      <c r="X244" s="895"/>
      <c r="Y244" s="895"/>
      <c r="Z244" s="895"/>
      <c r="AA244" s="895"/>
      <c r="AB244" s="895"/>
      <c r="AC244" s="895"/>
      <c r="AD244" s="895"/>
      <c r="AE244" s="895"/>
      <c r="AF244" s="895"/>
      <c r="AG244" s="895"/>
      <c r="AH244" s="895"/>
      <c r="AI244" s="895"/>
      <c r="AJ244" s="895"/>
      <c r="AK244" s="895"/>
      <c r="AL244" s="895"/>
      <c r="AM244" s="895"/>
      <c r="AN244" s="895"/>
      <c r="AO244" s="895"/>
      <c r="AP244" s="895"/>
      <c r="AQ244" s="895"/>
      <c r="AR244" s="895"/>
      <c r="AS244" s="895"/>
      <c r="AT244" s="895"/>
      <c r="AU244" s="895"/>
      <c r="AV244" s="895"/>
      <c r="AW244" s="68"/>
      <c r="AX244" s="897"/>
      <c r="AY244" s="755"/>
    </row>
    <row r="245">
      <c r="A245" s="122"/>
      <c r="B245" s="123"/>
      <c r="C245" s="131"/>
      <c r="D245" s="131"/>
      <c r="E245" s="898" t="s">
        <v>201</v>
      </c>
      <c r="F245" s="193" t="s">
        <v>72</v>
      </c>
      <c r="G245" s="193" t="s">
        <v>165</v>
      </c>
      <c r="H245" s="899">
        <v>0.005</v>
      </c>
      <c r="I245" s="900" t="s">
        <v>162</v>
      </c>
      <c r="J245" s="900" t="s">
        <v>162</v>
      </c>
      <c r="K245" s="900" t="s">
        <v>162</v>
      </c>
      <c r="L245" s="900" t="s">
        <v>162</v>
      </c>
      <c r="M245" s="900" t="s">
        <v>162</v>
      </c>
      <c r="N245" s="900" t="s">
        <v>162</v>
      </c>
      <c r="O245" s="900" t="s">
        <v>162</v>
      </c>
      <c r="P245" s="900" t="s">
        <v>162</v>
      </c>
      <c r="Q245" s="901" t="s">
        <v>162</v>
      </c>
      <c r="R245" s="900" t="s">
        <v>162</v>
      </c>
      <c r="S245" s="900" t="s">
        <v>162</v>
      </c>
      <c r="T245" s="900" t="s">
        <v>162</v>
      </c>
      <c r="U245" s="900" t="s">
        <v>162</v>
      </c>
      <c r="V245" s="900" t="s">
        <v>162</v>
      </c>
      <c r="W245" s="900" t="s">
        <v>162</v>
      </c>
      <c r="X245" s="900" t="s">
        <v>162</v>
      </c>
      <c r="Y245" s="900" t="s">
        <v>162</v>
      </c>
      <c r="Z245" s="900" t="s">
        <v>162</v>
      </c>
      <c r="AA245" s="900" t="s">
        <v>162</v>
      </c>
      <c r="AB245" s="900" t="s">
        <v>162</v>
      </c>
      <c r="AC245" s="900" t="s">
        <v>162</v>
      </c>
      <c r="AD245" s="900" t="s">
        <v>162</v>
      </c>
      <c r="AE245" s="900" t="s">
        <v>162</v>
      </c>
      <c r="AF245" s="900" t="s">
        <v>162</v>
      </c>
      <c r="AG245" s="900" t="s">
        <v>162</v>
      </c>
      <c r="AH245" s="900" t="s">
        <v>162</v>
      </c>
      <c r="AI245" s="900" t="s">
        <v>162</v>
      </c>
      <c r="AJ245" s="900" t="s">
        <v>162</v>
      </c>
      <c r="AK245" s="900" t="s">
        <v>162</v>
      </c>
      <c r="AL245" s="900" t="s">
        <v>162</v>
      </c>
      <c r="AM245" s="900" t="s">
        <v>162</v>
      </c>
      <c r="AN245" s="900" t="s">
        <v>162</v>
      </c>
      <c r="AO245" s="900" t="s">
        <v>162</v>
      </c>
      <c r="AP245" s="900" t="s">
        <v>162</v>
      </c>
      <c r="AQ245" s="900" t="s">
        <v>162</v>
      </c>
      <c r="AR245" s="900" t="s">
        <v>162</v>
      </c>
      <c r="AS245" s="900" t="s">
        <v>162</v>
      </c>
      <c r="AT245" s="900" t="s">
        <v>162</v>
      </c>
      <c r="AU245" s="900" t="s">
        <v>162</v>
      </c>
      <c r="AV245" s="900" t="s">
        <v>162</v>
      </c>
      <c r="AW245" s="887"/>
      <c r="AX245" s="902" t="s">
        <v>984</v>
      </c>
      <c r="AY245" s="903"/>
    </row>
    <row r="246">
      <c r="A246" s="122"/>
      <c r="B246" s="123"/>
      <c r="C246" s="131"/>
      <c r="D246" s="131"/>
      <c r="E246" s="810" t="s">
        <v>202</v>
      </c>
      <c r="F246" s="213" t="s">
        <v>62</v>
      </c>
      <c r="G246" s="213" t="s">
        <v>165</v>
      </c>
      <c r="H246" s="904">
        <f>AVERAGE(5,15)</f>
        <v>10</v>
      </c>
      <c r="I246" s="905" t="s">
        <v>162</v>
      </c>
      <c r="J246" s="905" t="s">
        <v>162</v>
      </c>
      <c r="K246" s="900" t="s">
        <v>162</v>
      </c>
      <c r="L246" s="900" t="s">
        <v>162</v>
      </c>
      <c r="M246" s="905" t="s">
        <v>162</v>
      </c>
      <c r="N246" s="905" t="s">
        <v>162</v>
      </c>
      <c r="O246" s="905" t="s">
        <v>162</v>
      </c>
      <c r="P246" s="905" t="s">
        <v>162</v>
      </c>
      <c r="Q246" s="906" t="s">
        <v>162</v>
      </c>
      <c r="R246" s="905" t="s">
        <v>162</v>
      </c>
      <c r="S246" s="905" t="s">
        <v>162</v>
      </c>
      <c r="T246" s="905" t="s">
        <v>162</v>
      </c>
      <c r="U246" s="905" t="s">
        <v>162</v>
      </c>
      <c r="V246" s="905" t="s">
        <v>162</v>
      </c>
      <c r="W246" s="905" t="s">
        <v>162</v>
      </c>
      <c r="X246" s="905" t="s">
        <v>162</v>
      </c>
      <c r="Y246" s="905" t="s">
        <v>162</v>
      </c>
      <c r="Z246" s="905" t="s">
        <v>162</v>
      </c>
      <c r="AA246" s="905" t="s">
        <v>162</v>
      </c>
      <c r="AB246" s="905" t="s">
        <v>162</v>
      </c>
      <c r="AC246" s="905" t="s">
        <v>162</v>
      </c>
      <c r="AD246" s="905" t="s">
        <v>162</v>
      </c>
      <c r="AE246" s="905" t="s">
        <v>162</v>
      </c>
      <c r="AF246" s="905" t="s">
        <v>162</v>
      </c>
      <c r="AG246" s="905" t="s">
        <v>162</v>
      </c>
      <c r="AH246" s="905" t="s">
        <v>162</v>
      </c>
      <c r="AI246" s="905" t="s">
        <v>162</v>
      </c>
      <c r="AJ246" s="905" t="s">
        <v>162</v>
      </c>
      <c r="AK246" s="905" t="s">
        <v>162</v>
      </c>
      <c r="AL246" s="905" t="s">
        <v>162</v>
      </c>
      <c r="AM246" s="900" t="s">
        <v>162</v>
      </c>
      <c r="AN246" s="900" t="s">
        <v>162</v>
      </c>
      <c r="AO246" s="905" t="s">
        <v>162</v>
      </c>
      <c r="AP246" s="905" t="s">
        <v>162</v>
      </c>
      <c r="AQ246" s="905" t="s">
        <v>162</v>
      </c>
      <c r="AR246" s="905" t="s">
        <v>162</v>
      </c>
      <c r="AS246" s="905" t="s">
        <v>162</v>
      </c>
      <c r="AT246" s="905" t="s">
        <v>162</v>
      </c>
      <c r="AU246" s="905" t="s">
        <v>162</v>
      </c>
      <c r="AV246" s="905" t="s">
        <v>162</v>
      </c>
      <c r="AW246" s="907"/>
      <c r="AX246" s="908"/>
      <c r="AY246" s="909"/>
    </row>
    <row r="247">
      <c r="A247" s="122"/>
      <c r="B247" s="123"/>
      <c r="C247" s="131"/>
      <c r="D247" s="131"/>
      <c r="E247" s="810" t="s">
        <v>211</v>
      </c>
      <c r="F247" s="213" t="s">
        <v>62</v>
      </c>
      <c r="G247" s="213" t="s">
        <v>165</v>
      </c>
      <c r="H247" s="904">
        <f>AVERAGE(15,50)</f>
        <v>32.5</v>
      </c>
      <c r="I247" s="905" t="s">
        <v>162</v>
      </c>
      <c r="J247" s="905" t="s">
        <v>162</v>
      </c>
      <c r="K247" s="900" t="s">
        <v>162</v>
      </c>
      <c r="L247" s="900" t="s">
        <v>162</v>
      </c>
      <c r="M247" s="905" t="s">
        <v>162</v>
      </c>
      <c r="N247" s="905" t="s">
        <v>162</v>
      </c>
      <c r="O247" s="905" t="s">
        <v>162</v>
      </c>
      <c r="P247" s="905" t="s">
        <v>162</v>
      </c>
      <c r="Q247" s="906" t="s">
        <v>162</v>
      </c>
      <c r="R247" s="905" t="s">
        <v>162</v>
      </c>
      <c r="S247" s="905" t="s">
        <v>162</v>
      </c>
      <c r="T247" s="905" t="s">
        <v>162</v>
      </c>
      <c r="U247" s="905" t="s">
        <v>162</v>
      </c>
      <c r="V247" s="905" t="s">
        <v>162</v>
      </c>
      <c r="W247" s="905" t="s">
        <v>162</v>
      </c>
      <c r="X247" s="905" t="s">
        <v>162</v>
      </c>
      <c r="Y247" s="905" t="s">
        <v>162</v>
      </c>
      <c r="Z247" s="905" t="s">
        <v>162</v>
      </c>
      <c r="AA247" s="905" t="s">
        <v>162</v>
      </c>
      <c r="AB247" s="905" t="s">
        <v>162</v>
      </c>
      <c r="AC247" s="905" t="s">
        <v>162</v>
      </c>
      <c r="AD247" s="905" t="s">
        <v>162</v>
      </c>
      <c r="AE247" s="905" t="s">
        <v>162</v>
      </c>
      <c r="AF247" s="905" t="s">
        <v>162</v>
      </c>
      <c r="AG247" s="905" t="s">
        <v>162</v>
      </c>
      <c r="AH247" s="905" t="s">
        <v>162</v>
      </c>
      <c r="AI247" s="905" t="s">
        <v>162</v>
      </c>
      <c r="AJ247" s="905" t="s">
        <v>162</v>
      </c>
      <c r="AK247" s="905" t="s">
        <v>162</v>
      </c>
      <c r="AL247" s="905" t="s">
        <v>162</v>
      </c>
      <c r="AM247" s="900" t="s">
        <v>162</v>
      </c>
      <c r="AN247" s="900" t="s">
        <v>162</v>
      </c>
      <c r="AO247" s="905" t="s">
        <v>162</v>
      </c>
      <c r="AP247" s="905" t="s">
        <v>162</v>
      </c>
      <c r="AQ247" s="905" t="s">
        <v>162</v>
      </c>
      <c r="AR247" s="905" t="s">
        <v>162</v>
      </c>
      <c r="AS247" s="905" t="s">
        <v>162</v>
      </c>
      <c r="AT247" s="905" t="s">
        <v>162</v>
      </c>
      <c r="AU247" s="905" t="s">
        <v>162</v>
      </c>
      <c r="AV247" s="905" t="s">
        <v>162</v>
      </c>
      <c r="AW247" s="907"/>
      <c r="AX247" s="908"/>
      <c r="AY247" s="909"/>
    </row>
    <row r="248">
      <c r="A248" s="122"/>
      <c r="B248" s="123"/>
      <c r="C248" s="131"/>
      <c r="D248" s="131"/>
      <c r="E248" s="819" t="s">
        <v>220</v>
      </c>
      <c r="F248" s="200" t="s">
        <v>62</v>
      </c>
      <c r="G248" s="200" t="s">
        <v>165</v>
      </c>
      <c r="H248" s="910">
        <f>AVERAGE(50,75)</f>
        <v>62.5</v>
      </c>
      <c r="I248" s="911" t="s">
        <v>162</v>
      </c>
      <c r="J248" s="911" t="s">
        <v>162</v>
      </c>
      <c r="K248" s="911" t="s">
        <v>162</v>
      </c>
      <c r="L248" s="911" t="s">
        <v>162</v>
      </c>
      <c r="M248" s="911" t="s">
        <v>162</v>
      </c>
      <c r="N248" s="911" t="s">
        <v>162</v>
      </c>
      <c r="O248" s="911" t="s">
        <v>162</v>
      </c>
      <c r="P248" s="911" t="s">
        <v>162</v>
      </c>
      <c r="Q248" s="912" t="s">
        <v>162</v>
      </c>
      <c r="R248" s="911" t="s">
        <v>162</v>
      </c>
      <c r="S248" s="911" t="s">
        <v>162</v>
      </c>
      <c r="T248" s="911" t="s">
        <v>162</v>
      </c>
      <c r="U248" s="911" t="s">
        <v>162</v>
      </c>
      <c r="V248" s="911" t="s">
        <v>162</v>
      </c>
      <c r="W248" s="911" t="s">
        <v>162</v>
      </c>
      <c r="X248" s="911" t="s">
        <v>162</v>
      </c>
      <c r="Y248" s="911" t="s">
        <v>162</v>
      </c>
      <c r="Z248" s="911" t="s">
        <v>162</v>
      </c>
      <c r="AA248" s="911" t="s">
        <v>162</v>
      </c>
      <c r="AB248" s="911" t="s">
        <v>162</v>
      </c>
      <c r="AC248" s="911" t="s">
        <v>162</v>
      </c>
      <c r="AD248" s="911" t="s">
        <v>162</v>
      </c>
      <c r="AE248" s="911" t="s">
        <v>162</v>
      </c>
      <c r="AF248" s="911" t="s">
        <v>162</v>
      </c>
      <c r="AG248" s="911" t="s">
        <v>162</v>
      </c>
      <c r="AH248" s="911" t="s">
        <v>162</v>
      </c>
      <c r="AI248" s="911" t="s">
        <v>162</v>
      </c>
      <c r="AJ248" s="911" t="s">
        <v>162</v>
      </c>
      <c r="AK248" s="911" t="s">
        <v>162</v>
      </c>
      <c r="AL248" s="911" t="s">
        <v>162</v>
      </c>
      <c r="AM248" s="911" t="s">
        <v>162</v>
      </c>
      <c r="AN248" s="911" t="s">
        <v>162</v>
      </c>
      <c r="AO248" s="911" t="s">
        <v>162</v>
      </c>
      <c r="AP248" s="911" t="s">
        <v>162</v>
      </c>
      <c r="AQ248" s="911" t="s">
        <v>162</v>
      </c>
      <c r="AR248" s="911" t="s">
        <v>162</v>
      </c>
      <c r="AS248" s="911" t="s">
        <v>162</v>
      </c>
      <c r="AT248" s="911" t="s">
        <v>162</v>
      </c>
      <c r="AU248" s="911" t="s">
        <v>162</v>
      </c>
      <c r="AV248" s="911" t="s">
        <v>162</v>
      </c>
      <c r="AW248" s="891"/>
      <c r="AX248" s="913"/>
      <c r="AY248" s="914"/>
    </row>
    <row r="249">
      <c r="A249" s="122"/>
      <c r="B249" s="123"/>
      <c r="C249" s="131"/>
      <c r="D249" s="131"/>
      <c r="E249" s="131"/>
      <c r="F249" s="141"/>
      <c r="G249" s="141"/>
      <c r="H249" s="894"/>
      <c r="I249" s="895"/>
      <c r="J249" s="895"/>
      <c r="K249" s="895"/>
      <c r="L249" s="895"/>
      <c r="M249" s="895"/>
      <c r="N249" s="895"/>
      <c r="O249" s="895"/>
      <c r="P249" s="895"/>
      <c r="Q249" s="896"/>
      <c r="R249" s="895"/>
      <c r="S249" s="895"/>
      <c r="T249" s="895"/>
      <c r="U249" s="895"/>
      <c r="V249" s="895"/>
      <c r="W249" s="895"/>
      <c r="X249" s="895"/>
      <c r="Y249" s="895"/>
      <c r="Z249" s="895"/>
      <c r="AA249" s="895"/>
      <c r="AB249" s="895"/>
      <c r="AC249" s="895"/>
      <c r="AD249" s="895"/>
      <c r="AE249" s="895"/>
      <c r="AF249" s="895"/>
      <c r="AG249" s="895"/>
      <c r="AH249" s="895"/>
      <c r="AI249" s="895"/>
      <c r="AJ249" s="895"/>
      <c r="AK249" s="895"/>
      <c r="AL249" s="895"/>
      <c r="AM249" s="895"/>
      <c r="AN249" s="895"/>
      <c r="AO249" s="895"/>
      <c r="AP249" s="895"/>
      <c r="AQ249" s="895"/>
      <c r="AR249" s="895"/>
      <c r="AS249" s="895"/>
      <c r="AT249" s="895"/>
      <c r="AU249" s="895"/>
      <c r="AV249" s="895"/>
      <c r="AW249" s="68"/>
      <c r="AX249" s="897"/>
      <c r="AY249" s="755"/>
    </row>
    <row r="250">
      <c r="A250" s="122"/>
      <c r="B250" s="123"/>
      <c r="C250" s="131" t="s">
        <v>1010</v>
      </c>
      <c r="F250" s="141"/>
      <c r="G250" s="141"/>
      <c r="H250" s="894"/>
      <c r="I250" s="895"/>
      <c r="J250" s="895"/>
      <c r="K250" s="895"/>
      <c r="L250" s="895"/>
      <c r="M250" s="895"/>
      <c r="N250" s="895"/>
      <c r="O250" s="895"/>
      <c r="P250" s="895"/>
      <c r="Q250" s="896"/>
      <c r="R250" s="895"/>
      <c r="S250" s="895"/>
      <c r="T250" s="895"/>
      <c r="U250" s="895"/>
      <c r="V250" s="895"/>
      <c r="W250" s="895"/>
      <c r="X250" s="895"/>
      <c r="Y250" s="895"/>
      <c r="Z250" s="895"/>
      <c r="AA250" s="895"/>
      <c r="AB250" s="895"/>
      <c r="AC250" s="895"/>
      <c r="AD250" s="895"/>
      <c r="AE250" s="895"/>
      <c r="AF250" s="895"/>
      <c r="AG250" s="895"/>
      <c r="AH250" s="895"/>
      <c r="AI250" s="895"/>
      <c r="AJ250" s="895"/>
      <c r="AK250" s="895"/>
      <c r="AL250" s="895"/>
      <c r="AM250" s="895"/>
      <c r="AN250" s="895"/>
      <c r="AO250" s="895"/>
      <c r="AP250" s="895"/>
      <c r="AQ250" s="895"/>
      <c r="AR250" s="895"/>
      <c r="AS250" s="895"/>
      <c r="AT250" s="895"/>
      <c r="AU250" s="895"/>
      <c r="AV250" s="895"/>
      <c r="AW250" s="68"/>
      <c r="AX250" s="897"/>
      <c r="AY250" s="755"/>
    </row>
    <row r="251">
      <c r="A251" s="122"/>
      <c r="B251" s="123"/>
      <c r="C251" s="342"/>
      <c r="D251" s="123"/>
      <c r="E251" s="915" t="s">
        <v>223</v>
      </c>
      <c r="F251" s="296" t="s">
        <v>62</v>
      </c>
      <c r="G251" s="297" t="s">
        <v>165</v>
      </c>
      <c r="H251" s="916">
        <v>0.30647</v>
      </c>
      <c r="I251" s="917" t="s">
        <v>162</v>
      </c>
      <c r="J251" s="917" t="s">
        <v>162</v>
      </c>
      <c r="K251" s="917" t="s">
        <v>162</v>
      </c>
      <c r="L251" s="917" t="s">
        <v>162</v>
      </c>
      <c r="M251" s="917" t="s">
        <v>162</v>
      </c>
      <c r="N251" s="917" t="s">
        <v>162</v>
      </c>
      <c r="O251" s="917" t="s">
        <v>162</v>
      </c>
      <c r="P251" s="917" t="s">
        <v>162</v>
      </c>
      <c r="Q251" s="918" t="s">
        <v>162</v>
      </c>
      <c r="R251" s="917" t="s">
        <v>162</v>
      </c>
      <c r="S251" s="917" t="s">
        <v>162</v>
      </c>
      <c r="T251" s="917" t="s">
        <v>162</v>
      </c>
      <c r="U251" s="917" t="s">
        <v>162</v>
      </c>
      <c r="V251" s="917" t="s">
        <v>162</v>
      </c>
      <c r="W251" s="917" t="s">
        <v>162</v>
      </c>
      <c r="X251" s="917" t="s">
        <v>162</v>
      </c>
      <c r="Y251" s="917" t="s">
        <v>162</v>
      </c>
      <c r="Z251" s="917" t="s">
        <v>162</v>
      </c>
      <c r="AA251" s="917" t="s">
        <v>162</v>
      </c>
      <c r="AB251" s="917" t="s">
        <v>162</v>
      </c>
      <c r="AC251" s="917" t="s">
        <v>162</v>
      </c>
      <c r="AD251" s="917" t="s">
        <v>162</v>
      </c>
      <c r="AE251" s="917" t="s">
        <v>162</v>
      </c>
      <c r="AF251" s="917" t="s">
        <v>162</v>
      </c>
      <c r="AG251" s="917" t="s">
        <v>162</v>
      </c>
      <c r="AH251" s="917" t="s">
        <v>162</v>
      </c>
      <c r="AI251" s="917" t="s">
        <v>162</v>
      </c>
      <c r="AJ251" s="917" t="s">
        <v>162</v>
      </c>
      <c r="AK251" s="917" t="s">
        <v>162</v>
      </c>
      <c r="AL251" s="917" t="s">
        <v>162</v>
      </c>
      <c r="AM251" s="917" t="s">
        <v>162</v>
      </c>
      <c r="AN251" s="917" t="s">
        <v>162</v>
      </c>
      <c r="AO251" s="917" t="s">
        <v>162</v>
      </c>
      <c r="AP251" s="917" t="s">
        <v>162</v>
      </c>
      <c r="AQ251" s="917" t="s">
        <v>162</v>
      </c>
      <c r="AR251" s="917" t="s">
        <v>162</v>
      </c>
      <c r="AS251" s="917" t="s">
        <v>162</v>
      </c>
      <c r="AT251" s="917" t="s">
        <v>162</v>
      </c>
      <c r="AU251" s="917" t="s">
        <v>162</v>
      </c>
      <c r="AV251" s="918" t="s">
        <v>162</v>
      </c>
      <c r="AW251" s="919"/>
      <c r="AX251" s="26" t="s">
        <v>1011</v>
      </c>
      <c r="AY251" s="920"/>
    </row>
    <row r="252">
      <c r="A252" s="122"/>
      <c r="B252" s="123"/>
      <c r="C252" s="342"/>
      <c r="D252" s="123"/>
      <c r="E252" s="921" t="s">
        <v>224</v>
      </c>
      <c r="F252" s="922" t="s">
        <v>72</v>
      </c>
      <c r="G252" s="923" t="s">
        <v>165</v>
      </c>
      <c r="H252" s="829">
        <v>0.0</v>
      </c>
      <c r="I252" s="924" t="s">
        <v>162</v>
      </c>
      <c r="J252" s="924" t="s">
        <v>162</v>
      </c>
      <c r="K252" s="924" t="s">
        <v>162</v>
      </c>
      <c r="L252" s="924" t="s">
        <v>162</v>
      </c>
      <c r="M252" s="924" t="s">
        <v>162</v>
      </c>
      <c r="N252" s="924" t="s">
        <v>162</v>
      </c>
      <c r="O252" s="924" t="s">
        <v>162</v>
      </c>
      <c r="P252" s="924" t="s">
        <v>162</v>
      </c>
      <c r="Q252" s="925" t="s">
        <v>162</v>
      </c>
      <c r="R252" s="924" t="s">
        <v>162</v>
      </c>
      <c r="S252" s="924" t="s">
        <v>162</v>
      </c>
      <c r="T252" s="924" t="s">
        <v>162</v>
      </c>
      <c r="U252" s="924" t="s">
        <v>162</v>
      </c>
      <c r="V252" s="924" t="s">
        <v>162</v>
      </c>
      <c r="W252" s="924" t="s">
        <v>162</v>
      </c>
      <c r="X252" s="924" t="s">
        <v>162</v>
      </c>
      <c r="Y252" s="924" t="s">
        <v>162</v>
      </c>
      <c r="Z252" s="924" t="s">
        <v>162</v>
      </c>
      <c r="AA252" s="924" t="s">
        <v>162</v>
      </c>
      <c r="AB252" s="924" t="s">
        <v>162</v>
      </c>
      <c r="AC252" s="924" t="s">
        <v>162</v>
      </c>
      <c r="AD252" s="924" t="s">
        <v>162</v>
      </c>
      <c r="AE252" s="924" t="s">
        <v>162</v>
      </c>
      <c r="AF252" s="924" t="s">
        <v>162</v>
      </c>
      <c r="AG252" s="924" t="s">
        <v>162</v>
      </c>
      <c r="AH252" s="924" t="s">
        <v>162</v>
      </c>
      <c r="AI252" s="924" t="s">
        <v>162</v>
      </c>
      <c r="AJ252" s="924" t="s">
        <v>162</v>
      </c>
      <c r="AK252" s="924" t="s">
        <v>162</v>
      </c>
      <c r="AL252" s="924" t="s">
        <v>162</v>
      </c>
      <c r="AM252" s="924" t="s">
        <v>162</v>
      </c>
      <c r="AN252" s="924" t="s">
        <v>162</v>
      </c>
      <c r="AO252" s="924" t="s">
        <v>162</v>
      </c>
      <c r="AP252" s="924" t="s">
        <v>162</v>
      </c>
      <c r="AQ252" s="924" t="s">
        <v>162</v>
      </c>
      <c r="AR252" s="924" t="s">
        <v>162</v>
      </c>
      <c r="AS252" s="924" t="s">
        <v>162</v>
      </c>
      <c r="AT252" s="924" t="s">
        <v>162</v>
      </c>
      <c r="AU252" s="924" t="s">
        <v>162</v>
      </c>
      <c r="AV252" s="925" t="s">
        <v>162</v>
      </c>
      <c r="AW252" s="926"/>
      <c r="AX252" s="31" t="s">
        <v>984</v>
      </c>
      <c r="AY252" s="927"/>
    </row>
    <row r="253">
      <c r="A253" s="122"/>
      <c r="B253" s="123"/>
      <c r="C253" s="342"/>
      <c r="D253" s="123"/>
      <c r="E253" s="445"/>
      <c r="F253" s="125"/>
      <c r="G253" s="126"/>
      <c r="H253" s="753"/>
      <c r="I253" s="315"/>
      <c r="J253" s="315"/>
      <c r="K253" s="315"/>
      <c r="L253" s="315"/>
      <c r="M253" s="315"/>
      <c r="N253" s="315"/>
      <c r="O253" s="315"/>
      <c r="P253" s="315"/>
      <c r="Q253" s="316"/>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c r="AN253" s="315"/>
      <c r="AO253" s="315"/>
      <c r="AP253" s="315"/>
      <c r="AQ253" s="315"/>
      <c r="AR253" s="315"/>
      <c r="AS253" s="315"/>
      <c r="AT253" s="315"/>
      <c r="AU253" s="315"/>
      <c r="AV253" s="315"/>
      <c r="AW253" s="68"/>
      <c r="AX253" s="754"/>
      <c r="AY253" s="755"/>
    </row>
    <row r="254">
      <c r="A254" s="123"/>
      <c r="B254" s="123"/>
      <c r="C254" s="342" t="s">
        <v>230</v>
      </c>
      <c r="F254" s="125"/>
      <c r="G254" s="125"/>
      <c r="H254" s="753"/>
      <c r="I254" s="315"/>
      <c r="J254" s="315"/>
      <c r="K254" s="315"/>
      <c r="L254" s="315"/>
      <c r="M254" s="315"/>
      <c r="N254" s="315"/>
      <c r="O254" s="315"/>
      <c r="P254" s="315"/>
      <c r="Q254" s="316"/>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c r="AN254" s="315"/>
      <c r="AO254" s="315"/>
      <c r="AP254" s="315"/>
      <c r="AQ254" s="315"/>
      <c r="AR254" s="315"/>
      <c r="AS254" s="315"/>
      <c r="AT254" s="315"/>
      <c r="AU254" s="315"/>
      <c r="AV254" s="315"/>
      <c r="AW254" s="68"/>
      <c r="AX254" s="754"/>
      <c r="AY254" s="755"/>
    </row>
    <row r="255">
      <c r="A255" s="122"/>
      <c r="B255" s="123"/>
      <c r="C255" s="342"/>
      <c r="D255" s="123"/>
      <c r="E255" s="782" t="s">
        <v>231</v>
      </c>
      <c r="F255" s="193" t="s">
        <v>243</v>
      </c>
      <c r="G255" s="235" t="s">
        <v>165</v>
      </c>
      <c r="H255" s="928">
        <v>298.0</v>
      </c>
      <c r="I255" s="665" t="s">
        <v>162</v>
      </c>
      <c r="J255" s="665" t="s">
        <v>162</v>
      </c>
      <c r="K255" s="665" t="s">
        <v>162</v>
      </c>
      <c r="L255" s="665" t="s">
        <v>162</v>
      </c>
      <c r="M255" s="665" t="s">
        <v>162</v>
      </c>
      <c r="N255" s="665" t="s">
        <v>162</v>
      </c>
      <c r="O255" s="665" t="s">
        <v>162</v>
      </c>
      <c r="P255" s="665" t="s">
        <v>162</v>
      </c>
      <c r="Q255" s="666" t="s">
        <v>162</v>
      </c>
      <c r="R255" s="665" t="s">
        <v>162</v>
      </c>
      <c r="S255" s="665" t="s">
        <v>162</v>
      </c>
      <c r="T255" s="665" t="s">
        <v>162</v>
      </c>
      <c r="U255" s="665" t="s">
        <v>162</v>
      </c>
      <c r="V255" s="665" t="s">
        <v>162</v>
      </c>
      <c r="W255" s="665" t="s">
        <v>162</v>
      </c>
      <c r="X255" s="665" t="s">
        <v>162</v>
      </c>
      <c r="Y255" s="665" t="s">
        <v>162</v>
      </c>
      <c r="Z255" s="665" t="s">
        <v>162</v>
      </c>
      <c r="AA255" s="665" t="s">
        <v>162</v>
      </c>
      <c r="AB255" s="665" t="s">
        <v>162</v>
      </c>
      <c r="AC255" s="665" t="s">
        <v>162</v>
      </c>
      <c r="AD255" s="665" t="s">
        <v>162</v>
      </c>
      <c r="AE255" s="665" t="s">
        <v>162</v>
      </c>
      <c r="AF255" s="665" t="s">
        <v>162</v>
      </c>
      <c r="AG255" s="665" t="s">
        <v>162</v>
      </c>
      <c r="AH255" s="665" t="s">
        <v>162</v>
      </c>
      <c r="AI255" s="665" t="s">
        <v>162</v>
      </c>
      <c r="AJ255" s="665" t="s">
        <v>162</v>
      </c>
      <c r="AK255" s="665" t="s">
        <v>162</v>
      </c>
      <c r="AL255" s="665" t="s">
        <v>162</v>
      </c>
      <c r="AM255" s="665" t="s">
        <v>162</v>
      </c>
      <c r="AN255" s="665" t="s">
        <v>162</v>
      </c>
      <c r="AO255" s="665" t="s">
        <v>162</v>
      </c>
      <c r="AP255" s="665" t="s">
        <v>162</v>
      </c>
      <c r="AQ255" s="665" t="s">
        <v>162</v>
      </c>
      <c r="AR255" s="665" t="s">
        <v>162</v>
      </c>
      <c r="AS255" s="665" t="s">
        <v>162</v>
      </c>
      <c r="AT255" s="665" t="s">
        <v>162</v>
      </c>
      <c r="AU255" s="665" t="s">
        <v>162</v>
      </c>
      <c r="AV255" s="665" t="s">
        <v>162</v>
      </c>
      <c r="AW255" s="887"/>
      <c r="AX255" s="929" t="s">
        <v>1012</v>
      </c>
      <c r="AY255" s="903"/>
    </row>
    <row r="256">
      <c r="A256" s="122"/>
      <c r="B256" s="123"/>
      <c r="C256" s="342"/>
      <c r="D256" s="123"/>
      <c r="E256" s="782" t="s">
        <v>232</v>
      </c>
      <c r="F256" s="193" t="s">
        <v>72</v>
      </c>
      <c r="G256" s="235" t="s">
        <v>165</v>
      </c>
      <c r="H256" s="930">
        <v>0.6772</v>
      </c>
      <c r="I256" s="665" t="s">
        <v>162</v>
      </c>
      <c r="J256" s="665" t="s">
        <v>162</v>
      </c>
      <c r="K256" s="665" t="s">
        <v>162</v>
      </c>
      <c r="L256" s="665" t="s">
        <v>162</v>
      </c>
      <c r="M256" s="665" t="s">
        <v>162</v>
      </c>
      <c r="N256" s="665" t="s">
        <v>162</v>
      </c>
      <c r="O256" s="665" t="s">
        <v>162</v>
      </c>
      <c r="P256" s="665" t="s">
        <v>162</v>
      </c>
      <c r="Q256" s="666" t="s">
        <v>162</v>
      </c>
      <c r="R256" s="665" t="s">
        <v>162</v>
      </c>
      <c r="S256" s="665" t="s">
        <v>162</v>
      </c>
      <c r="T256" s="665" t="s">
        <v>162</v>
      </c>
      <c r="U256" s="665" t="s">
        <v>162</v>
      </c>
      <c r="V256" s="665" t="s">
        <v>162</v>
      </c>
      <c r="W256" s="665" t="s">
        <v>162</v>
      </c>
      <c r="X256" s="665" t="s">
        <v>162</v>
      </c>
      <c r="Y256" s="665" t="s">
        <v>162</v>
      </c>
      <c r="Z256" s="665" t="s">
        <v>162</v>
      </c>
      <c r="AA256" s="665" t="s">
        <v>162</v>
      </c>
      <c r="AB256" s="665" t="s">
        <v>162</v>
      </c>
      <c r="AC256" s="665" t="s">
        <v>162</v>
      </c>
      <c r="AD256" s="665" t="s">
        <v>162</v>
      </c>
      <c r="AE256" s="665" t="s">
        <v>162</v>
      </c>
      <c r="AF256" s="665" t="s">
        <v>162</v>
      </c>
      <c r="AG256" s="665" t="s">
        <v>162</v>
      </c>
      <c r="AH256" s="665" t="s">
        <v>162</v>
      </c>
      <c r="AI256" s="665" t="s">
        <v>162</v>
      </c>
      <c r="AJ256" s="665" t="s">
        <v>162</v>
      </c>
      <c r="AK256" s="665" t="s">
        <v>162</v>
      </c>
      <c r="AL256" s="665" t="s">
        <v>162</v>
      </c>
      <c r="AM256" s="665" t="s">
        <v>162</v>
      </c>
      <c r="AN256" s="665" t="s">
        <v>162</v>
      </c>
      <c r="AO256" s="665" t="s">
        <v>162</v>
      </c>
      <c r="AP256" s="665" t="s">
        <v>162</v>
      </c>
      <c r="AQ256" s="665" t="s">
        <v>162</v>
      </c>
      <c r="AR256" s="665" t="s">
        <v>162</v>
      </c>
      <c r="AS256" s="665" t="s">
        <v>162</v>
      </c>
      <c r="AT256" s="665" t="s">
        <v>162</v>
      </c>
      <c r="AU256" s="665" t="s">
        <v>162</v>
      </c>
      <c r="AV256" s="665" t="s">
        <v>162</v>
      </c>
      <c r="AW256" s="887"/>
      <c r="AX256" s="929" t="s">
        <v>1012</v>
      </c>
      <c r="AY256" s="903"/>
    </row>
    <row r="257">
      <c r="A257" s="122"/>
      <c r="B257" s="123"/>
      <c r="C257" s="342"/>
      <c r="D257" s="123"/>
      <c r="E257" s="475" t="s">
        <v>233</v>
      </c>
      <c r="F257" s="213" t="s">
        <v>62</v>
      </c>
      <c r="G257" s="239" t="s">
        <v>165</v>
      </c>
      <c r="H257" s="931">
        <v>6.0</v>
      </c>
      <c r="I257" s="329" t="s">
        <v>162</v>
      </c>
      <c r="J257" s="329" t="s">
        <v>162</v>
      </c>
      <c r="K257" s="665" t="s">
        <v>162</v>
      </c>
      <c r="L257" s="665" t="s">
        <v>162</v>
      </c>
      <c r="M257" s="329" t="s">
        <v>162</v>
      </c>
      <c r="N257" s="329" t="s">
        <v>162</v>
      </c>
      <c r="O257" s="329" t="s">
        <v>162</v>
      </c>
      <c r="P257" s="329" t="s">
        <v>162</v>
      </c>
      <c r="Q257" s="668" t="s">
        <v>162</v>
      </c>
      <c r="R257" s="329" t="s">
        <v>162</v>
      </c>
      <c r="S257" s="329" t="s">
        <v>162</v>
      </c>
      <c r="T257" s="329" t="s">
        <v>162</v>
      </c>
      <c r="U257" s="329" t="s">
        <v>162</v>
      </c>
      <c r="V257" s="329" t="s">
        <v>162</v>
      </c>
      <c r="W257" s="329" t="s">
        <v>162</v>
      </c>
      <c r="X257" s="329" t="s">
        <v>162</v>
      </c>
      <c r="Y257" s="329" t="s">
        <v>162</v>
      </c>
      <c r="Z257" s="329" t="s">
        <v>162</v>
      </c>
      <c r="AA257" s="329" t="s">
        <v>162</v>
      </c>
      <c r="AB257" s="329" t="s">
        <v>162</v>
      </c>
      <c r="AC257" s="329" t="s">
        <v>162</v>
      </c>
      <c r="AD257" s="329" t="s">
        <v>162</v>
      </c>
      <c r="AE257" s="329" t="s">
        <v>162</v>
      </c>
      <c r="AF257" s="329" t="s">
        <v>162</v>
      </c>
      <c r="AG257" s="329" t="s">
        <v>162</v>
      </c>
      <c r="AH257" s="329" t="s">
        <v>162</v>
      </c>
      <c r="AI257" s="329" t="s">
        <v>162</v>
      </c>
      <c r="AJ257" s="329" t="s">
        <v>162</v>
      </c>
      <c r="AK257" s="329" t="s">
        <v>162</v>
      </c>
      <c r="AL257" s="329" t="s">
        <v>162</v>
      </c>
      <c r="AM257" s="329" t="s">
        <v>162</v>
      </c>
      <c r="AN257" s="329" t="s">
        <v>162</v>
      </c>
      <c r="AO257" s="329" t="s">
        <v>162</v>
      </c>
      <c r="AP257" s="329" t="s">
        <v>162</v>
      </c>
      <c r="AQ257" s="329" t="s">
        <v>162</v>
      </c>
      <c r="AR257" s="329" t="s">
        <v>162</v>
      </c>
      <c r="AS257" s="329" t="s">
        <v>162</v>
      </c>
      <c r="AT257" s="329" t="s">
        <v>162</v>
      </c>
      <c r="AU257" s="329" t="s">
        <v>162</v>
      </c>
      <c r="AV257" s="329" t="s">
        <v>162</v>
      </c>
      <c r="AW257" s="907"/>
      <c r="AX257" s="932" t="s">
        <v>1013</v>
      </c>
      <c r="AY257" s="909"/>
    </row>
    <row r="258">
      <c r="A258" s="122"/>
      <c r="B258" s="123"/>
      <c r="C258" s="342"/>
      <c r="D258" s="123"/>
      <c r="E258" s="475" t="s">
        <v>235</v>
      </c>
      <c r="F258" s="213" t="s">
        <v>243</v>
      </c>
      <c r="G258" s="239" t="s">
        <v>165</v>
      </c>
      <c r="H258" s="933">
        <v>1000.0</v>
      </c>
      <c r="I258" s="329" t="s">
        <v>162</v>
      </c>
      <c r="J258" s="329" t="s">
        <v>162</v>
      </c>
      <c r="K258" s="665" t="s">
        <v>162</v>
      </c>
      <c r="L258" s="665" t="s">
        <v>162</v>
      </c>
      <c r="M258" s="329" t="s">
        <v>162</v>
      </c>
      <c r="N258" s="329" t="s">
        <v>162</v>
      </c>
      <c r="O258" s="329" t="s">
        <v>162</v>
      </c>
      <c r="P258" s="329" t="s">
        <v>162</v>
      </c>
      <c r="Q258" s="668" t="s">
        <v>162</v>
      </c>
      <c r="R258" s="329" t="s">
        <v>162</v>
      </c>
      <c r="S258" s="329" t="s">
        <v>162</v>
      </c>
      <c r="T258" s="329" t="s">
        <v>162</v>
      </c>
      <c r="U258" s="329" t="s">
        <v>162</v>
      </c>
      <c r="V258" s="329" t="s">
        <v>162</v>
      </c>
      <c r="W258" s="329" t="s">
        <v>162</v>
      </c>
      <c r="X258" s="329" t="s">
        <v>162</v>
      </c>
      <c r="Y258" s="329" t="s">
        <v>162</v>
      </c>
      <c r="Z258" s="329" t="s">
        <v>162</v>
      </c>
      <c r="AA258" s="329" t="s">
        <v>162</v>
      </c>
      <c r="AB258" s="329" t="s">
        <v>162</v>
      </c>
      <c r="AC258" s="329" t="s">
        <v>162</v>
      </c>
      <c r="AD258" s="329" t="s">
        <v>162</v>
      </c>
      <c r="AE258" s="329" t="s">
        <v>162</v>
      </c>
      <c r="AF258" s="329" t="s">
        <v>162</v>
      </c>
      <c r="AG258" s="329" t="s">
        <v>162</v>
      </c>
      <c r="AH258" s="329" t="s">
        <v>162</v>
      </c>
      <c r="AI258" s="329" t="s">
        <v>162</v>
      </c>
      <c r="AJ258" s="329" t="s">
        <v>162</v>
      </c>
      <c r="AK258" s="329" t="s">
        <v>162</v>
      </c>
      <c r="AL258" s="329" t="s">
        <v>162</v>
      </c>
      <c r="AM258" s="329" t="s">
        <v>162</v>
      </c>
      <c r="AN258" s="329" t="s">
        <v>162</v>
      </c>
      <c r="AO258" s="329" t="s">
        <v>162</v>
      </c>
      <c r="AP258" s="329" t="s">
        <v>162</v>
      </c>
      <c r="AQ258" s="329" t="s">
        <v>162</v>
      </c>
      <c r="AR258" s="329" t="s">
        <v>162</v>
      </c>
      <c r="AS258" s="329" t="s">
        <v>162</v>
      </c>
      <c r="AT258" s="329" t="s">
        <v>162</v>
      </c>
      <c r="AU258" s="329" t="s">
        <v>162</v>
      </c>
      <c r="AV258" s="329" t="s">
        <v>162</v>
      </c>
      <c r="AW258" s="907"/>
      <c r="AX258" s="932" t="s">
        <v>1013</v>
      </c>
      <c r="AY258" s="909"/>
    </row>
    <row r="259">
      <c r="A259" s="122"/>
      <c r="B259" s="123"/>
      <c r="C259" s="342"/>
      <c r="D259" s="123"/>
      <c r="E259" s="475" t="s">
        <v>236</v>
      </c>
      <c r="F259" s="213" t="s">
        <v>243</v>
      </c>
      <c r="G259" s="239" t="s">
        <v>165</v>
      </c>
      <c r="H259" s="933">
        <v>1000.0</v>
      </c>
      <c r="I259" s="329" t="s">
        <v>162</v>
      </c>
      <c r="J259" s="329" t="s">
        <v>162</v>
      </c>
      <c r="K259" s="665" t="s">
        <v>162</v>
      </c>
      <c r="L259" s="665" t="s">
        <v>162</v>
      </c>
      <c r="M259" s="329" t="s">
        <v>162</v>
      </c>
      <c r="N259" s="329" t="s">
        <v>162</v>
      </c>
      <c r="O259" s="329" t="s">
        <v>162</v>
      </c>
      <c r="P259" s="329" t="s">
        <v>162</v>
      </c>
      <c r="Q259" s="668" t="s">
        <v>162</v>
      </c>
      <c r="R259" s="329" t="s">
        <v>162</v>
      </c>
      <c r="S259" s="329" t="s">
        <v>162</v>
      </c>
      <c r="T259" s="329" t="s">
        <v>162</v>
      </c>
      <c r="U259" s="329" t="s">
        <v>162</v>
      </c>
      <c r="V259" s="329" t="s">
        <v>162</v>
      </c>
      <c r="W259" s="329" t="s">
        <v>162</v>
      </c>
      <c r="X259" s="329" t="s">
        <v>162</v>
      </c>
      <c r="Y259" s="329" t="s">
        <v>162</v>
      </c>
      <c r="Z259" s="329" t="s">
        <v>162</v>
      </c>
      <c r="AA259" s="329" t="s">
        <v>162</v>
      </c>
      <c r="AB259" s="329" t="s">
        <v>162</v>
      </c>
      <c r="AC259" s="329" t="s">
        <v>162</v>
      </c>
      <c r="AD259" s="329" t="s">
        <v>162</v>
      </c>
      <c r="AE259" s="329" t="s">
        <v>162</v>
      </c>
      <c r="AF259" s="329" t="s">
        <v>162</v>
      </c>
      <c r="AG259" s="329" t="s">
        <v>162</v>
      </c>
      <c r="AH259" s="329" t="s">
        <v>162</v>
      </c>
      <c r="AI259" s="329" t="s">
        <v>162</v>
      </c>
      <c r="AJ259" s="329" t="s">
        <v>162</v>
      </c>
      <c r="AK259" s="329" t="s">
        <v>162</v>
      </c>
      <c r="AL259" s="329" t="s">
        <v>162</v>
      </c>
      <c r="AM259" s="329" t="s">
        <v>162</v>
      </c>
      <c r="AN259" s="329" t="s">
        <v>162</v>
      </c>
      <c r="AO259" s="329" t="s">
        <v>162</v>
      </c>
      <c r="AP259" s="329" t="s">
        <v>162</v>
      </c>
      <c r="AQ259" s="329" t="s">
        <v>162</v>
      </c>
      <c r="AR259" s="329" t="s">
        <v>162</v>
      </c>
      <c r="AS259" s="329" t="s">
        <v>162</v>
      </c>
      <c r="AT259" s="329" t="s">
        <v>162</v>
      </c>
      <c r="AU259" s="329" t="s">
        <v>162</v>
      </c>
      <c r="AV259" s="329" t="s">
        <v>162</v>
      </c>
      <c r="AW259" s="907"/>
      <c r="AX259" s="932" t="s">
        <v>1013</v>
      </c>
      <c r="AY259" s="909"/>
    </row>
    <row r="260">
      <c r="A260" s="122"/>
      <c r="B260" s="123"/>
      <c r="C260" s="342"/>
      <c r="D260" s="123"/>
      <c r="E260" s="475" t="s">
        <v>237</v>
      </c>
      <c r="F260" s="213" t="s">
        <v>243</v>
      </c>
      <c r="G260" s="239" t="s">
        <v>165</v>
      </c>
      <c r="H260" s="933">
        <v>1000.0</v>
      </c>
      <c r="I260" s="329" t="s">
        <v>162</v>
      </c>
      <c r="J260" s="329" t="s">
        <v>162</v>
      </c>
      <c r="K260" s="665" t="s">
        <v>162</v>
      </c>
      <c r="L260" s="665" t="s">
        <v>162</v>
      </c>
      <c r="M260" s="329" t="s">
        <v>162</v>
      </c>
      <c r="N260" s="329" t="s">
        <v>162</v>
      </c>
      <c r="O260" s="329" t="s">
        <v>162</v>
      </c>
      <c r="P260" s="329" t="s">
        <v>162</v>
      </c>
      <c r="Q260" s="668" t="s">
        <v>162</v>
      </c>
      <c r="R260" s="329" t="s">
        <v>162</v>
      </c>
      <c r="S260" s="329" t="s">
        <v>162</v>
      </c>
      <c r="T260" s="329" t="s">
        <v>162</v>
      </c>
      <c r="U260" s="329" t="s">
        <v>162</v>
      </c>
      <c r="V260" s="329" t="s">
        <v>162</v>
      </c>
      <c r="W260" s="329" t="s">
        <v>162</v>
      </c>
      <c r="X260" s="329" t="s">
        <v>162</v>
      </c>
      <c r="Y260" s="329" t="s">
        <v>162</v>
      </c>
      <c r="Z260" s="329" t="s">
        <v>162</v>
      </c>
      <c r="AA260" s="329" t="s">
        <v>162</v>
      </c>
      <c r="AB260" s="329" t="s">
        <v>162</v>
      </c>
      <c r="AC260" s="329" t="s">
        <v>162</v>
      </c>
      <c r="AD260" s="329" t="s">
        <v>162</v>
      </c>
      <c r="AE260" s="329" t="s">
        <v>162</v>
      </c>
      <c r="AF260" s="329" t="s">
        <v>162</v>
      </c>
      <c r="AG260" s="329" t="s">
        <v>162</v>
      </c>
      <c r="AH260" s="329" t="s">
        <v>162</v>
      </c>
      <c r="AI260" s="329" t="s">
        <v>162</v>
      </c>
      <c r="AJ260" s="329" t="s">
        <v>162</v>
      </c>
      <c r="AK260" s="329" t="s">
        <v>162</v>
      </c>
      <c r="AL260" s="329" t="s">
        <v>162</v>
      </c>
      <c r="AM260" s="329" t="s">
        <v>162</v>
      </c>
      <c r="AN260" s="329" t="s">
        <v>162</v>
      </c>
      <c r="AO260" s="329" t="s">
        <v>162</v>
      </c>
      <c r="AP260" s="329" t="s">
        <v>162</v>
      </c>
      <c r="AQ260" s="329" t="s">
        <v>162</v>
      </c>
      <c r="AR260" s="329" t="s">
        <v>162</v>
      </c>
      <c r="AS260" s="329" t="s">
        <v>162</v>
      </c>
      <c r="AT260" s="329" t="s">
        <v>162</v>
      </c>
      <c r="AU260" s="329" t="s">
        <v>162</v>
      </c>
      <c r="AV260" s="329" t="s">
        <v>162</v>
      </c>
      <c r="AW260" s="907"/>
      <c r="AX260" s="932" t="s">
        <v>1013</v>
      </c>
      <c r="AY260" s="909"/>
    </row>
    <row r="261">
      <c r="A261" s="122"/>
      <c r="B261" s="123"/>
      <c r="C261" s="342"/>
      <c r="D261" s="123"/>
      <c r="E261" s="475" t="s">
        <v>238</v>
      </c>
      <c r="F261" s="213" t="s">
        <v>243</v>
      </c>
      <c r="G261" s="239" t="s">
        <v>165</v>
      </c>
      <c r="H261" s="933">
        <v>1000.0</v>
      </c>
      <c r="I261" s="329" t="s">
        <v>162</v>
      </c>
      <c r="J261" s="329" t="s">
        <v>162</v>
      </c>
      <c r="K261" s="665" t="s">
        <v>162</v>
      </c>
      <c r="L261" s="665" t="s">
        <v>162</v>
      </c>
      <c r="M261" s="329" t="s">
        <v>162</v>
      </c>
      <c r="N261" s="329" t="s">
        <v>162</v>
      </c>
      <c r="O261" s="329" t="s">
        <v>162</v>
      </c>
      <c r="P261" s="329" t="s">
        <v>162</v>
      </c>
      <c r="Q261" s="668" t="s">
        <v>162</v>
      </c>
      <c r="R261" s="329" t="s">
        <v>162</v>
      </c>
      <c r="S261" s="329" t="s">
        <v>162</v>
      </c>
      <c r="T261" s="329" t="s">
        <v>162</v>
      </c>
      <c r="U261" s="329" t="s">
        <v>162</v>
      </c>
      <c r="V261" s="329" t="s">
        <v>162</v>
      </c>
      <c r="W261" s="329" t="s">
        <v>162</v>
      </c>
      <c r="X261" s="329" t="s">
        <v>162</v>
      </c>
      <c r="Y261" s="329" t="s">
        <v>162</v>
      </c>
      <c r="Z261" s="329" t="s">
        <v>162</v>
      </c>
      <c r="AA261" s="329" t="s">
        <v>162</v>
      </c>
      <c r="AB261" s="329" t="s">
        <v>162</v>
      </c>
      <c r="AC261" s="329" t="s">
        <v>162</v>
      </c>
      <c r="AD261" s="329" t="s">
        <v>162</v>
      </c>
      <c r="AE261" s="329" t="s">
        <v>162</v>
      </c>
      <c r="AF261" s="329" t="s">
        <v>162</v>
      </c>
      <c r="AG261" s="329" t="s">
        <v>162</v>
      </c>
      <c r="AH261" s="329" t="s">
        <v>162</v>
      </c>
      <c r="AI261" s="329" t="s">
        <v>162</v>
      </c>
      <c r="AJ261" s="329" t="s">
        <v>162</v>
      </c>
      <c r="AK261" s="329" t="s">
        <v>162</v>
      </c>
      <c r="AL261" s="329" t="s">
        <v>162</v>
      </c>
      <c r="AM261" s="329" t="s">
        <v>162</v>
      </c>
      <c r="AN261" s="329" t="s">
        <v>162</v>
      </c>
      <c r="AO261" s="329" t="s">
        <v>162</v>
      </c>
      <c r="AP261" s="329" t="s">
        <v>162</v>
      </c>
      <c r="AQ261" s="329" t="s">
        <v>162</v>
      </c>
      <c r="AR261" s="329" t="s">
        <v>162</v>
      </c>
      <c r="AS261" s="329" t="s">
        <v>162</v>
      </c>
      <c r="AT261" s="329" t="s">
        <v>162</v>
      </c>
      <c r="AU261" s="329" t="s">
        <v>162</v>
      </c>
      <c r="AV261" s="329" t="s">
        <v>162</v>
      </c>
      <c r="AW261" s="907"/>
      <c r="AX261" s="932" t="s">
        <v>1013</v>
      </c>
      <c r="AY261" s="909"/>
    </row>
    <row r="262">
      <c r="A262" s="122"/>
      <c r="B262" s="123"/>
      <c r="C262" s="342"/>
      <c r="D262" s="123"/>
      <c r="E262" s="475" t="s">
        <v>239</v>
      </c>
      <c r="F262" s="213" t="s">
        <v>243</v>
      </c>
      <c r="G262" s="239" t="s">
        <v>165</v>
      </c>
      <c r="H262" s="933">
        <v>1000.0</v>
      </c>
      <c r="I262" s="329" t="s">
        <v>162</v>
      </c>
      <c r="J262" s="329" t="s">
        <v>162</v>
      </c>
      <c r="K262" s="665" t="s">
        <v>162</v>
      </c>
      <c r="L262" s="665" t="s">
        <v>162</v>
      </c>
      <c r="M262" s="329" t="s">
        <v>162</v>
      </c>
      <c r="N262" s="329" t="s">
        <v>162</v>
      </c>
      <c r="O262" s="329" t="s">
        <v>162</v>
      </c>
      <c r="P262" s="329" t="s">
        <v>162</v>
      </c>
      <c r="Q262" s="668" t="s">
        <v>162</v>
      </c>
      <c r="R262" s="329" t="s">
        <v>162</v>
      </c>
      <c r="S262" s="329" t="s">
        <v>162</v>
      </c>
      <c r="T262" s="329" t="s">
        <v>162</v>
      </c>
      <c r="U262" s="329" t="s">
        <v>162</v>
      </c>
      <c r="V262" s="329" t="s">
        <v>162</v>
      </c>
      <c r="W262" s="329" t="s">
        <v>162</v>
      </c>
      <c r="X262" s="329" t="s">
        <v>162</v>
      </c>
      <c r="Y262" s="329" t="s">
        <v>162</v>
      </c>
      <c r="Z262" s="329" t="s">
        <v>162</v>
      </c>
      <c r="AA262" s="329" t="s">
        <v>162</v>
      </c>
      <c r="AB262" s="329" t="s">
        <v>162</v>
      </c>
      <c r="AC262" s="329" t="s">
        <v>162</v>
      </c>
      <c r="AD262" s="329" t="s">
        <v>162</v>
      </c>
      <c r="AE262" s="329" t="s">
        <v>162</v>
      </c>
      <c r="AF262" s="329" t="s">
        <v>162</v>
      </c>
      <c r="AG262" s="329" t="s">
        <v>162</v>
      </c>
      <c r="AH262" s="329" t="s">
        <v>162</v>
      </c>
      <c r="AI262" s="329" t="s">
        <v>162</v>
      </c>
      <c r="AJ262" s="329" t="s">
        <v>162</v>
      </c>
      <c r="AK262" s="329" t="s">
        <v>162</v>
      </c>
      <c r="AL262" s="329" t="s">
        <v>162</v>
      </c>
      <c r="AM262" s="329" t="s">
        <v>162</v>
      </c>
      <c r="AN262" s="329" t="s">
        <v>162</v>
      </c>
      <c r="AO262" s="329" t="s">
        <v>162</v>
      </c>
      <c r="AP262" s="329" t="s">
        <v>162</v>
      </c>
      <c r="AQ262" s="329" t="s">
        <v>162</v>
      </c>
      <c r="AR262" s="329" t="s">
        <v>162</v>
      </c>
      <c r="AS262" s="329" t="s">
        <v>162</v>
      </c>
      <c r="AT262" s="329" t="s">
        <v>162</v>
      </c>
      <c r="AU262" s="329" t="s">
        <v>162</v>
      </c>
      <c r="AV262" s="329" t="s">
        <v>162</v>
      </c>
      <c r="AW262" s="907"/>
      <c r="AX262" s="932" t="s">
        <v>1013</v>
      </c>
      <c r="AY262" s="909"/>
    </row>
    <row r="263">
      <c r="A263" s="122"/>
      <c r="B263" s="123"/>
      <c r="C263" s="342"/>
      <c r="D263" s="123"/>
      <c r="E263" s="475" t="s">
        <v>240</v>
      </c>
      <c r="F263" s="213" t="s">
        <v>243</v>
      </c>
      <c r="G263" s="239" t="s">
        <v>165</v>
      </c>
      <c r="H263" s="933">
        <v>1000.0</v>
      </c>
      <c r="I263" s="665" t="s">
        <v>162</v>
      </c>
      <c r="J263" s="665" t="s">
        <v>162</v>
      </c>
      <c r="K263" s="665" t="s">
        <v>162</v>
      </c>
      <c r="L263" s="665" t="s">
        <v>162</v>
      </c>
      <c r="M263" s="329" t="s">
        <v>162</v>
      </c>
      <c r="N263" s="329" t="s">
        <v>162</v>
      </c>
      <c r="O263" s="329" t="s">
        <v>162</v>
      </c>
      <c r="P263" s="329" t="s">
        <v>162</v>
      </c>
      <c r="Q263" s="668" t="s">
        <v>162</v>
      </c>
      <c r="R263" s="329" t="s">
        <v>162</v>
      </c>
      <c r="S263" s="329" t="s">
        <v>162</v>
      </c>
      <c r="T263" s="329" t="s">
        <v>162</v>
      </c>
      <c r="U263" s="329" t="s">
        <v>162</v>
      </c>
      <c r="V263" s="329" t="s">
        <v>162</v>
      </c>
      <c r="W263" s="329" t="s">
        <v>162</v>
      </c>
      <c r="X263" s="329" t="s">
        <v>162</v>
      </c>
      <c r="Y263" s="329" t="s">
        <v>162</v>
      </c>
      <c r="Z263" s="329" t="s">
        <v>162</v>
      </c>
      <c r="AA263" s="329" t="s">
        <v>162</v>
      </c>
      <c r="AB263" s="329" t="s">
        <v>162</v>
      </c>
      <c r="AC263" s="329" t="s">
        <v>162</v>
      </c>
      <c r="AD263" s="329" t="s">
        <v>162</v>
      </c>
      <c r="AE263" s="329" t="s">
        <v>162</v>
      </c>
      <c r="AF263" s="329" t="s">
        <v>162</v>
      </c>
      <c r="AG263" s="329" t="s">
        <v>162</v>
      </c>
      <c r="AH263" s="329" t="s">
        <v>162</v>
      </c>
      <c r="AI263" s="329" t="s">
        <v>162</v>
      </c>
      <c r="AJ263" s="329" t="s">
        <v>162</v>
      </c>
      <c r="AK263" s="329" t="s">
        <v>162</v>
      </c>
      <c r="AL263" s="329" t="s">
        <v>162</v>
      </c>
      <c r="AM263" s="329" t="s">
        <v>162</v>
      </c>
      <c r="AN263" s="329" t="s">
        <v>162</v>
      </c>
      <c r="AO263" s="329" t="s">
        <v>162</v>
      </c>
      <c r="AP263" s="329" t="s">
        <v>162</v>
      </c>
      <c r="AQ263" s="329" t="s">
        <v>162</v>
      </c>
      <c r="AR263" s="329" t="s">
        <v>162</v>
      </c>
      <c r="AS263" s="329" t="s">
        <v>162</v>
      </c>
      <c r="AT263" s="329" t="s">
        <v>162</v>
      </c>
      <c r="AU263" s="329" t="s">
        <v>162</v>
      </c>
      <c r="AV263" s="329" t="s">
        <v>162</v>
      </c>
      <c r="AW263" s="907"/>
      <c r="AX263" s="932" t="s">
        <v>1013</v>
      </c>
      <c r="AY263" s="909"/>
    </row>
    <row r="264">
      <c r="A264" s="122"/>
      <c r="B264" s="123"/>
      <c r="C264" s="342"/>
      <c r="D264" s="123"/>
      <c r="E264" s="782" t="s">
        <v>241</v>
      </c>
      <c r="F264" s="213" t="s">
        <v>243</v>
      </c>
      <c r="G264" s="239" t="s">
        <v>165</v>
      </c>
      <c r="H264" s="928">
        <v>5000.0</v>
      </c>
      <c r="I264" s="665" t="s">
        <v>162</v>
      </c>
      <c r="J264" s="665" t="s">
        <v>162</v>
      </c>
      <c r="K264" s="665" t="s">
        <v>162</v>
      </c>
      <c r="L264" s="665" t="s">
        <v>162</v>
      </c>
      <c r="M264" s="329" t="s">
        <v>162</v>
      </c>
      <c r="N264" s="329" t="s">
        <v>162</v>
      </c>
      <c r="O264" s="329" t="s">
        <v>162</v>
      </c>
      <c r="P264" s="329" t="s">
        <v>162</v>
      </c>
      <c r="Q264" s="668" t="s">
        <v>162</v>
      </c>
      <c r="R264" s="329" t="s">
        <v>162</v>
      </c>
      <c r="S264" s="329" t="s">
        <v>162</v>
      </c>
      <c r="T264" s="329" t="s">
        <v>162</v>
      </c>
      <c r="U264" s="329" t="s">
        <v>162</v>
      </c>
      <c r="V264" s="329" t="s">
        <v>162</v>
      </c>
      <c r="W264" s="329" t="s">
        <v>162</v>
      </c>
      <c r="X264" s="329" t="s">
        <v>162</v>
      </c>
      <c r="Y264" s="329" t="s">
        <v>162</v>
      </c>
      <c r="Z264" s="329" t="s">
        <v>162</v>
      </c>
      <c r="AA264" s="329" t="s">
        <v>162</v>
      </c>
      <c r="AB264" s="329" t="s">
        <v>162</v>
      </c>
      <c r="AC264" s="329" t="s">
        <v>162</v>
      </c>
      <c r="AD264" s="329" t="s">
        <v>162</v>
      </c>
      <c r="AE264" s="329" t="s">
        <v>162</v>
      </c>
      <c r="AF264" s="329" t="s">
        <v>162</v>
      </c>
      <c r="AG264" s="329" t="s">
        <v>162</v>
      </c>
      <c r="AH264" s="329" t="s">
        <v>162</v>
      </c>
      <c r="AI264" s="329" t="s">
        <v>162</v>
      </c>
      <c r="AJ264" s="329" t="s">
        <v>162</v>
      </c>
      <c r="AK264" s="329" t="s">
        <v>162</v>
      </c>
      <c r="AL264" s="329" t="s">
        <v>162</v>
      </c>
      <c r="AM264" s="329" t="s">
        <v>162</v>
      </c>
      <c r="AN264" s="329" t="s">
        <v>162</v>
      </c>
      <c r="AO264" s="329" t="s">
        <v>162</v>
      </c>
      <c r="AP264" s="329" t="s">
        <v>162</v>
      </c>
      <c r="AQ264" s="329" t="s">
        <v>162</v>
      </c>
      <c r="AR264" s="329" t="s">
        <v>162</v>
      </c>
      <c r="AS264" s="329" t="s">
        <v>162</v>
      </c>
      <c r="AT264" s="329" t="s">
        <v>162</v>
      </c>
      <c r="AU264" s="329" t="s">
        <v>162</v>
      </c>
      <c r="AV264" s="329" t="s">
        <v>162</v>
      </c>
      <c r="AW264" s="887"/>
      <c r="AX264" s="929" t="s">
        <v>1014</v>
      </c>
      <c r="AY264" s="903"/>
    </row>
    <row r="265">
      <c r="A265" s="122"/>
      <c r="B265" s="123"/>
      <c r="C265" s="342"/>
      <c r="D265" s="123"/>
      <c r="E265" s="782" t="s">
        <v>244</v>
      </c>
      <c r="F265" s="193" t="s">
        <v>243</v>
      </c>
      <c r="G265" s="235" t="s">
        <v>165</v>
      </c>
      <c r="H265" s="928">
        <v>1165.0</v>
      </c>
      <c r="I265" s="665" t="s">
        <v>162</v>
      </c>
      <c r="J265" s="665" t="s">
        <v>162</v>
      </c>
      <c r="K265" s="665" t="s">
        <v>162</v>
      </c>
      <c r="L265" s="665" t="s">
        <v>162</v>
      </c>
      <c r="M265" s="665" t="s">
        <v>162</v>
      </c>
      <c r="N265" s="665" t="s">
        <v>162</v>
      </c>
      <c r="O265" s="665" t="s">
        <v>162</v>
      </c>
      <c r="P265" s="665" t="s">
        <v>162</v>
      </c>
      <c r="Q265" s="666" t="s">
        <v>162</v>
      </c>
      <c r="R265" s="665" t="s">
        <v>162</v>
      </c>
      <c r="S265" s="665" t="s">
        <v>162</v>
      </c>
      <c r="T265" s="665" t="s">
        <v>162</v>
      </c>
      <c r="U265" s="665" t="s">
        <v>162</v>
      </c>
      <c r="V265" s="665" t="s">
        <v>162</v>
      </c>
      <c r="W265" s="665" t="s">
        <v>162</v>
      </c>
      <c r="X265" s="665" t="s">
        <v>162</v>
      </c>
      <c r="Y265" s="665" t="s">
        <v>162</v>
      </c>
      <c r="Z265" s="665" t="s">
        <v>162</v>
      </c>
      <c r="AA265" s="665" t="s">
        <v>162</v>
      </c>
      <c r="AB265" s="665" t="s">
        <v>162</v>
      </c>
      <c r="AC265" s="665" t="s">
        <v>162</v>
      </c>
      <c r="AD265" s="665" t="s">
        <v>162</v>
      </c>
      <c r="AE265" s="665" t="s">
        <v>162</v>
      </c>
      <c r="AF265" s="665" t="s">
        <v>162</v>
      </c>
      <c r="AG265" s="665" t="s">
        <v>162</v>
      </c>
      <c r="AH265" s="665" t="s">
        <v>162</v>
      </c>
      <c r="AI265" s="665" t="s">
        <v>162</v>
      </c>
      <c r="AJ265" s="329" t="s">
        <v>162</v>
      </c>
      <c r="AK265" s="665" t="s">
        <v>162</v>
      </c>
      <c r="AL265" s="665" t="s">
        <v>162</v>
      </c>
      <c r="AM265" s="329" t="s">
        <v>162</v>
      </c>
      <c r="AN265" s="329" t="s">
        <v>162</v>
      </c>
      <c r="AO265" s="665" t="s">
        <v>162</v>
      </c>
      <c r="AP265" s="665" t="s">
        <v>162</v>
      </c>
      <c r="AQ265" s="665" t="s">
        <v>162</v>
      </c>
      <c r="AR265" s="665" t="s">
        <v>162</v>
      </c>
      <c r="AS265" s="665" t="s">
        <v>162</v>
      </c>
      <c r="AT265" s="665" t="s">
        <v>162</v>
      </c>
      <c r="AU265" s="665" t="s">
        <v>162</v>
      </c>
      <c r="AV265" s="665" t="s">
        <v>162</v>
      </c>
      <c r="AW265" s="887"/>
      <c r="AX265" s="929" t="s">
        <v>1015</v>
      </c>
      <c r="AY265" s="903"/>
    </row>
    <row r="266">
      <c r="A266" s="122"/>
      <c r="B266" s="123"/>
      <c r="C266" s="342"/>
      <c r="D266" s="123"/>
      <c r="E266" s="475" t="s">
        <v>248</v>
      </c>
      <c r="F266" s="213" t="s">
        <v>62</v>
      </c>
      <c r="G266" s="239" t="s">
        <v>165</v>
      </c>
      <c r="H266" s="934">
        <v>6.7</v>
      </c>
      <c r="I266" s="329" t="s">
        <v>162</v>
      </c>
      <c r="J266" s="329" t="s">
        <v>162</v>
      </c>
      <c r="K266" s="665" t="s">
        <v>162</v>
      </c>
      <c r="L266" s="665" t="s">
        <v>162</v>
      </c>
      <c r="M266" s="329" t="s">
        <v>162</v>
      </c>
      <c r="N266" s="329" t="s">
        <v>162</v>
      </c>
      <c r="O266" s="329" t="s">
        <v>162</v>
      </c>
      <c r="P266" s="329" t="s">
        <v>162</v>
      </c>
      <c r="Q266" s="668" t="s">
        <v>162</v>
      </c>
      <c r="R266" s="329" t="s">
        <v>162</v>
      </c>
      <c r="S266" s="329" t="s">
        <v>162</v>
      </c>
      <c r="T266" s="329" t="s">
        <v>162</v>
      </c>
      <c r="U266" s="329" t="s">
        <v>162</v>
      </c>
      <c r="V266" s="329" t="s">
        <v>162</v>
      </c>
      <c r="W266" s="329" t="s">
        <v>162</v>
      </c>
      <c r="X266" s="329" t="s">
        <v>162</v>
      </c>
      <c r="Y266" s="329" t="s">
        <v>162</v>
      </c>
      <c r="Z266" s="329" t="s">
        <v>162</v>
      </c>
      <c r="AA266" s="329" t="s">
        <v>162</v>
      </c>
      <c r="AB266" s="329" t="s">
        <v>162</v>
      </c>
      <c r="AC266" s="329" t="s">
        <v>162</v>
      </c>
      <c r="AD266" s="329" t="s">
        <v>162</v>
      </c>
      <c r="AE266" s="329" t="s">
        <v>162</v>
      </c>
      <c r="AF266" s="329" t="s">
        <v>162</v>
      </c>
      <c r="AG266" s="329" t="s">
        <v>162</v>
      </c>
      <c r="AH266" s="329" t="s">
        <v>162</v>
      </c>
      <c r="AI266" s="329" t="s">
        <v>162</v>
      </c>
      <c r="AJ266" s="329" t="s">
        <v>162</v>
      </c>
      <c r="AK266" s="329" t="s">
        <v>162</v>
      </c>
      <c r="AL266" s="329" t="s">
        <v>162</v>
      </c>
      <c r="AM266" s="329" t="s">
        <v>162</v>
      </c>
      <c r="AN266" s="329" t="s">
        <v>162</v>
      </c>
      <c r="AO266" s="329" t="s">
        <v>162</v>
      </c>
      <c r="AP266" s="329" t="s">
        <v>162</v>
      </c>
      <c r="AQ266" s="329" t="s">
        <v>162</v>
      </c>
      <c r="AR266" s="329" t="s">
        <v>162</v>
      </c>
      <c r="AS266" s="329" t="s">
        <v>162</v>
      </c>
      <c r="AT266" s="329" t="s">
        <v>162</v>
      </c>
      <c r="AU266" s="329" t="s">
        <v>162</v>
      </c>
      <c r="AV266" s="329" t="s">
        <v>162</v>
      </c>
      <c r="AW266" s="907"/>
      <c r="AX266" s="789" t="s">
        <v>1016</v>
      </c>
      <c r="AY266" s="909"/>
    </row>
    <row r="267">
      <c r="A267" s="122"/>
      <c r="B267" s="123"/>
      <c r="C267" s="342"/>
      <c r="D267" s="123"/>
      <c r="E267" s="792" t="s">
        <v>250</v>
      </c>
      <c r="F267" s="935" t="s">
        <v>68</v>
      </c>
      <c r="G267" s="936" t="s">
        <v>165</v>
      </c>
      <c r="H267" s="937">
        <v>285.92</v>
      </c>
      <c r="I267" s="337" t="s">
        <v>162</v>
      </c>
      <c r="J267" s="337" t="s">
        <v>162</v>
      </c>
      <c r="K267" s="337" t="s">
        <v>162</v>
      </c>
      <c r="L267" s="337" t="s">
        <v>162</v>
      </c>
      <c r="M267" s="337" t="s">
        <v>162</v>
      </c>
      <c r="N267" s="337" t="s">
        <v>162</v>
      </c>
      <c r="O267" s="337" t="s">
        <v>162</v>
      </c>
      <c r="P267" s="337" t="s">
        <v>162</v>
      </c>
      <c r="Q267" s="670" t="s">
        <v>162</v>
      </c>
      <c r="R267" s="337" t="s">
        <v>162</v>
      </c>
      <c r="S267" s="337" t="s">
        <v>162</v>
      </c>
      <c r="T267" s="337" t="s">
        <v>162</v>
      </c>
      <c r="U267" s="337" t="s">
        <v>162</v>
      </c>
      <c r="V267" s="337" t="s">
        <v>162</v>
      </c>
      <c r="W267" s="337" t="s">
        <v>162</v>
      </c>
      <c r="X267" s="337" t="s">
        <v>162</v>
      </c>
      <c r="Y267" s="337" t="s">
        <v>162</v>
      </c>
      <c r="Z267" s="337" t="s">
        <v>162</v>
      </c>
      <c r="AA267" s="337" t="s">
        <v>162</v>
      </c>
      <c r="AB267" s="337" t="s">
        <v>162</v>
      </c>
      <c r="AC267" s="337" t="s">
        <v>162</v>
      </c>
      <c r="AD267" s="337" t="s">
        <v>162</v>
      </c>
      <c r="AE267" s="337" t="s">
        <v>162</v>
      </c>
      <c r="AF267" s="337" t="s">
        <v>162</v>
      </c>
      <c r="AG267" s="337" t="s">
        <v>162</v>
      </c>
      <c r="AH267" s="337" t="s">
        <v>162</v>
      </c>
      <c r="AI267" s="337" t="s">
        <v>162</v>
      </c>
      <c r="AJ267" s="337" t="s">
        <v>162</v>
      </c>
      <c r="AK267" s="337" t="s">
        <v>162</v>
      </c>
      <c r="AL267" s="337" t="s">
        <v>162</v>
      </c>
      <c r="AM267" s="337" t="s">
        <v>162</v>
      </c>
      <c r="AN267" s="337" t="s">
        <v>162</v>
      </c>
      <c r="AO267" s="337" t="s">
        <v>162</v>
      </c>
      <c r="AP267" s="337" t="s">
        <v>162</v>
      </c>
      <c r="AQ267" s="337" t="s">
        <v>162</v>
      </c>
      <c r="AR267" s="337" t="s">
        <v>162</v>
      </c>
      <c r="AS267" s="337" t="s">
        <v>162</v>
      </c>
      <c r="AT267" s="337" t="s">
        <v>162</v>
      </c>
      <c r="AU267" s="337" t="s">
        <v>162</v>
      </c>
      <c r="AV267" s="337" t="s">
        <v>162</v>
      </c>
      <c r="AW267" s="891"/>
      <c r="AX267" s="79" t="s">
        <v>1017</v>
      </c>
      <c r="AY267" s="914"/>
    </row>
    <row r="268">
      <c r="A268" s="122"/>
      <c r="B268" s="123"/>
      <c r="C268" s="342"/>
      <c r="D268" s="123"/>
      <c r="E268" s="445"/>
      <c r="F268" s="125"/>
      <c r="G268" s="126"/>
      <c r="H268" s="753"/>
      <c r="I268" s="315"/>
      <c r="J268" s="315"/>
      <c r="K268" s="315"/>
      <c r="L268" s="315"/>
      <c r="M268" s="315"/>
      <c r="N268" s="315"/>
      <c r="O268" s="315"/>
      <c r="P268" s="315"/>
      <c r="Q268" s="316"/>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c r="AN268" s="315"/>
      <c r="AO268" s="315"/>
      <c r="AP268" s="315"/>
      <c r="AQ268" s="315"/>
      <c r="AR268" s="315"/>
      <c r="AS268" s="315"/>
      <c r="AT268" s="315"/>
      <c r="AU268" s="315"/>
      <c r="AV268" s="315"/>
      <c r="AW268" s="68"/>
      <c r="AX268" s="754"/>
      <c r="AY268" s="755"/>
    </row>
    <row r="269">
      <c r="A269" s="117" t="s">
        <v>253</v>
      </c>
      <c r="B269" s="7"/>
      <c r="C269" s="7"/>
      <c r="D269" s="7"/>
      <c r="E269" s="7"/>
      <c r="F269" s="7"/>
      <c r="G269" s="659"/>
      <c r="H269" s="749"/>
      <c r="I269" s="750"/>
      <c r="J269" s="750"/>
      <c r="K269" s="750"/>
      <c r="L269" s="750"/>
      <c r="M269" s="750"/>
      <c r="N269" s="750"/>
      <c r="O269" s="750"/>
      <c r="P269" s="750"/>
      <c r="Q269" s="686"/>
      <c r="R269" s="750"/>
      <c r="S269" s="750"/>
      <c r="T269" s="750"/>
      <c r="U269" s="750"/>
      <c r="V269" s="750"/>
      <c r="W269" s="750"/>
      <c r="X269" s="750"/>
      <c r="Y269" s="750"/>
      <c r="Z269" s="750"/>
      <c r="AA269" s="750"/>
      <c r="AB269" s="750"/>
      <c r="AC269" s="750"/>
      <c r="AD269" s="750"/>
      <c r="AE269" s="750"/>
      <c r="AF269" s="750"/>
      <c r="AG269" s="750"/>
      <c r="AH269" s="750"/>
      <c r="AI269" s="750"/>
      <c r="AJ269" s="750"/>
      <c r="AK269" s="750"/>
      <c r="AL269" s="750"/>
      <c r="AM269" s="750"/>
      <c r="AN269" s="750"/>
      <c r="AO269" s="750"/>
      <c r="AP269" s="750"/>
      <c r="AQ269" s="750"/>
      <c r="AR269" s="750"/>
      <c r="AS269" s="750"/>
      <c r="AT269" s="750"/>
      <c r="AU269" s="750"/>
      <c r="AV269" s="750"/>
      <c r="AW269" s="938"/>
      <c r="AX269" s="939"/>
      <c r="AY269" s="752"/>
    </row>
    <row r="270">
      <c r="A270" s="122"/>
      <c r="B270" s="123"/>
      <c r="C270" s="123"/>
      <c r="D270" s="123"/>
      <c r="E270" s="445"/>
      <c r="F270" s="125"/>
      <c r="G270" s="126"/>
      <c r="H270" s="753"/>
      <c r="I270" s="315"/>
      <c r="J270" s="315"/>
      <c r="K270" s="315"/>
      <c r="L270" s="315"/>
      <c r="M270" s="315"/>
      <c r="N270" s="315"/>
      <c r="O270" s="315"/>
      <c r="P270" s="315"/>
      <c r="Q270" s="316"/>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c r="AN270" s="315"/>
      <c r="AO270" s="315"/>
      <c r="AP270" s="315"/>
      <c r="AQ270" s="315"/>
      <c r="AR270" s="315"/>
      <c r="AS270" s="315"/>
      <c r="AT270" s="315"/>
      <c r="AU270" s="315"/>
      <c r="AV270" s="315"/>
      <c r="AW270" s="68"/>
      <c r="AX270" s="754"/>
      <c r="AY270" s="755"/>
    </row>
    <row r="271">
      <c r="A271" s="122"/>
      <c r="B271" s="123"/>
      <c r="C271" s="342" t="s">
        <v>253</v>
      </c>
      <c r="F271" s="125"/>
      <c r="G271" s="126"/>
      <c r="H271" s="753"/>
      <c r="I271" s="315"/>
      <c r="J271" s="315"/>
      <c r="K271" s="315"/>
      <c r="L271" s="315"/>
      <c r="M271" s="315"/>
      <c r="N271" s="315"/>
      <c r="O271" s="315"/>
      <c r="P271" s="315"/>
      <c r="Q271" s="316"/>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c r="AO271" s="315"/>
      <c r="AP271" s="315"/>
      <c r="AQ271" s="315"/>
      <c r="AR271" s="315"/>
      <c r="AS271" s="315"/>
      <c r="AT271" s="315"/>
      <c r="AU271" s="315"/>
      <c r="AV271" s="315"/>
      <c r="AW271" s="68"/>
      <c r="AX271" s="754"/>
      <c r="AY271" s="755"/>
    </row>
    <row r="272">
      <c r="A272" s="122"/>
      <c r="B272" s="123"/>
      <c r="C272" s="123"/>
      <c r="D272" s="123"/>
      <c r="E272" s="782" t="s">
        <v>226</v>
      </c>
      <c r="F272" s="193" t="s">
        <v>76</v>
      </c>
      <c r="G272" s="235" t="s">
        <v>165</v>
      </c>
      <c r="H272" s="940">
        <v>116.25262</v>
      </c>
      <c r="I272" s="665" t="s">
        <v>162</v>
      </c>
      <c r="J272" s="665" t="s">
        <v>162</v>
      </c>
      <c r="K272" s="665" t="s">
        <v>162</v>
      </c>
      <c r="L272" s="665" t="s">
        <v>162</v>
      </c>
      <c r="M272" s="665" t="s">
        <v>162</v>
      </c>
      <c r="N272" s="665" t="s">
        <v>162</v>
      </c>
      <c r="O272" s="665" t="s">
        <v>162</v>
      </c>
      <c r="P272" s="665" t="s">
        <v>162</v>
      </c>
      <c r="Q272" s="666" t="s">
        <v>162</v>
      </c>
      <c r="R272" s="665" t="s">
        <v>162</v>
      </c>
      <c r="S272" s="665" t="s">
        <v>162</v>
      </c>
      <c r="T272" s="665" t="s">
        <v>162</v>
      </c>
      <c r="U272" s="665" t="s">
        <v>162</v>
      </c>
      <c r="V272" s="665" t="s">
        <v>162</v>
      </c>
      <c r="W272" s="665" t="s">
        <v>162</v>
      </c>
      <c r="X272" s="665" t="s">
        <v>162</v>
      </c>
      <c r="Y272" s="665" t="s">
        <v>162</v>
      </c>
      <c r="Z272" s="665" t="s">
        <v>162</v>
      </c>
      <c r="AA272" s="665" t="s">
        <v>162</v>
      </c>
      <c r="AB272" s="665" t="s">
        <v>162</v>
      </c>
      <c r="AC272" s="665" t="s">
        <v>162</v>
      </c>
      <c r="AD272" s="665" t="s">
        <v>162</v>
      </c>
      <c r="AE272" s="665" t="s">
        <v>162</v>
      </c>
      <c r="AF272" s="665" t="s">
        <v>162</v>
      </c>
      <c r="AG272" s="665" t="s">
        <v>162</v>
      </c>
      <c r="AH272" s="665" t="s">
        <v>162</v>
      </c>
      <c r="AI272" s="665" t="s">
        <v>162</v>
      </c>
      <c r="AJ272" s="665" t="s">
        <v>162</v>
      </c>
      <c r="AK272" s="665" t="s">
        <v>162</v>
      </c>
      <c r="AL272" s="665" t="s">
        <v>162</v>
      </c>
      <c r="AM272" s="665" t="s">
        <v>162</v>
      </c>
      <c r="AN272" s="665" t="s">
        <v>162</v>
      </c>
      <c r="AO272" s="665" t="s">
        <v>162</v>
      </c>
      <c r="AP272" s="665" t="s">
        <v>162</v>
      </c>
      <c r="AQ272" s="665" t="s">
        <v>162</v>
      </c>
      <c r="AR272" s="665" t="s">
        <v>162</v>
      </c>
      <c r="AS272" s="665" t="s">
        <v>162</v>
      </c>
      <c r="AT272" s="665" t="s">
        <v>162</v>
      </c>
      <c r="AU272" s="665" t="s">
        <v>162</v>
      </c>
      <c r="AV272" s="665" t="s">
        <v>162</v>
      </c>
      <c r="AW272" s="941"/>
      <c r="AX272" s="902" t="s">
        <v>1018</v>
      </c>
      <c r="AY272" s="942" t="s">
        <v>101</v>
      </c>
    </row>
    <row r="273">
      <c r="A273" s="122"/>
      <c r="B273" s="123"/>
      <c r="C273" s="123"/>
      <c r="D273" s="123"/>
      <c r="E273" s="782" t="s">
        <v>227</v>
      </c>
      <c r="F273" s="296" t="s">
        <v>76</v>
      </c>
      <c r="G273" s="297" t="s">
        <v>165</v>
      </c>
      <c r="H273" s="940">
        <v>133.7</v>
      </c>
      <c r="I273" s="665" t="s">
        <v>162</v>
      </c>
      <c r="J273" s="665" t="s">
        <v>162</v>
      </c>
      <c r="K273" s="665" t="s">
        <v>162</v>
      </c>
      <c r="L273" s="665" t="s">
        <v>162</v>
      </c>
      <c r="M273" s="665" t="s">
        <v>162</v>
      </c>
      <c r="N273" s="665" t="s">
        <v>162</v>
      </c>
      <c r="O273" s="665" t="s">
        <v>162</v>
      </c>
      <c r="P273" s="665" t="s">
        <v>162</v>
      </c>
      <c r="Q273" s="666" t="s">
        <v>162</v>
      </c>
      <c r="R273" s="665" t="s">
        <v>162</v>
      </c>
      <c r="S273" s="665" t="s">
        <v>162</v>
      </c>
      <c r="T273" s="665" t="s">
        <v>162</v>
      </c>
      <c r="U273" s="665" t="s">
        <v>162</v>
      </c>
      <c r="V273" s="665" t="s">
        <v>162</v>
      </c>
      <c r="W273" s="665" t="s">
        <v>162</v>
      </c>
      <c r="X273" s="665" t="s">
        <v>162</v>
      </c>
      <c r="Y273" s="665" t="s">
        <v>162</v>
      </c>
      <c r="Z273" s="665" t="s">
        <v>162</v>
      </c>
      <c r="AA273" s="665" t="s">
        <v>162</v>
      </c>
      <c r="AB273" s="665" t="s">
        <v>162</v>
      </c>
      <c r="AC273" s="665" t="s">
        <v>162</v>
      </c>
      <c r="AD273" s="665" t="s">
        <v>162</v>
      </c>
      <c r="AE273" s="665" t="s">
        <v>162</v>
      </c>
      <c r="AF273" s="665" t="s">
        <v>162</v>
      </c>
      <c r="AG273" s="665" t="s">
        <v>162</v>
      </c>
      <c r="AH273" s="665" t="s">
        <v>162</v>
      </c>
      <c r="AI273" s="665" t="s">
        <v>162</v>
      </c>
      <c r="AJ273" s="665" t="s">
        <v>162</v>
      </c>
      <c r="AK273" s="665" t="s">
        <v>162</v>
      </c>
      <c r="AL273" s="665" t="s">
        <v>162</v>
      </c>
      <c r="AM273" s="665" t="s">
        <v>162</v>
      </c>
      <c r="AN273" s="665" t="s">
        <v>162</v>
      </c>
      <c r="AO273" s="665" t="s">
        <v>162</v>
      </c>
      <c r="AP273" s="665" t="s">
        <v>162</v>
      </c>
      <c r="AQ273" s="665" t="s">
        <v>162</v>
      </c>
      <c r="AR273" s="665" t="s">
        <v>162</v>
      </c>
      <c r="AS273" s="665" t="s">
        <v>162</v>
      </c>
      <c r="AT273" s="665" t="s">
        <v>162</v>
      </c>
      <c r="AU273" s="665" t="s">
        <v>162</v>
      </c>
      <c r="AV273" s="665" t="s">
        <v>162</v>
      </c>
      <c r="AW273" s="941"/>
      <c r="AX273" s="902" t="s">
        <v>1018</v>
      </c>
      <c r="AY273" s="942" t="s">
        <v>101</v>
      </c>
    </row>
    <row r="274">
      <c r="A274" s="122"/>
      <c r="B274" s="123"/>
      <c r="C274" s="123"/>
      <c r="D274" s="123"/>
      <c r="E274" s="782" t="s">
        <v>259</v>
      </c>
      <c r="F274" s="296" t="s">
        <v>76</v>
      </c>
      <c r="G274" s="297" t="s">
        <v>165</v>
      </c>
      <c r="H274" s="943">
        <v>103.58571</v>
      </c>
      <c r="I274" s="665" t="s">
        <v>162</v>
      </c>
      <c r="J274" s="665" t="s">
        <v>162</v>
      </c>
      <c r="K274" s="665" t="s">
        <v>162</v>
      </c>
      <c r="L274" s="665" t="s">
        <v>162</v>
      </c>
      <c r="M274" s="665" t="s">
        <v>162</v>
      </c>
      <c r="N274" s="665" t="s">
        <v>162</v>
      </c>
      <c r="O274" s="665" t="s">
        <v>162</v>
      </c>
      <c r="P274" s="665" t="s">
        <v>162</v>
      </c>
      <c r="Q274" s="666" t="s">
        <v>162</v>
      </c>
      <c r="R274" s="665" t="s">
        <v>162</v>
      </c>
      <c r="S274" s="665" t="s">
        <v>162</v>
      </c>
      <c r="T274" s="665" t="s">
        <v>162</v>
      </c>
      <c r="U274" s="665" t="s">
        <v>162</v>
      </c>
      <c r="V274" s="665" t="s">
        <v>162</v>
      </c>
      <c r="W274" s="665" t="s">
        <v>162</v>
      </c>
      <c r="X274" s="665" t="s">
        <v>162</v>
      </c>
      <c r="Y274" s="665" t="s">
        <v>162</v>
      </c>
      <c r="Z274" s="665" t="s">
        <v>162</v>
      </c>
      <c r="AA274" s="665" t="s">
        <v>162</v>
      </c>
      <c r="AB274" s="665" t="s">
        <v>162</v>
      </c>
      <c r="AC274" s="665" t="s">
        <v>162</v>
      </c>
      <c r="AD274" s="665" t="s">
        <v>162</v>
      </c>
      <c r="AE274" s="665" t="s">
        <v>162</v>
      </c>
      <c r="AF274" s="665" t="s">
        <v>162</v>
      </c>
      <c r="AG274" s="665" t="s">
        <v>162</v>
      </c>
      <c r="AH274" s="665" t="s">
        <v>162</v>
      </c>
      <c r="AI274" s="665" t="s">
        <v>162</v>
      </c>
      <c r="AJ274" s="665" t="s">
        <v>162</v>
      </c>
      <c r="AK274" s="665" t="s">
        <v>162</v>
      </c>
      <c r="AL274" s="665" t="s">
        <v>162</v>
      </c>
      <c r="AM274" s="665" t="s">
        <v>162</v>
      </c>
      <c r="AN274" s="665" t="s">
        <v>162</v>
      </c>
      <c r="AO274" s="665" t="s">
        <v>162</v>
      </c>
      <c r="AP274" s="665" t="s">
        <v>162</v>
      </c>
      <c r="AQ274" s="665" t="s">
        <v>162</v>
      </c>
      <c r="AR274" s="665" t="s">
        <v>162</v>
      </c>
      <c r="AS274" s="665" t="s">
        <v>162</v>
      </c>
      <c r="AT274" s="665" t="s">
        <v>162</v>
      </c>
      <c r="AU274" s="665" t="s">
        <v>162</v>
      </c>
      <c r="AV274" s="665" t="s">
        <v>162</v>
      </c>
      <c r="AW274" s="944"/>
      <c r="AX274" s="902" t="s">
        <v>1018</v>
      </c>
      <c r="AY274" s="942" t="s">
        <v>101</v>
      </c>
    </row>
    <row r="275">
      <c r="A275" s="122"/>
      <c r="B275" s="123"/>
      <c r="C275" s="123"/>
      <c r="D275" s="123"/>
      <c r="E275" s="782" t="s">
        <v>262</v>
      </c>
      <c r="F275" s="296" t="s">
        <v>76</v>
      </c>
      <c r="G275" s="297" t="s">
        <v>165</v>
      </c>
      <c r="H275" s="943">
        <v>42.44</v>
      </c>
      <c r="I275" s="665" t="s">
        <v>162</v>
      </c>
      <c r="J275" s="665" t="s">
        <v>162</v>
      </c>
      <c r="K275" s="665" t="s">
        <v>162</v>
      </c>
      <c r="L275" s="665" t="s">
        <v>162</v>
      </c>
      <c r="M275" s="665" t="s">
        <v>162</v>
      </c>
      <c r="N275" s="665" t="s">
        <v>162</v>
      </c>
      <c r="O275" s="665" t="s">
        <v>162</v>
      </c>
      <c r="P275" s="665" t="s">
        <v>162</v>
      </c>
      <c r="Q275" s="666" t="s">
        <v>162</v>
      </c>
      <c r="R275" s="665" t="s">
        <v>162</v>
      </c>
      <c r="S275" s="665" t="s">
        <v>162</v>
      </c>
      <c r="T275" s="665" t="s">
        <v>162</v>
      </c>
      <c r="U275" s="665" t="s">
        <v>162</v>
      </c>
      <c r="V275" s="665" t="s">
        <v>162</v>
      </c>
      <c r="W275" s="665" t="s">
        <v>162</v>
      </c>
      <c r="X275" s="665" t="s">
        <v>162</v>
      </c>
      <c r="Y275" s="665" t="s">
        <v>162</v>
      </c>
      <c r="Z275" s="665" t="s">
        <v>162</v>
      </c>
      <c r="AA275" s="665" t="s">
        <v>162</v>
      </c>
      <c r="AB275" s="665" t="s">
        <v>162</v>
      </c>
      <c r="AC275" s="665" t="s">
        <v>162</v>
      </c>
      <c r="AD275" s="665" t="s">
        <v>162</v>
      </c>
      <c r="AE275" s="665" t="s">
        <v>162</v>
      </c>
      <c r="AF275" s="665" t="s">
        <v>162</v>
      </c>
      <c r="AG275" s="665" t="s">
        <v>162</v>
      </c>
      <c r="AH275" s="665" t="s">
        <v>162</v>
      </c>
      <c r="AI275" s="665" t="s">
        <v>162</v>
      </c>
      <c r="AJ275" s="665" t="s">
        <v>162</v>
      </c>
      <c r="AK275" s="665" t="s">
        <v>162</v>
      </c>
      <c r="AL275" s="665" t="s">
        <v>162</v>
      </c>
      <c r="AM275" s="665" t="s">
        <v>162</v>
      </c>
      <c r="AN275" s="665" t="s">
        <v>162</v>
      </c>
      <c r="AO275" s="665" t="s">
        <v>162</v>
      </c>
      <c r="AP275" s="665" t="s">
        <v>162</v>
      </c>
      <c r="AQ275" s="665" t="s">
        <v>162</v>
      </c>
      <c r="AR275" s="665" t="s">
        <v>162</v>
      </c>
      <c r="AS275" s="665" t="s">
        <v>162</v>
      </c>
      <c r="AT275" s="665" t="s">
        <v>162</v>
      </c>
      <c r="AU275" s="665" t="s">
        <v>162</v>
      </c>
      <c r="AV275" s="665" t="s">
        <v>162</v>
      </c>
      <c r="AW275" s="944"/>
      <c r="AX275" s="902" t="s">
        <v>1018</v>
      </c>
      <c r="AY275" s="942" t="s">
        <v>101</v>
      </c>
    </row>
    <row r="276">
      <c r="A276" s="122"/>
      <c r="B276" s="123"/>
      <c r="C276" s="123"/>
      <c r="D276" s="123"/>
      <c r="E276" s="475" t="s">
        <v>1019</v>
      </c>
      <c r="F276" s="213" t="s">
        <v>76</v>
      </c>
      <c r="G276" s="239" t="s">
        <v>165</v>
      </c>
      <c r="H276" s="945">
        <v>1.0</v>
      </c>
      <c r="I276" s="665" t="s">
        <v>162</v>
      </c>
      <c r="J276" s="665" t="s">
        <v>162</v>
      </c>
      <c r="K276" s="665" t="s">
        <v>162</v>
      </c>
      <c r="L276" s="665" t="s">
        <v>162</v>
      </c>
      <c r="M276" s="665" t="s">
        <v>162</v>
      </c>
      <c r="N276" s="665" t="s">
        <v>162</v>
      </c>
      <c r="O276" s="665" t="s">
        <v>162</v>
      </c>
      <c r="P276" s="665" t="s">
        <v>162</v>
      </c>
      <c r="Q276" s="666" t="s">
        <v>162</v>
      </c>
      <c r="R276" s="665" t="s">
        <v>162</v>
      </c>
      <c r="S276" s="665" t="s">
        <v>162</v>
      </c>
      <c r="T276" s="665" t="s">
        <v>162</v>
      </c>
      <c r="U276" s="665" t="s">
        <v>162</v>
      </c>
      <c r="V276" s="665" t="s">
        <v>162</v>
      </c>
      <c r="W276" s="665" t="s">
        <v>162</v>
      </c>
      <c r="X276" s="665" t="s">
        <v>162</v>
      </c>
      <c r="Y276" s="665" t="s">
        <v>162</v>
      </c>
      <c r="Z276" s="665" t="s">
        <v>162</v>
      </c>
      <c r="AA276" s="665" t="s">
        <v>162</v>
      </c>
      <c r="AB276" s="665" t="s">
        <v>162</v>
      </c>
      <c r="AC276" s="665" t="s">
        <v>162</v>
      </c>
      <c r="AD276" s="665" t="s">
        <v>162</v>
      </c>
      <c r="AE276" s="665" t="s">
        <v>162</v>
      </c>
      <c r="AF276" s="665" t="s">
        <v>162</v>
      </c>
      <c r="AG276" s="665" t="s">
        <v>162</v>
      </c>
      <c r="AH276" s="665" t="s">
        <v>162</v>
      </c>
      <c r="AI276" s="665" t="s">
        <v>162</v>
      </c>
      <c r="AJ276" s="665" t="s">
        <v>162</v>
      </c>
      <c r="AK276" s="665" t="s">
        <v>162</v>
      </c>
      <c r="AL276" s="665" t="s">
        <v>162</v>
      </c>
      <c r="AM276" s="665" t="s">
        <v>162</v>
      </c>
      <c r="AN276" s="665" t="s">
        <v>162</v>
      </c>
      <c r="AO276" s="665" t="s">
        <v>162</v>
      </c>
      <c r="AP276" s="665" t="s">
        <v>162</v>
      </c>
      <c r="AQ276" s="665" t="s">
        <v>162</v>
      </c>
      <c r="AR276" s="665" t="s">
        <v>162</v>
      </c>
      <c r="AS276" s="665" t="s">
        <v>162</v>
      </c>
      <c r="AT276" s="665" t="s">
        <v>162</v>
      </c>
      <c r="AU276" s="665" t="s">
        <v>162</v>
      </c>
      <c r="AV276" s="665" t="s">
        <v>162</v>
      </c>
      <c r="AW276" s="941"/>
      <c r="AX276" s="902" t="s">
        <v>1018</v>
      </c>
      <c r="AY276" s="942" t="s">
        <v>101</v>
      </c>
    </row>
    <row r="277">
      <c r="A277" s="122"/>
      <c r="B277" s="123"/>
      <c r="C277" s="123"/>
      <c r="D277" s="123"/>
      <c r="E277" s="792" t="s">
        <v>268</v>
      </c>
      <c r="F277" s="200" t="s">
        <v>76</v>
      </c>
      <c r="G277" s="273" t="s">
        <v>165</v>
      </c>
      <c r="H277" s="946">
        <f>H276/ln(2)</f>
        <v>1.442695041</v>
      </c>
      <c r="I277" s="337" t="s">
        <v>162</v>
      </c>
      <c r="J277" s="337" t="s">
        <v>162</v>
      </c>
      <c r="K277" s="337" t="s">
        <v>162</v>
      </c>
      <c r="L277" s="337" t="s">
        <v>162</v>
      </c>
      <c r="M277" s="337" t="s">
        <v>162</v>
      </c>
      <c r="N277" s="337" t="s">
        <v>162</v>
      </c>
      <c r="O277" s="337" t="s">
        <v>162</v>
      </c>
      <c r="P277" s="337" t="s">
        <v>162</v>
      </c>
      <c r="Q277" s="670" t="s">
        <v>162</v>
      </c>
      <c r="R277" s="337" t="s">
        <v>162</v>
      </c>
      <c r="S277" s="337" t="s">
        <v>162</v>
      </c>
      <c r="T277" s="337" t="s">
        <v>162</v>
      </c>
      <c r="U277" s="337" t="s">
        <v>162</v>
      </c>
      <c r="V277" s="337" t="s">
        <v>162</v>
      </c>
      <c r="W277" s="337" t="s">
        <v>162</v>
      </c>
      <c r="X277" s="337" t="s">
        <v>162</v>
      </c>
      <c r="Y277" s="337" t="s">
        <v>162</v>
      </c>
      <c r="Z277" s="337" t="s">
        <v>162</v>
      </c>
      <c r="AA277" s="337" t="s">
        <v>162</v>
      </c>
      <c r="AB277" s="337" t="s">
        <v>162</v>
      </c>
      <c r="AC277" s="337" t="s">
        <v>162</v>
      </c>
      <c r="AD277" s="337" t="s">
        <v>162</v>
      </c>
      <c r="AE277" s="337" t="s">
        <v>162</v>
      </c>
      <c r="AF277" s="337" t="s">
        <v>162</v>
      </c>
      <c r="AG277" s="337" t="s">
        <v>162</v>
      </c>
      <c r="AH277" s="337" t="s">
        <v>162</v>
      </c>
      <c r="AI277" s="337" t="s">
        <v>162</v>
      </c>
      <c r="AJ277" s="337" t="s">
        <v>162</v>
      </c>
      <c r="AK277" s="337" t="s">
        <v>162</v>
      </c>
      <c r="AL277" s="337" t="s">
        <v>162</v>
      </c>
      <c r="AM277" s="337" t="s">
        <v>162</v>
      </c>
      <c r="AN277" s="337" t="s">
        <v>162</v>
      </c>
      <c r="AO277" s="337" t="s">
        <v>162</v>
      </c>
      <c r="AP277" s="337" t="s">
        <v>162</v>
      </c>
      <c r="AQ277" s="337" t="s">
        <v>162</v>
      </c>
      <c r="AR277" s="337" t="s">
        <v>162</v>
      </c>
      <c r="AS277" s="337" t="s">
        <v>162</v>
      </c>
      <c r="AT277" s="337" t="s">
        <v>162</v>
      </c>
      <c r="AU277" s="337" t="s">
        <v>162</v>
      </c>
      <c r="AV277" s="337" t="s">
        <v>162</v>
      </c>
      <c r="AW277" s="891"/>
      <c r="AX277" s="759" t="s">
        <v>1018</v>
      </c>
      <c r="AY277" s="947" t="s">
        <v>101</v>
      </c>
    </row>
    <row r="278">
      <c r="A278" s="122"/>
      <c r="B278" s="123"/>
      <c r="C278" s="123"/>
      <c r="D278" s="123"/>
      <c r="E278" s="777"/>
      <c r="F278" s="141"/>
      <c r="G278" s="144"/>
      <c r="H278" s="948"/>
      <c r="I278" s="949"/>
      <c r="J278" s="949"/>
      <c r="K278" s="949"/>
      <c r="L278" s="949"/>
      <c r="M278" s="949"/>
      <c r="N278" s="949"/>
      <c r="O278" s="949"/>
      <c r="P278" s="949"/>
      <c r="Q278" s="950"/>
      <c r="R278" s="949"/>
      <c r="S278" s="949"/>
      <c r="T278" s="949"/>
      <c r="U278" s="949"/>
      <c r="V278" s="949"/>
      <c r="W278" s="949"/>
      <c r="X278" s="949"/>
      <c r="Y278" s="949"/>
      <c r="Z278" s="949"/>
      <c r="AA278" s="949"/>
      <c r="AB278" s="949"/>
      <c r="AC278" s="949"/>
      <c r="AD278" s="949"/>
      <c r="AE278" s="949"/>
      <c r="AF278" s="949"/>
      <c r="AG278" s="949"/>
      <c r="AH278" s="949"/>
      <c r="AI278" s="949"/>
      <c r="AJ278" s="949"/>
      <c r="AK278" s="949"/>
      <c r="AL278" s="949"/>
      <c r="AM278" s="949"/>
      <c r="AN278" s="949"/>
      <c r="AO278" s="949"/>
      <c r="AP278" s="949"/>
      <c r="AQ278" s="949"/>
      <c r="AR278" s="949"/>
      <c r="AS278" s="949"/>
      <c r="AT278" s="949"/>
      <c r="AU278" s="949"/>
      <c r="AV278" s="949"/>
      <c r="AW278" s="68"/>
      <c r="AX278" s="897"/>
      <c r="AY278" s="951"/>
    </row>
    <row r="279">
      <c r="A279" s="117" t="s">
        <v>270</v>
      </c>
      <c r="B279" s="7"/>
      <c r="C279" s="7"/>
      <c r="D279" s="7"/>
      <c r="E279" s="7"/>
      <c r="F279" s="7"/>
      <c r="G279" s="659"/>
      <c r="H279" s="749"/>
      <c r="I279" s="750"/>
      <c r="J279" s="750"/>
      <c r="K279" s="750"/>
      <c r="L279" s="750"/>
      <c r="M279" s="750"/>
      <c r="N279" s="750"/>
      <c r="O279" s="750"/>
      <c r="P279" s="750"/>
      <c r="Q279" s="686"/>
      <c r="R279" s="750"/>
      <c r="S279" s="750"/>
      <c r="T279" s="750"/>
      <c r="U279" s="750"/>
      <c r="V279" s="750"/>
      <c r="W279" s="750"/>
      <c r="X279" s="750"/>
      <c r="Y279" s="750"/>
      <c r="Z279" s="750"/>
      <c r="AA279" s="750"/>
      <c r="AB279" s="750"/>
      <c r="AC279" s="750"/>
      <c r="AD279" s="750"/>
      <c r="AE279" s="750"/>
      <c r="AF279" s="750"/>
      <c r="AG279" s="750"/>
      <c r="AH279" s="750"/>
      <c r="AI279" s="750"/>
      <c r="AJ279" s="750"/>
      <c r="AK279" s="750"/>
      <c r="AL279" s="750"/>
      <c r="AM279" s="750"/>
      <c r="AN279" s="750"/>
      <c r="AO279" s="750"/>
      <c r="AP279" s="750"/>
      <c r="AQ279" s="750"/>
      <c r="AR279" s="750"/>
      <c r="AS279" s="750"/>
      <c r="AT279" s="750"/>
      <c r="AU279" s="750"/>
      <c r="AV279" s="750"/>
      <c r="AW279" s="938"/>
      <c r="AX279" s="939"/>
      <c r="AY279" s="752"/>
    </row>
    <row r="280">
      <c r="A280" s="122"/>
      <c r="B280" s="123"/>
      <c r="C280" s="286"/>
      <c r="D280" s="123"/>
      <c r="E280" s="777"/>
      <c r="F280" s="141"/>
      <c r="G280" s="144"/>
      <c r="H280" s="952"/>
      <c r="I280" s="949"/>
      <c r="J280" s="949"/>
      <c r="K280" s="949"/>
      <c r="L280" s="949"/>
      <c r="M280" s="949"/>
      <c r="N280" s="949"/>
      <c r="O280" s="949"/>
      <c r="P280" s="949"/>
      <c r="Q280" s="950"/>
      <c r="R280" s="949"/>
      <c r="S280" s="949"/>
      <c r="T280" s="949"/>
      <c r="U280" s="949"/>
      <c r="V280" s="949"/>
      <c r="W280" s="949"/>
      <c r="X280" s="949"/>
      <c r="Y280" s="949"/>
      <c r="Z280" s="949"/>
      <c r="AA280" s="949"/>
      <c r="AB280" s="949"/>
      <c r="AC280" s="949"/>
      <c r="AD280" s="949"/>
      <c r="AE280" s="949"/>
      <c r="AF280" s="949"/>
      <c r="AG280" s="949"/>
      <c r="AH280" s="949"/>
      <c r="AI280" s="949"/>
      <c r="AJ280" s="949"/>
      <c r="AK280" s="949"/>
      <c r="AL280" s="949"/>
      <c r="AM280" s="949"/>
      <c r="AN280" s="949"/>
      <c r="AO280" s="949"/>
      <c r="AP280" s="949"/>
      <c r="AQ280" s="949"/>
      <c r="AR280" s="949"/>
      <c r="AS280" s="949"/>
      <c r="AT280" s="949"/>
      <c r="AU280" s="949"/>
      <c r="AV280" s="949"/>
      <c r="AW280" s="68"/>
      <c r="AX280" s="897"/>
      <c r="AY280" s="951"/>
    </row>
    <row r="281">
      <c r="A281" s="122"/>
      <c r="B281" s="123"/>
      <c r="C281" s="342" t="s">
        <v>1020</v>
      </c>
      <c r="F281" s="141"/>
      <c r="G281" s="144"/>
      <c r="H281" s="948"/>
      <c r="I281" s="949"/>
      <c r="J281" s="949"/>
      <c r="K281" s="949"/>
      <c r="L281" s="949"/>
      <c r="M281" s="949"/>
      <c r="N281" s="949"/>
      <c r="O281" s="949"/>
      <c r="P281" s="949"/>
      <c r="Q281" s="950"/>
      <c r="R281" s="949"/>
      <c r="S281" s="949"/>
      <c r="T281" s="949"/>
      <c r="U281" s="949"/>
      <c r="V281" s="949"/>
      <c r="W281" s="949"/>
      <c r="X281" s="949"/>
      <c r="Y281" s="949"/>
      <c r="Z281" s="949"/>
      <c r="AA281" s="949"/>
      <c r="AB281" s="949"/>
      <c r="AC281" s="949"/>
      <c r="AD281" s="949"/>
      <c r="AE281" s="949"/>
      <c r="AF281" s="949"/>
      <c r="AG281" s="949"/>
      <c r="AH281" s="949"/>
      <c r="AI281" s="949"/>
      <c r="AJ281" s="949"/>
      <c r="AK281" s="949"/>
      <c r="AL281" s="949"/>
      <c r="AM281" s="949"/>
      <c r="AN281" s="949"/>
      <c r="AO281" s="949"/>
      <c r="AP281" s="949"/>
      <c r="AQ281" s="949"/>
      <c r="AR281" s="949"/>
      <c r="AS281" s="949"/>
      <c r="AT281" s="949"/>
      <c r="AU281" s="949"/>
      <c r="AV281" s="949"/>
      <c r="AW281" s="68"/>
      <c r="AX281" s="897"/>
      <c r="AY281" s="951"/>
    </row>
    <row r="282">
      <c r="A282" s="122"/>
      <c r="B282" s="123"/>
      <c r="C282" s="123"/>
      <c r="D282" s="123"/>
      <c r="E282" s="800" t="s">
        <v>285</v>
      </c>
      <c r="F282" s="134" t="s">
        <v>76</v>
      </c>
      <c r="G282" s="145" t="s">
        <v>165</v>
      </c>
      <c r="H282" s="953">
        <v>0.00333</v>
      </c>
      <c r="I282" s="954" t="s">
        <v>162</v>
      </c>
      <c r="J282" s="954" t="s">
        <v>162</v>
      </c>
      <c r="K282" s="954" t="s">
        <v>162</v>
      </c>
      <c r="L282" s="954" t="s">
        <v>162</v>
      </c>
      <c r="M282" s="954" t="s">
        <v>162</v>
      </c>
      <c r="N282" s="954" t="s">
        <v>162</v>
      </c>
      <c r="O282" s="954" t="s">
        <v>162</v>
      </c>
      <c r="P282" s="954" t="s">
        <v>162</v>
      </c>
      <c r="Q282" s="955" t="s">
        <v>162</v>
      </c>
      <c r="R282" s="954" t="s">
        <v>162</v>
      </c>
      <c r="S282" s="954" t="s">
        <v>162</v>
      </c>
      <c r="T282" s="954" t="s">
        <v>162</v>
      </c>
      <c r="U282" s="954" t="s">
        <v>162</v>
      </c>
      <c r="V282" s="954" t="s">
        <v>162</v>
      </c>
      <c r="W282" s="954" t="s">
        <v>162</v>
      </c>
      <c r="X282" s="954" t="s">
        <v>162</v>
      </c>
      <c r="Y282" s="954" t="s">
        <v>162</v>
      </c>
      <c r="Z282" s="954" t="s">
        <v>162</v>
      </c>
      <c r="AA282" s="954" t="s">
        <v>162</v>
      </c>
      <c r="AB282" s="954" t="s">
        <v>162</v>
      </c>
      <c r="AC282" s="954" t="s">
        <v>162</v>
      </c>
      <c r="AD282" s="954" t="s">
        <v>162</v>
      </c>
      <c r="AE282" s="954" t="s">
        <v>162</v>
      </c>
      <c r="AF282" s="954" t="s">
        <v>162</v>
      </c>
      <c r="AG282" s="954" t="s">
        <v>162</v>
      </c>
      <c r="AH282" s="954" t="s">
        <v>162</v>
      </c>
      <c r="AI282" s="954" t="s">
        <v>162</v>
      </c>
      <c r="AJ282" s="954" t="s">
        <v>162</v>
      </c>
      <c r="AK282" s="954" t="s">
        <v>162</v>
      </c>
      <c r="AL282" s="954" t="s">
        <v>162</v>
      </c>
      <c r="AM282" s="954" t="s">
        <v>162</v>
      </c>
      <c r="AN282" s="954" t="s">
        <v>162</v>
      </c>
      <c r="AO282" s="954" t="s">
        <v>162</v>
      </c>
      <c r="AP282" s="954" t="s">
        <v>162</v>
      </c>
      <c r="AQ282" s="954" t="s">
        <v>162</v>
      </c>
      <c r="AR282" s="954" t="s">
        <v>162</v>
      </c>
      <c r="AS282" s="954" t="s">
        <v>162</v>
      </c>
      <c r="AT282" s="954" t="s">
        <v>162</v>
      </c>
      <c r="AU282" s="954" t="s">
        <v>162</v>
      </c>
      <c r="AV282" s="954" t="s">
        <v>162</v>
      </c>
      <c r="AW282" s="81"/>
      <c r="AX282" s="759" t="s">
        <v>977</v>
      </c>
      <c r="AY282" s="74" t="s">
        <v>104</v>
      </c>
    </row>
    <row r="283">
      <c r="A283" s="122"/>
      <c r="B283" s="123"/>
      <c r="C283" s="123"/>
      <c r="D283" s="123"/>
      <c r="E283" s="445"/>
      <c r="F283" s="125"/>
      <c r="G283" s="126"/>
      <c r="H283" s="753"/>
      <c r="I283" s="315"/>
      <c r="J283" s="315"/>
      <c r="K283" s="315"/>
      <c r="L283" s="315"/>
      <c r="M283" s="315"/>
      <c r="N283" s="315"/>
      <c r="O283" s="315"/>
      <c r="P283" s="315"/>
      <c r="Q283" s="316"/>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c r="AN283" s="315"/>
      <c r="AO283" s="315"/>
      <c r="AP283" s="315"/>
      <c r="AQ283" s="315"/>
      <c r="AR283" s="315"/>
      <c r="AS283" s="315"/>
      <c r="AT283" s="315"/>
      <c r="AU283" s="315"/>
      <c r="AV283" s="315"/>
      <c r="AW283" s="68"/>
      <c r="AX283" s="754"/>
      <c r="AY283" s="755"/>
    </row>
    <row r="284">
      <c r="A284" s="117" t="s">
        <v>296</v>
      </c>
      <c r="B284" s="7"/>
      <c r="C284" s="7"/>
      <c r="D284" s="7"/>
      <c r="E284" s="7"/>
      <c r="F284" s="7"/>
      <c r="G284" s="659"/>
      <c r="H284" s="749"/>
      <c r="I284" s="750"/>
      <c r="J284" s="750"/>
      <c r="K284" s="750"/>
      <c r="L284" s="750"/>
      <c r="M284" s="750"/>
      <c r="N284" s="750"/>
      <c r="O284" s="750"/>
      <c r="P284" s="750"/>
      <c r="Q284" s="686"/>
      <c r="R284" s="750"/>
      <c r="S284" s="750"/>
      <c r="T284" s="750"/>
      <c r="U284" s="750"/>
      <c r="V284" s="750"/>
      <c r="W284" s="750"/>
      <c r="X284" s="750"/>
      <c r="Y284" s="750"/>
      <c r="Z284" s="750"/>
      <c r="AA284" s="750"/>
      <c r="AB284" s="750"/>
      <c r="AC284" s="750"/>
      <c r="AD284" s="750"/>
      <c r="AE284" s="750"/>
      <c r="AF284" s="750"/>
      <c r="AG284" s="750"/>
      <c r="AH284" s="750"/>
      <c r="AI284" s="750"/>
      <c r="AJ284" s="750"/>
      <c r="AK284" s="750"/>
      <c r="AL284" s="750"/>
      <c r="AM284" s="750"/>
      <c r="AN284" s="750"/>
      <c r="AO284" s="750"/>
      <c r="AP284" s="750"/>
      <c r="AQ284" s="750"/>
      <c r="AR284" s="750"/>
      <c r="AS284" s="750"/>
      <c r="AT284" s="750"/>
      <c r="AU284" s="750"/>
      <c r="AV284" s="750"/>
      <c r="AW284" s="938"/>
      <c r="AX284" s="939"/>
      <c r="AY284" s="752"/>
    </row>
    <row r="285">
      <c r="A285" s="122"/>
      <c r="B285" s="123"/>
      <c r="C285" s="123"/>
      <c r="D285" s="123"/>
      <c r="E285" s="445"/>
      <c r="F285" s="125"/>
      <c r="G285" s="126"/>
      <c r="H285" s="753"/>
      <c r="I285" s="315"/>
      <c r="J285" s="315"/>
      <c r="K285" s="315"/>
      <c r="L285" s="315"/>
      <c r="M285" s="315"/>
      <c r="N285" s="315"/>
      <c r="O285" s="315"/>
      <c r="P285" s="315"/>
      <c r="Q285" s="316"/>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c r="AN285" s="315"/>
      <c r="AO285" s="315"/>
      <c r="AP285" s="315"/>
      <c r="AQ285" s="315"/>
      <c r="AR285" s="315"/>
      <c r="AS285" s="315"/>
      <c r="AT285" s="315"/>
      <c r="AU285" s="315"/>
      <c r="AV285" s="315"/>
      <c r="AW285" s="68"/>
      <c r="AX285" s="754"/>
      <c r="AY285" s="755"/>
    </row>
    <row r="286">
      <c r="A286" s="122"/>
      <c r="B286" s="123"/>
      <c r="C286" s="342" t="s">
        <v>297</v>
      </c>
      <c r="F286" s="125"/>
      <c r="G286" s="126"/>
      <c r="H286" s="753"/>
      <c r="I286" s="315"/>
      <c r="J286" s="315"/>
      <c r="K286" s="315"/>
      <c r="L286" s="315"/>
      <c r="M286" s="315"/>
      <c r="N286" s="315"/>
      <c r="O286" s="315"/>
      <c r="P286" s="315"/>
      <c r="Q286" s="316"/>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c r="AN286" s="315"/>
      <c r="AO286" s="315"/>
      <c r="AP286" s="315"/>
      <c r="AQ286" s="315"/>
      <c r="AR286" s="315"/>
      <c r="AS286" s="315"/>
      <c r="AT286" s="315"/>
      <c r="AU286" s="315"/>
      <c r="AV286" s="315"/>
      <c r="AW286" s="68"/>
      <c r="AX286" s="754"/>
      <c r="AY286" s="755"/>
    </row>
    <row r="287">
      <c r="A287" s="122"/>
      <c r="B287" s="123"/>
      <c r="C287" s="123"/>
      <c r="D287" s="393" t="s">
        <v>298</v>
      </c>
      <c r="E287" s="42"/>
      <c r="F287" s="356"/>
      <c r="G287" s="394"/>
      <c r="H287" s="956"/>
      <c r="I287" s="957"/>
      <c r="J287" s="957"/>
      <c r="K287" s="957"/>
      <c r="L287" s="957"/>
      <c r="M287" s="957"/>
      <c r="N287" s="957"/>
      <c r="O287" s="957"/>
      <c r="P287" s="957"/>
      <c r="Q287" s="958"/>
      <c r="R287" s="957"/>
      <c r="S287" s="957"/>
      <c r="T287" s="957"/>
      <c r="U287" s="957"/>
      <c r="V287" s="957"/>
      <c r="W287" s="957"/>
      <c r="X287" s="957"/>
      <c r="Y287" s="957"/>
      <c r="Z287" s="957"/>
      <c r="AA287" s="957"/>
      <c r="AB287" s="957"/>
      <c r="AC287" s="957"/>
      <c r="AD287" s="957"/>
      <c r="AE287" s="957"/>
      <c r="AF287" s="957"/>
      <c r="AG287" s="957"/>
      <c r="AH287" s="957"/>
      <c r="AI287" s="957"/>
      <c r="AJ287" s="957"/>
      <c r="AK287" s="957"/>
      <c r="AL287" s="957"/>
      <c r="AM287" s="957"/>
      <c r="AN287" s="957"/>
      <c r="AO287" s="957"/>
      <c r="AP287" s="957"/>
      <c r="AQ287" s="957"/>
      <c r="AR287" s="957"/>
      <c r="AS287" s="957"/>
      <c r="AT287" s="957"/>
      <c r="AU287" s="957"/>
      <c r="AV287" s="957"/>
      <c r="AW287" s="887"/>
      <c r="AX287" s="959"/>
      <c r="AY287" s="903"/>
    </row>
    <row r="288">
      <c r="A288" s="122"/>
      <c r="B288" s="123"/>
      <c r="C288" s="123"/>
      <c r="D288" s="123"/>
      <c r="E288" s="782" t="s">
        <v>299</v>
      </c>
      <c r="F288" s="193" t="s">
        <v>72</v>
      </c>
      <c r="G288" s="235" t="s">
        <v>165</v>
      </c>
      <c r="H288" s="956">
        <v>0.0</v>
      </c>
      <c r="I288" s="665" t="s">
        <v>162</v>
      </c>
      <c r="J288" s="665" t="s">
        <v>162</v>
      </c>
      <c r="K288" s="665" t="s">
        <v>162</v>
      </c>
      <c r="L288" s="665" t="s">
        <v>162</v>
      </c>
      <c r="M288" s="665" t="s">
        <v>162</v>
      </c>
      <c r="N288" s="665" t="s">
        <v>162</v>
      </c>
      <c r="O288" s="665" t="s">
        <v>162</v>
      </c>
      <c r="P288" s="665" t="s">
        <v>162</v>
      </c>
      <c r="Q288" s="666" t="s">
        <v>162</v>
      </c>
      <c r="R288" s="665" t="s">
        <v>162</v>
      </c>
      <c r="S288" s="665" t="s">
        <v>162</v>
      </c>
      <c r="T288" s="665" t="s">
        <v>162</v>
      </c>
      <c r="U288" s="665" t="s">
        <v>162</v>
      </c>
      <c r="V288" s="665" t="s">
        <v>162</v>
      </c>
      <c r="W288" s="665" t="s">
        <v>162</v>
      </c>
      <c r="X288" s="665" t="s">
        <v>162</v>
      </c>
      <c r="Y288" s="665" t="s">
        <v>162</v>
      </c>
      <c r="Z288" s="665" t="s">
        <v>162</v>
      </c>
      <c r="AA288" s="665" t="s">
        <v>162</v>
      </c>
      <c r="AB288" s="665" t="s">
        <v>162</v>
      </c>
      <c r="AC288" s="665" t="s">
        <v>162</v>
      </c>
      <c r="AD288" s="665" t="s">
        <v>162</v>
      </c>
      <c r="AE288" s="665" t="s">
        <v>162</v>
      </c>
      <c r="AF288" s="665" t="s">
        <v>162</v>
      </c>
      <c r="AG288" s="665" t="s">
        <v>162</v>
      </c>
      <c r="AH288" s="665" t="s">
        <v>162</v>
      </c>
      <c r="AI288" s="665" t="s">
        <v>162</v>
      </c>
      <c r="AJ288" s="665" t="s">
        <v>162</v>
      </c>
      <c r="AK288" s="665" t="s">
        <v>162</v>
      </c>
      <c r="AL288" s="665" t="s">
        <v>162</v>
      </c>
      <c r="AM288" s="665" t="s">
        <v>162</v>
      </c>
      <c r="AN288" s="665" t="s">
        <v>162</v>
      </c>
      <c r="AO288" s="665" t="s">
        <v>162</v>
      </c>
      <c r="AP288" s="665" t="s">
        <v>162</v>
      </c>
      <c r="AQ288" s="665" t="s">
        <v>162</v>
      </c>
      <c r="AR288" s="665" t="s">
        <v>162</v>
      </c>
      <c r="AS288" s="665" t="s">
        <v>162</v>
      </c>
      <c r="AT288" s="665" t="s">
        <v>162</v>
      </c>
      <c r="AU288" s="665" t="s">
        <v>162</v>
      </c>
      <c r="AV288" s="665" t="s">
        <v>162</v>
      </c>
      <c r="AW288" s="887"/>
      <c r="AX288" s="902" t="s">
        <v>984</v>
      </c>
      <c r="AY288" s="960"/>
    </row>
    <row r="289">
      <c r="A289" s="122"/>
      <c r="B289" s="123"/>
      <c r="C289" s="123"/>
      <c r="D289" s="123"/>
      <c r="E289" s="475" t="s">
        <v>300</v>
      </c>
      <c r="F289" s="213" t="s">
        <v>72</v>
      </c>
      <c r="G289" s="235" t="s">
        <v>165</v>
      </c>
      <c r="H289" s="961">
        <v>0.0</v>
      </c>
      <c r="I289" s="962" t="s">
        <v>162</v>
      </c>
      <c r="J289" s="962" t="s">
        <v>162</v>
      </c>
      <c r="K289" s="665" t="s">
        <v>162</v>
      </c>
      <c r="L289" s="665" t="s">
        <v>162</v>
      </c>
      <c r="M289" s="962" t="s">
        <v>162</v>
      </c>
      <c r="N289" s="962" t="s">
        <v>162</v>
      </c>
      <c r="O289" s="962" t="s">
        <v>162</v>
      </c>
      <c r="P289" s="962" t="s">
        <v>162</v>
      </c>
      <c r="Q289" s="963" t="s">
        <v>162</v>
      </c>
      <c r="R289" s="962" t="s">
        <v>162</v>
      </c>
      <c r="S289" s="962" t="s">
        <v>162</v>
      </c>
      <c r="T289" s="962" t="s">
        <v>162</v>
      </c>
      <c r="U289" s="962" t="s">
        <v>162</v>
      </c>
      <c r="V289" s="962" t="s">
        <v>162</v>
      </c>
      <c r="W289" s="962" t="s">
        <v>162</v>
      </c>
      <c r="X289" s="962" t="s">
        <v>162</v>
      </c>
      <c r="Y289" s="962" t="s">
        <v>162</v>
      </c>
      <c r="Z289" s="962" t="s">
        <v>162</v>
      </c>
      <c r="AA289" s="962" t="s">
        <v>162</v>
      </c>
      <c r="AB289" s="962" t="s">
        <v>162</v>
      </c>
      <c r="AC289" s="962" t="s">
        <v>162</v>
      </c>
      <c r="AD289" s="962" t="s">
        <v>162</v>
      </c>
      <c r="AE289" s="962" t="s">
        <v>162</v>
      </c>
      <c r="AF289" s="962" t="s">
        <v>162</v>
      </c>
      <c r="AG289" s="962" t="s">
        <v>162</v>
      </c>
      <c r="AH289" s="962" t="s">
        <v>162</v>
      </c>
      <c r="AI289" s="962" t="s">
        <v>162</v>
      </c>
      <c r="AJ289" s="962" t="s">
        <v>162</v>
      </c>
      <c r="AK289" s="962" t="s">
        <v>162</v>
      </c>
      <c r="AL289" s="665" t="s">
        <v>162</v>
      </c>
      <c r="AM289" s="665" t="s">
        <v>162</v>
      </c>
      <c r="AN289" s="665" t="s">
        <v>162</v>
      </c>
      <c r="AO289" s="962" t="s">
        <v>162</v>
      </c>
      <c r="AP289" s="962" t="s">
        <v>162</v>
      </c>
      <c r="AQ289" s="962" t="s">
        <v>162</v>
      </c>
      <c r="AR289" s="962" t="s">
        <v>162</v>
      </c>
      <c r="AS289" s="962" t="s">
        <v>162</v>
      </c>
      <c r="AT289" s="962" t="s">
        <v>162</v>
      </c>
      <c r="AU289" s="962" t="s">
        <v>162</v>
      </c>
      <c r="AV289" s="962" t="s">
        <v>162</v>
      </c>
      <c r="AW289" s="907"/>
      <c r="AX289" s="902" t="s">
        <v>984</v>
      </c>
      <c r="AY289" s="964"/>
    </row>
    <row r="290">
      <c r="A290" s="122"/>
      <c r="B290" s="123"/>
      <c r="C290" s="123"/>
      <c r="D290" s="123"/>
      <c r="E290" s="475" t="s">
        <v>301</v>
      </c>
      <c r="F290" s="213" t="s">
        <v>72</v>
      </c>
      <c r="G290" s="235" t="s">
        <v>165</v>
      </c>
      <c r="H290" s="961">
        <v>0.0</v>
      </c>
      <c r="I290" s="962" t="s">
        <v>162</v>
      </c>
      <c r="J290" s="962" t="s">
        <v>162</v>
      </c>
      <c r="K290" s="665" t="s">
        <v>162</v>
      </c>
      <c r="L290" s="665" t="s">
        <v>162</v>
      </c>
      <c r="M290" s="962" t="s">
        <v>162</v>
      </c>
      <c r="N290" s="962" t="s">
        <v>162</v>
      </c>
      <c r="O290" s="962" t="s">
        <v>162</v>
      </c>
      <c r="P290" s="962" t="s">
        <v>162</v>
      </c>
      <c r="Q290" s="963" t="s">
        <v>162</v>
      </c>
      <c r="R290" s="962" t="s">
        <v>162</v>
      </c>
      <c r="S290" s="962" t="s">
        <v>162</v>
      </c>
      <c r="T290" s="962" t="s">
        <v>162</v>
      </c>
      <c r="U290" s="962" t="s">
        <v>162</v>
      </c>
      <c r="V290" s="962" t="s">
        <v>162</v>
      </c>
      <c r="W290" s="962" t="s">
        <v>162</v>
      </c>
      <c r="X290" s="962" t="s">
        <v>162</v>
      </c>
      <c r="Y290" s="962" t="s">
        <v>162</v>
      </c>
      <c r="Z290" s="962" t="s">
        <v>162</v>
      </c>
      <c r="AA290" s="962" t="s">
        <v>162</v>
      </c>
      <c r="AB290" s="962" t="s">
        <v>162</v>
      </c>
      <c r="AC290" s="962" t="s">
        <v>162</v>
      </c>
      <c r="AD290" s="962" t="s">
        <v>162</v>
      </c>
      <c r="AE290" s="962" t="s">
        <v>162</v>
      </c>
      <c r="AF290" s="962" t="s">
        <v>162</v>
      </c>
      <c r="AG290" s="962" t="s">
        <v>162</v>
      </c>
      <c r="AH290" s="962" t="s">
        <v>162</v>
      </c>
      <c r="AI290" s="962" t="s">
        <v>162</v>
      </c>
      <c r="AJ290" s="962" t="s">
        <v>162</v>
      </c>
      <c r="AK290" s="962" t="s">
        <v>162</v>
      </c>
      <c r="AL290" s="665" t="s">
        <v>162</v>
      </c>
      <c r="AM290" s="665" t="s">
        <v>162</v>
      </c>
      <c r="AN290" s="665" t="s">
        <v>162</v>
      </c>
      <c r="AO290" s="962" t="s">
        <v>162</v>
      </c>
      <c r="AP290" s="962" t="s">
        <v>162</v>
      </c>
      <c r="AQ290" s="962" t="s">
        <v>162</v>
      </c>
      <c r="AR290" s="962" t="s">
        <v>162</v>
      </c>
      <c r="AS290" s="962" t="s">
        <v>162</v>
      </c>
      <c r="AT290" s="962" t="s">
        <v>162</v>
      </c>
      <c r="AU290" s="962" t="s">
        <v>162</v>
      </c>
      <c r="AV290" s="962" t="s">
        <v>162</v>
      </c>
      <c r="AW290" s="907"/>
      <c r="AX290" s="902" t="s">
        <v>984</v>
      </c>
      <c r="AY290" s="964"/>
    </row>
    <row r="291">
      <c r="A291" s="122"/>
      <c r="B291" s="123"/>
      <c r="C291" s="123"/>
      <c r="D291" s="393" t="s">
        <v>302</v>
      </c>
      <c r="E291" s="42"/>
      <c r="F291" s="193"/>
      <c r="G291" s="394"/>
      <c r="H291" s="965"/>
      <c r="I291" s="966"/>
      <c r="J291" s="966"/>
      <c r="K291" s="665" t="s">
        <v>162</v>
      </c>
      <c r="L291" s="665" t="s">
        <v>162</v>
      </c>
      <c r="M291" s="966"/>
      <c r="N291" s="966"/>
      <c r="O291" s="966"/>
      <c r="P291" s="966"/>
      <c r="Q291" s="967"/>
      <c r="R291" s="966"/>
      <c r="S291" s="966"/>
      <c r="T291" s="966"/>
      <c r="U291" s="966"/>
      <c r="V291" s="966"/>
      <c r="W291" s="966"/>
      <c r="X291" s="966"/>
      <c r="Y291" s="966"/>
      <c r="Z291" s="966"/>
      <c r="AA291" s="966"/>
      <c r="AB291" s="966"/>
      <c r="AC291" s="966"/>
      <c r="AD291" s="966"/>
      <c r="AE291" s="966"/>
      <c r="AF291" s="966"/>
      <c r="AG291" s="966"/>
      <c r="AH291" s="966"/>
      <c r="AI291" s="966"/>
      <c r="AJ291" s="966"/>
      <c r="AK291" s="966"/>
      <c r="AL291" s="966"/>
      <c r="AM291" s="966"/>
      <c r="AN291" s="966"/>
      <c r="AO291" s="966"/>
      <c r="AP291" s="966"/>
      <c r="AQ291" s="966"/>
      <c r="AR291" s="966"/>
      <c r="AS291" s="966"/>
      <c r="AT291" s="966"/>
      <c r="AU291" s="966"/>
      <c r="AV291" s="966"/>
      <c r="AW291" s="907"/>
      <c r="AX291" s="968"/>
      <c r="AY291" s="909"/>
    </row>
    <row r="292">
      <c r="A292" s="122"/>
      <c r="B292" s="123"/>
      <c r="C292" s="123"/>
      <c r="D292" s="123"/>
      <c r="E292" s="782" t="s">
        <v>303</v>
      </c>
      <c r="F292" s="193" t="s">
        <v>72</v>
      </c>
      <c r="G292" s="235" t="s">
        <v>165</v>
      </c>
      <c r="H292" s="961">
        <v>0.0</v>
      </c>
      <c r="I292" s="329" t="s">
        <v>162</v>
      </c>
      <c r="J292" s="329" t="s">
        <v>162</v>
      </c>
      <c r="K292" s="665" t="s">
        <v>162</v>
      </c>
      <c r="L292" s="665" t="s">
        <v>162</v>
      </c>
      <c r="M292" s="329" t="s">
        <v>162</v>
      </c>
      <c r="N292" s="329" t="s">
        <v>162</v>
      </c>
      <c r="O292" s="329" t="s">
        <v>162</v>
      </c>
      <c r="P292" s="329" t="s">
        <v>162</v>
      </c>
      <c r="Q292" s="668" t="s">
        <v>162</v>
      </c>
      <c r="R292" s="329" t="s">
        <v>162</v>
      </c>
      <c r="S292" s="329" t="s">
        <v>162</v>
      </c>
      <c r="T292" s="329" t="s">
        <v>162</v>
      </c>
      <c r="U292" s="329" t="s">
        <v>162</v>
      </c>
      <c r="V292" s="329" t="s">
        <v>162</v>
      </c>
      <c r="W292" s="329" t="s">
        <v>162</v>
      </c>
      <c r="X292" s="329" t="s">
        <v>162</v>
      </c>
      <c r="Y292" s="329" t="s">
        <v>162</v>
      </c>
      <c r="Z292" s="329" t="s">
        <v>162</v>
      </c>
      <c r="AA292" s="329" t="s">
        <v>162</v>
      </c>
      <c r="AB292" s="329" t="s">
        <v>162</v>
      </c>
      <c r="AC292" s="329" t="s">
        <v>162</v>
      </c>
      <c r="AD292" s="329" t="s">
        <v>162</v>
      </c>
      <c r="AE292" s="329" t="s">
        <v>162</v>
      </c>
      <c r="AF292" s="329" t="s">
        <v>162</v>
      </c>
      <c r="AG292" s="329" t="s">
        <v>162</v>
      </c>
      <c r="AH292" s="329" t="s">
        <v>162</v>
      </c>
      <c r="AI292" s="329" t="s">
        <v>162</v>
      </c>
      <c r="AJ292" s="329" t="s">
        <v>162</v>
      </c>
      <c r="AK292" s="329" t="s">
        <v>162</v>
      </c>
      <c r="AL292" s="329" t="s">
        <v>162</v>
      </c>
      <c r="AM292" s="329" t="s">
        <v>162</v>
      </c>
      <c r="AN292" s="329" t="s">
        <v>162</v>
      </c>
      <c r="AO292" s="329" t="s">
        <v>162</v>
      </c>
      <c r="AP292" s="329" t="s">
        <v>162</v>
      </c>
      <c r="AQ292" s="329" t="s">
        <v>162</v>
      </c>
      <c r="AR292" s="329" t="s">
        <v>162</v>
      </c>
      <c r="AS292" s="329" t="s">
        <v>162</v>
      </c>
      <c r="AT292" s="329" t="s">
        <v>162</v>
      </c>
      <c r="AU292" s="329" t="s">
        <v>162</v>
      </c>
      <c r="AV292" s="329" t="s">
        <v>162</v>
      </c>
      <c r="AW292" s="907"/>
      <c r="AX292" s="902" t="s">
        <v>984</v>
      </c>
      <c r="AY292" s="964"/>
    </row>
    <row r="293">
      <c r="A293" s="122"/>
      <c r="B293" s="123"/>
      <c r="C293" s="123"/>
      <c r="D293" s="123"/>
      <c r="E293" s="475" t="s">
        <v>304</v>
      </c>
      <c r="F293" s="213" t="s">
        <v>72</v>
      </c>
      <c r="G293" s="235" t="s">
        <v>165</v>
      </c>
      <c r="H293" s="961">
        <v>-0.02</v>
      </c>
      <c r="I293" s="329" t="s">
        <v>162</v>
      </c>
      <c r="J293" s="329" t="s">
        <v>162</v>
      </c>
      <c r="K293" s="665" t="s">
        <v>162</v>
      </c>
      <c r="L293" s="665" t="s">
        <v>162</v>
      </c>
      <c r="M293" s="329" t="s">
        <v>162</v>
      </c>
      <c r="N293" s="329" t="s">
        <v>162</v>
      </c>
      <c r="O293" s="329" t="s">
        <v>162</v>
      </c>
      <c r="P293" s="329" t="s">
        <v>162</v>
      </c>
      <c r="Q293" s="668" t="s">
        <v>162</v>
      </c>
      <c r="R293" s="329" t="s">
        <v>162</v>
      </c>
      <c r="S293" s="329" t="s">
        <v>162</v>
      </c>
      <c r="T293" s="329" t="s">
        <v>162</v>
      </c>
      <c r="U293" s="329" t="s">
        <v>162</v>
      </c>
      <c r="V293" s="329" t="s">
        <v>162</v>
      </c>
      <c r="W293" s="329" t="s">
        <v>162</v>
      </c>
      <c r="X293" s="329" t="s">
        <v>162</v>
      </c>
      <c r="Y293" s="329" t="s">
        <v>162</v>
      </c>
      <c r="Z293" s="329" t="s">
        <v>162</v>
      </c>
      <c r="AA293" s="329" t="s">
        <v>162</v>
      </c>
      <c r="AB293" s="329" t="s">
        <v>162</v>
      </c>
      <c r="AC293" s="329" t="s">
        <v>162</v>
      </c>
      <c r="AD293" s="329" t="s">
        <v>162</v>
      </c>
      <c r="AE293" s="329" t="s">
        <v>162</v>
      </c>
      <c r="AF293" s="329" t="s">
        <v>162</v>
      </c>
      <c r="AG293" s="329" t="s">
        <v>162</v>
      </c>
      <c r="AH293" s="329" t="s">
        <v>162</v>
      </c>
      <c r="AI293" s="329" t="s">
        <v>162</v>
      </c>
      <c r="AJ293" s="329" t="s">
        <v>162</v>
      </c>
      <c r="AK293" s="329" t="s">
        <v>162</v>
      </c>
      <c r="AL293" s="329" t="s">
        <v>162</v>
      </c>
      <c r="AM293" s="329" t="s">
        <v>162</v>
      </c>
      <c r="AN293" s="329" t="s">
        <v>162</v>
      </c>
      <c r="AO293" s="329" t="s">
        <v>162</v>
      </c>
      <c r="AP293" s="329" t="s">
        <v>162</v>
      </c>
      <c r="AQ293" s="329" t="s">
        <v>162</v>
      </c>
      <c r="AR293" s="329" t="s">
        <v>162</v>
      </c>
      <c r="AS293" s="329" t="s">
        <v>162</v>
      </c>
      <c r="AT293" s="329" t="s">
        <v>162</v>
      </c>
      <c r="AU293" s="329" t="s">
        <v>162</v>
      </c>
      <c r="AV293" s="329" t="s">
        <v>162</v>
      </c>
      <c r="AW293" s="907"/>
      <c r="AX293" s="902" t="s">
        <v>984</v>
      </c>
      <c r="AY293" s="964"/>
    </row>
    <row r="294">
      <c r="A294" s="122"/>
      <c r="B294" s="123"/>
      <c r="C294" s="123"/>
      <c r="D294" s="393" t="s">
        <v>305</v>
      </c>
      <c r="E294" s="42"/>
      <c r="F294" s="193"/>
      <c r="G294" s="394"/>
      <c r="H294" s="965"/>
      <c r="I294" s="966"/>
      <c r="J294" s="966"/>
      <c r="K294" s="665" t="s">
        <v>162</v>
      </c>
      <c r="L294" s="665" t="s">
        <v>162</v>
      </c>
      <c r="M294" s="966"/>
      <c r="N294" s="966"/>
      <c r="O294" s="966"/>
      <c r="P294" s="966"/>
      <c r="Q294" s="967"/>
      <c r="R294" s="966"/>
      <c r="S294" s="966"/>
      <c r="T294" s="966"/>
      <c r="U294" s="966"/>
      <c r="V294" s="966"/>
      <c r="W294" s="966"/>
      <c r="X294" s="966"/>
      <c r="Y294" s="966"/>
      <c r="Z294" s="966"/>
      <c r="AA294" s="966"/>
      <c r="AB294" s="966"/>
      <c r="AC294" s="966"/>
      <c r="AD294" s="966"/>
      <c r="AE294" s="966"/>
      <c r="AF294" s="966"/>
      <c r="AG294" s="966"/>
      <c r="AH294" s="966"/>
      <c r="AI294" s="966"/>
      <c r="AJ294" s="966"/>
      <c r="AK294" s="966"/>
      <c r="AL294" s="966"/>
      <c r="AM294" s="966"/>
      <c r="AN294" s="966"/>
      <c r="AO294" s="966"/>
      <c r="AP294" s="966"/>
      <c r="AQ294" s="966"/>
      <c r="AR294" s="966"/>
      <c r="AS294" s="966"/>
      <c r="AT294" s="966"/>
      <c r="AU294" s="966"/>
      <c r="AV294" s="966"/>
      <c r="AW294" s="907"/>
      <c r="AX294" s="902"/>
      <c r="AY294" s="909"/>
    </row>
    <row r="295">
      <c r="A295" s="122"/>
      <c r="B295" s="123"/>
      <c r="C295" s="123"/>
      <c r="D295" s="123"/>
      <c r="E295" s="782" t="s">
        <v>306</v>
      </c>
      <c r="F295" s="193" t="s">
        <v>72</v>
      </c>
      <c r="G295" s="235" t="s">
        <v>165</v>
      </c>
      <c r="H295" s="961">
        <v>0.0</v>
      </c>
      <c r="I295" s="329" t="s">
        <v>162</v>
      </c>
      <c r="J295" s="329" t="s">
        <v>162</v>
      </c>
      <c r="K295" s="665" t="s">
        <v>162</v>
      </c>
      <c r="L295" s="665" t="s">
        <v>162</v>
      </c>
      <c r="M295" s="329" t="s">
        <v>162</v>
      </c>
      <c r="N295" s="329" t="s">
        <v>162</v>
      </c>
      <c r="O295" s="329" t="s">
        <v>162</v>
      </c>
      <c r="P295" s="329" t="s">
        <v>162</v>
      </c>
      <c r="Q295" s="668" t="s">
        <v>162</v>
      </c>
      <c r="R295" s="329" t="s">
        <v>162</v>
      </c>
      <c r="S295" s="329" t="s">
        <v>162</v>
      </c>
      <c r="T295" s="329" t="s">
        <v>162</v>
      </c>
      <c r="U295" s="329" t="s">
        <v>162</v>
      </c>
      <c r="V295" s="329" t="s">
        <v>162</v>
      </c>
      <c r="W295" s="329" t="s">
        <v>162</v>
      </c>
      <c r="X295" s="329" t="s">
        <v>162</v>
      </c>
      <c r="Y295" s="329" t="s">
        <v>162</v>
      </c>
      <c r="Z295" s="329" t="s">
        <v>162</v>
      </c>
      <c r="AA295" s="329" t="s">
        <v>162</v>
      </c>
      <c r="AB295" s="329" t="s">
        <v>162</v>
      </c>
      <c r="AC295" s="329" t="s">
        <v>162</v>
      </c>
      <c r="AD295" s="329" t="s">
        <v>162</v>
      </c>
      <c r="AE295" s="329" t="s">
        <v>162</v>
      </c>
      <c r="AF295" s="329" t="s">
        <v>162</v>
      </c>
      <c r="AG295" s="329" t="s">
        <v>162</v>
      </c>
      <c r="AH295" s="329" t="s">
        <v>162</v>
      </c>
      <c r="AI295" s="329" t="s">
        <v>162</v>
      </c>
      <c r="AJ295" s="329" t="s">
        <v>162</v>
      </c>
      <c r="AK295" s="329" t="s">
        <v>162</v>
      </c>
      <c r="AL295" s="329" t="s">
        <v>162</v>
      </c>
      <c r="AM295" s="329" t="s">
        <v>162</v>
      </c>
      <c r="AN295" s="329" t="s">
        <v>162</v>
      </c>
      <c r="AO295" s="329" t="s">
        <v>162</v>
      </c>
      <c r="AP295" s="329" t="s">
        <v>162</v>
      </c>
      <c r="AQ295" s="329" t="s">
        <v>162</v>
      </c>
      <c r="AR295" s="329" t="s">
        <v>162</v>
      </c>
      <c r="AS295" s="329" t="s">
        <v>162</v>
      </c>
      <c r="AT295" s="329" t="s">
        <v>162</v>
      </c>
      <c r="AU295" s="329" t="s">
        <v>162</v>
      </c>
      <c r="AV295" s="329" t="s">
        <v>162</v>
      </c>
      <c r="AW295" s="907"/>
      <c r="AX295" s="902" t="s">
        <v>984</v>
      </c>
      <c r="AY295" s="964"/>
    </row>
    <row r="296">
      <c r="A296" s="122"/>
      <c r="B296" s="123"/>
      <c r="C296" s="123"/>
      <c r="D296" s="123"/>
      <c r="E296" s="475" t="s">
        <v>307</v>
      </c>
      <c r="F296" s="213" t="s">
        <v>72</v>
      </c>
      <c r="G296" s="235" t="s">
        <v>165</v>
      </c>
      <c r="H296" s="961">
        <v>-0.05</v>
      </c>
      <c r="I296" s="329" t="s">
        <v>162</v>
      </c>
      <c r="J296" s="329" t="s">
        <v>162</v>
      </c>
      <c r="K296" s="665" t="s">
        <v>162</v>
      </c>
      <c r="L296" s="665" t="s">
        <v>162</v>
      </c>
      <c r="M296" s="329" t="s">
        <v>162</v>
      </c>
      <c r="N296" s="329" t="s">
        <v>162</v>
      </c>
      <c r="O296" s="329" t="s">
        <v>162</v>
      </c>
      <c r="P296" s="329" t="s">
        <v>162</v>
      </c>
      <c r="Q296" s="668" t="s">
        <v>162</v>
      </c>
      <c r="R296" s="329" t="s">
        <v>162</v>
      </c>
      <c r="S296" s="329" t="s">
        <v>162</v>
      </c>
      <c r="T296" s="329" t="s">
        <v>162</v>
      </c>
      <c r="U296" s="329" t="s">
        <v>162</v>
      </c>
      <c r="V296" s="329" t="s">
        <v>162</v>
      </c>
      <c r="W296" s="329" t="s">
        <v>162</v>
      </c>
      <c r="X296" s="329" t="s">
        <v>162</v>
      </c>
      <c r="Y296" s="329" t="s">
        <v>162</v>
      </c>
      <c r="Z296" s="329" t="s">
        <v>162</v>
      </c>
      <c r="AA296" s="329" t="s">
        <v>162</v>
      </c>
      <c r="AB296" s="329" t="s">
        <v>162</v>
      </c>
      <c r="AC296" s="329" t="s">
        <v>162</v>
      </c>
      <c r="AD296" s="329" t="s">
        <v>162</v>
      </c>
      <c r="AE296" s="329" t="s">
        <v>162</v>
      </c>
      <c r="AF296" s="329" t="s">
        <v>162</v>
      </c>
      <c r="AG296" s="329" t="s">
        <v>162</v>
      </c>
      <c r="AH296" s="329" t="s">
        <v>162</v>
      </c>
      <c r="AI296" s="329" t="s">
        <v>162</v>
      </c>
      <c r="AJ296" s="329" t="s">
        <v>162</v>
      </c>
      <c r="AK296" s="329" t="s">
        <v>162</v>
      </c>
      <c r="AL296" s="329" t="s">
        <v>162</v>
      </c>
      <c r="AM296" s="329" t="s">
        <v>162</v>
      </c>
      <c r="AN296" s="329" t="s">
        <v>162</v>
      </c>
      <c r="AO296" s="329" t="s">
        <v>162</v>
      </c>
      <c r="AP296" s="329" t="s">
        <v>162</v>
      </c>
      <c r="AQ296" s="329" t="s">
        <v>162</v>
      </c>
      <c r="AR296" s="329" t="s">
        <v>162</v>
      </c>
      <c r="AS296" s="329" t="s">
        <v>162</v>
      </c>
      <c r="AT296" s="329" t="s">
        <v>162</v>
      </c>
      <c r="AU296" s="329" t="s">
        <v>162</v>
      </c>
      <c r="AV296" s="329" t="s">
        <v>162</v>
      </c>
      <c r="AW296" s="907"/>
      <c r="AX296" s="902" t="s">
        <v>984</v>
      </c>
      <c r="AY296" s="964"/>
    </row>
    <row r="297">
      <c r="A297" s="122"/>
      <c r="B297" s="123"/>
      <c r="C297" s="123"/>
      <c r="D297" s="123"/>
      <c r="E297" s="792" t="s">
        <v>308</v>
      </c>
      <c r="F297" s="200" t="s">
        <v>72</v>
      </c>
      <c r="G297" s="273" t="s">
        <v>165</v>
      </c>
      <c r="H297" s="890">
        <v>0.0</v>
      </c>
      <c r="I297" s="337" t="s">
        <v>162</v>
      </c>
      <c r="J297" s="337" t="s">
        <v>162</v>
      </c>
      <c r="K297" s="337" t="s">
        <v>162</v>
      </c>
      <c r="L297" s="337" t="s">
        <v>162</v>
      </c>
      <c r="M297" s="337" t="s">
        <v>162</v>
      </c>
      <c r="N297" s="337" t="s">
        <v>162</v>
      </c>
      <c r="O297" s="337" t="s">
        <v>162</v>
      </c>
      <c r="P297" s="337" t="s">
        <v>162</v>
      </c>
      <c r="Q297" s="670" t="s">
        <v>162</v>
      </c>
      <c r="R297" s="337" t="s">
        <v>162</v>
      </c>
      <c r="S297" s="337" t="s">
        <v>162</v>
      </c>
      <c r="T297" s="337" t="s">
        <v>162</v>
      </c>
      <c r="U297" s="337" t="s">
        <v>162</v>
      </c>
      <c r="V297" s="337" t="s">
        <v>162</v>
      </c>
      <c r="W297" s="337" t="s">
        <v>162</v>
      </c>
      <c r="X297" s="337" t="s">
        <v>162</v>
      </c>
      <c r="Y297" s="337" t="s">
        <v>162</v>
      </c>
      <c r="Z297" s="337" t="s">
        <v>162</v>
      </c>
      <c r="AA297" s="337" t="s">
        <v>162</v>
      </c>
      <c r="AB297" s="337" t="s">
        <v>162</v>
      </c>
      <c r="AC297" s="337" t="s">
        <v>162</v>
      </c>
      <c r="AD297" s="337" t="s">
        <v>162</v>
      </c>
      <c r="AE297" s="337" t="s">
        <v>162</v>
      </c>
      <c r="AF297" s="337" t="s">
        <v>162</v>
      </c>
      <c r="AG297" s="337" t="s">
        <v>162</v>
      </c>
      <c r="AH297" s="337" t="s">
        <v>162</v>
      </c>
      <c r="AI297" s="337" t="s">
        <v>162</v>
      </c>
      <c r="AJ297" s="337" t="s">
        <v>162</v>
      </c>
      <c r="AK297" s="337" t="s">
        <v>162</v>
      </c>
      <c r="AL297" s="337" t="s">
        <v>162</v>
      </c>
      <c r="AM297" s="337" t="s">
        <v>162</v>
      </c>
      <c r="AN297" s="337" t="s">
        <v>162</v>
      </c>
      <c r="AO297" s="337" t="s">
        <v>162</v>
      </c>
      <c r="AP297" s="337" t="s">
        <v>162</v>
      </c>
      <c r="AQ297" s="337" t="s">
        <v>162</v>
      </c>
      <c r="AR297" s="337" t="s">
        <v>162</v>
      </c>
      <c r="AS297" s="337" t="s">
        <v>162</v>
      </c>
      <c r="AT297" s="337" t="s">
        <v>162</v>
      </c>
      <c r="AU297" s="337" t="s">
        <v>162</v>
      </c>
      <c r="AV297" s="337" t="s">
        <v>162</v>
      </c>
      <c r="AW297" s="891"/>
      <c r="AX297" s="913" t="s">
        <v>984</v>
      </c>
      <c r="AY297" s="969"/>
    </row>
    <row r="298">
      <c r="A298" s="122"/>
      <c r="B298" s="123"/>
      <c r="C298" s="143"/>
      <c r="D298" s="123"/>
      <c r="E298" s="445"/>
      <c r="F298" s="125"/>
      <c r="G298" s="126"/>
      <c r="H298" s="753"/>
      <c r="I298" s="315"/>
      <c r="J298" s="315"/>
      <c r="K298" s="315"/>
      <c r="L298" s="315"/>
      <c r="M298" s="315"/>
      <c r="N298" s="315"/>
      <c r="O298" s="315"/>
      <c r="P298" s="315"/>
      <c r="Q298" s="316"/>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c r="AN298" s="315"/>
      <c r="AO298" s="315"/>
      <c r="AP298" s="315"/>
      <c r="AQ298" s="315"/>
      <c r="AR298" s="315"/>
      <c r="AS298" s="315"/>
      <c r="AT298" s="315"/>
      <c r="AU298" s="315"/>
      <c r="AV298" s="315"/>
      <c r="AW298" s="68"/>
      <c r="AX298" s="754"/>
      <c r="AY298" s="755"/>
    </row>
    <row r="299">
      <c r="A299" s="122"/>
      <c r="B299" s="123"/>
      <c r="C299" s="143" t="s">
        <v>310</v>
      </c>
      <c r="F299" s="125"/>
      <c r="G299" s="126"/>
      <c r="H299" s="753"/>
      <c r="I299" s="970"/>
      <c r="J299" s="315"/>
      <c r="K299" s="315"/>
      <c r="L299" s="315"/>
      <c r="M299" s="315"/>
      <c r="N299" s="315"/>
      <c r="O299" s="315"/>
      <c r="P299" s="315"/>
      <c r="Q299" s="316"/>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c r="AN299" s="315"/>
      <c r="AO299" s="315"/>
      <c r="AP299" s="315"/>
      <c r="AQ299" s="315"/>
      <c r="AR299" s="315"/>
      <c r="AS299" s="315"/>
      <c r="AT299" s="315"/>
      <c r="AU299" s="315"/>
      <c r="AV299" s="315"/>
      <c r="AW299" s="68"/>
      <c r="AX299" s="754"/>
      <c r="AY299" s="755"/>
    </row>
    <row r="300">
      <c r="A300" s="122"/>
      <c r="B300" s="123"/>
      <c r="C300" s="123"/>
      <c r="D300" s="123"/>
      <c r="E300" s="782" t="s">
        <v>312</v>
      </c>
      <c r="F300" s="193" t="s">
        <v>72</v>
      </c>
      <c r="G300" s="235" t="s">
        <v>165</v>
      </c>
      <c r="H300" s="956">
        <v>0.06</v>
      </c>
      <c r="I300" s="957" t="s">
        <v>162</v>
      </c>
      <c r="J300" s="957" t="s">
        <v>162</v>
      </c>
      <c r="K300" s="957" t="s">
        <v>162</v>
      </c>
      <c r="L300" s="957" t="s">
        <v>162</v>
      </c>
      <c r="M300" s="957" t="s">
        <v>162</v>
      </c>
      <c r="N300" s="957" t="s">
        <v>162</v>
      </c>
      <c r="O300" s="957" t="s">
        <v>162</v>
      </c>
      <c r="P300" s="957" t="s">
        <v>162</v>
      </c>
      <c r="Q300" s="958" t="s">
        <v>162</v>
      </c>
      <c r="R300" s="957" t="s">
        <v>162</v>
      </c>
      <c r="S300" s="957" t="s">
        <v>162</v>
      </c>
      <c r="T300" s="957" t="s">
        <v>162</v>
      </c>
      <c r="U300" s="957" t="s">
        <v>162</v>
      </c>
      <c r="V300" s="957" t="s">
        <v>162</v>
      </c>
      <c r="W300" s="957" t="s">
        <v>162</v>
      </c>
      <c r="X300" s="957" t="s">
        <v>162</v>
      </c>
      <c r="Y300" s="957" t="s">
        <v>162</v>
      </c>
      <c r="Z300" s="957" t="s">
        <v>162</v>
      </c>
      <c r="AA300" s="957" t="s">
        <v>162</v>
      </c>
      <c r="AB300" s="957" t="s">
        <v>162</v>
      </c>
      <c r="AC300" s="957" t="s">
        <v>162</v>
      </c>
      <c r="AD300" s="957" t="s">
        <v>162</v>
      </c>
      <c r="AE300" s="957" t="s">
        <v>162</v>
      </c>
      <c r="AF300" s="957" t="s">
        <v>162</v>
      </c>
      <c r="AG300" s="957" t="s">
        <v>162</v>
      </c>
      <c r="AH300" s="957" t="s">
        <v>162</v>
      </c>
      <c r="AI300" s="957" t="s">
        <v>162</v>
      </c>
      <c r="AJ300" s="957" t="s">
        <v>162</v>
      </c>
      <c r="AK300" s="957" t="s">
        <v>162</v>
      </c>
      <c r="AL300" s="957" t="s">
        <v>162</v>
      </c>
      <c r="AM300" s="957" t="s">
        <v>162</v>
      </c>
      <c r="AN300" s="957" t="s">
        <v>162</v>
      </c>
      <c r="AO300" s="957" t="s">
        <v>162</v>
      </c>
      <c r="AP300" s="957" t="s">
        <v>162</v>
      </c>
      <c r="AQ300" s="957" t="s">
        <v>162</v>
      </c>
      <c r="AR300" s="957" t="s">
        <v>162</v>
      </c>
      <c r="AS300" s="957" t="s">
        <v>162</v>
      </c>
      <c r="AT300" s="957" t="s">
        <v>162</v>
      </c>
      <c r="AU300" s="957" t="s">
        <v>162</v>
      </c>
      <c r="AV300" s="957" t="s">
        <v>162</v>
      </c>
      <c r="AW300" s="887"/>
      <c r="AX300" s="902" t="s">
        <v>984</v>
      </c>
      <c r="AY300" s="72" t="s">
        <v>102</v>
      </c>
    </row>
    <row r="301">
      <c r="A301" s="122"/>
      <c r="B301" s="123"/>
      <c r="C301" s="123"/>
      <c r="D301" s="123"/>
      <c r="E301" s="782" t="s">
        <v>313</v>
      </c>
      <c r="F301" s="193" t="s">
        <v>72</v>
      </c>
      <c r="G301" s="235" t="s">
        <v>165</v>
      </c>
      <c r="H301" s="956">
        <v>0.007</v>
      </c>
      <c r="I301" s="957" t="s">
        <v>162</v>
      </c>
      <c r="J301" s="957" t="s">
        <v>162</v>
      </c>
      <c r="K301" s="957" t="s">
        <v>162</v>
      </c>
      <c r="L301" s="957" t="s">
        <v>162</v>
      </c>
      <c r="M301" s="957" t="s">
        <v>162</v>
      </c>
      <c r="N301" s="957" t="s">
        <v>162</v>
      </c>
      <c r="O301" s="957" t="s">
        <v>162</v>
      </c>
      <c r="P301" s="957" t="s">
        <v>162</v>
      </c>
      <c r="Q301" s="958" t="s">
        <v>162</v>
      </c>
      <c r="R301" s="957" t="s">
        <v>162</v>
      </c>
      <c r="S301" s="957" t="s">
        <v>162</v>
      </c>
      <c r="T301" s="957" t="s">
        <v>162</v>
      </c>
      <c r="U301" s="957" t="s">
        <v>162</v>
      </c>
      <c r="V301" s="957" t="s">
        <v>162</v>
      </c>
      <c r="W301" s="957" t="s">
        <v>162</v>
      </c>
      <c r="X301" s="957" t="s">
        <v>162</v>
      </c>
      <c r="Y301" s="957" t="s">
        <v>162</v>
      </c>
      <c r="Z301" s="957" t="s">
        <v>162</v>
      </c>
      <c r="AA301" s="957" t="s">
        <v>162</v>
      </c>
      <c r="AB301" s="957" t="s">
        <v>162</v>
      </c>
      <c r="AC301" s="957" t="s">
        <v>162</v>
      </c>
      <c r="AD301" s="957" t="s">
        <v>162</v>
      </c>
      <c r="AE301" s="957" t="s">
        <v>162</v>
      </c>
      <c r="AF301" s="957" t="s">
        <v>162</v>
      </c>
      <c r="AG301" s="957" t="s">
        <v>162</v>
      </c>
      <c r="AH301" s="957" t="s">
        <v>162</v>
      </c>
      <c r="AI301" s="957" t="s">
        <v>162</v>
      </c>
      <c r="AJ301" s="957" t="s">
        <v>162</v>
      </c>
      <c r="AK301" s="957" t="s">
        <v>162</v>
      </c>
      <c r="AL301" s="957" t="s">
        <v>162</v>
      </c>
      <c r="AM301" s="957" t="s">
        <v>162</v>
      </c>
      <c r="AN301" s="957" t="s">
        <v>162</v>
      </c>
      <c r="AO301" s="957" t="s">
        <v>162</v>
      </c>
      <c r="AP301" s="957" t="s">
        <v>162</v>
      </c>
      <c r="AQ301" s="957" t="s">
        <v>162</v>
      </c>
      <c r="AR301" s="957" t="s">
        <v>162</v>
      </c>
      <c r="AS301" s="957" t="s">
        <v>162</v>
      </c>
      <c r="AT301" s="957" t="s">
        <v>162</v>
      </c>
      <c r="AU301" s="957" t="s">
        <v>162</v>
      </c>
      <c r="AV301" s="957" t="s">
        <v>162</v>
      </c>
      <c r="AW301" s="887"/>
      <c r="AX301" s="902" t="s">
        <v>984</v>
      </c>
      <c r="AY301" s="72" t="s">
        <v>102</v>
      </c>
    </row>
    <row r="302">
      <c r="A302" s="122"/>
      <c r="B302" s="123"/>
      <c r="C302" s="123"/>
      <c r="D302" s="123"/>
      <c r="E302" s="782" t="s">
        <v>314</v>
      </c>
      <c r="F302" s="193" t="s">
        <v>72</v>
      </c>
      <c r="G302" s="235" t="s">
        <v>165</v>
      </c>
      <c r="H302" s="956">
        <v>-0.05</v>
      </c>
      <c r="I302" s="957" t="s">
        <v>162</v>
      </c>
      <c r="J302" s="957" t="s">
        <v>162</v>
      </c>
      <c r="K302" s="957" t="s">
        <v>162</v>
      </c>
      <c r="L302" s="957" t="s">
        <v>162</v>
      </c>
      <c r="M302" s="957" t="s">
        <v>162</v>
      </c>
      <c r="N302" s="957" t="s">
        <v>162</v>
      </c>
      <c r="O302" s="957" t="s">
        <v>162</v>
      </c>
      <c r="P302" s="957" t="s">
        <v>162</v>
      </c>
      <c r="Q302" s="958" t="s">
        <v>162</v>
      </c>
      <c r="R302" s="957" t="s">
        <v>162</v>
      </c>
      <c r="S302" s="957" t="s">
        <v>162</v>
      </c>
      <c r="T302" s="957" t="s">
        <v>162</v>
      </c>
      <c r="U302" s="957" t="s">
        <v>162</v>
      </c>
      <c r="V302" s="957" t="s">
        <v>162</v>
      </c>
      <c r="W302" s="957" t="s">
        <v>162</v>
      </c>
      <c r="X302" s="957" t="s">
        <v>162</v>
      </c>
      <c r="Y302" s="957" t="s">
        <v>162</v>
      </c>
      <c r="Z302" s="957" t="s">
        <v>162</v>
      </c>
      <c r="AA302" s="957" t="s">
        <v>162</v>
      </c>
      <c r="AB302" s="957" t="s">
        <v>162</v>
      </c>
      <c r="AC302" s="957" t="s">
        <v>162</v>
      </c>
      <c r="AD302" s="957" t="s">
        <v>162</v>
      </c>
      <c r="AE302" s="957" t="s">
        <v>162</v>
      </c>
      <c r="AF302" s="957" t="s">
        <v>162</v>
      </c>
      <c r="AG302" s="957" t="s">
        <v>162</v>
      </c>
      <c r="AH302" s="957" t="s">
        <v>162</v>
      </c>
      <c r="AI302" s="957" t="s">
        <v>162</v>
      </c>
      <c r="AJ302" s="957" t="s">
        <v>162</v>
      </c>
      <c r="AK302" s="957" t="s">
        <v>162</v>
      </c>
      <c r="AL302" s="957" t="s">
        <v>162</v>
      </c>
      <c r="AM302" s="957" t="s">
        <v>162</v>
      </c>
      <c r="AN302" s="957" t="s">
        <v>162</v>
      </c>
      <c r="AO302" s="957" t="s">
        <v>162</v>
      </c>
      <c r="AP302" s="957" t="s">
        <v>162</v>
      </c>
      <c r="AQ302" s="957" t="s">
        <v>162</v>
      </c>
      <c r="AR302" s="957" t="s">
        <v>162</v>
      </c>
      <c r="AS302" s="957" t="s">
        <v>162</v>
      </c>
      <c r="AT302" s="957" t="s">
        <v>162</v>
      </c>
      <c r="AU302" s="957" t="s">
        <v>162</v>
      </c>
      <c r="AV302" s="957" t="s">
        <v>162</v>
      </c>
      <c r="AW302" s="887"/>
      <c r="AX302" s="902" t="s">
        <v>984</v>
      </c>
      <c r="AY302" s="72" t="s">
        <v>102</v>
      </c>
    </row>
    <row r="303">
      <c r="A303" s="122"/>
      <c r="B303" s="123"/>
      <c r="C303" s="123"/>
      <c r="D303" s="123"/>
      <c r="E303" s="782" t="s">
        <v>315</v>
      </c>
      <c r="F303" s="193" t="s">
        <v>72</v>
      </c>
      <c r="G303" s="235" t="s">
        <v>165</v>
      </c>
      <c r="H303" s="956">
        <v>0.2</v>
      </c>
      <c r="I303" s="957" t="s">
        <v>162</v>
      </c>
      <c r="J303" s="957" t="s">
        <v>162</v>
      </c>
      <c r="K303" s="957" t="s">
        <v>162</v>
      </c>
      <c r="L303" s="957" t="s">
        <v>162</v>
      </c>
      <c r="M303" s="957" t="s">
        <v>162</v>
      </c>
      <c r="N303" s="957" t="s">
        <v>162</v>
      </c>
      <c r="O303" s="957" t="s">
        <v>162</v>
      </c>
      <c r="P303" s="957" t="s">
        <v>162</v>
      </c>
      <c r="Q303" s="958" t="s">
        <v>162</v>
      </c>
      <c r="R303" s="957" t="s">
        <v>162</v>
      </c>
      <c r="S303" s="957" t="s">
        <v>162</v>
      </c>
      <c r="T303" s="957" t="s">
        <v>162</v>
      </c>
      <c r="U303" s="957" t="s">
        <v>162</v>
      </c>
      <c r="V303" s="957" t="s">
        <v>162</v>
      </c>
      <c r="W303" s="957" t="s">
        <v>162</v>
      </c>
      <c r="X303" s="957" t="s">
        <v>162</v>
      </c>
      <c r="Y303" s="957" t="s">
        <v>162</v>
      </c>
      <c r="Z303" s="957" t="s">
        <v>162</v>
      </c>
      <c r="AA303" s="957" t="s">
        <v>162</v>
      </c>
      <c r="AB303" s="957" t="s">
        <v>162</v>
      </c>
      <c r="AC303" s="957" t="s">
        <v>162</v>
      </c>
      <c r="AD303" s="957" t="s">
        <v>162</v>
      </c>
      <c r="AE303" s="957" t="s">
        <v>162</v>
      </c>
      <c r="AF303" s="957" t="s">
        <v>162</v>
      </c>
      <c r="AG303" s="957" t="s">
        <v>162</v>
      </c>
      <c r="AH303" s="957" t="s">
        <v>162</v>
      </c>
      <c r="AI303" s="957" t="s">
        <v>162</v>
      </c>
      <c r="AJ303" s="957" t="s">
        <v>162</v>
      </c>
      <c r="AK303" s="957" t="s">
        <v>162</v>
      </c>
      <c r="AL303" s="957" t="s">
        <v>162</v>
      </c>
      <c r="AM303" s="957" t="s">
        <v>162</v>
      </c>
      <c r="AN303" s="957" t="s">
        <v>162</v>
      </c>
      <c r="AO303" s="957" t="s">
        <v>162</v>
      </c>
      <c r="AP303" s="957" t="s">
        <v>162</v>
      </c>
      <c r="AQ303" s="957" t="s">
        <v>162</v>
      </c>
      <c r="AR303" s="957" t="s">
        <v>162</v>
      </c>
      <c r="AS303" s="957" t="s">
        <v>162</v>
      </c>
      <c r="AT303" s="957" t="s">
        <v>162</v>
      </c>
      <c r="AU303" s="957" t="s">
        <v>162</v>
      </c>
      <c r="AV303" s="957" t="s">
        <v>162</v>
      </c>
      <c r="AW303" s="887"/>
      <c r="AX303" s="902" t="s">
        <v>984</v>
      </c>
      <c r="AY303" s="72" t="s">
        <v>103</v>
      </c>
    </row>
    <row r="304">
      <c r="A304" s="122"/>
      <c r="B304" s="123"/>
      <c r="C304" s="123"/>
      <c r="D304" s="123"/>
      <c r="E304" s="782" t="s">
        <v>316</v>
      </c>
      <c r="F304" s="193" t="s">
        <v>72</v>
      </c>
      <c r="G304" s="235" t="s">
        <v>165</v>
      </c>
      <c r="H304" s="956">
        <v>0.05</v>
      </c>
      <c r="I304" s="957" t="s">
        <v>162</v>
      </c>
      <c r="J304" s="957" t="s">
        <v>162</v>
      </c>
      <c r="K304" s="957" t="s">
        <v>162</v>
      </c>
      <c r="L304" s="957" t="s">
        <v>162</v>
      </c>
      <c r="M304" s="957" t="s">
        <v>162</v>
      </c>
      <c r="N304" s="957" t="s">
        <v>162</v>
      </c>
      <c r="O304" s="957" t="s">
        <v>162</v>
      </c>
      <c r="P304" s="957" t="s">
        <v>162</v>
      </c>
      <c r="Q304" s="958" t="s">
        <v>162</v>
      </c>
      <c r="R304" s="957" t="s">
        <v>162</v>
      </c>
      <c r="S304" s="957" t="s">
        <v>162</v>
      </c>
      <c r="T304" s="957" t="s">
        <v>162</v>
      </c>
      <c r="U304" s="957" t="s">
        <v>162</v>
      </c>
      <c r="V304" s="957" t="s">
        <v>162</v>
      </c>
      <c r="W304" s="957" t="s">
        <v>162</v>
      </c>
      <c r="X304" s="957" t="s">
        <v>162</v>
      </c>
      <c r="Y304" s="957" t="s">
        <v>162</v>
      </c>
      <c r="Z304" s="957" t="s">
        <v>162</v>
      </c>
      <c r="AA304" s="957" t="s">
        <v>162</v>
      </c>
      <c r="AB304" s="957" t="s">
        <v>162</v>
      </c>
      <c r="AC304" s="957" t="s">
        <v>162</v>
      </c>
      <c r="AD304" s="957" t="s">
        <v>162</v>
      </c>
      <c r="AE304" s="957" t="s">
        <v>162</v>
      </c>
      <c r="AF304" s="957" t="s">
        <v>162</v>
      </c>
      <c r="AG304" s="957" t="s">
        <v>162</v>
      </c>
      <c r="AH304" s="957" t="s">
        <v>162</v>
      </c>
      <c r="AI304" s="957" t="s">
        <v>162</v>
      </c>
      <c r="AJ304" s="957" t="s">
        <v>162</v>
      </c>
      <c r="AK304" s="957" t="s">
        <v>162</v>
      </c>
      <c r="AL304" s="957" t="s">
        <v>162</v>
      </c>
      <c r="AM304" s="957" t="s">
        <v>162</v>
      </c>
      <c r="AN304" s="957" t="s">
        <v>162</v>
      </c>
      <c r="AO304" s="957" t="s">
        <v>162</v>
      </c>
      <c r="AP304" s="957" t="s">
        <v>162</v>
      </c>
      <c r="AQ304" s="957" t="s">
        <v>162</v>
      </c>
      <c r="AR304" s="957" t="s">
        <v>162</v>
      </c>
      <c r="AS304" s="957" t="s">
        <v>162</v>
      </c>
      <c r="AT304" s="957" t="s">
        <v>162</v>
      </c>
      <c r="AU304" s="957" t="s">
        <v>162</v>
      </c>
      <c r="AV304" s="957" t="s">
        <v>162</v>
      </c>
      <c r="AW304" s="887"/>
      <c r="AX304" s="902" t="s">
        <v>984</v>
      </c>
      <c r="AY304" s="72" t="s">
        <v>102</v>
      </c>
    </row>
    <row r="305">
      <c r="A305" s="122"/>
      <c r="B305" s="123"/>
      <c r="C305" s="123"/>
      <c r="D305" s="123"/>
      <c r="E305" s="782" t="s">
        <v>317</v>
      </c>
      <c r="F305" s="193" t="s">
        <v>72</v>
      </c>
      <c r="G305" s="235" t="s">
        <v>165</v>
      </c>
      <c r="H305" s="956">
        <v>0.0</v>
      </c>
      <c r="I305" s="957" t="s">
        <v>162</v>
      </c>
      <c r="J305" s="957" t="s">
        <v>162</v>
      </c>
      <c r="K305" s="957" t="s">
        <v>162</v>
      </c>
      <c r="L305" s="957" t="s">
        <v>162</v>
      </c>
      <c r="M305" s="957" t="s">
        <v>162</v>
      </c>
      <c r="N305" s="957" t="s">
        <v>162</v>
      </c>
      <c r="O305" s="957" t="s">
        <v>162</v>
      </c>
      <c r="P305" s="957" t="s">
        <v>162</v>
      </c>
      <c r="Q305" s="958" t="s">
        <v>162</v>
      </c>
      <c r="R305" s="957" t="s">
        <v>162</v>
      </c>
      <c r="S305" s="957" t="s">
        <v>162</v>
      </c>
      <c r="T305" s="957" t="s">
        <v>162</v>
      </c>
      <c r="U305" s="957" t="s">
        <v>162</v>
      </c>
      <c r="V305" s="957" t="s">
        <v>162</v>
      </c>
      <c r="W305" s="957" t="s">
        <v>162</v>
      </c>
      <c r="X305" s="957" t="s">
        <v>162</v>
      </c>
      <c r="Y305" s="957" t="s">
        <v>162</v>
      </c>
      <c r="Z305" s="957" t="s">
        <v>162</v>
      </c>
      <c r="AA305" s="957" t="s">
        <v>162</v>
      </c>
      <c r="AB305" s="957" t="s">
        <v>162</v>
      </c>
      <c r="AC305" s="957" t="s">
        <v>162</v>
      </c>
      <c r="AD305" s="957" t="s">
        <v>162</v>
      </c>
      <c r="AE305" s="957" t="s">
        <v>162</v>
      </c>
      <c r="AF305" s="957" t="s">
        <v>162</v>
      </c>
      <c r="AG305" s="957" t="s">
        <v>162</v>
      </c>
      <c r="AH305" s="957" t="s">
        <v>162</v>
      </c>
      <c r="AI305" s="957" t="s">
        <v>162</v>
      </c>
      <c r="AJ305" s="957" t="s">
        <v>162</v>
      </c>
      <c r="AK305" s="957" t="s">
        <v>162</v>
      </c>
      <c r="AL305" s="957" t="s">
        <v>162</v>
      </c>
      <c r="AM305" s="957" t="s">
        <v>162</v>
      </c>
      <c r="AN305" s="957" t="s">
        <v>162</v>
      </c>
      <c r="AO305" s="957" t="s">
        <v>162</v>
      </c>
      <c r="AP305" s="957" t="s">
        <v>162</v>
      </c>
      <c r="AQ305" s="957" t="s">
        <v>162</v>
      </c>
      <c r="AR305" s="957" t="s">
        <v>162</v>
      </c>
      <c r="AS305" s="957" t="s">
        <v>162</v>
      </c>
      <c r="AT305" s="957" t="s">
        <v>162</v>
      </c>
      <c r="AU305" s="957" t="s">
        <v>162</v>
      </c>
      <c r="AV305" s="957" t="s">
        <v>162</v>
      </c>
      <c r="AW305" s="887"/>
      <c r="AX305" s="902" t="s">
        <v>984</v>
      </c>
      <c r="AY305" s="72" t="s">
        <v>102</v>
      </c>
    </row>
    <row r="306">
      <c r="A306" s="122"/>
      <c r="B306" s="123"/>
      <c r="C306" s="123"/>
      <c r="D306" s="397"/>
      <c r="E306" s="782" t="s">
        <v>319</v>
      </c>
      <c r="F306" s="193" t="s">
        <v>72</v>
      </c>
      <c r="G306" s="235" t="s">
        <v>165</v>
      </c>
      <c r="H306" s="956">
        <v>0.06</v>
      </c>
      <c r="I306" s="957" t="s">
        <v>162</v>
      </c>
      <c r="J306" s="957" t="s">
        <v>162</v>
      </c>
      <c r="K306" s="957" t="s">
        <v>162</v>
      </c>
      <c r="L306" s="957" t="s">
        <v>162</v>
      </c>
      <c r="M306" s="957" t="s">
        <v>162</v>
      </c>
      <c r="N306" s="957" t="s">
        <v>162</v>
      </c>
      <c r="O306" s="957" t="s">
        <v>162</v>
      </c>
      <c r="P306" s="957" t="s">
        <v>162</v>
      </c>
      <c r="Q306" s="958" t="s">
        <v>162</v>
      </c>
      <c r="R306" s="957" t="s">
        <v>162</v>
      </c>
      <c r="S306" s="957" t="s">
        <v>162</v>
      </c>
      <c r="T306" s="957" t="s">
        <v>162</v>
      </c>
      <c r="U306" s="957" t="s">
        <v>162</v>
      </c>
      <c r="V306" s="957" t="s">
        <v>162</v>
      </c>
      <c r="W306" s="957" t="s">
        <v>162</v>
      </c>
      <c r="X306" s="957" t="s">
        <v>162</v>
      </c>
      <c r="Y306" s="957" t="s">
        <v>162</v>
      </c>
      <c r="Z306" s="957" t="s">
        <v>162</v>
      </c>
      <c r="AA306" s="957" t="s">
        <v>162</v>
      </c>
      <c r="AB306" s="957" t="s">
        <v>162</v>
      </c>
      <c r="AC306" s="957" t="s">
        <v>162</v>
      </c>
      <c r="AD306" s="957" t="s">
        <v>162</v>
      </c>
      <c r="AE306" s="957" t="s">
        <v>162</v>
      </c>
      <c r="AF306" s="957" t="s">
        <v>162</v>
      </c>
      <c r="AG306" s="957" t="s">
        <v>162</v>
      </c>
      <c r="AH306" s="957" t="s">
        <v>162</v>
      </c>
      <c r="AI306" s="957" t="s">
        <v>162</v>
      </c>
      <c r="AJ306" s="957" t="s">
        <v>162</v>
      </c>
      <c r="AK306" s="957" t="s">
        <v>162</v>
      </c>
      <c r="AL306" s="957" t="s">
        <v>162</v>
      </c>
      <c r="AM306" s="957" t="s">
        <v>162</v>
      </c>
      <c r="AN306" s="957" t="s">
        <v>162</v>
      </c>
      <c r="AO306" s="957" t="s">
        <v>162</v>
      </c>
      <c r="AP306" s="957" t="s">
        <v>162</v>
      </c>
      <c r="AQ306" s="957" t="s">
        <v>162</v>
      </c>
      <c r="AR306" s="957" t="s">
        <v>162</v>
      </c>
      <c r="AS306" s="957" t="s">
        <v>162</v>
      </c>
      <c r="AT306" s="957" t="s">
        <v>162</v>
      </c>
      <c r="AU306" s="957" t="s">
        <v>162</v>
      </c>
      <c r="AV306" s="957" t="s">
        <v>162</v>
      </c>
      <c r="AW306" s="887"/>
      <c r="AX306" s="902" t="s">
        <v>984</v>
      </c>
      <c r="AY306" s="72" t="s">
        <v>102</v>
      </c>
    </row>
    <row r="307">
      <c r="A307" s="122"/>
      <c r="B307" s="123"/>
      <c r="C307" s="123"/>
      <c r="D307" s="123"/>
      <c r="E307" s="782" t="s">
        <v>320</v>
      </c>
      <c r="F307" s="193" t="s">
        <v>72</v>
      </c>
      <c r="G307" s="235" t="s">
        <v>165</v>
      </c>
      <c r="H307" s="956">
        <v>0.125</v>
      </c>
      <c r="I307" s="957" t="s">
        <v>162</v>
      </c>
      <c r="J307" s="957" t="s">
        <v>162</v>
      </c>
      <c r="K307" s="957" t="s">
        <v>162</v>
      </c>
      <c r="L307" s="957" t="s">
        <v>162</v>
      </c>
      <c r="M307" s="957" t="s">
        <v>162</v>
      </c>
      <c r="N307" s="957" t="s">
        <v>162</v>
      </c>
      <c r="O307" s="957" t="s">
        <v>162</v>
      </c>
      <c r="P307" s="957" t="s">
        <v>162</v>
      </c>
      <c r="Q307" s="958" t="s">
        <v>162</v>
      </c>
      <c r="R307" s="957" t="s">
        <v>162</v>
      </c>
      <c r="S307" s="957" t="s">
        <v>162</v>
      </c>
      <c r="T307" s="957" t="s">
        <v>162</v>
      </c>
      <c r="U307" s="957" t="s">
        <v>162</v>
      </c>
      <c r="V307" s="957" t="s">
        <v>162</v>
      </c>
      <c r="W307" s="957" t="s">
        <v>162</v>
      </c>
      <c r="X307" s="957" t="s">
        <v>162</v>
      </c>
      <c r="Y307" s="957" t="s">
        <v>162</v>
      </c>
      <c r="Z307" s="957" t="s">
        <v>162</v>
      </c>
      <c r="AA307" s="957" t="s">
        <v>162</v>
      </c>
      <c r="AB307" s="957" t="s">
        <v>162</v>
      </c>
      <c r="AC307" s="957" t="s">
        <v>162</v>
      </c>
      <c r="AD307" s="957" t="s">
        <v>162</v>
      </c>
      <c r="AE307" s="957" t="s">
        <v>162</v>
      </c>
      <c r="AF307" s="957" t="s">
        <v>162</v>
      </c>
      <c r="AG307" s="957" t="s">
        <v>162</v>
      </c>
      <c r="AH307" s="957" t="s">
        <v>162</v>
      </c>
      <c r="AI307" s="957" t="s">
        <v>162</v>
      </c>
      <c r="AJ307" s="957" t="s">
        <v>162</v>
      </c>
      <c r="AK307" s="957" t="s">
        <v>162</v>
      </c>
      <c r="AL307" s="957" t="s">
        <v>162</v>
      </c>
      <c r="AM307" s="957" t="s">
        <v>162</v>
      </c>
      <c r="AN307" s="957" t="s">
        <v>162</v>
      </c>
      <c r="AO307" s="957" t="s">
        <v>162</v>
      </c>
      <c r="AP307" s="957" t="s">
        <v>162</v>
      </c>
      <c r="AQ307" s="957" t="s">
        <v>162</v>
      </c>
      <c r="AR307" s="957" t="s">
        <v>162</v>
      </c>
      <c r="AS307" s="957" t="s">
        <v>162</v>
      </c>
      <c r="AT307" s="957" t="s">
        <v>162</v>
      </c>
      <c r="AU307" s="957" t="s">
        <v>162</v>
      </c>
      <c r="AV307" s="957" t="s">
        <v>162</v>
      </c>
      <c r="AW307" s="887"/>
      <c r="AX307" s="902" t="s">
        <v>984</v>
      </c>
      <c r="AY307" s="72" t="s">
        <v>102</v>
      </c>
    </row>
    <row r="308">
      <c r="A308" s="122"/>
      <c r="B308" s="123"/>
      <c r="C308" s="123"/>
      <c r="D308" s="123"/>
      <c r="E308" s="782" t="s">
        <v>321</v>
      </c>
      <c r="F308" s="193" t="s">
        <v>72</v>
      </c>
      <c r="G308" s="235" t="s">
        <v>165</v>
      </c>
      <c r="H308" s="956">
        <v>0.036</v>
      </c>
      <c r="I308" s="957" t="s">
        <v>162</v>
      </c>
      <c r="J308" s="957" t="s">
        <v>162</v>
      </c>
      <c r="K308" s="957" t="s">
        <v>162</v>
      </c>
      <c r="L308" s="957" t="s">
        <v>162</v>
      </c>
      <c r="M308" s="957" t="s">
        <v>162</v>
      </c>
      <c r="N308" s="957" t="s">
        <v>162</v>
      </c>
      <c r="O308" s="957" t="s">
        <v>162</v>
      </c>
      <c r="P308" s="957" t="s">
        <v>162</v>
      </c>
      <c r="Q308" s="958" t="s">
        <v>162</v>
      </c>
      <c r="R308" s="957" t="s">
        <v>162</v>
      </c>
      <c r="S308" s="957" t="s">
        <v>162</v>
      </c>
      <c r="T308" s="957" t="s">
        <v>162</v>
      </c>
      <c r="U308" s="957" t="s">
        <v>162</v>
      </c>
      <c r="V308" s="957" t="s">
        <v>162</v>
      </c>
      <c r="W308" s="957" t="s">
        <v>162</v>
      </c>
      <c r="X308" s="957" t="s">
        <v>162</v>
      </c>
      <c r="Y308" s="957" t="s">
        <v>162</v>
      </c>
      <c r="Z308" s="957" t="s">
        <v>162</v>
      </c>
      <c r="AA308" s="957" t="s">
        <v>162</v>
      </c>
      <c r="AB308" s="957" t="s">
        <v>162</v>
      </c>
      <c r="AC308" s="957" t="s">
        <v>162</v>
      </c>
      <c r="AD308" s="957" t="s">
        <v>162</v>
      </c>
      <c r="AE308" s="957" t="s">
        <v>162</v>
      </c>
      <c r="AF308" s="957" t="s">
        <v>162</v>
      </c>
      <c r="AG308" s="957" t="s">
        <v>162</v>
      </c>
      <c r="AH308" s="957" t="s">
        <v>162</v>
      </c>
      <c r="AI308" s="957" t="s">
        <v>162</v>
      </c>
      <c r="AJ308" s="957" t="s">
        <v>162</v>
      </c>
      <c r="AK308" s="957" t="s">
        <v>162</v>
      </c>
      <c r="AL308" s="957" t="s">
        <v>162</v>
      </c>
      <c r="AM308" s="957" t="s">
        <v>162</v>
      </c>
      <c r="AN308" s="957" t="s">
        <v>162</v>
      </c>
      <c r="AO308" s="957" t="s">
        <v>162</v>
      </c>
      <c r="AP308" s="957" t="s">
        <v>162</v>
      </c>
      <c r="AQ308" s="957" t="s">
        <v>162</v>
      </c>
      <c r="AR308" s="957" t="s">
        <v>162</v>
      </c>
      <c r="AS308" s="957" t="s">
        <v>162</v>
      </c>
      <c r="AT308" s="957" t="s">
        <v>162</v>
      </c>
      <c r="AU308" s="957" t="s">
        <v>162</v>
      </c>
      <c r="AV308" s="957" t="s">
        <v>162</v>
      </c>
      <c r="AW308" s="887"/>
      <c r="AX308" s="902" t="s">
        <v>984</v>
      </c>
      <c r="AY308" s="72" t="s">
        <v>102</v>
      </c>
    </row>
    <row r="309">
      <c r="A309" s="122"/>
      <c r="B309" s="123"/>
      <c r="C309" s="123"/>
      <c r="D309" s="123"/>
      <c r="E309" s="782" t="s">
        <v>322</v>
      </c>
      <c r="F309" s="193" t="s">
        <v>72</v>
      </c>
      <c r="G309" s="235" t="s">
        <v>165</v>
      </c>
      <c r="H309" s="956">
        <v>0.04</v>
      </c>
      <c r="I309" s="957" t="s">
        <v>162</v>
      </c>
      <c r="J309" s="957" t="s">
        <v>162</v>
      </c>
      <c r="K309" s="957" t="s">
        <v>162</v>
      </c>
      <c r="L309" s="957" t="s">
        <v>162</v>
      </c>
      <c r="M309" s="957" t="s">
        <v>162</v>
      </c>
      <c r="N309" s="957" t="s">
        <v>162</v>
      </c>
      <c r="O309" s="957" t="s">
        <v>162</v>
      </c>
      <c r="P309" s="957" t="s">
        <v>162</v>
      </c>
      <c r="Q309" s="958" t="s">
        <v>162</v>
      </c>
      <c r="R309" s="957" t="s">
        <v>162</v>
      </c>
      <c r="S309" s="957" t="s">
        <v>162</v>
      </c>
      <c r="T309" s="957" t="s">
        <v>162</v>
      </c>
      <c r="U309" s="957" t="s">
        <v>162</v>
      </c>
      <c r="V309" s="957" t="s">
        <v>162</v>
      </c>
      <c r="W309" s="957" t="s">
        <v>162</v>
      </c>
      <c r="X309" s="957" t="s">
        <v>162</v>
      </c>
      <c r="Y309" s="957" t="s">
        <v>162</v>
      </c>
      <c r="Z309" s="957" t="s">
        <v>162</v>
      </c>
      <c r="AA309" s="957" t="s">
        <v>162</v>
      </c>
      <c r="AB309" s="957" t="s">
        <v>162</v>
      </c>
      <c r="AC309" s="957" t="s">
        <v>162</v>
      </c>
      <c r="AD309" s="957" t="s">
        <v>162</v>
      </c>
      <c r="AE309" s="957" t="s">
        <v>162</v>
      </c>
      <c r="AF309" s="957" t="s">
        <v>162</v>
      </c>
      <c r="AG309" s="957" t="s">
        <v>162</v>
      </c>
      <c r="AH309" s="957" t="s">
        <v>162</v>
      </c>
      <c r="AI309" s="957" t="s">
        <v>162</v>
      </c>
      <c r="AJ309" s="957" t="s">
        <v>162</v>
      </c>
      <c r="AK309" s="957" t="s">
        <v>162</v>
      </c>
      <c r="AL309" s="957" t="s">
        <v>162</v>
      </c>
      <c r="AM309" s="957" t="s">
        <v>162</v>
      </c>
      <c r="AN309" s="957" t="s">
        <v>162</v>
      </c>
      <c r="AO309" s="957" t="s">
        <v>162</v>
      </c>
      <c r="AP309" s="957" t="s">
        <v>162</v>
      </c>
      <c r="AQ309" s="957" t="s">
        <v>162</v>
      </c>
      <c r="AR309" s="957" t="s">
        <v>162</v>
      </c>
      <c r="AS309" s="957" t="s">
        <v>162</v>
      </c>
      <c r="AT309" s="957" t="s">
        <v>162</v>
      </c>
      <c r="AU309" s="957" t="s">
        <v>162</v>
      </c>
      <c r="AV309" s="957" t="s">
        <v>162</v>
      </c>
      <c r="AW309" s="887"/>
      <c r="AX309" s="902" t="s">
        <v>984</v>
      </c>
      <c r="AY309" s="72" t="s">
        <v>102</v>
      </c>
    </row>
    <row r="310">
      <c r="A310" s="122"/>
      <c r="B310" s="123"/>
      <c r="C310" s="123"/>
      <c r="D310" s="123"/>
      <c r="E310" s="782" t="s">
        <v>323</v>
      </c>
      <c r="F310" s="193" t="s">
        <v>72</v>
      </c>
      <c r="G310" s="235" t="s">
        <v>165</v>
      </c>
      <c r="H310" s="956">
        <v>-0.02</v>
      </c>
      <c r="I310" s="957" t="s">
        <v>162</v>
      </c>
      <c r="J310" s="957" t="s">
        <v>162</v>
      </c>
      <c r="K310" s="957" t="s">
        <v>162</v>
      </c>
      <c r="L310" s="957" t="s">
        <v>162</v>
      </c>
      <c r="M310" s="957" t="s">
        <v>162</v>
      </c>
      <c r="N310" s="957" t="s">
        <v>162</v>
      </c>
      <c r="O310" s="957" t="s">
        <v>162</v>
      </c>
      <c r="P310" s="957" t="s">
        <v>162</v>
      </c>
      <c r="Q310" s="958" t="s">
        <v>162</v>
      </c>
      <c r="R310" s="957" t="s">
        <v>162</v>
      </c>
      <c r="S310" s="957" t="s">
        <v>162</v>
      </c>
      <c r="T310" s="957" t="s">
        <v>162</v>
      </c>
      <c r="U310" s="957" t="s">
        <v>162</v>
      </c>
      <c r="V310" s="957" t="s">
        <v>162</v>
      </c>
      <c r="W310" s="957" t="s">
        <v>162</v>
      </c>
      <c r="X310" s="957" t="s">
        <v>162</v>
      </c>
      <c r="Y310" s="957" t="s">
        <v>162</v>
      </c>
      <c r="Z310" s="957" t="s">
        <v>162</v>
      </c>
      <c r="AA310" s="957" t="s">
        <v>162</v>
      </c>
      <c r="AB310" s="957" t="s">
        <v>162</v>
      </c>
      <c r="AC310" s="957" t="s">
        <v>162</v>
      </c>
      <c r="AD310" s="957" t="s">
        <v>162</v>
      </c>
      <c r="AE310" s="957" t="s">
        <v>162</v>
      </c>
      <c r="AF310" s="957" t="s">
        <v>162</v>
      </c>
      <c r="AG310" s="957" t="s">
        <v>162</v>
      </c>
      <c r="AH310" s="957" t="s">
        <v>162</v>
      </c>
      <c r="AI310" s="957" t="s">
        <v>162</v>
      </c>
      <c r="AJ310" s="957" t="s">
        <v>162</v>
      </c>
      <c r="AK310" s="957" t="s">
        <v>162</v>
      </c>
      <c r="AL310" s="957" t="s">
        <v>162</v>
      </c>
      <c r="AM310" s="957" t="s">
        <v>162</v>
      </c>
      <c r="AN310" s="957" t="s">
        <v>162</v>
      </c>
      <c r="AO310" s="957" t="s">
        <v>162</v>
      </c>
      <c r="AP310" s="957" t="s">
        <v>162</v>
      </c>
      <c r="AQ310" s="957" t="s">
        <v>162</v>
      </c>
      <c r="AR310" s="957" t="s">
        <v>162</v>
      </c>
      <c r="AS310" s="957" t="s">
        <v>162</v>
      </c>
      <c r="AT310" s="957" t="s">
        <v>162</v>
      </c>
      <c r="AU310" s="957" t="s">
        <v>162</v>
      </c>
      <c r="AV310" s="957" t="s">
        <v>162</v>
      </c>
      <c r="AW310" s="887"/>
      <c r="AX310" s="902" t="s">
        <v>984</v>
      </c>
      <c r="AY310" s="72" t="s">
        <v>102</v>
      </c>
    </row>
    <row r="311">
      <c r="A311" s="122"/>
      <c r="B311" s="123"/>
      <c r="C311" s="123"/>
      <c r="D311" s="123"/>
      <c r="E311" s="782" t="s">
        <v>324</v>
      </c>
      <c r="F311" s="193" t="s">
        <v>72</v>
      </c>
      <c r="G311" s="235" t="s">
        <v>165</v>
      </c>
      <c r="H311" s="956">
        <v>-0.04</v>
      </c>
      <c r="I311" s="957" t="s">
        <v>162</v>
      </c>
      <c r="J311" s="957" t="s">
        <v>162</v>
      </c>
      <c r="K311" s="957" t="s">
        <v>162</v>
      </c>
      <c r="L311" s="957" t="s">
        <v>162</v>
      </c>
      <c r="M311" s="957" t="s">
        <v>162</v>
      </c>
      <c r="N311" s="957" t="s">
        <v>162</v>
      </c>
      <c r="O311" s="957" t="s">
        <v>162</v>
      </c>
      <c r="P311" s="957" t="s">
        <v>162</v>
      </c>
      <c r="Q311" s="958" t="s">
        <v>162</v>
      </c>
      <c r="R311" s="957" t="s">
        <v>162</v>
      </c>
      <c r="S311" s="957" t="s">
        <v>162</v>
      </c>
      <c r="T311" s="957" t="s">
        <v>162</v>
      </c>
      <c r="U311" s="957" t="s">
        <v>162</v>
      </c>
      <c r="V311" s="957" t="s">
        <v>162</v>
      </c>
      <c r="W311" s="957" t="s">
        <v>162</v>
      </c>
      <c r="X311" s="957" t="s">
        <v>162</v>
      </c>
      <c r="Y311" s="957" t="s">
        <v>162</v>
      </c>
      <c r="Z311" s="957" t="s">
        <v>162</v>
      </c>
      <c r="AA311" s="957" t="s">
        <v>162</v>
      </c>
      <c r="AB311" s="957" t="s">
        <v>162</v>
      </c>
      <c r="AC311" s="957" t="s">
        <v>162</v>
      </c>
      <c r="AD311" s="957" t="s">
        <v>162</v>
      </c>
      <c r="AE311" s="957" t="s">
        <v>162</v>
      </c>
      <c r="AF311" s="957" t="s">
        <v>162</v>
      </c>
      <c r="AG311" s="957" t="s">
        <v>162</v>
      </c>
      <c r="AH311" s="957" t="s">
        <v>162</v>
      </c>
      <c r="AI311" s="957" t="s">
        <v>162</v>
      </c>
      <c r="AJ311" s="957" t="s">
        <v>162</v>
      </c>
      <c r="AK311" s="957" t="s">
        <v>162</v>
      </c>
      <c r="AL311" s="957" t="s">
        <v>162</v>
      </c>
      <c r="AM311" s="957" t="s">
        <v>162</v>
      </c>
      <c r="AN311" s="957" t="s">
        <v>162</v>
      </c>
      <c r="AO311" s="957" t="s">
        <v>162</v>
      </c>
      <c r="AP311" s="957" t="s">
        <v>162</v>
      </c>
      <c r="AQ311" s="957" t="s">
        <v>162</v>
      </c>
      <c r="AR311" s="957" t="s">
        <v>162</v>
      </c>
      <c r="AS311" s="957" t="s">
        <v>162</v>
      </c>
      <c r="AT311" s="957" t="s">
        <v>162</v>
      </c>
      <c r="AU311" s="957" t="s">
        <v>162</v>
      </c>
      <c r="AV311" s="957" t="s">
        <v>162</v>
      </c>
      <c r="AW311" s="887"/>
      <c r="AX311" s="902" t="s">
        <v>984</v>
      </c>
      <c r="AY311" s="72" t="s">
        <v>102</v>
      </c>
    </row>
    <row r="312">
      <c r="A312" s="123"/>
      <c r="B312" s="123"/>
      <c r="C312" s="123"/>
      <c r="D312" s="123"/>
      <c r="E312" s="839" t="s">
        <v>325</v>
      </c>
      <c r="F312" s="639" t="s">
        <v>72</v>
      </c>
      <c r="G312" s="640" t="s">
        <v>165</v>
      </c>
      <c r="H312" s="971">
        <v>0.035</v>
      </c>
      <c r="I312" s="972" t="s">
        <v>162</v>
      </c>
      <c r="J312" s="972" t="s">
        <v>162</v>
      </c>
      <c r="K312" s="972" t="s">
        <v>162</v>
      </c>
      <c r="L312" s="972" t="s">
        <v>162</v>
      </c>
      <c r="M312" s="972" t="s">
        <v>162</v>
      </c>
      <c r="N312" s="972" t="s">
        <v>162</v>
      </c>
      <c r="O312" s="972" t="s">
        <v>162</v>
      </c>
      <c r="P312" s="972" t="s">
        <v>162</v>
      </c>
      <c r="Q312" s="973" t="s">
        <v>162</v>
      </c>
      <c r="R312" s="972" t="s">
        <v>162</v>
      </c>
      <c r="S312" s="972" t="s">
        <v>162</v>
      </c>
      <c r="T312" s="972" t="s">
        <v>162</v>
      </c>
      <c r="U312" s="972" t="s">
        <v>162</v>
      </c>
      <c r="V312" s="972" t="s">
        <v>162</v>
      </c>
      <c r="W312" s="972" t="s">
        <v>162</v>
      </c>
      <c r="X312" s="972" t="s">
        <v>162</v>
      </c>
      <c r="Y312" s="972" t="s">
        <v>162</v>
      </c>
      <c r="Z312" s="972" t="s">
        <v>162</v>
      </c>
      <c r="AA312" s="972" t="s">
        <v>162</v>
      </c>
      <c r="AB312" s="972" t="s">
        <v>162</v>
      </c>
      <c r="AC312" s="972" t="s">
        <v>162</v>
      </c>
      <c r="AD312" s="972" t="s">
        <v>162</v>
      </c>
      <c r="AE312" s="972" t="s">
        <v>162</v>
      </c>
      <c r="AF312" s="972" t="s">
        <v>162</v>
      </c>
      <c r="AG312" s="972" t="s">
        <v>162</v>
      </c>
      <c r="AH312" s="972" t="s">
        <v>162</v>
      </c>
      <c r="AI312" s="972" t="s">
        <v>162</v>
      </c>
      <c r="AJ312" s="972" t="s">
        <v>162</v>
      </c>
      <c r="AK312" s="972" t="s">
        <v>162</v>
      </c>
      <c r="AL312" s="972" t="s">
        <v>162</v>
      </c>
      <c r="AM312" s="972" t="s">
        <v>162</v>
      </c>
      <c r="AN312" s="972" t="s">
        <v>162</v>
      </c>
      <c r="AO312" s="972" t="s">
        <v>162</v>
      </c>
      <c r="AP312" s="972" t="s">
        <v>162</v>
      </c>
      <c r="AQ312" s="972" t="s">
        <v>162</v>
      </c>
      <c r="AR312" s="972" t="s">
        <v>162</v>
      </c>
      <c r="AS312" s="972" t="s">
        <v>162</v>
      </c>
      <c r="AT312" s="972" t="s">
        <v>162</v>
      </c>
      <c r="AU312" s="972" t="s">
        <v>162</v>
      </c>
      <c r="AV312" s="972" t="s">
        <v>162</v>
      </c>
      <c r="AW312" s="974"/>
      <c r="AX312" s="975" t="s">
        <v>984</v>
      </c>
      <c r="AY312" s="976" t="s">
        <v>102</v>
      </c>
    </row>
    <row r="313">
      <c r="A313" s="122"/>
      <c r="B313" s="123"/>
      <c r="C313" s="123"/>
      <c r="D313" s="123"/>
      <c r="E313" s="800" t="s">
        <v>326</v>
      </c>
      <c r="F313" s="134" t="s">
        <v>72</v>
      </c>
      <c r="G313" s="145" t="s">
        <v>165</v>
      </c>
      <c r="H313" s="977" t="s">
        <v>162</v>
      </c>
      <c r="I313" s="978">
        <v>0.0</v>
      </c>
      <c r="J313" s="978">
        <v>0.0</v>
      </c>
      <c r="K313" s="978">
        <v>0.0</v>
      </c>
      <c r="L313" s="978">
        <v>0.0</v>
      </c>
      <c r="M313" s="978">
        <v>0.0</v>
      </c>
      <c r="N313" s="978">
        <v>0.0</v>
      </c>
      <c r="O313" s="978">
        <v>0.0</v>
      </c>
      <c r="P313" s="978">
        <v>0.0</v>
      </c>
      <c r="Q313" s="979">
        <v>0.0</v>
      </c>
      <c r="R313" s="978">
        <f t="shared" ref="R313:AK313" si="63">AVERAGE($AL$313,$AU$313,$AV$313)</f>
        <v>-0.1866666667</v>
      </c>
      <c r="S313" s="978">
        <f t="shared" si="63"/>
        <v>-0.1866666667</v>
      </c>
      <c r="T313" s="978">
        <f t="shared" si="63"/>
        <v>-0.1866666667</v>
      </c>
      <c r="U313" s="978">
        <f t="shared" si="63"/>
        <v>-0.1866666667</v>
      </c>
      <c r="V313" s="978">
        <f t="shared" si="63"/>
        <v>-0.1866666667</v>
      </c>
      <c r="W313" s="978">
        <f t="shared" si="63"/>
        <v>-0.1866666667</v>
      </c>
      <c r="X313" s="978">
        <f t="shared" si="63"/>
        <v>-0.1866666667</v>
      </c>
      <c r="Y313" s="978">
        <f t="shared" si="63"/>
        <v>-0.1866666667</v>
      </c>
      <c r="Z313" s="978">
        <f t="shared" si="63"/>
        <v>-0.1866666667</v>
      </c>
      <c r="AA313" s="978">
        <f t="shared" si="63"/>
        <v>-0.1866666667</v>
      </c>
      <c r="AB313" s="978">
        <f t="shared" si="63"/>
        <v>-0.1866666667</v>
      </c>
      <c r="AC313" s="978">
        <f t="shared" si="63"/>
        <v>-0.1866666667</v>
      </c>
      <c r="AD313" s="978">
        <f t="shared" si="63"/>
        <v>-0.1866666667</v>
      </c>
      <c r="AE313" s="978">
        <f t="shared" si="63"/>
        <v>-0.1866666667</v>
      </c>
      <c r="AF313" s="978">
        <f t="shared" si="63"/>
        <v>-0.1866666667</v>
      </c>
      <c r="AG313" s="978">
        <f t="shared" si="63"/>
        <v>-0.1866666667</v>
      </c>
      <c r="AH313" s="978">
        <f t="shared" si="63"/>
        <v>-0.1866666667</v>
      </c>
      <c r="AI313" s="978">
        <f t="shared" si="63"/>
        <v>-0.1866666667</v>
      </c>
      <c r="AJ313" s="978">
        <f t="shared" si="63"/>
        <v>-0.1866666667</v>
      </c>
      <c r="AK313" s="978">
        <f t="shared" si="63"/>
        <v>-0.1866666667</v>
      </c>
      <c r="AL313" s="978">
        <v>-0.15</v>
      </c>
      <c r="AM313" s="978">
        <v>-0.11</v>
      </c>
      <c r="AN313" s="978">
        <f>AL313</f>
        <v>-0.15</v>
      </c>
      <c r="AO313" s="978">
        <f t="shared" ref="AO313:AT313" si="64">AVERAGE($AL$313,$AU$313,$AV$313)</f>
        <v>-0.1866666667</v>
      </c>
      <c r="AP313" s="978">
        <f t="shared" si="64"/>
        <v>-0.1866666667</v>
      </c>
      <c r="AQ313" s="978">
        <f t="shared" si="64"/>
        <v>-0.1866666667</v>
      </c>
      <c r="AR313" s="978">
        <f t="shared" si="64"/>
        <v>-0.1866666667</v>
      </c>
      <c r="AS313" s="978">
        <f t="shared" si="64"/>
        <v>-0.1866666667</v>
      </c>
      <c r="AT313" s="978">
        <f t="shared" si="64"/>
        <v>-0.1866666667</v>
      </c>
      <c r="AU313" s="978">
        <v>-0.3</v>
      </c>
      <c r="AV313" s="978">
        <v>-0.11</v>
      </c>
      <c r="AW313" s="81"/>
      <c r="AX313" s="759" t="s">
        <v>977</v>
      </c>
      <c r="AY313" s="980" t="s">
        <v>98</v>
      </c>
    </row>
    <row r="314">
      <c r="A314" s="981"/>
      <c r="B314" s="982"/>
      <c r="C314" s="982"/>
      <c r="D314" s="982"/>
      <c r="E314" s="983"/>
      <c r="F314" s="984"/>
      <c r="G314" s="984"/>
      <c r="H314" s="985"/>
      <c r="I314" s="982"/>
      <c r="J314" s="982"/>
      <c r="K314" s="982"/>
      <c r="L314" s="982"/>
      <c r="M314" s="982"/>
      <c r="N314" s="982"/>
      <c r="O314" s="982"/>
      <c r="P314" s="982"/>
      <c r="Q314" s="986"/>
      <c r="R314" s="982"/>
      <c r="S314" s="982"/>
      <c r="T314" s="982"/>
      <c r="U314" s="982"/>
      <c r="V314" s="982"/>
      <c r="W314" s="982"/>
      <c r="X314" s="982"/>
      <c r="Y314" s="982"/>
      <c r="Z314" s="982"/>
      <c r="AA314" s="982"/>
      <c r="AB314" s="982"/>
      <c r="AC314" s="982"/>
      <c r="AD314" s="982"/>
      <c r="AE314" s="982"/>
      <c r="AF314" s="982"/>
      <c r="AG314" s="982"/>
      <c r="AH314" s="982"/>
      <c r="AI314" s="982"/>
      <c r="AJ314" s="982"/>
      <c r="AK314" s="982"/>
      <c r="AL314" s="982"/>
      <c r="AM314" s="982"/>
      <c r="AN314" s="982"/>
      <c r="AO314" s="982"/>
      <c r="AP314" s="982"/>
      <c r="AQ314" s="982"/>
      <c r="AR314" s="982"/>
      <c r="AS314" s="982"/>
      <c r="AT314" s="982"/>
      <c r="AU314" s="982"/>
      <c r="AV314" s="982"/>
      <c r="AW314" s="981"/>
      <c r="AX314" s="982"/>
      <c r="AY314" s="986"/>
    </row>
    <row r="315">
      <c r="A315" s="117" t="s">
        <v>328</v>
      </c>
      <c r="B315" s="7"/>
      <c r="C315" s="7"/>
      <c r="D315" s="7"/>
      <c r="E315" s="7"/>
      <c r="F315" s="7"/>
      <c r="G315" s="659"/>
      <c r="H315" s="749"/>
      <c r="I315" s="750"/>
      <c r="J315" s="750"/>
      <c r="K315" s="750"/>
      <c r="L315" s="750"/>
      <c r="M315" s="750"/>
      <c r="N315" s="750"/>
      <c r="O315" s="750"/>
      <c r="P315" s="750"/>
      <c r="Q315" s="686"/>
      <c r="R315" s="750"/>
      <c r="S315" s="750"/>
      <c r="T315" s="750"/>
      <c r="U315" s="750"/>
      <c r="V315" s="750"/>
      <c r="W315" s="750"/>
      <c r="X315" s="750"/>
      <c r="Y315" s="750"/>
      <c r="Z315" s="750"/>
      <c r="AA315" s="750"/>
      <c r="AB315" s="750"/>
      <c r="AC315" s="750"/>
      <c r="AD315" s="750"/>
      <c r="AE315" s="750"/>
      <c r="AF315" s="750"/>
      <c r="AG315" s="750"/>
      <c r="AH315" s="750"/>
      <c r="AI315" s="750"/>
      <c r="AJ315" s="750"/>
      <c r="AK315" s="750"/>
      <c r="AL315" s="750"/>
      <c r="AM315" s="750"/>
      <c r="AN315" s="750"/>
      <c r="AO315" s="750"/>
      <c r="AP315" s="750"/>
      <c r="AQ315" s="750"/>
      <c r="AR315" s="750"/>
      <c r="AS315" s="750"/>
      <c r="AT315" s="750"/>
      <c r="AU315" s="750"/>
      <c r="AV315" s="750"/>
      <c r="AW315" s="938"/>
      <c r="AX315" s="939"/>
      <c r="AY315" s="752"/>
    </row>
    <row r="316">
      <c r="A316" s="122"/>
      <c r="B316" s="123"/>
      <c r="C316" s="123"/>
      <c r="D316" s="123"/>
      <c r="E316" s="445"/>
      <c r="F316" s="125"/>
      <c r="G316" s="126"/>
      <c r="H316" s="753"/>
      <c r="I316" s="315"/>
      <c r="J316" s="315"/>
      <c r="K316" s="315"/>
      <c r="L316" s="315"/>
      <c r="M316" s="315"/>
      <c r="N316" s="315"/>
      <c r="O316" s="315"/>
      <c r="P316" s="315"/>
      <c r="Q316" s="316"/>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c r="AN316" s="315"/>
      <c r="AO316" s="315"/>
      <c r="AP316" s="315"/>
      <c r="AQ316" s="315"/>
      <c r="AR316" s="315"/>
      <c r="AS316" s="315"/>
      <c r="AT316" s="315"/>
      <c r="AU316" s="315"/>
      <c r="AV316" s="315"/>
      <c r="AW316" s="68"/>
      <c r="AX316" s="754"/>
      <c r="AY316" s="755"/>
    </row>
    <row r="317">
      <c r="A317" s="122"/>
      <c r="B317" s="123"/>
      <c r="C317" s="53" t="s">
        <v>917</v>
      </c>
      <c r="F317" s="125"/>
      <c r="G317" s="126"/>
      <c r="H317" s="753"/>
      <c r="I317" s="315"/>
      <c r="J317" s="315"/>
      <c r="K317" s="315"/>
      <c r="L317" s="315"/>
      <c r="M317" s="315"/>
      <c r="N317" s="315"/>
      <c r="O317" s="315"/>
      <c r="P317" s="315"/>
      <c r="Q317" s="316"/>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c r="AN317" s="315"/>
      <c r="AO317" s="315"/>
      <c r="AP317" s="315"/>
      <c r="AQ317" s="315"/>
      <c r="AR317" s="315"/>
      <c r="AS317" s="315"/>
      <c r="AT317" s="315"/>
      <c r="AU317" s="315"/>
      <c r="AV317" s="315"/>
      <c r="AW317" s="68"/>
      <c r="AX317" s="754"/>
      <c r="AY317" s="755"/>
    </row>
    <row r="318">
      <c r="A318" s="122"/>
      <c r="B318" s="123"/>
      <c r="C318" s="123"/>
      <c r="D318" s="123"/>
      <c r="E318" s="782" t="s">
        <v>918</v>
      </c>
      <c r="F318" s="193" t="s">
        <v>68</v>
      </c>
      <c r="G318" s="235" t="s">
        <v>165</v>
      </c>
      <c r="H318" s="987">
        <v>34.28598</v>
      </c>
      <c r="I318" s="665" t="s">
        <v>162</v>
      </c>
      <c r="J318" s="665" t="s">
        <v>162</v>
      </c>
      <c r="K318" s="665" t="s">
        <v>162</v>
      </c>
      <c r="L318" s="665" t="s">
        <v>162</v>
      </c>
      <c r="M318" s="665" t="s">
        <v>162</v>
      </c>
      <c r="N318" s="665" t="s">
        <v>162</v>
      </c>
      <c r="O318" s="665" t="s">
        <v>162</v>
      </c>
      <c r="P318" s="665" t="s">
        <v>162</v>
      </c>
      <c r="Q318" s="666" t="s">
        <v>162</v>
      </c>
      <c r="R318" s="665" t="s">
        <v>162</v>
      </c>
      <c r="S318" s="665" t="s">
        <v>162</v>
      </c>
      <c r="T318" s="665" t="s">
        <v>162</v>
      </c>
      <c r="U318" s="665" t="s">
        <v>162</v>
      </c>
      <c r="V318" s="665" t="s">
        <v>162</v>
      </c>
      <c r="W318" s="665" t="s">
        <v>162</v>
      </c>
      <c r="X318" s="665" t="s">
        <v>162</v>
      </c>
      <c r="Y318" s="665" t="s">
        <v>162</v>
      </c>
      <c r="Z318" s="665" t="s">
        <v>162</v>
      </c>
      <c r="AA318" s="665" t="s">
        <v>162</v>
      </c>
      <c r="AB318" s="665" t="s">
        <v>162</v>
      </c>
      <c r="AC318" s="665" t="s">
        <v>162</v>
      </c>
      <c r="AD318" s="665" t="s">
        <v>162</v>
      </c>
      <c r="AE318" s="665" t="s">
        <v>162</v>
      </c>
      <c r="AF318" s="665" t="s">
        <v>162</v>
      </c>
      <c r="AG318" s="665" t="s">
        <v>162</v>
      </c>
      <c r="AH318" s="665" t="s">
        <v>162</v>
      </c>
      <c r="AI318" s="665" t="s">
        <v>162</v>
      </c>
      <c r="AJ318" s="665" t="s">
        <v>162</v>
      </c>
      <c r="AK318" s="665" t="s">
        <v>162</v>
      </c>
      <c r="AL318" s="665" t="s">
        <v>162</v>
      </c>
      <c r="AM318" s="665" t="s">
        <v>162</v>
      </c>
      <c r="AN318" s="665" t="s">
        <v>162</v>
      </c>
      <c r="AO318" s="665" t="s">
        <v>162</v>
      </c>
      <c r="AP318" s="665" t="s">
        <v>162</v>
      </c>
      <c r="AQ318" s="665" t="s">
        <v>162</v>
      </c>
      <c r="AR318" s="665" t="s">
        <v>162</v>
      </c>
      <c r="AS318" s="665" t="s">
        <v>162</v>
      </c>
      <c r="AT318" s="665" t="s">
        <v>162</v>
      </c>
      <c r="AU318" s="665" t="s">
        <v>162</v>
      </c>
      <c r="AV318" s="665" t="s">
        <v>162</v>
      </c>
      <c r="AW318" s="887"/>
      <c r="AX318" s="902" t="s">
        <v>977</v>
      </c>
      <c r="AY318" s="64" t="s">
        <v>93</v>
      </c>
    </row>
    <row r="319">
      <c r="A319" s="122"/>
      <c r="B319" s="123"/>
      <c r="C319" s="123"/>
      <c r="D319" s="123"/>
      <c r="E319" s="792" t="s">
        <v>919</v>
      </c>
      <c r="F319" s="200" t="s">
        <v>68</v>
      </c>
      <c r="G319" s="273" t="s">
        <v>165</v>
      </c>
      <c r="H319" s="988">
        <v>28.63798</v>
      </c>
      <c r="I319" s="337" t="s">
        <v>162</v>
      </c>
      <c r="J319" s="337" t="s">
        <v>162</v>
      </c>
      <c r="K319" s="337" t="s">
        <v>162</v>
      </c>
      <c r="L319" s="337" t="s">
        <v>162</v>
      </c>
      <c r="M319" s="337" t="s">
        <v>162</v>
      </c>
      <c r="N319" s="337" t="s">
        <v>162</v>
      </c>
      <c r="O319" s="337" t="s">
        <v>162</v>
      </c>
      <c r="P319" s="337" t="s">
        <v>162</v>
      </c>
      <c r="Q319" s="670" t="s">
        <v>162</v>
      </c>
      <c r="R319" s="337" t="s">
        <v>162</v>
      </c>
      <c r="S319" s="337" t="s">
        <v>162</v>
      </c>
      <c r="T319" s="337" t="s">
        <v>162</v>
      </c>
      <c r="U319" s="337" t="s">
        <v>162</v>
      </c>
      <c r="V319" s="337" t="s">
        <v>162</v>
      </c>
      <c r="W319" s="337" t="s">
        <v>162</v>
      </c>
      <c r="X319" s="337" t="s">
        <v>162</v>
      </c>
      <c r="Y319" s="337" t="s">
        <v>162</v>
      </c>
      <c r="Z319" s="337" t="s">
        <v>162</v>
      </c>
      <c r="AA319" s="337" t="s">
        <v>162</v>
      </c>
      <c r="AB319" s="337" t="s">
        <v>162</v>
      </c>
      <c r="AC319" s="337" t="s">
        <v>162</v>
      </c>
      <c r="AD319" s="337" t="s">
        <v>162</v>
      </c>
      <c r="AE319" s="337" t="s">
        <v>162</v>
      </c>
      <c r="AF319" s="337" t="s">
        <v>162</v>
      </c>
      <c r="AG319" s="337" t="s">
        <v>162</v>
      </c>
      <c r="AH319" s="337" t="s">
        <v>162</v>
      </c>
      <c r="AI319" s="337" t="s">
        <v>162</v>
      </c>
      <c r="AJ319" s="337" t="s">
        <v>162</v>
      </c>
      <c r="AK319" s="337" t="s">
        <v>162</v>
      </c>
      <c r="AL319" s="337" t="s">
        <v>162</v>
      </c>
      <c r="AM319" s="337" t="s">
        <v>162</v>
      </c>
      <c r="AN319" s="337" t="s">
        <v>162</v>
      </c>
      <c r="AO319" s="337" t="s">
        <v>162</v>
      </c>
      <c r="AP319" s="337" t="s">
        <v>162</v>
      </c>
      <c r="AQ319" s="337" t="s">
        <v>162</v>
      </c>
      <c r="AR319" s="337" t="s">
        <v>162</v>
      </c>
      <c r="AS319" s="337" t="s">
        <v>162</v>
      </c>
      <c r="AT319" s="337" t="s">
        <v>162</v>
      </c>
      <c r="AU319" s="337" t="s">
        <v>162</v>
      </c>
      <c r="AV319" s="337" t="s">
        <v>162</v>
      </c>
      <c r="AW319" s="891"/>
      <c r="AX319" s="913" t="s">
        <v>977</v>
      </c>
      <c r="AY319" s="770" t="s">
        <v>93</v>
      </c>
    </row>
    <row r="320">
      <c r="A320" s="122"/>
      <c r="B320" s="123"/>
      <c r="C320" s="123"/>
      <c r="D320" s="123"/>
      <c r="E320" s="445"/>
      <c r="F320" s="125"/>
      <c r="G320" s="126"/>
      <c r="H320" s="753"/>
      <c r="I320" s="315"/>
      <c r="J320" s="315"/>
      <c r="K320" s="315"/>
      <c r="L320" s="315"/>
      <c r="M320" s="315"/>
      <c r="N320" s="315"/>
      <c r="O320" s="315"/>
      <c r="P320" s="315"/>
      <c r="Q320" s="316"/>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c r="AN320" s="315"/>
      <c r="AO320" s="315"/>
      <c r="AP320" s="315"/>
      <c r="AQ320" s="315"/>
      <c r="AR320" s="315"/>
      <c r="AS320" s="315"/>
      <c r="AT320" s="315"/>
      <c r="AU320" s="315"/>
      <c r="AV320" s="315"/>
      <c r="AW320" s="68"/>
      <c r="AX320" s="754"/>
      <c r="AY320" s="755"/>
    </row>
    <row r="321">
      <c r="A321" s="122"/>
      <c r="B321" s="123"/>
      <c r="C321" s="342" t="s">
        <v>932</v>
      </c>
      <c r="F321" s="125"/>
      <c r="G321" s="126"/>
      <c r="H321" s="753"/>
      <c r="I321" s="315"/>
      <c r="J321" s="315"/>
      <c r="K321" s="315"/>
      <c r="L321" s="315"/>
      <c r="M321" s="315"/>
      <c r="N321" s="315"/>
      <c r="O321" s="315"/>
      <c r="P321" s="315"/>
      <c r="Q321" s="316"/>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c r="AN321" s="315"/>
      <c r="AO321" s="315"/>
      <c r="AP321" s="315"/>
      <c r="AQ321" s="315"/>
      <c r="AR321" s="315"/>
      <c r="AS321" s="315"/>
      <c r="AT321" s="315"/>
      <c r="AU321" s="315"/>
      <c r="AV321" s="315"/>
      <c r="AW321" s="68"/>
      <c r="AX321" s="754"/>
      <c r="AY321" s="755"/>
    </row>
    <row r="322">
      <c r="A322" s="122"/>
      <c r="B322" s="123"/>
      <c r="C322" s="123"/>
      <c r="D322" s="123"/>
      <c r="E322" s="800" t="s">
        <v>933</v>
      </c>
      <c r="F322" s="134" t="s">
        <v>72</v>
      </c>
      <c r="G322" s="145" t="s">
        <v>165</v>
      </c>
      <c r="H322" s="977" t="s">
        <v>162</v>
      </c>
      <c r="I322" s="978">
        <v>0.1</v>
      </c>
      <c r="J322" s="978">
        <v>0.1</v>
      </c>
      <c r="K322" s="978">
        <v>0.1</v>
      </c>
      <c r="L322" s="978">
        <v>0.1</v>
      </c>
      <c r="M322" s="978">
        <v>0.1</v>
      </c>
      <c r="N322" s="978">
        <v>0.1</v>
      </c>
      <c r="O322" s="978">
        <v>0.1</v>
      </c>
      <c r="P322" s="978">
        <v>0.1</v>
      </c>
      <c r="Q322" s="979">
        <v>0.1</v>
      </c>
      <c r="R322" s="978">
        <v>0.1</v>
      </c>
      <c r="S322" s="978">
        <v>0.1</v>
      </c>
      <c r="T322" s="978">
        <v>0.1</v>
      </c>
      <c r="U322" s="978">
        <v>0.1</v>
      </c>
      <c r="V322" s="978">
        <v>0.1</v>
      </c>
      <c r="W322" s="978">
        <v>0.1</v>
      </c>
      <c r="X322" s="978">
        <v>0.1</v>
      </c>
      <c r="Y322" s="978">
        <v>0.1</v>
      </c>
      <c r="Z322" s="978">
        <v>0.1</v>
      </c>
      <c r="AA322" s="978">
        <v>0.1</v>
      </c>
      <c r="AB322" s="978">
        <v>0.1</v>
      </c>
      <c r="AC322" s="978">
        <v>0.1</v>
      </c>
      <c r="AD322" s="978">
        <v>0.1</v>
      </c>
      <c r="AE322" s="978">
        <v>0.1</v>
      </c>
      <c r="AF322" s="978">
        <v>0.1</v>
      </c>
      <c r="AG322" s="978">
        <v>0.1</v>
      </c>
      <c r="AH322" s="978">
        <v>0.1</v>
      </c>
      <c r="AI322" s="978">
        <v>0.1</v>
      </c>
      <c r="AJ322" s="978">
        <v>0.1</v>
      </c>
      <c r="AK322" s="978">
        <v>0.1</v>
      </c>
      <c r="AL322" s="978">
        <v>0.1</v>
      </c>
      <c r="AM322" s="978">
        <v>0.1</v>
      </c>
      <c r="AN322" s="978">
        <v>0.1</v>
      </c>
      <c r="AO322" s="978">
        <v>0.1</v>
      </c>
      <c r="AP322" s="978">
        <v>0.1</v>
      </c>
      <c r="AQ322" s="978">
        <v>0.1</v>
      </c>
      <c r="AR322" s="978">
        <v>0.1</v>
      </c>
      <c r="AS322" s="978">
        <v>0.1</v>
      </c>
      <c r="AT322" s="978">
        <v>0.1</v>
      </c>
      <c r="AU322" s="978">
        <v>0.1</v>
      </c>
      <c r="AV322" s="978">
        <v>0.1</v>
      </c>
      <c r="AW322" s="81"/>
      <c r="AX322" s="759" t="s">
        <v>977</v>
      </c>
      <c r="AY322" s="989"/>
    </row>
    <row r="323">
      <c r="A323" s="122"/>
      <c r="B323" s="123"/>
      <c r="C323" s="123"/>
      <c r="D323" s="123"/>
      <c r="E323" s="445"/>
      <c r="F323" s="125"/>
      <c r="G323" s="126"/>
      <c r="H323" s="753"/>
      <c r="I323" s="315"/>
      <c r="J323" s="315"/>
      <c r="K323" s="315"/>
      <c r="L323" s="315"/>
      <c r="M323" s="315"/>
      <c r="N323" s="315"/>
      <c r="O323" s="315"/>
      <c r="P323" s="315"/>
      <c r="Q323" s="316"/>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c r="AN323" s="315"/>
      <c r="AO323" s="315"/>
      <c r="AP323" s="315"/>
      <c r="AQ323" s="315"/>
      <c r="AR323" s="315"/>
      <c r="AS323" s="315"/>
      <c r="AT323" s="315"/>
      <c r="AU323" s="315"/>
      <c r="AV323" s="315"/>
      <c r="AW323" s="68"/>
      <c r="AX323" s="754"/>
      <c r="AY323" s="755"/>
    </row>
    <row r="324">
      <c r="A324" s="122"/>
      <c r="B324" s="123"/>
      <c r="C324" s="53" t="s">
        <v>935</v>
      </c>
      <c r="F324" s="315"/>
      <c r="G324" s="316"/>
      <c r="H324" s="753"/>
      <c r="I324" s="315"/>
      <c r="J324" s="315"/>
      <c r="K324" s="315"/>
      <c r="L324" s="315"/>
      <c r="M324" s="315"/>
      <c r="N324" s="315"/>
      <c r="O324" s="315"/>
      <c r="P324" s="315"/>
      <c r="Q324" s="316"/>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c r="AN324" s="315"/>
      <c r="AO324" s="315"/>
      <c r="AP324" s="315"/>
      <c r="AQ324" s="315"/>
      <c r="AR324" s="315"/>
      <c r="AS324" s="315"/>
      <c r="AT324" s="315"/>
      <c r="AU324" s="315"/>
      <c r="AV324" s="315"/>
      <c r="AW324" s="68"/>
      <c r="AX324" s="754"/>
      <c r="AY324" s="755"/>
    </row>
    <row r="325">
      <c r="A325" s="122"/>
      <c r="B325" s="123"/>
      <c r="C325" s="13"/>
      <c r="D325" s="13"/>
      <c r="E325" s="990" t="s">
        <v>933</v>
      </c>
      <c r="F325" s="681" t="s">
        <v>72</v>
      </c>
      <c r="G325" s="682" t="s">
        <v>165</v>
      </c>
      <c r="H325" s="956">
        <v>1.0</v>
      </c>
      <c r="I325" s="665" t="s">
        <v>162</v>
      </c>
      <c r="J325" s="665" t="s">
        <v>162</v>
      </c>
      <c r="K325" s="665" t="s">
        <v>162</v>
      </c>
      <c r="L325" s="665" t="s">
        <v>162</v>
      </c>
      <c r="M325" s="665" t="s">
        <v>162</v>
      </c>
      <c r="N325" s="665" t="s">
        <v>162</v>
      </c>
      <c r="O325" s="665" t="s">
        <v>162</v>
      </c>
      <c r="P325" s="665" t="s">
        <v>162</v>
      </c>
      <c r="Q325" s="666" t="s">
        <v>162</v>
      </c>
      <c r="R325" s="665" t="s">
        <v>162</v>
      </c>
      <c r="S325" s="665" t="s">
        <v>162</v>
      </c>
      <c r="T325" s="665" t="s">
        <v>162</v>
      </c>
      <c r="U325" s="665" t="s">
        <v>162</v>
      </c>
      <c r="V325" s="665" t="s">
        <v>162</v>
      </c>
      <c r="W325" s="665" t="s">
        <v>162</v>
      </c>
      <c r="X325" s="665" t="s">
        <v>162</v>
      </c>
      <c r="Y325" s="665" t="s">
        <v>162</v>
      </c>
      <c r="Z325" s="665" t="s">
        <v>162</v>
      </c>
      <c r="AA325" s="665" t="s">
        <v>162</v>
      </c>
      <c r="AB325" s="665" t="s">
        <v>162</v>
      </c>
      <c r="AC325" s="665" t="s">
        <v>162</v>
      </c>
      <c r="AD325" s="665" t="s">
        <v>162</v>
      </c>
      <c r="AE325" s="665" t="s">
        <v>162</v>
      </c>
      <c r="AF325" s="665" t="s">
        <v>162</v>
      </c>
      <c r="AG325" s="665" t="s">
        <v>162</v>
      </c>
      <c r="AH325" s="665" t="s">
        <v>162</v>
      </c>
      <c r="AI325" s="665" t="s">
        <v>162</v>
      </c>
      <c r="AJ325" s="665" t="s">
        <v>162</v>
      </c>
      <c r="AK325" s="665" t="s">
        <v>162</v>
      </c>
      <c r="AL325" s="665" t="s">
        <v>162</v>
      </c>
      <c r="AM325" s="665" t="s">
        <v>162</v>
      </c>
      <c r="AN325" s="665" t="s">
        <v>162</v>
      </c>
      <c r="AO325" s="665" t="s">
        <v>162</v>
      </c>
      <c r="AP325" s="665" t="s">
        <v>162</v>
      </c>
      <c r="AQ325" s="665" t="s">
        <v>162</v>
      </c>
      <c r="AR325" s="665" t="s">
        <v>162</v>
      </c>
      <c r="AS325" s="665" t="s">
        <v>162</v>
      </c>
      <c r="AT325" s="665" t="s">
        <v>162</v>
      </c>
      <c r="AU325" s="665" t="s">
        <v>162</v>
      </c>
      <c r="AV325" s="665" t="s">
        <v>162</v>
      </c>
      <c r="AW325" s="887"/>
      <c r="AX325" s="991" t="s">
        <v>977</v>
      </c>
      <c r="AY325" s="903"/>
    </row>
    <row r="326">
      <c r="A326" s="122"/>
      <c r="B326" s="123"/>
      <c r="C326" s="13"/>
      <c r="D326" s="13"/>
      <c r="E326" s="992" t="s">
        <v>934</v>
      </c>
      <c r="F326" s="684" t="s">
        <v>72</v>
      </c>
      <c r="G326" s="685" t="s">
        <v>165</v>
      </c>
      <c r="H326" s="890">
        <v>0.0</v>
      </c>
      <c r="I326" s="337" t="s">
        <v>162</v>
      </c>
      <c r="J326" s="337" t="s">
        <v>162</v>
      </c>
      <c r="K326" s="337" t="s">
        <v>162</v>
      </c>
      <c r="L326" s="337" t="s">
        <v>162</v>
      </c>
      <c r="M326" s="337" t="s">
        <v>162</v>
      </c>
      <c r="N326" s="337" t="s">
        <v>162</v>
      </c>
      <c r="O326" s="337" t="s">
        <v>162</v>
      </c>
      <c r="P326" s="337" t="s">
        <v>162</v>
      </c>
      <c r="Q326" s="670" t="s">
        <v>162</v>
      </c>
      <c r="R326" s="337" t="s">
        <v>162</v>
      </c>
      <c r="S326" s="337" t="s">
        <v>162</v>
      </c>
      <c r="T326" s="337" t="s">
        <v>162</v>
      </c>
      <c r="U326" s="337" t="s">
        <v>162</v>
      </c>
      <c r="V326" s="337" t="s">
        <v>162</v>
      </c>
      <c r="W326" s="337" t="s">
        <v>162</v>
      </c>
      <c r="X326" s="337" t="s">
        <v>162</v>
      </c>
      <c r="Y326" s="337" t="s">
        <v>162</v>
      </c>
      <c r="Z326" s="337" t="s">
        <v>162</v>
      </c>
      <c r="AA326" s="337" t="s">
        <v>162</v>
      </c>
      <c r="AB326" s="337" t="s">
        <v>162</v>
      </c>
      <c r="AC326" s="337" t="s">
        <v>162</v>
      </c>
      <c r="AD326" s="337" t="s">
        <v>162</v>
      </c>
      <c r="AE326" s="337" t="s">
        <v>162</v>
      </c>
      <c r="AF326" s="337" t="s">
        <v>162</v>
      </c>
      <c r="AG326" s="337" t="s">
        <v>162</v>
      </c>
      <c r="AH326" s="337" t="s">
        <v>162</v>
      </c>
      <c r="AI326" s="337" t="s">
        <v>162</v>
      </c>
      <c r="AJ326" s="337" t="s">
        <v>162</v>
      </c>
      <c r="AK326" s="337" t="s">
        <v>162</v>
      </c>
      <c r="AL326" s="337" t="s">
        <v>162</v>
      </c>
      <c r="AM326" s="337" t="s">
        <v>162</v>
      </c>
      <c r="AN326" s="337" t="s">
        <v>162</v>
      </c>
      <c r="AO326" s="337" t="s">
        <v>162</v>
      </c>
      <c r="AP326" s="337" t="s">
        <v>162</v>
      </c>
      <c r="AQ326" s="337" t="s">
        <v>162</v>
      </c>
      <c r="AR326" s="337" t="s">
        <v>162</v>
      </c>
      <c r="AS326" s="337" t="s">
        <v>162</v>
      </c>
      <c r="AT326" s="337" t="s">
        <v>162</v>
      </c>
      <c r="AU326" s="337" t="s">
        <v>162</v>
      </c>
      <c r="AV326" s="337" t="s">
        <v>162</v>
      </c>
      <c r="AW326" s="891"/>
      <c r="AX326" s="913" t="s">
        <v>977</v>
      </c>
      <c r="AY326" s="914"/>
    </row>
    <row r="327">
      <c r="A327" s="122"/>
      <c r="B327" s="123"/>
      <c r="C327" s="123"/>
      <c r="D327" s="123"/>
      <c r="E327" s="445"/>
      <c r="F327" s="125"/>
      <c r="G327" s="126"/>
      <c r="H327" s="753"/>
      <c r="I327" s="315"/>
      <c r="J327" s="315"/>
      <c r="K327" s="315"/>
      <c r="L327" s="315"/>
      <c r="M327" s="315"/>
      <c r="N327" s="315"/>
      <c r="O327" s="315"/>
      <c r="P327" s="315"/>
      <c r="Q327" s="316"/>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c r="AN327" s="315"/>
      <c r="AO327" s="315"/>
      <c r="AP327" s="315"/>
      <c r="AQ327" s="315"/>
      <c r="AR327" s="315"/>
      <c r="AS327" s="315"/>
      <c r="AT327" s="315"/>
      <c r="AU327" s="315"/>
      <c r="AV327" s="315"/>
      <c r="AW327" s="68"/>
      <c r="AX327" s="754"/>
      <c r="AY327" s="755"/>
    </row>
    <row r="328">
      <c r="A328" s="122"/>
      <c r="B328" s="123"/>
      <c r="C328" s="342" t="s">
        <v>941</v>
      </c>
      <c r="F328" s="141"/>
      <c r="G328" s="126"/>
      <c r="H328" s="993"/>
      <c r="I328" s="315"/>
      <c r="J328" s="315"/>
      <c r="K328" s="315"/>
      <c r="L328" s="315"/>
      <c r="M328" s="315"/>
      <c r="N328" s="315"/>
      <c r="O328" s="315"/>
      <c r="P328" s="315"/>
      <c r="Q328" s="316"/>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c r="AN328" s="315"/>
      <c r="AO328" s="315"/>
      <c r="AP328" s="315"/>
      <c r="AQ328" s="315"/>
      <c r="AR328" s="315"/>
      <c r="AS328" s="315"/>
      <c r="AT328" s="315"/>
      <c r="AU328" s="315"/>
      <c r="AV328" s="315"/>
      <c r="AW328" s="68"/>
      <c r="AX328" s="754"/>
      <c r="AY328" s="755"/>
    </row>
    <row r="329">
      <c r="A329" s="122"/>
      <c r="B329" s="123"/>
      <c r="C329" s="123"/>
      <c r="D329" s="123"/>
      <c r="E329" s="782" t="s">
        <v>942</v>
      </c>
      <c r="F329" s="193" t="s">
        <v>76</v>
      </c>
      <c r="G329" s="235" t="s">
        <v>165</v>
      </c>
      <c r="H329" s="994">
        <v>0.005057</v>
      </c>
      <c r="I329" s="681" t="s">
        <v>162</v>
      </c>
      <c r="J329" s="681" t="s">
        <v>162</v>
      </c>
      <c r="K329" s="681" t="s">
        <v>162</v>
      </c>
      <c r="L329" s="681" t="s">
        <v>162</v>
      </c>
      <c r="M329" s="681" t="s">
        <v>162</v>
      </c>
      <c r="N329" s="681" t="s">
        <v>162</v>
      </c>
      <c r="O329" s="681" t="s">
        <v>162</v>
      </c>
      <c r="P329" s="681" t="s">
        <v>162</v>
      </c>
      <c r="Q329" s="682" t="s">
        <v>162</v>
      </c>
      <c r="R329" s="681" t="s">
        <v>162</v>
      </c>
      <c r="S329" s="681" t="s">
        <v>162</v>
      </c>
      <c r="T329" s="681" t="s">
        <v>162</v>
      </c>
      <c r="U329" s="681" t="s">
        <v>162</v>
      </c>
      <c r="V329" s="681" t="s">
        <v>162</v>
      </c>
      <c r="W329" s="681" t="s">
        <v>162</v>
      </c>
      <c r="X329" s="681" t="s">
        <v>162</v>
      </c>
      <c r="Y329" s="681" t="s">
        <v>162</v>
      </c>
      <c r="Z329" s="681" t="s">
        <v>162</v>
      </c>
      <c r="AA329" s="681" t="s">
        <v>162</v>
      </c>
      <c r="AB329" s="681" t="s">
        <v>162</v>
      </c>
      <c r="AC329" s="681" t="s">
        <v>162</v>
      </c>
      <c r="AD329" s="681" t="s">
        <v>162</v>
      </c>
      <c r="AE329" s="681" t="s">
        <v>162</v>
      </c>
      <c r="AF329" s="681" t="s">
        <v>162</v>
      </c>
      <c r="AG329" s="681" t="s">
        <v>162</v>
      </c>
      <c r="AH329" s="681" t="s">
        <v>162</v>
      </c>
      <c r="AI329" s="681" t="s">
        <v>162</v>
      </c>
      <c r="AJ329" s="681" t="s">
        <v>162</v>
      </c>
      <c r="AK329" s="681" t="s">
        <v>162</v>
      </c>
      <c r="AL329" s="681" t="s">
        <v>162</v>
      </c>
      <c r="AM329" s="681" t="s">
        <v>162</v>
      </c>
      <c r="AN329" s="681" t="s">
        <v>162</v>
      </c>
      <c r="AO329" s="681" t="s">
        <v>162</v>
      </c>
      <c r="AP329" s="681" t="s">
        <v>162</v>
      </c>
      <c r="AQ329" s="681" t="s">
        <v>162</v>
      </c>
      <c r="AR329" s="681" t="s">
        <v>162</v>
      </c>
      <c r="AS329" s="681" t="s">
        <v>162</v>
      </c>
      <c r="AT329" s="681" t="s">
        <v>162</v>
      </c>
      <c r="AU329" s="681" t="s">
        <v>162</v>
      </c>
      <c r="AV329" s="681" t="s">
        <v>162</v>
      </c>
      <c r="AW329" s="887"/>
      <c r="AX329" s="902" t="s">
        <v>977</v>
      </c>
      <c r="AY329" s="75" t="s">
        <v>105</v>
      </c>
    </row>
    <row r="330">
      <c r="A330" s="122"/>
      <c r="B330" s="123"/>
      <c r="C330" s="123"/>
      <c r="D330" s="123"/>
      <c r="E330" s="800" t="s">
        <v>943</v>
      </c>
      <c r="F330" s="134" t="s">
        <v>76</v>
      </c>
      <c r="G330" s="145" t="s">
        <v>165</v>
      </c>
      <c r="H330" s="953">
        <v>0.007</v>
      </c>
      <c r="I330" s="995" t="s">
        <v>162</v>
      </c>
      <c r="J330" s="995" t="s">
        <v>162</v>
      </c>
      <c r="K330" s="995" t="s">
        <v>162</v>
      </c>
      <c r="L330" s="995" t="s">
        <v>162</v>
      </c>
      <c r="M330" s="995" t="s">
        <v>162</v>
      </c>
      <c r="N330" s="995" t="s">
        <v>162</v>
      </c>
      <c r="O330" s="995" t="s">
        <v>162</v>
      </c>
      <c r="P330" s="995" t="s">
        <v>162</v>
      </c>
      <c r="Q330" s="996" t="s">
        <v>162</v>
      </c>
      <c r="R330" s="995" t="s">
        <v>162</v>
      </c>
      <c r="S330" s="995" t="s">
        <v>162</v>
      </c>
      <c r="T330" s="995" t="s">
        <v>162</v>
      </c>
      <c r="U330" s="995" t="s">
        <v>162</v>
      </c>
      <c r="V330" s="995" t="s">
        <v>162</v>
      </c>
      <c r="W330" s="995" t="s">
        <v>162</v>
      </c>
      <c r="X330" s="995" t="s">
        <v>162</v>
      </c>
      <c r="Y330" s="995" t="s">
        <v>162</v>
      </c>
      <c r="Z330" s="995" t="s">
        <v>162</v>
      </c>
      <c r="AA330" s="995" t="s">
        <v>162</v>
      </c>
      <c r="AB330" s="995" t="s">
        <v>162</v>
      </c>
      <c r="AC330" s="995" t="s">
        <v>162</v>
      </c>
      <c r="AD330" s="995" t="s">
        <v>162</v>
      </c>
      <c r="AE330" s="995" t="s">
        <v>162</v>
      </c>
      <c r="AF330" s="995" t="s">
        <v>162</v>
      </c>
      <c r="AG330" s="995" t="s">
        <v>162</v>
      </c>
      <c r="AH330" s="995" t="s">
        <v>162</v>
      </c>
      <c r="AI330" s="995" t="s">
        <v>162</v>
      </c>
      <c r="AJ330" s="995" t="s">
        <v>162</v>
      </c>
      <c r="AK330" s="995" t="s">
        <v>162</v>
      </c>
      <c r="AL330" s="995" t="s">
        <v>162</v>
      </c>
      <c r="AM330" s="995" t="s">
        <v>162</v>
      </c>
      <c r="AN330" s="995" t="s">
        <v>162</v>
      </c>
      <c r="AO330" s="995" t="s">
        <v>162</v>
      </c>
      <c r="AP330" s="995" t="s">
        <v>162</v>
      </c>
      <c r="AQ330" s="995" t="s">
        <v>162</v>
      </c>
      <c r="AR330" s="995" t="s">
        <v>162</v>
      </c>
      <c r="AS330" s="995" t="s">
        <v>162</v>
      </c>
      <c r="AT330" s="995" t="s">
        <v>162</v>
      </c>
      <c r="AU330" s="995" t="s">
        <v>162</v>
      </c>
      <c r="AV330" s="995" t="s">
        <v>162</v>
      </c>
      <c r="AW330" s="81"/>
      <c r="AX330" s="759" t="s">
        <v>977</v>
      </c>
      <c r="AY330" s="997" t="s">
        <v>105</v>
      </c>
    </row>
    <row r="331">
      <c r="A331" s="432"/>
      <c r="B331" s="433"/>
      <c r="C331" s="433"/>
      <c r="D331" s="433"/>
      <c r="E331" s="501"/>
      <c r="F331" s="435"/>
      <c r="G331" s="436"/>
      <c r="H331" s="998"/>
      <c r="I331" s="607"/>
      <c r="J331" s="607"/>
      <c r="K331" s="607"/>
      <c r="L331" s="607"/>
      <c r="M331" s="607"/>
      <c r="N331" s="607"/>
      <c r="O331" s="607"/>
      <c r="P331" s="607"/>
      <c r="Q331" s="608"/>
      <c r="R331" s="607"/>
      <c r="S331" s="607"/>
      <c r="T331" s="607"/>
      <c r="U331" s="607"/>
      <c r="V331" s="607"/>
      <c r="W331" s="607"/>
      <c r="X331" s="607"/>
      <c r="Y331" s="607"/>
      <c r="Z331" s="607"/>
      <c r="AA331" s="607"/>
      <c r="AB331" s="607"/>
      <c r="AC331" s="607"/>
      <c r="AD331" s="607"/>
      <c r="AE331" s="607"/>
      <c r="AF331" s="607"/>
      <c r="AG331" s="607"/>
      <c r="AH331" s="607"/>
      <c r="AI331" s="607"/>
      <c r="AJ331" s="607"/>
      <c r="AK331" s="607"/>
      <c r="AL331" s="607"/>
      <c r="AM331" s="607"/>
      <c r="AN331" s="607"/>
      <c r="AO331" s="607"/>
      <c r="AP331" s="607"/>
      <c r="AQ331" s="607"/>
      <c r="AR331" s="607"/>
      <c r="AS331" s="607"/>
      <c r="AT331" s="607"/>
      <c r="AU331" s="607"/>
      <c r="AV331" s="607"/>
      <c r="AW331" s="81"/>
      <c r="AX331" s="999"/>
      <c r="AY331" s="1000"/>
    </row>
  </sheetData>
  <mergeCells count="61">
    <mergeCell ref="C240:E240"/>
    <mergeCell ref="C244:E244"/>
    <mergeCell ref="C250:E250"/>
    <mergeCell ref="C254:E254"/>
    <mergeCell ref="A269:G269"/>
    <mergeCell ref="C271:E271"/>
    <mergeCell ref="A279:G279"/>
    <mergeCell ref="C321:E321"/>
    <mergeCell ref="C324:E324"/>
    <mergeCell ref="C328:E328"/>
    <mergeCell ref="C281:E281"/>
    <mergeCell ref="A284:G284"/>
    <mergeCell ref="C286:E286"/>
    <mergeCell ref="D287:E287"/>
    <mergeCell ref="D291:E291"/>
    <mergeCell ref="D294:E294"/>
    <mergeCell ref="C299:E299"/>
    <mergeCell ref="I1:Q1"/>
    <mergeCell ref="R1:AE1"/>
    <mergeCell ref="AF1:AV1"/>
    <mergeCell ref="A3:E3"/>
    <mergeCell ref="A5:G5"/>
    <mergeCell ref="C7:E7"/>
    <mergeCell ref="C10:E10"/>
    <mergeCell ref="A14:G14"/>
    <mergeCell ref="C16:E16"/>
    <mergeCell ref="C25:E25"/>
    <mergeCell ref="C35:E35"/>
    <mergeCell ref="A38:G38"/>
    <mergeCell ref="C40:E40"/>
    <mergeCell ref="C47:E47"/>
    <mergeCell ref="C54:E54"/>
    <mergeCell ref="C57:E57"/>
    <mergeCell ref="C68:E68"/>
    <mergeCell ref="C75:E75"/>
    <mergeCell ref="C79:E79"/>
    <mergeCell ref="C82:E82"/>
    <mergeCell ref="C86:E86"/>
    <mergeCell ref="C91:E91"/>
    <mergeCell ref="C95:E95"/>
    <mergeCell ref="A108:G108"/>
    <mergeCell ref="C110:E110"/>
    <mergeCell ref="C117:E117"/>
    <mergeCell ref="C126:E126"/>
    <mergeCell ref="C135:E135"/>
    <mergeCell ref="C146:E146"/>
    <mergeCell ref="C158:E158"/>
    <mergeCell ref="C172:E172"/>
    <mergeCell ref="C182:E182"/>
    <mergeCell ref="C183:E183"/>
    <mergeCell ref="C192:E192"/>
    <mergeCell ref="A205:G205"/>
    <mergeCell ref="C207:E207"/>
    <mergeCell ref="C217:E217"/>
    <mergeCell ref="C220:E220"/>
    <mergeCell ref="C230:E230"/>
    <mergeCell ref="A233:G233"/>
    <mergeCell ref="C235:E235"/>
    <mergeCell ref="A238:G238"/>
    <mergeCell ref="A315:G315"/>
    <mergeCell ref="C317:E317"/>
  </mergeCells>
  <hyperlinks>
    <hyperlink r:id="rId2" location="gid=1656187820" ref="AY12"/>
    <hyperlink r:id="rId3" ref="AX17"/>
    <hyperlink r:id="rId4" ref="AX18"/>
    <hyperlink r:id="rId5" ref="AX19"/>
    <hyperlink r:id="rId6" ref="AX20"/>
    <hyperlink r:id="rId7" ref="AX21"/>
    <hyperlink r:id="rId8" ref="AX22"/>
    <hyperlink r:id="rId9" ref="AX23"/>
    <hyperlink r:id="rId10" location="gid=385883853" ref="AY26"/>
    <hyperlink r:id="rId11" ref="AX27"/>
    <hyperlink r:id="rId12" ref="AX28"/>
    <hyperlink r:id="rId13" ref="AX41"/>
    <hyperlink r:id="rId14" location="gid=1078707964" ref="AY42"/>
    <hyperlink r:id="rId15" location="gid=121667002" ref="AX43"/>
    <hyperlink r:id="rId16" location="gid=121667002" ref="AX44"/>
    <hyperlink r:id="rId17" location="gid=0" ref="AY48"/>
    <hyperlink r:id="rId18" location="gid=0" ref="AY49"/>
    <hyperlink r:id="rId19" location="gid=0" ref="AY50"/>
    <hyperlink r:id="rId20" location="gid=0" ref="AY51"/>
    <hyperlink r:id="rId21" location="gid=0" ref="AY52"/>
    <hyperlink r:id="rId22" location="gid=0" ref="AY55"/>
    <hyperlink r:id="rId23" ref="AX58"/>
    <hyperlink r:id="rId24" ref="AX59"/>
    <hyperlink r:id="rId25" ref="AX60"/>
    <hyperlink r:id="rId26" ref="AX61"/>
    <hyperlink r:id="rId27" ref="AX62"/>
    <hyperlink r:id="rId28" ref="AX63"/>
    <hyperlink r:id="rId29" ref="AX64"/>
    <hyperlink r:id="rId30" ref="AX65"/>
    <hyperlink r:id="rId31" ref="AX66"/>
    <hyperlink r:id="rId32" ref="AX69"/>
    <hyperlink r:id="rId33" ref="AX70"/>
    <hyperlink r:id="rId34" ref="AX71"/>
    <hyperlink r:id="rId35" ref="AX72"/>
    <hyperlink r:id="rId36" ref="AX73"/>
    <hyperlink r:id="rId37" location="gid=779639234" ref="AY76"/>
    <hyperlink r:id="rId38" location="gid=779639234" ref="AY77"/>
    <hyperlink r:id="rId39" ref="AY155"/>
    <hyperlink r:id="rId40" ref="AY156"/>
    <hyperlink r:id="rId41" ref="AY168"/>
    <hyperlink r:id="rId42" ref="AY170"/>
    <hyperlink r:id="rId43" ref="AX208"/>
    <hyperlink r:id="rId44" ref="AX209"/>
    <hyperlink r:id="rId45" ref="AX210"/>
    <hyperlink r:id="rId46" ref="AX211"/>
    <hyperlink r:id="rId47" ref="AX212"/>
    <hyperlink r:id="rId48" ref="AX213"/>
    <hyperlink r:id="rId49" ref="AX214"/>
    <hyperlink r:id="rId50" ref="AX215"/>
    <hyperlink r:id="rId51" location="gid=36758249" ref="AY218"/>
    <hyperlink r:id="rId52" ref="AX221"/>
    <hyperlink r:id="rId53" ref="AX222"/>
    <hyperlink r:id="rId54" ref="AX223"/>
    <hyperlink r:id="rId55" ref="AX224"/>
    <hyperlink r:id="rId56" ref="AX225"/>
    <hyperlink r:id="rId57" ref="AX226"/>
    <hyperlink r:id="rId58" ref="AX227"/>
    <hyperlink r:id="rId59" ref="AX228"/>
    <hyperlink r:id="rId60" location="gid=0&amp;range=A26:C26" ref="AX236"/>
    <hyperlink r:id="rId61" location="gid=49295687&amp;range=I35" ref="AX255"/>
    <hyperlink r:id="rId62" location="gid=49295687&amp;range=I35" ref="AX256"/>
    <hyperlink r:id="rId63" ref="AX257"/>
    <hyperlink r:id="rId64" ref="AX258"/>
    <hyperlink r:id="rId65" ref="AX259"/>
    <hyperlink r:id="rId66" ref="AX260"/>
    <hyperlink r:id="rId67" ref="AX261"/>
    <hyperlink r:id="rId68" ref="AX262"/>
    <hyperlink r:id="rId69" ref="AX263"/>
    <hyperlink r:id="rId70" ref="AX264"/>
    <hyperlink r:id="rId71" ref="AX265"/>
    <hyperlink r:id="rId72" ref="AX266"/>
    <hyperlink r:id="rId73" location="gid=0&amp;range=E20:K20" ref="AX267"/>
    <hyperlink r:id="rId74" location="gid=1087538420" ref="AY272"/>
    <hyperlink r:id="rId75" location="gid=1087538420" ref="AY273"/>
    <hyperlink r:id="rId76" location="gid=1087538420" ref="AY274"/>
    <hyperlink r:id="rId77" location="gid=1087538420" ref="AY275"/>
    <hyperlink r:id="rId78" location="gid=1087538420" ref="AY276"/>
    <hyperlink r:id="rId79" location="gid=1087538420" ref="AY277"/>
    <hyperlink r:id="rId80" location="gid=1110574950" ref="AY282"/>
    <hyperlink r:id="rId81" location="gid=172075772" ref="AY300"/>
    <hyperlink r:id="rId82" location="gid=172075772" ref="AY301"/>
    <hyperlink r:id="rId83" location="gid=172075772" ref="AY302"/>
    <hyperlink r:id="rId84" ref="AY303"/>
    <hyperlink r:id="rId85" location="gid=172075772" ref="AY304"/>
    <hyperlink r:id="rId86" location="gid=172075772" ref="AY305"/>
    <hyperlink r:id="rId87" location="gid=172075772" ref="AY306"/>
    <hyperlink r:id="rId88" location="gid=172075772" ref="AY307"/>
    <hyperlink r:id="rId89" location="gid=172075772" ref="AY308"/>
    <hyperlink r:id="rId90" location="gid=172075772" ref="AY309"/>
    <hyperlink r:id="rId91" location="gid=172075772" ref="AY310"/>
    <hyperlink r:id="rId92" location="gid=172075772" ref="AY311"/>
    <hyperlink r:id="rId93" location="gid=172075772" ref="AY312"/>
    <hyperlink r:id="rId94" location="gid=664455604" ref="AY313"/>
    <hyperlink r:id="rId95" ref="AY318"/>
    <hyperlink r:id="rId96" ref="AY319"/>
    <hyperlink r:id="rId97" ref="AY329"/>
    <hyperlink r:id="rId98" ref="AY330"/>
  </hyperlinks>
  <drawing r:id="rId99"/>
  <legacyDrawing r:id="rId10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0.5"/>
    <col customWidth="1" min="3" max="3" width="6.88"/>
    <col customWidth="1" min="4" max="4" width="14.13"/>
    <col customWidth="1" min="5" max="5" width="22.25"/>
    <col customWidth="1" min="6" max="6" width="6.75"/>
    <col customWidth="1" min="7" max="9" width="7.5"/>
    <col customWidth="1" min="10" max="10" width="2.88"/>
    <col customWidth="1" min="11" max="11" width="10.25"/>
    <col customWidth="1" min="12" max="12" width="22.13"/>
    <col customWidth="1" min="13" max="13" width="6.88"/>
    <col customWidth="1" min="14" max="14" width="14.63"/>
    <col customWidth="1" min="15" max="15" width="7.13"/>
    <col customWidth="1" min="16" max="16" width="8.5"/>
    <col customWidth="1" min="17" max="17" width="7.88"/>
    <col customWidth="1" min="18" max="20" width="7.5"/>
    <col customWidth="1" min="21" max="21" width="2.88"/>
    <col customWidth="1" min="22" max="22" width="10.25"/>
    <col customWidth="1" min="23" max="23" width="9.5"/>
    <col customWidth="1" min="24" max="24" width="6.88"/>
    <col customWidth="1" min="25" max="25" width="14.63"/>
    <col customWidth="1" min="26" max="26" width="7.13"/>
    <col customWidth="1" min="27" max="27" width="8.5"/>
    <col customWidth="1" min="28" max="28" width="7.88"/>
    <col customWidth="1" min="29" max="31" width="7.5"/>
    <col customWidth="1" min="32" max="32" width="2.63"/>
  </cols>
  <sheetData>
    <row r="1">
      <c r="A1" s="1001"/>
      <c r="B1" s="1002"/>
      <c r="C1" s="1002"/>
      <c r="D1" s="1002"/>
      <c r="E1" s="1002"/>
      <c r="F1" s="1002"/>
      <c r="G1" s="1002"/>
      <c r="H1" s="1003"/>
      <c r="I1" s="1003"/>
      <c r="J1" s="1004"/>
      <c r="K1" s="1002"/>
      <c r="L1" s="1002"/>
      <c r="M1" s="1002"/>
      <c r="N1" s="1002"/>
      <c r="O1" s="1002"/>
      <c r="P1" s="1002"/>
      <c r="Q1" s="1005"/>
      <c r="R1" s="1003"/>
      <c r="S1" s="1003"/>
      <c r="T1" s="1003"/>
      <c r="U1" s="1004"/>
      <c r="V1" s="1002"/>
      <c r="W1" s="1002"/>
      <c r="X1" s="1002"/>
      <c r="Y1" s="1002"/>
      <c r="Z1" s="1002"/>
      <c r="AA1" s="1002"/>
      <c r="AB1" s="1005"/>
      <c r="AC1" s="1003"/>
      <c r="AD1" s="1003"/>
      <c r="AE1" s="1003"/>
      <c r="AF1" s="1006"/>
    </row>
    <row r="2">
      <c r="A2" s="1007"/>
      <c r="B2" s="1008" t="s">
        <v>1021</v>
      </c>
      <c r="C2" s="1009"/>
      <c r="D2" s="1009"/>
      <c r="E2" s="1009"/>
      <c r="F2" s="1009"/>
      <c r="G2" s="1009"/>
      <c r="H2" s="1009"/>
      <c r="I2" s="1010"/>
      <c r="J2" s="1011"/>
      <c r="K2" s="1008" t="s">
        <v>1022</v>
      </c>
      <c r="L2" s="1009"/>
      <c r="M2" s="1009"/>
      <c r="N2" s="1009"/>
      <c r="O2" s="1009"/>
      <c r="P2" s="1009"/>
      <c r="Q2" s="1009"/>
      <c r="R2" s="1009"/>
      <c r="S2" s="1009"/>
      <c r="T2" s="1010"/>
      <c r="U2" s="1011"/>
      <c r="V2" s="1008" t="s">
        <v>1023</v>
      </c>
      <c r="W2" s="1009"/>
      <c r="X2" s="1009"/>
      <c r="Y2" s="1009"/>
      <c r="Z2" s="1009"/>
      <c r="AA2" s="1009"/>
      <c r="AB2" s="1009"/>
      <c r="AC2" s="1009"/>
      <c r="AD2" s="1009"/>
      <c r="AE2" s="1010"/>
      <c r="AF2" s="1012"/>
    </row>
    <row r="3">
      <c r="A3" s="1013"/>
      <c r="B3" s="1014" t="s">
        <v>1024</v>
      </c>
      <c r="C3" s="1015" t="s">
        <v>1025</v>
      </c>
      <c r="D3" s="1015" t="s">
        <v>1026</v>
      </c>
      <c r="E3" s="1015" t="s">
        <v>1027</v>
      </c>
      <c r="F3" s="1015" t="s">
        <v>1028</v>
      </c>
      <c r="G3" s="1015" t="s">
        <v>1029</v>
      </c>
      <c r="H3" s="1015" t="s">
        <v>1030</v>
      </c>
      <c r="I3" s="1016" t="s">
        <v>1031</v>
      </c>
      <c r="K3" s="1014" t="s">
        <v>1024</v>
      </c>
      <c r="L3" s="1015" t="s">
        <v>1032</v>
      </c>
      <c r="M3" s="1015" t="s">
        <v>1025</v>
      </c>
      <c r="N3" s="1015" t="s">
        <v>1026</v>
      </c>
      <c r="O3" s="1015" t="s">
        <v>1028</v>
      </c>
      <c r="P3" s="1015" t="s">
        <v>1033</v>
      </c>
      <c r="Q3" s="1017" t="s">
        <v>1034</v>
      </c>
      <c r="R3" s="1018" t="s">
        <v>1029</v>
      </c>
      <c r="S3" s="1018" t="s">
        <v>1030</v>
      </c>
      <c r="T3" s="1016" t="s">
        <v>1031</v>
      </c>
      <c r="V3" s="1014" t="s">
        <v>1024</v>
      </c>
      <c r="W3" s="1015" t="s">
        <v>1032</v>
      </c>
      <c r="X3" s="1015" t="s">
        <v>1025</v>
      </c>
      <c r="Y3" s="1015" t="s">
        <v>1026</v>
      </c>
      <c r="Z3" s="1015" t="s">
        <v>1028</v>
      </c>
      <c r="AA3" s="1015" t="s">
        <v>1033</v>
      </c>
      <c r="AB3" s="1017" t="s">
        <v>1034</v>
      </c>
      <c r="AC3" s="1018" t="s">
        <v>1029</v>
      </c>
      <c r="AD3" s="1018" t="s">
        <v>1030</v>
      </c>
      <c r="AE3" s="1016" t="s">
        <v>1031</v>
      </c>
      <c r="AF3" s="225"/>
    </row>
    <row r="4">
      <c r="A4" s="1013"/>
      <c r="B4" s="1019" t="s">
        <v>123</v>
      </c>
      <c r="C4" s="1020" t="s">
        <v>1035</v>
      </c>
      <c r="D4" s="1020" t="s">
        <v>1036</v>
      </c>
      <c r="E4" s="1020" t="s">
        <v>1037</v>
      </c>
      <c r="F4" s="1020">
        <v>2021.0</v>
      </c>
      <c r="G4" s="1021">
        <v>0.109475766</v>
      </c>
      <c r="H4" s="1021">
        <v>0.084573577</v>
      </c>
      <c r="I4" s="1022">
        <v>0.1419189</v>
      </c>
      <c r="K4" s="1019" t="s">
        <v>123</v>
      </c>
      <c r="L4" s="1020" t="s">
        <v>1037</v>
      </c>
      <c r="M4" s="1020" t="s">
        <v>1035</v>
      </c>
      <c r="N4" s="1020" t="s">
        <v>1038</v>
      </c>
      <c r="O4" s="1020">
        <v>2021.0</v>
      </c>
      <c r="P4" s="1020" t="s">
        <v>1039</v>
      </c>
      <c r="Q4" s="1023" t="s">
        <v>63</v>
      </c>
      <c r="R4" s="1024">
        <v>3364.286766</v>
      </c>
      <c r="S4" s="1024">
        <v>2677.953642</v>
      </c>
      <c r="T4" s="1025">
        <v>4264.505768</v>
      </c>
      <c r="V4" s="1019" t="s">
        <v>123</v>
      </c>
      <c r="W4" s="1020" t="s">
        <v>1040</v>
      </c>
      <c r="X4" s="1020" t="s">
        <v>1035</v>
      </c>
      <c r="Y4" s="1020" t="s">
        <v>1038</v>
      </c>
      <c r="Z4" s="1020">
        <v>2021.0</v>
      </c>
      <c r="AA4" s="1020" t="s">
        <v>1039</v>
      </c>
      <c r="AB4" s="1023" t="s">
        <v>63</v>
      </c>
      <c r="AC4" s="1024">
        <v>93.92901546</v>
      </c>
      <c r="AD4" s="1024">
        <v>48.94096127</v>
      </c>
      <c r="AE4" s="1025">
        <v>172.0467996</v>
      </c>
      <c r="AF4" s="225"/>
    </row>
    <row r="5">
      <c r="A5" s="1013"/>
      <c r="B5" s="1019" t="s">
        <v>123</v>
      </c>
      <c r="C5" s="1020" t="s">
        <v>1035</v>
      </c>
      <c r="D5" s="1020" t="s">
        <v>1041</v>
      </c>
      <c r="E5" s="1020" t="s">
        <v>1037</v>
      </c>
      <c r="F5" s="1020">
        <v>2021.0</v>
      </c>
      <c r="G5" s="1021">
        <v>0.439784492</v>
      </c>
      <c r="H5" s="1021">
        <v>0.38028741</v>
      </c>
      <c r="I5" s="1022">
        <v>0.51983464</v>
      </c>
      <c r="K5" s="1019" t="s">
        <v>123</v>
      </c>
      <c r="L5" s="1020" t="s">
        <v>1037</v>
      </c>
      <c r="M5" s="1020" t="s">
        <v>1035</v>
      </c>
      <c r="N5" s="1020" t="s">
        <v>1042</v>
      </c>
      <c r="O5" s="1020">
        <v>2021.0</v>
      </c>
      <c r="P5" s="1020" t="s">
        <v>1039</v>
      </c>
      <c r="Q5" s="1023" t="s">
        <v>63</v>
      </c>
      <c r="R5" s="1024">
        <v>3384.261248</v>
      </c>
      <c r="S5" s="1024">
        <v>2704.650733</v>
      </c>
      <c r="T5" s="1025">
        <v>4258.52135</v>
      </c>
      <c r="V5" s="1019" t="s">
        <v>123</v>
      </c>
      <c r="W5" s="1020" t="s">
        <v>1040</v>
      </c>
      <c r="X5" s="1020" t="s">
        <v>1035</v>
      </c>
      <c r="Y5" s="1020" t="s">
        <v>1042</v>
      </c>
      <c r="Z5" s="1020">
        <v>2021.0</v>
      </c>
      <c r="AA5" s="1020" t="s">
        <v>1039</v>
      </c>
      <c r="AB5" s="1023" t="s">
        <v>63</v>
      </c>
      <c r="AC5" s="1024">
        <v>13.63670803</v>
      </c>
      <c r="AD5" s="1024">
        <v>9.004455448</v>
      </c>
      <c r="AE5" s="1025">
        <v>22.27526261</v>
      </c>
      <c r="AF5" s="225"/>
    </row>
    <row r="6">
      <c r="A6" s="1013"/>
      <c r="B6" s="1019" t="s">
        <v>123</v>
      </c>
      <c r="C6" s="1020" t="s">
        <v>1035</v>
      </c>
      <c r="D6" s="1020" t="s">
        <v>1043</v>
      </c>
      <c r="E6" s="1020" t="s">
        <v>1037</v>
      </c>
      <c r="F6" s="1020">
        <v>2021.0</v>
      </c>
      <c r="G6" s="1021">
        <v>0.007898385</v>
      </c>
      <c r="H6" s="1021">
        <v>0.006653846</v>
      </c>
      <c r="I6" s="1022">
        <v>0.009873909</v>
      </c>
      <c r="K6" s="1019" t="s">
        <v>123</v>
      </c>
      <c r="L6" s="1020" t="s">
        <v>1037</v>
      </c>
      <c r="M6" s="1020" t="s">
        <v>1035</v>
      </c>
      <c r="N6" s="1020" t="s">
        <v>1044</v>
      </c>
      <c r="O6" s="1020">
        <v>2021.0</v>
      </c>
      <c r="P6" s="1020" t="s">
        <v>1039</v>
      </c>
      <c r="Q6" s="1023" t="s">
        <v>63</v>
      </c>
      <c r="R6" s="1024">
        <v>620.0265168</v>
      </c>
      <c r="S6" s="1024">
        <v>506.1851877</v>
      </c>
      <c r="T6" s="1025">
        <v>759.3860727</v>
      </c>
      <c r="V6" s="1019" t="s">
        <v>123</v>
      </c>
      <c r="W6" s="1020" t="s">
        <v>1040</v>
      </c>
      <c r="X6" s="1020" t="s">
        <v>1035</v>
      </c>
      <c r="Y6" s="1020" t="s">
        <v>1044</v>
      </c>
      <c r="Z6" s="1020">
        <v>2021.0</v>
      </c>
      <c r="AA6" s="1020" t="s">
        <v>1039</v>
      </c>
      <c r="AB6" s="1023" t="s">
        <v>63</v>
      </c>
      <c r="AC6" s="1024">
        <v>21.61580495</v>
      </c>
      <c r="AD6" s="1024">
        <v>15.32551932</v>
      </c>
      <c r="AE6" s="1025">
        <v>31.26189639</v>
      </c>
      <c r="AF6" s="225"/>
    </row>
    <row r="7">
      <c r="A7" s="1013"/>
      <c r="B7" s="1019" t="s">
        <v>123</v>
      </c>
      <c r="C7" s="1020" t="s">
        <v>1035</v>
      </c>
      <c r="D7" s="1020" t="s">
        <v>1045</v>
      </c>
      <c r="E7" s="1020" t="s">
        <v>1037</v>
      </c>
      <c r="F7" s="1020">
        <v>2021.0</v>
      </c>
      <c r="G7" s="1021">
        <v>0.071480796</v>
      </c>
      <c r="H7" s="1021">
        <v>0.058617168</v>
      </c>
      <c r="I7" s="1022">
        <v>0.087433491</v>
      </c>
      <c r="K7" s="1019" t="s">
        <v>123</v>
      </c>
      <c r="L7" s="1020" t="s">
        <v>1037</v>
      </c>
      <c r="M7" s="1020" t="s">
        <v>1035</v>
      </c>
      <c r="N7" s="1020" t="s">
        <v>1046</v>
      </c>
      <c r="O7" s="1020">
        <v>2021.0</v>
      </c>
      <c r="P7" s="1020" t="s">
        <v>1039</v>
      </c>
      <c r="Q7" s="1023" t="s">
        <v>63</v>
      </c>
      <c r="R7" s="1024">
        <v>3115.46865</v>
      </c>
      <c r="S7" s="1024">
        <v>2538.487304</v>
      </c>
      <c r="T7" s="1025">
        <v>3834.813971</v>
      </c>
      <c r="V7" s="1019" t="s">
        <v>123</v>
      </c>
      <c r="W7" s="1020" t="s">
        <v>1040</v>
      </c>
      <c r="X7" s="1020" t="s">
        <v>1035</v>
      </c>
      <c r="Y7" s="1020" t="s">
        <v>1046</v>
      </c>
      <c r="Z7" s="1020">
        <v>2021.0</v>
      </c>
      <c r="AA7" s="1020" t="s">
        <v>1039</v>
      </c>
      <c r="AB7" s="1023" t="s">
        <v>63</v>
      </c>
      <c r="AC7" s="1024">
        <v>216.1703913</v>
      </c>
      <c r="AD7" s="1024">
        <v>135.2113556</v>
      </c>
      <c r="AE7" s="1025">
        <v>340.667387</v>
      </c>
      <c r="AF7" s="225"/>
    </row>
    <row r="8">
      <c r="A8" s="1013"/>
      <c r="B8" s="1019" t="s">
        <v>124</v>
      </c>
      <c r="C8" s="1020" t="s">
        <v>1035</v>
      </c>
      <c r="D8" s="1020" t="s">
        <v>1036</v>
      </c>
      <c r="E8" s="1020" t="s">
        <v>1037</v>
      </c>
      <c r="F8" s="1020">
        <v>2021.0</v>
      </c>
      <c r="G8" s="1021">
        <v>0.111758499</v>
      </c>
      <c r="H8" s="1021">
        <v>0.090067419</v>
      </c>
      <c r="I8" s="1022">
        <v>0.140070631</v>
      </c>
      <c r="K8" s="1019" t="s">
        <v>123</v>
      </c>
      <c r="L8" s="1020" t="s">
        <v>1037</v>
      </c>
      <c r="M8" s="1020" t="s">
        <v>1035</v>
      </c>
      <c r="N8" s="1020" t="s">
        <v>1045</v>
      </c>
      <c r="O8" s="1020">
        <v>2021.0</v>
      </c>
      <c r="P8" s="1020" t="s">
        <v>1039</v>
      </c>
      <c r="Q8" s="1023" t="s">
        <v>63</v>
      </c>
      <c r="R8" s="1024">
        <v>10484.04318</v>
      </c>
      <c r="S8" s="1024">
        <v>8534.294188</v>
      </c>
      <c r="T8" s="1025">
        <v>12928.63367</v>
      </c>
      <c r="V8" s="1019" t="s">
        <v>123</v>
      </c>
      <c r="W8" s="1020" t="s">
        <v>1040</v>
      </c>
      <c r="X8" s="1020" t="s">
        <v>1035</v>
      </c>
      <c r="Y8" s="1020" t="s">
        <v>1045</v>
      </c>
      <c r="Z8" s="1020">
        <v>2021.0</v>
      </c>
      <c r="AA8" s="1020" t="s">
        <v>1039</v>
      </c>
      <c r="AB8" s="1023" t="s">
        <v>63</v>
      </c>
      <c r="AC8" s="1024">
        <v>345.3519197</v>
      </c>
      <c r="AD8" s="1024">
        <v>216.1437615</v>
      </c>
      <c r="AE8" s="1025">
        <v>546.3386636</v>
      </c>
      <c r="AF8" s="225"/>
    </row>
    <row r="9">
      <c r="A9" s="1013"/>
      <c r="B9" s="1019" t="s">
        <v>124</v>
      </c>
      <c r="C9" s="1020" t="s">
        <v>1035</v>
      </c>
      <c r="D9" s="1020" t="s">
        <v>1041</v>
      </c>
      <c r="E9" s="1020" t="s">
        <v>1037</v>
      </c>
      <c r="F9" s="1020">
        <v>2021.0</v>
      </c>
      <c r="G9" s="1021">
        <v>0.535570108</v>
      </c>
      <c r="H9" s="1021">
        <v>0.472336988</v>
      </c>
      <c r="I9" s="1022">
        <v>0.609882426</v>
      </c>
      <c r="K9" s="1019" t="s">
        <v>124</v>
      </c>
      <c r="L9" s="1020" t="s">
        <v>1037</v>
      </c>
      <c r="M9" s="1020" t="s">
        <v>1035</v>
      </c>
      <c r="N9" s="1020" t="s">
        <v>1038</v>
      </c>
      <c r="O9" s="1020">
        <v>2021.0</v>
      </c>
      <c r="P9" s="1020" t="s">
        <v>1039</v>
      </c>
      <c r="Q9" s="1023" t="s">
        <v>63</v>
      </c>
      <c r="R9" s="1024">
        <v>5042.821076</v>
      </c>
      <c r="S9" s="1024">
        <v>4009.556981</v>
      </c>
      <c r="T9" s="1025">
        <v>6269.570978</v>
      </c>
      <c r="V9" s="1019" t="s">
        <v>124</v>
      </c>
      <c r="W9" s="1020" t="s">
        <v>1040</v>
      </c>
      <c r="X9" s="1020" t="s">
        <v>1035</v>
      </c>
      <c r="Y9" s="1020" t="s">
        <v>1038</v>
      </c>
      <c r="Z9" s="1020">
        <v>2021.0</v>
      </c>
      <c r="AA9" s="1020" t="s">
        <v>1039</v>
      </c>
      <c r="AB9" s="1023" t="s">
        <v>63</v>
      </c>
      <c r="AC9" s="1024">
        <v>234.9822256</v>
      </c>
      <c r="AD9" s="1024">
        <v>127.779</v>
      </c>
      <c r="AE9" s="1025">
        <v>401.1150013</v>
      </c>
      <c r="AF9" s="225"/>
    </row>
    <row r="10">
      <c r="A10" s="1013"/>
      <c r="B10" s="1019" t="s">
        <v>124</v>
      </c>
      <c r="C10" s="1020" t="s">
        <v>1035</v>
      </c>
      <c r="D10" s="1020" t="s">
        <v>1043</v>
      </c>
      <c r="E10" s="1020" t="s">
        <v>1037</v>
      </c>
      <c r="F10" s="1020">
        <v>2021.0</v>
      </c>
      <c r="G10" s="1021">
        <v>0.01245726</v>
      </c>
      <c r="H10" s="1021">
        <v>0.010484803</v>
      </c>
      <c r="I10" s="1022">
        <v>0.014869847</v>
      </c>
      <c r="K10" s="1019" t="s">
        <v>124</v>
      </c>
      <c r="L10" s="1020" t="s">
        <v>1037</v>
      </c>
      <c r="M10" s="1020" t="s">
        <v>1035</v>
      </c>
      <c r="N10" s="1020" t="s">
        <v>1042</v>
      </c>
      <c r="O10" s="1020">
        <v>2021.0</v>
      </c>
      <c r="P10" s="1020" t="s">
        <v>1039</v>
      </c>
      <c r="Q10" s="1023" t="s">
        <v>63</v>
      </c>
      <c r="R10" s="1024">
        <v>4147.279226</v>
      </c>
      <c r="S10" s="1024">
        <v>3291.816521</v>
      </c>
      <c r="T10" s="1025">
        <v>5258.147458</v>
      </c>
      <c r="V10" s="1019" t="s">
        <v>124</v>
      </c>
      <c r="W10" s="1020" t="s">
        <v>1040</v>
      </c>
      <c r="X10" s="1020" t="s">
        <v>1035</v>
      </c>
      <c r="Y10" s="1020" t="s">
        <v>1042</v>
      </c>
      <c r="Z10" s="1020">
        <v>2021.0</v>
      </c>
      <c r="AA10" s="1020" t="s">
        <v>1039</v>
      </c>
      <c r="AB10" s="1023" t="s">
        <v>63</v>
      </c>
      <c r="AC10" s="1024">
        <v>19.9199481</v>
      </c>
      <c r="AD10" s="1024">
        <v>11.31432026</v>
      </c>
      <c r="AE10" s="1025">
        <v>33.32655028</v>
      </c>
      <c r="AF10" s="225"/>
    </row>
    <row r="11">
      <c r="A11" s="1013"/>
      <c r="B11" s="1019" t="s">
        <v>124</v>
      </c>
      <c r="C11" s="1020" t="s">
        <v>1035</v>
      </c>
      <c r="D11" s="1020" t="s">
        <v>1045</v>
      </c>
      <c r="E11" s="1020" t="s">
        <v>1037</v>
      </c>
      <c r="F11" s="1020">
        <v>2021.0</v>
      </c>
      <c r="G11" s="1021">
        <v>0.118841297</v>
      </c>
      <c r="H11" s="1021">
        <v>0.096356923</v>
      </c>
      <c r="I11" s="1022">
        <v>0.145448949</v>
      </c>
      <c r="K11" s="1026" t="s">
        <v>124</v>
      </c>
      <c r="L11" s="1027" t="s">
        <v>1037</v>
      </c>
      <c r="M11" s="1027" t="s">
        <v>1035</v>
      </c>
      <c r="N11" s="1027" t="s">
        <v>1044</v>
      </c>
      <c r="O11" s="1027">
        <v>2021.0</v>
      </c>
      <c r="P11" s="1027" t="s">
        <v>1039</v>
      </c>
      <c r="Q11" s="1028" t="s">
        <v>63</v>
      </c>
      <c r="R11" s="1029">
        <v>867.4372109</v>
      </c>
      <c r="S11" s="1029">
        <v>694.7668651</v>
      </c>
      <c r="T11" s="1030">
        <v>1080.138195</v>
      </c>
      <c r="V11" s="1026" t="s">
        <v>124</v>
      </c>
      <c r="W11" s="1027" t="s">
        <v>1040</v>
      </c>
      <c r="X11" s="1027" t="s">
        <v>1035</v>
      </c>
      <c r="Y11" s="1027" t="s">
        <v>1044</v>
      </c>
      <c r="Z11" s="1027">
        <v>2021.0</v>
      </c>
      <c r="AA11" s="1027" t="s">
        <v>1039</v>
      </c>
      <c r="AB11" s="1028" t="s">
        <v>63</v>
      </c>
      <c r="AC11" s="1029">
        <v>27.37456524</v>
      </c>
      <c r="AD11" s="1029">
        <v>18.11454496</v>
      </c>
      <c r="AE11" s="1030">
        <v>42.85954366</v>
      </c>
      <c r="AF11" s="225"/>
    </row>
    <row r="12">
      <c r="A12" s="1013"/>
      <c r="B12" s="1019" t="s">
        <v>125</v>
      </c>
      <c r="C12" s="1020" t="s">
        <v>1035</v>
      </c>
      <c r="D12" s="1020" t="s">
        <v>1036</v>
      </c>
      <c r="E12" s="1020" t="s">
        <v>1037</v>
      </c>
      <c r="F12" s="1020">
        <v>2021.0</v>
      </c>
      <c r="G12" s="1021">
        <v>0.129808387</v>
      </c>
      <c r="H12" s="1021">
        <v>0.099758401</v>
      </c>
      <c r="I12" s="1022">
        <v>0.165469099</v>
      </c>
      <c r="K12" s="1019" t="s">
        <v>124</v>
      </c>
      <c r="L12" s="1020" t="s">
        <v>1037</v>
      </c>
      <c r="M12" s="1020" t="s">
        <v>1035</v>
      </c>
      <c r="N12" s="1020" t="s">
        <v>1046</v>
      </c>
      <c r="O12" s="1020">
        <v>2021.0</v>
      </c>
      <c r="P12" s="1020" t="s">
        <v>1039</v>
      </c>
      <c r="Q12" s="1023" t="s">
        <v>63</v>
      </c>
      <c r="R12" s="1024">
        <v>4463.997374</v>
      </c>
      <c r="S12" s="1024">
        <v>3585.246139</v>
      </c>
      <c r="T12" s="1025">
        <v>5607.913224</v>
      </c>
      <c r="V12" s="1019" t="s">
        <v>124</v>
      </c>
      <c r="W12" s="1020" t="s">
        <v>1040</v>
      </c>
      <c r="X12" s="1020" t="s">
        <v>1035</v>
      </c>
      <c r="Y12" s="1020" t="s">
        <v>1046</v>
      </c>
      <c r="Z12" s="1020">
        <v>2021.0</v>
      </c>
      <c r="AA12" s="1020" t="s">
        <v>1039</v>
      </c>
      <c r="AB12" s="1023" t="s">
        <v>63</v>
      </c>
      <c r="AC12" s="1024">
        <v>457.2098462</v>
      </c>
      <c r="AD12" s="1024">
        <v>302.2312783</v>
      </c>
      <c r="AE12" s="1025">
        <v>668.418545</v>
      </c>
      <c r="AF12" s="225"/>
    </row>
    <row r="13">
      <c r="A13" s="1013"/>
      <c r="B13" s="1019" t="s">
        <v>125</v>
      </c>
      <c r="C13" s="1020" t="s">
        <v>1035</v>
      </c>
      <c r="D13" s="1020" t="s">
        <v>1041</v>
      </c>
      <c r="E13" s="1020" t="s">
        <v>1037</v>
      </c>
      <c r="F13" s="1020">
        <v>2021.0</v>
      </c>
      <c r="G13" s="1021">
        <v>0.476732435</v>
      </c>
      <c r="H13" s="1021">
        <v>0.414009576</v>
      </c>
      <c r="I13" s="1022">
        <v>0.562608951</v>
      </c>
      <c r="K13" s="1019" t="s">
        <v>124</v>
      </c>
      <c r="L13" s="1020" t="s">
        <v>1037</v>
      </c>
      <c r="M13" s="1020" t="s">
        <v>1035</v>
      </c>
      <c r="N13" s="1020" t="s">
        <v>1045</v>
      </c>
      <c r="O13" s="1020">
        <v>2021.0</v>
      </c>
      <c r="P13" s="1020" t="s">
        <v>1039</v>
      </c>
      <c r="Q13" s="1023" t="s">
        <v>63</v>
      </c>
      <c r="R13" s="1024">
        <v>14521.53489</v>
      </c>
      <c r="S13" s="1024">
        <v>11619.94784</v>
      </c>
      <c r="T13" s="1025">
        <v>18033.37826</v>
      </c>
      <c r="V13" s="1019" t="s">
        <v>124</v>
      </c>
      <c r="W13" s="1020" t="s">
        <v>1040</v>
      </c>
      <c r="X13" s="1020" t="s">
        <v>1035</v>
      </c>
      <c r="Y13" s="1020" t="s">
        <v>1045</v>
      </c>
      <c r="Z13" s="1020">
        <v>2021.0</v>
      </c>
      <c r="AA13" s="1020" t="s">
        <v>1039</v>
      </c>
      <c r="AB13" s="1023" t="s">
        <v>63</v>
      </c>
      <c r="AC13" s="1024">
        <v>739.4865851</v>
      </c>
      <c r="AD13" s="1024">
        <v>471.2764563</v>
      </c>
      <c r="AE13" s="1025">
        <v>1097.293391</v>
      </c>
      <c r="AF13" s="225"/>
    </row>
    <row r="14">
      <c r="A14" s="1013"/>
      <c r="B14" s="1019" t="s">
        <v>125</v>
      </c>
      <c r="C14" s="1020" t="s">
        <v>1035</v>
      </c>
      <c r="D14" s="1020" t="s">
        <v>1043</v>
      </c>
      <c r="E14" s="1020" t="s">
        <v>1037</v>
      </c>
      <c r="F14" s="1020">
        <v>2021.0</v>
      </c>
      <c r="G14" s="1021">
        <v>0.007852502</v>
      </c>
      <c r="H14" s="1021">
        <v>0.006476158</v>
      </c>
      <c r="I14" s="1022">
        <v>0.009734862</v>
      </c>
      <c r="K14" s="1019" t="s">
        <v>125</v>
      </c>
      <c r="L14" s="1020" t="s">
        <v>1037</v>
      </c>
      <c r="M14" s="1020" t="s">
        <v>1035</v>
      </c>
      <c r="N14" s="1020" t="s">
        <v>1038</v>
      </c>
      <c r="O14" s="1020">
        <v>2021.0</v>
      </c>
      <c r="P14" s="1020" t="s">
        <v>1039</v>
      </c>
      <c r="Q14" s="1023" t="s">
        <v>63</v>
      </c>
      <c r="R14" s="1024">
        <v>1151.557251</v>
      </c>
      <c r="S14" s="1024">
        <v>876.1744525</v>
      </c>
      <c r="T14" s="1025">
        <v>1523.98248</v>
      </c>
      <c r="V14" s="1019" t="s">
        <v>125</v>
      </c>
      <c r="W14" s="1020" t="s">
        <v>1040</v>
      </c>
      <c r="X14" s="1020" t="s">
        <v>1035</v>
      </c>
      <c r="Y14" s="1020" t="s">
        <v>1038</v>
      </c>
      <c r="Z14" s="1020">
        <v>2021.0</v>
      </c>
      <c r="AA14" s="1020" t="s">
        <v>1039</v>
      </c>
      <c r="AB14" s="1023" t="s">
        <v>63</v>
      </c>
      <c r="AC14" s="1024">
        <v>23.26451147</v>
      </c>
      <c r="AD14" s="1024">
        <v>8.602715275</v>
      </c>
      <c r="AE14" s="1025">
        <v>52.17351232</v>
      </c>
      <c r="AF14" s="225"/>
    </row>
    <row r="15">
      <c r="A15" s="1013"/>
      <c r="B15" s="1019" t="s">
        <v>125</v>
      </c>
      <c r="C15" s="1020" t="s">
        <v>1035</v>
      </c>
      <c r="D15" s="1020" t="s">
        <v>1045</v>
      </c>
      <c r="E15" s="1020" t="s">
        <v>1037</v>
      </c>
      <c r="F15" s="1020">
        <v>2021.0</v>
      </c>
      <c r="G15" s="1021">
        <v>0.06013788</v>
      </c>
      <c r="H15" s="1021">
        <v>0.047624185</v>
      </c>
      <c r="I15" s="1022">
        <v>0.076813203</v>
      </c>
      <c r="K15" s="1019" t="s">
        <v>125</v>
      </c>
      <c r="L15" s="1020" t="s">
        <v>1037</v>
      </c>
      <c r="M15" s="1020" t="s">
        <v>1035</v>
      </c>
      <c r="N15" s="1020" t="s">
        <v>1042</v>
      </c>
      <c r="O15" s="1020">
        <v>2021.0</v>
      </c>
      <c r="P15" s="1020" t="s">
        <v>1039</v>
      </c>
      <c r="Q15" s="1023" t="s">
        <v>63</v>
      </c>
      <c r="R15" s="1024">
        <v>1261.370522</v>
      </c>
      <c r="S15" s="1024">
        <v>996.4937863</v>
      </c>
      <c r="T15" s="1025">
        <v>1616.599668</v>
      </c>
      <c r="V15" s="1019" t="s">
        <v>125</v>
      </c>
      <c r="W15" s="1020" t="s">
        <v>1040</v>
      </c>
      <c r="X15" s="1020" t="s">
        <v>1035</v>
      </c>
      <c r="Y15" s="1020" t="s">
        <v>1042</v>
      </c>
      <c r="Z15" s="1020">
        <v>2021.0</v>
      </c>
      <c r="AA15" s="1020" t="s">
        <v>1039</v>
      </c>
      <c r="AB15" s="1023" t="s">
        <v>63</v>
      </c>
      <c r="AC15" s="1024">
        <v>4.026044539</v>
      </c>
      <c r="AD15" s="1024">
        <v>2.081932023</v>
      </c>
      <c r="AE15" s="1025">
        <v>7.949423846</v>
      </c>
      <c r="AF15" s="225"/>
    </row>
    <row r="16">
      <c r="A16" s="1013"/>
      <c r="B16" s="1019" t="s">
        <v>126</v>
      </c>
      <c r="C16" s="1020" t="s">
        <v>1035</v>
      </c>
      <c r="D16" s="1020" t="s">
        <v>1036</v>
      </c>
      <c r="E16" s="1020" t="s">
        <v>1037</v>
      </c>
      <c r="F16" s="1020">
        <v>2021.0</v>
      </c>
      <c r="G16" s="1021">
        <v>0.105626232</v>
      </c>
      <c r="H16" s="1021">
        <v>0.077905204</v>
      </c>
      <c r="I16" s="1022">
        <v>0.143780818</v>
      </c>
      <c r="K16" s="1019" t="s">
        <v>125</v>
      </c>
      <c r="L16" s="1020" t="s">
        <v>1037</v>
      </c>
      <c r="M16" s="1020" t="s">
        <v>1035</v>
      </c>
      <c r="N16" s="1020" t="s">
        <v>1044</v>
      </c>
      <c r="O16" s="1020">
        <v>2021.0</v>
      </c>
      <c r="P16" s="1020" t="s">
        <v>1039</v>
      </c>
      <c r="Q16" s="1023" t="s">
        <v>63</v>
      </c>
      <c r="R16" s="1024">
        <v>287.7596678</v>
      </c>
      <c r="S16" s="1024">
        <v>233.859698</v>
      </c>
      <c r="T16" s="1025">
        <v>363.719748</v>
      </c>
      <c r="V16" s="1019" t="s">
        <v>125</v>
      </c>
      <c r="W16" s="1020" t="s">
        <v>1040</v>
      </c>
      <c r="X16" s="1020" t="s">
        <v>1035</v>
      </c>
      <c r="Y16" s="1020" t="s">
        <v>1044</v>
      </c>
      <c r="Z16" s="1020">
        <v>2021.0</v>
      </c>
      <c r="AA16" s="1020" t="s">
        <v>1039</v>
      </c>
      <c r="AB16" s="1023" t="s">
        <v>63</v>
      </c>
      <c r="AC16" s="1024">
        <v>3.634324906</v>
      </c>
      <c r="AD16" s="1024">
        <v>1.591398069</v>
      </c>
      <c r="AE16" s="1025">
        <v>8.643762127</v>
      </c>
      <c r="AF16" s="225"/>
    </row>
    <row r="17">
      <c r="A17" s="1013"/>
      <c r="B17" s="1019" t="s">
        <v>126</v>
      </c>
      <c r="C17" s="1020" t="s">
        <v>1035</v>
      </c>
      <c r="D17" s="1020" t="s">
        <v>1041</v>
      </c>
      <c r="E17" s="1020" t="s">
        <v>1037</v>
      </c>
      <c r="F17" s="1020">
        <v>2021.0</v>
      </c>
      <c r="G17" s="1021">
        <v>0.430894739</v>
      </c>
      <c r="H17" s="1021">
        <v>0.374541211</v>
      </c>
      <c r="I17" s="1022">
        <v>0.506394543</v>
      </c>
      <c r="K17" s="1031" t="s">
        <v>125</v>
      </c>
      <c r="L17" s="1032" t="s">
        <v>1037</v>
      </c>
      <c r="M17" s="1032" t="s">
        <v>1035</v>
      </c>
      <c r="N17" s="1032" t="s">
        <v>1046</v>
      </c>
      <c r="O17" s="1032">
        <v>2021.0</v>
      </c>
      <c r="P17" s="1032" t="s">
        <v>1039</v>
      </c>
      <c r="Q17" s="1033" t="s">
        <v>63</v>
      </c>
      <c r="R17" s="1034">
        <v>977.156399</v>
      </c>
      <c r="S17" s="1034">
        <v>772.2721541</v>
      </c>
      <c r="T17" s="1035">
        <v>1253.638442</v>
      </c>
      <c r="V17" s="1031" t="s">
        <v>125</v>
      </c>
      <c r="W17" s="1032" t="s">
        <v>1040</v>
      </c>
      <c r="X17" s="1032" t="s">
        <v>1035</v>
      </c>
      <c r="Y17" s="1032" t="s">
        <v>1046</v>
      </c>
      <c r="Z17" s="1032">
        <v>2021.0</v>
      </c>
      <c r="AA17" s="1032" t="s">
        <v>1039</v>
      </c>
      <c r="AB17" s="1033" t="s">
        <v>63</v>
      </c>
      <c r="AC17" s="1034">
        <v>40.4909403</v>
      </c>
      <c r="AD17" s="1034">
        <v>17.50789695</v>
      </c>
      <c r="AE17" s="1035">
        <v>83.06653748</v>
      </c>
      <c r="AF17" s="225"/>
    </row>
    <row r="18">
      <c r="A18" s="1013"/>
      <c r="B18" s="1019" t="s">
        <v>126</v>
      </c>
      <c r="C18" s="1020" t="s">
        <v>1035</v>
      </c>
      <c r="D18" s="1020" t="s">
        <v>1043</v>
      </c>
      <c r="E18" s="1020" t="s">
        <v>1037</v>
      </c>
      <c r="F18" s="1020">
        <v>2021.0</v>
      </c>
      <c r="G18" s="1021">
        <v>0.006925974</v>
      </c>
      <c r="H18" s="1021">
        <v>0.005811629</v>
      </c>
      <c r="I18" s="1022">
        <v>0.008600072</v>
      </c>
      <c r="K18" s="1019" t="s">
        <v>125</v>
      </c>
      <c r="L18" s="1020" t="s">
        <v>1037</v>
      </c>
      <c r="M18" s="1020" t="s">
        <v>1035</v>
      </c>
      <c r="N18" s="1020" t="s">
        <v>1045</v>
      </c>
      <c r="O18" s="1020">
        <v>2021.0</v>
      </c>
      <c r="P18" s="1020" t="s">
        <v>1039</v>
      </c>
      <c r="Q18" s="1023" t="s">
        <v>63</v>
      </c>
      <c r="R18" s="1024">
        <v>3677.843839</v>
      </c>
      <c r="S18" s="1024">
        <v>2889.472719</v>
      </c>
      <c r="T18" s="1025">
        <v>4737.664654</v>
      </c>
      <c r="V18" s="1019" t="s">
        <v>125</v>
      </c>
      <c r="W18" s="1020" t="s">
        <v>1040</v>
      </c>
      <c r="X18" s="1020" t="s">
        <v>1035</v>
      </c>
      <c r="Y18" s="1020" t="s">
        <v>1045</v>
      </c>
      <c r="Z18" s="1020">
        <v>2021.0</v>
      </c>
      <c r="AA18" s="1020" t="s">
        <v>1039</v>
      </c>
      <c r="AB18" s="1023" t="s">
        <v>63</v>
      </c>
      <c r="AC18" s="1024">
        <v>71.41582122</v>
      </c>
      <c r="AD18" s="1024">
        <v>32.99638808</v>
      </c>
      <c r="AE18" s="1025">
        <v>141.5461965</v>
      </c>
      <c r="AF18" s="225"/>
    </row>
    <row r="19">
      <c r="A19" s="1013"/>
      <c r="B19" s="1019" t="s">
        <v>126</v>
      </c>
      <c r="C19" s="1020" t="s">
        <v>1035</v>
      </c>
      <c r="D19" s="1020" t="s">
        <v>1045</v>
      </c>
      <c r="E19" s="1020" t="s">
        <v>1037</v>
      </c>
      <c r="F19" s="1020">
        <v>2021.0</v>
      </c>
      <c r="G19" s="1021">
        <v>0.054148055</v>
      </c>
      <c r="H19" s="1021">
        <v>0.042983429</v>
      </c>
      <c r="I19" s="1022">
        <v>0.067907409</v>
      </c>
      <c r="K19" s="1019" t="s">
        <v>126</v>
      </c>
      <c r="L19" s="1020" t="s">
        <v>1037</v>
      </c>
      <c r="M19" s="1020" t="s">
        <v>1035</v>
      </c>
      <c r="N19" s="1020" t="s">
        <v>1038</v>
      </c>
      <c r="O19" s="1020">
        <v>2021.0</v>
      </c>
      <c r="P19" s="1020" t="s">
        <v>1039</v>
      </c>
      <c r="Q19" s="1023" t="s">
        <v>63</v>
      </c>
      <c r="R19" s="1024">
        <v>3116.10714</v>
      </c>
      <c r="S19" s="1024">
        <v>2424.425179</v>
      </c>
      <c r="T19" s="1025">
        <v>4001.268541</v>
      </c>
      <c r="V19" s="1019" t="s">
        <v>126</v>
      </c>
      <c r="W19" s="1020" t="s">
        <v>1040</v>
      </c>
      <c r="X19" s="1020" t="s">
        <v>1035</v>
      </c>
      <c r="Y19" s="1020" t="s">
        <v>1038</v>
      </c>
      <c r="Z19" s="1020">
        <v>2021.0</v>
      </c>
      <c r="AA19" s="1020" t="s">
        <v>1039</v>
      </c>
      <c r="AB19" s="1023" t="s">
        <v>63</v>
      </c>
      <c r="AC19" s="1024">
        <v>42.83240699</v>
      </c>
      <c r="AD19" s="1024">
        <v>15.26545695</v>
      </c>
      <c r="AE19" s="1025">
        <v>92.85841862</v>
      </c>
      <c r="AF19" s="225"/>
    </row>
    <row r="20">
      <c r="A20" s="1013"/>
      <c r="B20" s="1019" t="s">
        <v>114</v>
      </c>
      <c r="C20" s="1020" t="s">
        <v>1035</v>
      </c>
      <c r="D20" s="1020" t="s">
        <v>1036</v>
      </c>
      <c r="E20" s="1020" t="s">
        <v>1037</v>
      </c>
      <c r="F20" s="1020">
        <v>2021.0</v>
      </c>
      <c r="G20" s="1021">
        <v>0.133422122</v>
      </c>
      <c r="H20" s="1021">
        <v>0.107097493</v>
      </c>
      <c r="I20" s="1022">
        <v>0.164732991</v>
      </c>
      <c r="K20" s="1019" t="s">
        <v>126</v>
      </c>
      <c r="L20" s="1020" t="s">
        <v>1037</v>
      </c>
      <c r="M20" s="1020" t="s">
        <v>1035</v>
      </c>
      <c r="N20" s="1020" t="s">
        <v>1042</v>
      </c>
      <c r="O20" s="1020">
        <v>2021.0</v>
      </c>
      <c r="P20" s="1020" t="s">
        <v>1039</v>
      </c>
      <c r="Q20" s="1023" t="s">
        <v>63</v>
      </c>
      <c r="R20" s="1024">
        <v>3939.036034</v>
      </c>
      <c r="S20" s="1024">
        <v>3067.686212</v>
      </c>
      <c r="T20" s="1025">
        <v>5032.544856</v>
      </c>
      <c r="V20" s="1019" t="s">
        <v>126</v>
      </c>
      <c r="W20" s="1020" t="s">
        <v>1040</v>
      </c>
      <c r="X20" s="1020" t="s">
        <v>1035</v>
      </c>
      <c r="Y20" s="1020" t="s">
        <v>1042</v>
      </c>
      <c r="Z20" s="1020">
        <v>2021.0</v>
      </c>
      <c r="AA20" s="1020" t="s">
        <v>1039</v>
      </c>
      <c r="AB20" s="1023" t="s">
        <v>63</v>
      </c>
      <c r="AC20" s="1024">
        <v>9.323578194</v>
      </c>
      <c r="AD20" s="1024">
        <v>4.481221029</v>
      </c>
      <c r="AE20" s="1025">
        <v>17.92063041</v>
      </c>
      <c r="AF20" s="225"/>
    </row>
    <row r="21">
      <c r="A21" s="1013"/>
      <c r="B21" s="1019" t="s">
        <v>114</v>
      </c>
      <c r="C21" s="1020" t="s">
        <v>1035</v>
      </c>
      <c r="D21" s="1020" t="s">
        <v>1041</v>
      </c>
      <c r="E21" s="1020" t="s">
        <v>1037</v>
      </c>
      <c r="F21" s="1020">
        <v>2021.0</v>
      </c>
      <c r="G21" s="1021">
        <v>0.619195491</v>
      </c>
      <c r="H21" s="1021">
        <v>0.549237398</v>
      </c>
      <c r="I21" s="1022">
        <v>0.696857333</v>
      </c>
      <c r="K21" s="1019" t="s">
        <v>126</v>
      </c>
      <c r="L21" s="1020" t="s">
        <v>1037</v>
      </c>
      <c r="M21" s="1020" t="s">
        <v>1035</v>
      </c>
      <c r="N21" s="1020" t="s">
        <v>1044</v>
      </c>
      <c r="O21" s="1020">
        <v>2021.0</v>
      </c>
      <c r="P21" s="1020" t="s">
        <v>1039</v>
      </c>
      <c r="Q21" s="1023" t="s">
        <v>63</v>
      </c>
      <c r="R21" s="1024">
        <v>773.632655</v>
      </c>
      <c r="S21" s="1024">
        <v>609.4233551</v>
      </c>
      <c r="T21" s="1025">
        <v>972.8009051</v>
      </c>
      <c r="V21" s="1019" t="s">
        <v>126</v>
      </c>
      <c r="W21" s="1020" t="s">
        <v>1040</v>
      </c>
      <c r="X21" s="1020" t="s">
        <v>1035</v>
      </c>
      <c r="Y21" s="1020" t="s">
        <v>1044</v>
      </c>
      <c r="Z21" s="1020">
        <v>2021.0</v>
      </c>
      <c r="AA21" s="1020" t="s">
        <v>1039</v>
      </c>
      <c r="AB21" s="1023" t="s">
        <v>63</v>
      </c>
      <c r="AC21" s="1024">
        <v>8.425251297</v>
      </c>
      <c r="AD21" s="1024">
        <v>3.287593115</v>
      </c>
      <c r="AE21" s="1025">
        <v>19.12443585</v>
      </c>
      <c r="AF21" s="225"/>
    </row>
    <row r="22">
      <c r="A22" s="1013"/>
      <c r="B22" s="1019" t="s">
        <v>114</v>
      </c>
      <c r="C22" s="1020" t="s">
        <v>1035</v>
      </c>
      <c r="D22" s="1020" t="s">
        <v>1043</v>
      </c>
      <c r="E22" s="1020" t="s">
        <v>1037</v>
      </c>
      <c r="F22" s="1020">
        <v>2021.0</v>
      </c>
      <c r="G22" s="1021">
        <v>0.01478875</v>
      </c>
      <c r="H22" s="1021">
        <v>0.012335342</v>
      </c>
      <c r="I22" s="1022">
        <v>0.017658477</v>
      </c>
      <c r="K22" s="1026" t="s">
        <v>126</v>
      </c>
      <c r="L22" s="1036" t="s">
        <v>1037</v>
      </c>
      <c r="M22" s="1036" t="s">
        <v>1035</v>
      </c>
      <c r="N22" s="1036" t="s">
        <v>1046</v>
      </c>
      <c r="O22" s="1037">
        <v>2021.0</v>
      </c>
      <c r="P22" s="1036" t="s">
        <v>1039</v>
      </c>
      <c r="Q22" s="1036" t="s">
        <v>63</v>
      </c>
      <c r="R22" s="1038">
        <v>2871.711254</v>
      </c>
      <c r="S22" s="1038">
        <v>2200.648095</v>
      </c>
      <c r="T22" s="1039">
        <v>3699.843554</v>
      </c>
      <c r="V22" s="1031" t="s">
        <v>126</v>
      </c>
      <c r="W22" s="1032" t="s">
        <v>1040</v>
      </c>
      <c r="X22" s="1032" t="s">
        <v>1035</v>
      </c>
      <c r="Y22" s="1032" t="s">
        <v>1046</v>
      </c>
      <c r="Z22" s="1032">
        <v>2021.0</v>
      </c>
      <c r="AA22" s="1032" t="s">
        <v>1039</v>
      </c>
      <c r="AB22" s="1033" t="s">
        <v>63</v>
      </c>
      <c r="AC22" s="1034">
        <v>89.70743959</v>
      </c>
      <c r="AD22" s="1034">
        <v>36.46875761</v>
      </c>
      <c r="AE22" s="1035">
        <v>184.8622597</v>
      </c>
      <c r="AF22" s="225"/>
    </row>
    <row r="23">
      <c r="A23" s="1013"/>
      <c r="B23" s="1019" t="s">
        <v>114</v>
      </c>
      <c r="C23" s="1020" t="s">
        <v>1035</v>
      </c>
      <c r="D23" s="1020" t="s">
        <v>1045</v>
      </c>
      <c r="E23" s="1020" t="s">
        <v>1037</v>
      </c>
      <c r="F23" s="1020">
        <v>2021.0</v>
      </c>
      <c r="G23" s="1021">
        <v>0.150124604</v>
      </c>
      <c r="H23" s="1021">
        <v>0.126769769</v>
      </c>
      <c r="I23" s="1022">
        <v>0.177689633</v>
      </c>
      <c r="K23" s="1019" t="s">
        <v>126</v>
      </c>
      <c r="L23" s="1020" t="s">
        <v>1037</v>
      </c>
      <c r="M23" s="1020" t="s">
        <v>1035</v>
      </c>
      <c r="N23" s="1020" t="s">
        <v>1045</v>
      </c>
      <c r="O23" s="1020">
        <v>2021.0</v>
      </c>
      <c r="P23" s="1020" t="s">
        <v>1039</v>
      </c>
      <c r="Q23" s="1023" t="s">
        <v>63</v>
      </c>
      <c r="R23" s="1024">
        <v>10700.48708</v>
      </c>
      <c r="S23" s="1024">
        <v>8433.365479</v>
      </c>
      <c r="T23" s="1025">
        <v>13520.87345</v>
      </c>
      <c r="V23" s="1019" t="s">
        <v>126</v>
      </c>
      <c r="W23" s="1020" t="s">
        <v>1040</v>
      </c>
      <c r="X23" s="1020" t="s">
        <v>1035</v>
      </c>
      <c r="Y23" s="1020" t="s">
        <v>1045</v>
      </c>
      <c r="Z23" s="1020">
        <v>2021.0</v>
      </c>
      <c r="AA23" s="1020" t="s">
        <v>1039</v>
      </c>
      <c r="AB23" s="1023" t="s">
        <v>63</v>
      </c>
      <c r="AC23" s="1024">
        <v>150.2886761</v>
      </c>
      <c r="AD23" s="1024">
        <v>68.21110708</v>
      </c>
      <c r="AE23" s="1025">
        <v>297.4556867</v>
      </c>
      <c r="AF23" s="225"/>
    </row>
    <row r="24">
      <c r="A24" s="1013"/>
      <c r="B24" s="1019" t="s">
        <v>127</v>
      </c>
      <c r="C24" s="1020" t="s">
        <v>1035</v>
      </c>
      <c r="D24" s="1020" t="s">
        <v>1036</v>
      </c>
      <c r="E24" s="1020" t="s">
        <v>1037</v>
      </c>
      <c r="F24" s="1020">
        <v>2021.0</v>
      </c>
      <c r="G24" s="1021">
        <v>0.094365874</v>
      </c>
      <c r="H24" s="1021">
        <v>0.073765675</v>
      </c>
      <c r="I24" s="1022">
        <v>0.11934846</v>
      </c>
      <c r="K24" s="1019" t="s">
        <v>114</v>
      </c>
      <c r="L24" s="1020" t="s">
        <v>1037</v>
      </c>
      <c r="M24" s="1020" t="s">
        <v>1035</v>
      </c>
      <c r="N24" s="1020" t="s">
        <v>1038</v>
      </c>
      <c r="O24" s="1020">
        <v>2021.0</v>
      </c>
      <c r="P24" s="1020" t="s">
        <v>1039</v>
      </c>
      <c r="Q24" s="1023" t="s">
        <v>63</v>
      </c>
      <c r="R24" s="1024">
        <v>21789.87623</v>
      </c>
      <c r="S24" s="1024">
        <v>17935.86963</v>
      </c>
      <c r="T24" s="1025">
        <v>26294.38096</v>
      </c>
      <c r="V24" s="1019" t="s">
        <v>114</v>
      </c>
      <c r="W24" s="1020" t="s">
        <v>1040</v>
      </c>
      <c r="X24" s="1020" t="s">
        <v>1035</v>
      </c>
      <c r="Y24" s="1020" t="s">
        <v>1038</v>
      </c>
      <c r="Z24" s="1020">
        <v>2021.0</v>
      </c>
      <c r="AA24" s="1020" t="s">
        <v>1039</v>
      </c>
      <c r="AB24" s="1023" t="s">
        <v>63</v>
      </c>
      <c r="AC24" s="1024">
        <v>1732.114556</v>
      </c>
      <c r="AD24" s="1024">
        <v>938.8142631</v>
      </c>
      <c r="AE24" s="1025">
        <v>2831.052957</v>
      </c>
      <c r="AF24" s="225"/>
    </row>
    <row r="25">
      <c r="A25" s="1013"/>
      <c r="B25" s="1019" t="s">
        <v>127</v>
      </c>
      <c r="C25" s="1020" t="s">
        <v>1035</v>
      </c>
      <c r="D25" s="1020" t="s">
        <v>1041</v>
      </c>
      <c r="E25" s="1020" t="s">
        <v>1037</v>
      </c>
      <c r="F25" s="1020">
        <v>2021.0</v>
      </c>
      <c r="G25" s="1021">
        <v>0.443198886</v>
      </c>
      <c r="H25" s="1021">
        <v>0.384564254</v>
      </c>
      <c r="I25" s="1022">
        <v>0.516177535</v>
      </c>
      <c r="K25" s="1019" t="s">
        <v>114</v>
      </c>
      <c r="L25" s="1020" t="s">
        <v>1037</v>
      </c>
      <c r="M25" s="1020" t="s">
        <v>1035</v>
      </c>
      <c r="N25" s="1020" t="s">
        <v>1042</v>
      </c>
      <c r="O25" s="1020">
        <v>2021.0</v>
      </c>
      <c r="P25" s="1020" t="s">
        <v>1039</v>
      </c>
      <c r="Q25" s="1023" t="s">
        <v>63</v>
      </c>
      <c r="R25" s="1024">
        <v>13194.35073</v>
      </c>
      <c r="S25" s="1024">
        <v>10869.12997</v>
      </c>
      <c r="T25" s="1025">
        <v>16032.4778</v>
      </c>
      <c r="V25" s="1019" t="s">
        <v>114</v>
      </c>
      <c r="W25" s="1020" t="s">
        <v>1040</v>
      </c>
      <c r="X25" s="1020" t="s">
        <v>1035</v>
      </c>
      <c r="Y25" s="1020" t="s">
        <v>1042</v>
      </c>
      <c r="Z25" s="1020">
        <v>2021.0</v>
      </c>
      <c r="AA25" s="1020" t="s">
        <v>1039</v>
      </c>
      <c r="AB25" s="1023" t="s">
        <v>63</v>
      </c>
      <c r="AC25" s="1024">
        <v>96.03063654</v>
      </c>
      <c r="AD25" s="1024">
        <v>45.33021602</v>
      </c>
      <c r="AE25" s="1025">
        <v>155.65999</v>
      </c>
      <c r="AF25" s="225"/>
    </row>
    <row r="26">
      <c r="A26" s="1013"/>
      <c r="B26" s="1019" t="s">
        <v>127</v>
      </c>
      <c r="C26" s="1020" t="s">
        <v>1035</v>
      </c>
      <c r="D26" s="1020" t="s">
        <v>1043</v>
      </c>
      <c r="E26" s="1020" t="s">
        <v>1037</v>
      </c>
      <c r="F26" s="1020">
        <v>2021.0</v>
      </c>
      <c r="G26" s="1021">
        <v>0.007108556</v>
      </c>
      <c r="H26" s="1021">
        <v>0.006075476</v>
      </c>
      <c r="I26" s="1022">
        <v>0.008461726</v>
      </c>
      <c r="K26" s="1019" t="s">
        <v>114</v>
      </c>
      <c r="L26" s="1020" t="s">
        <v>1037</v>
      </c>
      <c r="M26" s="1020" t="s">
        <v>1035</v>
      </c>
      <c r="N26" s="1020" t="s">
        <v>1044</v>
      </c>
      <c r="O26" s="1020">
        <v>2021.0</v>
      </c>
      <c r="P26" s="1020" t="s">
        <v>1039</v>
      </c>
      <c r="Q26" s="1023" t="s">
        <v>63</v>
      </c>
      <c r="R26" s="1024">
        <v>2235.373294</v>
      </c>
      <c r="S26" s="1024">
        <v>1873.016875</v>
      </c>
      <c r="T26" s="1025">
        <v>2662.904382</v>
      </c>
      <c r="V26" s="1019" t="s">
        <v>114</v>
      </c>
      <c r="W26" s="1020" t="s">
        <v>1040</v>
      </c>
      <c r="X26" s="1020" t="s">
        <v>1035</v>
      </c>
      <c r="Y26" s="1020" t="s">
        <v>1044</v>
      </c>
      <c r="Z26" s="1020">
        <v>2021.0</v>
      </c>
      <c r="AA26" s="1020" t="s">
        <v>1039</v>
      </c>
      <c r="AB26" s="1023" t="s">
        <v>63</v>
      </c>
      <c r="AC26" s="1024">
        <v>98.96516718</v>
      </c>
      <c r="AD26" s="1024">
        <v>55.88190495</v>
      </c>
      <c r="AE26" s="1025">
        <v>155.0982226</v>
      </c>
      <c r="AF26" s="225"/>
    </row>
    <row r="27">
      <c r="A27" s="1013"/>
      <c r="B27" s="1019" t="s">
        <v>127</v>
      </c>
      <c r="C27" s="1020" t="s">
        <v>1035</v>
      </c>
      <c r="D27" s="1020" t="s">
        <v>1045</v>
      </c>
      <c r="E27" s="1020" t="s">
        <v>1037</v>
      </c>
      <c r="F27" s="1020">
        <v>2021.0</v>
      </c>
      <c r="G27" s="1021">
        <v>0.062650291</v>
      </c>
      <c r="H27" s="1021">
        <v>0.050521089</v>
      </c>
      <c r="I27" s="1022">
        <v>0.07609998</v>
      </c>
      <c r="K27" s="1019" t="s">
        <v>114</v>
      </c>
      <c r="L27" s="1020" t="s">
        <v>1037</v>
      </c>
      <c r="M27" s="1020" t="s">
        <v>1035</v>
      </c>
      <c r="N27" s="1020" t="s">
        <v>1046</v>
      </c>
      <c r="O27" s="1020">
        <v>2021.0</v>
      </c>
      <c r="P27" s="1020" t="s">
        <v>1039</v>
      </c>
      <c r="Q27" s="1023" t="s">
        <v>63</v>
      </c>
      <c r="R27" s="1024">
        <v>11096.20021</v>
      </c>
      <c r="S27" s="1024">
        <v>9183.564882</v>
      </c>
      <c r="T27" s="1025">
        <v>13355.31151</v>
      </c>
      <c r="V27" s="1019" t="s">
        <v>114</v>
      </c>
      <c r="W27" s="1020" t="s">
        <v>1040</v>
      </c>
      <c r="X27" s="1020" t="s">
        <v>1035</v>
      </c>
      <c r="Y27" s="1020" t="s">
        <v>1046</v>
      </c>
      <c r="Z27" s="1020">
        <v>2021.0</v>
      </c>
      <c r="AA27" s="1020" t="s">
        <v>1039</v>
      </c>
      <c r="AB27" s="1023" t="s">
        <v>63</v>
      </c>
      <c r="AC27" s="1024">
        <v>1698.731591</v>
      </c>
      <c r="AD27" s="1024">
        <v>1077.173114</v>
      </c>
      <c r="AE27" s="1025">
        <v>2463.088788</v>
      </c>
      <c r="AF27" s="225"/>
    </row>
    <row r="28">
      <c r="A28" s="1013"/>
      <c r="B28" s="1019" t="s">
        <v>128</v>
      </c>
      <c r="C28" s="1020" t="s">
        <v>1035</v>
      </c>
      <c r="D28" s="1020" t="s">
        <v>1036</v>
      </c>
      <c r="E28" s="1020" t="s">
        <v>1037</v>
      </c>
      <c r="F28" s="1020">
        <v>2021.0</v>
      </c>
      <c r="G28" s="1021">
        <v>0.169997194</v>
      </c>
      <c r="H28" s="1021">
        <v>0.123995317</v>
      </c>
      <c r="I28" s="1022">
        <v>0.225594421</v>
      </c>
      <c r="K28" s="1019" t="s">
        <v>114</v>
      </c>
      <c r="L28" s="1020" t="s">
        <v>1037</v>
      </c>
      <c r="M28" s="1020" t="s">
        <v>1035</v>
      </c>
      <c r="N28" s="1020" t="s">
        <v>1045</v>
      </c>
      <c r="O28" s="1020">
        <v>2021.0</v>
      </c>
      <c r="P28" s="1020" t="s">
        <v>1039</v>
      </c>
      <c r="Q28" s="1023" t="s">
        <v>63</v>
      </c>
      <c r="R28" s="1024">
        <v>48315.80047</v>
      </c>
      <c r="S28" s="1024">
        <v>40279.34658</v>
      </c>
      <c r="T28" s="1025">
        <v>58001.14964</v>
      </c>
      <c r="V28" s="1019" t="s">
        <v>114</v>
      </c>
      <c r="W28" s="1020" t="s">
        <v>1040</v>
      </c>
      <c r="X28" s="1020" t="s">
        <v>1035</v>
      </c>
      <c r="Y28" s="1020" t="s">
        <v>1045</v>
      </c>
      <c r="Z28" s="1020">
        <v>2021.0</v>
      </c>
      <c r="AA28" s="1020" t="s">
        <v>1039</v>
      </c>
      <c r="AB28" s="1023" t="s">
        <v>63</v>
      </c>
      <c r="AC28" s="1024">
        <v>3625.84195</v>
      </c>
      <c r="AD28" s="1024">
        <v>2234.403428</v>
      </c>
      <c r="AE28" s="1025">
        <v>5462.942269</v>
      </c>
      <c r="AF28" s="225"/>
    </row>
    <row r="29">
      <c r="A29" s="1013"/>
      <c r="B29" s="1019" t="s">
        <v>128</v>
      </c>
      <c r="C29" s="1020" t="s">
        <v>1035</v>
      </c>
      <c r="D29" s="1020" t="s">
        <v>1041</v>
      </c>
      <c r="E29" s="1020" t="s">
        <v>1037</v>
      </c>
      <c r="F29" s="1020">
        <v>2021.0</v>
      </c>
      <c r="G29" s="1021">
        <v>0.512460188</v>
      </c>
      <c r="H29" s="1021">
        <v>0.432647836</v>
      </c>
      <c r="I29" s="1022">
        <v>0.604636045</v>
      </c>
      <c r="K29" s="1019" t="s">
        <v>127</v>
      </c>
      <c r="L29" s="1020" t="s">
        <v>1037</v>
      </c>
      <c r="M29" s="1020" t="s">
        <v>1035</v>
      </c>
      <c r="N29" s="1020" t="s">
        <v>1038</v>
      </c>
      <c r="O29" s="1020">
        <v>2021.0</v>
      </c>
      <c r="P29" s="1020" t="s">
        <v>1039</v>
      </c>
      <c r="Q29" s="1023" t="s">
        <v>63</v>
      </c>
      <c r="R29" s="1024">
        <v>481.6579406</v>
      </c>
      <c r="S29" s="1024">
        <v>363.1394634</v>
      </c>
      <c r="T29" s="1025">
        <v>619.855085</v>
      </c>
      <c r="V29" s="1019" t="s">
        <v>127</v>
      </c>
      <c r="W29" s="1020" t="s">
        <v>1040</v>
      </c>
      <c r="X29" s="1020" t="s">
        <v>1035</v>
      </c>
      <c r="Y29" s="1020" t="s">
        <v>1038</v>
      </c>
      <c r="Z29" s="1020">
        <v>2021.0</v>
      </c>
      <c r="AA29" s="1020" t="s">
        <v>1039</v>
      </c>
      <c r="AB29" s="1023" t="s">
        <v>63</v>
      </c>
      <c r="AC29" s="1024">
        <v>20.17504436</v>
      </c>
      <c r="AD29" s="1024">
        <v>11.15437049</v>
      </c>
      <c r="AE29" s="1025">
        <v>35.76455685</v>
      </c>
      <c r="AF29" s="225"/>
    </row>
    <row r="30">
      <c r="A30" s="1013"/>
      <c r="B30" s="1019" t="s">
        <v>128</v>
      </c>
      <c r="C30" s="1020" t="s">
        <v>1035</v>
      </c>
      <c r="D30" s="1020" t="s">
        <v>1043</v>
      </c>
      <c r="E30" s="1020" t="s">
        <v>1037</v>
      </c>
      <c r="F30" s="1020">
        <v>2021.0</v>
      </c>
      <c r="G30" s="1021">
        <v>0.010831297</v>
      </c>
      <c r="H30" s="1021">
        <v>0.008835142</v>
      </c>
      <c r="I30" s="1022">
        <v>0.01329952</v>
      </c>
      <c r="K30" s="1019" t="s">
        <v>127</v>
      </c>
      <c r="L30" s="1020" t="s">
        <v>1037</v>
      </c>
      <c r="M30" s="1020" t="s">
        <v>1035</v>
      </c>
      <c r="N30" s="1020" t="s">
        <v>1042</v>
      </c>
      <c r="O30" s="1020">
        <v>2021.0</v>
      </c>
      <c r="P30" s="1020" t="s">
        <v>1039</v>
      </c>
      <c r="Q30" s="1023" t="s">
        <v>63</v>
      </c>
      <c r="R30" s="1024">
        <v>430.7414392</v>
      </c>
      <c r="S30" s="1024">
        <v>344.1365019</v>
      </c>
      <c r="T30" s="1025">
        <v>522.3939576</v>
      </c>
      <c r="V30" s="1019" t="s">
        <v>127</v>
      </c>
      <c r="W30" s="1020" t="s">
        <v>1040</v>
      </c>
      <c r="X30" s="1020" t="s">
        <v>1035</v>
      </c>
      <c r="Y30" s="1020" t="s">
        <v>1042</v>
      </c>
      <c r="Z30" s="1020">
        <v>2021.0</v>
      </c>
      <c r="AA30" s="1020" t="s">
        <v>1039</v>
      </c>
      <c r="AB30" s="1023" t="s">
        <v>63</v>
      </c>
      <c r="AC30" s="1024">
        <v>2.258670114</v>
      </c>
      <c r="AD30" s="1024">
        <v>1.505072872</v>
      </c>
      <c r="AE30" s="1025">
        <v>3.481080069</v>
      </c>
      <c r="AF30" s="225"/>
    </row>
    <row r="31">
      <c r="A31" s="1013"/>
      <c r="B31" s="1019" t="s">
        <v>128</v>
      </c>
      <c r="C31" s="1020" t="s">
        <v>1035</v>
      </c>
      <c r="D31" s="1020" t="s">
        <v>1045</v>
      </c>
      <c r="E31" s="1020" t="s">
        <v>1037</v>
      </c>
      <c r="F31" s="1020">
        <v>2021.0</v>
      </c>
      <c r="G31" s="1021">
        <v>0.085483012</v>
      </c>
      <c r="H31" s="1021">
        <v>0.068951043</v>
      </c>
      <c r="I31" s="1022">
        <v>0.105496359</v>
      </c>
      <c r="K31" s="1019" t="s">
        <v>127</v>
      </c>
      <c r="L31" s="1020" t="s">
        <v>1037</v>
      </c>
      <c r="M31" s="1020" t="s">
        <v>1035</v>
      </c>
      <c r="N31" s="1020" t="s">
        <v>1044</v>
      </c>
      <c r="O31" s="1020">
        <v>2021.0</v>
      </c>
      <c r="P31" s="1020" t="s">
        <v>1039</v>
      </c>
      <c r="Q31" s="1023" t="s">
        <v>63</v>
      </c>
      <c r="R31" s="1024">
        <v>91.32049891</v>
      </c>
      <c r="S31" s="1024">
        <v>73.6398554</v>
      </c>
      <c r="T31" s="1025">
        <v>109.9300589</v>
      </c>
      <c r="V31" s="1019" t="s">
        <v>127</v>
      </c>
      <c r="W31" s="1020" t="s">
        <v>1040</v>
      </c>
      <c r="X31" s="1020" t="s">
        <v>1035</v>
      </c>
      <c r="Y31" s="1020" t="s">
        <v>1044</v>
      </c>
      <c r="Z31" s="1020">
        <v>2021.0</v>
      </c>
      <c r="AA31" s="1020" t="s">
        <v>1039</v>
      </c>
      <c r="AB31" s="1023" t="s">
        <v>63</v>
      </c>
      <c r="AC31" s="1024">
        <v>3.594939414</v>
      </c>
      <c r="AD31" s="1024">
        <v>2.529292857</v>
      </c>
      <c r="AE31" s="1025">
        <v>5.061743122</v>
      </c>
      <c r="AF31" s="225"/>
    </row>
    <row r="32">
      <c r="A32" s="1013"/>
      <c r="B32" s="1019" t="s">
        <v>129</v>
      </c>
      <c r="C32" s="1020" t="s">
        <v>1035</v>
      </c>
      <c r="D32" s="1020" t="s">
        <v>1036</v>
      </c>
      <c r="E32" s="1020" t="s">
        <v>1037</v>
      </c>
      <c r="F32" s="1020">
        <v>2021.0</v>
      </c>
      <c r="G32" s="1021">
        <v>0.117774208</v>
      </c>
      <c r="H32" s="1021">
        <v>0.092651657</v>
      </c>
      <c r="I32" s="1022">
        <v>0.149467401</v>
      </c>
      <c r="K32" s="1019" t="s">
        <v>127</v>
      </c>
      <c r="L32" s="1020" t="s">
        <v>1037</v>
      </c>
      <c r="M32" s="1020" t="s">
        <v>1035</v>
      </c>
      <c r="N32" s="1020" t="s">
        <v>1046</v>
      </c>
      <c r="O32" s="1020">
        <v>2021.0</v>
      </c>
      <c r="P32" s="1020" t="s">
        <v>1039</v>
      </c>
      <c r="Q32" s="1023" t="s">
        <v>63</v>
      </c>
      <c r="R32" s="1024">
        <v>386.5923255</v>
      </c>
      <c r="S32" s="1024">
        <v>324.9800507</v>
      </c>
      <c r="T32" s="1025">
        <v>459.5362602</v>
      </c>
      <c r="V32" s="1019" t="s">
        <v>127</v>
      </c>
      <c r="W32" s="1020" t="s">
        <v>1040</v>
      </c>
      <c r="X32" s="1020" t="s">
        <v>1035</v>
      </c>
      <c r="Y32" s="1020" t="s">
        <v>1046</v>
      </c>
      <c r="Z32" s="1020">
        <v>2021.0</v>
      </c>
      <c r="AA32" s="1020" t="s">
        <v>1039</v>
      </c>
      <c r="AB32" s="1023" t="s">
        <v>63</v>
      </c>
      <c r="AC32" s="1024">
        <v>40.11415175</v>
      </c>
      <c r="AD32" s="1024">
        <v>26.31952321</v>
      </c>
      <c r="AE32" s="1025">
        <v>57.65362447</v>
      </c>
      <c r="AF32" s="225"/>
    </row>
    <row r="33">
      <c r="A33" s="1013"/>
      <c r="B33" s="1019" t="s">
        <v>129</v>
      </c>
      <c r="C33" s="1020" t="s">
        <v>1035</v>
      </c>
      <c r="D33" s="1020" t="s">
        <v>1041</v>
      </c>
      <c r="E33" s="1020" t="s">
        <v>1037</v>
      </c>
      <c r="F33" s="1020">
        <v>2021.0</v>
      </c>
      <c r="G33" s="1021">
        <v>0.550815767</v>
      </c>
      <c r="H33" s="1021">
        <v>0.479456316</v>
      </c>
      <c r="I33" s="1022">
        <v>0.634277676</v>
      </c>
      <c r="K33" s="1019" t="s">
        <v>127</v>
      </c>
      <c r="L33" s="1020" t="s">
        <v>1037</v>
      </c>
      <c r="M33" s="1020" t="s">
        <v>1035</v>
      </c>
      <c r="N33" s="1020" t="s">
        <v>1045</v>
      </c>
      <c r="O33" s="1020">
        <v>2021.0</v>
      </c>
      <c r="P33" s="1020" t="s">
        <v>1039</v>
      </c>
      <c r="Q33" s="1023" t="s">
        <v>63</v>
      </c>
      <c r="R33" s="1024">
        <v>1390.312204</v>
      </c>
      <c r="S33" s="1024">
        <v>1112.810403</v>
      </c>
      <c r="T33" s="1025">
        <v>1700.594335</v>
      </c>
      <c r="V33" s="1019" t="s">
        <v>127</v>
      </c>
      <c r="W33" s="1020" t="s">
        <v>1040</v>
      </c>
      <c r="X33" s="1020" t="s">
        <v>1035</v>
      </c>
      <c r="Y33" s="1020" t="s">
        <v>1045</v>
      </c>
      <c r="Z33" s="1020">
        <v>2021.0</v>
      </c>
      <c r="AA33" s="1020" t="s">
        <v>1039</v>
      </c>
      <c r="AB33" s="1023" t="s">
        <v>63</v>
      </c>
      <c r="AC33" s="1024">
        <v>66.14280564</v>
      </c>
      <c r="AD33" s="1024">
        <v>42.62251759</v>
      </c>
      <c r="AE33" s="1025">
        <v>95.68752528</v>
      </c>
      <c r="AF33" s="225"/>
    </row>
    <row r="34">
      <c r="A34" s="1013"/>
      <c r="B34" s="1019" t="s">
        <v>129</v>
      </c>
      <c r="C34" s="1020" t="s">
        <v>1035</v>
      </c>
      <c r="D34" s="1020" t="s">
        <v>1043</v>
      </c>
      <c r="E34" s="1020" t="s">
        <v>1037</v>
      </c>
      <c r="F34" s="1020">
        <v>2021.0</v>
      </c>
      <c r="G34" s="1021">
        <v>0.008973922</v>
      </c>
      <c r="H34" s="1021">
        <v>0.007283454</v>
      </c>
      <c r="I34" s="1022">
        <v>0.01098754</v>
      </c>
      <c r="K34" s="1026" t="s">
        <v>128</v>
      </c>
      <c r="L34" s="1027" t="s">
        <v>1037</v>
      </c>
      <c r="M34" s="1027" t="s">
        <v>1035</v>
      </c>
      <c r="N34" s="1027" t="s">
        <v>1038</v>
      </c>
      <c r="O34" s="1027">
        <v>2021.0</v>
      </c>
      <c r="P34" s="1027" t="s">
        <v>1039</v>
      </c>
      <c r="Q34" s="1028" t="s">
        <v>63</v>
      </c>
      <c r="R34" s="1029">
        <v>6583.199025</v>
      </c>
      <c r="S34" s="1029">
        <v>5248.895843</v>
      </c>
      <c r="T34" s="1030">
        <v>8274.660589</v>
      </c>
      <c r="V34" s="1026" t="s">
        <v>128</v>
      </c>
      <c r="W34" s="1027" t="s">
        <v>1040</v>
      </c>
      <c r="X34" s="1027" t="s">
        <v>1035</v>
      </c>
      <c r="Y34" s="1027" t="s">
        <v>1038</v>
      </c>
      <c r="Z34" s="1027">
        <v>2021.0</v>
      </c>
      <c r="AA34" s="1027" t="s">
        <v>1039</v>
      </c>
      <c r="AB34" s="1028" t="s">
        <v>63</v>
      </c>
      <c r="AC34" s="1029">
        <v>292.0546967</v>
      </c>
      <c r="AD34" s="1029">
        <v>164.4102493</v>
      </c>
      <c r="AE34" s="1030">
        <v>481.2766824</v>
      </c>
      <c r="AF34" s="225"/>
    </row>
    <row r="35">
      <c r="A35" s="1013"/>
      <c r="B35" s="1019" t="s">
        <v>129</v>
      </c>
      <c r="C35" s="1020" t="s">
        <v>1035</v>
      </c>
      <c r="D35" s="1020" t="s">
        <v>1045</v>
      </c>
      <c r="E35" s="1020" t="s">
        <v>1037</v>
      </c>
      <c r="F35" s="1020">
        <v>2021.0</v>
      </c>
      <c r="G35" s="1021">
        <v>0.068387563</v>
      </c>
      <c r="H35" s="1021">
        <v>0.055551835</v>
      </c>
      <c r="I35" s="1022">
        <v>0.084282502</v>
      </c>
      <c r="K35" s="1019" t="s">
        <v>128</v>
      </c>
      <c r="L35" s="1020" t="s">
        <v>1037</v>
      </c>
      <c r="M35" s="1020" t="s">
        <v>1035</v>
      </c>
      <c r="N35" s="1020" t="s">
        <v>1042</v>
      </c>
      <c r="O35" s="1020">
        <v>2021.0</v>
      </c>
      <c r="P35" s="1020" t="s">
        <v>1039</v>
      </c>
      <c r="Q35" s="1023" t="s">
        <v>63</v>
      </c>
      <c r="R35" s="1024">
        <v>10701.58524</v>
      </c>
      <c r="S35" s="1024">
        <v>8510.27853</v>
      </c>
      <c r="T35" s="1025">
        <v>13494.65955</v>
      </c>
      <c r="V35" s="1019" t="s">
        <v>128</v>
      </c>
      <c r="W35" s="1020" t="s">
        <v>1040</v>
      </c>
      <c r="X35" s="1020" t="s">
        <v>1035</v>
      </c>
      <c r="Y35" s="1020" t="s">
        <v>1042</v>
      </c>
      <c r="Z35" s="1020">
        <v>2021.0</v>
      </c>
      <c r="AA35" s="1020" t="s">
        <v>1039</v>
      </c>
      <c r="AB35" s="1023" t="s">
        <v>63</v>
      </c>
      <c r="AC35" s="1024">
        <v>54.1284809</v>
      </c>
      <c r="AD35" s="1024">
        <v>32.15569663</v>
      </c>
      <c r="AE35" s="1025">
        <v>85.59580522</v>
      </c>
      <c r="AF35" s="225"/>
    </row>
    <row r="36">
      <c r="A36" s="1013"/>
      <c r="B36" s="1019" t="s">
        <v>130</v>
      </c>
      <c r="C36" s="1020" t="s">
        <v>1035</v>
      </c>
      <c r="D36" s="1020" t="s">
        <v>1036</v>
      </c>
      <c r="E36" s="1020" t="s">
        <v>1037</v>
      </c>
      <c r="F36" s="1020">
        <v>2021.0</v>
      </c>
      <c r="G36" s="1021">
        <v>0.094696848</v>
      </c>
      <c r="H36" s="1021">
        <v>0.073922789</v>
      </c>
      <c r="I36" s="1022">
        <v>0.118724021</v>
      </c>
      <c r="K36" s="1019" t="s">
        <v>128</v>
      </c>
      <c r="L36" s="1020" t="s">
        <v>1037</v>
      </c>
      <c r="M36" s="1020" t="s">
        <v>1035</v>
      </c>
      <c r="N36" s="1020" t="s">
        <v>1044</v>
      </c>
      <c r="O36" s="1020">
        <v>2021.0</v>
      </c>
      <c r="P36" s="1020" t="s">
        <v>1039</v>
      </c>
      <c r="Q36" s="1023" t="s">
        <v>63</v>
      </c>
      <c r="R36" s="1024">
        <v>2031.026959</v>
      </c>
      <c r="S36" s="1024">
        <v>1507.129621</v>
      </c>
      <c r="T36" s="1025">
        <v>2759.718558</v>
      </c>
      <c r="V36" s="1019" t="s">
        <v>128</v>
      </c>
      <c r="W36" s="1020" t="s">
        <v>1040</v>
      </c>
      <c r="X36" s="1020" t="s">
        <v>1035</v>
      </c>
      <c r="Y36" s="1020" t="s">
        <v>1044</v>
      </c>
      <c r="Z36" s="1020">
        <v>2021.0</v>
      </c>
      <c r="AA36" s="1020" t="s">
        <v>1039</v>
      </c>
      <c r="AB36" s="1023" t="s">
        <v>63</v>
      </c>
      <c r="AC36" s="1024">
        <v>70.28343001</v>
      </c>
      <c r="AD36" s="1024">
        <v>46.7646499</v>
      </c>
      <c r="AE36" s="1025">
        <v>108.2149512</v>
      </c>
      <c r="AF36" s="225"/>
    </row>
    <row r="37">
      <c r="A37" s="1013"/>
      <c r="B37" s="1019" t="s">
        <v>130</v>
      </c>
      <c r="C37" s="1020" t="s">
        <v>1035</v>
      </c>
      <c r="D37" s="1020" t="s">
        <v>1041</v>
      </c>
      <c r="E37" s="1020" t="s">
        <v>1037</v>
      </c>
      <c r="F37" s="1020">
        <v>2021.0</v>
      </c>
      <c r="G37" s="1021">
        <v>0.447704892</v>
      </c>
      <c r="H37" s="1021">
        <v>0.385860873</v>
      </c>
      <c r="I37" s="1022">
        <v>0.51690822</v>
      </c>
      <c r="K37" s="1019" t="s">
        <v>128</v>
      </c>
      <c r="L37" s="1020" t="s">
        <v>1037</v>
      </c>
      <c r="M37" s="1020" t="s">
        <v>1035</v>
      </c>
      <c r="N37" s="1020" t="s">
        <v>1046</v>
      </c>
      <c r="O37" s="1020">
        <v>2021.0</v>
      </c>
      <c r="P37" s="1020" t="s">
        <v>1039</v>
      </c>
      <c r="Q37" s="1023" t="s">
        <v>63</v>
      </c>
      <c r="R37" s="1024">
        <v>8723.632911</v>
      </c>
      <c r="S37" s="1024">
        <v>7079.595277</v>
      </c>
      <c r="T37" s="1025">
        <v>10733.4375</v>
      </c>
      <c r="V37" s="1019" t="s">
        <v>128</v>
      </c>
      <c r="W37" s="1020" t="s">
        <v>1040</v>
      </c>
      <c r="X37" s="1020" t="s">
        <v>1035</v>
      </c>
      <c r="Y37" s="1020" t="s">
        <v>1046</v>
      </c>
      <c r="Z37" s="1020">
        <v>2021.0</v>
      </c>
      <c r="AA37" s="1020" t="s">
        <v>1039</v>
      </c>
      <c r="AB37" s="1023" t="s">
        <v>63</v>
      </c>
      <c r="AC37" s="1024">
        <v>878.120055</v>
      </c>
      <c r="AD37" s="1024">
        <v>567.4943963</v>
      </c>
      <c r="AE37" s="1025">
        <v>1251.283147</v>
      </c>
      <c r="AF37" s="225"/>
    </row>
    <row r="38">
      <c r="A38" s="1013"/>
      <c r="B38" s="1019" t="s">
        <v>130</v>
      </c>
      <c r="C38" s="1020" t="s">
        <v>1035</v>
      </c>
      <c r="D38" s="1020" t="s">
        <v>1043</v>
      </c>
      <c r="E38" s="1020" t="s">
        <v>1037</v>
      </c>
      <c r="F38" s="1020">
        <v>2021.0</v>
      </c>
      <c r="G38" s="1021">
        <v>0.007142855</v>
      </c>
      <c r="H38" s="1021">
        <v>0.005961176</v>
      </c>
      <c r="I38" s="1022">
        <v>0.008672634</v>
      </c>
      <c r="K38" s="1019" t="s">
        <v>128</v>
      </c>
      <c r="L38" s="1020" t="s">
        <v>1037</v>
      </c>
      <c r="M38" s="1020" t="s">
        <v>1035</v>
      </c>
      <c r="N38" s="1020" t="s">
        <v>1045</v>
      </c>
      <c r="O38" s="1020">
        <v>2021.0</v>
      </c>
      <c r="P38" s="1020" t="s">
        <v>1039</v>
      </c>
      <c r="Q38" s="1023" t="s">
        <v>63</v>
      </c>
      <c r="R38" s="1024">
        <v>28039.44413</v>
      </c>
      <c r="S38" s="1024">
        <v>22409.03231</v>
      </c>
      <c r="T38" s="1025">
        <v>35022.28443</v>
      </c>
      <c r="V38" s="1019" t="s">
        <v>128</v>
      </c>
      <c r="W38" s="1020" t="s">
        <v>1040</v>
      </c>
      <c r="X38" s="1020" t="s">
        <v>1035</v>
      </c>
      <c r="Y38" s="1020" t="s">
        <v>1045</v>
      </c>
      <c r="Z38" s="1020">
        <v>2021.0</v>
      </c>
      <c r="AA38" s="1020" t="s">
        <v>1039</v>
      </c>
      <c r="AB38" s="1023" t="s">
        <v>63</v>
      </c>
      <c r="AC38" s="1024">
        <v>1294.586663</v>
      </c>
      <c r="AD38" s="1024">
        <v>856.8223097</v>
      </c>
      <c r="AE38" s="1025">
        <v>1817.962769</v>
      </c>
      <c r="AF38" s="225"/>
    </row>
    <row r="39">
      <c r="A39" s="1013"/>
      <c r="B39" s="1019" t="s">
        <v>130</v>
      </c>
      <c r="C39" s="1020" t="s">
        <v>1035</v>
      </c>
      <c r="D39" s="1020" t="s">
        <v>1045</v>
      </c>
      <c r="E39" s="1020" t="s">
        <v>1037</v>
      </c>
      <c r="F39" s="1020">
        <v>2021.0</v>
      </c>
      <c r="G39" s="1021">
        <v>0.056076099</v>
      </c>
      <c r="H39" s="1021">
        <v>0.044027653</v>
      </c>
      <c r="I39" s="1022">
        <v>0.071472771</v>
      </c>
      <c r="K39" s="1031" t="s">
        <v>129</v>
      </c>
      <c r="L39" s="1032" t="s">
        <v>1037</v>
      </c>
      <c r="M39" s="1032" t="s">
        <v>1035</v>
      </c>
      <c r="N39" s="1032" t="s">
        <v>1038</v>
      </c>
      <c r="O39" s="1032">
        <v>2021.0</v>
      </c>
      <c r="P39" s="1032" t="s">
        <v>1039</v>
      </c>
      <c r="Q39" s="1033" t="s">
        <v>63</v>
      </c>
      <c r="R39" s="1034">
        <v>3818.331096</v>
      </c>
      <c r="S39" s="1034">
        <v>3063.699707</v>
      </c>
      <c r="T39" s="1035">
        <v>4775.383677</v>
      </c>
      <c r="V39" s="1031" t="s">
        <v>129</v>
      </c>
      <c r="W39" s="1032" t="s">
        <v>1040</v>
      </c>
      <c r="X39" s="1032" t="s">
        <v>1035</v>
      </c>
      <c r="Y39" s="1032" t="s">
        <v>1038</v>
      </c>
      <c r="Z39" s="1032">
        <v>2021.0</v>
      </c>
      <c r="AA39" s="1032" t="s">
        <v>1039</v>
      </c>
      <c r="AB39" s="1033" t="s">
        <v>63</v>
      </c>
      <c r="AC39" s="1034">
        <v>204.1472539</v>
      </c>
      <c r="AD39" s="1034">
        <v>110.4918054</v>
      </c>
      <c r="AE39" s="1035">
        <v>340.3682839</v>
      </c>
      <c r="AF39" s="225"/>
    </row>
    <row r="40">
      <c r="A40" s="1013"/>
      <c r="B40" s="1019" t="s">
        <v>131</v>
      </c>
      <c r="C40" s="1020" t="s">
        <v>1035</v>
      </c>
      <c r="D40" s="1020" t="s">
        <v>1036</v>
      </c>
      <c r="E40" s="1020" t="s">
        <v>1037</v>
      </c>
      <c r="F40" s="1020">
        <v>2021.0</v>
      </c>
      <c r="G40" s="1021">
        <v>0.097138916</v>
      </c>
      <c r="H40" s="1021">
        <v>0.077809154</v>
      </c>
      <c r="I40" s="1022">
        <v>0.121862575</v>
      </c>
      <c r="K40" s="1031" t="s">
        <v>129</v>
      </c>
      <c r="L40" s="1032" t="s">
        <v>1037</v>
      </c>
      <c r="M40" s="1032" t="s">
        <v>1035</v>
      </c>
      <c r="N40" s="1032" t="s">
        <v>1042</v>
      </c>
      <c r="O40" s="1032">
        <v>2021.0</v>
      </c>
      <c r="P40" s="1032" t="s">
        <v>1039</v>
      </c>
      <c r="Q40" s="1033" t="s">
        <v>63</v>
      </c>
      <c r="R40" s="1034">
        <v>4023.565418</v>
      </c>
      <c r="S40" s="1034">
        <v>3193.64503</v>
      </c>
      <c r="T40" s="1035">
        <v>5137.264918</v>
      </c>
      <c r="V40" s="1019" t="s">
        <v>129</v>
      </c>
      <c r="W40" s="1020" t="s">
        <v>1040</v>
      </c>
      <c r="X40" s="1020" t="s">
        <v>1035</v>
      </c>
      <c r="Y40" s="1020" t="s">
        <v>1042</v>
      </c>
      <c r="Z40" s="1020">
        <v>2021.0</v>
      </c>
      <c r="AA40" s="1020" t="s">
        <v>1039</v>
      </c>
      <c r="AB40" s="1023" t="s">
        <v>63</v>
      </c>
      <c r="AC40" s="1024">
        <v>23.56598928</v>
      </c>
      <c r="AD40" s="1024">
        <v>14.53579626</v>
      </c>
      <c r="AE40" s="1025">
        <v>38.14758045</v>
      </c>
      <c r="AF40" s="225"/>
    </row>
    <row r="41">
      <c r="A41" s="1013"/>
      <c r="B41" s="1019" t="s">
        <v>131</v>
      </c>
      <c r="C41" s="1020" t="s">
        <v>1035</v>
      </c>
      <c r="D41" s="1020" t="s">
        <v>1041</v>
      </c>
      <c r="E41" s="1020" t="s">
        <v>1037</v>
      </c>
      <c r="F41" s="1020">
        <v>2021.0</v>
      </c>
      <c r="G41" s="1021">
        <v>0.456880968</v>
      </c>
      <c r="H41" s="1021">
        <v>0.399591578</v>
      </c>
      <c r="I41" s="1022">
        <v>0.521803878</v>
      </c>
      <c r="K41" s="1031" t="s">
        <v>129</v>
      </c>
      <c r="L41" s="1032" t="s">
        <v>1037</v>
      </c>
      <c r="M41" s="1032" t="s">
        <v>1035</v>
      </c>
      <c r="N41" s="1032" t="s">
        <v>1044</v>
      </c>
      <c r="O41" s="1032">
        <v>2021.0</v>
      </c>
      <c r="P41" s="1032" t="s">
        <v>1039</v>
      </c>
      <c r="Q41" s="1033" t="s">
        <v>63</v>
      </c>
      <c r="R41" s="1034">
        <v>875.685956</v>
      </c>
      <c r="S41" s="1034">
        <v>713.0307482</v>
      </c>
      <c r="T41" s="1035">
        <v>1096.949264</v>
      </c>
      <c r="V41" s="1031" t="s">
        <v>129</v>
      </c>
      <c r="W41" s="1032" t="s">
        <v>1040</v>
      </c>
      <c r="X41" s="1032" t="s">
        <v>1035</v>
      </c>
      <c r="Y41" s="1032" t="s">
        <v>1044</v>
      </c>
      <c r="Z41" s="1032">
        <v>2021.0</v>
      </c>
      <c r="AA41" s="1032" t="s">
        <v>1039</v>
      </c>
      <c r="AB41" s="1033" t="s">
        <v>63</v>
      </c>
      <c r="AC41" s="1034">
        <v>32.90400786</v>
      </c>
      <c r="AD41" s="1034">
        <v>21.8244515</v>
      </c>
      <c r="AE41" s="1035">
        <v>50.23997117</v>
      </c>
      <c r="AF41" s="225"/>
    </row>
    <row r="42">
      <c r="A42" s="1013"/>
      <c r="B42" s="1019" t="s">
        <v>131</v>
      </c>
      <c r="C42" s="1020" t="s">
        <v>1035</v>
      </c>
      <c r="D42" s="1020" t="s">
        <v>1043</v>
      </c>
      <c r="E42" s="1020" t="s">
        <v>1037</v>
      </c>
      <c r="F42" s="1020">
        <v>2021.0</v>
      </c>
      <c r="G42" s="1021">
        <v>0.008139394</v>
      </c>
      <c r="H42" s="1021">
        <v>0.006842267</v>
      </c>
      <c r="I42" s="1022">
        <v>0.009894319</v>
      </c>
      <c r="K42" s="1031" t="s">
        <v>129</v>
      </c>
      <c r="L42" s="1032" t="s">
        <v>1037</v>
      </c>
      <c r="M42" s="1032" t="s">
        <v>1035</v>
      </c>
      <c r="N42" s="1032" t="s">
        <v>1046</v>
      </c>
      <c r="O42" s="1032">
        <v>2021.0</v>
      </c>
      <c r="P42" s="1032" t="s">
        <v>1039</v>
      </c>
      <c r="Q42" s="1033" t="s">
        <v>63</v>
      </c>
      <c r="R42" s="1034">
        <v>3242.226888</v>
      </c>
      <c r="S42" s="1034">
        <v>2624.725671</v>
      </c>
      <c r="T42" s="1035">
        <v>4072.815884</v>
      </c>
      <c r="V42" s="1026" t="s">
        <v>129</v>
      </c>
      <c r="W42" s="1027" t="s">
        <v>1040</v>
      </c>
      <c r="X42" s="1027" t="s">
        <v>1035</v>
      </c>
      <c r="Y42" s="1027" t="s">
        <v>1046</v>
      </c>
      <c r="Z42" s="1027">
        <v>2021.0</v>
      </c>
      <c r="AA42" s="1027" t="s">
        <v>1039</v>
      </c>
      <c r="AB42" s="1028" t="s">
        <v>63</v>
      </c>
      <c r="AC42" s="1029">
        <v>429.4072025</v>
      </c>
      <c r="AD42" s="1029">
        <v>282.3561189</v>
      </c>
      <c r="AE42" s="1030">
        <v>614.3643089</v>
      </c>
      <c r="AF42" s="225"/>
    </row>
    <row r="43">
      <c r="A43" s="1013"/>
      <c r="B43" s="1019" t="s">
        <v>131</v>
      </c>
      <c r="C43" s="1020" t="s">
        <v>1035</v>
      </c>
      <c r="D43" s="1020" t="s">
        <v>1045</v>
      </c>
      <c r="E43" s="1020" t="s">
        <v>1037</v>
      </c>
      <c r="F43" s="1020">
        <v>2021.0</v>
      </c>
      <c r="G43" s="1021">
        <v>0.07191419</v>
      </c>
      <c r="H43" s="1021">
        <v>0.057503307</v>
      </c>
      <c r="I43" s="1022">
        <v>0.090033062</v>
      </c>
      <c r="K43" s="1031" t="s">
        <v>129</v>
      </c>
      <c r="L43" s="1032" t="s">
        <v>1037</v>
      </c>
      <c r="M43" s="1032" t="s">
        <v>1035</v>
      </c>
      <c r="N43" s="1032" t="s">
        <v>1045</v>
      </c>
      <c r="O43" s="1032">
        <v>2021.0</v>
      </c>
      <c r="P43" s="1032" t="s">
        <v>1039</v>
      </c>
      <c r="Q43" s="1033" t="s">
        <v>63</v>
      </c>
      <c r="R43" s="1034">
        <v>11959.80936</v>
      </c>
      <c r="S43" s="1034">
        <v>9643.242331</v>
      </c>
      <c r="T43" s="1035">
        <v>14865.2221</v>
      </c>
      <c r="V43" s="1019" t="s">
        <v>129</v>
      </c>
      <c r="W43" s="1020" t="s">
        <v>1040</v>
      </c>
      <c r="X43" s="1020" t="s">
        <v>1035</v>
      </c>
      <c r="Y43" s="1020" t="s">
        <v>1045</v>
      </c>
      <c r="Z43" s="1020">
        <v>2021.0</v>
      </c>
      <c r="AA43" s="1020" t="s">
        <v>1039</v>
      </c>
      <c r="AB43" s="1023" t="s">
        <v>63</v>
      </c>
      <c r="AC43" s="1024">
        <v>690.0244535</v>
      </c>
      <c r="AD43" s="1024">
        <v>452.1348126</v>
      </c>
      <c r="AE43" s="1025">
        <v>989.9071631</v>
      </c>
      <c r="AF43" s="225"/>
    </row>
    <row r="44">
      <c r="A44" s="1013"/>
      <c r="B44" s="1019" t="s">
        <v>132</v>
      </c>
      <c r="C44" s="1020" t="s">
        <v>1035</v>
      </c>
      <c r="D44" s="1020" t="s">
        <v>1036</v>
      </c>
      <c r="E44" s="1020" t="s">
        <v>1037</v>
      </c>
      <c r="F44" s="1020">
        <v>2021.0</v>
      </c>
      <c r="G44" s="1021">
        <v>0.099413378</v>
      </c>
      <c r="H44" s="1021">
        <v>0.078585502</v>
      </c>
      <c r="I44" s="1022">
        <v>0.123107695</v>
      </c>
      <c r="K44" s="1031" t="s">
        <v>130</v>
      </c>
      <c r="L44" s="1032" t="s">
        <v>1037</v>
      </c>
      <c r="M44" s="1032" t="s">
        <v>1035</v>
      </c>
      <c r="N44" s="1032" t="s">
        <v>1038</v>
      </c>
      <c r="O44" s="1032">
        <v>2021.0</v>
      </c>
      <c r="P44" s="1032" t="s">
        <v>1039</v>
      </c>
      <c r="Q44" s="1033" t="s">
        <v>63</v>
      </c>
      <c r="R44" s="1034">
        <v>1112.646306</v>
      </c>
      <c r="S44" s="1034">
        <v>864.2027202</v>
      </c>
      <c r="T44" s="1035">
        <v>1444.205207</v>
      </c>
      <c r="V44" s="1019" t="s">
        <v>130</v>
      </c>
      <c r="W44" s="1020" t="s">
        <v>1040</v>
      </c>
      <c r="X44" s="1020" t="s">
        <v>1035</v>
      </c>
      <c r="Y44" s="1020" t="s">
        <v>1038</v>
      </c>
      <c r="Z44" s="1020">
        <v>2021.0</v>
      </c>
      <c r="AA44" s="1020" t="s">
        <v>1039</v>
      </c>
      <c r="AB44" s="1023" t="s">
        <v>63</v>
      </c>
      <c r="AC44" s="1024">
        <v>28.99300531</v>
      </c>
      <c r="AD44" s="1024">
        <v>12.27658934</v>
      </c>
      <c r="AE44" s="1025">
        <v>54.25363089</v>
      </c>
      <c r="AF44" s="225"/>
    </row>
    <row r="45">
      <c r="A45" s="1013"/>
      <c r="B45" s="1019" t="s">
        <v>132</v>
      </c>
      <c r="C45" s="1020" t="s">
        <v>1035</v>
      </c>
      <c r="D45" s="1020" t="s">
        <v>1041</v>
      </c>
      <c r="E45" s="1020" t="s">
        <v>1037</v>
      </c>
      <c r="F45" s="1020">
        <v>2021.0</v>
      </c>
      <c r="G45" s="1021">
        <v>0.480767348</v>
      </c>
      <c r="H45" s="1021">
        <v>0.417491078</v>
      </c>
      <c r="I45" s="1022">
        <v>0.546956099</v>
      </c>
      <c r="K45" s="1031" t="s">
        <v>130</v>
      </c>
      <c r="L45" s="1032" t="s">
        <v>1037</v>
      </c>
      <c r="M45" s="1032" t="s">
        <v>1035</v>
      </c>
      <c r="N45" s="1032" t="s">
        <v>1042</v>
      </c>
      <c r="O45" s="1032">
        <v>2021.0</v>
      </c>
      <c r="P45" s="1032" t="s">
        <v>1039</v>
      </c>
      <c r="Q45" s="1033" t="s">
        <v>63</v>
      </c>
      <c r="R45" s="1034">
        <v>1165.263712</v>
      </c>
      <c r="S45" s="1034">
        <v>903.493517</v>
      </c>
      <c r="T45" s="1035">
        <v>1520.766512</v>
      </c>
      <c r="V45" s="1019" t="s">
        <v>130</v>
      </c>
      <c r="W45" s="1020" t="s">
        <v>1040</v>
      </c>
      <c r="X45" s="1020" t="s">
        <v>1035</v>
      </c>
      <c r="Y45" s="1020" t="s">
        <v>1042</v>
      </c>
      <c r="Z45" s="1020">
        <v>2021.0</v>
      </c>
      <c r="AA45" s="1020" t="s">
        <v>1039</v>
      </c>
      <c r="AB45" s="1023" t="s">
        <v>63</v>
      </c>
      <c r="AC45" s="1024">
        <v>4.107578218</v>
      </c>
      <c r="AD45" s="1024">
        <v>2.247267219</v>
      </c>
      <c r="AE45" s="1025">
        <v>7.141360087</v>
      </c>
      <c r="AF45" s="225"/>
    </row>
    <row r="46">
      <c r="A46" s="1013"/>
      <c r="B46" s="1019" t="s">
        <v>132</v>
      </c>
      <c r="C46" s="1020" t="s">
        <v>1035</v>
      </c>
      <c r="D46" s="1020" t="s">
        <v>1043</v>
      </c>
      <c r="E46" s="1020" t="s">
        <v>1037</v>
      </c>
      <c r="F46" s="1020">
        <v>2021.0</v>
      </c>
      <c r="G46" s="1021">
        <v>0.009985465</v>
      </c>
      <c r="H46" s="1021">
        <v>0.008582078</v>
      </c>
      <c r="I46" s="1022">
        <v>0.011753377</v>
      </c>
      <c r="K46" s="1031" t="s">
        <v>130</v>
      </c>
      <c r="L46" s="1032" t="s">
        <v>1037</v>
      </c>
      <c r="M46" s="1032" t="s">
        <v>1035</v>
      </c>
      <c r="N46" s="1032" t="s">
        <v>1044</v>
      </c>
      <c r="O46" s="1032">
        <v>2021.0</v>
      </c>
      <c r="P46" s="1032" t="s">
        <v>1039</v>
      </c>
      <c r="Q46" s="1033" t="s">
        <v>63</v>
      </c>
      <c r="R46" s="1034">
        <v>259.6278203</v>
      </c>
      <c r="S46" s="1034">
        <v>203.3924044</v>
      </c>
      <c r="T46" s="1035">
        <v>335.3280704</v>
      </c>
      <c r="V46" s="1019" t="s">
        <v>130</v>
      </c>
      <c r="W46" s="1020" t="s">
        <v>1040</v>
      </c>
      <c r="X46" s="1020" t="s">
        <v>1035</v>
      </c>
      <c r="Y46" s="1020" t="s">
        <v>1044</v>
      </c>
      <c r="Z46" s="1020">
        <v>2021.0</v>
      </c>
      <c r="AA46" s="1020" t="s">
        <v>1039</v>
      </c>
      <c r="AB46" s="1023" t="s">
        <v>63</v>
      </c>
      <c r="AC46" s="1024">
        <v>4.058509018</v>
      </c>
      <c r="AD46" s="1024">
        <v>2.031835444</v>
      </c>
      <c r="AE46" s="1025">
        <v>7.325340674</v>
      </c>
      <c r="AF46" s="225"/>
    </row>
    <row r="47">
      <c r="A47" s="1013"/>
      <c r="B47" s="1019" t="s">
        <v>132</v>
      </c>
      <c r="C47" s="1020" t="s">
        <v>1035</v>
      </c>
      <c r="D47" s="1020" t="s">
        <v>1045</v>
      </c>
      <c r="E47" s="1020" t="s">
        <v>1037</v>
      </c>
      <c r="F47" s="1020">
        <v>2021.0</v>
      </c>
      <c r="G47" s="1021">
        <v>0.088568103</v>
      </c>
      <c r="H47" s="1021">
        <v>0.06953911</v>
      </c>
      <c r="I47" s="1022">
        <v>0.108654933</v>
      </c>
      <c r="K47" s="1031" t="s">
        <v>130</v>
      </c>
      <c r="L47" s="1032" t="s">
        <v>1037</v>
      </c>
      <c r="M47" s="1032" t="s">
        <v>1035</v>
      </c>
      <c r="N47" s="1032" t="s">
        <v>1046</v>
      </c>
      <c r="O47" s="1032">
        <v>2021.0</v>
      </c>
      <c r="P47" s="1032" t="s">
        <v>1039</v>
      </c>
      <c r="Q47" s="1033" t="s">
        <v>63</v>
      </c>
      <c r="R47" s="1034">
        <v>1125.422409</v>
      </c>
      <c r="S47" s="1034">
        <v>873.2576506</v>
      </c>
      <c r="T47" s="1035">
        <v>1461.353314</v>
      </c>
      <c r="V47" s="1019" t="s">
        <v>130</v>
      </c>
      <c r="W47" s="1020" t="s">
        <v>1040</v>
      </c>
      <c r="X47" s="1020" t="s">
        <v>1035</v>
      </c>
      <c r="Y47" s="1020" t="s">
        <v>1046</v>
      </c>
      <c r="Z47" s="1020">
        <v>2021.0</v>
      </c>
      <c r="AA47" s="1020" t="s">
        <v>1039</v>
      </c>
      <c r="AB47" s="1023" t="s">
        <v>63</v>
      </c>
      <c r="AC47" s="1024">
        <v>56.21920056</v>
      </c>
      <c r="AD47" s="1024">
        <v>28.64034908</v>
      </c>
      <c r="AE47" s="1025">
        <v>100.0391261</v>
      </c>
      <c r="AF47" s="225"/>
    </row>
    <row r="48">
      <c r="A48" s="1013"/>
      <c r="B48" s="1019" t="s">
        <v>133</v>
      </c>
      <c r="C48" s="1020" t="s">
        <v>1035</v>
      </c>
      <c r="D48" s="1020" t="s">
        <v>1036</v>
      </c>
      <c r="E48" s="1020" t="s">
        <v>1037</v>
      </c>
      <c r="F48" s="1020">
        <v>2021.0</v>
      </c>
      <c r="G48" s="1021">
        <v>0.105635339</v>
      </c>
      <c r="H48" s="1021">
        <v>0.083753496</v>
      </c>
      <c r="I48" s="1022">
        <v>0.134361859</v>
      </c>
      <c r="K48" s="1031" t="s">
        <v>130</v>
      </c>
      <c r="L48" s="1032" t="s">
        <v>1037</v>
      </c>
      <c r="M48" s="1032" t="s">
        <v>1035</v>
      </c>
      <c r="N48" s="1032" t="s">
        <v>1045</v>
      </c>
      <c r="O48" s="1032">
        <v>2021.0</v>
      </c>
      <c r="P48" s="1032" t="s">
        <v>1039</v>
      </c>
      <c r="Q48" s="1033" t="s">
        <v>63</v>
      </c>
      <c r="R48" s="1034">
        <v>3662.960247</v>
      </c>
      <c r="S48" s="1034">
        <v>2855.915078</v>
      </c>
      <c r="T48" s="1035">
        <v>4705.521124</v>
      </c>
      <c r="V48" s="1019" t="s">
        <v>130</v>
      </c>
      <c r="W48" s="1020" t="s">
        <v>1040</v>
      </c>
      <c r="X48" s="1020" t="s">
        <v>1035</v>
      </c>
      <c r="Y48" s="1020" t="s">
        <v>1045</v>
      </c>
      <c r="Z48" s="1020">
        <v>2021.0</v>
      </c>
      <c r="AA48" s="1020" t="s">
        <v>1039</v>
      </c>
      <c r="AB48" s="1023" t="s">
        <v>63</v>
      </c>
      <c r="AC48" s="1024">
        <v>93.3782931</v>
      </c>
      <c r="AD48" s="1024">
        <v>49.34631336</v>
      </c>
      <c r="AE48" s="1025">
        <v>156.5412368</v>
      </c>
      <c r="AF48" s="225"/>
    </row>
    <row r="49">
      <c r="A49" s="1013"/>
      <c r="B49" s="1019" t="s">
        <v>133</v>
      </c>
      <c r="C49" s="1020" t="s">
        <v>1035</v>
      </c>
      <c r="D49" s="1020" t="s">
        <v>1041</v>
      </c>
      <c r="E49" s="1020" t="s">
        <v>1037</v>
      </c>
      <c r="F49" s="1020">
        <v>2021.0</v>
      </c>
      <c r="G49" s="1021">
        <v>0.47770782</v>
      </c>
      <c r="H49" s="1021">
        <v>0.423382372</v>
      </c>
      <c r="I49" s="1022">
        <v>0.544481702</v>
      </c>
      <c r="K49" s="1031" t="s">
        <v>131</v>
      </c>
      <c r="L49" s="1032" t="s">
        <v>1037</v>
      </c>
      <c r="M49" s="1032" t="s">
        <v>1035</v>
      </c>
      <c r="N49" s="1032" t="s">
        <v>1038</v>
      </c>
      <c r="O49" s="1032">
        <v>2021.0</v>
      </c>
      <c r="P49" s="1032" t="s">
        <v>1039</v>
      </c>
      <c r="Q49" s="1033" t="s">
        <v>63</v>
      </c>
      <c r="R49" s="1034">
        <v>2372.72947</v>
      </c>
      <c r="S49" s="1034">
        <v>1836.553609</v>
      </c>
      <c r="T49" s="1035">
        <v>3045.077627</v>
      </c>
      <c r="V49" s="1019" t="s">
        <v>131</v>
      </c>
      <c r="W49" s="1020" t="s">
        <v>1040</v>
      </c>
      <c r="X49" s="1020" t="s">
        <v>1035</v>
      </c>
      <c r="Y49" s="1020" t="s">
        <v>1038</v>
      </c>
      <c r="Z49" s="1020">
        <v>2021.0</v>
      </c>
      <c r="AA49" s="1020" t="s">
        <v>1039</v>
      </c>
      <c r="AB49" s="1023" t="s">
        <v>63</v>
      </c>
      <c r="AC49" s="1024">
        <v>48.32400284</v>
      </c>
      <c r="AD49" s="1024">
        <v>16.99824305</v>
      </c>
      <c r="AE49" s="1025">
        <v>108.1655001</v>
      </c>
      <c r="AF49" s="225"/>
    </row>
    <row r="50">
      <c r="A50" s="1013"/>
      <c r="B50" s="1019" t="s">
        <v>133</v>
      </c>
      <c r="C50" s="1020" t="s">
        <v>1035</v>
      </c>
      <c r="D50" s="1020" t="s">
        <v>1043</v>
      </c>
      <c r="E50" s="1020" t="s">
        <v>1037</v>
      </c>
      <c r="F50" s="1020">
        <v>2021.0</v>
      </c>
      <c r="G50" s="1021">
        <v>0.007493412</v>
      </c>
      <c r="H50" s="1021">
        <v>0.006295872</v>
      </c>
      <c r="I50" s="1022">
        <v>0.009201481</v>
      </c>
      <c r="K50" s="1031" t="s">
        <v>131</v>
      </c>
      <c r="L50" s="1032" t="s">
        <v>1037</v>
      </c>
      <c r="M50" s="1032" t="s">
        <v>1035</v>
      </c>
      <c r="N50" s="1032" t="s">
        <v>1042</v>
      </c>
      <c r="O50" s="1032">
        <v>2021.0</v>
      </c>
      <c r="P50" s="1032" t="s">
        <v>1039</v>
      </c>
      <c r="Q50" s="1033" t="s">
        <v>63</v>
      </c>
      <c r="R50" s="1034">
        <v>3495.933473</v>
      </c>
      <c r="S50" s="1034">
        <v>2765.434292</v>
      </c>
      <c r="T50" s="1035">
        <v>4413.468634</v>
      </c>
      <c r="V50" s="1019" t="s">
        <v>131</v>
      </c>
      <c r="W50" s="1020" t="s">
        <v>1040</v>
      </c>
      <c r="X50" s="1020" t="s">
        <v>1035</v>
      </c>
      <c r="Y50" s="1020" t="s">
        <v>1042</v>
      </c>
      <c r="Z50" s="1020">
        <v>2021.0</v>
      </c>
      <c r="AA50" s="1020" t="s">
        <v>1039</v>
      </c>
      <c r="AB50" s="1023" t="s">
        <v>63</v>
      </c>
      <c r="AC50" s="1024">
        <v>9.718463401</v>
      </c>
      <c r="AD50" s="1024">
        <v>4.788882451</v>
      </c>
      <c r="AE50" s="1025">
        <v>17.90657129</v>
      </c>
      <c r="AF50" s="225"/>
    </row>
    <row r="51">
      <c r="A51" s="1013"/>
      <c r="B51" s="1019" t="s">
        <v>133</v>
      </c>
      <c r="C51" s="1020" t="s">
        <v>1035</v>
      </c>
      <c r="D51" s="1020" t="s">
        <v>1045</v>
      </c>
      <c r="E51" s="1020" t="s">
        <v>1037</v>
      </c>
      <c r="F51" s="1020">
        <v>2021.0</v>
      </c>
      <c r="G51" s="1021">
        <v>0.063369596</v>
      </c>
      <c r="H51" s="1021">
        <v>0.050416364</v>
      </c>
      <c r="I51" s="1022">
        <v>0.080212031</v>
      </c>
      <c r="K51" s="1031" t="s">
        <v>131</v>
      </c>
      <c r="L51" s="1032" t="s">
        <v>1037</v>
      </c>
      <c r="M51" s="1032" t="s">
        <v>1035</v>
      </c>
      <c r="N51" s="1032" t="s">
        <v>1044</v>
      </c>
      <c r="O51" s="1032">
        <v>2021.0</v>
      </c>
      <c r="P51" s="1032" t="s">
        <v>1039</v>
      </c>
      <c r="Q51" s="1033" t="s">
        <v>63</v>
      </c>
      <c r="R51" s="1034">
        <v>786.8936544</v>
      </c>
      <c r="S51" s="1034">
        <v>626.4332198</v>
      </c>
      <c r="T51" s="1035">
        <v>991.5318764</v>
      </c>
      <c r="V51" s="1026" t="s">
        <v>131</v>
      </c>
      <c r="W51" s="1027" t="s">
        <v>1040</v>
      </c>
      <c r="X51" s="1027" t="s">
        <v>1035</v>
      </c>
      <c r="Y51" s="1027" t="s">
        <v>1044</v>
      </c>
      <c r="Z51" s="1027">
        <v>2021.0</v>
      </c>
      <c r="AA51" s="1027" t="s">
        <v>1039</v>
      </c>
      <c r="AB51" s="1028" t="s">
        <v>63</v>
      </c>
      <c r="AC51" s="1029">
        <v>10.68371767</v>
      </c>
      <c r="AD51" s="1029">
        <v>4.230634444</v>
      </c>
      <c r="AE51" s="1030">
        <v>23.32026539</v>
      </c>
      <c r="AF51" s="225"/>
    </row>
    <row r="52">
      <c r="A52" s="1013"/>
      <c r="B52" s="1019" t="s">
        <v>134</v>
      </c>
      <c r="C52" s="1020" t="s">
        <v>1035</v>
      </c>
      <c r="D52" s="1020" t="s">
        <v>1036</v>
      </c>
      <c r="E52" s="1020" t="s">
        <v>1037</v>
      </c>
      <c r="F52" s="1020">
        <v>2021.0</v>
      </c>
      <c r="G52" s="1021">
        <v>0.086148215</v>
      </c>
      <c r="H52" s="1021">
        <v>0.068120418</v>
      </c>
      <c r="I52" s="1022">
        <v>0.110263107</v>
      </c>
      <c r="K52" s="1031" t="s">
        <v>131</v>
      </c>
      <c r="L52" s="1032" t="s">
        <v>1037</v>
      </c>
      <c r="M52" s="1032" t="s">
        <v>1035</v>
      </c>
      <c r="N52" s="1032" t="s">
        <v>1046</v>
      </c>
      <c r="O52" s="1032">
        <v>2021.0</v>
      </c>
      <c r="P52" s="1032" t="s">
        <v>1039</v>
      </c>
      <c r="Q52" s="1033" t="s">
        <v>63</v>
      </c>
      <c r="R52" s="1034">
        <v>2410.255794</v>
      </c>
      <c r="S52" s="1034">
        <v>1895.366324</v>
      </c>
      <c r="T52" s="1035">
        <v>3069.04422</v>
      </c>
      <c r="V52" s="1019" t="s">
        <v>131</v>
      </c>
      <c r="W52" s="1020" t="s">
        <v>1040</v>
      </c>
      <c r="X52" s="1020" t="s">
        <v>1035</v>
      </c>
      <c r="Y52" s="1020" t="s">
        <v>1046</v>
      </c>
      <c r="Z52" s="1020">
        <v>2021.0</v>
      </c>
      <c r="AA52" s="1020" t="s">
        <v>1039</v>
      </c>
      <c r="AB52" s="1023" t="s">
        <v>63</v>
      </c>
      <c r="AC52" s="1024">
        <v>109.1749972</v>
      </c>
      <c r="AD52" s="1024">
        <v>43.87133039</v>
      </c>
      <c r="AE52" s="1025">
        <v>223.2460297</v>
      </c>
      <c r="AF52" s="225"/>
    </row>
    <row r="53">
      <c r="A53" s="1013"/>
      <c r="B53" s="1019" t="s">
        <v>134</v>
      </c>
      <c r="C53" s="1020" t="s">
        <v>1035</v>
      </c>
      <c r="D53" s="1020" t="s">
        <v>1041</v>
      </c>
      <c r="E53" s="1020" t="s">
        <v>1037</v>
      </c>
      <c r="F53" s="1020">
        <v>2021.0</v>
      </c>
      <c r="G53" s="1021">
        <v>0.432905489</v>
      </c>
      <c r="H53" s="1021">
        <v>0.376032823</v>
      </c>
      <c r="I53" s="1022">
        <v>0.495990704</v>
      </c>
      <c r="K53" s="1031" t="s">
        <v>131</v>
      </c>
      <c r="L53" s="1032" t="s">
        <v>1037</v>
      </c>
      <c r="M53" s="1032" t="s">
        <v>1035</v>
      </c>
      <c r="N53" s="1032" t="s">
        <v>1045</v>
      </c>
      <c r="O53" s="1032">
        <v>2021.0</v>
      </c>
      <c r="P53" s="1032" t="s">
        <v>1039</v>
      </c>
      <c r="Q53" s="1033" t="s">
        <v>63</v>
      </c>
      <c r="R53" s="1034">
        <v>9065.812392</v>
      </c>
      <c r="S53" s="1034">
        <v>7192.228173</v>
      </c>
      <c r="T53" s="1035">
        <v>11454.3868</v>
      </c>
      <c r="V53" s="1019" t="s">
        <v>131</v>
      </c>
      <c r="W53" s="1020" t="s">
        <v>1040</v>
      </c>
      <c r="X53" s="1020" t="s">
        <v>1035</v>
      </c>
      <c r="Y53" s="1020" t="s">
        <v>1045</v>
      </c>
      <c r="Z53" s="1020">
        <v>2021.0</v>
      </c>
      <c r="AA53" s="1020" t="s">
        <v>1039</v>
      </c>
      <c r="AB53" s="1023" t="s">
        <v>63</v>
      </c>
      <c r="AC53" s="1024">
        <v>177.9011811</v>
      </c>
      <c r="AD53" s="1024">
        <v>76.51189411</v>
      </c>
      <c r="AE53" s="1025">
        <v>344.7516836</v>
      </c>
      <c r="AF53" s="225"/>
    </row>
    <row r="54">
      <c r="A54" s="1013"/>
      <c r="B54" s="1019" t="s">
        <v>134</v>
      </c>
      <c r="C54" s="1020" t="s">
        <v>1035</v>
      </c>
      <c r="D54" s="1020" t="s">
        <v>1043</v>
      </c>
      <c r="E54" s="1020" t="s">
        <v>1037</v>
      </c>
      <c r="F54" s="1020">
        <v>2021.0</v>
      </c>
      <c r="G54" s="1021">
        <v>0.007561169</v>
      </c>
      <c r="H54" s="1021">
        <v>0.006577563</v>
      </c>
      <c r="I54" s="1022">
        <v>0.008989013</v>
      </c>
      <c r="K54" s="1031" t="s">
        <v>132</v>
      </c>
      <c r="L54" s="1032" t="s">
        <v>1037</v>
      </c>
      <c r="M54" s="1032" t="s">
        <v>1035</v>
      </c>
      <c r="N54" s="1032" t="s">
        <v>1038</v>
      </c>
      <c r="O54" s="1032">
        <v>2021.0</v>
      </c>
      <c r="P54" s="1032" t="s">
        <v>1039</v>
      </c>
      <c r="Q54" s="1033" t="s">
        <v>63</v>
      </c>
      <c r="R54" s="1034">
        <v>2242.880188</v>
      </c>
      <c r="S54" s="1034">
        <v>1650.488554</v>
      </c>
      <c r="T54" s="1035">
        <v>2939.709275</v>
      </c>
      <c r="V54" s="1019" t="s">
        <v>132</v>
      </c>
      <c r="W54" s="1020" t="s">
        <v>1040</v>
      </c>
      <c r="X54" s="1020" t="s">
        <v>1035</v>
      </c>
      <c r="Y54" s="1020" t="s">
        <v>1038</v>
      </c>
      <c r="Z54" s="1020">
        <v>2021.0</v>
      </c>
      <c r="AA54" s="1020" t="s">
        <v>1039</v>
      </c>
      <c r="AB54" s="1023" t="s">
        <v>63</v>
      </c>
      <c r="AC54" s="1024">
        <v>65.3849587</v>
      </c>
      <c r="AD54" s="1024">
        <v>25.26794126</v>
      </c>
      <c r="AE54" s="1025">
        <v>130.4717801</v>
      </c>
      <c r="AF54" s="225"/>
    </row>
    <row r="55">
      <c r="A55" s="1013"/>
      <c r="B55" s="1019" t="s">
        <v>134</v>
      </c>
      <c r="C55" s="1020" t="s">
        <v>1035</v>
      </c>
      <c r="D55" s="1020" t="s">
        <v>1045</v>
      </c>
      <c r="E55" s="1020" t="s">
        <v>1037</v>
      </c>
      <c r="F55" s="1020">
        <v>2021.0</v>
      </c>
      <c r="G55" s="1021">
        <v>0.070656955</v>
      </c>
      <c r="H55" s="1021">
        <v>0.05421083</v>
      </c>
      <c r="I55" s="1022">
        <v>0.088764686</v>
      </c>
      <c r="K55" s="1031" t="s">
        <v>132</v>
      </c>
      <c r="L55" s="1032" t="s">
        <v>1037</v>
      </c>
      <c r="M55" s="1032" t="s">
        <v>1035</v>
      </c>
      <c r="N55" s="1032" t="s">
        <v>1042</v>
      </c>
      <c r="O55" s="1032">
        <v>2021.0</v>
      </c>
      <c r="P55" s="1032" t="s">
        <v>1039</v>
      </c>
      <c r="Q55" s="1033" t="s">
        <v>63</v>
      </c>
      <c r="R55" s="1034">
        <v>4216.039305</v>
      </c>
      <c r="S55" s="1034">
        <v>3310.836155</v>
      </c>
      <c r="T55" s="1035">
        <v>5214.299892</v>
      </c>
      <c r="V55" s="1019" t="s">
        <v>132</v>
      </c>
      <c r="W55" s="1020" t="s">
        <v>1040</v>
      </c>
      <c r="X55" s="1020" t="s">
        <v>1035</v>
      </c>
      <c r="Y55" s="1020" t="s">
        <v>1042</v>
      </c>
      <c r="Z55" s="1020">
        <v>2021.0</v>
      </c>
      <c r="AA55" s="1020" t="s">
        <v>1039</v>
      </c>
      <c r="AB55" s="1023" t="s">
        <v>63</v>
      </c>
      <c r="AC55" s="1024">
        <v>14.37802528</v>
      </c>
      <c r="AD55" s="1024">
        <v>7.048282243</v>
      </c>
      <c r="AE55" s="1025">
        <v>25.52128268</v>
      </c>
      <c r="AF55" s="225"/>
    </row>
    <row r="56">
      <c r="A56" s="1013"/>
      <c r="B56" s="1019" t="s">
        <v>135</v>
      </c>
      <c r="C56" s="1020" t="s">
        <v>1035</v>
      </c>
      <c r="D56" s="1020" t="s">
        <v>1036</v>
      </c>
      <c r="E56" s="1020" t="s">
        <v>1037</v>
      </c>
      <c r="F56" s="1020">
        <v>2021.0</v>
      </c>
      <c r="G56" s="1021">
        <v>0.100593783</v>
      </c>
      <c r="H56" s="1021">
        <v>0.076208209</v>
      </c>
      <c r="I56" s="1022">
        <v>0.129531159</v>
      </c>
      <c r="K56" s="1031" t="s">
        <v>132</v>
      </c>
      <c r="L56" s="1032" t="s">
        <v>1037</v>
      </c>
      <c r="M56" s="1032" t="s">
        <v>1035</v>
      </c>
      <c r="N56" s="1032" t="s">
        <v>1044</v>
      </c>
      <c r="O56" s="1032">
        <v>2021.0</v>
      </c>
      <c r="P56" s="1032" t="s">
        <v>1039</v>
      </c>
      <c r="Q56" s="1033" t="s">
        <v>63</v>
      </c>
      <c r="R56" s="1034">
        <v>757.1913164</v>
      </c>
      <c r="S56" s="1034">
        <v>626.8213721</v>
      </c>
      <c r="T56" s="1035">
        <v>897.7640432</v>
      </c>
      <c r="V56" s="1019" t="s">
        <v>132</v>
      </c>
      <c r="W56" s="1020" t="s">
        <v>1040</v>
      </c>
      <c r="X56" s="1020" t="s">
        <v>1035</v>
      </c>
      <c r="Y56" s="1020" t="s">
        <v>1044</v>
      </c>
      <c r="Z56" s="1020">
        <v>2021.0</v>
      </c>
      <c r="AA56" s="1020" t="s">
        <v>1039</v>
      </c>
      <c r="AB56" s="1023" t="s">
        <v>63</v>
      </c>
      <c r="AC56" s="1024">
        <v>12.83494185</v>
      </c>
      <c r="AD56" s="1024">
        <v>6.411535918</v>
      </c>
      <c r="AE56" s="1025">
        <v>24.37227614</v>
      </c>
      <c r="AF56" s="225"/>
    </row>
    <row r="57">
      <c r="A57" s="1013"/>
      <c r="B57" s="1019" t="s">
        <v>135</v>
      </c>
      <c r="C57" s="1020" t="s">
        <v>1035</v>
      </c>
      <c r="D57" s="1020" t="s">
        <v>1041</v>
      </c>
      <c r="E57" s="1020" t="s">
        <v>1037</v>
      </c>
      <c r="F57" s="1020">
        <v>2021.0</v>
      </c>
      <c r="G57" s="1021">
        <v>0.441133449</v>
      </c>
      <c r="H57" s="1021">
        <v>0.383993571</v>
      </c>
      <c r="I57" s="1022">
        <v>0.51993805</v>
      </c>
      <c r="K57" s="1031" t="s">
        <v>132</v>
      </c>
      <c r="L57" s="1032" t="s">
        <v>1037</v>
      </c>
      <c r="M57" s="1032" t="s">
        <v>1035</v>
      </c>
      <c r="N57" s="1032" t="s">
        <v>1046</v>
      </c>
      <c r="O57" s="1032">
        <v>2021.0</v>
      </c>
      <c r="P57" s="1032" t="s">
        <v>1039</v>
      </c>
      <c r="Q57" s="1033" t="s">
        <v>63</v>
      </c>
      <c r="R57" s="1034">
        <v>2874.741012</v>
      </c>
      <c r="S57" s="1034">
        <v>2247.394033</v>
      </c>
      <c r="T57" s="1035">
        <v>3541.997463</v>
      </c>
      <c r="V57" s="1019" t="s">
        <v>132</v>
      </c>
      <c r="W57" s="1020" t="s">
        <v>1040</v>
      </c>
      <c r="X57" s="1020" t="s">
        <v>1035</v>
      </c>
      <c r="Y57" s="1020" t="s">
        <v>1046</v>
      </c>
      <c r="Z57" s="1020">
        <v>2021.0</v>
      </c>
      <c r="AA57" s="1020" t="s">
        <v>1039</v>
      </c>
      <c r="AB57" s="1023" t="s">
        <v>63</v>
      </c>
      <c r="AC57" s="1024">
        <v>170.6233263</v>
      </c>
      <c r="AD57" s="1024">
        <v>87.79938419</v>
      </c>
      <c r="AE57" s="1025">
        <v>300.0736775</v>
      </c>
      <c r="AF57" s="225"/>
    </row>
    <row r="58">
      <c r="A58" s="1013"/>
      <c r="B58" s="1019" t="s">
        <v>135</v>
      </c>
      <c r="C58" s="1020" t="s">
        <v>1035</v>
      </c>
      <c r="D58" s="1020" t="s">
        <v>1043</v>
      </c>
      <c r="E58" s="1020" t="s">
        <v>1037</v>
      </c>
      <c r="F58" s="1020">
        <v>2021.0</v>
      </c>
      <c r="G58" s="1021">
        <v>0.006348242</v>
      </c>
      <c r="H58" s="1021">
        <v>0.005240203</v>
      </c>
      <c r="I58" s="1022">
        <v>0.007760945</v>
      </c>
      <c r="K58" s="1031" t="s">
        <v>132</v>
      </c>
      <c r="L58" s="1032" t="s">
        <v>1037</v>
      </c>
      <c r="M58" s="1032" t="s">
        <v>1035</v>
      </c>
      <c r="N58" s="1032" t="s">
        <v>1045</v>
      </c>
      <c r="O58" s="1032">
        <v>2021.0</v>
      </c>
      <c r="P58" s="1032" t="s">
        <v>1039</v>
      </c>
      <c r="Q58" s="1033" t="s">
        <v>63</v>
      </c>
      <c r="R58" s="1034">
        <v>10090.85182</v>
      </c>
      <c r="S58" s="1034">
        <v>7847.189294</v>
      </c>
      <c r="T58" s="1035">
        <v>12492.85926</v>
      </c>
      <c r="V58" s="1019" t="s">
        <v>132</v>
      </c>
      <c r="W58" s="1020" t="s">
        <v>1040</v>
      </c>
      <c r="X58" s="1020" t="s">
        <v>1035</v>
      </c>
      <c r="Y58" s="1020" t="s">
        <v>1045</v>
      </c>
      <c r="Z58" s="1020">
        <v>2021.0</v>
      </c>
      <c r="AA58" s="1020" t="s">
        <v>1039</v>
      </c>
      <c r="AB58" s="1023" t="s">
        <v>63</v>
      </c>
      <c r="AC58" s="1024">
        <v>263.2212521</v>
      </c>
      <c r="AD58" s="1024">
        <v>141.3328167</v>
      </c>
      <c r="AE58" s="1025">
        <v>459.4256539</v>
      </c>
      <c r="AF58" s="225"/>
    </row>
    <row r="59">
      <c r="A59" s="1013"/>
      <c r="B59" s="1019" t="s">
        <v>135</v>
      </c>
      <c r="C59" s="1020" t="s">
        <v>1035</v>
      </c>
      <c r="D59" s="1020" t="s">
        <v>1045</v>
      </c>
      <c r="E59" s="1020" t="s">
        <v>1037</v>
      </c>
      <c r="F59" s="1020">
        <v>2021.0</v>
      </c>
      <c r="G59" s="1021">
        <v>0.044891216</v>
      </c>
      <c r="H59" s="1021">
        <v>0.036182131</v>
      </c>
      <c r="I59" s="1022">
        <v>0.055442876</v>
      </c>
      <c r="K59" s="1031" t="s">
        <v>133</v>
      </c>
      <c r="L59" s="1032" t="s">
        <v>1037</v>
      </c>
      <c r="M59" s="1032" t="s">
        <v>1035</v>
      </c>
      <c r="N59" s="1032" t="s">
        <v>1038</v>
      </c>
      <c r="O59" s="1032">
        <v>2021.0</v>
      </c>
      <c r="P59" s="1032" t="s">
        <v>1039</v>
      </c>
      <c r="Q59" s="1033" t="s">
        <v>63</v>
      </c>
      <c r="R59" s="1034">
        <v>2556.159264</v>
      </c>
      <c r="S59" s="1034">
        <v>1930.771661</v>
      </c>
      <c r="T59" s="1035">
        <v>3374.582879</v>
      </c>
      <c r="V59" s="1019" t="s">
        <v>133</v>
      </c>
      <c r="W59" s="1020" t="s">
        <v>1040</v>
      </c>
      <c r="X59" s="1020" t="s">
        <v>1035</v>
      </c>
      <c r="Y59" s="1020" t="s">
        <v>1038</v>
      </c>
      <c r="Z59" s="1020">
        <v>2021.0</v>
      </c>
      <c r="AA59" s="1020" t="s">
        <v>1039</v>
      </c>
      <c r="AB59" s="1023" t="s">
        <v>63</v>
      </c>
      <c r="AC59" s="1024">
        <v>36.37118467</v>
      </c>
      <c r="AD59" s="1024">
        <v>14.78433167</v>
      </c>
      <c r="AE59" s="1025">
        <v>86.29951968</v>
      </c>
      <c r="AF59" s="225"/>
    </row>
    <row r="60">
      <c r="A60" s="1013"/>
      <c r="B60" s="1019" t="s">
        <v>136</v>
      </c>
      <c r="C60" s="1020" t="s">
        <v>1035</v>
      </c>
      <c r="D60" s="1020" t="s">
        <v>1036</v>
      </c>
      <c r="E60" s="1020" t="s">
        <v>1037</v>
      </c>
      <c r="F60" s="1020">
        <v>2021.0</v>
      </c>
      <c r="G60" s="1021">
        <v>0.086224712</v>
      </c>
      <c r="H60" s="1021">
        <v>0.068494233</v>
      </c>
      <c r="I60" s="1022">
        <v>0.110347039</v>
      </c>
      <c r="K60" s="1031" t="s">
        <v>133</v>
      </c>
      <c r="L60" s="1032" t="s">
        <v>1037</v>
      </c>
      <c r="M60" s="1032" t="s">
        <v>1035</v>
      </c>
      <c r="N60" s="1032" t="s">
        <v>1042</v>
      </c>
      <c r="O60" s="1032">
        <v>2021.0</v>
      </c>
      <c r="P60" s="1032" t="s">
        <v>1039</v>
      </c>
      <c r="Q60" s="1033" t="s">
        <v>63</v>
      </c>
      <c r="R60" s="1034">
        <v>2472.28251</v>
      </c>
      <c r="S60" s="1034">
        <v>2051.819337</v>
      </c>
      <c r="T60" s="1035">
        <v>2988.667702</v>
      </c>
      <c r="V60" s="1019" t="s">
        <v>133</v>
      </c>
      <c r="W60" s="1020" t="s">
        <v>1040</v>
      </c>
      <c r="X60" s="1020" t="s">
        <v>1035</v>
      </c>
      <c r="Y60" s="1020" t="s">
        <v>1042</v>
      </c>
      <c r="Z60" s="1020">
        <v>2021.0</v>
      </c>
      <c r="AA60" s="1020" t="s">
        <v>1039</v>
      </c>
      <c r="AB60" s="1023" t="s">
        <v>63</v>
      </c>
      <c r="AC60" s="1024">
        <v>4.227489024</v>
      </c>
      <c r="AD60" s="1024">
        <v>2.045780811</v>
      </c>
      <c r="AE60" s="1025">
        <v>8.088812</v>
      </c>
      <c r="AF60" s="225"/>
    </row>
    <row r="61">
      <c r="A61" s="1013"/>
      <c r="B61" s="1019" t="s">
        <v>136</v>
      </c>
      <c r="C61" s="1020" t="s">
        <v>1035</v>
      </c>
      <c r="D61" s="1020" t="s">
        <v>1041</v>
      </c>
      <c r="E61" s="1020" t="s">
        <v>1037</v>
      </c>
      <c r="F61" s="1020">
        <v>2021.0</v>
      </c>
      <c r="G61" s="1021">
        <v>0.468702275</v>
      </c>
      <c r="H61" s="1021">
        <v>0.407115905</v>
      </c>
      <c r="I61" s="1022">
        <v>0.541348776</v>
      </c>
      <c r="K61" s="1031" t="s">
        <v>133</v>
      </c>
      <c r="L61" s="1032" t="s">
        <v>1037</v>
      </c>
      <c r="M61" s="1032" t="s">
        <v>1035</v>
      </c>
      <c r="N61" s="1032" t="s">
        <v>1044</v>
      </c>
      <c r="O61" s="1032">
        <v>2021.0</v>
      </c>
      <c r="P61" s="1032" t="s">
        <v>1039</v>
      </c>
      <c r="Q61" s="1033" t="s">
        <v>63</v>
      </c>
      <c r="R61" s="1034">
        <v>514.8482486</v>
      </c>
      <c r="S61" s="1034">
        <v>384.6721956</v>
      </c>
      <c r="T61" s="1035">
        <v>692.0532818</v>
      </c>
      <c r="V61" s="1019" t="s">
        <v>133</v>
      </c>
      <c r="W61" s="1020" t="s">
        <v>1040</v>
      </c>
      <c r="X61" s="1020" t="s">
        <v>1035</v>
      </c>
      <c r="Y61" s="1020" t="s">
        <v>1044</v>
      </c>
      <c r="Z61" s="1020">
        <v>2021.0</v>
      </c>
      <c r="AA61" s="1020" t="s">
        <v>1039</v>
      </c>
      <c r="AB61" s="1023" t="s">
        <v>63</v>
      </c>
      <c r="AC61" s="1024">
        <v>4.108390579</v>
      </c>
      <c r="AD61" s="1024">
        <v>1.62823759</v>
      </c>
      <c r="AE61" s="1025">
        <v>9.800527587</v>
      </c>
      <c r="AF61" s="225"/>
    </row>
    <row r="62">
      <c r="A62" s="1013"/>
      <c r="B62" s="1019" t="s">
        <v>136</v>
      </c>
      <c r="C62" s="1020" t="s">
        <v>1035</v>
      </c>
      <c r="D62" s="1020" t="s">
        <v>1043</v>
      </c>
      <c r="E62" s="1020" t="s">
        <v>1037</v>
      </c>
      <c r="F62" s="1020">
        <v>2021.0</v>
      </c>
      <c r="G62" s="1021">
        <v>0.00766532</v>
      </c>
      <c r="H62" s="1021">
        <v>0.006388985</v>
      </c>
      <c r="I62" s="1022">
        <v>0.009415543</v>
      </c>
      <c r="K62" s="1031" t="s">
        <v>133</v>
      </c>
      <c r="L62" s="1032" t="s">
        <v>1037</v>
      </c>
      <c r="M62" s="1032" t="s">
        <v>1035</v>
      </c>
      <c r="N62" s="1032" t="s">
        <v>1046</v>
      </c>
      <c r="O62" s="1032">
        <v>2021.0</v>
      </c>
      <c r="P62" s="1032" t="s">
        <v>1039</v>
      </c>
      <c r="Q62" s="1033" t="s">
        <v>63</v>
      </c>
      <c r="R62" s="1034">
        <v>1365.177462</v>
      </c>
      <c r="S62" s="1034">
        <v>984.997017</v>
      </c>
      <c r="T62" s="1035">
        <v>1906.955522</v>
      </c>
      <c r="V62" s="1019" t="s">
        <v>133</v>
      </c>
      <c r="W62" s="1020" t="s">
        <v>1040</v>
      </c>
      <c r="X62" s="1020" t="s">
        <v>1035</v>
      </c>
      <c r="Y62" s="1020" t="s">
        <v>1046</v>
      </c>
      <c r="Z62" s="1020">
        <v>2021.0</v>
      </c>
      <c r="AA62" s="1020" t="s">
        <v>1039</v>
      </c>
      <c r="AB62" s="1023" t="s">
        <v>63</v>
      </c>
      <c r="AC62" s="1024">
        <v>29.84144269</v>
      </c>
      <c r="AD62" s="1024">
        <v>10.59203708</v>
      </c>
      <c r="AE62" s="1025">
        <v>71.1644464</v>
      </c>
      <c r="AF62" s="225"/>
    </row>
    <row r="63">
      <c r="A63" s="1013"/>
      <c r="B63" s="1019" t="s">
        <v>136</v>
      </c>
      <c r="C63" s="1020" t="s">
        <v>1035</v>
      </c>
      <c r="D63" s="1020" t="s">
        <v>1045</v>
      </c>
      <c r="E63" s="1020" t="s">
        <v>1037</v>
      </c>
      <c r="F63" s="1020">
        <v>2021.0</v>
      </c>
      <c r="G63" s="1021">
        <v>0.064340544</v>
      </c>
      <c r="H63" s="1021">
        <v>0.050774668</v>
      </c>
      <c r="I63" s="1022">
        <v>0.081891707</v>
      </c>
      <c r="K63" s="1031" t="s">
        <v>133</v>
      </c>
      <c r="L63" s="1032" t="s">
        <v>1037</v>
      </c>
      <c r="M63" s="1032" t="s">
        <v>1035</v>
      </c>
      <c r="N63" s="1032" t="s">
        <v>1045</v>
      </c>
      <c r="O63" s="1032">
        <v>2021.0</v>
      </c>
      <c r="P63" s="1032" t="s">
        <v>1039</v>
      </c>
      <c r="Q63" s="1033" t="s">
        <v>63</v>
      </c>
      <c r="R63" s="1034">
        <v>6908.467485</v>
      </c>
      <c r="S63" s="1034">
        <v>5458.715468</v>
      </c>
      <c r="T63" s="1035">
        <v>8815.01843</v>
      </c>
      <c r="V63" s="1019" t="s">
        <v>133</v>
      </c>
      <c r="W63" s="1020" t="s">
        <v>1040</v>
      </c>
      <c r="X63" s="1020" t="s">
        <v>1035</v>
      </c>
      <c r="Y63" s="1020" t="s">
        <v>1045</v>
      </c>
      <c r="Z63" s="1020">
        <v>2021.0</v>
      </c>
      <c r="AA63" s="1020" t="s">
        <v>1039</v>
      </c>
      <c r="AB63" s="1023" t="s">
        <v>63</v>
      </c>
      <c r="AC63" s="1024">
        <v>74.54850696</v>
      </c>
      <c r="AD63" s="1024">
        <v>32.72270205</v>
      </c>
      <c r="AE63" s="1025">
        <v>164.852219</v>
      </c>
      <c r="AF63" s="225"/>
    </row>
    <row r="64">
      <c r="A64" s="1013"/>
      <c r="B64" s="1019" t="s">
        <v>115</v>
      </c>
      <c r="C64" s="1020" t="s">
        <v>1035</v>
      </c>
      <c r="D64" s="1020" t="s">
        <v>1036</v>
      </c>
      <c r="E64" s="1020" t="s">
        <v>1037</v>
      </c>
      <c r="F64" s="1020">
        <v>2021.0</v>
      </c>
      <c r="G64" s="1021">
        <v>0.128821174</v>
      </c>
      <c r="H64" s="1021">
        <v>0.104751872</v>
      </c>
      <c r="I64" s="1022">
        <v>0.159876095</v>
      </c>
      <c r="K64" s="1031" t="s">
        <v>134</v>
      </c>
      <c r="L64" s="1032" t="s">
        <v>1037</v>
      </c>
      <c r="M64" s="1032" t="s">
        <v>1035</v>
      </c>
      <c r="N64" s="1032" t="s">
        <v>1038</v>
      </c>
      <c r="O64" s="1032">
        <v>2021.0</v>
      </c>
      <c r="P64" s="1032" t="s">
        <v>1039</v>
      </c>
      <c r="Q64" s="1033" t="s">
        <v>63</v>
      </c>
      <c r="R64" s="1034">
        <v>941.9382129</v>
      </c>
      <c r="S64" s="1034">
        <v>645.999084</v>
      </c>
      <c r="T64" s="1035">
        <v>1294.953836</v>
      </c>
      <c r="V64" s="1019" t="s">
        <v>134</v>
      </c>
      <c r="W64" s="1020" t="s">
        <v>1040</v>
      </c>
      <c r="X64" s="1020" t="s">
        <v>1035</v>
      </c>
      <c r="Y64" s="1020" t="s">
        <v>1038</v>
      </c>
      <c r="Z64" s="1020">
        <v>2021.0</v>
      </c>
      <c r="AA64" s="1020" t="s">
        <v>1039</v>
      </c>
      <c r="AB64" s="1023" t="s">
        <v>63</v>
      </c>
      <c r="AC64" s="1024">
        <v>15.95578682</v>
      </c>
      <c r="AD64" s="1024">
        <v>5.537980702</v>
      </c>
      <c r="AE64" s="1025">
        <v>34.91642838</v>
      </c>
      <c r="AF64" s="225"/>
    </row>
    <row r="65">
      <c r="A65" s="1013"/>
      <c r="B65" s="1019" t="s">
        <v>115</v>
      </c>
      <c r="C65" s="1020" t="s">
        <v>1035</v>
      </c>
      <c r="D65" s="1020" t="s">
        <v>1041</v>
      </c>
      <c r="E65" s="1020" t="s">
        <v>1037</v>
      </c>
      <c r="F65" s="1020">
        <v>2021.0</v>
      </c>
      <c r="G65" s="1021">
        <v>0.596913371</v>
      </c>
      <c r="H65" s="1021">
        <v>0.536153951</v>
      </c>
      <c r="I65" s="1022">
        <v>0.670711073</v>
      </c>
      <c r="K65" s="1031" t="s">
        <v>134</v>
      </c>
      <c r="L65" s="1032" t="s">
        <v>1037</v>
      </c>
      <c r="M65" s="1032" t="s">
        <v>1035</v>
      </c>
      <c r="N65" s="1032" t="s">
        <v>1042</v>
      </c>
      <c r="O65" s="1032">
        <v>2021.0</v>
      </c>
      <c r="P65" s="1032" t="s">
        <v>1039</v>
      </c>
      <c r="Q65" s="1033" t="s">
        <v>63</v>
      </c>
      <c r="R65" s="1034">
        <v>1427.47156</v>
      </c>
      <c r="S65" s="1034">
        <v>1124.860385</v>
      </c>
      <c r="T65" s="1035">
        <v>1765.855361</v>
      </c>
      <c r="V65" s="1019" t="s">
        <v>134</v>
      </c>
      <c r="W65" s="1020" t="s">
        <v>1040</v>
      </c>
      <c r="X65" s="1020" t="s">
        <v>1035</v>
      </c>
      <c r="Y65" s="1020" t="s">
        <v>1042</v>
      </c>
      <c r="Z65" s="1020">
        <v>2021.0</v>
      </c>
      <c r="AA65" s="1020" t="s">
        <v>1039</v>
      </c>
      <c r="AB65" s="1023" t="s">
        <v>63</v>
      </c>
      <c r="AC65" s="1024">
        <v>3.622453428</v>
      </c>
      <c r="AD65" s="1024">
        <v>1.675909795</v>
      </c>
      <c r="AE65" s="1025">
        <v>6.779926293</v>
      </c>
      <c r="AF65" s="225"/>
    </row>
    <row r="66">
      <c r="A66" s="1013"/>
      <c r="B66" s="1019" t="s">
        <v>115</v>
      </c>
      <c r="C66" s="1020" t="s">
        <v>1035</v>
      </c>
      <c r="D66" s="1020" t="s">
        <v>1043</v>
      </c>
      <c r="E66" s="1020" t="s">
        <v>1037</v>
      </c>
      <c r="F66" s="1020">
        <v>2021.0</v>
      </c>
      <c r="G66" s="1021">
        <v>0.012929085</v>
      </c>
      <c r="H66" s="1021">
        <v>0.011010674</v>
      </c>
      <c r="I66" s="1022">
        <v>0.015167993</v>
      </c>
      <c r="K66" s="1031" t="s">
        <v>134</v>
      </c>
      <c r="L66" s="1032" t="s">
        <v>1037</v>
      </c>
      <c r="M66" s="1032" t="s">
        <v>1035</v>
      </c>
      <c r="N66" s="1032" t="s">
        <v>1044</v>
      </c>
      <c r="O66" s="1032">
        <v>2021.0</v>
      </c>
      <c r="P66" s="1032" t="s">
        <v>1039</v>
      </c>
      <c r="Q66" s="1033" t="s">
        <v>63</v>
      </c>
      <c r="R66" s="1034">
        <v>228.9845851</v>
      </c>
      <c r="S66" s="1034">
        <v>178.5911782</v>
      </c>
      <c r="T66" s="1035">
        <v>283.2111146</v>
      </c>
      <c r="V66" s="1019" t="s">
        <v>134</v>
      </c>
      <c r="W66" s="1020" t="s">
        <v>1040</v>
      </c>
      <c r="X66" s="1020" t="s">
        <v>1035</v>
      </c>
      <c r="Y66" s="1020" t="s">
        <v>1044</v>
      </c>
      <c r="Z66" s="1020">
        <v>2021.0</v>
      </c>
      <c r="AA66" s="1020" t="s">
        <v>1039</v>
      </c>
      <c r="AB66" s="1023" t="s">
        <v>63</v>
      </c>
      <c r="AC66" s="1024">
        <v>2.740234995</v>
      </c>
      <c r="AD66" s="1024">
        <v>1.194994775</v>
      </c>
      <c r="AE66" s="1025">
        <v>6.072903169</v>
      </c>
      <c r="AF66" s="225"/>
    </row>
    <row r="67">
      <c r="A67" s="1013"/>
      <c r="B67" s="1019" t="s">
        <v>115</v>
      </c>
      <c r="C67" s="1020" t="s">
        <v>1035</v>
      </c>
      <c r="D67" s="1020" t="s">
        <v>1045</v>
      </c>
      <c r="E67" s="1020" t="s">
        <v>1037</v>
      </c>
      <c r="F67" s="1020">
        <v>2021.0</v>
      </c>
      <c r="G67" s="1021">
        <v>0.12251321</v>
      </c>
      <c r="H67" s="1021">
        <v>0.103348593</v>
      </c>
      <c r="I67" s="1022">
        <v>0.14301102</v>
      </c>
      <c r="K67" s="1031" t="s">
        <v>134</v>
      </c>
      <c r="L67" s="1032" t="s">
        <v>1037</v>
      </c>
      <c r="M67" s="1032" t="s">
        <v>1035</v>
      </c>
      <c r="N67" s="1032" t="s">
        <v>1046</v>
      </c>
      <c r="O67" s="1032">
        <v>2021.0</v>
      </c>
      <c r="P67" s="1032" t="s">
        <v>1039</v>
      </c>
      <c r="Q67" s="1033" t="s">
        <v>63</v>
      </c>
      <c r="R67" s="1034">
        <v>764.1816691</v>
      </c>
      <c r="S67" s="1034">
        <v>600.2694092</v>
      </c>
      <c r="T67" s="1035">
        <v>940.6030377</v>
      </c>
      <c r="V67" s="1019" t="s">
        <v>134</v>
      </c>
      <c r="W67" s="1020" t="s">
        <v>1040</v>
      </c>
      <c r="X67" s="1020" t="s">
        <v>1035</v>
      </c>
      <c r="Y67" s="1020" t="s">
        <v>1046</v>
      </c>
      <c r="Z67" s="1020">
        <v>2021.0</v>
      </c>
      <c r="AA67" s="1020" t="s">
        <v>1039</v>
      </c>
      <c r="AB67" s="1023" t="s">
        <v>63</v>
      </c>
      <c r="AC67" s="1024">
        <v>25.76987416</v>
      </c>
      <c r="AD67" s="1024">
        <v>9.512877196</v>
      </c>
      <c r="AE67" s="1025">
        <v>52.73869066</v>
      </c>
      <c r="AF67" s="225"/>
    </row>
    <row r="68">
      <c r="A68" s="1013"/>
      <c r="B68" s="1019" t="s">
        <v>137</v>
      </c>
      <c r="C68" s="1020" t="s">
        <v>1035</v>
      </c>
      <c r="D68" s="1020" t="s">
        <v>1036</v>
      </c>
      <c r="E68" s="1020" t="s">
        <v>1037</v>
      </c>
      <c r="F68" s="1020">
        <v>2021.0</v>
      </c>
      <c r="G68" s="1021">
        <v>0.112515939</v>
      </c>
      <c r="H68" s="1021">
        <v>0.085260119</v>
      </c>
      <c r="I68" s="1022">
        <v>0.148133957</v>
      </c>
      <c r="K68" s="1031" t="s">
        <v>134</v>
      </c>
      <c r="L68" s="1032" t="s">
        <v>1037</v>
      </c>
      <c r="M68" s="1032" t="s">
        <v>1035</v>
      </c>
      <c r="N68" s="1032" t="s">
        <v>1045</v>
      </c>
      <c r="O68" s="1032">
        <v>2021.0</v>
      </c>
      <c r="P68" s="1032" t="s">
        <v>1039</v>
      </c>
      <c r="Q68" s="1033" t="s">
        <v>63</v>
      </c>
      <c r="R68" s="1034">
        <v>3362.576027</v>
      </c>
      <c r="S68" s="1034">
        <v>2555.35425</v>
      </c>
      <c r="T68" s="1035">
        <v>4262.406025</v>
      </c>
      <c r="V68" s="1019" t="s">
        <v>134</v>
      </c>
      <c r="W68" s="1020" t="s">
        <v>1040</v>
      </c>
      <c r="X68" s="1020" t="s">
        <v>1035</v>
      </c>
      <c r="Y68" s="1020" t="s">
        <v>1045</v>
      </c>
      <c r="Z68" s="1020">
        <v>2021.0</v>
      </c>
      <c r="AA68" s="1020" t="s">
        <v>1039</v>
      </c>
      <c r="AB68" s="1023" t="s">
        <v>63</v>
      </c>
      <c r="AC68" s="1024">
        <v>48.08834941</v>
      </c>
      <c r="AD68" s="1024">
        <v>20.57792907</v>
      </c>
      <c r="AE68" s="1025">
        <v>96.88241252</v>
      </c>
      <c r="AF68" s="225"/>
    </row>
    <row r="69">
      <c r="A69" s="1013"/>
      <c r="B69" s="1019" t="s">
        <v>137</v>
      </c>
      <c r="C69" s="1020" t="s">
        <v>1035</v>
      </c>
      <c r="D69" s="1020" t="s">
        <v>1041</v>
      </c>
      <c r="E69" s="1020" t="s">
        <v>1037</v>
      </c>
      <c r="F69" s="1020">
        <v>2021.0</v>
      </c>
      <c r="G69" s="1021">
        <v>0.442080978</v>
      </c>
      <c r="H69" s="1021">
        <v>0.385663159</v>
      </c>
      <c r="I69" s="1022">
        <v>0.520685962</v>
      </c>
      <c r="K69" s="1031" t="s">
        <v>135</v>
      </c>
      <c r="L69" s="1032" t="s">
        <v>1037</v>
      </c>
      <c r="M69" s="1032" t="s">
        <v>1035</v>
      </c>
      <c r="N69" s="1032" t="s">
        <v>1038</v>
      </c>
      <c r="O69" s="1032">
        <v>2021.0</v>
      </c>
      <c r="P69" s="1032" t="s">
        <v>1039</v>
      </c>
      <c r="Q69" s="1033" t="s">
        <v>63</v>
      </c>
      <c r="R69" s="1034">
        <v>1625.442845</v>
      </c>
      <c r="S69" s="1034">
        <v>1273.996861</v>
      </c>
      <c r="T69" s="1035">
        <v>2065.551298</v>
      </c>
      <c r="V69" s="1019" t="s">
        <v>135</v>
      </c>
      <c r="W69" s="1020" t="s">
        <v>1040</v>
      </c>
      <c r="X69" s="1020" t="s">
        <v>1035</v>
      </c>
      <c r="Y69" s="1020" t="s">
        <v>1038</v>
      </c>
      <c r="Z69" s="1020">
        <v>2021.0</v>
      </c>
      <c r="AA69" s="1020" t="s">
        <v>1039</v>
      </c>
      <c r="AB69" s="1023" t="s">
        <v>63</v>
      </c>
      <c r="AC69" s="1024">
        <v>28.44266926</v>
      </c>
      <c r="AD69" s="1024">
        <v>10.60789395</v>
      </c>
      <c r="AE69" s="1025">
        <v>57.02901567</v>
      </c>
      <c r="AF69" s="225"/>
    </row>
    <row r="70">
      <c r="A70" s="1013"/>
      <c r="B70" s="1019" t="s">
        <v>137</v>
      </c>
      <c r="C70" s="1020" t="s">
        <v>1035</v>
      </c>
      <c r="D70" s="1020" t="s">
        <v>1043</v>
      </c>
      <c r="E70" s="1020" t="s">
        <v>1037</v>
      </c>
      <c r="F70" s="1020">
        <v>2021.0</v>
      </c>
      <c r="G70" s="1021">
        <v>0.006807961</v>
      </c>
      <c r="H70" s="1021">
        <v>0.005630735</v>
      </c>
      <c r="I70" s="1022">
        <v>0.008473087</v>
      </c>
      <c r="K70" s="1031" t="s">
        <v>135</v>
      </c>
      <c r="L70" s="1032" t="s">
        <v>1037</v>
      </c>
      <c r="M70" s="1032" t="s">
        <v>1035</v>
      </c>
      <c r="N70" s="1032" t="s">
        <v>1042</v>
      </c>
      <c r="O70" s="1032">
        <v>2021.0</v>
      </c>
      <c r="P70" s="1032" t="s">
        <v>1039</v>
      </c>
      <c r="Q70" s="1033" t="s">
        <v>63</v>
      </c>
      <c r="R70" s="1034">
        <v>2046.137782</v>
      </c>
      <c r="S70" s="1034">
        <v>1667.754621</v>
      </c>
      <c r="T70" s="1035">
        <v>2535.312402</v>
      </c>
      <c r="V70" s="1019" t="s">
        <v>135</v>
      </c>
      <c r="W70" s="1020" t="s">
        <v>1040</v>
      </c>
      <c r="X70" s="1020" t="s">
        <v>1035</v>
      </c>
      <c r="Y70" s="1020" t="s">
        <v>1042</v>
      </c>
      <c r="Z70" s="1020">
        <v>2021.0</v>
      </c>
      <c r="AA70" s="1020" t="s">
        <v>1039</v>
      </c>
      <c r="AB70" s="1023" t="s">
        <v>63</v>
      </c>
      <c r="AC70" s="1024">
        <v>6.25564421</v>
      </c>
      <c r="AD70" s="1024">
        <v>3.333628376</v>
      </c>
      <c r="AE70" s="1025">
        <v>10.86614778</v>
      </c>
      <c r="AF70" s="225"/>
    </row>
    <row r="71">
      <c r="A71" s="1013"/>
      <c r="B71" s="1019" t="s">
        <v>137</v>
      </c>
      <c r="C71" s="1020" t="s">
        <v>1035</v>
      </c>
      <c r="D71" s="1020" t="s">
        <v>1045</v>
      </c>
      <c r="E71" s="1020" t="s">
        <v>1037</v>
      </c>
      <c r="F71" s="1020">
        <v>2021.0</v>
      </c>
      <c r="G71" s="1021">
        <v>0.051662426</v>
      </c>
      <c r="H71" s="1021">
        <v>0.041180955</v>
      </c>
      <c r="I71" s="1022">
        <v>0.064661857</v>
      </c>
      <c r="K71" s="1031" t="s">
        <v>135</v>
      </c>
      <c r="L71" s="1032" t="s">
        <v>1037</v>
      </c>
      <c r="M71" s="1032" t="s">
        <v>1035</v>
      </c>
      <c r="N71" s="1032" t="s">
        <v>1044</v>
      </c>
      <c r="O71" s="1032">
        <v>2021.0</v>
      </c>
      <c r="P71" s="1032" t="s">
        <v>1039</v>
      </c>
      <c r="Q71" s="1033" t="s">
        <v>63</v>
      </c>
      <c r="R71" s="1034">
        <v>621.5146925</v>
      </c>
      <c r="S71" s="1034">
        <v>483.6782521</v>
      </c>
      <c r="T71" s="1035">
        <v>793.8931977</v>
      </c>
      <c r="V71" s="1019" t="s">
        <v>135</v>
      </c>
      <c r="W71" s="1020" t="s">
        <v>1040</v>
      </c>
      <c r="X71" s="1020" t="s">
        <v>1035</v>
      </c>
      <c r="Y71" s="1020" t="s">
        <v>1044</v>
      </c>
      <c r="Z71" s="1020">
        <v>2021.0</v>
      </c>
      <c r="AA71" s="1020" t="s">
        <v>1039</v>
      </c>
      <c r="AB71" s="1023" t="s">
        <v>63</v>
      </c>
      <c r="AC71" s="1024">
        <v>7.777543056</v>
      </c>
      <c r="AD71" s="1024">
        <v>3.353750698</v>
      </c>
      <c r="AE71" s="1025">
        <v>17.27229194</v>
      </c>
      <c r="AF71" s="225"/>
    </row>
    <row r="72">
      <c r="A72" s="1013"/>
      <c r="B72" s="1019" t="s">
        <v>116</v>
      </c>
      <c r="C72" s="1020" t="s">
        <v>1035</v>
      </c>
      <c r="D72" s="1020" t="s">
        <v>1036</v>
      </c>
      <c r="E72" s="1020" t="s">
        <v>1037</v>
      </c>
      <c r="F72" s="1020">
        <v>2021.0</v>
      </c>
      <c r="G72" s="1021">
        <v>0.13442636</v>
      </c>
      <c r="H72" s="1021">
        <v>0.107426494</v>
      </c>
      <c r="I72" s="1022">
        <v>0.167609417</v>
      </c>
      <c r="K72" s="1031" t="s">
        <v>135</v>
      </c>
      <c r="L72" s="1032" t="s">
        <v>1037</v>
      </c>
      <c r="M72" s="1032" t="s">
        <v>1035</v>
      </c>
      <c r="N72" s="1032" t="s">
        <v>1046</v>
      </c>
      <c r="O72" s="1032">
        <v>2021.0</v>
      </c>
      <c r="P72" s="1032" t="s">
        <v>1039</v>
      </c>
      <c r="Q72" s="1033" t="s">
        <v>63</v>
      </c>
      <c r="R72" s="1034">
        <v>1471.272803</v>
      </c>
      <c r="S72" s="1034">
        <v>1175.78065</v>
      </c>
      <c r="T72" s="1035">
        <v>1833.647835</v>
      </c>
      <c r="V72" s="1019" t="s">
        <v>135</v>
      </c>
      <c r="W72" s="1020" t="s">
        <v>1040</v>
      </c>
      <c r="X72" s="1020" t="s">
        <v>1035</v>
      </c>
      <c r="Y72" s="1020" t="s">
        <v>1046</v>
      </c>
      <c r="Z72" s="1020">
        <v>2021.0</v>
      </c>
      <c r="AA72" s="1020" t="s">
        <v>1039</v>
      </c>
      <c r="AB72" s="1023" t="s">
        <v>63</v>
      </c>
      <c r="AC72" s="1024">
        <v>57.360163</v>
      </c>
      <c r="AD72" s="1024">
        <v>20.86145128</v>
      </c>
      <c r="AE72" s="1025">
        <v>107.1131907</v>
      </c>
      <c r="AF72" s="225"/>
    </row>
    <row r="73">
      <c r="A73" s="1013"/>
      <c r="B73" s="1019" t="s">
        <v>116</v>
      </c>
      <c r="C73" s="1020" t="s">
        <v>1035</v>
      </c>
      <c r="D73" s="1020" t="s">
        <v>1041</v>
      </c>
      <c r="E73" s="1020" t="s">
        <v>1037</v>
      </c>
      <c r="F73" s="1020">
        <v>2021.0</v>
      </c>
      <c r="G73" s="1021">
        <v>0.62815953</v>
      </c>
      <c r="H73" s="1021">
        <v>0.554766286</v>
      </c>
      <c r="I73" s="1022">
        <v>0.70539058</v>
      </c>
      <c r="K73" s="1031" t="s">
        <v>135</v>
      </c>
      <c r="L73" s="1032" t="s">
        <v>1037</v>
      </c>
      <c r="M73" s="1032" t="s">
        <v>1035</v>
      </c>
      <c r="N73" s="1032" t="s">
        <v>1045</v>
      </c>
      <c r="O73" s="1032">
        <v>2021.0</v>
      </c>
      <c r="P73" s="1032" t="s">
        <v>1039</v>
      </c>
      <c r="Q73" s="1033" t="s">
        <v>63</v>
      </c>
      <c r="R73" s="1034">
        <v>5764.368123</v>
      </c>
      <c r="S73" s="1034">
        <v>4620.836714</v>
      </c>
      <c r="T73" s="1035">
        <v>7159.913844</v>
      </c>
      <c r="V73" s="1019" t="s">
        <v>135</v>
      </c>
      <c r="W73" s="1020" t="s">
        <v>1040</v>
      </c>
      <c r="X73" s="1020" t="s">
        <v>1035</v>
      </c>
      <c r="Y73" s="1020" t="s">
        <v>1045</v>
      </c>
      <c r="Z73" s="1020">
        <v>2021.0</v>
      </c>
      <c r="AA73" s="1020" t="s">
        <v>1039</v>
      </c>
      <c r="AB73" s="1023" t="s">
        <v>63</v>
      </c>
      <c r="AC73" s="1024">
        <v>99.83601953</v>
      </c>
      <c r="AD73" s="1024">
        <v>41.70197656</v>
      </c>
      <c r="AE73" s="1025">
        <v>180.9249286</v>
      </c>
      <c r="AF73" s="225"/>
    </row>
    <row r="74">
      <c r="A74" s="1013"/>
      <c r="B74" s="1019" t="s">
        <v>116</v>
      </c>
      <c r="C74" s="1020" t="s">
        <v>1035</v>
      </c>
      <c r="D74" s="1020" t="s">
        <v>1043</v>
      </c>
      <c r="E74" s="1020" t="s">
        <v>1037</v>
      </c>
      <c r="F74" s="1020">
        <v>2021.0</v>
      </c>
      <c r="G74" s="1021">
        <v>0.01486521</v>
      </c>
      <c r="H74" s="1021">
        <v>0.012787142</v>
      </c>
      <c r="I74" s="1022">
        <v>0.017336561</v>
      </c>
      <c r="K74" s="1031" t="s">
        <v>136</v>
      </c>
      <c r="L74" s="1032" t="s">
        <v>1037</v>
      </c>
      <c r="M74" s="1032" t="s">
        <v>1035</v>
      </c>
      <c r="N74" s="1032" t="s">
        <v>1038</v>
      </c>
      <c r="O74" s="1032">
        <v>2021.0</v>
      </c>
      <c r="P74" s="1032" t="s">
        <v>1039</v>
      </c>
      <c r="Q74" s="1033" t="s">
        <v>63</v>
      </c>
      <c r="R74" s="1034">
        <v>3151.378797</v>
      </c>
      <c r="S74" s="1034">
        <v>2375.053197</v>
      </c>
      <c r="T74" s="1035">
        <v>4148.920315</v>
      </c>
      <c r="V74" s="1019" t="s">
        <v>136</v>
      </c>
      <c r="W74" s="1020" t="s">
        <v>1040</v>
      </c>
      <c r="X74" s="1020" t="s">
        <v>1035</v>
      </c>
      <c r="Y74" s="1020" t="s">
        <v>1038</v>
      </c>
      <c r="Z74" s="1020">
        <v>2021.0</v>
      </c>
      <c r="AA74" s="1020" t="s">
        <v>1039</v>
      </c>
      <c r="AB74" s="1023" t="s">
        <v>63</v>
      </c>
      <c r="AC74" s="1024">
        <v>62.72935392</v>
      </c>
      <c r="AD74" s="1024">
        <v>19.84665006</v>
      </c>
      <c r="AE74" s="1025">
        <v>152.4461727</v>
      </c>
      <c r="AF74" s="225"/>
    </row>
    <row r="75">
      <c r="A75" s="1013"/>
      <c r="B75" s="1019" t="s">
        <v>116</v>
      </c>
      <c r="C75" s="1020" t="s">
        <v>1035</v>
      </c>
      <c r="D75" s="1020" t="s">
        <v>1045</v>
      </c>
      <c r="E75" s="1020" t="s">
        <v>1037</v>
      </c>
      <c r="F75" s="1020">
        <v>2021.0</v>
      </c>
      <c r="G75" s="1021">
        <v>0.14642539</v>
      </c>
      <c r="H75" s="1021">
        <v>0.124708249</v>
      </c>
      <c r="I75" s="1022">
        <v>0.169686274</v>
      </c>
      <c r="K75" s="1031" t="s">
        <v>136</v>
      </c>
      <c r="L75" s="1032" t="s">
        <v>1037</v>
      </c>
      <c r="M75" s="1032" t="s">
        <v>1035</v>
      </c>
      <c r="N75" s="1032" t="s">
        <v>1042</v>
      </c>
      <c r="O75" s="1032">
        <v>2021.0</v>
      </c>
      <c r="P75" s="1032" t="s">
        <v>1039</v>
      </c>
      <c r="Q75" s="1033" t="s">
        <v>63</v>
      </c>
      <c r="R75" s="1034">
        <v>5806.788046</v>
      </c>
      <c r="S75" s="1034">
        <v>4583.4437</v>
      </c>
      <c r="T75" s="1035">
        <v>7438.489275</v>
      </c>
      <c r="V75" s="1019" t="s">
        <v>136</v>
      </c>
      <c r="W75" s="1020" t="s">
        <v>1040</v>
      </c>
      <c r="X75" s="1020" t="s">
        <v>1035</v>
      </c>
      <c r="Y75" s="1020" t="s">
        <v>1042</v>
      </c>
      <c r="Z75" s="1020">
        <v>2021.0</v>
      </c>
      <c r="AA75" s="1020" t="s">
        <v>1039</v>
      </c>
      <c r="AB75" s="1023" t="s">
        <v>63</v>
      </c>
      <c r="AC75" s="1024">
        <v>14.38416767</v>
      </c>
      <c r="AD75" s="1024">
        <v>6.555399873</v>
      </c>
      <c r="AE75" s="1025">
        <v>29.11801568</v>
      </c>
      <c r="AF75" s="225"/>
    </row>
    <row r="76">
      <c r="A76" s="1013"/>
      <c r="B76" s="1019" t="s">
        <v>138</v>
      </c>
      <c r="C76" s="1020" t="s">
        <v>1035</v>
      </c>
      <c r="D76" s="1020" t="s">
        <v>1036</v>
      </c>
      <c r="E76" s="1020" t="s">
        <v>1037</v>
      </c>
      <c r="F76" s="1020">
        <v>2021.0</v>
      </c>
      <c r="G76" s="1021">
        <v>0.106641804</v>
      </c>
      <c r="H76" s="1021">
        <v>0.084602864</v>
      </c>
      <c r="I76" s="1022">
        <v>0.133928149</v>
      </c>
      <c r="K76" s="1031" t="s">
        <v>136</v>
      </c>
      <c r="L76" s="1032" t="s">
        <v>1037</v>
      </c>
      <c r="M76" s="1032" t="s">
        <v>1035</v>
      </c>
      <c r="N76" s="1032" t="s">
        <v>1044</v>
      </c>
      <c r="O76" s="1032">
        <v>2021.0</v>
      </c>
      <c r="P76" s="1032" t="s">
        <v>1039</v>
      </c>
      <c r="Q76" s="1033" t="s">
        <v>63</v>
      </c>
      <c r="R76" s="1034">
        <v>919.2859927</v>
      </c>
      <c r="S76" s="1034">
        <v>720.6986675</v>
      </c>
      <c r="T76" s="1035">
        <v>1160.210671</v>
      </c>
      <c r="V76" s="1019" t="s">
        <v>136</v>
      </c>
      <c r="W76" s="1020" t="s">
        <v>1040</v>
      </c>
      <c r="X76" s="1020" t="s">
        <v>1035</v>
      </c>
      <c r="Y76" s="1020" t="s">
        <v>1044</v>
      </c>
      <c r="Z76" s="1020">
        <v>2021.0</v>
      </c>
      <c r="AA76" s="1020" t="s">
        <v>1039</v>
      </c>
      <c r="AB76" s="1023" t="s">
        <v>63</v>
      </c>
      <c r="AC76" s="1024">
        <v>12.46753535</v>
      </c>
      <c r="AD76" s="1024">
        <v>4.601691651</v>
      </c>
      <c r="AE76" s="1025">
        <v>30.05811322</v>
      </c>
      <c r="AF76" s="225"/>
    </row>
    <row r="77">
      <c r="A77" s="1013"/>
      <c r="B77" s="1019" t="s">
        <v>138</v>
      </c>
      <c r="C77" s="1020" t="s">
        <v>1035</v>
      </c>
      <c r="D77" s="1020" t="s">
        <v>1041</v>
      </c>
      <c r="E77" s="1020" t="s">
        <v>1037</v>
      </c>
      <c r="F77" s="1020">
        <v>2021.0</v>
      </c>
      <c r="G77" s="1021">
        <v>0.522281277</v>
      </c>
      <c r="H77" s="1021">
        <v>0.457406382</v>
      </c>
      <c r="I77" s="1022">
        <v>0.590555974</v>
      </c>
      <c r="K77" s="1031" t="s">
        <v>136</v>
      </c>
      <c r="L77" s="1032" t="s">
        <v>1037</v>
      </c>
      <c r="M77" s="1032" t="s">
        <v>1035</v>
      </c>
      <c r="N77" s="1032" t="s">
        <v>1046</v>
      </c>
      <c r="O77" s="1032">
        <v>2021.0</v>
      </c>
      <c r="P77" s="1032" t="s">
        <v>1039</v>
      </c>
      <c r="Q77" s="1033" t="s">
        <v>63</v>
      </c>
      <c r="R77" s="1034">
        <v>3352.797469</v>
      </c>
      <c r="S77" s="1034">
        <v>2578.794789</v>
      </c>
      <c r="T77" s="1035">
        <v>4313.158498</v>
      </c>
      <c r="V77" s="1019" t="s">
        <v>136</v>
      </c>
      <c r="W77" s="1020" t="s">
        <v>1040</v>
      </c>
      <c r="X77" s="1020" t="s">
        <v>1035</v>
      </c>
      <c r="Y77" s="1020" t="s">
        <v>1046</v>
      </c>
      <c r="Z77" s="1020">
        <v>2021.0</v>
      </c>
      <c r="AA77" s="1020" t="s">
        <v>1039</v>
      </c>
      <c r="AB77" s="1023" t="s">
        <v>63</v>
      </c>
      <c r="AC77" s="1024">
        <v>149.8086318</v>
      </c>
      <c r="AD77" s="1024">
        <v>51.2591589</v>
      </c>
      <c r="AE77" s="1025">
        <v>298.1197759</v>
      </c>
      <c r="AF77" s="225"/>
    </row>
    <row r="78">
      <c r="A78" s="1013"/>
      <c r="B78" s="1019" t="s">
        <v>138</v>
      </c>
      <c r="C78" s="1020" t="s">
        <v>1035</v>
      </c>
      <c r="D78" s="1020" t="s">
        <v>1043</v>
      </c>
      <c r="E78" s="1020" t="s">
        <v>1037</v>
      </c>
      <c r="F78" s="1020">
        <v>2021.0</v>
      </c>
      <c r="G78" s="1021">
        <v>0.01024555</v>
      </c>
      <c r="H78" s="1021">
        <v>0.00859313</v>
      </c>
      <c r="I78" s="1022">
        <v>0.012374464</v>
      </c>
      <c r="K78" s="1031" t="s">
        <v>136</v>
      </c>
      <c r="L78" s="1032" t="s">
        <v>1037</v>
      </c>
      <c r="M78" s="1032" t="s">
        <v>1035</v>
      </c>
      <c r="N78" s="1032" t="s">
        <v>1045</v>
      </c>
      <c r="O78" s="1032">
        <v>2021.0</v>
      </c>
      <c r="P78" s="1032" t="s">
        <v>1039</v>
      </c>
      <c r="Q78" s="1033" t="s">
        <v>63</v>
      </c>
      <c r="R78" s="1034">
        <v>13230.25031</v>
      </c>
      <c r="S78" s="1034">
        <v>10363.85793</v>
      </c>
      <c r="T78" s="1035">
        <v>16971.60781</v>
      </c>
      <c r="V78" s="1019" t="s">
        <v>136</v>
      </c>
      <c r="W78" s="1020" t="s">
        <v>1040</v>
      </c>
      <c r="X78" s="1020" t="s">
        <v>1035</v>
      </c>
      <c r="Y78" s="1020" t="s">
        <v>1045</v>
      </c>
      <c r="Z78" s="1020">
        <v>2021.0</v>
      </c>
      <c r="AA78" s="1020" t="s">
        <v>1039</v>
      </c>
      <c r="AB78" s="1023" t="s">
        <v>63</v>
      </c>
      <c r="AC78" s="1024">
        <v>239.3896887</v>
      </c>
      <c r="AD78" s="1024">
        <v>93.21109628</v>
      </c>
      <c r="AE78" s="1025">
        <v>492.303917</v>
      </c>
      <c r="AF78" s="225"/>
    </row>
    <row r="79">
      <c r="A79" s="1013"/>
      <c r="B79" s="1019" t="s">
        <v>138</v>
      </c>
      <c r="C79" s="1020" t="s">
        <v>1035</v>
      </c>
      <c r="D79" s="1020" t="s">
        <v>1045</v>
      </c>
      <c r="E79" s="1020" t="s">
        <v>1037</v>
      </c>
      <c r="F79" s="1020">
        <v>2021.0</v>
      </c>
      <c r="G79" s="1021">
        <v>0.095868046</v>
      </c>
      <c r="H79" s="1021">
        <v>0.078778265</v>
      </c>
      <c r="I79" s="1022">
        <v>0.116579463</v>
      </c>
      <c r="K79" s="1031" t="s">
        <v>115</v>
      </c>
      <c r="L79" s="1032" t="s">
        <v>1037</v>
      </c>
      <c r="M79" s="1032" t="s">
        <v>1035</v>
      </c>
      <c r="N79" s="1032" t="s">
        <v>1038</v>
      </c>
      <c r="O79" s="1032">
        <v>2021.0</v>
      </c>
      <c r="P79" s="1032" t="s">
        <v>1039</v>
      </c>
      <c r="Q79" s="1033" t="s">
        <v>63</v>
      </c>
      <c r="R79" s="1034">
        <v>7576.732575</v>
      </c>
      <c r="S79" s="1034">
        <v>5990.669917</v>
      </c>
      <c r="T79" s="1035">
        <v>9366.979504</v>
      </c>
      <c r="V79" s="1019" t="s">
        <v>115</v>
      </c>
      <c r="W79" s="1020" t="s">
        <v>1040</v>
      </c>
      <c r="X79" s="1020" t="s">
        <v>1035</v>
      </c>
      <c r="Y79" s="1020" t="s">
        <v>1038</v>
      </c>
      <c r="Z79" s="1020">
        <v>2021.0</v>
      </c>
      <c r="AA79" s="1020" t="s">
        <v>1039</v>
      </c>
      <c r="AB79" s="1023" t="s">
        <v>63</v>
      </c>
      <c r="AC79" s="1024">
        <v>513.7851443</v>
      </c>
      <c r="AD79" s="1024">
        <v>271.324259</v>
      </c>
      <c r="AE79" s="1025">
        <v>847.0911066</v>
      </c>
      <c r="AF79" s="225"/>
    </row>
    <row r="80">
      <c r="A80" s="1013"/>
      <c r="B80" s="1019" t="s">
        <v>118</v>
      </c>
      <c r="C80" s="1020" t="s">
        <v>1035</v>
      </c>
      <c r="D80" s="1020" t="s">
        <v>1036</v>
      </c>
      <c r="E80" s="1020" t="s">
        <v>1037</v>
      </c>
      <c r="F80" s="1020">
        <v>2021.0</v>
      </c>
      <c r="G80" s="1021">
        <v>0.128285108</v>
      </c>
      <c r="H80" s="1021">
        <v>0.104058719</v>
      </c>
      <c r="I80" s="1022">
        <v>0.15797643</v>
      </c>
      <c r="K80" s="1031" t="s">
        <v>115</v>
      </c>
      <c r="L80" s="1032" t="s">
        <v>1037</v>
      </c>
      <c r="M80" s="1032" t="s">
        <v>1035</v>
      </c>
      <c r="N80" s="1032" t="s">
        <v>1042</v>
      </c>
      <c r="O80" s="1032">
        <v>2021.0</v>
      </c>
      <c r="P80" s="1032" t="s">
        <v>1039</v>
      </c>
      <c r="Q80" s="1033" t="s">
        <v>63</v>
      </c>
      <c r="R80" s="1034">
        <v>4741.97342</v>
      </c>
      <c r="S80" s="1034">
        <v>4099.035826</v>
      </c>
      <c r="T80" s="1035">
        <v>5449.928461</v>
      </c>
      <c r="V80" s="1019" t="s">
        <v>115</v>
      </c>
      <c r="W80" s="1020" t="s">
        <v>1040</v>
      </c>
      <c r="X80" s="1020" t="s">
        <v>1035</v>
      </c>
      <c r="Y80" s="1020" t="s">
        <v>1042</v>
      </c>
      <c r="Z80" s="1020">
        <v>2021.0</v>
      </c>
      <c r="AA80" s="1020" t="s">
        <v>1039</v>
      </c>
      <c r="AB80" s="1023" t="s">
        <v>63</v>
      </c>
      <c r="AC80" s="1024">
        <v>28.65677424</v>
      </c>
      <c r="AD80" s="1024">
        <v>12.22240355</v>
      </c>
      <c r="AE80" s="1025">
        <v>47.04313417</v>
      </c>
      <c r="AF80" s="225"/>
    </row>
    <row r="81">
      <c r="A81" s="1013"/>
      <c r="B81" s="1019" t="s">
        <v>118</v>
      </c>
      <c r="C81" s="1020" t="s">
        <v>1035</v>
      </c>
      <c r="D81" s="1020" t="s">
        <v>1041</v>
      </c>
      <c r="E81" s="1020" t="s">
        <v>1037</v>
      </c>
      <c r="F81" s="1020">
        <v>2021.0</v>
      </c>
      <c r="G81" s="1021">
        <v>0.609886837</v>
      </c>
      <c r="H81" s="1021">
        <v>0.543616752</v>
      </c>
      <c r="I81" s="1022">
        <v>0.678396472</v>
      </c>
      <c r="K81" s="1031" t="s">
        <v>115</v>
      </c>
      <c r="L81" s="1032" t="s">
        <v>1037</v>
      </c>
      <c r="M81" s="1032" t="s">
        <v>1035</v>
      </c>
      <c r="N81" s="1032" t="s">
        <v>1044</v>
      </c>
      <c r="O81" s="1032">
        <v>2021.0</v>
      </c>
      <c r="P81" s="1032" t="s">
        <v>1039</v>
      </c>
      <c r="Q81" s="1033" t="s">
        <v>63</v>
      </c>
      <c r="R81" s="1034">
        <v>938.6566153</v>
      </c>
      <c r="S81" s="1034">
        <v>816.6945459</v>
      </c>
      <c r="T81" s="1035">
        <v>1079.589668</v>
      </c>
      <c r="V81" s="1019" t="s">
        <v>115</v>
      </c>
      <c r="W81" s="1020" t="s">
        <v>1040</v>
      </c>
      <c r="X81" s="1020" t="s">
        <v>1035</v>
      </c>
      <c r="Y81" s="1020" t="s">
        <v>1044</v>
      </c>
      <c r="Z81" s="1020">
        <v>2021.0</v>
      </c>
      <c r="AA81" s="1020" t="s">
        <v>1039</v>
      </c>
      <c r="AB81" s="1023" t="s">
        <v>63</v>
      </c>
      <c r="AC81" s="1024">
        <v>26.23729569</v>
      </c>
      <c r="AD81" s="1024">
        <v>12.87971087</v>
      </c>
      <c r="AE81" s="1025">
        <v>44.96456987</v>
      </c>
      <c r="AF81" s="225"/>
    </row>
    <row r="82">
      <c r="A82" s="1013"/>
      <c r="B82" s="1019" t="s">
        <v>118</v>
      </c>
      <c r="C82" s="1020" t="s">
        <v>1035</v>
      </c>
      <c r="D82" s="1020" t="s">
        <v>1043</v>
      </c>
      <c r="E82" s="1020" t="s">
        <v>1037</v>
      </c>
      <c r="F82" s="1020">
        <v>2021.0</v>
      </c>
      <c r="G82" s="1021">
        <v>0.014088608</v>
      </c>
      <c r="H82" s="1021">
        <v>0.011760328</v>
      </c>
      <c r="I82" s="1022">
        <v>0.016957658</v>
      </c>
      <c r="K82" s="1031" t="s">
        <v>115</v>
      </c>
      <c r="L82" s="1032" t="s">
        <v>1037</v>
      </c>
      <c r="M82" s="1032" t="s">
        <v>1035</v>
      </c>
      <c r="N82" s="1032" t="s">
        <v>1046</v>
      </c>
      <c r="O82" s="1032">
        <v>2021.0</v>
      </c>
      <c r="P82" s="1032" t="s">
        <v>1039</v>
      </c>
      <c r="Q82" s="1033" t="s">
        <v>63</v>
      </c>
      <c r="R82" s="1034">
        <v>4643.845069</v>
      </c>
      <c r="S82" s="1034">
        <v>4008.098133</v>
      </c>
      <c r="T82" s="1035">
        <v>5323.213513</v>
      </c>
      <c r="V82" s="1019" t="s">
        <v>115</v>
      </c>
      <c r="W82" s="1020" t="s">
        <v>1040</v>
      </c>
      <c r="X82" s="1020" t="s">
        <v>1035</v>
      </c>
      <c r="Y82" s="1020" t="s">
        <v>1046</v>
      </c>
      <c r="Z82" s="1020">
        <v>2021.0</v>
      </c>
      <c r="AA82" s="1020" t="s">
        <v>1039</v>
      </c>
      <c r="AB82" s="1023" t="s">
        <v>63</v>
      </c>
      <c r="AC82" s="1024">
        <v>569.1554704</v>
      </c>
      <c r="AD82" s="1024">
        <v>335.2001712</v>
      </c>
      <c r="AE82" s="1025">
        <v>842.5132066</v>
      </c>
      <c r="AF82" s="225"/>
    </row>
    <row r="83">
      <c r="A83" s="1013"/>
      <c r="B83" s="1019" t="s">
        <v>118</v>
      </c>
      <c r="C83" s="1020" t="s">
        <v>1035</v>
      </c>
      <c r="D83" s="1020" t="s">
        <v>1045</v>
      </c>
      <c r="E83" s="1020" t="s">
        <v>1037</v>
      </c>
      <c r="F83" s="1020">
        <v>2021.0</v>
      </c>
      <c r="G83" s="1021">
        <v>0.139800648</v>
      </c>
      <c r="H83" s="1021">
        <v>0.116916797</v>
      </c>
      <c r="I83" s="1022">
        <v>0.166759495</v>
      </c>
      <c r="K83" s="1031" t="s">
        <v>115</v>
      </c>
      <c r="L83" s="1032" t="s">
        <v>1037</v>
      </c>
      <c r="M83" s="1032" t="s">
        <v>1035</v>
      </c>
      <c r="N83" s="1032" t="s">
        <v>1045</v>
      </c>
      <c r="O83" s="1032">
        <v>2021.0</v>
      </c>
      <c r="P83" s="1032" t="s">
        <v>1039</v>
      </c>
      <c r="Q83" s="1033" t="s">
        <v>63</v>
      </c>
      <c r="R83" s="1034">
        <v>17901.20768</v>
      </c>
      <c r="S83" s="1034">
        <v>14989.95136</v>
      </c>
      <c r="T83" s="1035">
        <v>21078.52259</v>
      </c>
      <c r="V83" s="1019" t="s">
        <v>115</v>
      </c>
      <c r="W83" s="1020" t="s">
        <v>1040</v>
      </c>
      <c r="X83" s="1020" t="s">
        <v>1035</v>
      </c>
      <c r="Y83" s="1020" t="s">
        <v>1045</v>
      </c>
      <c r="Z83" s="1020">
        <v>2021.0</v>
      </c>
      <c r="AA83" s="1020" t="s">
        <v>1039</v>
      </c>
      <c r="AB83" s="1023" t="s">
        <v>63</v>
      </c>
      <c r="AC83" s="1024">
        <v>1137.834685</v>
      </c>
      <c r="AD83" s="1024">
        <v>683.2291654</v>
      </c>
      <c r="AE83" s="1025">
        <v>1667.153018</v>
      </c>
      <c r="AF83" s="225"/>
    </row>
    <row r="84">
      <c r="A84" s="1013"/>
      <c r="B84" s="1019" t="s">
        <v>119</v>
      </c>
      <c r="C84" s="1020" t="s">
        <v>1035</v>
      </c>
      <c r="D84" s="1020" t="s">
        <v>1036</v>
      </c>
      <c r="E84" s="1020" t="s">
        <v>1037</v>
      </c>
      <c r="F84" s="1020">
        <v>2021.0</v>
      </c>
      <c r="G84" s="1021">
        <v>0.125171194</v>
      </c>
      <c r="H84" s="1021">
        <v>0.101799072</v>
      </c>
      <c r="I84" s="1022">
        <v>0.156967059</v>
      </c>
      <c r="K84" s="1031" t="s">
        <v>137</v>
      </c>
      <c r="L84" s="1032" t="s">
        <v>1037</v>
      </c>
      <c r="M84" s="1032" t="s">
        <v>1035</v>
      </c>
      <c r="N84" s="1032" t="s">
        <v>1038</v>
      </c>
      <c r="O84" s="1032">
        <v>2021.0</v>
      </c>
      <c r="P84" s="1032" t="s">
        <v>1039</v>
      </c>
      <c r="Q84" s="1033" t="s">
        <v>63</v>
      </c>
      <c r="R84" s="1034">
        <v>4677.473</v>
      </c>
      <c r="S84" s="1034">
        <v>3646.223134</v>
      </c>
      <c r="T84" s="1035">
        <v>5926.160682</v>
      </c>
      <c r="V84" s="1019" t="s">
        <v>137</v>
      </c>
      <c r="W84" s="1020" t="s">
        <v>1040</v>
      </c>
      <c r="X84" s="1020" t="s">
        <v>1035</v>
      </c>
      <c r="Y84" s="1020" t="s">
        <v>1038</v>
      </c>
      <c r="Z84" s="1020">
        <v>2021.0</v>
      </c>
      <c r="AA84" s="1020" t="s">
        <v>1039</v>
      </c>
      <c r="AB84" s="1023" t="s">
        <v>63</v>
      </c>
      <c r="AC84" s="1024">
        <v>67.68122943</v>
      </c>
      <c r="AD84" s="1024">
        <v>24.02043735</v>
      </c>
      <c r="AE84" s="1025">
        <v>155.9839844</v>
      </c>
      <c r="AF84" s="225"/>
    </row>
    <row r="85">
      <c r="A85" s="1013"/>
      <c r="B85" s="1019" t="s">
        <v>119</v>
      </c>
      <c r="C85" s="1020" t="s">
        <v>1035</v>
      </c>
      <c r="D85" s="1020" t="s">
        <v>1041</v>
      </c>
      <c r="E85" s="1020" t="s">
        <v>1037</v>
      </c>
      <c r="F85" s="1020">
        <v>2021.0</v>
      </c>
      <c r="G85" s="1021">
        <v>0.595484665</v>
      </c>
      <c r="H85" s="1021">
        <v>0.529947019</v>
      </c>
      <c r="I85" s="1022">
        <v>0.67135342</v>
      </c>
      <c r="K85" s="1031" t="s">
        <v>137</v>
      </c>
      <c r="L85" s="1032" t="s">
        <v>1037</v>
      </c>
      <c r="M85" s="1032" t="s">
        <v>1035</v>
      </c>
      <c r="N85" s="1032" t="s">
        <v>1042</v>
      </c>
      <c r="O85" s="1032">
        <v>2021.0</v>
      </c>
      <c r="P85" s="1032" t="s">
        <v>1039</v>
      </c>
      <c r="Q85" s="1033" t="s">
        <v>63</v>
      </c>
      <c r="R85" s="1034">
        <v>7221.667547</v>
      </c>
      <c r="S85" s="1034">
        <v>5611.660707</v>
      </c>
      <c r="T85" s="1035">
        <v>9265.158281</v>
      </c>
      <c r="V85" s="1019" t="s">
        <v>137</v>
      </c>
      <c r="W85" s="1020" t="s">
        <v>1040</v>
      </c>
      <c r="X85" s="1020" t="s">
        <v>1035</v>
      </c>
      <c r="Y85" s="1020" t="s">
        <v>1042</v>
      </c>
      <c r="Z85" s="1020">
        <v>2021.0</v>
      </c>
      <c r="AA85" s="1020" t="s">
        <v>1039</v>
      </c>
      <c r="AB85" s="1023" t="s">
        <v>63</v>
      </c>
      <c r="AC85" s="1024">
        <v>16.91253031</v>
      </c>
      <c r="AD85" s="1024">
        <v>8.168327778</v>
      </c>
      <c r="AE85" s="1025">
        <v>35.2457912</v>
      </c>
      <c r="AF85" s="225"/>
    </row>
    <row r="86">
      <c r="A86" s="1013"/>
      <c r="B86" s="1019" t="s">
        <v>119</v>
      </c>
      <c r="C86" s="1020" t="s">
        <v>1035</v>
      </c>
      <c r="D86" s="1020" t="s">
        <v>1043</v>
      </c>
      <c r="E86" s="1020" t="s">
        <v>1037</v>
      </c>
      <c r="F86" s="1020">
        <v>2021.0</v>
      </c>
      <c r="G86" s="1021">
        <v>0.012553507</v>
      </c>
      <c r="H86" s="1021">
        <v>0.010474529</v>
      </c>
      <c r="I86" s="1022">
        <v>0.015024861</v>
      </c>
      <c r="K86" s="1031" t="s">
        <v>137</v>
      </c>
      <c r="L86" s="1032" t="s">
        <v>1037</v>
      </c>
      <c r="M86" s="1032" t="s">
        <v>1035</v>
      </c>
      <c r="N86" s="1032" t="s">
        <v>1044</v>
      </c>
      <c r="O86" s="1032">
        <v>2021.0</v>
      </c>
      <c r="P86" s="1032" t="s">
        <v>1039</v>
      </c>
      <c r="Q86" s="1033" t="s">
        <v>63</v>
      </c>
      <c r="R86" s="1034">
        <v>888.0469003</v>
      </c>
      <c r="S86" s="1034">
        <v>688.8334226</v>
      </c>
      <c r="T86" s="1035">
        <v>1133.349159</v>
      </c>
      <c r="V86" s="1019" t="s">
        <v>137</v>
      </c>
      <c r="W86" s="1020" t="s">
        <v>1040</v>
      </c>
      <c r="X86" s="1020" t="s">
        <v>1035</v>
      </c>
      <c r="Y86" s="1020" t="s">
        <v>1044</v>
      </c>
      <c r="Z86" s="1020">
        <v>2021.0</v>
      </c>
      <c r="AA86" s="1020" t="s">
        <v>1039</v>
      </c>
      <c r="AB86" s="1023" t="s">
        <v>63</v>
      </c>
      <c r="AC86" s="1024">
        <v>9.218298886</v>
      </c>
      <c r="AD86" s="1024">
        <v>3.621272145</v>
      </c>
      <c r="AE86" s="1025">
        <v>21.25983608</v>
      </c>
      <c r="AF86" s="225"/>
    </row>
    <row r="87">
      <c r="A87" s="1013"/>
      <c r="B87" s="1019" t="s">
        <v>119</v>
      </c>
      <c r="C87" s="1020" t="s">
        <v>1035</v>
      </c>
      <c r="D87" s="1020" t="s">
        <v>1045</v>
      </c>
      <c r="E87" s="1020" t="s">
        <v>1037</v>
      </c>
      <c r="F87" s="1020">
        <v>2021.0</v>
      </c>
      <c r="G87" s="1021">
        <v>0.117307508</v>
      </c>
      <c r="H87" s="1021">
        <v>0.097927333</v>
      </c>
      <c r="I87" s="1022">
        <v>0.140262794</v>
      </c>
      <c r="K87" s="1031" t="s">
        <v>137</v>
      </c>
      <c r="L87" s="1032" t="s">
        <v>1037</v>
      </c>
      <c r="M87" s="1032" t="s">
        <v>1035</v>
      </c>
      <c r="N87" s="1032" t="s">
        <v>1046</v>
      </c>
      <c r="O87" s="1032">
        <v>2021.0</v>
      </c>
      <c r="P87" s="1032" t="s">
        <v>1039</v>
      </c>
      <c r="Q87" s="1033" t="s">
        <v>63</v>
      </c>
      <c r="R87" s="1034">
        <v>4107.779865</v>
      </c>
      <c r="S87" s="1034">
        <v>3193.242669</v>
      </c>
      <c r="T87" s="1035">
        <v>5288.969506</v>
      </c>
      <c r="V87" s="1019" t="s">
        <v>137</v>
      </c>
      <c r="W87" s="1020" t="s">
        <v>1040</v>
      </c>
      <c r="X87" s="1020" t="s">
        <v>1035</v>
      </c>
      <c r="Y87" s="1020" t="s">
        <v>1046</v>
      </c>
      <c r="Z87" s="1020">
        <v>2021.0</v>
      </c>
      <c r="AA87" s="1020" t="s">
        <v>1039</v>
      </c>
      <c r="AB87" s="1023" t="s">
        <v>63</v>
      </c>
      <c r="AC87" s="1024">
        <v>129.3071454</v>
      </c>
      <c r="AD87" s="1024">
        <v>50.57401801</v>
      </c>
      <c r="AE87" s="1025">
        <v>282.028483</v>
      </c>
      <c r="AF87" s="225"/>
    </row>
    <row r="88">
      <c r="A88" s="1013"/>
      <c r="B88" s="1019" t="s">
        <v>120</v>
      </c>
      <c r="C88" s="1020" t="s">
        <v>1035</v>
      </c>
      <c r="D88" s="1020" t="s">
        <v>1036</v>
      </c>
      <c r="E88" s="1020" t="s">
        <v>1037</v>
      </c>
      <c r="F88" s="1020">
        <v>2021.0</v>
      </c>
      <c r="G88" s="1021">
        <v>0.134266686</v>
      </c>
      <c r="H88" s="1021">
        <v>0.107358259</v>
      </c>
      <c r="I88" s="1022">
        <v>0.167534299</v>
      </c>
      <c r="K88" s="1031" t="s">
        <v>137</v>
      </c>
      <c r="L88" s="1032" t="s">
        <v>1037</v>
      </c>
      <c r="M88" s="1032" t="s">
        <v>1035</v>
      </c>
      <c r="N88" s="1032" t="s">
        <v>1045</v>
      </c>
      <c r="O88" s="1032">
        <v>2021.0</v>
      </c>
      <c r="P88" s="1032" t="s">
        <v>1039</v>
      </c>
      <c r="Q88" s="1033" t="s">
        <v>63</v>
      </c>
      <c r="R88" s="1034">
        <v>16894.96731</v>
      </c>
      <c r="S88" s="1034">
        <v>13372.28289</v>
      </c>
      <c r="T88" s="1035">
        <v>21322.75058</v>
      </c>
      <c r="V88" s="1019" t="s">
        <v>137</v>
      </c>
      <c r="W88" s="1020" t="s">
        <v>1040</v>
      </c>
      <c r="X88" s="1020" t="s">
        <v>1035</v>
      </c>
      <c r="Y88" s="1020" t="s">
        <v>1045</v>
      </c>
      <c r="Z88" s="1020">
        <v>2021.0</v>
      </c>
      <c r="AA88" s="1020" t="s">
        <v>1039</v>
      </c>
      <c r="AB88" s="1023" t="s">
        <v>63</v>
      </c>
      <c r="AC88" s="1024">
        <v>223.1192041</v>
      </c>
      <c r="AD88" s="1024">
        <v>100.5147387</v>
      </c>
      <c r="AE88" s="1025">
        <v>461.7380404</v>
      </c>
      <c r="AF88" s="225"/>
    </row>
    <row r="89">
      <c r="A89" s="1013"/>
      <c r="B89" s="1019" t="s">
        <v>120</v>
      </c>
      <c r="C89" s="1020" t="s">
        <v>1035</v>
      </c>
      <c r="D89" s="1020" t="s">
        <v>1041</v>
      </c>
      <c r="E89" s="1020" t="s">
        <v>1037</v>
      </c>
      <c r="F89" s="1020">
        <v>2021.0</v>
      </c>
      <c r="G89" s="1021">
        <v>0.601313356</v>
      </c>
      <c r="H89" s="1021">
        <v>0.530747827</v>
      </c>
      <c r="I89" s="1022">
        <v>0.677895128</v>
      </c>
      <c r="K89" s="1031" t="s">
        <v>116</v>
      </c>
      <c r="L89" s="1032" t="s">
        <v>1037</v>
      </c>
      <c r="M89" s="1032" t="s">
        <v>1035</v>
      </c>
      <c r="N89" s="1032" t="s">
        <v>1038</v>
      </c>
      <c r="O89" s="1032">
        <v>2021.0</v>
      </c>
      <c r="P89" s="1032" t="s">
        <v>1039</v>
      </c>
      <c r="Q89" s="1033" t="s">
        <v>63</v>
      </c>
      <c r="R89" s="1034">
        <v>17798.87638</v>
      </c>
      <c r="S89" s="1034">
        <v>14053.52385</v>
      </c>
      <c r="T89" s="1035">
        <v>21815.39896</v>
      </c>
      <c r="V89" s="1019" t="s">
        <v>116</v>
      </c>
      <c r="W89" s="1020" t="s">
        <v>1040</v>
      </c>
      <c r="X89" s="1020" t="s">
        <v>1035</v>
      </c>
      <c r="Y89" s="1020" t="s">
        <v>1038</v>
      </c>
      <c r="Z89" s="1020">
        <v>2021.0</v>
      </c>
      <c r="AA89" s="1020" t="s">
        <v>1039</v>
      </c>
      <c r="AB89" s="1023" t="s">
        <v>63</v>
      </c>
      <c r="AC89" s="1024">
        <v>1142.845776</v>
      </c>
      <c r="AD89" s="1024">
        <v>585.0322496</v>
      </c>
      <c r="AE89" s="1025">
        <v>1920.318324</v>
      </c>
      <c r="AF89" s="225"/>
    </row>
    <row r="90">
      <c r="A90" s="1013"/>
      <c r="B90" s="1019" t="s">
        <v>120</v>
      </c>
      <c r="C90" s="1020" t="s">
        <v>1035</v>
      </c>
      <c r="D90" s="1020" t="s">
        <v>1043</v>
      </c>
      <c r="E90" s="1020" t="s">
        <v>1037</v>
      </c>
      <c r="F90" s="1020">
        <v>2021.0</v>
      </c>
      <c r="G90" s="1021">
        <v>0.013777725</v>
      </c>
      <c r="H90" s="1021">
        <v>0.011865557</v>
      </c>
      <c r="I90" s="1022">
        <v>0.016092784</v>
      </c>
      <c r="K90" s="1031" t="s">
        <v>116</v>
      </c>
      <c r="L90" s="1032" t="s">
        <v>1037</v>
      </c>
      <c r="M90" s="1032" t="s">
        <v>1035</v>
      </c>
      <c r="N90" s="1032" t="s">
        <v>1042</v>
      </c>
      <c r="O90" s="1032">
        <v>2021.0</v>
      </c>
      <c r="P90" s="1032" t="s">
        <v>1039</v>
      </c>
      <c r="Q90" s="1033" t="s">
        <v>63</v>
      </c>
      <c r="R90" s="1034">
        <v>9171.621261</v>
      </c>
      <c r="S90" s="1034">
        <v>8056.27378</v>
      </c>
      <c r="T90" s="1035">
        <v>10339.67374</v>
      </c>
      <c r="V90" s="1019" t="s">
        <v>116</v>
      </c>
      <c r="W90" s="1020" t="s">
        <v>1040</v>
      </c>
      <c r="X90" s="1020" t="s">
        <v>1035</v>
      </c>
      <c r="Y90" s="1020" t="s">
        <v>1042</v>
      </c>
      <c r="Z90" s="1020">
        <v>2021.0</v>
      </c>
      <c r="AA90" s="1020" t="s">
        <v>1039</v>
      </c>
      <c r="AB90" s="1023" t="s">
        <v>63</v>
      </c>
      <c r="AC90" s="1024">
        <v>50.36035612</v>
      </c>
      <c r="AD90" s="1024">
        <v>24.38306314</v>
      </c>
      <c r="AE90" s="1025">
        <v>83.92134651</v>
      </c>
      <c r="AF90" s="225"/>
    </row>
    <row r="91">
      <c r="A91" s="1013"/>
      <c r="B91" s="1019" t="s">
        <v>120</v>
      </c>
      <c r="C91" s="1020" t="s">
        <v>1035</v>
      </c>
      <c r="D91" s="1020" t="s">
        <v>1045</v>
      </c>
      <c r="E91" s="1020" t="s">
        <v>1037</v>
      </c>
      <c r="F91" s="1020">
        <v>2021.0</v>
      </c>
      <c r="G91" s="1021">
        <v>0.1281887</v>
      </c>
      <c r="H91" s="1021">
        <v>0.108737828</v>
      </c>
      <c r="I91" s="1022">
        <v>0.149380709</v>
      </c>
      <c r="K91" s="1031" t="s">
        <v>116</v>
      </c>
      <c r="L91" s="1032" t="s">
        <v>1037</v>
      </c>
      <c r="M91" s="1032" t="s">
        <v>1035</v>
      </c>
      <c r="N91" s="1032" t="s">
        <v>1044</v>
      </c>
      <c r="O91" s="1032">
        <v>2021.0</v>
      </c>
      <c r="P91" s="1032" t="s">
        <v>1039</v>
      </c>
      <c r="Q91" s="1033" t="s">
        <v>63</v>
      </c>
      <c r="R91" s="1034">
        <v>1733.237346</v>
      </c>
      <c r="S91" s="1034">
        <v>1517.859708</v>
      </c>
      <c r="T91" s="1035">
        <v>1960.748289</v>
      </c>
      <c r="V91" s="1019" t="s">
        <v>116</v>
      </c>
      <c r="W91" s="1020" t="s">
        <v>1040</v>
      </c>
      <c r="X91" s="1020" t="s">
        <v>1035</v>
      </c>
      <c r="Y91" s="1020" t="s">
        <v>1044</v>
      </c>
      <c r="Z91" s="1020">
        <v>2021.0</v>
      </c>
      <c r="AA91" s="1020" t="s">
        <v>1039</v>
      </c>
      <c r="AB91" s="1023" t="s">
        <v>63</v>
      </c>
      <c r="AC91" s="1024">
        <v>48.78350373</v>
      </c>
      <c r="AD91" s="1024">
        <v>24.01488591</v>
      </c>
      <c r="AE91" s="1025">
        <v>82.86714113</v>
      </c>
      <c r="AF91" s="225"/>
    </row>
    <row r="92">
      <c r="A92" s="1013"/>
      <c r="B92" s="1019" t="s">
        <v>139</v>
      </c>
      <c r="C92" s="1020" t="s">
        <v>1035</v>
      </c>
      <c r="D92" s="1020" t="s">
        <v>1036</v>
      </c>
      <c r="E92" s="1020" t="s">
        <v>1037</v>
      </c>
      <c r="F92" s="1020">
        <v>2021.0</v>
      </c>
      <c r="G92" s="1021">
        <v>0.079409316</v>
      </c>
      <c r="H92" s="1021">
        <v>0.06084729</v>
      </c>
      <c r="I92" s="1022">
        <v>0.103282508</v>
      </c>
      <c r="K92" s="1031" t="s">
        <v>116</v>
      </c>
      <c r="L92" s="1032" t="s">
        <v>1037</v>
      </c>
      <c r="M92" s="1032" t="s">
        <v>1035</v>
      </c>
      <c r="N92" s="1032" t="s">
        <v>1046</v>
      </c>
      <c r="O92" s="1032">
        <v>2021.0</v>
      </c>
      <c r="P92" s="1032" t="s">
        <v>1039</v>
      </c>
      <c r="Q92" s="1033" t="s">
        <v>63</v>
      </c>
      <c r="R92" s="1034">
        <v>9562.388712</v>
      </c>
      <c r="S92" s="1034">
        <v>8490.258761</v>
      </c>
      <c r="T92" s="1035">
        <v>10790.62373</v>
      </c>
      <c r="V92" s="1019" t="s">
        <v>116</v>
      </c>
      <c r="W92" s="1020" t="s">
        <v>1040</v>
      </c>
      <c r="X92" s="1020" t="s">
        <v>1035</v>
      </c>
      <c r="Y92" s="1020" t="s">
        <v>1046</v>
      </c>
      <c r="Z92" s="1020">
        <v>2021.0</v>
      </c>
      <c r="AA92" s="1020" t="s">
        <v>1039</v>
      </c>
      <c r="AB92" s="1023" t="s">
        <v>63</v>
      </c>
      <c r="AC92" s="1024">
        <v>1168.613414</v>
      </c>
      <c r="AD92" s="1024">
        <v>705.4246705</v>
      </c>
      <c r="AE92" s="1025">
        <v>1748.017508</v>
      </c>
      <c r="AF92" s="225"/>
    </row>
    <row r="93">
      <c r="A93" s="1013"/>
      <c r="B93" s="1019" t="s">
        <v>139</v>
      </c>
      <c r="C93" s="1020" t="s">
        <v>1035</v>
      </c>
      <c r="D93" s="1020" t="s">
        <v>1041</v>
      </c>
      <c r="E93" s="1020" t="s">
        <v>1037</v>
      </c>
      <c r="F93" s="1020">
        <v>2021.0</v>
      </c>
      <c r="G93" s="1021">
        <v>0.419426719</v>
      </c>
      <c r="H93" s="1021">
        <v>0.356762867</v>
      </c>
      <c r="I93" s="1022">
        <v>0.489375291</v>
      </c>
      <c r="K93" s="1031" t="s">
        <v>116</v>
      </c>
      <c r="L93" s="1032" t="s">
        <v>1037</v>
      </c>
      <c r="M93" s="1032" t="s">
        <v>1035</v>
      </c>
      <c r="N93" s="1032" t="s">
        <v>1045</v>
      </c>
      <c r="O93" s="1032">
        <v>2021.0</v>
      </c>
      <c r="P93" s="1032" t="s">
        <v>1039</v>
      </c>
      <c r="Q93" s="1033" t="s">
        <v>63</v>
      </c>
      <c r="R93" s="1034">
        <v>38266.1237</v>
      </c>
      <c r="S93" s="1034">
        <v>32347.08168</v>
      </c>
      <c r="T93" s="1035">
        <v>44819.82689</v>
      </c>
      <c r="V93" s="1019" t="s">
        <v>116</v>
      </c>
      <c r="W93" s="1020" t="s">
        <v>1040</v>
      </c>
      <c r="X93" s="1020" t="s">
        <v>1035</v>
      </c>
      <c r="Y93" s="1020" t="s">
        <v>1045</v>
      </c>
      <c r="Z93" s="1020">
        <v>2021.0</v>
      </c>
      <c r="AA93" s="1020" t="s">
        <v>1039</v>
      </c>
      <c r="AB93" s="1023" t="s">
        <v>63</v>
      </c>
      <c r="AC93" s="1024">
        <v>2410.60305</v>
      </c>
      <c r="AD93" s="1024">
        <v>1422.369748</v>
      </c>
      <c r="AE93" s="1025">
        <v>3687.632708</v>
      </c>
      <c r="AF93" s="225"/>
    </row>
    <row r="94">
      <c r="A94" s="1013"/>
      <c r="B94" s="1019" t="s">
        <v>139</v>
      </c>
      <c r="C94" s="1020" t="s">
        <v>1035</v>
      </c>
      <c r="D94" s="1020" t="s">
        <v>1043</v>
      </c>
      <c r="E94" s="1020" t="s">
        <v>1037</v>
      </c>
      <c r="F94" s="1020">
        <v>2021.0</v>
      </c>
      <c r="G94" s="1021">
        <v>0.006732077</v>
      </c>
      <c r="H94" s="1021">
        <v>0.005627966</v>
      </c>
      <c r="I94" s="1022">
        <v>0.008229305</v>
      </c>
      <c r="K94" s="1031" t="s">
        <v>138</v>
      </c>
      <c r="L94" s="1032" t="s">
        <v>1037</v>
      </c>
      <c r="M94" s="1032" t="s">
        <v>1035</v>
      </c>
      <c r="N94" s="1032" t="s">
        <v>1038</v>
      </c>
      <c r="O94" s="1032">
        <v>2021.0</v>
      </c>
      <c r="P94" s="1032" t="s">
        <v>1039</v>
      </c>
      <c r="Q94" s="1033" t="s">
        <v>63</v>
      </c>
      <c r="R94" s="1034">
        <v>12795.26953</v>
      </c>
      <c r="S94" s="1034">
        <v>10358.9845</v>
      </c>
      <c r="T94" s="1035">
        <v>15861.19683</v>
      </c>
      <c r="V94" s="1019" t="s">
        <v>138</v>
      </c>
      <c r="W94" s="1020" t="s">
        <v>1040</v>
      </c>
      <c r="X94" s="1020" t="s">
        <v>1035</v>
      </c>
      <c r="Y94" s="1020" t="s">
        <v>1038</v>
      </c>
      <c r="Z94" s="1020">
        <v>2021.0</v>
      </c>
      <c r="AA94" s="1020" t="s">
        <v>1039</v>
      </c>
      <c r="AB94" s="1023" t="s">
        <v>63</v>
      </c>
      <c r="AC94" s="1024">
        <v>389.5968869</v>
      </c>
      <c r="AD94" s="1024">
        <v>172.5358627</v>
      </c>
      <c r="AE94" s="1025">
        <v>816.5441832</v>
      </c>
      <c r="AF94" s="225"/>
    </row>
    <row r="95">
      <c r="A95" s="1013"/>
      <c r="B95" s="1019" t="s">
        <v>139</v>
      </c>
      <c r="C95" s="1020" t="s">
        <v>1035</v>
      </c>
      <c r="D95" s="1020" t="s">
        <v>1045</v>
      </c>
      <c r="E95" s="1020" t="s">
        <v>1037</v>
      </c>
      <c r="F95" s="1020">
        <v>2021.0</v>
      </c>
      <c r="G95" s="1021">
        <v>0.054692493</v>
      </c>
      <c r="H95" s="1021">
        <v>0.044602627</v>
      </c>
      <c r="I95" s="1022">
        <v>0.06743043</v>
      </c>
      <c r="K95" s="1031" t="s">
        <v>138</v>
      </c>
      <c r="L95" s="1032" t="s">
        <v>1037</v>
      </c>
      <c r="M95" s="1032" t="s">
        <v>1035</v>
      </c>
      <c r="N95" s="1032" t="s">
        <v>1042</v>
      </c>
      <c r="O95" s="1032">
        <v>2021.0</v>
      </c>
      <c r="P95" s="1032" t="s">
        <v>1039</v>
      </c>
      <c r="Q95" s="1033" t="s">
        <v>63</v>
      </c>
      <c r="R95" s="1034">
        <v>12303.36782</v>
      </c>
      <c r="S95" s="1034">
        <v>9876.906844</v>
      </c>
      <c r="T95" s="1035">
        <v>15432.73669</v>
      </c>
      <c r="V95" s="1019" t="s">
        <v>138</v>
      </c>
      <c r="W95" s="1020" t="s">
        <v>1040</v>
      </c>
      <c r="X95" s="1020" t="s">
        <v>1035</v>
      </c>
      <c r="Y95" s="1020" t="s">
        <v>1042</v>
      </c>
      <c r="Z95" s="1020">
        <v>2021.0</v>
      </c>
      <c r="AA95" s="1020" t="s">
        <v>1039</v>
      </c>
      <c r="AB95" s="1023" t="s">
        <v>63</v>
      </c>
      <c r="AC95" s="1024">
        <v>30.22220588</v>
      </c>
      <c r="AD95" s="1024">
        <v>14.75057865</v>
      </c>
      <c r="AE95" s="1025">
        <v>58.44823992</v>
      </c>
      <c r="AF95" s="225"/>
    </row>
    <row r="96">
      <c r="A96" s="1013"/>
      <c r="B96" s="1019" t="s">
        <v>140</v>
      </c>
      <c r="C96" s="1020" t="s">
        <v>1035</v>
      </c>
      <c r="D96" s="1020" t="s">
        <v>1036</v>
      </c>
      <c r="E96" s="1020" t="s">
        <v>1037</v>
      </c>
      <c r="F96" s="1020">
        <v>2021.0</v>
      </c>
      <c r="G96" s="1021">
        <v>0.096459754</v>
      </c>
      <c r="H96" s="1021">
        <v>0.074781529</v>
      </c>
      <c r="I96" s="1022">
        <v>0.122863397</v>
      </c>
      <c r="K96" s="1031" t="s">
        <v>138</v>
      </c>
      <c r="L96" s="1032" t="s">
        <v>1037</v>
      </c>
      <c r="M96" s="1032" t="s">
        <v>1035</v>
      </c>
      <c r="N96" s="1032" t="s">
        <v>1044</v>
      </c>
      <c r="O96" s="1032">
        <v>2021.0</v>
      </c>
      <c r="P96" s="1032" t="s">
        <v>1039</v>
      </c>
      <c r="Q96" s="1033" t="s">
        <v>63</v>
      </c>
      <c r="R96" s="1034">
        <v>3008.604456</v>
      </c>
      <c r="S96" s="1034">
        <v>2453.412163</v>
      </c>
      <c r="T96" s="1035">
        <v>3698.63196</v>
      </c>
      <c r="V96" s="1019" t="s">
        <v>138</v>
      </c>
      <c r="W96" s="1020" t="s">
        <v>1040</v>
      </c>
      <c r="X96" s="1020" t="s">
        <v>1035</v>
      </c>
      <c r="Y96" s="1020" t="s">
        <v>1044</v>
      </c>
      <c r="Z96" s="1020">
        <v>2021.0</v>
      </c>
      <c r="AA96" s="1020" t="s">
        <v>1039</v>
      </c>
      <c r="AB96" s="1023" t="s">
        <v>63</v>
      </c>
      <c r="AC96" s="1024">
        <v>36.54373339</v>
      </c>
      <c r="AD96" s="1024">
        <v>16.52578318</v>
      </c>
      <c r="AE96" s="1025">
        <v>74.28721064</v>
      </c>
      <c r="AF96" s="225"/>
    </row>
    <row r="97">
      <c r="A97" s="1013"/>
      <c r="B97" s="1019" t="s">
        <v>140</v>
      </c>
      <c r="C97" s="1020" t="s">
        <v>1035</v>
      </c>
      <c r="D97" s="1020" t="s">
        <v>1041</v>
      </c>
      <c r="E97" s="1020" t="s">
        <v>1037</v>
      </c>
      <c r="F97" s="1020">
        <v>2021.0</v>
      </c>
      <c r="G97" s="1021">
        <v>0.464926519</v>
      </c>
      <c r="H97" s="1021">
        <v>0.404501195</v>
      </c>
      <c r="I97" s="1022">
        <v>0.545092342</v>
      </c>
      <c r="K97" s="1031" t="s">
        <v>138</v>
      </c>
      <c r="L97" s="1032" t="s">
        <v>1037</v>
      </c>
      <c r="M97" s="1032" t="s">
        <v>1035</v>
      </c>
      <c r="N97" s="1032" t="s">
        <v>1046</v>
      </c>
      <c r="O97" s="1032">
        <v>2021.0</v>
      </c>
      <c r="P97" s="1032" t="s">
        <v>1039</v>
      </c>
      <c r="Q97" s="1033" t="s">
        <v>63</v>
      </c>
      <c r="R97" s="1034">
        <v>13792.92086</v>
      </c>
      <c r="S97" s="1034">
        <v>11035.77511</v>
      </c>
      <c r="T97" s="1035">
        <v>17181.48987</v>
      </c>
      <c r="V97" s="1019" t="s">
        <v>138</v>
      </c>
      <c r="W97" s="1020" t="s">
        <v>1040</v>
      </c>
      <c r="X97" s="1020" t="s">
        <v>1035</v>
      </c>
      <c r="Y97" s="1020" t="s">
        <v>1046</v>
      </c>
      <c r="Z97" s="1020">
        <v>2021.0</v>
      </c>
      <c r="AA97" s="1020" t="s">
        <v>1039</v>
      </c>
      <c r="AB97" s="1023" t="s">
        <v>63</v>
      </c>
      <c r="AC97" s="1024">
        <v>817.0856577</v>
      </c>
      <c r="AD97" s="1024">
        <v>398.9104279</v>
      </c>
      <c r="AE97" s="1025">
        <v>1622.61149</v>
      </c>
      <c r="AF97" s="225"/>
    </row>
    <row r="98">
      <c r="A98" s="1013"/>
      <c r="B98" s="1019" t="s">
        <v>140</v>
      </c>
      <c r="C98" s="1020" t="s">
        <v>1035</v>
      </c>
      <c r="D98" s="1020" t="s">
        <v>1043</v>
      </c>
      <c r="E98" s="1020" t="s">
        <v>1037</v>
      </c>
      <c r="F98" s="1020">
        <v>2021.0</v>
      </c>
      <c r="G98" s="1021">
        <v>0.006599185</v>
      </c>
      <c r="H98" s="1021">
        <v>0.005465293</v>
      </c>
      <c r="I98" s="1022">
        <v>0.008126341</v>
      </c>
      <c r="K98" s="1031" t="s">
        <v>138</v>
      </c>
      <c r="L98" s="1032" t="s">
        <v>1037</v>
      </c>
      <c r="M98" s="1032" t="s">
        <v>1035</v>
      </c>
      <c r="N98" s="1032" t="s">
        <v>1045</v>
      </c>
      <c r="O98" s="1032">
        <v>2021.0</v>
      </c>
      <c r="P98" s="1032" t="s">
        <v>1039</v>
      </c>
      <c r="Q98" s="1033" t="s">
        <v>63</v>
      </c>
      <c r="R98" s="1034">
        <v>41900.16266</v>
      </c>
      <c r="S98" s="1034">
        <v>34080.2639</v>
      </c>
      <c r="T98" s="1035">
        <v>51488.36656</v>
      </c>
      <c r="V98" s="1019" t="s">
        <v>138</v>
      </c>
      <c r="W98" s="1020" t="s">
        <v>1040</v>
      </c>
      <c r="X98" s="1020" t="s">
        <v>1035</v>
      </c>
      <c r="Y98" s="1020" t="s">
        <v>1045</v>
      </c>
      <c r="Z98" s="1020">
        <v>2021.0</v>
      </c>
      <c r="AA98" s="1020" t="s">
        <v>1039</v>
      </c>
      <c r="AB98" s="1023" t="s">
        <v>63</v>
      </c>
      <c r="AC98" s="1024">
        <v>1273.448484</v>
      </c>
      <c r="AD98" s="1024">
        <v>636.0121261</v>
      </c>
      <c r="AE98" s="1025">
        <v>2413.157997</v>
      </c>
      <c r="AF98" s="225"/>
    </row>
    <row r="99">
      <c r="A99" s="1013"/>
      <c r="B99" s="1019" t="s">
        <v>140</v>
      </c>
      <c r="C99" s="1020" t="s">
        <v>1035</v>
      </c>
      <c r="D99" s="1020" t="s">
        <v>1045</v>
      </c>
      <c r="E99" s="1020" t="s">
        <v>1037</v>
      </c>
      <c r="F99" s="1020">
        <v>2021.0</v>
      </c>
      <c r="G99" s="1021">
        <v>0.048396453</v>
      </c>
      <c r="H99" s="1021">
        <v>0.038954084</v>
      </c>
      <c r="I99" s="1022">
        <v>0.061298747</v>
      </c>
      <c r="K99" s="1031" t="s">
        <v>118</v>
      </c>
      <c r="L99" s="1032" t="s">
        <v>1037</v>
      </c>
      <c r="M99" s="1032" t="s">
        <v>1035</v>
      </c>
      <c r="N99" s="1032" t="s">
        <v>1038</v>
      </c>
      <c r="O99" s="1032">
        <v>2021.0</v>
      </c>
      <c r="P99" s="1032" t="s">
        <v>1039</v>
      </c>
      <c r="Q99" s="1033" t="s">
        <v>63</v>
      </c>
      <c r="R99" s="1034">
        <v>44429.1284</v>
      </c>
      <c r="S99" s="1034">
        <v>35957.06366</v>
      </c>
      <c r="T99" s="1035">
        <v>53884.61275</v>
      </c>
      <c r="V99" s="1019" t="s">
        <v>118</v>
      </c>
      <c r="W99" s="1020" t="s">
        <v>1040</v>
      </c>
      <c r="X99" s="1020" t="s">
        <v>1035</v>
      </c>
      <c r="Y99" s="1020" t="s">
        <v>1038</v>
      </c>
      <c r="Z99" s="1020">
        <v>2021.0</v>
      </c>
      <c r="AA99" s="1020" t="s">
        <v>1039</v>
      </c>
      <c r="AB99" s="1023" t="s">
        <v>63</v>
      </c>
      <c r="AC99" s="1024">
        <v>2306.559709</v>
      </c>
      <c r="AD99" s="1024">
        <v>1112.138247</v>
      </c>
      <c r="AE99" s="1025">
        <v>4201.269785</v>
      </c>
      <c r="AF99" s="225"/>
    </row>
    <row r="100">
      <c r="A100" s="1013"/>
      <c r="B100" s="1019" t="s">
        <v>141</v>
      </c>
      <c r="C100" s="1020" t="s">
        <v>1035</v>
      </c>
      <c r="D100" s="1020" t="s">
        <v>1036</v>
      </c>
      <c r="E100" s="1020" t="s">
        <v>1037</v>
      </c>
      <c r="F100" s="1020">
        <v>2021.0</v>
      </c>
      <c r="G100" s="1021">
        <v>0.079914723</v>
      </c>
      <c r="H100" s="1021">
        <v>0.064322524</v>
      </c>
      <c r="I100" s="1022">
        <v>0.100076744</v>
      </c>
      <c r="K100" s="1031" t="s">
        <v>118</v>
      </c>
      <c r="L100" s="1032" t="s">
        <v>1037</v>
      </c>
      <c r="M100" s="1032" t="s">
        <v>1035</v>
      </c>
      <c r="N100" s="1032" t="s">
        <v>1042</v>
      </c>
      <c r="O100" s="1032">
        <v>2021.0</v>
      </c>
      <c r="P100" s="1032" t="s">
        <v>1039</v>
      </c>
      <c r="Q100" s="1033" t="s">
        <v>63</v>
      </c>
      <c r="R100" s="1034">
        <v>32704.98898</v>
      </c>
      <c r="S100" s="1034">
        <v>27062.48366</v>
      </c>
      <c r="T100" s="1035">
        <v>39838.01739</v>
      </c>
      <c r="V100" s="1019" t="s">
        <v>118</v>
      </c>
      <c r="W100" s="1020" t="s">
        <v>1040</v>
      </c>
      <c r="X100" s="1020" t="s">
        <v>1035</v>
      </c>
      <c r="Y100" s="1020" t="s">
        <v>1042</v>
      </c>
      <c r="Z100" s="1020">
        <v>2021.0</v>
      </c>
      <c r="AA100" s="1020" t="s">
        <v>1039</v>
      </c>
      <c r="AB100" s="1023" t="s">
        <v>63</v>
      </c>
      <c r="AC100" s="1024">
        <v>144.822164</v>
      </c>
      <c r="AD100" s="1024">
        <v>77.86477852</v>
      </c>
      <c r="AE100" s="1025">
        <v>247.0203986</v>
      </c>
      <c r="AF100" s="225"/>
    </row>
    <row r="101">
      <c r="A101" s="1013"/>
      <c r="B101" s="1019" t="s">
        <v>141</v>
      </c>
      <c r="C101" s="1020" t="s">
        <v>1035</v>
      </c>
      <c r="D101" s="1020" t="s">
        <v>1041</v>
      </c>
      <c r="E101" s="1020" t="s">
        <v>1037</v>
      </c>
      <c r="F101" s="1020">
        <v>2021.0</v>
      </c>
      <c r="G101" s="1021">
        <v>0.441974353</v>
      </c>
      <c r="H101" s="1021">
        <v>0.385966545</v>
      </c>
      <c r="I101" s="1022">
        <v>0.500749917</v>
      </c>
      <c r="K101" s="1031" t="s">
        <v>118</v>
      </c>
      <c r="L101" s="1032" t="s">
        <v>1037</v>
      </c>
      <c r="M101" s="1032" t="s">
        <v>1035</v>
      </c>
      <c r="N101" s="1032" t="s">
        <v>1044</v>
      </c>
      <c r="O101" s="1032">
        <v>2021.0</v>
      </c>
      <c r="P101" s="1032" t="s">
        <v>1039</v>
      </c>
      <c r="Q101" s="1033" t="s">
        <v>63</v>
      </c>
      <c r="R101" s="1034">
        <v>7428.422647</v>
      </c>
      <c r="S101" s="1034">
        <v>6197.705567</v>
      </c>
      <c r="T101" s="1035">
        <v>8940.751693</v>
      </c>
      <c r="V101" s="1019" t="s">
        <v>118</v>
      </c>
      <c r="W101" s="1020" t="s">
        <v>1040</v>
      </c>
      <c r="X101" s="1020" t="s">
        <v>1035</v>
      </c>
      <c r="Y101" s="1020" t="s">
        <v>1044</v>
      </c>
      <c r="Z101" s="1020">
        <v>2021.0</v>
      </c>
      <c r="AA101" s="1020" t="s">
        <v>1039</v>
      </c>
      <c r="AB101" s="1023" t="s">
        <v>63</v>
      </c>
      <c r="AC101" s="1024">
        <v>170.2882011</v>
      </c>
      <c r="AD101" s="1024">
        <v>87.26840538</v>
      </c>
      <c r="AE101" s="1025">
        <v>297.6654279</v>
      </c>
      <c r="AF101" s="225"/>
    </row>
    <row r="102">
      <c r="A102" s="1013"/>
      <c r="B102" s="1019" t="s">
        <v>141</v>
      </c>
      <c r="C102" s="1020" t="s">
        <v>1035</v>
      </c>
      <c r="D102" s="1020" t="s">
        <v>1043</v>
      </c>
      <c r="E102" s="1020" t="s">
        <v>1037</v>
      </c>
      <c r="F102" s="1020">
        <v>2021.0</v>
      </c>
      <c r="G102" s="1021">
        <v>0.007009201</v>
      </c>
      <c r="H102" s="1021">
        <v>0.005792726</v>
      </c>
      <c r="I102" s="1022">
        <v>0.00857931</v>
      </c>
      <c r="K102" s="1031" t="s">
        <v>118</v>
      </c>
      <c r="L102" s="1032" t="s">
        <v>1037</v>
      </c>
      <c r="M102" s="1032" t="s">
        <v>1035</v>
      </c>
      <c r="N102" s="1032" t="s">
        <v>1046</v>
      </c>
      <c r="O102" s="1032">
        <v>2021.0</v>
      </c>
      <c r="P102" s="1032" t="s">
        <v>1039</v>
      </c>
      <c r="Q102" s="1033" t="s">
        <v>63</v>
      </c>
      <c r="R102" s="1034">
        <v>24691.91121</v>
      </c>
      <c r="S102" s="1034">
        <v>20180.89852</v>
      </c>
      <c r="T102" s="1035">
        <v>30201.16953</v>
      </c>
      <c r="V102" s="1019" t="s">
        <v>118</v>
      </c>
      <c r="W102" s="1020" t="s">
        <v>1040</v>
      </c>
      <c r="X102" s="1020" t="s">
        <v>1035</v>
      </c>
      <c r="Y102" s="1020" t="s">
        <v>1046</v>
      </c>
      <c r="Z102" s="1020">
        <v>2021.0</v>
      </c>
      <c r="AA102" s="1020" t="s">
        <v>1039</v>
      </c>
      <c r="AB102" s="1023" t="s">
        <v>63</v>
      </c>
      <c r="AC102" s="1024">
        <v>2755.42342</v>
      </c>
      <c r="AD102" s="1024">
        <v>1512.459927</v>
      </c>
      <c r="AE102" s="1025">
        <v>4765.432221</v>
      </c>
      <c r="AF102" s="225"/>
    </row>
    <row r="103">
      <c r="A103" s="1013"/>
      <c r="B103" s="1019" t="s">
        <v>141</v>
      </c>
      <c r="C103" s="1020" t="s">
        <v>1035</v>
      </c>
      <c r="D103" s="1020" t="s">
        <v>1045</v>
      </c>
      <c r="E103" s="1020" t="s">
        <v>1037</v>
      </c>
      <c r="F103" s="1020">
        <v>2021.0</v>
      </c>
      <c r="G103" s="1021">
        <v>0.056410043</v>
      </c>
      <c r="H103" s="1021">
        <v>0.04438531</v>
      </c>
      <c r="I103" s="1022">
        <v>0.071174545</v>
      </c>
      <c r="K103" s="1031" t="s">
        <v>118</v>
      </c>
      <c r="L103" s="1032" t="s">
        <v>1037</v>
      </c>
      <c r="M103" s="1032" t="s">
        <v>1035</v>
      </c>
      <c r="N103" s="1032" t="s">
        <v>1045</v>
      </c>
      <c r="O103" s="1032">
        <v>2021.0</v>
      </c>
      <c r="P103" s="1032" t="s">
        <v>1039</v>
      </c>
      <c r="Q103" s="1033" t="s">
        <v>63</v>
      </c>
      <c r="R103" s="1034">
        <v>109254.4512</v>
      </c>
      <c r="S103" s="1034">
        <v>90144.78297</v>
      </c>
      <c r="T103" s="1035">
        <v>132240.7154</v>
      </c>
      <c r="V103" s="1019" t="s">
        <v>118</v>
      </c>
      <c r="W103" s="1020" t="s">
        <v>1040</v>
      </c>
      <c r="X103" s="1020" t="s">
        <v>1035</v>
      </c>
      <c r="Y103" s="1020" t="s">
        <v>1045</v>
      </c>
      <c r="Z103" s="1020">
        <v>2021.0</v>
      </c>
      <c r="AA103" s="1020" t="s">
        <v>1039</v>
      </c>
      <c r="AB103" s="1023" t="s">
        <v>63</v>
      </c>
      <c r="AC103" s="1024">
        <v>5377.093494</v>
      </c>
      <c r="AD103" s="1024">
        <v>2967.8956</v>
      </c>
      <c r="AE103" s="1025">
        <v>8814.843002</v>
      </c>
      <c r="AF103" s="225"/>
    </row>
    <row r="104">
      <c r="A104" s="1013"/>
      <c r="B104" s="1019" t="s">
        <v>142</v>
      </c>
      <c r="C104" s="1020" t="s">
        <v>1035</v>
      </c>
      <c r="D104" s="1020" t="s">
        <v>1036</v>
      </c>
      <c r="E104" s="1020" t="s">
        <v>1037</v>
      </c>
      <c r="F104" s="1020">
        <v>2021.0</v>
      </c>
      <c r="G104" s="1021">
        <v>0.101897633</v>
      </c>
      <c r="H104" s="1021">
        <v>0.081609965</v>
      </c>
      <c r="I104" s="1022">
        <v>0.127996618</v>
      </c>
      <c r="K104" s="1031" t="s">
        <v>119</v>
      </c>
      <c r="L104" s="1032" t="s">
        <v>1037</v>
      </c>
      <c r="M104" s="1032" t="s">
        <v>1035</v>
      </c>
      <c r="N104" s="1032" t="s">
        <v>1038</v>
      </c>
      <c r="O104" s="1032">
        <v>2021.0</v>
      </c>
      <c r="P104" s="1032" t="s">
        <v>1039</v>
      </c>
      <c r="Q104" s="1033" t="s">
        <v>63</v>
      </c>
      <c r="R104" s="1034">
        <v>23731.24991</v>
      </c>
      <c r="S104" s="1034">
        <v>19563.36223</v>
      </c>
      <c r="T104" s="1035">
        <v>28802.37805</v>
      </c>
      <c r="V104" s="1019" t="s">
        <v>119</v>
      </c>
      <c r="W104" s="1020" t="s">
        <v>1040</v>
      </c>
      <c r="X104" s="1020" t="s">
        <v>1035</v>
      </c>
      <c r="Y104" s="1020" t="s">
        <v>1038</v>
      </c>
      <c r="Z104" s="1020">
        <v>2021.0</v>
      </c>
      <c r="AA104" s="1020" t="s">
        <v>1039</v>
      </c>
      <c r="AB104" s="1023" t="s">
        <v>63</v>
      </c>
      <c r="AC104" s="1024">
        <v>1653.367175</v>
      </c>
      <c r="AD104" s="1024">
        <v>829.4799076</v>
      </c>
      <c r="AE104" s="1025">
        <v>2807.429966</v>
      </c>
      <c r="AF104" s="225"/>
    </row>
    <row r="105">
      <c r="A105" s="293"/>
      <c r="B105" s="1019" t="s">
        <v>142</v>
      </c>
      <c r="C105" s="1020" t="s">
        <v>1035</v>
      </c>
      <c r="D105" s="1020" t="s">
        <v>1041</v>
      </c>
      <c r="E105" s="1020" t="s">
        <v>1037</v>
      </c>
      <c r="F105" s="1020">
        <v>2021.0</v>
      </c>
      <c r="G105" s="1021">
        <v>0.495585481</v>
      </c>
      <c r="H105" s="1021">
        <v>0.436624698</v>
      </c>
      <c r="I105" s="1022">
        <v>0.568880658</v>
      </c>
      <c r="K105" s="1031" t="s">
        <v>119</v>
      </c>
      <c r="L105" s="1032" t="s">
        <v>1037</v>
      </c>
      <c r="M105" s="1032" t="s">
        <v>1035</v>
      </c>
      <c r="N105" s="1032" t="s">
        <v>1042</v>
      </c>
      <c r="O105" s="1032">
        <v>2021.0</v>
      </c>
      <c r="P105" s="1032" t="s">
        <v>1039</v>
      </c>
      <c r="Q105" s="1033" t="s">
        <v>63</v>
      </c>
      <c r="R105" s="1034">
        <v>13292.88063</v>
      </c>
      <c r="S105" s="1034">
        <v>10781.89941</v>
      </c>
      <c r="T105" s="1035">
        <v>16461.8554</v>
      </c>
      <c r="V105" s="1019" t="s">
        <v>119</v>
      </c>
      <c r="W105" s="1020" t="s">
        <v>1040</v>
      </c>
      <c r="X105" s="1020" t="s">
        <v>1035</v>
      </c>
      <c r="Y105" s="1020" t="s">
        <v>1042</v>
      </c>
      <c r="Z105" s="1020">
        <v>2021.0</v>
      </c>
      <c r="AA105" s="1020" t="s">
        <v>1039</v>
      </c>
      <c r="AB105" s="1023" t="s">
        <v>63</v>
      </c>
      <c r="AC105" s="1024">
        <v>88.0938199</v>
      </c>
      <c r="AD105" s="1024">
        <v>39.83528069</v>
      </c>
      <c r="AE105" s="1025">
        <v>143.4154318</v>
      </c>
      <c r="AF105" s="225"/>
    </row>
    <row r="106">
      <c r="A106" s="293"/>
      <c r="B106" s="1019" t="s">
        <v>142</v>
      </c>
      <c r="C106" s="1020" t="s">
        <v>1035</v>
      </c>
      <c r="D106" s="1020" t="s">
        <v>1043</v>
      </c>
      <c r="E106" s="1020" t="s">
        <v>1037</v>
      </c>
      <c r="F106" s="1020">
        <v>2021.0</v>
      </c>
      <c r="G106" s="1021">
        <v>0.008983128</v>
      </c>
      <c r="H106" s="1021">
        <v>0.007716454</v>
      </c>
      <c r="I106" s="1022">
        <v>0.010658308</v>
      </c>
      <c r="K106" s="1031" t="s">
        <v>119</v>
      </c>
      <c r="L106" s="1032" t="s">
        <v>1037</v>
      </c>
      <c r="M106" s="1032" t="s">
        <v>1035</v>
      </c>
      <c r="N106" s="1032" t="s">
        <v>1044</v>
      </c>
      <c r="O106" s="1032">
        <v>2021.0</v>
      </c>
      <c r="P106" s="1032" t="s">
        <v>1039</v>
      </c>
      <c r="Q106" s="1033" t="s">
        <v>63</v>
      </c>
      <c r="R106" s="1034">
        <v>4319.116214</v>
      </c>
      <c r="S106" s="1034">
        <v>3527.488581</v>
      </c>
      <c r="T106" s="1035">
        <v>5228.817847</v>
      </c>
      <c r="V106" s="1019" t="s">
        <v>119</v>
      </c>
      <c r="W106" s="1020" t="s">
        <v>1040</v>
      </c>
      <c r="X106" s="1020" t="s">
        <v>1035</v>
      </c>
      <c r="Y106" s="1020" t="s">
        <v>1044</v>
      </c>
      <c r="Z106" s="1020">
        <v>2021.0</v>
      </c>
      <c r="AA106" s="1020" t="s">
        <v>1039</v>
      </c>
      <c r="AB106" s="1023" t="s">
        <v>63</v>
      </c>
      <c r="AC106" s="1024">
        <v>132.9720289</v>
      </c>
      <c r="AD106" s="1024">
        <v>62.70985031</v>
      </c>
      <c r="AE106" s="1025">
        <v>226.3272289</v>
      </c>
      <c r="AF106" s="225"/>
    </row>
    <row r="107">
      <c r="A107" s="1013"/>
      <c r="B107" s="1019" t="s">
        <v>142</v>
      </c>
      <c r="C107" s="1020" t="s">
        <v>1035</v>
      </c>
      <c r="D107" s="1020" t="s">
        <v>1045</v>
      </c>
      <c r="E107" s="1020" t="s">
        <v>1037</v>
      </c>
      <c r="F107" s="1020">
        <v>2021.0</v>
      </c>
      <c r="G107" s="1021">
        <v>0.074437746</v>
      </c>
      <c r="H107" s="1021">
        <v>0.059189341</v>
      </c>
      <c r="I107" s="1022">
        <v>0.090946163</v>
      </c>
      <c r="K107" s="1031" t="s">
        <v>119</v>
      </c>
      <c r="L107" s="1032" t="s">
        <v>1037</v>
      </c>
      <c r="M107" s="1032" t="s">
        <v>1035</v>
      </c>
      <c r="N107" s="1032" t="s">
        <v>1046</v>
      </c>
      <c r="O107" s="1032">
        <v>2021.0</v>
      </c>
      <c r="P107" s="1032" t="s">
        <v>1039</v>
      </c>
      <c r="Q107" s="1033" t="s">
        <v>63</v>
      </c>
      <c r="R107" s="1034">
        <v>14248.54637</v>
      </c>
      <c r="S107" s="1034">
        <v>11517.49252</v>
      </c>
      <c r="T107" s="1035">
        <v>17654.19802</v>
      </c>
      <c r="V107" s="1019" t="s">
        <v>119</v>
      </c>
      <c r="W107" s="1020" t="s">
        <v>1040</v>
      </c>
      <c r="X107" s="1020" t="s">
        <v>1035</v>
      </c>
      <c r="Y107" s="1020" t="s">
        <v>1046</v>
      </c>
      <c r="Z107" s="1020">
        <v>2021.0</v>
      </c>
      <c r="AA107" s="1020" t="s">
        <v>1039</v>
      </c>
      <c r="AB107" s="1023" t="s">
        <v>63</v>
      </c>
      <c r="AC107" s="1024">
        <v>1912.411613</v>
      </c>
      <c r="AD107" s="1024">
        <v>1144.684086</v>
      </c>
      <c r="AE107" s="1025">
        <v>3001.411142</v>
      </c>
      <c r="AF107" s="225"/>
    </row>
    <row r="108">
      <c r="A108" s="1013"/>
      <c r="B108" s="1019" t="s">
        <v>143</v>
      </c>
      <c r="C108" s="1020" t="s">
        <v>1035</v>
      </c>
      <c r="D108" s="1020" t="s">
        <v>1036</v>
      </c>
      <c r="E108" s="1020" t="s">
        <v>1037</v>
      </c>
      <c r="F108" s="1020">
        <v>2021.0</v>
      </c>
      <c r="G108" s="1021">
        <v>0.106782328</v>
      </c>
      <c r="H108" s="1021">
        <v>0.083016693</v>
      </c>
      <c r="I108" s="1022">
        <v>0.137755887</v>
      </c>
      <c r="K108" s="1031" t="s">
        <v>119</v>
      </c>
      <c r="L108" s="1032" t="s">
        <v>1037</v>
      </c>
      <c r="M108" s="1032" t="s">
        <v>1035</v>
      </c>
      <c r="N108" s="1032" t="s">
        <v>1045</v>
      </c>
      <c r="O108" s="1032">
        <v>2021.0</v>
      </c>
      <c r="P108" s="1032" t="s">
        <v>1039</v>
      </c>
      <c r="Q108" s="1033" t="s">
        <v>63</v>
      </c>
      <c r="R108" s="1034">
        <v>55591.79312</v>
      </c>
      <c r="S108" s="1034">
        <v>45937.32956</v>
      </c>
      <c r="T108" s="1035">
        <v>67248.79411</v>
      </c>
      <c r="V108" s="1019" t="s">
        <v>119</v>
      </c>
      <c r="W108" s="1020" t="s">
        <v>1040</v>
      </c>
      <c r="X108" s="1020" t="s">
        <v>1035</v>
      </c>
      <c r="Y108" s="1020" t="s">
        <v>1045</v>
      </c>
      <c r="Z108" s="1020">
        <v>2021.0</v>
      </c>
      <c r="AA108" s="1020" t="s">
        <v>1039</v>
      </c>
      <c r="AB108" s="1023" t="s">
        <v>63</v>
      </c>
      <c r="AC108" s="1024">
        <v>3786.844637</v>
      </c>
      <c r="AD108" s="1024">
        <v>2327.765563</v>
      </c>
      <c r="AE108" s="1025">
        <v>5706.227139</v>
      </c>
      <c r="AF108" s="225"/>
    </row>
    <row r="109">
      <c r="A109" s="1013"/>
      <c r="B109" s="1019" t="s">
        <v>143</v>
      </c>
      <c r="C109" s="1020" t="s">
        <v>1035</v>
      </c>
      <c r="D109" s="1020" t="s">
        <v>1041</v>
      </c>
      <c r="E109" s="1020" t="s">
        <v>1037</v>
      </c>
      <c r="F109" s="1020">
        <v>2021.0</v>
      </c>
      <c r="G109" s="1021">
        <v>0.512690201</v>
      </c>
      <c r="H109" s="1021">
        <v>0.441715715</v>
      </c>
      <c r="I109" s="1022">
        <v>0.600524226</v>
      </c>
      <c r="K109" s="1031" t="s">
        <v>120</v>
      </c>
      <c r="L109" s="1032" t="s">
        <v>1037</v>
      </c>
      <c r="M109" s="1032" t="s">
        <v>1035</v>
      </c>
      <c r="N109" s="1032" t="s">
        <v>1038</v>
      </c>
      <c r="O109" s="1032">
        <v>2021.0</v>
      </c>
      <c r="P109" s="1032" t="s">
        <v>1039</v>
      </c>
      <c r="Q109" s="1033" t="s">
        <v>63</v>
      </c>
      <c r="R109" s="1034">
        <v>11320.17924</v>
      </c>
      <c r="S109" s="1034">
        <v>8827.737151</v>
      </c>
      <c r="T109" s="1035">
        <v>14156.36136</v>
      </c>
      <c r="V109" s="1019" t="s">
        <v>120</v>
      </c>
      <c r="W109" s="1020" t="s">
        <v>1040</v>
      </c>
      <c r="X109" s="1020" t="s">
        <v>1035</v>
      </c>
      <c r="Y109" s="1020" t="s">
        <v>1038</v>
      </c>
      <c r="Z109" s="1020">
        <v>2021.0</v>
      </c>
      <c r="AA109" s="1020" t="s">
        <v>1039</v>
      </c>
      <c r="AB109" s="1023" t="s">
        <v>63</v>
      </c>
      <c r="AC109" s="1024">
        <v>833.7331683</v>
      </c>
      <c r="AD109" s="1024">
        <v>454.2710795</v>
      </c>
      <c r="AE109" s="1025">
        <v>1352.614757</v>
      </c>
      <c r="AF109" s="225"/>
    </row>
    <row r="110">
      <c r="A110" s="1013"/>
      <c r="B110" s="1019" t="s">
        <v>143</v>
      </c>
      <c r="C110" s="1020" t="s">
        <v>1035</v>
      </c>
      <c r="D110" s="1020" t="s">
        <v>1043</v>
      </c>
      <c r="E110" s="1020" t="s">
        <v>1037</v>
      </c>
      <c r="F110" s="1020">
        <v>2021.0</v>
      </c>
      <c r="G110" s="1021">
        <v>0.0103059</v>
      </c>
      <c r="H110" s="1021">
        <v>0.008479835</v>
      </c>
      <c r="I110" s="1022">
        <v>0.012632607</v>
      </c>
      <c r="K110" s="1031" t="s">
        <v>120</v>
      </c>
      <c r="L110" s="1032" t="s">
        <v>1037</v>
      </c>
      <c r="M110" s="1032" t="s">
        <v>1035</v>
      </c>
      <c r="N110" s="1032" t="s">
        <v>1042</v>
      </c>
      <c r="O110" s="1032">
        <v>2021.0</v>
      </c>
      <c r="P110" s="1032" t="s">
        <v>1039</v>
      </c>
      <c r="Q110" s="1033" t="s">
        <v>63</v>
      </c>
      <c r="R110" s="1034">
        <v>8196.515204</v>
      </c>
      <c r="S110" s="1034">
        <v>7195.008567</v>
      </c>
      <c r="T110" s="1035">
        <v>9262.363047</v>
      </c>
      <c r="V110" s="1019" t="s">
        <v>120</v>
      </c>
      <c r="W110" s="1020" t="s">
        <v>1040</v>
      </c>
      <c r="X110" s="1020" t="s">
        <v>1035</v>
      </c>
      <c r="Y110" s="1020" t="s">
        <v>1042</v>
      </c>
      <c r="Z110" s="1020">
        <v>2021.0</v>
      </c>
      <c r="AA110" s="1020" t="s">
        <v>1039</v>
      </c>
      <c r="AB110" s="1023" t="s">
        <v>63</v>
      </c>
      <c r="AC110" s="1024">
        <v>62.04717829</v>
      </c>
      <c r="AD110" s="1024">
        <v>28.96511856</v>
      </c>
      <c r="AE110" s="1025">
        <v>104.0672072</v>
      </c>
      <c r="AF110" s="225"/>
    </row>
    <row r="111">
      <c r="A111" s="1013"/>
      <c r="B111" s="1019" t="s">
        <v>143</v>
      </c>
      <c r="C111" s="1020" t="s">
        <v>1035</v>
      </c>
      <c r="D111" s="1020" t="s">
        <v>1045</v>
      </c>
      <c r="E111" s="1020" t="s">
        <v>1037</v>
      </c>
      <c r="F111" s="1020">
        <v>2021.0</v>
      </c>
      <c r="G111" s="1021">
        <v>0.087941889</v>
      </c>
      <c r="H111" s="1021">
        <v>0.07189846</v>
      </c>
      <c r="I111" s="1022">
        <v>0.107948305</v>
      </c>
      <c r="K111" s="1031" t="s">
        <v>120</v>
      </c>
      <c r="L111" s="1032" t="s">
        <v>1037</v>
      </c>
      <c r="M111" s="1032" t="s">
        <v>1035</v>
      </c>
      <c r="N111" s="1032" t="s">
        <v>1044</v>
      </c>
      <c r="O111" s="1032">
        <v>2021.0</v>
      </c>
      <c r="P111" s="1032" t="s">
        <v>1039</v>
      </c>
      <c r="Q111" s="1033" t="s">
        <v>63</v>
      </c>
      <c r="R111" s="1034">
        <v>1694.97129</v>
      </c>
      <c r="S111" s="1034">
        <v>1467.848199</v>
      </c>
      <c r="T111" s="1035">
        <v>1935.992836</v>
      </c>
      <c r="V111" s="1019" t="s">
        <v>120</v>
      </c>
      <c r="W111" s="1020" t="s">
        <v>1040</v>
      </c>
      <c r="X111" s="1020" t="s">
        <v>1035</v>
      </c>
      <c r="Y111" s="1020" t="s">
        <v>1044</v>
      </c>
      <c r="Z111" s="1020">
        <v>2021.0</v>
      </c>
      <c r="AA111" s="1020" t="s">
        <v>1039</v>
      </c>
      <c r="AB111" s="1023" t="s">
        <v>63</v>
      </c>
      <c r="AC111" s="1024">
        <v>53.28450667</v>
      </c>
      <c r="AD111" s="1024">
        <v>26.35962979</v>
      </c>
      <c r="AE111" s="1025">
        <v>88.17993144</v>
      </c>
      <c r="AF111" s="225"/>
    </row>
    <row r="112">
      <c r="A112" s="1013"/>
      <c r="B112" s="1019" t="s">
        <v>109</v>
      </c>
      <c r="C112" s="1020" t="s">
        <v>1035</v>
      </c>
      <c r="D112" s="1020" t="s">
        <v>1036</v>
      </c>
      <c r="E112" s="1020" t="s">
        <v>1037</v>
      </c>
      <c r="F112" s="1020">
        <v>2021.0</v>
      </c>
      <c r="G112" s="1021">
        <v>0.114662409</v>
      </c>
      <c r="H112" s="1021">
        <v>0.098577494</v>
      </c>
      <c r="I112" s="1022">
        <v>0.134173555</v>
      </c>
      <c r="K112" s="1031" t="s">
        <v>120</v>
      </c>
      <c r="L112" s="1032" t="s">
        <v>1037</v>
      </c>
      <c r="M112" s="1032" t="s">
        <v>1035</v>
      </c>
      <c r="N112" s="1032" t="s">
        <v>1046</v>
      </c>
      <c r="O112" s="1032">
        <v>2021.0</v>
      </c>
      <c r="P112" s="1032" t="s">
        <v>1039</v>
      </c>
      <c r="Q112" s="1033" t="s">
        <v>63</v>
      </c>
      <c r="R112" s="1034">
        <v>7940.123076</v>
      </c>
      <c r="S112" s="1034">
        <v>6976.687657</v>
      </c>
      <c r="T112" s="1035">
        <v>9034.455894</v>
      </c>
      <c r="V112" s="1019" t="s">
        <v>120</v>
      </c>
      <c r="W112" s="1020" t="s">
        <v>1040</v>
      </c>
      <c r="X112" s="1020" t="s">
        <v>1035</v>
      </c>
      <c r="Y112" s="1020" t="s">
        <v>1046</v>
      </c>
      <c r="Z112" s="1020">
        <v>2021.0</v>
      </c>
      <c r="AA112" s="1020" t="s">
        <v>1039</v>
      </c>
      <c r="AB112" s="1023" t="s">
        <v>63</v>
      </c>
      <c r="AC112" s="1024">
        <v>1142.180171</v>
      </c>
      <c r="AD112" s="1024">
        <v>711.0117574</v>
      </c>
      <c r="AE112" s="1025">
        <v>1687.150659</v>
      </c>
      <c r="AF112" s="225"/>
    </row>
    <row r="113">
      <c r="A113" s="1013"/>
      <c r="B113" s="1019" t="s">
        <v>109</v>
      </c>
      <c r="C113" s="1020" t="s">
        <v>1035</v>
      </c>
      <c r="D113" s="1020" t="s">
        <v>1041</v>
      </c>
      <c r="E113" s="1020" t="s">
        <v>1037</v>
      </c>
      <c r="F113" s="1020">
        <v>2021.0</v>
      </c>
      <c r="G113" s="1021">
        <v>0.502234677</v>
      </c>
      <c r="H113" s="1021">
        <v>0.456511951</v>
      </c>
      <c r="I113" s="1022">
        <v>0.555280119</v>
      </c>
      <c r="K113" s="1031" t="s">
        <v>120</v>
      </c>
      <c r="L113" s="1032" t="s">
        <v>1037</v>
      </c>
      <c r="M113" s="1032" t="s">
        <v>1035</v>
      </c>
      <c r="N113" s="1032" t="s">
        <v>1045</v>
      </c>
      <c r="O113" s="1032">
        <v>2021.0</v>
      </c>
      <c r="P113" s="1032" t="s">
        <v>1039</v>
      </c>
      <c r="Q113" s="1033" t="s">
        <v>63</v>
      </c>
      <c r="R113" s="1034">
        <v>29151.78881</v>
      </c>
      <c r="S113" s="1034">
        <v>24519.90725</v>
      </c>
      <c r="T113" s="1035">
        <v>34182.56169</v>
      </c>
      <c r="V113" s="1019" t="s">
        <v>120</v>
      </c>
      <c r="W113" s="1020" t="s">
        <v>1040</v>
      </c>
      <c r="X113" s="1020" t="s">
        <v>1035</v>
      </c>
      <c r="Y113" s="1020" t="s">
        <v>1045</v>
      </c>
      <c r="Z113" s="1020">
        <v>2021.0</v>
      </c>
      <c r="AA113" s="1020" t="s">
        <v>1039</v>
      </c>
      <c r="AB113" s="1023" t="s">
        <v>63</v>
      </c>
      <c r="AC113" s="1024">
        <v>2091.245025</v>
      </c>
      <c r="AD113" s="1024">
        <v>1326.361389</v>
      </c>
      <c r="AE113" s="1025">
        <v>3075.285998</v>
      </c>
      <c r="AF113" s="225"/>
    </row>
    <row r="114">
      <c r="A114" s="1013"/>
      <c r="B114" s="1019" t="s">
        <v>109</v>
      </c>
      <c r="C114" s="1020" t="s">
        <v>1035</v>
      </c>
      <c r="D114" s="1020" t="s">
        <v>1043</v>
      </c>
      <c r="E114" s="1020" t="s">
        <v>1037</v>
      </c>
      <c r="F114" s="1020">
        <v>2021.0</v>
      </c>
      <c r="G114" s="1021">
        <v>0.010442447</v>
      </c>
      <c r="H114" s="1021">
        <v>0.009180918</v>
      </c>
      <c r="I114" s="1022">
        <v>0.012158616</v>
      </c>
      <c r="K114" s="1031" t="s">
        <v>139</v>
      </c>
      <c r="L114" s="1032" t="s">
        <v>1037</v>
      </c>
      <c r="M114" s="1032" t="s">
        <v>1035</v>
      </c>
      <c r="N114" s="1032" t="s">
        <v>1038</v>
      </c>
      <c r="O114" s="1032">
        <v>2021.0</v>
      </c>
      <c r="P114" s="1032" t="s">
        <v>1039</v>
      </c>
      <c r="Q114" s="1033" t="s">
        <v>63</v>
      </c>
      <c r="R114" s="1034">
        <v>1570.294852</v>
      </c>
      <c r="S114" s="1034">
        <v>1242.436691</v>
      </c>
      <c r="T114" s="1035">
        <v>1994.702678</v>
      </c>
      <c r="V114" s="1019" t="s">
        <v>139</v>
      </c>
      <c r="W114" s="1020" t="s">
        <v>1040</v>
      </c>
      <c r="X114" s="1020" t="s">
        <v>1035</v>
      </c>
      <c r="Y114" s="1020" t="s">
        <v>1038</v>
      </c>
      <c r="Z114" s="1020">
        <v>2021.0</v>
      </c>
      <c r="AA114" s="1020" t="s">
        <v>1039</v>
      </c>
      <c r="AB114" s="1023" t="s">
        <v>63</v>
      </c>
      <c r="AC114" s="1024">
        <v>38.88911687</v>
      </c>
      <c r="AD114" s="1024">
        <v>15.35913784</v>
      </c>
      <c r="AE114" s="1025">
        <v>75.25248429</v>
      </c>
      <c r="AF114" s="225"/>
    </row>
    <row r="115">
      <c r="A115" s="1013"/>
      <c r="B115" s="1019" t="s">
        <v>109</v>
      </c>
      <c r="C115" s="1020" t="s">
        <v>1035</v>
      </c>
      <c r="D115" s="1020" t="s">
        <v>1045</v>
      </c>
      <c r="E115" s="1020" t="s">
        <v>1037</v>
      </c>
      <c r="F115" s="1020">
        <v>2021.0</v>
      </c>
      <c r="G115" s="1021">
        <v>0.096349615</v>
      </c>
      <c r="H115" s="1021">
        <v>0.081792365</v>
      </c>
      <c r="I115" s="1022">
        <v>0.113906903</v>
      </c>
      <c r="K115" s="1031" t="s">
        <v>139</v>
      </c>
      <c r="L115" s="1032" t="s">
        <v>1037</v>
      </c>
      <c r="M115" s="1032" t="s">
        <v>1035</v>
      </c>
      <c r="N115" s="1032" t="s">
        <v>1042</v>
      </c>
      <c r="O115" s="1032">
        <v>2021.0</v>
      </c>
      <c r="P115" s="1032" t="s">
        <v>1039</v>
      </c>
      <c r="Q115" s="1033" t="s">
        <v>63</v>
      </c>
      <c r="R115" s="1034">
        <v>1708.174999</v>
      </c>
      <c r="S115" s="1034">
        <v>1403.252452</v>
      </c>
      <c r="T115" s="1035">
        <v>2104.08582</v>
      </c>
      <c r="V115" s="1019" t="s">
        <v>139</v>
      </c>
      <c r="W115" s="1020" t="s">
        <v>1040</v>
      </c>
      <c r="X115" s="1020" t="s">
        <v>1035</v>
      </c>
      <c r="Y115" s="1020" t="s">
        <v>1042</v>
      </c>
      <c r="Z115" s="1020">
        <v>2021.0</v>
      </c>
      <c r="AA115" s="1020" t="s">
        <v>1039</v>
      </c>
      <c r="AB115" s="1023" t="s">
        <v>63</v>
      </c>
      <c r="AC115" s="1024">
        <v>5.643334207</v>
      </c>
      <c r="AD115" s="1024">
        <v>3.033991204</v>
      </c>
      <c r="AE115" s="1025">
        <v>9.570874636</v>
      </c>
      <c r="AF115" s="225"/>
    </row>
    <row r="116">
      <c r="A116" s="1013"/>
      <c r="B116" s="1019" t="s">
        <v>146</v>
      </c>
      <c r="C116" s="1020" t="s">
        <v>1035</v>
      </c>
      <c r="D116" s="1020" t="s">
        <v>1036</v>
      </c>
      <c r="E116" s="1020" t="s">
        <v>1037</v>
      </c>
      <c r="F116" s="1020">
        <v>2021.0</v>
      </c>
      <c r="G116" s="1021">
        <v>0.116735267</v>
      </c>
      <c r="H116" s="1021">
        <v>0.090943664</v>
      </c>
      <c r="I116" s="1022">
        <v>0.150407391</v>
      </c>
      <c r="K116" s="1031" t="s">
        <v>139</v>
      </c>
      <c r="L116" s="1032" t="s">
        <v>1037</v>
      </c>
      <c r="M116" s="1032" t="s">
        <v>1035</v>
      </c>
      <c r="N116" s="1032" t="s">
        <v>1044</v>
      </c>
      <c r="O116" s="1032">
        <v>2021.0</v>
      </c>
      <c r="P116" s="1032" t="s">
        <v>1039</v>
      </c>
      <c r="Q116" s="1033" t="s">
        <v>63</v>
      </c>
      <c r="R116" s="1034">
        <v>350.6290272</v>
      </c>
      <c r="S116" s="1034">
        <v>292.0689453</v>
      </c>
      <c r="T116" s="1035">
        <v>426.3295871</v>
      </c>
      <c r="V116" s="1019" t="s">
        <v>139</v>
      </c>
      <c r="W116" s="1020" t="s">
        <v>1040</v>
      </c>
      <c r="X116" s="1020" t="s">
        <v>1035</v>
      </c>
      <c r="Y116" s="1020" t="s">
        <v>1044</v>
      </c>
      <c r="Z116" s="1020">
        <v>2021.0</v>
      </c>
      <c r="AA116" s="1020" t="s">
        <v>1039</v>
      </c>
      <c r="AB116" s="1023" t="s">
        <v>63</v>
      </c>
      <c r="AC116" s="1024">
        <v>4.688631751</v>
      </c>
      <c r="AD116" s="1024">
        <v>1.746194223</v>
      </c>
      <c r="AE116" s="1025">
        <v>11.00859111</v>
      </c>
      <c r="AF116" s="225"/>
    </row>
    <row r="117">
      <c r="A117" s="1013"/>
      <c r="B117" s="1019" t="s">
        <v>146</v>
      </c>
      <c r="C117" s="1020" t="s">
        <v>1035</v>
      </c>
      <c r="D117" s="1020" t="s">
        <v>1041</v>
      </c>
      <c r="E117" s="1020" t="s">
        <v>1037</v>
      </c>
      <c r="F117" s="1020">
        <v>2021.0</v>
      </c>
      <c r="G117" s="1021">
        <v>0.461500562</v>
      </c>
      <c r="H117" s="1021">
        <v>0.397325417</v>
      </c>
      <c r="I117" s="1022">
        <v>0.533277817</v>
      </c>
      <c r="K117" s="1031" t="s">
        <v>139</v>
      </c>
      <c r="L117" s="1032" t="s">
        <v>1037</v>
      </c>
      <c r="M117" s="1032" t="s">
        <v>1035</v>
      </c>
      <c r="N117" s="1032" t="s">
        <v>1046</v>
      </c>
      <c r="O117" s="1032">
        <v>2021.0</v>
      </c>
      <c r="P117" s="1032" t="s">
        <v>1039</v>
      </c>
      <c r="Q117" s="1033" t="s">
        <v>63</v>
      </c>
      <c r="R117" s="1034">
        <v>1069.428514</v>
      </c>
      <c r="S117" s="1034">
        <v>871.6295862</v>
      </c>
      <c r="T117" s="1035">
        <v>1337.470611</v>
      </c>
      <c r="V117" s="1019" t="s">
        <v>139</v>
      </c>
      <c r="W117" s="1020" t="s">
        <v>1040</v>
      </c>
      <c r="X117" s="1020" t="s">
        <v>1035</v>
      </c>
      <c r="Y117" s="1020" t="s">
        <v>1046</v>
      </c>
      <c r="Z117" s="1020">
        <v>2021.0</v>
      </c>
      <c r="AA117" s="1020" t="s">
        <v>1039</v>
      </c>
      <c r="AB117" s="1023" t="s">
        <v>63</v>
      </c>
      <c r="AC117" s="1024">
        <v>52.96966266</v>
      </c>
      <c r="AD117" s="1024">
        <v>22.87320408</v>
      </c>
      <c r="AE117" s="1025">
        <v>98.95576201</v>
      </c>
      <c r="AF117" s="225"/>
    </row>
    <row r="118">
      <c r="A118" s="1013"/>
      <c r="B118" s="1019" t="s">
        <v>146</v>
      </c>
      <c r="C118" s="1020" t="s">
        <v>1035</v>
      </c>
      <c r="D118" s="1020" t="s">
        <v>1043</v>
      </c>
      <c r="E118" s="1020" t="s">
        <v>1037</v>
      </c>
      <c r="F118" s="1020">
        <v>2021.0</v>
      </c>
      <c r="G118" s="1021">
        <v>0.007956665</v>
      </c>
      <c r="H118" s="1021">
        <v>0.006581265</v>
      </c>
      <c r="I118" s="1022">
        <v>0.009759712</v>
      </c>
      <c r="K118" s="1031" t="s">
        <v>139</v>
      </c>
      <c r="L118" s="1032" t="s">
        <v>1037</v>
      </c>
      <c r="M118" s="1032" t="s">
        <v>1035</v>
      </c>
      <c r="N118" s="1032" t="s">
        <v>1045</v>
      </c>
      <c r="O118" s="1032">
        <v>2021.0</v>
      </c>
      <c r="P118" s="1032" t="s">
        <v>1039</v>
      </c>
      <c r="Q118" s="1033" t="s">
        <v>63</v>
      </c>
      <c r="R118" s="1034">
        <v>4698.527392</v>
      </c>
      <c r="S118" s="1034">
        <v>3810.351538</v>
      </c>
      <c r="T118" s="1035">
        <v>5830.854732</v>
      </c>
      <c r="V118" s="1019" t="s">
        <v>139</v>
      </c>
      <c r="W118" s="1020" t="s">
        <v>1040</v>
      </c>
      <c r="X118" s="1020" t="s">
        <v>1035</v>
      </c>
      <c r="Y118" s="1020" t="s">
        <v>1045</v>
      </c>
      <c r="Z118" s="1020">
        <v>2021.0</v>
      </c>
      <c r="AA118" s="1020" t="s">
        <v>1039</v>
      </c>
      <c r="AB118" s="1023" t="s">
        <v>63</v>
      </c>
      <c r="AC118" s="1024">
        <v>102.1907455</v>
      </c>
      <c r="AD118" s="1024">
        <v>48.11889298</v>
      </c>
      <c r="AE118" s="1025">
        <v>183.4190221</v>
      </c>
      <c r="AF118" s="225"/>
    </row>
    <row r="119">
      <c r="A119" s="1013"/>
      <c r="B119" s="1019" t="s">
        <v>146</v>
      </c>
      <c r="C119" s="1020" t="s">
        <v>1035</v>
      </c>
      <c r="D119" s="1020" t="s">
        <v>1045</v>
      </c>
      <c r="E119" s="1020" t="s">
        <v>1037</v>
      </c>
      <c r="F119" s="1020">
        <v>2021.0</v>
      </c>
      <c r="G119" s="1021">
        <v>0.06218455</v>
      </c>
      <c r="H119" s="1021">
        <v>0.049363822</v>
      </c>
      <c r="I119" s="1022">
        <v>0.078740163</v>
      </c>
      <c r="K119" s="1031" t="s">
        <v>140</v>
      </c>
      <c r="L119" s="1032" t="s">
        <v>1037</v>
      </c>
      <c r="M119" s="1032" t="s">
        <v>1035</v>
      </c>
      <c r="N119" s="1032" t="s">
        <v>1038</v>
      </c>
      <c r="O119" s="1032">
        <v>2021.0</v>
      </c>
      <c r="P119" s="1032" t="s">
        <v>1039</v>
      </c>
      <c r="Q119" s="1033" t="s">
        <v>63</v>
      </c>
      <c r="R119" s="1034">
        <v>1306.7656</v>
      </c>
      <c r="S119" s="1034">
        <v>1023.596</v>
      </c>
      <c r="T119" s="1035">
        <v>1690.077776</v>
      </c>
      <c r="V119" s="1019" t="s">
        <v>140</v>
      </c>
      <c r="W119" s="1020" t="s">
        <v>1040</v>
      </c>
      <c r="X119" s="1020" t="s">
        <v>1035</v>
      </c>
      <c r="Y119" s="1020" t="s">
        <v>1038</v>
      </c>
      <c r="Z119" s="1020">
        <v>2021.0</v>
      </c>
      <c r="AA119" s="1020" t="s">
        <v>1039</v>
      </c>
      <c r="AB119" s="1023" t="s">
        <v>63</v>
      </c>
      <c r="AC119" s="1024">
        <v>31.07009084</v>
      </c>
      <c r="AD119" s="1024">
        <v>12.53043802</v>
      </c>
      <c r="AE119" s="1025">
        <v>65.37223555</v>
      </c>
      <c r="AF119" s="225"/>
    </row>
    <row r="120">
      <c r="A120" s="1013"/>
      <c r="B120" s="1019" t="s">
        <v>147</v>
      </c>
      <c r="C120" s="1020" t="s">
        <v>1035</v>
      </c>
      <c r="D120" s="1020" t="s">
        <v>1036</v>
      </c>
      <c r="E120" s="1020" t="s">
        <v>1037</v>
      </c>
      <c r="F120" s="1020">
        <v>2021.0</v>
      </c>
      <c r="G120" s="1021">
        <v>0.095358956</v>
      </c>
      <c r="H120" s="1021">
        <v>0.074176335</v>
      </c>
      <c r="I120" s="1022">
        <v>0.121851017</v>
      </c>
      <c r="K120" s="1031" t="s">
        <v>140</v>
      </c>
      <c r="L120" s="1032" t="s">
        <v>1037</v>
      </c>
      <c r="M120" s="1032" t="s">
        <v>1035</v>
      </c>
      <c r="N120" s="1032" t="s">
        <v>1042</v>
      </c>
      <c r="O120" s="1032">
        <v>2021.0</v>
      </c>
      <c r="P120" s="1032" t="s">
        <v>1039</v>
      </c>
      <c r="Q120" s="1033" t="s">
        <v>63</v>
      </c>
      <c r="R120" s="1034">
        <v>1733.363681</v>
      </c>
      <c r="S120" s="1034">
        <v>1365.047644</v>
      </c>
      <c r="T120" s="1035">
        <v>2252.961799</v>
      </c>
      <c r="V120" s="1019" t="s">
        <v>140</v>
      </c>
      <c r="W120" s="1020" t="s">
        <v>1040</v>
      </c>
      <c r="X120" s="1020" t="s">
        <v>1035</v>
      </c>
      <c r="Y120" s="1020" t="s">
        <v>1042</v>
      </c>
      <c r="Z120" s="1020">
        <v>2021.0</v>
      </c>
      <c r="AA120" s="1020" t="s">
        <v>1039</v>
      </c>
      <c r="AB120" s="1023" t="s">
        <v>63</v>
      </c>
      <c r="AC120" s="1024">
        <v>6.095884171</v>
      </c>
      <c r="AD120" s="1024">
        <v>3.268348811</v>
      </c>
      <c r="AE120" s="1025">
        <v>10.98311046</v>
      </c>
      <c r="AF120" s="225"/>
    </row>
    <row r="121">
      <c r="A121" s="1013"/>
      <c r="B121" s="1019" t="s">
        <v>147</v>
      </c>
      <c r="C121" s="1020" t="s">
        <v>1035</v>
      </c>
      <c r="D121" s="1020" t="s">
        <v>1041</v>
      </c>
      <c r="E121" s="1020" t="s">
        <v>1037</v>
      </c>
      <c r="F121" s="1020">
        <v>2021.0</v>
      </c>
      <c r="G121" s="1021">
        <v>0.455801535</v>
      </c>
      <c r="H121" s="1021">
        <v>0.396483212</v>
      </c>
      <c r="I121" s="1022">
        <v>0.521771532</v>
      </c>
      <c r="K121" s="1031" t="s">
        <v>140</v>
      </c>
      <c r="L121" s="1032" t="s">
        <v>1037</v>
      </c>
      <c r="M121" s="1032" t="s">
        <v>1035</v>
      </c>
      <c r="N121" s="1032" t="s">
        <v>1044</v>
      </c>
      <c r="O121" s="1032">
        <v>2021.0</v>
      </c>
      <c r="P121" s="1032" t="s">
        <v>1039</v>
      </c>
      <c r="Q121" s="1033" t="s">
        <v>63</v>
      </c>
      <c r="R121" s="1034">
        <v>474.0162215</v>
      </c>
      <c r="S121" s="1034">
        <v>379.9495828</v>
      </c>
      <c r="T121" s="1035">
        <v>602.6093531</v>
      </c>
      <c r="V121" s="1019" t="s">
        <v>140</v>
      </c>
      <c r="W121" s="1020" t="s">
        <v>1040</v>
      </c>
      <c r="X121" s="1020" t="s">
        <v>1035</v>
      </c>
      <c r="Y121" s="1020" t="s">
        <v>1044</v>
      </c>
      <c r="Z121" s="1020">
        <v>2021.0</v>
      </c>
      <c r="AA121" s="1020" t="s">
        <v>1039</v>
      </c>
      <c r="AB121" s="1023" t="s">
        <v>63</v>
      </c>
      <c r="AC121" s="1024">
        <v>6.915606089</v>
      </c>
      <c r="AD121" s="1024">
        <v>3.168267545</v>
      </c>
      <c r="AE121" s="1025">
        <v>14.21280921</v>
      </c>
      <c r="AF121" s="225"/>
    </row>
    <row r="122">
      <c r="A122" s="1013"/>
      <c r="B122" s="1019" t="s">
        <v>147</v>
      </c>
      <c r="C122" s="1020" t="s">
        <v>1035</v>
      </c>
      <c r="D122" s="1020" t="s">
        <v>1043</v>
      </c>
      <c r="E122" s="1020" t="s">
        <v>1037</v>
      </c>
      <c r="F122" s="1020">
        <v>2021.0</v>
      </c>
      <c r="G122" s="1021">
        <v>0.008068375</v>
      </c>
      <c r="H122" s="1021">
        <v>0.006742497</v>
      </c>
      <c r="I122" s="1022">
        <v>0.009841477</v>
      </c>
      <c r="K122" s="1031" t="s">
        <v>140</v>
      </c>
      <c r="L122" s="1032" t="s">
        <v>1037</v>
      </c>
      <c r="M122" s="1032" t="s">
        <v>1035</v>
      </c>
      <c r="N122" s="1032" t="s">
        <v>1046</v>
      </c>
      <c r="O122" s="1032">
        <v>2021.0</v>
      </c>
      <c r="P122" s="1032" t="s">
        <v>1039</v>
      </c>
      <c r="Q122" s="1033" t="s">
        <v>63</v>
      </c>
      <c r="R122" s="1034">
        <v>1138.222125</v>
      </c>
      <c r="S122" s="1034">
        <v>901.7112628</v>
      </c>
      <c r="T122" s="1035">
        <v>1484.752047</v>
      </c>
      <c r="V122" s="1019" t="s">
        <v>140</v>
      </c>
      <c r="W122" s="1020" t="s">
        <v>1040</v>
      </c>
      <c r="X122" s="1020" t="s">
        <v>1035</v>
      </c>
      <c r="Y122" s="1020" t="s">
        <v>1046</v>
      </c>
      <c r="Z122" s="1020">
        <v>2021.0</v>
      </c>
      <c r="AA122" s="1020" t="s">
        <v>1039</v>
      </c>
      <c r="AB122" s="1023" t="s">
        <v>63</v>
      </c>
      <c r="AC122" s="1024">
        <v>63.8495019</v>
      </c>
      <c r="AD122" s="1024">
        <v>27.79117645</v>
      </c>
      <c r="AE122" s="1025">
        <v>111.3309213</v>
      </c>
      <c r="AF122" s="225"/>
    </row>
    <row r="123">
      <c r="A123" s="1013"/>
      <c r="B123" s="1019" t="s">
        <v>147</v>
      </c>
      <c r="C123" s="1020" t="s">
        <v>1035</v>
      </c>
      <c r="D123" s="1020" t="s">
        <v>1045</v>
      </c>
      <c r="E123" s="1020" t="s">
        <v>1037</v>
      </c>
      <c r="F123" s="1020">
        <v>2021.0</v>
      </c>
      <c r="G123" s="1021">
        <v>0.066857949</v>
      </c>
      <c r="H123" s="1021">
        <v>0.053343557</v>
      </c>
      <c r="I123" s="1022">
        <v>0.084605173</v>
      </c>
      <c r="K123" s="1031" t="s">
        <v>140</v>
      </c>
      <c r="L123" s="1032" t="s">
        <v>1037</v>
      </c>
      <c r="M123" s="1032" t="s">
        <v>1035</v>
      </c>
      <c r="N123" s="1032" t="s">
        <v>1045</v>
      </c>
      <c r="O123" s="1032">
        <v>2021.0</v>
      </c>
      <c r="P123" s="1032" t="s">
        <v>1039</v>
      </c>
      <c r="Q123" s="1033" t="s">
        <v>63</v>
      </c>
      <c r="R123" s="1034">
        <v>4652.367627</v>
      </c>
      <c r="S123" s="1034">
        <v>3722.537945</v>
      </c>
      <c r="T123" s="1035">
        <v>5921.637745</v>
      </c>
      <c r="V123" s="1019" t="s">
        <v>140</v>
      </c>
      <c r="W123" s="1020" t="s">
        <v>1040</v>
      </c>
      <c r="X123" s="1020" t="s">
        <v>1035</v>
      </c>
      <c r="Y123" s="1020" t="s">
        <v>1045</v>
      </c>
      <c r="Z123" s="1020">
        <v>2021.0</v>
      </c>
      <c r="AA123" s="1020" t="s">
        <v>1039</v>
      </c>
      <c r="AB123" s="1023" t="s">
        <v>63</v>
      </c>
      <c r="AC123" s="1024">
        <v>107.931083</v>
      </c>
      <c r="AD123" s="1024">
        <v>52.46401233</v>
      </c>
      <c r="AE123" s="1025">
        <v>188.7525002</v>
      </c>
      <c r="AF123" s="225"/>
    </row>
    <row r="124">
      <c r="A124" s="1013"/>
      <c r="B124" s="1019" t="s">
        <v>148</v>
      </c>
      <c r="C124" s="1020" t="s">
        <v>1035</v>
      </c>
      <c r="D124" s="1020" t="s">
        <v>1036</v>
      </c>
      <c r="E124" s="1020" t="s">
        <v>1037</v>
      </c>
      <c r="F124" s="1020">
        <v>2021.0</v>
      </c>
      <c r="G124" s="1021">
        <v>0.08614107</v>
      </c>
      <c r="H124" s="1021">
        <v>0.068122583</v>
      </c>
      <c r="I124" s="1022">
        <v>0.111930119</v>
      </c>
      <c r="K124" s="1031" t="s">
        <v>141</v>
      </c>
      <c r="L124" s="1032" t="s">
        <v>1037</v>
      </c>
      <c r="M124" s="1032" t="s">
        <v>1035</v>
      </c>
      <c r="N124" s="1032" t="s">
        <v>1038</v>
      </c>
      <c r="O124" s="1032">
        <v>2021.0</v>
      </c>
      <c r="P124" s="1032" t="s">
        <v>1039</v>
      </c>
      <c r="Q124" s="1033" t="s">
        <v>63</v>
      </c>
      <c r="R124" s="1034">
        <v>1599.297999</v>
      </c>
      <c r="S124" s="1034">
        <v>1239.06366</v>
      </c>
      <c r="T124" s="1035">
        <v>2090.650631</v>
      </c>
      <c r="V124" s="1019" t="s">
        <v>141</v>
      </c>
      <c r="W124" s="1020" t="s">
        <v>1040</v>
      </c>
      <c r="X124" s="1020" t="s">
        <v>1035</v>
      </c>
      <c r="Y124" s="1020" t="s">
        <v>1038</v>
      </c>
      <c r="Z124" s="1020">
        <v>2021.0</v>
      </c>
      <c r="AA124" s="1020" t="s">
        <v>1039</v>
      </c>
      <c r="AB124" s="1023" t="s">
        <v>63</v>
      </c>
      <c r="AC124" s="1024">
        <v>18.85479405</v>
      </c>
      <c r="AD124" s="1024">
        <v>6.162305384</v>
      </c>
      <c r="AE124" s="1025">
        <v>45.29575036</v>
      </c>
      <c r="AF124" s="225"/>
    </row>
    <row r="125">
      <c r="A125" s="1013"/>
      <c r="B125" s="1019" t="s">
        <v>148</v>
      </c>
      <c r="C125" s="1020" t="s">
        <v>1035</v>
      </c>
      <c r="D125" s="1020" t="s">
        <v>1041</v>
      </c>
      <c r="E125" s="1020" t="s">
        <v>1037</v>
      </c>
      <c r="F125" s="1020">
        <v>2021.0</v>
      </c>
      <c r="G125" s="1021">
        <v>0.429261387</v>
      </c>
      <c r="H125" s="1021">
        <v>0.378882617</v>
      </c>
      <c r="I125" s="1022">
        <v>0.493312821</v>
      </c>
      <c r="K125" s="1031" t="s">
        <v>141</v>
      </c>
      <c r="L125" s="1032" t="s">
        <v>1037</v>
      </c>
      <c r="M125" s="1032" t="s">
        <v>1035</v>
      </c>
      <c r="N125" s="1032" t="s">
        <v>1042</v>
      </c>
      <c r="O125" s="1032">
        <v>2021.0</v>
      </c>
      <c r="P125" s="1032" t="s">
        <v>1039</v>
      </c>
      <c r="Q125" s="1033" t="s">
        <v>63</v>
      </c>
      <c r="R125" s="1034">
        <v>3751.868104</v>
      </c>
      <c r="S125" s="1034">
        <v>2933.972234</v>
      </c>
      <c r="T125" s="1035">
        <v>4805.342844</v>
      </c>
      <c r="V125" s="1019" t="s">
        <v>141</v>
      </c>
      <c r="W125" s="1020" t="s">
        <v>1040</v>
      </c>
      <c r="X125" s="1020" t="s">
        <v>1035</v>
      </c>
      <c r="Y125" s="1020" t="s">
        <v>1042</v>
      </c>
      <c r="Z125" s="1020">
        <v>2021.0</v>
      </c>
      <c r="AA125" s="1020" t="s">
        <v>1039</v>
      </c>
      <c r="AB125" s="1023" t="s">
        <v>63</v>
      </c>
      <c r="AC125" s="1024">
        <v>8.754156649</v>
      </c>
      <c r="AD125" s="1024">
        <v>3.639628477</v>
      </c>
      <c r="AE125" s="1025">
        <v>17.59982681</v>
      </c>
      <c r="AF125" s="225"/>
    </row>
    <row r="126">
      <c r="A126" s="1013"/>
      <c r="B126" s="1019" t="s">
        <v>148</v>
      </c>
      <c r="C126" s="1020" t="s">
        <v>1035</v>
      </c>
      <c r="D126" s="1020" t="s">
        <v>1043</v>
      </c>
      <c r="E126" s="1020" t="s">
        <v>1037</v>
      </c>
      <c r="F126" s="1020">
        <v>2021.0</v>
      </c>
      <c r="G126" s="1021">
        <v>0.006152523</v>
      </c>
      <c r="H126" s="1021">
        <v>0.005143511</v>
      </c>
      <c r="I126" s="1022">
        <v>0.007514822</v>
      </c>
      <c r="K126" s="1031" t="s">
        <v>141</v>
      </c>
      <c r="L126" s="1032" t="s">
        <v>1037</v>
      </c>
      <c r="M126" s="1032" t="s">
        <v>1035</v>
      </c>
      <c r="N126" s="1032" t="s">
        <v>1044</v>
      </c>
      <c r="O126" s="1032">
        <v>2021.0</v>
      </c>
      <c r="P126" s="1032" t="s">
        <v>1039</v>
      </c>
      <c r="Q126" s="1033" t="s">
        <v>63</v>
      </c>
      <c r="R126" s="1034">
        <v>716.387314</v>
      </c>
      <c r="S126" s="1034">
        <v>534.4433003</v>
      </c>
      <c r="T126" s="1035">
        <v>975.3690369</v>
      </c>
      <c r="V126" s="1019" t="s">
        <v>141</v>
      </c>
      <c r="W126" s="1020" t="s">
        <v>1040</v>
      </c>
      <c r="X126" s="1020" t="s">
        <v>1035</v>
      </c>
      <c r="Y126" s="1020" t="s">
        <v>1044</v>
      </c>
      <c r="Z126" s="1020">
        <v>2021.0</v>
      </c>
      <c r="AA126" s="1020" t="s">
        <v>1039</v>
      </c>
      <c r="AB126" s="1023" t="s">
        <v>63</v>
      </c>
      <c r="AC126" s="1024">
        <v>8.469825947</v>
      </c>
      <c r="AD126" s="1024">
        <v>2.707095228</v>
      </c>
      <c r="AE126" s="1025">
        <v>21.61685529</v>
      </c>
      <c r="AF126" s="225"/>
    </row>
    <row r="127">
      <c r="A127" s="1013"/>
      <c r="B127" s="1019" t="s">
        <v>148</v>
      </c>
      <c r="C127" s="1020" t="s">
        <v>1035</v>
      </c>
      <c r="D127" s="1020" t="s">
        <v>1045</v>
      </c>
      <c r="E127" s="1020" t="s">
        <v>1037</v>
      </c>
      <c r="F127" s="1020">
        <v>2021.0</v>
      </c>
      <c r="G127" s="1021">
        <v>0.046340817</v>
      </c>
      <c r="H127" s="1021">
        <v>0.037275461</v>
      </c>
      <c r="I127" s="1022">
        <v>0.057604892</v>
      </c>
      <c r="K127" s="1031" t="s">
        <v>141</v>
      </c>
      <c r="L127" s="1032" t="s">
        <v>1037</v>
      </c>
      <c r="M127" s="1032" t="s">
        <v>1035</v>
      </c>
      <c r="N127" s="1032" t="s">
        <v>1046</v>
      </c>
      <c r="O127" s="1032">
        <v>2021.0</v>
      </c>
      <c r="P127" s="1032" t="s">
        <v>1039</v>
      </c>
      <c r="Q127" s="1033" t="s">
        <v>63</v>
      </c>
      <c r="R127" s="1034">
        <v>1700.282245</v>
      </c>
      <c r="S127" s="1034">
        <v>1337.648385</v>
      </c>
      <c r="T127" s="1035">
        <v>2141.431916</v>
      </c>
      <c r="V127" s="1019" t="s">
        <v>141</v>
      </c>
      <c r="W127" s="1020" t="s">
        <v>1040</v>
      </c>
      <c r="X127" s="1020" t="s">
        <v>1035</v>
      </c>
      <c r="Y127" s="1020" t="s">
        <v>1046</v>
      </c>
      <c r="Z127" s="1020">
        <v>2021.0</v>
      </c>
      <c r="AA127" s="1020" t="s">
        <v>1039</v>
      </c>
      <c r="AB127" s="1023" t="s">
        <v>63</v>
      </c>
      <c r="AC127" s="1024">
        <v>49.03068651</v>
      </c>
      <c r="AD127" s="1024">
        <v>17.80546195</v>
      </c>
      <c r="AE127" s="1025">
        <v>107.994289</v>
      </c>
      <c r="AF127" s="225"/>
    </row>
    <row r="128">
      <c r="A128" s="1013"/>
      <c r="B128" s="1019" t="s">
        <v>149</v>
      </c>
      <c r="C128" s="1020" t="s">
        <v>1035</v>
      </c>
      <c r="D128" s="1020" t="s">
        <v>1036</v>
      </c>
      <c r="E128" s="1020" t="s">
        <v>1037</v>
      </c>
      <c r="F128" s="1020">
        <v>2021.0</v>
      </c>
      <c r="G128" s="1021">
        <v>0.088906096</v>
      </c>
      <c r="H128" s="1021">
        <v>0.071349927</v>
      </c>
      <c r="I128" s="1022">
        <v>0.109988468</v>
      </c>
      <c r="K128" s="1031" t="s">
        <v>141</v>
      </c>
      <c r="L128" s="1032" t="s">
        <v>1037</v>
      </c>
      <c r="M128" s="1032" t="s">
        <v>1035</v>
      </c>
      <c r="N128" s="1032" t="s">
        <v>1045</v>
      </c>
      <c r="O128" s="1032">
        <v>2021.0</v>
      </c>
      <c r="P128" s="1032" t="s">
        <v>1039</v>
      </c>
      <c r="Q128" s="1033" t="s">
        <v>63</v>
      </c>
      <c r="R128" s="1034">
        <v>7767.835663</v>
      </c>
      <c r="S128" s="1034">
        <v>6067.383912</v>
      </c>
      <c r="T128" s="1035">
        <v>9875.875543</v>
      </c>
      <c r="V128" s="1019" t="s">
        <v>141</v>
      </c>
      <c r="W128" s="1020" t="s">
        <v>1040</v>
      </c>
      <c r="X128" s="1020" t="s">
        <v>1035</v>
      </c>
      <c r="Y128" s="1020" t="s">
        <v>1045</v>
      </c>
      <c r="Z128" s="1020">
        <v>2021.0</v>
      </c>
      <c r="AA128" s="1020" t="s">
        <v>1039</v>
      </c>
      <c r="AB128" s="1023" t="s">
        <v>63</v>
      </c>
      <c r="AC128" s="1024">
        <v>85.10946315</v>
      </c>
      <c r="AD128" s="1024">
        <v>37.32284695</v>
      </c>
      <c r="AE128" s="1025">
        <v>180.7425401</v>
      </c>
      <c r="AF128" s="225"/>
    </row>
    <row r="129">
      <c r="A129" s="1013"/>
      <c r="B129" s="1019" t="s">
        <v>149</v>
      </c>
      <c r="C129" s="1020" t="s">
        <v>1035</v>
      </c>
      <c r="D129" s="1020" t="s">
        <v>1041</v>
      </c>
      <c r="E129" s="1020" t="s">
        <v>1037</v>
      </c>
      <c r="F129" s="1020">
        <v>2021.0</v>
      </c>
      <c r="G129" s="1021">
        <v>0.460314831</v>
      </c>
      <c r="H129" s="1021">
        <v>0.408472562</v>
      </c>
      <c r="I129" s="1022">
        <v>0.523654064</v>
      </c>
      <c r="K129" s="1031" t="s">
        <v>142</v>
      </c>
      <c r="L129" s="1032" t="s">
        <v>1037</v>
      </c>
      <c r="M129" s="1032" t="s">
        <v>1035</v>
      </c>
      <c r="N129" s="1032" t="s">
        <v>1038</v>
      </c>
      <c r="O129" s="1032">
        <v>2021.0</v>
      </c>
      <c r="P129" s="1032" t="s">
        <v>1039</v>
      </c>
      <c r="Q129" s="1033" t="s">
        <v>63</v>
      </c>
      <c r="R129" s="1034">
        <v>4250.344382</v>
      </c>
      <c r="S129" s="1034">
        <v>3065.758957</v>
      </c>
      <c r="T129" s="1035">
        <v>5639.087772</v>
      </c>
      <c r="V129" s="1019" t="s">
        <v>142</v>
      </c>
      <c r="W129" s="1020" t="s">
        <v>1040</v>
      </c>
      <c r="X129" s="1020" t="s">
        <v>1035</v>
      </c>
      <c r="Y129" s="1020" t="s">
        <v>1038</v>
      </c>
      <c r="Z129" s="1020">
        <v>2021.0</v>
      </c>
      <c r="AA129" s="1020" t="s">
        <v>1039</v>
      </c>
      <c r="AB129" s="1023" t="s">
        <v>63</v>
      </c>
      <c r="AC129" s="1024">
        <v>147.4324682</v>
      </c>
      <c r="AD129" s="1024">
        <v>68.2692875</v>
      </c>
      <c r="AE129" s="1025">
        <v>283.1360418</v>
      </c>
      <c r="AF129" s="225"/>
    </row>
    <row r="130">
      <c r="A130" s="1013"/>
      <c r="B130" s="1019" t="s">
        <v>149</v>
      </c>
      <c r="C130" s="1020" t="s">
        <v>1035</v>
      </c>
      <c r="D130" s="1020" t="s">
        <v>1043</v>
      </c>
      <c r="E130" s="1020" t="s">
        <v>1037</v>
      </c>
      <c r="F130" s="1020">
        <v>2021.0</v>
      </c>
      <c r="G130" s="1021">
        <v>0.005984557</v>
      </c>
      <c r="H130" s="1021">
        <v>0.005050275</v>
      </c>
      <c r="I130" s="1022">
        <v>0.007130009</v>
      </c>
      <c r="K130" s="1031" t="s">
        <v>142</v>
      </c>
      <c r="L130" s="1032" t="s">
        <v>1037</v>
      </c>
      <c r="M130" s="1032" t="s">
        <v>1035</v>
      </c>
      <c r="N130" s="1032" t="s">
        <v>1042</v>
      </c>
      <c r="O130" s="1032">
        <v>2021.0</v>
      </c>
      <c r="P130" s="1032" t="s">
        <v>1039</v>
      </c>
      <c r="Q130" s="1033" t="s">
        <v>63</v>
      </c>
      <c r="R130" s="1034">
        <v>6417.408682</v>
      </c>
      <c r="S130" s="1034">
        <v>5227.865794</v>
      </c>
      <c r="T130" s="1035">
        <v>7685.156387</v>
      </c>
      <c r="V130" s="1019" t="s">
        <v>142</v>
      </c>
      <c r="W130" s="1020" t="s">
        <v>1040</v>
      </c>
      <c r="X130" s="1020" t="s">
        <v>1035</v>
      </c>
      <c r="Y130" s="1020" t="s">
        <v>1042</v>
      </c>
      <c r="Z130" s="1020">
        <v>2021.0</v>
      </c>
      <c r="AA130" s="1020" t="s">
        <v>1039</v>
      </c>
      <c r="AB130" s="1023" t="s">
        <v>63</v>
      </c>
      <c r="AC130" s="1024">
        <v>20.66530714</v>
      </c>
      <c r="AD130" s="1024">
        <v>10.63107424</v>
      </c>
      <c r="AE130" s="1025">
        <v>37.01310146</v>
      </c>
      <c r="AF130" s="225"/>
    </row>
    <row r="131">
      <c r="A131" s="1013"/>
      <c r="B131" s="1019" t="s">
        <v>149</v>
      </c>
      <c r="C131" s="1020" t="s">
        <v>1035</v>
      </c>
      <c r="D131" s="1020" t="s">
        <v>1045</v>
      </c>
      <c r="E131" s="1020" t="s">
        <v>1037</v>
      </c>
      <c r="F131" s="1020">
        <v>2021.0</v>
      </c>
      <c r="G131" s="1021">
        <v>0.045574158</v>
      </c>
      <c r="H131" s="1021">
        <v>0.03611965</v>
      </c>
      <c r="I131" s="1022">
        <v>0.057563225</v>
      </c>
      <c r="K131" s="1031" t="s">
        <v>142</v>
      </c>
      <c r="L131" s="1032" t="s">
        <v>1037</v>
      </c>
      <c r="M131" s="1032" t="s">
        <v>1035</v>
      </c>
      <c r="N131" s="1032" t="s">
        <v>1044</v>
      </c>
      <c r="O131" s="1032">
        <v>2021.0</v>
      </c>
      <c r="P131" s="1032" t="s">
        <v>1039</v>
      </c>
      <c r="Q131" s="1033" t="s">
        <v>63</v>
      </c>
      <c r="R131" s="1034">
        <v>1305.598514</v>
      </c>
      <c r="S131" s="1034">
        <v>1049.746046</v>
      </c>
      <c r="T131" s="1035">
        <v>1569.48729</v>
      </c>
      <c r="V131" s="1019" t="s">
        <v>142</v>
      </c>
      <c r="W131" s="1020" t="s">
        <v>1040</v>
      </c>
      <c r="X131" s="1020" t="s">
        <v>1035</v>
      </c>
      <c r="Y131" s="1020" t="s">
        <v>1044</v>
      </c>
      <c r="Z131" s="1020">
        <v>2021.0</v>
      </c>
      <c r="AA131" s="1020" t="s">
        <v>1039</v>
      </c>
      <c r="AB131" s="1023" t="s">
        <v>63</v>
      </c>
      <c r="AC131" s="1024">
        <v>21.54317609</v>
      </c>
      <c r="AD131" s="1024">
        <v>10.72753726</v>
      </c>
      <c r="AE131" s="1025">
        <v>40.21690132</v>
      </c>
      <c r="AF131" s="225"/>
    </row>
    <row r="132">
      <c r="A132" s="1013"/>
      <c r="B132" s="1019" t="s">
        <v>150</v>
      </c>
      <c r="C132" s="1020" t="s">
        <v>1035</v>
      </c>
      <c r="D132" s="1020" t="s">
        <v>1036</v>
      </c>
      <c r="E132" s="1020" t="s">
        <v>1037</v>
      </c>
      <c r="F132" s="1020">
        <v>2021.0</v>
      </c>
      <c r="G132" s="1021">
        <v>0.118146157</v>
      </c>
      <c r="H132" s="1021">
        <v>0.091138501</v>
      </c>
      <c r="I132" s="1022">
        <v>0.151539856</v>
      </c>
      <c r="K132" s="1031" t="s">
        <v>142</v>
      </c>
      <c r="L132" s="1032" t="s">
        <v>1037</v>
      </c>
      <c r="M132" s="1032" t="s">
        <v>1035</v>
      </c>
      <c r="N132" s="1032" t="s">
        <v>1046</v>
      </c>
      <c r="O132" s="1032">
        <v>2021.0</v>
      </c>
      <c r="P132" s="1032" t="s">
        <v>1039</v>
      </c>
      <c r="Q132" s="1033" t="s">
        <v>63</v>
      </c>
      <c r="R132" s="1034">
        <v>4035.029913</v>
      </c>
      <c r="S132" s="1034">
        <v>3268.824659</v>
      </c>
      <c r="T132" s="1035">
        <v>4839.595821</v>
      </c>
      <c r="V132" s="1019" t="s">
        <v>142</v>
      </c>
      <c r="W132" s="1020" t="s">
        <v>1040</v>
      </c>
      <c r="X132" s="1020" t="s">
        <v>1035</v>
      </c>
      <c r="Y132" s="1020" t="s">
        <v>1046</v>
      </c>
      <c r="Z132" s="1020">
        <v>2021.0</v>
      </c>
      <c r="AA132" s="1020" t="s">
        <v>1039</v>
      </c>
      <c r="AB132" s="1023" t="s">
        <v>63</v>
      </c>
      <c r="AC132" s="1024">
        <v>286.9267459</v>
      </c>
      <c r="AD132" s="1024">
        <v>165.8389143</v>
      </c>
      <c r="AE132" s="1025">
        <v>458.895474</v>
      </c>
      <c r="AF132" s="225"/>
    </row>
    <row r="133">
      <c r="A133" s="1013"/>
      <c r="B133" s="1019" t="s">
        <v>150</v>
      </c>
      <c r="C133" s="1020" t="s">
        <v>1035</v>
      </c>
      <c r="D133" s="1020" t="s">
        <v>1041</v>
      </c>
      <c r="E133" s="1020" t="s">
        <v>1037</v>
      </c>
      <c r="F133" s="1020">
        <v>2021.0</v>
      </c>
      <c r="G133" s="1021">
        <v>0.498857629</v>
      </c>
      <c r="H133" s="1021">
        <v>0.433276559</v>
      </c>
      <c r="I133" s="1022">
        <v>0.576138659</v>
      </c>
      <c r="K133" s="1031" t="s">
        <v>142</v>
      </c>
      <c r="L133" s="1032" t="s">
        <v>1037</v>
      </c>
      <c r="M133" s="1032" t="s">
        <v>1035</v>
      </c>
      <c r="N133" s="1032" t="s">
        <v>1045</v>
      </c>
      <c r="O133" s="1032">
        <v>2021.0</v>
      </c>
      <c r="P133" s="1032" t="s">
        <v>1039</v>
      </c>
      <c r="Q133" s="1033" t="s">
        <v>63</v>
      </c>
      <c r="R133" s="1034">
        <v>16008.38149</v>
      </c>
      <c r="S133" s="1034">
        <v>12651.85913</v>
      </c>
      <c r="T133" s="1035">
        <v>19703.19927</v>
      </c>
      <c r="V133" s="1019" t="s">
        <v>142</v>
      </c>
      <c r="W133" s="1020" t="s">
        <v>1040</v>
      </c>
      <c r="X133" s="1020" t="s">
        <v>1035</v>
      </c>
      <c r="Y133" s="1020" t="s">
        <v>1045</v>
      </c>
      <c r="Z133" s="1020">
        <v>2021.0</v>
      </c>
      <c r="AA133" s="1020" t="s">
        <v>1039</v>
      </c>
      <c r="AB133" s="1023" t="s">
        <v>63</v>
      </c>
      <c r="AC133" s="1024">
        <v>476.5676973</v>
      </c>
      <c r="AD133" s="1024">
        <v>267.0004825</v>
      </c>
      <c r="AE133" s="1025">
        <v>769.0290306</v>
      </c>
      <c r="AF133" s="225"/>
    </row>
    <row r="134">
      <c r="A134" s="1013"/>
      <c r="B134" s="1019" t="s">
        <v>150</v>
      </c>
      <c r="C134" s="1020" t="s">
        <v>1035</v>
      </c>
      <c r="D134" s="1020" t="s">
        <v>1043</v>
      </c>
      <c r="E134" s="1020" t="s">
        <v>1037</v>
      </c>
      <c r="F134" s="1020">
        <v>2021.0</v>
      </c>
      <c r="G134" s="1021">
        <v>0.008795416</v>
      </c>
      <c r="H134" s="1021">
        <v>0.007277647</v>
      </c>
      <c r="I134" s="1022">
        <v>0.010651385</v>
      </c>
      <c r="K134" s="1031" t="s">
        <v>143</v>
      </c>
      <c r="L134" s="1032" t="s">
        <v>1037</v>
      </c>
      <c r="M134" s="1032" t="s">
        <v>1035</v>
      </c>
      <c r="N134" s="1032" t="s">
        <v>1038</v>
      </c>
      <c r="O134" s="1032">
        <v>2021.0</v>
      </c>
      <c r="P134" s="1032" t="s">
        <v>1039</v>
      </c>
      <c r="Q134" s="1033" t="s">
        <v>63</v>
      </c>
      <c r="R134" s="1034">
        <v>13276.54495</v>
      </c>
      <c r="S134" s="1034">
        <v>10659.25093</v>
      </c>
      <c r="T134" s="1035">
        <v>16477.79685</v>
      </c>
      <c r="V134" s="1019" t="s">
        <v>143</v>
      </c>
      <c r="W134" s="1020" t="s">
        <v>1040</v>
      </c>
      <c r="X134" s="1020" t="s">
        <v>1035</v>
      </c>
      <c r="Y134" s="1020" t="s">
        <v>1038</v>
      </c>
      <c r="Z134" s="1020">
        <v>2021.0</v>
      </c>
      <c r="AA134" s="1020" t="s">
        <v>1039</v>
      </c>
      <c r="AB134" s="1023" t="s">
        <v>63</v>
      </c>
      <c r="AC134" s="1024">
        <v>715.1809892</v>
      </c>
      <c r="AD134" s="1024">
        <v>348.1259279</v>
      </c>
      <c r="AE134" s="1025">
        <v>1263.441249</v>
      </c>
      <c r="AF134" s="225"/>
    </row>
    <row r="135">
      <c r="A135" s="1013"/>
      <c r="B135" s="1019" t="s">
        <v>150</v>
      </c>
      <c r="C135" s="1020" t="s">
        <v>1035</v>
      </c>
      <c r="D135" s="1020" t="s">
        <v>1045</v>
      </c>
      <c r="E135" s="1020" t="s">
        <v>1037</v>
      </c>
      <c r="F135" s="1020">
        <v>2021.0</v>
      </c>
      <c r="G135" s="1021">
        <v>0.066384868</v>
      </c>
      <c r="H135" s="1021">
        <v>0.052762792</v>
      </c>
      <c r="I135" s="1022">
        <v>0.083242314</v>
      </c>
      <c r="K135" s="1031" t="s">
        <v>143</v>
      </c>
      <c r="L135" s="1032" t="s">
        <v>1037</v>
      </c>
      <c r="M135" s="1032" t="s">
        <v>1035</v>
      </c>
      <c r="N135" s="1032" t="s">
        <v>1042</v>
      </c>
      <c r="O135" s="1032">
        <v>2021.0</v>
      </c>
      <c r="P135" s="1032" t="s">
        <v>1039</v>
      </c>
      <c r="Q135" s="1033" t="s">
        <v>63</v>
      </c>
      <c r="R135" s="1034">
        <v>11943.90452</v>
      </c>
      <c r="S135" s="1034">
        <v>9621.33889</v>
      </c>
      <c r="T135" s="1035">
        <v>15056.60162</v>
      </c>
      <c r="V135" s="1019" t="s">
        <v>143</v>
      </c>
      <c r="W135" s="1020" t="s">
        <v>1040</v>
      </c>
      <c r="X135" s="1020" t="s">
        <v>1035</v>
      </c>
      <c r="Y135" s="1020" t="s">
        <v>1042</v>
      </c>
      <c r="Z135" s="1020">
        <v>2021.0</v>
      </c>
      <c r="AA135" s="1020" t="s">
        <v>1039</v>
      </c>
      <c r="AB135" s="1023" t="s">
        <v>63</v>
      </c>
      <c r="AC135" s="1024">
        <v>60.25987435</v>
      </c>
      <c r="AD135" s="1024">
        <v>33.6643407</v>
      </c>
      <c r="AE135" s="1025">
        <v>102.1218362</v>
      </c>
      <c r="AF135" s="225"/>
    </row>
    <row r="136">
      <c r="A136" s="1013"/>
      <c r="B136" s="1019" t="s">
        <v>151</v>
      </c>
      <c r="C136" s="1020" t="s">
        <v>1035</v>
      </c>
      <c r="D136" s="1020" t="s">
        <v>1036</v>
      </c>
      <c r="E136" s="1020" t="s">
        <v>1037</v>
      </c>
      <c r="F136" s="1020">
        <v>2021.0</v>
      </c>
      <c r="G136" s="1021">
        <v>0.11424899</v>
      </c>
      <c r="H136" s="1021">
        <v>0.089616135</v>
      </c>
      <c r="I136" s="1022">
        <v>0.145122838</v>
      </c>
      <c r="K136" s="1031" t="s">
        <v>143</v>
      </c>
      <c r="L136" s="1032" t="s">
        <v>1037</v>
      </c>
      <c r="M136" s="1032" t="s">
        <v>1035</v>
      </c>
      <c r="N136" s="1032" t="s">
        <v>1044</v>
      </c>
      <c r="O136" s="1032">
        <v>2021.0</v>
      </c>
      <c r="P136" s="1032" t="s">
        <v>1039</v>
      </c>
      <c r="Q136" s="1033" t="s">
        <v>63</v>
      </c>
      <c r="R136" s="1034">
        <v>3547.789904</v>
      </c>
      <c r="S136" s="1034">
        <v>2864.159697</v>
      </c>
      <c r="T136" s="1035">
        <v>4423.026919</v>
      </c>
      <c r="V136" s="1019" t="s">
        <v>143</v>
      </c>
      <c r="W136" s="1020" t="s">
        <v>1040</v>
      </c>
      <c r="X136" s="1020" t="s">
        <v>1035</v>
      </c>
      <c r="Y136" s="1020" t="s">
        <v>1044</v>
      </c>
      <c r="Z136" s="1020">
        <v>2021.0</v>
      </c>
      <c r="AA136" s="1020" t="s">
        <v>1039</v>
      </c>
      <c r="AB136" s="1023" t="s">
        <v>63</v>
      </c>
      <c r="AC136" s="1024">
        <v>86.34534535</v>
      </c>
      <c r="AD136" s="1024">
        <v>46.09513965</v>
      </c>
      <c r="AE136" s="1025">
        <v>151.5555519</v>
      </c>
      <c r="AF136" s="225"/>
    </row>
    <row r="137">
      <c r="A137" s="1013"/>
      <c r="B137" s="1019" t="s">
        <v>151</v>
      </c>
      <c r="C137" s="1020" t="s">
        <v>1035</v>
      </c>
      <c r="D137" s="1020" t="s">
        <v>1041</v>
      </c>
      <c r="E137" s="1020" t="s">
        <v>1037</v>
      </c>
      <c r="F137" s="1020">
        <v>2021.0</v>
      </c>
      <c r="G137" s="1021">
        <v>0.465329917</v>
      </c>
      <c r="H137" s="1021">
        <v>0.405866316</v>
      </c>
      <c r="I137" s="1022">
        <v>0.537458379</v>
      </c>
      <c r="K137" s="1031" t="s">
        <v>143</v>
      </c>
      <c r="L137" s="1032" t="s">
        <v>1037</v>
      </c>
      <c r="M137" s="1032" t="s">
        <v>1035</v>
      </c>
      <c r="N137" s="1032" t="s">
        <v>1046</v>
      </c>
      <c r="O137" s="1032">
        <v>2021.0</v>
      </c>
      <c r="P137" s="1032" t="s">
        <v>1039</v>
      </c>
      <c r="Q137" s="1033" t="s">
        <v>63</v>
      </c>
      <c r="R137" s="1034">
        <v>12404.7864</v>
      </c>
      <c r="S137" s="1034">
        <v>9887.444231</v>
      </c>
      <c r="T137" s="1035">
        <v>15567.40177</v>
      </c>
      <c r="V137" s="1019" t="s">
        <v>143</v>
      </c>
      <c r="W137" s="1020" t="s">
        <v>1040</v>
      </c>
      <c r="X137" s="1020" t="s">
        <v>1035</v>
      </c>
      <c r="Y137" s="1020" t="s">
        <v>1046</v>
      </c>
      <c r="Z137" s="1020">
        <v>2021.0</v>
      </c>
      <c r="AA137" s="1020" t="s">
        <v>1039</v>
      </c>
      <c r="AB137" s="1023" t="s">
        <v>63</v>
      </c>
      <c r="AC137" s="1024">
        <v>1315.541809</v>
      </c>
      <c r="AD137" s="1024">
        <v>735.6813793</v>
      </c>
      <c r="AE137" s="1025">
        <v>2084.302211</v>
      </c>
      <c r="AF137" s="225"/>
    </row>
    <row r="138">
      <c r="A138" s="1013"/>
      <c r="B138" s="1019" t="s">
        <v>151</v>
      </c>
      <c r="C138" s="1020" t="s">
        <v>1035</v>
      </c>
      <c r="D138" s="1020" t="s">
        <v>1043</v>
      </c>
      <c r="E138" s="1020" t="s">
        <v>1037</v>
      </c>
      <c r="F138" s="1020">
        <v>2021.0</v>
      </c>
      <c r="G138" s="1021">
        <v>0.008435197</v>
      </c>
      <c r="H138" s="1021">
        <v>0.007153712</v>
      </c>
      <c r="I138" s="1022">
        <v>0.010323893</v>
      </c>
      <c r="K138" s="1031" t="s">
        <v>143</v>
      </c>
      <c r="L138" s="1032" t="s">
        <v>1037</v>
      </c>
      <c r="M138" s="1032" t="s">
        <v>1035</v>
      </c>
      <c r="N138" s="1032" t="s">
        <v>1045</v>
      </c>
      <c r="O138" s="1032">
        <v>2021.0</v>
      </c>
      <c r="P138" s="1032" t="s">
        <v>1039</v>
      </c>
      <c r="Q138" s="1033" t="s">
        <v>63</v>
      </c>
      <c r="R138" s="1034">
        <v>41173.02578</v>
      </c>
      <c r="S138" s="1034">
        <v>33414.91655</v>
      </c>
      <c r="T138" s="1035">
        <v>51230.8086</v>
      </c>
      <c r="V138" s="1019" t="s">
        <v>143</v>
      </c>
      <c r="W138" s="1020" t="s">
        <v>1040</v>
      </c>
      <c r="X138" s="1020" t="s">
        <v>1035</v>
      </c>
      <c r="Y138" s="1020" t="s">
        <v>1045</v>
      </c>
      <c r="Z138" s="1020">
        <v>2021.0</v>
      </c>
      <c r="AA138" s="1020" t="s">
        <v>1039</v>
      </c>
      <c r="AB138" s="1023" t="s">
        <v>63</v>
      </c>
      <c r="AC138" s="1024">
        <v>2177.328018</v>
      </c>
      <c r="AD138" s="1024">
        <v>1228.610367</v>
      </c>
      <c r="AE138" s="1025">
        <v>3391.239915</v>
      </c>
      <c r="AF138" s="225"/>
    </row>
    <row r="139">
      <c r="A139" s="1013"/>
      <c r="B139" s="1019" t="s">
        <v>151</v>
      </c>
      <c r="C139" s="1020" t="s">
        <v>1035</v>
      </c>
      <c r="D139" s="1020" t="s">
        <v>1045</v>
      </c>
      <c r="E139" s="1020" t="s">
        <v>1037</v>
      </c>
      <c r="F139" s="1020">
        <v>2021.0</v>
      </c>
      <c r="G139" s="1021">
        <v>0.072072748</v>
      </c>
      <c r="H139" s="1021">
        <v>0.057836905</v>
      </c>
      <c r="I139" s="1022">
        <v>0.088399138</v>
      </c>
      <c r="K139" s="1031" t="s">
        <v>109</v>
      </c>
      <c r="L139" s="1032" t="s">
        <v>1037</v>
      </c>
      <c r="M139" s="1032" t="s">
        <v>1035</v>
      </c>
      <c r="N139" s="1032" t="s">
        <v>1038</v>
      </c>
      <c r="O139" s="1032">
        <v>2021.0</v>
      </c>
      <c r="P139" s="1032" t="s">
        <v>1039</v>
      </c>
      <c r="Q139" s="1033" t="s">
        <v>63</v>
      </c>
      <c r="R139" s="1034">
        <v>283464.8223</v>
      </c>
      <c r="S139" s="1034">
        <v>235755.9554</v>
      </c>
      <c r="T139" s="1035">
        <v>344718.7007</v>
      </c>
      <c r="V139" s="1019" t="s">
        <v>109</v>
      </c>
      <c r="W139" s="1020" t="s">
        <v>1040</v>
      </c>
      <c r="X139" s="1020" t="s">
        <v>1035</v>
      </c>
      <c r="Y139" s="1020" t="s">
        <v>1038</v>
      </c>
      <c r="Z139" s="1020">
        <v>2021.0</v>
      </c>
      <c r="AA139" s="1020" t="s">
        <v>1039</v>
      </c>
      <c r="AB139" s="1023" t="s">
        <v>63</v>
      </c>
      <c r="AC139" s="1024">
        <v>16115.38393</v>
      </c>
      <c r="AD139" s="1024">
        <v>9003.069715</v>
      </c>
      <c r="AE139" s="1025">
        <v>25229.72662</v>
      </c>
      <c r="AF139" s="225"/>
    </row>
    <row r="140">
      <c r="A140" s="1013"/>
      <c r="B140" s="1019" t="s">
        <v>121</v>
      </c>
      <c r="C140" s="1020" t="s">
        <v>1035</v>
      </c>
      <c r="D140" s="1020" t="s">
        <v>1036</v>
      </c>
      <c r="E140" s="1020" t="s">
        <v>1037</v>
      </c>
      <c r="F140" s="1020">
        <v>2021.0</v>
      </c>
      <c r="G140" s="1021">
        <v>0.143679139</v>
      </c>
      <c r="H140" s="1021">
        <v>0.115682692</v>
      </c>
      <c r="I140" s="1022">
        <v>0.179321174</v>
      </c>
      <c r="K140" s="1031" t="s">
        <v>109</v>
      </c>
      <c r="L140" s="1032" t="s">
        <v>1037</v>
      </c>
      <c r="M140" s="1032" t="s">
        <v>1035</v>
      </c>
      <c r="N140" s="1032" t="s">
        <v>1042</v>
      </c>
      <c r="O140" s="1032">
        <v>2021.0</v>
      </c>
      <c r="P140" s="1032" t="s">
        <v>1039</v>
      </c>
      <c r="Q140" s="1033" t="s">
        <v>63</v>
      </c>
      <c r="R140" s="1034">
        <v>240747.7533</v>
      </c>
      <c r="S140" s="1034">
        <v>201426.5799</v>
      </c>
      <c r="T140" s="1035">
        <v>289078.6841</v>
      </c>
      <c r="V140" s="1019" t="s">
        <v>109</v>
      </c>
      <c r="W140" s="1020" t="s">
        <v>1040</v>
      </c>
      <c r="X140" s="1020" t="s">
        <v>1035</v>
      </c>
      <c r="Y140" s="1020" t="s">
        <v>1042</v>
      </c>
      <c r="Z140" s="1020">
        <v>2021.0</v>
      </c>
      <c r="AA140" s="1020" t="s">
        <v>1039</v>
      </c>
      <c r="AB140" s="1023" t="s">
        <v>63</v>
      </c>
      <c r="AC140" s="1024">
        <v>1141.903065</v>
      </c>
      <c r="AD140" s="1024">
        <v>737.5695554</v>
      </c>
      <c r="AE140" s="1025">
        <v>1735.970444</v>
      </c>
      <c r="AF140" s="225"/>
    </row>
    <row r="141">
      <c r="A141" s="1013"/>
      <c r="B141" s="1019" t="s">
        <v>121</v>
      </c>
      <c r="C141" s="1020" t="s">
        <v>1035</v>
      </c>
      <c r="D141" s="1020" t="s">
        <v>1041</v>
      </c>
      <c r="E141" s="1020" t="s">
        <v>1037</v>
      </c>
      <c r="F141" s="1020">
        <v>2021.0</v>
      </c>
      <c r="G141" s="1021">
        <v>0.639547084</v>
      </c>
      <c r="H141" s="1021">
        <v>0.560430316</v>
      </c>
      <c r="I141" s="1022">
        <v>0.722058237</v>
      </c>
      <c r="K141" s="1031" t="s">
        <v>109</v>
      </c>
      <c r="L141" s="1032" t="s">
        <v>1037</v>
      </c>
      <c r="M141" s="1032" t="s">
        <v>1035</v>
      </c>
      <c r="N141" s="1032" t="s">
        <v>1044</v>
      </c>
      <c r="O141" s="1032">
        <v>2021.0</v>
      </c>
      <c r="P141" s="1032" t="s">
        <v>1039</v>
      </c>
      <c r="Q141" s="1033" t="s">
        <v>63</v>
      </c>
      <c r="R141" s="1034">
        <v>53997.21496</v>
      </c>
      <c r="S141" s="1034">
        <v>45337.70687</v>
      </c>
      <c r="T141" s="1035">
        <v>64753.08233</v>
      </c>
      <c r="V141" s="1019" t="s">
        <v>109</v>
      </c>
      <c r="W141" s="1020" t="s">
        <v>1040</v>
      </c>
      <c r="X141" s="1020" t="s">
        <v>1035</v>
      </c>
      <c r="Y141" s="1020" t="s">
        <v>1044</v>
      </c>
      <c r="Z141" s="1020">
        <v>2021.0</v>
      </c>
      <c r="AA141" s="1020" t="s">
        <v>1039</v>
      </c>
      <c r="AB141" s="1023" t="s">
        <v>63</v>
      </c>
      <c r="AC141" s="1024">
        <v>1313.497189</v>
      </c>
      <c r="AD141" s="1024">
        <v>901.2332322</v>
      </c>
      <c r="AE141" s="1025">
        <v>1946.112161</v>
      </c>
      <c r="AF141" s="225"/>
    </row>
    <row r="142">
      <c r="A142" s="1013"/>
      <c r="B142" s="1019" t="s">
        <v>121</v>
      </c>
      <c r="C142" s="1020" t="s">
        <v>1035</v>
      </c>
      <c r="D142" s="1020" t="s">
        <v>1043</v>
      </c>
      <c r="E142" s="1020" t="s">
        <v>1037</v>
      </c>
      <c r="F142" s="1020">
        <v>2021.0</v>
      </c>
      <c r="G142" s="1021">
        <v>0.016359419</v>
      </c>
      <c r="H142" s="1021">
        <v>0.01372788</v>
      </c>
      <c r="I142" s="1022">
        <v>0.019638556</v>
      </c>
      <c r="K142" s="1031" t="s">
        <v>109</v>
      </c>
      <c r="L142" s="1032" t="s">
        <v>1037</v>
      </c>
      <c r="M142" s="1032" t="s">
        <v>1035</v>
      </c>
      <c r="N142" s="1032" t="s">
        <v>1046</v>
      </c>
      <c r="O142" s="1032">
        <v>2021.0</v>
      </c>
      <c r="P142" s="1032" t="s">
        <v>1039</v>
      </c>
      <c r="Q142" s="1033" t="s">
        <v>63</v>
      </c>
      <c r="R142" s="1034">
        <v>208283.2065</v>
      </c>
      <c r="S142" s="1034">
        <v>174979.3595</v>
      </c>
      <c r="T142" s="1035">
        <v>249506.0297</v>
      </c>
      <c r="V142" s="1019" t="s">
        <v>109</v>
      </c>
      <c r="W142" s="1020" t="s">
        <v>1040</v>
      </c>
      <c r="X142" s="1020" t="s">
        <v>1035</v>
      </c>
      <c r="Y142" s="1020" t="s">
        <v>1046</v>
      </c>
      <c r="Z142" s="1020">
        <v>2021.0</v>
      </c>
      <c r="AA142" s="1020" t="s">
        <v>1039</v>
      </c>
      <c r="AB142" s="1023" t="s">
        <v>63</v>
      </c>
      <c r="AC142" s="1024">
        <v>21441.92686</v>
      </c>
      <c r="AD142" s="1024">
        <v>14298.84712</v>
      </c>
      <c r="AE142" s="1025">
        <v>30656.09199</v>
      </c>
      <c r="AF142" s="225"/>
    </row>
    <row r="143">
      <c r="A143" s="1013"/>
      <c r="B143" s="1019" t="s">
        <v>121</v>
      </c>
      <c r="C143" s="1020" t="s">
        <v>1035</v>
      </c>
      <c r="D143" s="1020" t="s">
        <v>1045</v>
      </c>
      <c r="E143" s="1020" t="s">
        <v>1037</v>
      </c>
      <c r="F143" s="1020">
        <v>2021.0</v>
      </c>
      <c r="G143" s="1021">
        <v>0.158421519</v>
      </c>
      <c r="H143" s="1021">
        <v>0.133697378</v>
      </c>
      <c r="I143" s="1022">
        <v>0.187330109</v>
      </c>
      <c r="K143" s="1031" t="s">
        <v>109</v>
      </c>
      <c r="L143" s="1032" t="s">
        <v>1037</v>
      </c>
      <c r="M143" s="1032" t="s">
        <v>1035</v>
      </c>
      <c r="N143" s="1032" t="s">
        <v>1045</v>
      </c>
      <c r="O143" s="1032">
        <v>2021.0</v>
      </c>
      <c r="P143" s="1032" t="s">
        <v>1039</v>
      </c>
      <c r="Q143" s="1033" t="s">
        <v>63</v>
      </c>
      <c r="R143" s="1034">
        <v>786492.9971</v>
      </c>
      <c r="S143" s="1034">
        <v>661749.9813</v>
      </c>
      <c r="T143" s="1035">
        <v>937811.1376</v>
      </c>
      <c r="V143" s="1019" t="s">
        <v>109</v>
      </c>
      <c r="W143" s="1020" t="s">
        <v>1040</v>
      </c>
      <c r="X143" s="1020" t="s">
        <v>1035</v>
      </c>
      <c r="Y143" s="1020" t="s">
        <v>1045</v>
      </c>
      <c r="Z143" s="1020">
        <v>2021.0</v>
      </c>
      <c r="AA143" s="1020" t="s">
        <v>1039</v>
      </c>
      <c r="AB143" s="1023" t="s">
        <v>63</v>
      </c>
      <c r="AC143" s="1024">
        <v>40012.71104</v>
      </c>
      <c r="AD143" s="1024">
        <v>25987.24313</v>
      </c>
      <c r="AE143" s="1025">
        <v>57513.14173</v>
      </c>
      <c r="AF143" s="225"/>
    </row>
    <row r="144">
      <c r="A144" s="1013"/>
      <c r="B144" s="1019" t="s">
        <v>152</v>
      </c>
      <c r="C144" s="1020" t="s">
        <v>1035</v>
      </c>
      <c r="D144" s="1020" t="s">
        <v>1036</v>
      </c>
      <c r="E144" s="1020" t="s">
        <v>1037</v>
      </c>
      <c r="F144" s="1020">
        <v>2021.0</v>
      </c>
      <c r="G144" s="1021">
        <v>0.138480883</v>
      </c>
      <c r="H144" s="1021">
        <v>0.108121558</v>
      </c>
      <c r="I144" s="1022">
        <v>0.176353788</v>
      </c>
      <c r="K144" s="1031" t="s">
        <v>146</v>
      </c>
      <c r="L144" s="1032" t="s">
        <v>1037</v>
      </c>
      <c r="M144" s="1032" t="s">
        <v>1035</v>
      </c>
      <c r="N144" s="1032" t="s">
        <v>1038</v>
      </c>
      <c r="O144" s="1032">
        <v>2021.0</v>
      </c>
      <c r="P144" s="1032" t="s">
        <v>1039</v>
      </c>
      <c r="Q144" s="1033" t="s">
        <v>63</v>
      </c>
      <c r="R144" s="1034">
        <v>6005.908253</v>
      </c>
      <c r="S144" s="1034">
        <v>4673.431807</v>
      </c>
      <c r="T144" s="1035">
        <v>7763.737476</v>
      </c>
      <c r="V144" s="1019" t="s">
        <v>146</v>
      </c>
      <c r="W144" s="1020" t="s">
        <v>1040</v>
      </c>
      <c r="X144" s="1020" t="s">
        <v>1035</v>
      </c>
      <c r="Y144" s="1020" t="s">
        <v>1038</v>
      </c>
      <c r="Z144" s="1020">
        <v>2021.0</v>
      </c>
      <c r="AA144" s="1020" t="s">
        <v>1039</v>
      </c>
      <c r="AB144" s="1023" t="s">
        <v>63</v>
      </c>
      <c r="AC144" s="1024">
        <v>137.7602998</v>
      </c>
      <c r="AD144" s="1024">
        <v>58.17341059</v>
      </c>
      <c r="AE144" s="1025">
        <v>302.7247824</v>
      </c>
      <c r="AF144" s="225"/>
    </row>
    <row r="145">
      <c r="A145" s="1013"/>
      <c r="B145" s="1019" t="s">
        <v>152</v>
      </c>
      <c r="C145" s="1020" t="s">
        <v>1035</v>
      </c>
      <c r="D145" s="1020" t="s">
        <v>1041</v>
      </c>
      <c r="E145" s="1020" t="s">
        <v>1037</v>
      </c>
      <c r="F145" s="1020">
        <v>2021.0</v>
      </c>
      <c r="G145" s="1021">
        <v>0.561777196</v>
      </c>
      <c r="H145" s="1021">
        <v>0.48889249</v>
      </c>
      <c r="I145" s="1022">
        <v>0.642721302</v>
      </c>
      <c r="K145" s="1031" t="s">
        <v>146</v>
      </c>
      <c r="L145" s="1032" t="s">
        <v>1037</v>
      </c>
      <c r="M145" s="1032" t="s">
        <v>1035</v>
      </c>
      <c r="N145" s="1032" t="s">
        <v>1042</v>
      </c>
      <c r="O145" s="1032">
        <v>2021.0</v>
      </c>
      <c r="P145" s="1032" t="s">
        <v>1039</v>
      </c>
      <c r="Q145" s="1033" t="s">
        <v>63</v>
      </c>
      <c r="R145" s="1034">
        <v>9263.452766</v>
      </c>
      <c r="S145" s="1034">
        <v>7297.046035</v>
      </c>
      <c r="T145" s="1035">
        <v>11976.33903</v>
      </c>
      <c r="V145" s="1019" t="s">
        <v>146</v>
      </c>
      <c r="W145" s="1020" t="s">
        <v>1040</v>
      </c>
      <c r="X145" s="1020" t="s">
        <v>1035</v>
      </c>
      <c r="Y145" s="1020" t="s">
        <v>1042</v>
      </c>
      <c r="Z145" s="1020">
        <v>2021.0</v>
      </c>
      <c r="AA145" s="1020" t="s">
        <v>1039</v>
      </c>
      <c r="AB145" s="1023" t="s">
        <v>63</v>
      </c>
      <c r="AC145" s="1024">
        <v>27.97002503</v>
      </c>
      <c r="AD145" s="1024">
        <v>13.38152835</v>
      </c>
      <c r="AE145" s="1025">
        <v>50.62965403</v>
      </c>
      <c r="AF145" s="225"/>
    </row>
    <row r="146">
      <c r="A146" s="1013"/>
      <c r="B146" s="1019" t="s">
        <v>152</v>
      </c>
      <c r="C146" s="1020" t="s">
        <v>1035</v>
      </c>
      <c r="D146" s="1020" t="s">
        <v>1043</v>
      </c>
      <c r="E146" s="1020" t="s">
        <v>1037</v>
      </c>
      <c r="F146" s="1020">
        <v>2021.0</v>
      </c>
      <c r="G146" s="1021">
        <v>0.012918967</v>
      </c>
      <c r="H146" s="1021">
        <v>0.011058392</v>
      </c>
      <c r="I146" s="1022">
        <v>0.015358128</v>
      </c>
      <c r="K146" s="1031" t="s">
        <v>146</v>
      </c>
      <c r="L146" s="1032" t="s">
        <v>1037</v>
      </c>
      <c r="M146" s="1032" t="s">
        <v>1035</v>
      </c>
      <c r="N146" s="1032" t="s">
        <v>1044</v>
      </c>
      <c r="O146" s="1032">
        <v>2021.0</v>
      </c>
      <c r="P146" s="1032" t="s">
        <v>1039</v>
      </c>
      <c r="Q146" s="1033" t="s">
        <v>63</v>
      </c>
      <c r="R146" s="1034">
        <v>2473.334697</v>
      </c>
      <c r="S146" s="1034">
        <v>1956.406719</v>
      </c>
      <c r="T146" s="1035">
        <v>3141.510865</v>
      </c>
      <c r="V146" s="1019" t="s">
        <v>146</v>
      </c>
      <c r="W146" s="1020" t="s">
        <v>1040</v>
      </c>
      <c r="X146" s="1020" t="s">
        <v>1035</v>
      </c>
      <c r="Y146" s="1020" t="s">
        <v>1044</v>
      </c>
      <c r="Z146" s="1020">
        <v>2021.0</v>
      </c>
      <c r="AA146" s="1020" t="s">
        <v>1039</v>
      </c>
      <c r="AB146" s="1023" t="s">
        <v>63</v>
      </c>
      <c r="AC146" s="1024">
        <v>34.02095421</v>
      </c>
      <c r="AD146" s="1024">
        <v>15.87794447</v>
      </c>
      <c r="AE146" s="1025">
        <v>70.50076011</v>
      </c>
      <c r="AF146" s="225"/>
    </row>
    <row r="147">
      <c r="A147" s="1013"/>
      <c r="B147" s="1019" t="s">
        <v>152</v>
      </c>
      <c r="C147" s="1020" t="s">
        <v>1035</v>
      </c>
      <c r="D147" s="1020" t="s">
        <v>1045</v>
      </c>
      <c r="E147" s="1020" t="s">
        <v>1037</v>
      </c>
      <c r="F147" s="1020">
        <v>2021.0</v>
      </c>
      <c r="G147" s="1021">
        <v>0.11497779</v>
      </c>
      <c r="H147" s="1021">
        <v>0.092863819</v>
      </c>
      <c r="I147" s="1022">
        <v>0.137419339</v>
      </c>
      <c r="K147" s="1031" t="s">
        <v>146</v>
      </c>
      <c r="L147" s="1032" t="s">
        <v>1037</v>
      </c>
      <c r="M147" s="1032" t="s">
        <v>1035</v>
      </c>
      <c r="N147" s="1032" t="s">
        <v>1046</v>
      </c>
      <c r="O147" s="1032">
        <v>2021.0</v>
      </c>
      <c r="P147" s="1032" t="s">
        <v>1039</v>
      </c>
      <c r="Q147" s="1033" t="s">
        <v>63</v>
      </c>
      <c r="R147" s="1034">
        <v>5316.974691</v>
      </c>
      <c r="S147" s="1034">
        <v>4175.401235</v>
      </c>
      <c r="T147" s="1035">
        <v>6863.146282</v>
      </c>
      <c r="V147" s="1019" t="s">
        <v>146</v>
      </c>
      <c r="W147" s="1020" t="s">
        <v>1040</v>
      </c>
      <c r="X147" s="1020" t="s">
        <v>1035</v>
      </c>
      <c r="Y147" s="1020" t="s">
        <v>1046</v>
      </c>
      <c r="Z147" s="1020">
        <v>2021.0</v>
      </c>
      <c r="AA147" s="1020" t="s">
        <v>1039</v>
      </c>
      <c r="AB147" s="1023" t="s">
        <v>63</v>
      </c>
      <c r="AC147" s="1024">
        <v>288.8556059</v>
      </c>
      <c r="AD147" s="1024">
        <v>132.0672962</v>
      </c>
      <c r="AE147" s="1025">
        <v>548.976656</v>
      </c>
      <c r="AF147" s="225"/>
    </row>
    <row r="148">
      <c r="A148" s="1013"/>
      <c r="B148" s="1019" t="s">
        <v>153</v>
      </c>
      <c r="C148" s="1020" t="s">
        <v>1035</v>
      </c>
      <c r="D148" s="1020" t="s">
        <v>1036</v>
      </c>
      <c r="E148" s="1020" t="s">
        <v>1037</v>
      </c>
      <c r="F148" s="1020">
        <v>2021.0</v>
      </c>
      <c r="G148" s="1021">
        <v>0.123232973</v>
      </c>
      <c r="H148" s="1021">
        <v>0.098972599</v>
      </c>
      <c r="I148" s="1022">
        <v>0.153843882</v>
      </c>
      <c r="K148" s="1031" t="s">
        <v>146</v>
      </c>
      <c r="L148" s="1032" t="s">
        <v>1037</v>
      </c>
      <c r="M148" s="1032" t="s">
        <v>1035</v>
      </c>
      <c r="N148" s="1032" t="s">
        <v>1045</v>
      </c>
      <c r="O148" s="1032">
        <v>2021.0</v>
      </c>
      <c r="P148" s="1032" t="s">
        <v>1039</v>
      </c>
      <c r="Q148" s="1033" t="s">
        <v>63</v>
      </c>
      <c r="R148" s="1034">
        <v>23059.67041</v>
      </c>
      <c r="S148" s="1034">
        <v>18182.53697</v>
      </c>
      <c r="T148" s="1035">
        <v>29484.01292</v>
      </c>
      <c r="V148" s="1019" t="s">
        <v>146</v>
      </c>
      <c r="W148" s="1020" t="s">
        <v>1040</v>
      </c>
      <c r="X148" s="1020" t="s">
        <v>1035</v>
      </c>
      <c r="Y148" s="1020" t="s">
        <v>1045</v>
      </c>
      <c r="Z148" s="1020">
        <v>2021.0</v>
      </c>
      <c r="AA148" s="1020" t="s">
        <v>1039</v>
      </c>
      <c r="AB148" s="1023" t="s">
        <v>63</v>
      </c>
      <c r="AC148" s="1024">
        <v>488.6068849</v>
      </c>
      <c r="AD148" s="1024">
        <v>249.3638884</v>
      </c>
      <c r="AE148" s="1025">
        <v>902.3504847</v>
      </c>
      <c r="AF148" s="225"/>
    </row>
    <row r="149">
      <c r="A149" s="1013"/>
      <c r="B149" s="1019" t="s">
        <v>153</v>
      </c>
      <c r="C149" s="1020" t="s">
        <v>1035</v>
      </c>
      <c r="D149" s="1020" t="s">
        <v>1041</v>
      </c>
      <c r="E149" s="1020" t="s">
        <v>1037</v>
      </c>
      <c r="F149" s="1020">
        <v>2021.0</v>
      </c>
      <c r="G149" s="1021">
        <v>0.589765254</v>
      </c>
      <c r="H149" s="1021">
        <v>0.516416705</v>
      </c>
      <c r="I149" s="1022">
        <v>0.670909632</v>
      </c>
      <c r="K149" s="1031" t="s">
        <v>147</v>
      </c>
      <c r="L149" s="1032" t="s">
        <v>1037</v>
      </c>
      <c r="M149" s="1032" t="s">
        <v>1035</v>
      </c>
      <c r="N149" s="1032" t="s">
        <v>1038</v>
      </c>
      <c r="O149" s="1032">
        <v>2021.0</v>
      </c>
      <c r="P149" s="1032" t="s">
        <v>1039</v>
      </c>
      <c r="Q149" s="1033" t="s">
        <v>63</v>
      </c>
      <c r="R149" s="1034">
        <v>2360.967059</v>
      </c>
      <c r="S149" s="1034">
        <v>1831.581576</v>
      </c>
      <c r="T149" s="1035">
        <v>3022.424573</v>
      </c>
      <c r="V149" s="1019" t="s">
        <v>147</v>
      </c>
      <c r="W149" s="1020" t="s">
        <v>1040</v>
      </c>
      <c r="X149" s="1020" t="s">
        <v>1035</v>
      </c>
      <c r="Y149" s="1020" t="s">
        <v>1038</v>
      </c>
      <c r="Z149" s="1020">
        <v>2021.0</v>
      </c>
      <c r="AA149" s="1020" t="s">
        <v>1039</v>
      </c>
      <c r="AB149" s="1023" t="s">
        <v>63</v>
      </c>
      <c r="AC149" s="1024">
        <v>49.04755489</v>
      </c>
      <c r="AD149" s="1024">
        <v>20.81388015</v>
      </c>
      <c r="AE149" s="1025">
        <v>102.5163192</v>
      </c>
      <c r="AF149" s="225"/>
    </row>
    <row r="150">
      <c r="A150" s="1013"/>
      <c r="B150" s="1019" t="s">
        <v>153</v>
      </c>
      <c r="C150" s="1020" t="s">
        <v>1035</v>
      </c>
      <c r="D150" s="1020" t="s">
        <v>1043</v>
      </c>
      <c r="E150" s="1020" t="s">
        <v>1037</v>
      </c>
      <c r="F150" s="1020">
        <v>2021.0</v>
      </c>
      <c r="G150" s="1021">
        <v>0.011536301</v>
      </c>
      <c r="H150" s="1021">
        <v>0.009776942</v>
      </c>
      <c r="I150" s="1022">
        <v>0.013524491</v>
      </c>
      <c r="K150" s="1031" t="s">
        <v>147</v>
      </c>
      <c r="L150" s="1032" t="s">
        <v>1037</v>
      </c>
      <c r="M150" s="1032" t="s">
        <v>1035</v>
      </c>
      <c r="N150" s="1032" t="s">
        <v>1042</v>
      </c>
      <c r="O150" s="1032">
        <v>2021.0</v>
      </c>
      <c r="P150" s="1032" t="s">
        <v>1039</v>
      </c>
      <c r="Q150" s="1033" t="s">
        <v>63</v>
      </c>
      <c r="R150" s="1034">
        <v>2706.423736</v>
      </c>
      <c r="S150" s="1034">
        <v>2121.009718</v>
      </c>
      <c r="T150" s="1035">
        <v>3470.965709</v>
      </c>
      <c r="V150" s="1019" t="s">
        <v>147</v>
      </c>
      <c r="W150" s="1020" t="s">
        <v>1040</v>
      </c>
      <c r="X150" s="1020" t="s">
        <v>1035</v>
      </c>
      <c r="Y150" s="1020" t="s">
        <v>1042</v>
      </c>
      <c r="Z150" s="1020">
        <v>2021.0</v>
      </c>
      <c r="AA150" s="1020" t="s">
        <v>1039</v>
      </c>
      <c r="AB150" s="1023" t="s">
        <v>63</v>
      </c>
      <c r="AC150" s="1024">
        <v>7.69293674</v>
      </c>
      <c r="AD150" s="1024">
        <v>3.975876044</v>
      </c>
      <c r="AE150" s="1025">
        <v>13.86534235</v>
      </c>
      <c r="AF150" s="225"/>
    </row>
    <row r="151">
      <c r="A151" s="1013"/>
      <c r="B151" s="1019" t="s">
        <v>153</v>
      </c>
      <c r="C151" s="1020" t="s">
        <v>1035</v>
      </c>
      <c r="D151" s="1020" t="s">
        <v>1045</v>
      </c>
      <c r="E151" s="1020" t="s">
        <v>1037</v>
      </c>
      <c r="F151" s="1020">
        <v>2021.0</v>
      </c>
      <c r="G151" s="1021">
        <v>0.099652549</v>
      </c>
      <c r="H151" s="1021">
        <v>0.084266763</v>
      </c>
      <c r="I151" s="1022">
        <v>0.116816147</v>
      </c>
      <c r="K151" s="1031" t="s">
        <v>147</v>
      </c>
      <c r="L151" s="1032" t="s">
        <v>1037</v>
      </c>
      <c r="M151" s="1032" t="s">
        <v>1035</v>
      </c>
      <c r="N151" s="1032" t="s">
        <v>1044</v>
      </c>
      <c r="O151" s="1032">
        <v>2021.0</v>
      </c>
      <c r="P151" s="1032" t="s">
        <v>1039</v>
      </c>
      <c r="Q151" s="1033" t="s">
        <v>63</v>
      </c>
      <c r="R151" s="1034">
        <v>507.2090571</v>
      </c>
      <c r="S151" s="1034">
        <v>400.7942253</v>
      </c>
      <c r="T151" s="1035">
        <v>644.3295101</v>
      </c>
      <c r="V151" s="1019" t="s">
        <v>147</v>
      </c>
      <c r="W151" s="1020" t="s">
        <v>1040</v>
      </c>
      <c r="X151" s="1020" t="s">
        <v>1035</v>
      </c>
      <c r="Y151" s="1020" t="s">
        <v>1044</v>
      </c>
      <c r="Z151" s="1020">
        <v>2021.0</v>
      </c>
      <c r="AA151" s="1020" t="s">
        <v>1039</v>
      </c>
      <c r="AB151" s="1023" t="s">
        <v>63</v>
      </c>
      <c r="AC151" s="1024">
        <v>6.59126176</v>
      </c>
      <c r="AD151" s="1024">
        <v>2.949150263</v>
      </c>
      <c r="AE151" s="1025">
        <v>14.68749077</v>
      </c>
      <c r="AF151" s="225"/>
    </row>
    <row r="152">
      <c r="A152" s="1013"/>
      <c r="B152" s="1019" t="s">
        <v>122</v>
      </c>
      <c r="C152" s="1020" t="s">
        <v>1035</v>
      </c>
      <c r="D152" s="1020" t="s">
        <v>1036</v>
      </c>
      <c r="E152" s="1020" t="s">
        <v>1037</v>
      </c>
      <c r="F152" s="1020">
        <v>2021.0</v>
      </c>
      <c r="G152" s="1021">
        <v>0.143277357</v>
      </c>
      <c r="H152" s="1021">
        <v>0.114135126</v>
      </c>
      <c r="I152" s="1022">
        <v>0.179901881</v>
      </c>
      <c r="K152" s="1031" t="s">
        <v>147</v>
      </c>
      <c r="L152" s="1032" t="s">
        <v>1037</v>
      </c>
      <c r="M152" s="1032" t="s">
        <v>1035</v>
      </c>
      <c r="N152" s="1032" t="s">
        <v>1046</v>
      </c>
      <c r="O152" s="1032">
        <v>2021.0</v>
      </c>
      <c r="P152" s="1032" t="s">
        <v>1039</v>
      </c>
      <c r="Q152" s="1033" t="s">
        <v>63</v>
      </c>
      <c r="R152" s="1034">
        <v>1307.402422</v>
      </c>
      <c r="S152" s="1034">
        <v>1020.463691</v>
      </c>
      <c r="T152" s="1035">
        <v>1694.609714</v>
      </c>
      <c r="V152" s="1019" t="s">
        <v>147</v>
      </c>
      <c r="W152" s="1020" t="s">
        <v>1040</v>
      </c>
      <c r="X152" s="1020" t="s">
        <v>1035</v>
      </c>
      <c r="Y152" s="1020" t="s">
        <v>1046</v>
      </c>
      <c r="Z152" s="1020">
        <v>2021.0</v>
      </c>
      <c r="AA152" s="1020" t="s">
        <v>1039</v>
      </c>
      <c r="AB152" s="1023" t="s">
        <v>63</v>
      </c>
      <c r="AC152" s="1024">
        <v>51.90932469</v>
      </c>
      <c r="AD152" s="1024">
        <v>22.83052212</v>
      </c>
      <c r="AE152" s="1025">
        <v>101.8510186</v>
      </c>
      <c r="AF152" s="225"/>
    </row>
    <row r="153">
      <c r="A153" s="1013"/>
      <c r="B153" s="1019" t="s">
        <v>122</v>
      </c>
      <c r="C153" s="1020" t="s">
        <v>1035</v>
      </c>
      <c r="D153" s="1020" t="s">
        <v>1041</v>
      </c>
      <c r="E153" s="1020" t="s">
        <v>1037</v>
      </c>
      <c r="F153" s="1020">
        <v>2021.0</v>
      </c>
      <c r="G153" s="1021">
        <v>0.629803242</v>
      </c>
      <c r="H153" s="1021">
        <v>0.555090175</v>
      </c>
      <c r="I153" s="1022">
        <v>0.710881482</v>
      </c>
      <c r="K153" s="1031" t="s">
        <v>147</v>
      </c>
      <c r="L153" s="1032" t="s">
        <v>1037</v>
      </c>
      <c r="M153" s="1032" t="s">
        <v>1035</v>
      </c>
      <c r="N153" s="1032" t="s">
        <v>1045</v>
      </c>
      <c r="O153" s="1032">
        <v>2021.0</v>
      </c>
      <c r="P153" s="1032" t="s">
        <v>1039</v>
      </c>
      <c r="Q153" s="1033" t="s">
        <v>63</v>
      </c>
      <c r="R153" s="1034">
        <v>6882.002275</v>
      </c>
      <c r="S153" s="1034">
        <v>5446.976663</v>
      </c>
      <c r="T153" s="1035">
        <v>8781.47916</v>
      </c>
      <c r="V153" s="1019" t="s">
        <v>147</v>
      </c>
      <c r="W153" s="1020" t="s">
        <v>1040</v>
      </c>
      <c r="X153" s="1020" t="s">
        <v>1035</v>
      </c>
      <c r="Y153" s="1020" t="s">
        <v>1045</v>
      </c>
      <c r="Z153" s="1020">
        <v>2021.0</v>
      </c>
      <c r="AA153" s="1020" t="s">
        <v>1039</v>
      </c>
      <c r="AB153" s="1023" t="s">
        <v>63</v>
      </c>
      <c r="AC153" s="1024">
        <v>115.2410781</v>
      </c>
      <c r="AD153" s="1024">
        <v>57.22651611</v>
      </c>
      <c r="AE153" s="1025">
        <v>210.3209409</v>
      </c>
      <c r="AF153" s="225"/>
    </row>
    <row r="154">
      <c r="A154" s="1013"/>
      <c r="B154" s="1019" t="s">
        <v>122</v>
      </c>
      <c r="C154" s="1020" t="s">
        <v>1035</v>
      </c>
      <c r="D154" s="1020" t="s">
        <v>1043</v>
      </c>
      <c r="E154" s="1020" t="s">
        <v>1037</v>
      </c>
      <c r="F154" s="1020">
        <v>2021.0</v>
      </c>
      <c r="G154" s="1021">
        <v>0.017262854</v>
      </c>
      <c r="H154" s="1021">
        <v>0.014961377</v>
      </c>
      <c r="I154" s="1022">
        <v>0.019968009</v>
      </c>
      <c r="K154" s="1031" t="s">
        <v>148</v>
      </c>
      <c r="L154" s="1032" t="s">
        <v>1037</v>
      </c>
      <c r="M154" s="1032" t="s">
        <v>1035</v>
      </c>
      <c r="N154" s="1032" t="s">
        <v>1038</v>
      </c>
      <c r="O154" s="1032">
        <v>2021.0</v>
      </c>
      <c r="P154" s="1032" t="s">
        <v>1039</v>
      </c>
      <c r="Q154" s="1033" t="s">
        <v>63</v>
      </c>
      <c r="R154" s="1034">
        <v>1347.772212</v>
      </c>
      <c r="S154" s="1034">
        <v>1026.549698</v>
      </c>
      <c r="T154" s="1035">
        <v>1735.007593</v>
      </c>
      <c r="V154" s="1019" t="s">
        <v>148</v>
      </c>
      <c r="W154" s="1020" t="s">
        <v>1040</v>
      </c>
      <c r="X154" s="1020" t="s">
        <v>1035</v>
      </c>
      <c r="Y154" s="1020" t="s">
        <v>1038</v>
      </c>
      <c r="Z154" s="1020">
        <v>2021.0</v>
      </c>
      <c r="AA154" s="1020" t="s">
        <v>1039</v>
      </c>
      <c r="AB154" s="1023" t="s">
        <v>63</v>
      </c>
      <c r="AC154" s="1024">
        <v>19.98773088</v>
      </c>
      <c r="AD154" s="1024">
        <v>6.575180062</v>
      </c>
      <c r="AE154" s="1025">
        <v>45.84688237</v>
      </c>
      <c r="AF154" s="225"/>
    </row>
    <row r="155">
      <c r="A155" s="1013"/>
      <c r="B155" s="1019" t="s">
        <v>122</v>
      </c>
      <c r="C155" s="1020" t="s">
        <v>1035</v>
      </c>
      <c r="D155" s="1020" t="s">
        <v>1045</v>
      </c>
      <c r="E155" s="1020" t="s">
        <v>1037</v>
      </c>
      <c r="F155" s="1020">
        <v>2021.0</v>
      </c>
      <c r="G155" s="1021">
        <v>0.173533394</v>
      </c>
      <c r="H155" s="1021">
        <v>0.148710711</v>
      </c>
      <c r="I155" s="1022">
        <v>0.199153955</v>
      </c>
      <c r="K155" s="1031" t="s">
        <v>148</v>
      </c>
      <c r="L155" s="1032" t="s">
        <v>1037</v>
      </c>
      <c r="M155" s="1032" t="s">
        <v>1035</v>
      </c>
      <c r="N155" s="1032" t="s">
        <v>1042</v>
      </c>
      <c r="O155" s="1032">
        <v>2021.0</v>
      </c>
      <c r="P155" s="1032" t="s">
        <v>1039</v>
      </c>
      <c r="Q155" s="1033" t="s">
        <v>63</v>
      </c>
      <c r="R155" s="1034">
        <v>2295.057576</v>
      </c>
      <c r="S155" s="1034">
        <v>1849.855021</v>
      </c>
      <c r="T155" s="1035">
        <v>2862.204822</v>
      </c>
      <c r="V155" s="1019" t="s">
        <v>148</v>
      </c>
      <c r="W155" s="1020" t="s">
        <v>1040</v>
      </c>
      <c r="X155" s="1020" t="s">
        <v>1035</v>
      </c>
      <c r="Y155" s="1020" t="s">
        <v>1042</v>
      </c>
      <c r="Z155" s="1020">
        <v>2021.0</v>
      </c>
      <c r="AA155" s="1020" t="s">
        <v>1039</v>
      </c>
      <c r="AB155" s="1023" t="s">
        <v>63</v>
      </c>
      <c r="AC155" s="1024">
        <v>6.283501683</v>
      </c>
      <c r="AD155" s="1024">
        <v>3.014779983</v>
      </c>
      <c r="AE155" s="1025">
        <v>12.75021173</v>
      </c>
      <c r="AF155" s="225"/>
    </row>
    <row r="156">
      <c r="A156" s="1013"/>
      <c r="B156" s="1019" t="s">
        <v>123</v>
      </c>
      <c r="C156" s="1020" t="s">
        <v>1035</v>
      </c>
      <c r="D156" s="1020" t="s">
        <v>1036</v>
      </c>
      <c r="E156" s="1020" t="s">
        <v>1047</v>
      </c>
      <c r="F156" s="1020">
        <v>2021.0</v>
      </c>
      <c r="G156" s="1021">
        <v>9.358E-4</v>
      </c>
      <c r="H156" s="1021">
        <v>5.0974E-4</v>
      </c>
      <c r="I156" s="1022">
        <v>0.001570655</v>
      </c>
      <c r="K156" s="1031" t="s">
        <v>148</v>
      </c>
      <c r="L156" s="1032" t="s">
        <v>1037</v>
      </c>
      <c r="M156" s="1032" t="s">
        <v>1035</v>
      </c>
      <c r="N156" s="1032" t="s">
        <v>1044</v>
      </c>
      <c r="O156" s="1032">
        <v>2021.0</v>
      </c>
      <c r="P156" s="1032" t="s">
        <v>1039</v>
      </c>
      <c r="Q156" s="1033" t="s">
        <v>63</v>
      </c>
      <c r="R156" s="1034">
        <v>587.0205651</v>
      </c>
      <c r="S156" s="1034">
        <v>476.3683277</v>
      </c>
      <c r="T156" s="1035">
        <v>721.1043307</v>
      </c>
      <c r="V156" s="1019" t="s">
        <v>148</v>
      </c>
      <c r="W156" s="1020" t="s">
        <v>1040</v>
      </c>
      <c r="X156" s="1020" t="s">
        <v>1035</v>
      </c>
      <c r="Y156" s="1020" t="s">
        <v>1044</v>
      </c>
      <c r="Z156" s="1020">
        <v>2021.0</v>
      </c>
      <c r="AA156" s="1020" t="s">
        <v>1039</v>
      </c>
      <c r="AB156" s="1023" t="s">
        <v>63</v>
      </c>
      <c r="AC156" s="1024">
        <v>6.517577825</v>
      </c>
      <c r="AD156" s="1024">
        <v>2.564793008</v>
      </c>
      <c r="AE156" s="1025">
        <v>14.62788856</v>
      </c>
      <c r="AF156" s="225"/>
    </row>
    <row r="157">
      <c r="A157" s="1013"/>
      <c r="B157" s="1019" t="s">
        <v>123</v>
      </c>
      <c r="C157" s="1020" t="s">
        <v>1035</v>
      </c>
      <c r="D157" s="1020" t="s">
        <v>1041</v>
      </c>
      <c r="E157" s="1020" t="s">
        <v>1047</v>
      </c>
      <c r="F157" s="1020">
        <v>2021.0</v>
      </c>
      <c r="G157" s="1021">
        <v>0.005661203</v>
      </c>
      <c r="H157" s="1021">
        <v>0.002841357</v>
      </c>
      <c r="I157" s="1022">
        <v>0.010206104</v>
      </c>
      <c r="K157" s="1031" t="s">
        <v>148</v>
      </c>
      <c r="L157" s="1032" t="s">
        <v>1037</v>
      </c>
      <c r="M157" s="1032" t="s">
        <v>1035</v>
      </c>
      <c r="N157" s="1032" t="s">
        <v>1046</v>
      </c>
      <c r="O157" s="1032">
        <v>2021.0</v>
      </c>
      <c r="P157" s="1032" t="s">
        <v>1039</v>
      </c>
      <c r="Q157" s="1033" t="s">
        <v>63</v>
      </c>
      <c r="R157" s="1034">
        <v>1215.805181</v>
      </c>
      <c r="S157" s="1034">
        <v>974.4039909</v>
      </c>
      <c r="T157" s="1035">
        <v>1509.689606</v>
      </c>
      <c r="V157" s="1019" t="s">
        <v>148</v>
      </c>
      <c r="W157" s="1020" t="s">
        <v>1040</v>
      </c>
      <c r="X157" s="1020" t="s">
        <v>1035</v>
      </c>
      <c r="Y157" s="1020" t="s">
        <v>1046</v>
      </c>
      <c r="Z157" s="1020">
        <v>2021.0</v>
      </c>
      <c r="AA157" s="1020" t="s">
        <v>1039</v>
      </c>
      <c r="AB157" s="1023" t="s">
        <v>63</v>
      </c>
      <c r="AC157" s="1024">
        <v>41.66792899</v>
      </c>
      <c r="AD157" s="1024">
        <v>15.04435036</v>
      </c>
      <c r="AE157" s="1025">
        <v>94.50376935</v>
      </c>
      <c r="AF157" s="225"/>
    </row>
    <row r="158">
      <c r="A158" s="1013"/>
      <c r="B158" s="1019" t="s">
        <v>123</v>
      </c>
      <c r="C158" s="1020" t="s">
        <v>1035</v>
      </c>
      <c r="D158" s="1020" t="s">
        <v>1043</v>
      </c>
      <c r="E158" s="1020" t="s">
        <v>1047</v>
      </c>
      <c r="F158" s="1020">
        <v>2021.0</v>
      </c>
      <c r="G158" s="1021">
        <v>3.23519E-4</v>
      </c>
      <c r="H158" s="1021">
        <v>2.37386E-4</v>
      </c>
      <c r="I158" s="1022">
        <v>4.5064E-4</v>
      </c>
      <c r="K158" s="1031" t="s">
        <v>148</v>
      </c>
      <c r="L158" s="1032" t="s">
        <v>1037</v>
      </c>
      <c r="M158" s="1032" t="s">
        <v>1035</v>
      </c>
      <c r="N158" s="1032" t="s">
        <v>1045</v>
      </c>
      <c r="O158" s="1032">
        <v>2021.0</v>
      </c>
      <c r="P158" s="1032" t="s">
        <v>1039</v>
      </c>
      <c r="Q158" s="1033" t="s">
        <v>63</v>
      </c>
      <c r="R158" s="1034">
        <v>5445.655534</v>
      </c>
      <c r="S158" s="1034">
        <v>4357.317409</v>
      </c>
      <c r="T158" s="1035">
        <v>6809.631234</v>
      </c>
      <c r="V158" s="1019" t="s">
        <v>148</v>
      </c>
      <c r="W158" s="1020" t="s">
        <v>1040</v>
      </c>
      <c r="X158" s="1020" t="s">
        <v>1035</v>
      </c>
      <c r="Y158" s="1020" t="s">
        <v>1045</v>
      </c>
      <c r="Z158" s="1020">
        <v>2021.0</v>
      </c>
      <c r="AA158" s="1020" t="s">
        <v>1039</v>
      </c>
      <c r="AB158" s="1023" t="s">
        <v>63</v>
      </c>
      <c r="AC158" s="1024">
        <v>74.45673938</v>
      </c>
      <c r="AD158" s="1024">
        <v>30.90415682</v>
      </c>
      <c r="AE158" s="1025">
        <v>160.3268185</v>
      </c>
      <c r="AF158" s="225"/>
    </row>
    <row r="159">
      <c r="A159" s="1013"/>
      <c r="B159" s="1019" t="s">
        <v>123</v>
      </c>
      <c r="C159" s="1020" t="s">
        <v>1035</v>
      </c>
      <c r="D159" s="1020" t="s">
        <v>1045</v>
      </c>
      <c r="E159" s="1020" t="s">
        <v>1047</v>
      </c>
      <c r="F159" s="1020">
        <v>2021.0</v>
      </c>
      <c r="G159" s="1021">
        <v>0.008317334</v>
      </c>
      <c r="H159" s="1021">
        <v>0.00601682</v>
      </c>
      <c r="I159" s="1022">
        <v>0.012737635</v>
      </c>
      <c r="K159" s="1031" t="s">
        <v>149</v>
      </c>
      <c r="L159" s="1032" t="s">
        <v>1037</v>
      </c>
      <c r="M159" s="1032" t="s">
        <v>1035</v>
      </c>
      <c r="N159" s="1032" t="s">
        <v>1038</v>
      </c>
      <c r="O159" s="1032">
        <v>2021.0</v>
      </c>
      <c r="P159" s="1032" t="s">
        <v>1039</v>
      </c>
      <c r="Q159" s="1033" t="s">
        <v>63</v>
      </c>
      <c r="R159" s="1034">
        <v>2490.859744</v>
      </c>
      <c r="S159" s="1034">
        <v>1924.962321</v>
      </c>
      <c r="T159" s="1035">
        <v>3208.796748</v>
      </c>
      <c r="V159" s="1019" t="s">
        <v>149</v>
      </c>
      <c r="W159" s="1020" t="s">
        <v>1040</v>
      </c>
      <c r="X159" s="1020" t="s">
        <v>1035</v>
      </c>
      <c r="Y159" s="1020" t="s">
        <v>1038</v>
      </c>
      <c r="Z159" s="1020">
        <v>2021.0</v>
      </c>
      <c r="AA159" s="1020" t="s">
        <v>1039</v>
      </c>
      <c r="AB159" s="1023" t="s">
        <v>63</v>
      </c>
      <c r="AC159" s="1024">
        <v>50.41707617</v>
      </c>
      <c r="AD159" s="1024">
        <v>20.13047569</v>
      </c>
      <c r="AE159" s="1025">
        <v>107.2545177</v>
      </c>
      <c r="AF159" s="225"/>
    </row>
    <row r="160">
      <c r="A160" s="1013"/>
      <c r="B160" s="1019" t="s">
        <v>124</v>
      </c>
      <c r="C160" s="1020" t="s">
        <v>1035</v>
      </c>
      <c r="D160" s="1020" t="s">
        <v>1036</v>
      </c>
      <c r="E160" s="1020" t="s">
        <v>1047</v>
      </c>
      <c r="F160" s="1020">
        <v>2021.0</v>
      </c>
      <c r="G160" s="1021">
        <v>0.002464247</v>
      </c>
      <c r="H160" s="1021">
        <v>0.001316181</v>
      </c>
      <c r="I160" s="1022">
        <v>0.004421899</v>
      </c>
      <c r="K160" s="1031" t="s">
        <v>149</v>
      </c>
      <c r="L160" s="1032" t="s">
        <v>1037</v>
      </c>
      <c r="M160" s="1032" t="s">
        <v>1035</v>
      </c>
      <c r="N160" s="1032" t="s">
        <v>1042</v>
      </c>
      <c r="O160" s="1032">
        <v>2021.0</v>
      </c>
      <c r="P160" s="1032" t="s">
        <v>1039</v>
      </c>
      <c r="Q160" s="1033" t="s">
        <v>63</v>
      </c>
      <c r="R160" s="1034">
        <v>3037.09677</v>
      </c>
      <c r="S160" s="1034">
        <v>2358.663225</v>
      </c>
      <c r="T160" s="1035">
        <v>3946.849963</v>
      </c>
      <c r="V160" s="1019" t="s">
        <v>149</v>
      </c>
      <c r="W160" s="1020" t="s">
        <v>1040</v>
      </c>
      <c r="X160" s="1020" t="s">
        <v>1035</v>
      </c>
      <c r="Y160" s="1020" t="s">
        <v>1042</v>
      </c>
      <c r="Z160" s="1020">
        <v>2021.0</v>
      </c>
      <c r="AA160" s="1020" t="s">
        <v>1039</v>
      </c>
      <c r="AB160" s="1023" t="s">
        <v>63</v>
      </c>
      <c r="AC160" s="1024">
        <v>8.293630658</v>
      </c>
      <c r="AD160" s="1024">
        <v>3.949111182</v>
      </c>
      <c r="AE160" s="1025">
        <v>15.9297066</v>
      </c>
      <c r="AF160" s="225"/>
    </row>
    <row r="161">
      <c r="A161" s="1013"/>
      <c r="B161" s="1019" t="s">
        <v>124</v>
      </c>
      <c r="C161" s="1020" t="s">
        <v>1035</v>
      </c>
      <c r="D161" s="1020" t="s">
        <v>1041</v>
      </c>
      <c r="E161" s="1020" t="s">
        <v>1047</v>
      </c>
      <c r="F161" s="1020">
        <v>2021.0</v>
      </c>
      <c r="G161" s="1021">
        <v>0.018103953</v>
      </c>
      <c r="H161" s="1021">
        <v>0.009755202</v>
      </c>
      <c r="I161" s="1022">
        <v>0.031532264</v>
      </c>
      <c r="K161" s="1031" t="s">
        <v>149</v>
      </c>
      <c r="L161" s="1032" t="s">
        <v>1037</v>
      </c>
      <c r="M161" s="1032" t="s">
        <v>1035</v>
      </c>
      <c r="N161" s="1032" t="s">
        <v>1044</v>
      </c>
      <c r="O161" s="1032">
        <v>2021.0</v>
      </c>
      <c r="P161" s="1032" t="s">
        <v>1039</v>
      </c>
      <c r="Q161" s="1033" t="s">
        <v>63</v>
      </c>
      <c r="R161" s="1034">
        <v>297.472422</v>
      </c>
      <c r="S161" s="1034">
        <v>231.664449</v>
      </c>
      <c r="T161" s="1035">
        <v>378.4942381</v>
      </c>
      <c r="V161" s="1019" t="s">
        <v>149</v>
      </c>
      <c r="W161" s="1020" t="s">
        <v>1040</v>
      </c>
      <c r="X161" s="1020" t="s">
        <v>1035</v>
      </c>
      <c r="Y161" s="1020" t="s">
        <v>1044</v>
      </c>
      <c r="Z161" s="1020">
        <v>2021.0</v>
      </c>
      <c r="AA161" s="1020" t="s">
        <v>1039</v>
      </c>
      <c r="AB161" s="1023" t="s">
        <v>63</v>
      </c>
      <c r="AC161" s="1024">
        <v>3.348123559</v>
      </c>
      <c r="AD161" s="1024">
        <v>1.168885912</v>
      </c>
      <c r="AE161" s="1025">
        <v>8.071010674</v>
      </c>
      <c r="AF161" s="225"/>
    </row>
    <row r="162">
      <c r="A162" s="1013"/>
      <c r="B162" s="1019" t="s">
        <v>124</v>
      </c>
      <c r="C162" s="1020" t="s">
        <v>1035</v>
      </c>
      <c r="D162" s="1020" t="s">
        <v>1043</v>
      </c>
      <c r="E162" s="1020" t="s">
        <v>1047</v>
      </c>
      <c r="F162" s="1020">
        <v>2021.0</v>
      </c>
      <c r="G162" s="1021">
        <v>7.24649E-4</v>
      </c>
      <c r="H162" s="1021">
        <v>4.23736E-4</v>
      </c>
      <c r="I162" s="1022">
        <v>0.001163075</v>
      </c>
      <c r="K162" s="1031" t="s">
        <v>149</v>
      </c>
      <c r="L162" s="1032" t="s">
        <v>1037</v>
      </c>
      <c r="M162" s="1032" t="s">
        <v>1035</v>
      </c>
      <c r="N162" s="1032" t="s">
        <v>1046</v>
      </c>
      <c r="O162" s="1032">
        <v>2021.0</v>
      </c>
      <c r="P162" s="1032" t="s">
        <v>1039</v>
      </c>
      <c r="Q162" s="1033" t="s">
        <v>63</v>
      </c>
      <c r="R162" s="1034">
        <v>1682.312413</v>
      </c>
      <c r="S162" s="1034">
        <v>1286.640704</v>
      </c>
      <c r="T162" s="1035">
        <v>2171.700574</v>
      </c>
      <c r="V162" s="1019" t="s">
        <v>149</v>
      </c>
      <c r="W162" s="1020" t="s">
        <v>1040</v>
      </c>
      <c r="X162" s="1020" t="s">
        <v>1035</v>
      </c>
      <c r="Y162" s="1020" t="s">
        <v>1046</v>
      </c>
      <c r="Z162" s="1020">
        <v>2021.0</v>
      </c>
      <c r="AA162" s="1020" t="s">
        <v>1039</v>
      </c>
      <c r="AB162" s="1023" t="s">
        <v>63</v>
      </c>
      <c r="AC162" s="1024">
        <v>72.89465277</v>
      </c>
      <c r="AD162" s="1024">
        <v>28.93764953</v>
      </c>
      <c r="AE162" s="1025">
        <v>146.7244724</v>
      </c>
      <c r="AF162" s="225"/>
    </row>
    <row r="163">
      <c r="A163" s="1013"/>
      <c r="B163" s="1019" t="s">
        <v>124</v>
      </c>
      <c r="C163" s="1020" t="s">
        <v>1035</v>
      </c>
      <c r="D163" s="1020" t="s">
        <v>1045</v>
      </c>
      <c r="E163" s="1020" t="s">
        <v>1047</v>
      </c>
      <c r="F163" s="1020">
        <v>2021.0</v>
      </c>
      <c r="G163" s="1021">
        <v>0.017929219</v>
      </c>
      <c r="H163" s="1021">
        <v>0.01205915</v>
      </c>
      <c r="I163" s="1022">
        <v>0.025556078</v>
      </c>
      <c r="K163" s="1031" t="s">
        <v>149</v>
      </c>
      <c r="L163" s="1032" t="s">
        <v>1037</v>
      </c>
      <c r="M163" s="1032" t="s">
        <v>1035</v>
      </c>
      <c r="N163" s="1032" t="s">
        <v>1045</v>
      </c>
      <c r="O163" s="1032">
        <v>2021.0</v>
      </c>
      <c r="P163" s="1032" t="s">
        <v>1039</v>
      </c>
      <c r="Q163" s="1033" t="s">
        <v>63</v>
      </c>
      <c r="R163" s="1034">
        <v>7507.741349</v>
      </c>
      <c r="S163" s="1034">
        <v>5915.042942</v>
      </c>
      <c r="T163" s="1035">
        <v>9539.617148</v>
      </c>
      <c r="V163" s="1019" t="s">
        <v>149</v>
      </c>
      <c r="W163" s="1020" t="s">
        <v>1040</v>
      </c>
      <c r="X163" s="1020" t="s">
        <v>1035</v>
      </c>
      <c r="Y163" s="1020" t="s">
        <v>1045</v>
      </c>
      <c r="Z163" s="1020">
        <v>2021.0</v>
      </c>
      <c r="AA163" s="1020" t="s">
        <v>1039</v>
      </c>
      <c r="AB163" s="1023" t="s">
        <v>63</v>
      </c>
      <c r="AC163" s="1024">
        <v>134.9534832</v>
      </c>
      <c r="AD163" s="1024">
        <v>63.05993197</v>
      </c>
      <c r="AE163" s="1025">
        <v>269.9162327</v>
      </c>
      <c r="AF163" s="225"/>
    </row>
    <row r="164">
      <c r="A164" s="1013"/>
      <c r="B164" s="1019" t="s">
        <v>125</v>
      </c>
      <c r="C164" s="1020" t="s">
        <v>1035</v>
      </c>
      <c r="D164" s="1020" t="s">
        <v>1036</v>
      </c>
      <c r="E164" s="1020" t="s">
        <v>1047</v>
      </c>
      <c r="F164" s="1020">
        <v>2021.0</v>
      </c>
      <c r="G164" s="1021">
        <v>9.56354E-4</v>
      </c>
      <c r="H164" s="1021">
        <v>3.92492E-4</v>
      </c>
      <c r="I164" s="1022">
        <v>0.001919092</v>
      </c>
      <c r="K164" s="1031" t="s">
        <v>150</v>
      </c>
      <c r="L164" s="1032" t="s">
        <v>1037</v>
      </c>
      <c r="M164" s="1032" t="s">
        <v>1035</v>
      </c>
      <c r="N164" s="1032" t="s">
        <v>1038</v>
      </c>
      <c r="O164" s="1032">
        <v>2021.0</v>
      </c>
      <c r="P164" s="1032" t="s">
        <v>1039</v>
      </c>
      <c r="Q164" s="1033" t="s">
        <v>63</v>
      </c>
      <c r="R164" s="1034">
        <v>6532.530172</v>
      </c>
      <c r="S164" s="1034">
        <v>5104.460529</v>
      </c>
      <c r="T164" s="1035">
        <v>8266.437472</v>
      </c>
      <c r="V164" s="1019" t="s">
        <v>150</v>
      </c>
      <c r="W164" s="1020" t="s">
        <v>1040</v>
      </c>
      <c r="X164" s="1020" t="s">
        <v>1035</v>
      </c>
      <c r="Y164" s="1020" t="s">
        <v>1038</v>
      </c>
      <c r="Z164" s="1020">
        <v>2021.0</v>
      </c>
      <c r="AA164" s="1020" t="s">
        <v>1039</v>
      </c>
      <c r="AB164" s="1023" t="s">
        <v>63</v>
      </c>
      <c r="AC164" s="1024">
        <v>184.5041437</v>
      </c>
      <c r="AD164" s="1024">
        <v>78.72503921</v>
      </c>
      <c r="AE164" s="1025">
        <v>340.986288</v>
      </c>
      <c r="AF164" s="225"/>
    </row>
    <row r="165">
      <c r="A165" s="1013"/>
      <c r="B165" s="1019" t="s">
        <v>125</v>
      </c>
      <c r="C165" s="1020" t="s">
        <v>1035</v>
      </c>
      <c r="D165" s="1020" t="s">
        <v>1041</v>
      </c>
      <c r="E165" s="1020" t="s">
        <v>1047</v>
      </c>
      <c r="F165" s="1020">
        <v>2021.0</v>
      </c>
      <c r="G165" s="1021">
        <v>0.006871675</v>
      </c>
      <c r="H165" s="1021">
        <v>0.003177096</v>
      </c>
      <c r="I165" s="1022">
        <v>0.013489925</v>
      </c>
      <c r="K165" s="1031" t="s">
        <v>150</v>
      </c>
      <c r="L165" s="1032" t="s">
        <v>1037</v>
      </c>
      <c r="M165" s="1032" t="s">
        <v>1035</v>
      </c>
      <c r="N165" s="1032" t="s">
        <v>1042</v>
      </c>
      <c r="O165" s="1032">
        <v>2021.0</v>
      </c>
      <c r="P165" s="1032" t="s">
        <v>1039</v>
      </c>
      <c r="Q165" s="1033" t="s">
        <v>63</v>
      </c>
      <c r="R165" s="1034">
        <v>10403.87439</v>
      </c>
      <c r="S165" s="1034">
        <v>8130.670268</v>
      </c>
      <c r="T165" s="1035">
        <v>13290.68444</v>
      </c>
      <c r="V165" s="1019" t="s">
        <v>150</v>
      </c>
      <c r="W165" s="1020" t="s">
        <v>1040</v>
      </c>
      <c r="X165" s="1020" t="s">
        <v>1035</v>
      </c>
      <c r="Y165" s="1020" t="s">
        <v>1042</v>
      </c>
      <c r="Z165" s="1020">
        <v>2021.0</v>
      </c>
      <c r="AA165" s="1020" t="s">
        <v>1039</v>
      </c>
      <c r="AB165" s="1023" t="s">
        <v>63</v>
      </c>
      <c r="AC165" s="1024">
        <v>37.95574115</v>
      </c>
      <c r="AD165" s="1024">
        <v>19.02830245</v>
      </c>
      <c r="AE165" s="1025">
        <v>64.7417019</v>
      </c>
      <c r="AF165" s="225"/>
    </row>
    <row r="166">
      <c r="A166" s="1013"/>
      <c r="B166" s="1019" t="s">
        <v>125</v>
      </c>
      <c r="C166" s="1020" t="s">
        <v>1035</v>
      </c>
      <c r="D166" s="1020" t="s">
        <v>1043</v>
      </c>
      <c r="E166" s="1020" t="s">
        <v>1047</v>
      </c>
      <c r="F166" s="1020">
        <v>2021.0</v>
      </c>
      <c r="G166" s="1021">
        <v>1.54387E-4</v>
      </c>
      <c r="H166" s="1021">
        <v>5.46E-5</v>
      </c>
      <c r="I166" s="1022">
        <v>3.00953E-4</v>
      </c>
      <c r="K166" s="1031" t="s">
        <v>150</v>
      </c>
      <c r="L166" s="1032" t="s">
        <v>1037</v>
      </c>
      <c r="M166" s="1032" t="s">
        <v>1035</v>
      </c>
      <c r="N166" s="1032" t="s">
        <v>1044</v>
      </c>
      <c r="O166" s="1032">
        <v>2021.0</v>
      </c>
      <c r="P166" s="1032" t="s">
        <v>1039</v>
      </c>
      <c r="Q166" s="1033" t="s">
        <v>63</v>
      </c>
      <c r="R166" s="1034">
        <v>2422.072358</v>
      </c>
      <c r="S166" s="1034">
        <v>1903.790883</v>
      </c>
      <c r="T166" s="1035">
        <v>3085.676033</v>
      </c>
      <c r="V166" s="1019" t="s">
        <v>150</v>
      </c>
      <c r="W166" s="1020" t="s">
        <v>1040</v>
      </c>
      <c r="X166" s="1020" t="s">
        <v>1035</v>
      </c>
      <c r="Y166" s="1020" t="s">
        <v>1044</v>
      </c>
      <c r="Z166" s="1020">
        <v>2021.0</v>
      </c>
      <c r="AA166" s="1020" t="s">
        <v>1039</v>
      </c>
      <c r="AB166" s="1023" t="s">
        <v>63</v>
      </c>
      <c r="AC166" s="1024">
        <v>46.4290133</v>
      </c>
      <c r="AD166" s="1024">
        <v>24.14710636</v>
      </c>
      <c r="AE166" s="1025">
        <v>79.31867296</v>
      </c>
      <c r="AF166" s="225"/>
    </row>
    <row r="167">
      <c r="A167" s="1013"/>
      <c r="B167" s="1019" t="s">
        <v>125</v>
      </c>
      <c r="C167" s="1020" t="s">
        <v>1035</v>
      </c>
      <c r="D167" s="1020" t="s">
        <v>1045</v>
      </c>
      <c r="E167" s="1020" t="s">
        <v>1047</v>
      </c>
      <c r="F167" s="1020">
        <v>2021.0</v>
      </c>
      <c r="G167" s="1021">
        <v>0.003771386</v>
      </c>
      <c r="H167" s="1021">
        <v>0.001762172</v>
      </c>
      <c r="I167" s="1022">
        <v>0.007933992</v>
      </c>
      <c r="K167" s="1031" t="s">
        <v>150</v>
      </c>
      <c r="L167" s="1032" t="s">
        <v>1037</v>
      </c>
      <c r="M167" s="1032" t="s">
        <v>1035</v>
      </c>
      <c r="N167" s="1032" t="s">
        <v>1046</v>
      </c>
      <c r="O167" s="1032">
        <v>2021.0</v>
      </c>
      <c r="P167" s="1032" t="s">
        <v>1039</v>
      </c>
      <c r="Q167" s="1033" t="s">
        <v>63</v>
      </c>
      <c r="R167" s="1034">
        <v>7928.83227</v>
      </c>
      <c r="S167" s="1034">
        <v>6153.746557</v>
      </c>
      <c r="T167" s="1035">
        <v>10141.16115</v>
      </c>
      <c r="V167" s="1019" t="s">
        <v>150</v>
      </c>
      <c r="W167" s="1020" t="s">
        <v>1040</v>
      </c>
      <c r="X167" s="1020" t="s">
        <v>1035</v>
      </c>
      <c r="Y167" s="1020" t="s">
        <v>1046</v>
      </c>
      <c r="Z167" s="1020">
        <v>2021.0</v>
      </c>
      <c r="AA167" s="1020" t="s">
        <v>1039</v>
      </c>
      <c r="AB167" s="1023" t="s">
        <v>63</v>
      </c>
      <c r="AC167" s="1024">
        <v>538.345908</v>
      </c>
      <c r="AD167" s="1024">
        <v>281.7764135</v>
      </c>
      <c r="AE167" s="1025">
        <v>921.6955326</v>
      </c>
      <c r="AF167" s="225"/>
    </row>
    <row r="168">
      <c r="A168" s="1013"/>
      <c r="B168" s="1019" t="s">
        <v>126</v>
      </c>
      <c r="C168" s="1020" t="s">
        <v>1035</v>
      </c>
      <c r="D168" s="1020" t="s">
        <v>1036</v>
      </c>
      <c r="E168" s="1020" t="s">
        <v>1047</v>
      </c>
      <c r="F168" s="1020">
        <v>2021.0</v>
      </c>
      <c r="G168" s="1021">
        <v>7.62501E-4</v>
      </c>
      <c r="H168" s="1021">
        <v>2.84811E-4</v>
      </c>
      <c r="I168" s="1022">
        <v>0.001490652</v>
      </c>
      <c r="K168" s="1031" t="s">
        <v>150</v>
      </c>
      <c r="L168" s="1032" t="s">
        <v>1037</v>
      </c>
      <c r="M168" s="1032" t="s">
        <v>1035</v>
      </c>
      <c r="N168" s="1032" t="s">
        <v>1045</v>
      </c>
      <c r="O168" s="1032">
        <v>2021.0</v>
      </c>
      <c r="P168" s="1032" t="s">
        <v>1039</v>
      </c>
      <c r="Q168" s="1033" t="s">
        <v>63</v>
      </c>
      <c r="R168" s="1034">
        <v>27287.30919</v>
      </c>
      <c r="S168" s="1034">
        <v>21502.56242</v>
      </c>
      <c r="T168" s="1035">
        <v>34526.53158</v>
      </c>
      <c r="V168" s="1019" t="s">
        <v>150</v>
      </c>
      <c r="W168" s="1020" t="s">
        <v>1040</v>
      </c>
      <c r="X168" s="1020" t="s">
        <v>1035</v>
      </c>
      <c r="Y168" s="1020" t="s">
        <v>1045</v>
      </c>
      <c r="Z168" s="1020">
        <v>2021.0</v>
      </c>
      <c r="AA168" s="1020" t="s">
        <v>1039</v>
      </c>
      <c r="AB168" s="1023" t="s">
        <v>63</v>
      </c>
      <c r="AC168" s="1024">
        <v>807.2348061</v>
      </c>
      <c r="AD168" s="1024">
        <v>429.2722545</v>
      </c>
      <c r="AE168" s="1025">
        <v>1355.136435</v>
      </c>
      <c r="AF168" s="225"/>
    </row>
    <row r="169">
      <c r="A169" s="1013"/>
      <c r="B169" s="1019" t="s">
        <v>126</v>
      </c>
      <c r="C169" s="1020" t="s">
        <v>1035</v>
      </c>
      <c r="D169" s="1020" t="s">
        <v>1041</v>
      </c>
      <c r="E169" s="1020" t="s">
        <v>1047</v>
      </c>
      <c r="F169" s="1020">
        <v>2021.0</v>
      </c>
      <c r="G169" s="1021">
        <v>0.004802819</v>
      </c>
      <c r="H169" s="1021">
        <v>0.002052138</v>
      </c>
      <c r="I169" s="1022">
        <v>0.009091607</v>
      </c>
      <c r="K169" s="1031" t="s">
        <v>151</v>
      </c>
      <c r="L169" s="1032" t="s">
        <v>1037</v>
      </c>
      <c r="M169" s="1032" t="s">
        <v>1035</v>
      </c>
      <c r="N169" s="1032" t="s">
        <v>1038</v>
      </c>
      <c r="O169" s="1032">
        <v>2021.0</v>
      </c>
      <c r="P169" s="1032" t="s">
        <v>1039</v>
      </c>
      <c r="Q169" s="1033" t="s">
        <v>63</v>
      </c>
      <c r="R169" s="1034">
        <v>2180.040938</v>
      </c>
      <c r="S169" s="1034">
        <v>1590.009493</v>
      </c>
      <c r="T169" s="1035">
        <v>2892.831199</v>
      </c>
      <c r="V169" s="1019" t="s">
        <v>151</v>
      </c>
      <c r="W169" s="1020" t="s">
        <v>1040</v>
      </c>
      <c r="X169" s="1020" t="s">
        <v>1035</v>
      </c>
      <c r="Y169" s="1020" t="s">
        <v>1038</v>
      </c>
      <c r="Z169" s="1020">
        <v>2021.0</v>
      </c>
      <c r="AA169" s="1020" t="s">
        <v>1039</v>
      </c>
      <c r="AB169" s="1023" t="s">
        <v>63</v>
      </c>
      <c r="AC169" s="1024">
        <v>43.52050686</v>
      </c>
      <c r="AD169" s="1024">
        <v>15.57192928</v>
      </c>
      <c r="AE169" s="1025">
        <v>99.85448303</v>
      </c>
      <c r="AF169" s="225"/>
    </row>
    <row r="170">
      <c r="A170" s="1013"/>
      <c r="B170" s="1019" t="s">
        <v>126</v>
      </c>
      <c r="C170" s="1020" t="s">
        <v>1035</v>
      </c>
      <c r="D170" s="1020" t="s">
        <v>1043</v>
      </c>
      <c r="E170" s="1020" t="s">
        <v>1047</v>
      </c>
      <c r="F170" s="1020">
        <v>2021.0</v>
      </c>
      <c r="G170" s="1021">
        <v>1.31084E-4</v>
      </c>
      <c r="H170" s="1021">
        <v>4.15E-5</v>
      </c>
      <c r="I170" s="1022">
        <v>2.63043E-4</v>
      </c>
      <c r="K170" s="1031" t="s">
        <v>151</v>
      </c>
      <c r="L170" s="1032" t="s">
        <v>1037</v>
      </c>
      <c r="M170" s="1032" t="s">
        <v>1035</v>
      </c>
      <c r="N170" s="1032" t="s">
        <v>1042</v>
      </c>
      <c r="O170" s="1032">
        <v>2021.0</v>
      </c>
      <c r="P170" s="1032" t="s">
        <v>1039</v>
      </c>
      <c r="Q170" s="1033" t="s">
        <v>63</v>
      </c>
      <c r="R170" s="1034">
        <v>2773.234238</v>
      </c>
      <c r="S170" s="1034">
        <v>2264.907024</v>
      </c>
      <c r="T170" s="1035">
        <v>3360.302611</v>
      </c>
      <c r="V170" s="1019" t="s">
        <v>151</v>
      </c>
      <c r="W170" s="1020" t="s">
        <v>1040</v>
      </c>
      <c r="X170" s="1020" t="s">
        <v>1035</v>
      </c>
      <c r="Y170" s="1020" t="s">
        <v>1042</v>
      </c>
      <c r="Z170" s="1020">
        <v>2021.0</v>
      </c>
      <c r="AA170" s="1020" t="s">
        <v>1039</v>
      </c>
      <c r="AB170" s="1023" t="s">
        <v>63</v>
      </c>
      <c r="AC170" s="1024">
        <v>7.313247348</v>
      </c>
      <c r="AD170" s="1024">
        <v>3.594251209</v>
      </c>
      <c r="AE170" s="1025">
        <v>14.52776377</v>
      </c>
      <c r="AF170" s="225"/>
    </row>
    <row r="171">
      <c r="A171" s="1013"/>
      <c r="B171" s="1019" t="s">
        <v>126</v>
      </c>
      <c r="C171" s="1020" t="s">
        <v>1035</v>
      </c>
      <c r="D171" s="1020" t="s">
        <v>1045</v>
      </c>
      <c r="E171" s="1020" t="s">
        <v>1047</v>
      </c>
      <c r="F171" s="1020">
        <v>2021.0</v>
      </c>
      <c r="G171" s="1021">
        <v>0.003005545</v>
      </c>
      <c r="H171" s="1021">
        <v>0.001344175</v>
      </c>
      <c r="I171" s="1022">
        <v>0.00614805</v>
      </c>
      <c r="K171" s="1031" t="s">
        <v>151</v>
      </c>
      <c r="L171" s="1032" t="s">
        <v>1037</v>
      </c>
      <c r="M171" s="1032" t="s">
        <v>1035</v>
      </c>
      <c r="N171" s="1032" t="s">
        <v>1044</v>
      </c>
      <c r="O171" s="1032">
        <v>2021.0</v>
      </c>
      <c r="P171" s="1032" t="s">
        <v>1039</v>
      </c>
      <c r="Q171" s="1033" t="s">
        <v>63</v>
      </c>
      <c r="R171" s="1034">
        <v>476.9227045</v>
      </c>
      <c r="S171" s="1034">
        <v>386.9977984</v>
      </c>
      <c r="T171" s="1035">
        <v>578.570547</v>
      </c>
      <c r="V171" s="1019" t="s">
        <v>151</v>
      </c>
      <c r="W171" s="1020" t="s">
        <v>1040</v>
      </c>
      <c r="X171" s="1020" t="s">
        <v>1035</v>
      </c>
      <c r="Y171" s="1020" t="s">
        <v>1044</v>
      </c>
      <c r="Z171" s="1020">
        <v>2021.0</v>
      </c>
      <c r="AA171" s="1020" t="s">
        <v>1039</v>
      </c>
      <c r="AB171" s="1023" t="s">
        <v>63</v>
      </c>
      <c r="AC171" s="1024">
        <v>5.946327088</v>
      </c>
      <c r="AD171" s="1024">
        <v>2.205581101</v>
      </c>
      <c r="AE171" s="1025">
        <v>12.58962941</v>
      </c>
      <c r="AF171" s="225"/>
    </row>
    <row r="172">
      <c r="A172" s="1013"/>
      <c r="B172" s="1019" t="s">
        <v>114</v>
      </c>
      <c r="C172" s="1020" t="s">
        <v>1035</v>
      </c>
      <c r="D172" s="1020" t="s">
        <v>1036</v>
      </c>
      <c r="E172" s="1020" t="s">
        <v>1047</v>
      </c>
      <c r="F172" s="1020">
        <v>2021.0</v>
      </c>
      <c r="G172" s="1021">
        <v>0.004800212</v>
      </c>
      <c r="H172" s="1021">
        <v>0.002572426</v>
      </c>
      <c r="I172" s="1022">
        <v>0.008766554</v>
      </c>
      <c r="K172" s="1031" t="s">
        <v>151</v>
      </c>
      <c r="L172" s="1032" t="s">
        <v>1037</v>
      </c>
      <c r="M172" s="1032" t="s">
        <v>1035</v>
      </c>
      <c r="N172" s="1032" t="s">
        <v>1046</v>
      </c>
      <c r="O172" s="1032">
        <v>2021.0</v>
      </c>
      <c r="P172" s="1032" t="s">
        <v>1039</v>
      </c>
      <c r="Q172" s="1033" t="s">
        <v>63</v>
      </c>
      <c r="R172" s="1034">
        <v>1722.93866</v>
      </c>
      <c r="S172" s="1034">
        <v>1405.52161</v>
      </c>
      <c r="T172" s="1035">
        <v>2079.307512</v>
      </c>
      <c r="V172" s="1019" t="s">
        <v>151</v>
      </c>
      <c r="W172" s="1020" t="s">
        <v>1040</v>
      </c>
      <c r="X172" s="1020" t="s">
        <v>1035</v>
      </c>
      <c r="Y172" s="1020" t="s">
        <v>1046</v>
      </c>
      <c r="Z172" s="1020">
        <v>2021.0</v>
      </c>
      <c r="AA172" s="1020" t="s">
        <v>1039</v>
      </c>
      <c r="AB172" s="1023" t="s">
        <v>63</v>
      </c>
      <c r="AC172" s="1024">
        <v>67.17829987</v>
      </c>
      <c r="AD172" s="1024">
        <v>26.77694133</v>
      </c>
      <c r="AE172" s="1025">
        <v>147.7167543</v>
      </c>
      <c r="AF172" s="225"/>
    </row>
    <row r="173">
      <c r="A173" s="1013"/>
      <c r="B173" s="1019" t="s">
        <v>114</v>
      </c>
      <c r="C173" s="1020" t="s">
        <v>1035</v>
      </c>
      <c r="D173" s="1020" t="s">
        <v>1041</v>
      </c>
      <c r="E173" s="1020" t="s">
        <v>1047</v>
      </c>
      <c r="F173" s="1020">
        <v>2021.0</v>
      </c>
      <c r="G173" s="1021">
        <v>0.036211497</v>
      </c>
      <c r="H173" s="1021">
        <v>0.020763833</v>
      </c>
      <c r="I173" s="1022">
        <v>0.06392371</v>
      </c>
      <c r="K173" s="1031" t="s">
        <v>151</v>
      </c>
      <c r="L173" s="1032" t="s">
        <v>1037</v>
      </c>
      <c r="M173" s="1032" t="s">
        <v>1035</v>
      </c>
      <c r="N173" s="1032" t="s">
        <v>1045</v>
      </c>
      <c r="O173" s="1032">
        <v>2021.0</v>
      </c>
      <c r="P173" s="1032" t="s">
        <v>1039</v>
      </c>
      <c r="Q173" s="1033" t="s">
        <v>63</v>
      </c>
      <c r="R173" s="1034">
        <v>7153.136541</v>
      </c>
      <c r="S173" s="1034">
        <v>5689.600231</v>
      </c>
      <c r="T173" s="1035">
        <v>8851.659501</v>
      </c>
      <c r="V173" s="1019" t="s">
        <v>151</v>
      </c>
      <c r="W173" s="1020" t="s">
        <v>1040</v>
      </c>
      <c r="X173" s="1020" t="s">
        <v>1035</v>
      </c>
      <c r="Y173" s="1020" t="s">
        <v>1045</v>
      </c>
      <c r="Z173" s="1020">
        <v>2021.0</v>
      </c>
      <c r="AA173" s="1020" t="s">
        <v>1039</v>
      </c>
      <c r="AB173" s="1023" t="s">
        <v>63</v>
      </c>
      <c r="AC173" s="1024">
        <v>123.9583812</v>
      </c>
      <c r="AD173" s="1024">
        <v>57.28133493</v>
      </c>
      <c r="AE173" s="1025">
        <v>253.765062</v>
      </c>
      <c r="AF173" s="225"/>
    </row>
    <row r="174">
      <c r="A174" s="1013"/>
      <c r="B174" s="1019" t="s">
        <v>114</v>
      </c>
      <c r="C174" s="1020" t="s">
        <v>1035</v>
      </c>
      <c r="D174" s="1020" t="s">
        <v>1043</v>
      </c>
      <c r="E174" s="1020" t="s">
        <v>1047</v>
      </c>
      <c r="F174" s="1020">
        <v>2021.0</v>
      </c>
      <c r="G174" s="1021">
        <v>0.001404528</v>
      </c>
      <c r="H174" s="1021">
        <v>8.11271E-4</v>
      </c>
      <c r="I174" s="1022">
        <v>0.002400864</v>
      </c>
      <c r="K174" s="1031" t="s">
        <v>121</v>
      </c>
      <c r="L174" s="1032" t="s">
        <v>1037</v>
      </c>
      <c r="M174" s="1032" t="s">
        <v>1035</v>
      </c>
      <c r="N174" s="1032" t="s">
        <v>1038</v>
      </c>
      <c r="O174" s="1032">
        <v>2021.0</v>
      </c>
      <c r="P174" s="1032" t="s">
        <v>1039</v>
      </c>
      <c r="Q174" s="1033" t="s">
        <v>63</v>
      </c>
      <c r="R174" s="1034">
        <v>24900.70184</v>
      </c>
      <c r="S174" s="1034">
        <v>20738.55549</v>
      </c>
      <c r="T174" s="1035">
        <v>29853.77512</v>
      </c>
      <c r="V174" s="1019" t="s">
        <v>121</v>
      </c>
      <c r="W174" s="1020" t="s">
        <v>1040</v>
      </c>
      <c r="X174" s="1020" t="s">
        <v>1035</v>
      </c>
      <c r="Y174" s="1020" t="s">
        <v>1038</v>
      </c>
      <c r="Z174" s="1020">
        <v>2021.0</v>
      </c>
      <c r="AA174" s="1020" t="s">
        <v>1039</v>
      </c>
      <c r="AB174" s="1023" t="s">
        <v>63</v>
      </c>
      <c r="AC174" s="1024">
        <v>2228.398787</v>
      </c>
      <c r="AD174" s="1024">
        <v>1215.77421</v>
      </c>
      <c r="AE174" s="1025">
        <v>3413.714339</v>
      </c>
      <c r="AF174" s="225"/>
    </row>
    <row r="175">
      <c r="A175" s="1013"/>
      <c r="B175" s="1019" t="s">
        <v>114</v>
      </c>
      <c r="C175" s="1020" t="s">
        <v>1035</v>
      </c>
      <c r="D175" s="1020" t="s">
        <v>1045</v>
      </c>
      <c r="E175" s="1020" t="s">
        <v>1047</v>
      </c>
      <c r="F175" s="1020">
        <v>2021.0</v>
      </c>
      <c r="G175" s="1021">
        <v>0.028953826</v>
      </c>
      <c r="H175" s="1021">
        <v>0.01911026</v>
      </c>
      <c r="I175" s="1022">
        <v>0.039951462</v>
      </c>
      <c r="K175" s="1031" t="s">
        <v>121</v>
      </c>
      <c r="L175" s="1032" t="s">
        <v>1037</v>
      </c>
      <c r="M175" s="1032" t="s">
        <v>1035</v>
      </c>
      <c r="N175" s="1032" t="s">
        <v>1042</v>
      </c>
      <c r="O175" s="1032">
        <v>2021.0</v>
      </c>
      <c r="P175" s="1032" t="s">
        <v>1039</v>
      </c>
      <c r="Q175" s="1033" t="s">
        <v>63</v>
      </c>
      <c r="R175" s="1034">
        <v>12170.67162</v>
      </c>
      <c r="S175" s="1034">
        <v>9910.774202</v>
      </c>
      <c r="T175" s="1035">
        <v>15018.50848</v>
      </c>
      <c r="V175" s="1019" t="s">
        <v>121</v>
      </c>
      <c r="W175" s="1020" t="s">
        <v>1040</v>
      </c>
      <c r="X175" s="1020" t="s">
        <v>1035</v>
      </c>
      <c r="Y175" s="1020" t="s">
        <v>1042</v>
      </c>
      <c r="Z175" s="1020">
        <v>2021.0</v>
      </c>
      <c r="AA175" s="1020" t="s">
        <v>1039</v>
      </c>
      <c r="AB175" s="1023" t="s">
        <v>63</v>
      </c>
      <c r="AC175" s="1024">
        <v>100.3682836</v>
      </c>
      <c r="AD175" s="1024">
        <v>44.2204989</v>
      </c>
      <c r="AE175" s="1025">
        <v>178.5081169</v>
      </c>
      <c r="AF175" s="225"/>
    </row>
    <row r="176">
      <c r="A176" s="1013"/>
      <c r="B176" s="1019" t="s">
        <v>127</v>
      </c>
      <c r="C176" s="1020" t="s">
        <v>1035</v>
      </c>
      <c r="D176" s="1020" t="s">
        <v>1036</v>
      </c>
      <c r="E176" s="1020" t="s">
        <v>1047</v>
      </c>
      <c r="F176" s="1020">
        <v>2021.0</v>
      </c>
      <c r="G176" s="1021">
        <v>0.002117225</v>
      </c>
      <c r="H176" s="1021">
        <v>9.19251E-4</v>
      </c>
      <c r="I176" s="1022">
        <v>0.003854153</v>
      </c>
      <c r="K176" s="1031" t="s">
        <v>121</v>
      </c>
      <c r="L176" s="1032" t="s">
        <v>1037</v>
      </c>
      <c r="M176" s="1032" t="s">
        <v>1035</v>
      </c>
      <c r="N176" s="1032" t="s">
        <v>1044</v>
      </c>
      <c r="O176" s="1032">
        <v>2021.0</v>
      </c>
      <c r="P176" s="1032" t="s">
        <v>1039</v>
      </c>
      <c r="Q176" s="1033" t="s">
        <v>63</v>
      </c>
      <c r="R176" s="1034">
        <v>3742.169412</v>
      </c>
      <c r="S176" s="1034">
        <v>3086.087886</v>
      </c>
      <c r="T176" s="1035">
        <v>4512.796507</v>
      </c>
      <c r="V176" s="1019" t="s">
        <v>121</v>
      </c>
      <c r="W176" s="1020" t="s">
        <v>1040</v>
      </c>
      <c r="X176" s="1020" t="s">
        <v>1035</v>
      </c>
      <c r="Y176" s="1020" t="s">
        <v>1044</v>
      </c>
      <c r="Z176" s="1020">
        <v>2021.0</v>
      </c>
      <c r="AA176" s="1020" t="s">
        <v>1039</v>
      </c>
      <c r="AB176" s="1023" t="s">
        <v>63</v>
      </c>
      <c r="AC176" s="1024">
        <v>124.715188</v>
      </c>
      <c r="AD176" s="1024">
        <v>60.88082868</v>
      </c>
      <c r="AE176" s="1025">
        <v>217.8538821</v>
      </c>
      <c r="AF176" s="225"/>
    </row>
    <row r="177">
      <c r="A177" s="1013"/>
      <c r="B177" s="1019" t="s">
        <v>127</v>
      </c>
      <c r="C177" s="1020" t="s">
        <v>1035</v>
      </c>
      <c r="D177" s="1020" t="s">
        <v>1041</v>
      </c>
      <c r="E177" s="1020" t="s">
        <v>1047</v>
      </c>
      <c r="F177" s="1020">
        <v>2021.0</v>
      </c>
      <c r="G177" s="1021">
        <v>0.013675997</v>
      </c>
      <c r="H177" s="1021">
        <v>0.006662968</v>
      </c>
      <c r="I177" s="1022">
        <v>0.024860031</v>
      </c>
      <c r="K177" s="1031" t="s">
        <v>121</v>
      </c>
      <c r="L177" s="1032" t="s">
        <v>1037</v>
      </c>
      <c r="M177" s="1032" t="s">
        <v>1035</v>
      </c>
      <c r="N177" s="1032" t="s">
        <v>1046</v>
      </c>
      <c r="O177" s="1032">
        <v>2021.0</v>
      </c>
      <c r="P177" s="1032" t="s">
        <v>1039</v>
      </c>
      <c r="Q177" s="1033" t="s">
        <v>63</v>
      </c>
      <c r="R177" s="1034">
        <v>14142.39292</v>
      </c>
      <c r="S177" s="1034">
        <v>11440.22435</v>
      </c>
      <c r="T177" s="1035">
        <v>17546.51464</v>
      </c>
      <c r="V177" s="1019" t="s">
        <v>121</v>
      </c>
      <c r="W177" s="1020" t="s">
        <v>1040</v>
      </c>
      <c r="X177" s="1020" t="s">
        <v>1035</v>
      </c>
      <c r="Y177" s="1020" t="s">
        <v>1046</v>
      </c>
      <c r="Z177" s="1020">
        <v>2021.0</v>
      </c>
      <c r="AA177" s="1020" t="s">
        <v>1039</v>
      </c>
      <c r="AB177" s="1023" t="s">
        <v>63</v>
      </c>
      <c r="AC177" s="1024">
        <v>2118.546003</v>
      </c>
      <c r="AD177" s="1024">
        <v>1275.684393</v>
      </c>
      <c r="AE177" s="1025">
        <v>3171.630843</v>
      </c>
      <c r="AF177" s="225"/>
    </row>
    <row r="178">
      <c r="A178" s="1013"/>
      <c r="B178" s="1019" t="s">
        <v>127</v>
      </c>
      <c r="C178" s="1020" t="s">
        <v>1035</v>
      </c>
      <c r="D178" s="1020" t="s">
        <v>1043</v>
      </c>
      <c r="E178" s="1020" t="s">
        <v>1047</v>
      </c>
      <c r="F178" s="1020">
        <v>2021.0</v>
      </c>
      <c r="G178" s="1021">
        <v>4.89032E-4</v>
      </c>
      <c r="H178" s="1021">
        <v>2.85736E-4</v>
      </c>
      <c r="I178" s="1022">
        <v>7.7303E-4</v>
      </c>
      <c r="K178" s="1031" t="s">
        <v>121</v>
      </c>
      <c r="L178" s="1032" t="s">
        <v>1037</v>
      </c>
      <c r="M178" s="1032" t="s">
        <v>1035</v>
      </c>
      <c r="N178" s="1032" t="s">
        <v>1045</v>
      </c>
      <c r="O178" s="1032">
        <v>2021.0</v>
      </c>
      <c r="P178" s="1032" t="s">
        <v>1039</v>
      </c>
      <c r="Q178" s="1033" t="s">
        <v>63</v>
      </c>
      <c r="R178" s="1034">
        <v>54955.9358</v>
      </c>
      <c r="S178" s="1034">
        <v>45756.21078</v>
      </c>
      <c r="T178" s="1035">
        <v>66134.20729</v>
      </c>
      <c r="V178" s="1019" t="s">
        <v>121</v>
      </c>
      <c r="W178" s="1020" t="s">
        <v>1040</v>
      </c>
      <c r="X178" s="1020" t="s">
        <v>1035</v>
      </c>
      <c r="Y178" s="1020" t="s">
        <v>1045</v>
      </c>
      <c r="Z178" s="1020">
        <v>2021.0</v>
      </c>
      <c r="AA178" s="1020" t="s">
        <v>1039</v>
      </c>
      <c r="AB178" s="1023" t="s">
        <v>63</v>
      </c>
      <c r="AC178" s="1024">
        <v>4572.028262</v>
      </c>
      <c r="AD178" s="1024">
        <v>2787.372982</v>
      </c>
      <c r="AE178" s="1025">
        <v>6784.20143</v>
      </c>
      <c r="AF178" s="225"/>
    </row>
    <row r="179">
      <c r="A179" s="1013"/>
      <c r="B179" s="1019" t="s">
        <v>127</v>
      </c>
      <c r="C179" s="1020" t="s">
        <v>1035</v>
      </c>
      <c r="D179" s="1020" t="s">
        <v>1045</v>
      </c>
      <c r="E179" s="1020" t="s">
        <v>1047</v>
      </c>
      <c r="F179" s="1020">
        <v>2021.0</v>
      </c>
      <c r="G179" s="1021">
        <v>0.008466792</v>
      </c>
      <c r="H179" s="1021">
        <v>0.00616053</v>
      </c>
      <c r="I179" s="1022">
        <v>0.011541339</v>
      </c>
      <c r="K179" s="1031" t="s">
        <v>152</v>
      </c>
      <c r="L179" s="1032" t="s">
        <v>1037</v>
      </c>
      <c r="M179" s="1032" t="s">
        <v>1035</v>
      </c>
      <c r="N179" s="1032" t="s">
        <v>1038</v>
      </c>
      <c r="O179" s="1032">
        <v>2021.0</v>
      </c>
      <c r="P179" s="1032" t="s">
        <v>1039</v>
      </c>
      <c r="Q179" s="1033" t="s">
        <v>63</v>
      </c>
      <c r="R179" s="1034">
        <v>12467.31744</v>
      </c>
      <c r="S179" s="1034">
        <v>9160.717967</v>
      </c>
      <c r="T179" s="1035">
        <v>16009.86601</v>
      </c>
      <c r="V179" s="1019" t="s">
        <v>152</v>
      </c>
      <c r="W179" s="1020" t="s">
        <v>1040</v>
      </c>
      <c r="X179" s="1020" t="s">
        <v>1035</v>
      </c>
      <c r="Y179" s="1020" t="s">
        <v>1038</v>
      </c>
      <c r="Z179" s="1020">
        <v>2021.0</v>
      </c>
      <c r="AA179" s="1020" t="s">
        <v>1039</v>
      </c>
      <c r="AB179" s="1023" t="s">
        <v>63</v>
      </c>
      <c r="AC179" s="1024">
        <v>729.886645</v>
      </c>
      <c r="AD179" s="1024">
        <v>384.2807375</v>
      </c>
      <c r="AE179" s="1025">
        <v>1185.037243</v>
      </c>
      <c r="AF179" s="225"/>
    </row>
    <row r="180">
      <c r="A180" s="1013"/>
      <c r="B180" s="1019" t="s">
        <v>128</v>
      </c>
      <c r="C180" s="1020" t="s">
        <v>1035</v>
      </c>
      <c r="D180" s="1020" t="s">
        <v>1036</v>
      </c>
      <c r="E180" s="1020" t="s">
        <v>1047</v>
      </c>
      <c r="F180" s="1020">
        <v>2021.0</v>
      </c>
      <c r="G180" s="1021">
        <v>0.002781602</v>
      </c>
      <c r="H180" s="1021">
        <v>0.001368387</v>
      </c>
      <c r="I180" s="1022">
        <v>0.005268786</v>
      </c>
      <c r="K180" s="1031" t="s">
        <v>152</v>
      </c>
      <c r="L180" s="1032" t="s">
        <v>1037</v>
      </c>
      <c r="M180" s="1032" t="s">
        <v>1035</v>
      </c>
      <c r="N180" s="1032" t="s">
        <v>1042</v>
      </c>
      <c r="O180" s="1032">
        <v>2021.0</v>
      </c>
      <c r="P180" s="1032" t="s">
        <v>1039</v>
      </c>
      <c r="Q180" s="1033" t="s">
        <v>63</v>
      </c>
      <c r="R180" s="1034">
        <v>10737.78893</v>
      </c>
      <c r="S180" s="1034">
        <v>8902.49107</v>
      </c>
      <c r="T180" s="1035">
        <v>12683.27141</v>
      </c>
      <c r="V180" s="1019" t="s">
        <v>152</v>
      </c>
      <c r="W180" s="1020" t="s">
        <v>1040</v>
      </c>
      <c r="X180" s="1020" t="s">
        <v>1035</v>
      </c>
      <c r="Y180" s="1020" t="s">
        <v>1042</v>
      </c>
      <c r="Z180" s="1020">
        <v>2021.0</v>
      </c>
      <c r="AA180" s="1020" t="s">
        <v>1039</v>
      </c>
      <c r="AB180" s="1023" t="s">
        <v>63</v>
      </c>
      <c r="AC180" s="1024">
        <v>53.52855002</v>
      </c>
      <c r="AD180" s="1024">
        <v>25.01875156</v>
      </c>
      <c r="AE180" s="1025">
        <v>87.6673425</v>
      </c>
      <c r="AF180" s="225"/>
    </row>
    <row r="181">
      <c r="A181" s="1013"/>
      <c r="B181" s="1019" t="s">
        <v>128</v>
      </c>
      <c r="C181" s="1020" t="s">
        <v>1035</v>
      </c>
      <c r="D181" s="1020" t="s">
        <v>1041</v>
      </c>
      <c r="E181" s="1020" t="s">
        <v>1047</v>
      </c>
      <c r="F181" s="1020">
        <v>2021.0</v>
      </c>
      <c r="G181" s="1021">
        <v>0.018155837</v>
      </c>
      <c r="H181" s="1021">
        <v>0.00909916</v>
      </c>
      <c r="I181" s="1022">
        <v>0.0328834</v>
      </c>
      <c r="K181" s="1031" t="s">
        <v>152</v>
      </c>
      <c r="L181" s="1032" t="s">
        <v>1037</v>
      </c>
      <c r="M181" s="1032" t="s">
        <v>1035</v>
      </c>
      <c r="N181" s="1032" t="s">
        <v>1044</v>
      </c>
      <c r="O181" s="1032">
        <v>2021.0</v>
      </c>
      <c r="P181" s="1032" t="s">
        <v>1039</v>
      </c>
      <c r="Q181" s="1033" t="s">
        <v>63</v>
      </c>
      <c r="R181" s="1034">
        <v>1991.789364</v>
      </c>
      <c r="S181" s="1034">
        <v>1635.56547</v>
      </c>
      <c r="T181" s="1035">
        <v>2358.948856</v>
      </c>
      <c r="V181" s="1019" t="s">
        <v>152</v>
      </c>
      <c r="W181" s="1020" t="s">
        <v>1040</v>
      </c>
      <c r="X181" s="1020" t="s">
        <v>1035</v>
      </c>
      <c r="Y181" s="1020" t="s">
        <v>1044</v>
      </c>
      <c r="Z181" s="1020">
        <v>2021.0</v>
      </c>
      <c r="AA181" s="1020" t="s">
        <v>1039</v>
      </c>
      <c r="AB181" s="1023" t="s">
        <v>63</v>
      </c>
      <c r="AC181" s="1024">
        <v>56.00350404</v>
      </c>
      <c r="AD181" s="1024">
        <v>28.33815333</v>
      </c>
      <c r="AE181" s="1025">
        <v>91.21694457</v>
      </c>
      <c r="AF181" s="225"/>
    </row>
    <row r="182">
      <c r="A182" s="1013"/>
      <c r="B182" s="1019" t="s">
        <v>128</v>
      </c>
      <c r="C182" s="1020" t="s">
        <v>1035</v>
      </c>
      <c r="D182" s="1020" t="s">
        <v>1043</v>
      </c>
      <c r="E182" s="1020" t="s">
        <v>1047</v>
      </c>
      <c r="F182" s="1020">
        <v>2021.0</v>
      </c>
      <c r="G182" s="1021">
        <v>7.11628E-4</v>
      </c>
      <c r="H182" s="1021">
        <v>4.10172E-4</v>
      </c>
      <c r="I182" s="1022">
        <v>0.001139467</v>
      </c>
      <c r="K182" s="1031" t="s">
        <v>152</v>
      </c>
      <c r="L182" s="1032" t="s">
        <v>1037</v>
      </c>
      <c r="M182" s="1032" t="s">
        <v>1035</v>
      </c>
      <c r="N182" s="1032" t="s">
        <v>1046</v>
      </c>
      <c r="O182" s="1032">
        <v>2021.0</v>
      </c>
      <c r="P182" s="1032" t="s">
        <v>1039</v>
      </c>
      <c r="Q182" s="1033" t="s">
        <v>63</v>
      </c>
      <c r="R182" s="1034">
        <v>13308.79278</v>
      </c>
      <c r="S182" s="1034">
        <v>11139.64413</v>
      </c>
      <c r="T182" s="1035">
        <v>15608.95038</v>
      </c>
      <c r="V182" s="1019" t="s">
        <v>152</v>
      </c>
      <c r="W182" s="1020" t="s">
        <v>1040</v>
      </c>
      <c r="X182" s="1020" t="s">
        <v>1035</v>
      </c>
      <c r="Y182" s="1020" t="s">
        <v>1046</v>
      </c>
      <c r="Z182" s="1020">
        <v>2021.0</v>
      </c>
      <c r="AA182" s="1020" t="s">
        <v>1039</v>
      </c>
      <c r="AB182" s="1023" t="s">
        <v>63</v>
      </c>
      <c r="AC182" s="1024">
        <v>1540.824337</v>
      </c>
      <c r="AD182" s="1024">
        <v>975.2714633</v>
      </c>
      <c r="AE182" s="1025">
        <v>2243.511239</v>
      </c>
      <c r="AF182" s="225"/>
    </row>
    <row r="183">
      <c r="A183" s="1013"/>
      <c r="B183" s="1019" t="s">
        <v>128</v>
      </c>
      <c r="C183" s="1020" t="s">
        <v>1035</v>
      </c>
      <c r="D183" s="1020" t="s">
        <v>1045</v>
      </c>
      <c r="E183" s="1020" t="s">
        <v>1047</v>
      </c>
      <c r="F183" s="1020">
        <v>2021.0</v>
      </c>
      <c r="G183" s="1021">
        <v>0.011690826</v>
      </c>
      <c r="H183" s="1021">
        <v>0.008528543</v>
      </c>
      <c r="I183" s="1022">
        <v>0.016209323</v>
      </c>
      <c r="K183" s="1031" t="s">
        <v>152</v>
      </c>
      <c r="L183" s="1032" t="s">
        <v>1037</v>
      </c>
      <c r="M183" s="1032" t="s">
        <v>1035</v>
      </c>
      <c r="N183" s="1032" t="s">
        <v>1045</v>
      </c>
      <c r="O183" s="1032">
        <v>2021.0</v>
      </c>
      <c r="P183" s="1032" t="s">
        <v>1039</v>
      </c>
      <c r="Q183" s="1033" t="s">
        <v>63</v>
      </c>
      <c r="R183" s="1034">
        <v>38505.68852</v>
      </c>
      <c r="S183" s="1034">
        <v>30777.85442</v>
      </c>
      <c r="T183" s="1035">
        <v>46459.8544</v>
      </c>
      <c r="V183" s="1019" t="s">
        <v>152</v>
      </c>
      <c r="W183" s="1020" t="s">
        <v>1040</v>
      </c>
      <c r="X183" s="1020" t="s">
        <v>1035</v>
      </c>
      <c r="Y183" s="1020" t="s">
        <v>1045</v>
      </c>
      <c r="Z183" s="1020">
        <v>2021.0</v>
      </c>
      <c r="AA183" s="1020" t="s">
        <v>1039</v>
      </c>
      <c r="AB183" s="1023" t="s">
        <v>63</v>
      </c>
      <c r="AC183" s="1024">
        <v>2380.243036</v>
      </c>
      <c r="AD183" s="1024">
        <v>1531.75371</v>
      </c>
      <c r="AE183" s="1025">
        <v>3507.359846</v>
      </c>
      <c r="AF183" s="225"/>
    </row>
    <row r="184">
      <c r="A184" s="1013"/>
      <c r="B184" s="1019" t="s">
        <v>129</v>
      </c>
      <c r="C184" s="1020" t="s">
        <v>1035</v>
      </c>
      <c r="D184" s="1020" t="s">
        <v>1036</v>
      </c>
      <c r="E184" s="1020" t="s">
        <v>1047</v>
      </c>
      <c r="F184" s="1020">
        <v>2021.0</v>
      </c>
      <c r="G184" s="1021">
        <v>0.002375827</v>
      </c>
      <c r="H184" s="1021">
        <v>0.00120732</v>
      </c>
      <c r="I184" s="1022">
        <v>0.004342634</v>
      </c>
      <c r="K184" s="1031" t="s">
        <v>153</v>
      </c>
      <c r="L184" s="1032" t="s">
        <v>1037</v>
      </c>
      <c r="M184" s="1032" t="s">
        <v>1035</v>
      </c>
      <c r="N184" s="1032" t="s">
        <v>1038</v>
      </c>
      <c r="O184" s="1032">
        <v>2021.0</v>
      </c>
      <c r="P184" s="1032" t="s">
        <v>1039</v>
      </c>
      <c r="Q184" s="1033" t="s">
        <v>63</v>
      </c>
      <c r="R184" s="1034">
        <v>6935.704783</v>
      </c>
      <c r="S184" s="1034">
        <v>5386.7679</v>
      </c>
      <c r="T184" s="1035">
        <v>8603.510726</v>
      </c>
      <c r="V184" s="1019" t="s">
        <v>153</v>
      </c>
      <c r="W184" s="1020" t="s">
        <v>1040</v>
      </c>
      <c r="X184" s="1020" t="s">
        <v>1035</v>
      </c>
      <c r="Y184" s="1020" t="s">
        <v>1038</v>
      </c>
      <c r="Z184" s="1020">
        <v>2021.0</v>
      </c>
      <c r="AA184" s="1020" t="s">
        <v>1039</v>
      </c>
      <c r="AB184" s="1023" t="s">
        <v>63</v>
      </c>
      <c r="AC184" s="1024">
        <v>468.6043738</v>
      </c>
      <c r="AD184" s="1024">
        <v>241.5806697</v>
      </c>
      <c r="AE184" s="1025">
        <v>748.254021</v>
      </c>
      <c r="AF184" s="225"/>
    </row>
    <row r="185">
      <c r="A185" s="1013"/>
      <c r="B185" s="1019" t="s">
        <v>129</v>
      </c>
      <c r="C185" s="1020" t="s">
        <v>1035</v>
      </c>
      <c r="D185" s="1020" t="s">
        <v>1041</v>
      </c>
      <c r="E185" s="1020" t="s">
        <v>1047</v>
      </c>
      <c r="F185" s="1020">
        <v>2021.0</v>
      </c>
      <c r="G185" s="1021">
        <v>0.019158209</v>
      </c>
      <c r="H185" s="1021">
        <v>0.010390637</v>
      </c>
      <c r="I185" s="1022">
        <v>0.033510985</v>
      </c>
      <c r="K185" s="1031" t="s">
        <v>153</v>
      </c>
      <c r="L185" s="1032" t="s">
        <v>1037</v>
      </c>
      <c r="M185" s="1032" t="s">
        <v>1035</v>
      </c>
      <c r="N185" s="1032" t="s">
        <v>1042</v>
      </c>
      <c r="O185" s="1032">
        <v>2021.0</v>
      </c>
      <c r="P185" s="1032" t="s">
        <v>1039</v>
      </c>
      <c r="Q185" s="1033" t="s">
        <v>63</v>
      </c>
      <c r="R185" s="1034">
        <v>6397.604617</v>
      </c>
      <c r="S185" s="1034">
        <v>5513.890314</v>
      </c>
      <c r="T185" s="1035">
        <v>7366.960564</v>
      </c>
      <c r="V185" s="1019" t="s">
        <v>153</v>
      </c>
      <c r="W185" s="1020" t="s">
        <v>1040</v>
      </c>
      <c r="X185" s="1020" t="s">
        <v>1035</v>
      </c>
      <c r="Y185" s="1020" t="s">
        <v>1042</v>
      </c>
      <c r="Z185" s="1020">
        <v>2021.0</v>
      </c>
      <c r="AA185" s="1020" t="s">
        <v>1039</v>
      </c>
      <c r="AB185" s="1023" t="s">
        <v>63</v>
      </c>
      <c r="AC185" s="1024">
        <v>44.82340316</v>
      </c>
      <c r="AD185" s="1024">
        <v>19.23846612</v>
      </c>
      <c r="AE185" s="1025">
        <v>71.46178546</v>
      </c>
      <c r="AF185" s="225"/>
    </row>
    <row r="186">
      <c r="A186" s="1013"/>
      <c r="B186" s="1019" t="s">
        <v>129</v>
      </c>
      <c r="C186" s="1020" t="s">
        <v>1035</v>
      </c>
      <c r="D186" s="1020" t="s">
        <v>1043</v>
      </c>
      <c r="E186" s="1020" t="s">
        <v>1047</v>
      </c>
      <c r="F186" s="1020">
        <v>2021.0</v>
      </c>
      <c r="G186" s="1021">
        <v>6.4437E-4</v>
      </c>
      <c r="H186" s="1021">
        <v>3.40598E-4</v>
      </c>
      <c r="I186" s="1022">
        <v>0.001086089</v>
      </c>
      <c r="K186" s="1031" t="s">
        <v>153</v>
      </c>
      <c r="L186" s="1032" t="s">
        <v>1037</v>
      </c>
      <c r="M186" s="1032" t="s">
        <v>1035</v>
      </c>
      <c r="N186" s="1032" t="s">
        <v>1044</v>
      </c>
      <c r="O186" s="1032">
        <v>2021.0</v>
      </c>
      <c r="P186" s="1032" t="s">
        <v>1039</v>
      </c>
      <c r="Q186" s="1033" t="s">
        <v>63</v>
      </c>
      <c r="R186" s="1034">
        <v>1030.971856</v>
      </c>
      <c r="S186" s="1034">
        <v>883.9885175</v>
      </c>
      <c r="T186" s="1035">
        <v>1183.503192</v>
      </c>
      <c r="V186" s="1019" t="s">
        <v>153</v>
      </c>
      <c r="W186" s="1020" t="s">
        <v>1040</v>
      </c>
      <c r="X186" s="1020" t="s">
        <v>1035</v>
      </c>
      <c r="Y186" s="1020" t="s">
        <v>1044</v>
      </c>
      <c r="Z186" s="1020">
        <v>2021.0</v>
      </c>
      <c r="AA186" s="1020" t="s">
        <v>1039</v>
      </c>
      <c r="AB186" s="1023" t="s">
        <v>63</v>
      </c>
      <c r="AC186" s="1024">
        <v>33.0291859</v>
      </c>
      <c r="AD186" s="1024">
        <v>17.26538979</v>
      </c>
      <c r="AE186" s="1025">
        <v>60.52823889</v>
      </c>
      <c r="AF186" s="225"/>
    </row>
    <row r="187">
      <c r="A187" s="1013"/>
      <c r="B187" s="1019" t="s">
        <v>129</v>
      </c>
      <c r="C187" s="1020" t="s">
        <v>1035</v>
      </c>
      <c r="D187" s="1020" t="s">
        <v>1045</v>
      </c>
      <c r="E187" s="1020" t="s">
        <v>1047</v>
      </c>
      <c r="F187" s="1020">
        <v>2021.0</v>
      </c>
      <c r="G187" s="1021">
        <v>0.009844375</v>
      </c>
      <c r="H187" s="1021">
        <v>0.006903742</v>
      </c>
      <c r="I187" s="1022">
        <v>0.013619455</v>
      </c>
      <c r="K187" s="1031" t="s">
        <v>153</v>
      </c>
      <c r="L187" s="1032" t="s">
        <v>1037</v>
      </c>
      <c r="M187" s="1032" t="s">
        <v>1035</v>
      </c>
      <c r="N187" s="1032" t="s">
        <v>1046</v>
      </c>
      <c r="O187" s="1032">
        <v>2021.0</v>
      </c>
      <c r="P187" s="1032" t="s">
        <v>1039</v>
      </c>
      <c r="Q187" s="1033" t="s">
        <v>63</v>
      </c>
      <c r="R187" s="1034">
        <v>4502.138065</v>
      </c>
      <c r="S187" s="1034">
        <v>3915.378376</v>
      </c>
      <c r="T187" s="1035">
        <v>5146.17458</v>
      </c>
      <c r="V187" s="1019" t="s">
        <v>153</v>
      </c>
      <c r="W187" s="1020" t="s">
        <v>1040</v>
      </c>
      <c r="X187" s="1020" t="s">
        <v>1035</v>
      </c>
      <c r="Y187" s="1020" t="s">
        <v>1046</v>
      </c>
      <c r="Z187" s="1020">
        <v>2021.0</v>
      </c>
      <c r="AA187" s="1020" t="s">
        <v>1039</v>
      </c>
      <c r="AB187" s="1023" t="s">
        <v>63</v>
      </c>
      <c r="AC187" s="1024">
        <v>570.5930366</v>
      </c>
      <c r="AD187" s="1024">
        <v>344.1357616</v>
      </c>
      <c r="AE187" s="1025">
        <v>872.8208912</v>
      </c>
      <c r="AF187" s="225"/>
    </row>
    <row r="188">
      <c r="A188" s="1013"/>
      <c r="B188" s="1019" t="s">
        <v>130</v>
      </c>
      <c r="C188" s="1020" t="s">
        <v>1035</v>
      </c>
      <c r="D188" s="1020" t="s">
        <v>1036</v>
      </c>
      <c r="E188" s="1020" t="s">
        <v>1047</v>
      </c>
      <c r="F188" s="1020">
        <v>2021.0</v>
      </c>
      <c r="G188" s="1021">
        <v>0.001715319</v>
      </c>
      <c r="H188" s="1021">
        <v>7.12191E-4</v>
      </c>
      <c r="I188" s="1022">
        <v>0.003145688</v>
      </c>
      <c r="K188" s="1031" t="s">
        <v>153</v>
      </c>
      <c r="L188" s="1032" t="s">
        <v>1037</v>
      </c>
      <c r="M188" s="1032" t="s">
        <v>1035</v>
      </c>
      <c r="N188" s="1032" t="s">
        <v>1045</v>
      </c>
      <c r="O188" s="1032">
        <v>2021.0</v>
      </c>
      <c r="P188" s="1032" t="s">
        <v>1039</v>
      </c>
      <c r="Q188" s="1033" t="s">
        <v>63</v>
      </c>
      <c r="R188" s="1034">
        <v>18866.41932</v>
      </c>
      <c r="S188" s="1034">
        <v>15851.12369</v>
      </c>
      <c r="T188" s="1035">
        <v>22282.44904</v>
      </c>
      <c r="V188" s="1019" t="s">
        <v>153</v>
      </c>
      <c r="W188" s="1020" t="s">
        <v>1040</v>
      </c>
      <c r="X188" s="1020" t="s">
        <v>1035</v>
      </c>
      <c r="Y188" s="1020" t="s">
        <v>1045</v>
      </c>
      <c r="Z188" s="1020">
        <v>2021.0</v>
      </c>
      <c r="AA188" s="1020" t="s">
        <v>1039</v>
      </c>
      <c r="AB188" s="1023" t="s">
        <v>63</v>
      </c>
      <c r="AC188" s="1024">
        <v>1117.05</v>
      </c>
      <c r="AD188" s="1024">
        <v>693.3990102</v>
      </c>
      <c r="AE188" s="1025">
        <v>1671.391733</v>
      </c>
      <c r="AF188" s="225"/>
    </row>
    <row r="189">
      <c r="A189" s="1013"/>
      <c r="B189" s="1019" t="s">
        <v>130</v>
      </c>
      <c r="C189" s="1020" t="s">
        <v>1035</v>
      </c>
      <c r="D189" s="1020" t="s">
        <v>1041</v>
      </c>
      <c r="E189" s="1020" t="s">
        <v>1047</v>
      </c>
      <c r="F189" s="1020">
        <v>2021.0</v>
      </c>
      <c r="G189" s="1021">
        <v>0.011142639</v>
      </c>
      <c r="H189" s="1021">
        <v>0.005365727</v>
      </c>
      <c r="I189" s="1022">
        <v>0.020710514</v>
      </c>
      <c r="K189" s="1031" t="s">
        <v>122</v>
      </c>
      <c r="L189" s="1032" t="s">
        <v>1037</v>
      </c>
      <c r="M189" s="1032" t="s">
        <v>1035</v>
      </c>
      <c r="N189" s="1032" t="s">
        <v>1038</v>
      </c>
      <c r="O189" s="1032">
        <v>2021.0</v>
      </c>
      <c r="P189" s="1032" t="s">
        <v>1039</v>
      </c>
      <c r="Q189" s="1033" t="s">
        <v>63</v>
      </c>
      <c r="R189" s="1034">
        <v>14559.85147</v>
      </c>
      <c r="S189" s="1034">
        <v>11540.28721</v>
      </c>
      <c r="T189" s="1035">
        <v>17862.48982</v>
      </c>
      <c r="V189" s="1019" t="s">
        <v>122</v>
      </c>
      <c r="W189" s="1020" t="s">
        <v>1040</v>
      </c>
      <c r="X189" s="1020" t="s">
        <v>1035</v>
      </c>
      <c r="Y189" s="1020" t="s">
        <v>1038</v>
      </c>
      <c r="Z189" s="1020">
        <v>2021.0</v>
      </c>
      <c r="AA189" s="1020" t="s">
        <v>1039</v>
      </c>
      <c r="AB189" s="1023" t="s">
        <v>63</v>
      </c>
      <c r="AC189" s="1024">
        <v>1414.559592</v>
      </c>
      <c r="AD189" s="1024">
        <v>791.0007313</v>
      </c>
      <c r="AE189" s="1025">
        <v>2272.009434</v>
      </c>
      <c r="AF189" s="225"/>
    </row>
    <row r="190">
      <c r="A190" s="1013"/>
      <c r="B190" s="1019" t="s">
        <v>130</v>
      </c>
      <c r="C190" s="1020" t="s">
        <v>1035</v>
      </c>
      <c r="D190" s="1020" t="s">
        <v>1043</v>
      </c>
      <c r="E190" s="1020" t="s">
        <v>1047</v>
      </c>
      <c r="F190" s="1020">
        <v>2021.0</v>
      </c>
      <c r="G190" s="1021">
        <v>3.05489E-4</v>
      </c>
      <c r="H190" s="1021">
        <v>1.23549E-4</v>
      </c>
      <c r="I190" s="1022">
        <v>5.76889E-4</v>
      </c>
      <c r="K190" s="1031" t="s">
        <v>122</v>
      </c>
      <c r="L190" s="1032" t="s">
        <v>1037</v>
      </c>
      <c r="M190" s="1032" t="s">
        <v>1035</v>
      </c>
      <c r="N190" s="1032" t="s">
        <v>1042</v>
      </c>
      <c r="O190" s="1032">
        <v>2021.0</v>
      </c>
      <c r="P190" s="1032" t="s">
        <v>1039</v>
      </c>
      <c r="Q190" s="1033" t="s">
        <v>63</v>
      </c>
      <c r="R190" s="1034">
        <v>6062.707572</v>
      </c>
      <c r="S190" s="1034">
        <v>5347.394008</v>
      </c>
      <c r="T190" s="1035">
        <v>6837.967987</v>
      </c>
      <c r="V190" s="1019" t="s">
        <v>122</v>
      </c>
      <c r="W190" s="1020" t="s">
        <v>1040</v>
      </c>
      <c r="X190" s="1020" t="s">
        <v>1035</v>
      </c>
      <c r="Y190" s="1020" t="s">
        <v>1042</v>
      </c>
      <c r="Z190" s="1020">
        <v>2021.0</v>
      </c>
      <c r="AA190" s="1020" t="s">
        <v>1039</v>
      </c>
      <c r="AB190" s="1023" t="s">
        <v>63</v>
      </c>
      <c r="AC190" s="1024">
        <v>45.55628334</v>
      </c>
      <c r="AD190" s="1024">
        <v>21.88456269</v>
      </c>
      <c r="AE190" s="1025">
        <v>75.84321446</v>
      </c>
      <c r="AF190" s="225"/>
    </row>
    <row r="191">
      <c r="A191" s="1013"/>
      <c r="B191" s="1019" t="s">
        <v>130</v>
      </c>
      <c r="C191" s="1020" t="s">
        <v>1035</v>
      </c>
      <c r="D191" s="1020" t="s">
        <v>1045</v>
      </c>
      <c r="E191" s="1020" t="s">
        <v>1047</v>
      </c>
      <c r="F191" s="1020">
        <v>2021.0</v>
      </c>
      <c r="G191" s="1021">
        <v>0.004539302</v>
      </c>
      <c r="H191" s="1021">
        <v>0.002445781</v>
      </c>
      <c r="I191" s="1022">
        <v>0.007432516</v>
      </c>
      <c r="K191" s="1031" t="s">
        <v>122</v>
      </c>
      <c r="L191" s="1032" t="s">
        <v>1037</v>
      </c>
      <c r="M191" s="1032" t="s">
        <v>1035</v>
      </c>
      <c r="N191" s="1032" t="s">
        <v>1044</v>
      </c>
      <c r="O191" s="1032">
        <v>2021.0</v>
      </c>
      <c r="P191" s="1032" t="s">
        <v>1039</v>
      </c>
      <c r="Q191" s="1033" t="s">
        <v>63</v>
      </c>
      <c r="R191" s="1034">
        <v>2192.167006</v>
      </c>
      <c r="S191" s="1034">
        <v>1916.740368</v>
      </c>
      <c r="T191" s="1035">
        <v>2485.781757</v>
      </c>
      <c r="V191" s="1019" t="s">
        <v>122</v>
      </c>
      <c r="W191" s="1020" t="s">
        <v>1040</v>
      </c>
      <c r="X191" s="1020" t="s">
        <v>1035</v>
      </c>
      <c r="Y191" s="1020" t="s">
        <v>1044</v>
      </c>
      <c r="Z191" s="1020">
        <v>2021.0</v>
      </c>
      <c r="AA191" s="1020" t="s">
        <v>1039</v>
      </c>
      <c r="AB191" s="1023" t="s">
        <v>63</v>
      </c>
      <c r="AC191" s="1024">
        <v>70.13753585</v>
      </c>
      <c r="AD191" s="1024">
        <v>33.19062219</v>
      </c>
      <c r="AE191" s="1025">
        <v>119.0079977</v>
      </c>
      <c r="AF191" s="225"/>
    </row>
    <row r="192">
      <c r="A192" s="1013"/>
      <c r="B192" s="1019" t="s">
        <v>131</v>
      </c>
      <c r="C192" s="1020" t="s">
        <v>1035</v>
      </c>
      <c r="D192" s="1020" t="s">
        <v>1036</v>
      </c>
      <c r="E192" s="1020" t="s">
        <v>1047</v>
      </c>
      <c r="F192" s="1020">
        <v>2021.0</v>
      </c>
      <c r="G192" s="1021">
        <v>9.67394E-4</v>
      </c>
      <c r="H192" s="1021">
        <v>3.68334E-4</v>
      </c>
      <c r="I192" s="1022">
        <v>0.001925942</v>
      </c>
      <c r="K192" s="1031" t="s">
        <v>122</v>
      </c>
      <c r="L192" s="1032" t="s">
        <v>1037</v>
      </c>
      <c r="M192" s="1032" t="s">
        <v>1035</v>
      </c>
      <c r="N192" s="1032" t="s">
        <v>1046</v>
      </c>
      <c r="O192" s="1032">
        <v>2021.0</v>
      </c>
      <c r="P192" s="1032" t="s">
        <v>1039</v>
      </c>
      <c r="Q192" s="1033" t="s">
        <v>63</v>
      </c>
      <c r="R192" s="1034">
        <v>9579.518068</v>
      </c>
      <c r="S192" s="1034">
        <v>8507.240249</v>
      </c>
      <c r="T192" s="1035">
        <v>10694.53541</v>
      </c>
      <c r="V192" s="1019" t="s">
        <v>122</v>
      </c>
      <c r="W192" s="1020" t="s">
        <v>1040</v>
      </c>
      <c r="X192" s="1020" t="s">
        <v>1035</v>
      </c>
      <c r="Y192" s="1020" t="s">
        <v>1046</v>
      </c>
      <c r="Z192" s="1020">
        <v>2021.0</v>
      </c>
      <c r="AA192" s="1020" t="s">
        <v>1039</v>
      </c>
      <c r="AB192" s="1023" t="s">
        <v>63</v>
      </c>
      <c r="AC192" s="1024">
        <v>1439.86721</v>
      </c>
      <c r="AD192" s="1024">
        <v>876.9907901</v>
      </c>
      <c r="AE192" s="1025">
        <v>2079.040106</v>
      </c>
      <c r="AF192" s="225"/>
    </row>
    <row r="193">
      <c r="A193" s="1013"/>
      <c r="B193" s="1019" t="s">
        <v>131</v>
      </c>
      <c r="C193" s="1020" t="s">
        <v>1035</v>
      </c>
      <c r="D193" s="1020" t="s">
        <v>1041</v>
      </c>
      <c r="E193" s="1020" t="s">
        <v>1047</v>
      </c>
      <c r="F193" s="1020">
        <v>2021.0</v>
      </c>
      <c r="G193" s="1021">
        <v>0.005654098</v>
      </c>
      <c r="H193" s="1021">
        <v>0.002379225</v>
      </c>
      <c r="I193" s="1022">
        <v>0.010601604</v>
      </c>
      <c r="K193" s="1031" t="s">
        <v>122</v>
      </c>
      <c r="L193" s="1032" t="s">
        <v>1037</v>
      </c>
      <c r="M193" s="1032" t="s">
        <v>1035</v>
      </c>
      <c r="N193" s="1032" t="s">
        <v>1045</v>
      </c>
      <c r="O193" s="1032">
        <v>2021.0</v>
      </c>
      <c r="P193" s="1032" t="s">
        <v>1039</v>
      </c>
      <c r="Q193" s="1033" t="s">
        <v>63</v>
      </c>
      <c r="R193" s="1034">
        <v>32394.24412</v>
      </c>
      <c r="S193" s="1034">
        <v>27457.18425</v>
      </c>
      <c r="T193" s="1035">
        <v>37602.69024</v>
      </c>
      <c r="V193" s="1040" t="s">
        <v>122</v>
      </c>
      <c r="W193" s="1041" t="s">
        <v>1040</v>
      </c>
      <c r="X193" s="1041" t="s">
        <v>1035</v>
      </c>
      <c r="Y193" s="1041" t="s">
        <v>1045</v>
      </c>
      <c r="Z193" s="1041">
        <v>2021.0</v>
      </c>
      <c r="AA193" s="1041" t="s">
        <v>1039</v>
      </c>
      <c r="AB193" s="1042" t="s">
        <v>63</v>
      </c>
      <c r="AC193" s="1043">
        <v>2970.120621</v>
      </c>
      <c r="AD193" s="1043">
        <v>1941.229272</v>
      </c>
      <c r="AE193" s="1044">
        <v>4323.458366</v>
      </c>
      <c r="AF193" s="225"/>
    </row>
    <row r="194">
      <c r="A194" s="1013"/>
      <c r="B194" s="1019" t="s">
        <v>131</v>
      </c>
      <c r="C194" s="1020" t="s">
        <v>1035</v>
      </c>
      <c r="D194" s="1020" t="s">
        <v>1043</v>
      </c>
      <c r="E194" s="1020" t="s">
        <v>1047</v>
      </c>
      <c r="F194" s="1020">
        <v>2021.0</v>
      </c>
      <c r="G194" s="1021">
        <v>1.76048E-4</v>
      </c>
      <c r="H194" s="1021">
        <v>6.35E-5</v>
      </c>
      <c r="I194" s="1022">
        <v>3.4964E-4</v>
      </c>
      <c r="K194" s="1031" t="s">
        <v>123</v>
      </c>
      <c r="L194" s="1032" t="s">
        <v>1047</v>
      </c>
      <c r="M194" s="1032" t="s">
        <v>1035</v>
      </c>
      <c r="N194" s="1032" t="s">
        <v>1038</v>
      </c>
      <c r="O194" s="1032">
        <v>2021.0</v>
      </c>
      <c r="P194" s="1032" t="s">
        <v>1039</v>
      </c>
      <c r="Q194" s="1033" t="s">
        <v>63</v>
      </c>
      <c r="R194" s="1034">
        <v>367.0642974</v>
      </c>
      <c r="S194" s="1034">
        <v>222.8279985</v>
      </c>
      <c r="T194" s="1035">
        <v>638.3720737</v>
      </c>
      <c r="AB194" s="1045"/>
      <c r="AF194" s="225"/>
    </row>
    <row r="195">
      <c r="A195" s="1013"/>
      <c r="B195" s="1019" t="s">
        <v>131</v>
      </c>
      <c r="C195" s="1020" t="s">
        <v>1035</v>
      </c>
      <c r="D195" s="1020" t="s">
        <v>1045</v>
      </c>
      <c r="E195" s="1020" t="s">
        <v>1047</v>
      </c>
      <c r="F195" s="1020">
        <v>2021.0</v>
      </c>
      <c r="G195" s="1021">
        <v>0.00495511</v>
      </c>
      <c r="H195" s="1021">
        <v>0.002387875</v>
      </c>
      <c r="I195" s="1022">
        <v>0.009199775</v>
      </c>
      <c r="K195" s="1031" t="s">
        <v>123</v>
      </c>
      <c r="L195" s="1032" t="s">
        <v>1047</v>
      </c>
      <c r="M195" s="1032" t="s">
        <v>1035</v>
      </c>
      <c r="N195" s="1032" t="s">
        <v>1042</v>
      </c>
      <c r="O195" s="1032">
        <v>2021.0</v>
      </c>
      <c r="P195" s="1032" t="s">
        <v>1039</v>
      </c>
      <c r="Q195" s="1033" t="s">
        <v>63</v>
      </c>
      <c r="R195" s="1034">
        <v>26.36533527</v>
      </c>
      <c r="S195" s="1034">
        <v>18.4999738</v>
      </c>
      <c r="T195" s="1035">
        <v>41.07601426</v>
      </c>
      <c r="AB195" s="1045"/>
      <c r="AF195" s="225"/>
    </row>
    <row r="196">
      <c r="A196" s="1013"/>
      <c r="B196" s="1019" t="s">
        <v>132</v>
      </c>
      <c r="C196" s="1020" t="s">
        <v>1035</v>
      </c>
      <c r="D196" s="1020" t="s">
        <v>1036</v>
      </c>
      <c r="E196" s="1020" t="s">
        <v>1047</v>
      </c>
      <c r="F196" s="1020">
        <v>2021.0</v>
      </c>
      <c r="G196" s="1021">
        <v>0.001784197</v>
      </c>
      <c r="H196" s="1021">
        <v>6.64894E-4</v>
      </c>
      <c r="I196" s="1022">
        <v>0.00340307</v>
      </c>
      <c r="K196" s="1031" t="s">
        <v>123</v>
      </c>
      <c r="L196" s="1032" t="s">
        <v>1047</v>
      </c>
      <c r="M196" s="1032" t="s">
        <v>1035</v>
      </c>
      <c r="N196" s="1032" t="s">
        <v>1044</v>
      </c>
      <c r="O196" s="1032">
        <v>2021.0</v>
      </c>
      <c r="P196" s="1032" t="s">
        <v>1039</v>
      </c>
      <c r="Q196" s="1033" t="s">
        <v>63</v>
      </c>
      <c r="R196" s="1034">
        <v>41.77445336</v>
      </c>
      <c r="S196" s="1034">
        <v>33.31390118</v>
      </c>
      <c r="T196" s="1035">
        <v>59.14183323</v>
      </c>
      <c r="AB196" s="1045"/>
      <c r="AF196" s="225"/>
    </row>
    <row r="197">
      <c r="A197" s="1013"/>
      <c r="B197" s="1019" t="s">
        <v>132</v>
      </c>
      <c r="C197" s="1020" t="s">
        <v>1035</v>
      </c>
      <c r="D197" s="1020" t="s">
        <v>1041</v>
      </c>
      <c r="E197" s="1020" t="s">
        <v>1047</v>
      </c>
      <c r="F197" s="1020">
        <v>2021.0</v>
      </c>
      <c r="G197" s="1021">
        <v>0.012145436</v>
      </c>
      <c r="H197" s="1021">
        <v>0.004914776</v>
      </c>
      <c r="I197" s="1022">
        <v>0.022848546</v>
      </c>
      <c r="K197" s="1031" t="s">
        <v>123</v>
      </c>
      <c r="L197" s="1032" t="s">
        <v>1047</v>
      </c>
      <c r="M197" s="1032" t="s">
        <v>1035</v>
      </c>
      <c r="N197" s="1032" t="s">
        <v>1046</v>
      </c>
      <c r="O197" s="1032">
        <v>2021.0</v>
      </c>
      <c r="P197" s="1032" t="s">
        <v>1039</v>
      </c>
      <c r="Q197" s="1033" t="s">
        <v>63</v>
      </c>
      <c r="R197" s="1034">
        <v>723.746939</v>
      </c>
      <c r="S197" s="1034">
        <v>532.4251713</v>
      </c>
      <c r="T197" s="1035">
        <v>1092.811981</v>
      </c>
      <c r="AB197" s="1045"/>
      <c r="AF197" s="225"/>
    </row>
    <row r="198">
      <c r="A198" s="1013"/>
      <c r="B198" s="1019" t="s">
        <v>132</v>
      </c>
      <c r="C198" s="1020" t="s">
        <v>1035</v>
      </c>
      <c r="D198" s="1020" t="s">
        <v>1043</v>
      </c>
      <c r="E198" s="1020" t="s">
        <v>1047</v>
      </c>
      <c r="F198" s="1020">
        <v>2021.0</v>
      </c>
      <c r="G198" s="1021">
        <v>3.81868E-4</v>
      </c>
      <c r="H198" s="1021">
        <v>1.46101E-4</v>
      </c>
      <c r="I198" s="1022">
        <v>7.27553E-4</v>
      </c>
      <c r="K198" s="1031" t="s">
        <v>123</v>
      </c>
      <c r="L198" s="1032" t="s">
        <v>1047</v>
      </c>
      <c r="M198" s="1032" t="s">
        <v>1035</v>
      </c>
      <c r="N198" s="1032" t="s">
        <v>1045</v>
      </c>
      <c r="O198" s="1032">
        <v>2021.0</v>
      </c>
      <c r="P198" s="1032" t="s">
        <v>1039</v>
      </c>
      <c r="Q198" s="1033" t="s">
        <v>63</v>
      </c>
      <c r="R198" s="1034">
        <v>1158.951025</v>
      </c>
      <c r="S198" s="1034">
        <v>837.0377379</v>
      </c>
      <c r="T198" s="1035">
        <v>1780.424191</v>
      </c>
      <c r="AB198" s="1045"/>
      <c r="AF198" s="225"/>
    </row>
    <row r="199">
      <c r="A199" s="1013"/>
      <c r="B199" s="1019" t="s">
        <v>132</v>
      </c>
      <c r="C199" s="1020" t="s">
        <v>1035</v>
      </c>
      <c r="D199" s="1020" t="s">
        <v>1045</v>
      </c>
      <c r="E199" s="1020" t="s">
        <v>1047</v>
      </c>
      <c r="F199" s="1020">
        <v>2021.0</v>
      </c>
      <c r="G199" s="1021">
        <v>0.007927072</v>
      </c>
      <c r="H199" s="1021">
        <v>0.004184523</v>
      </c>
      <c r="I199" s="1022">
        <v>0.012823201</v>
      </c>
      <c r="K199" s="1031" t="s">
        <v>124</v>
      </c>
      <c r="L199" s="1032" t="s">
        <v>1047</v>
      </c>
      <c r="M199" s="1032" t="s">
        <v>1035</v>
      </c>
      <c r="N199" s="1032" t="s">
        <v>1038</v>
      </c>
      <c r="O199" s="1032">
        <v>2021.0</v>
      </c>
      <c r="P199" s="1032" t="s">
        <v>1039</v>
      </c>
      <c r="Q199" s="1033" t="s">
        <v>63</v>
      </c>
      <c r="R199" s="1034">
        <v>730.752069</v>
      </c>
      <c r="S199" s="1034">
        <v>419.6253793</v>
      </c>
      <c r="T199" s="1035">
        <v>1175.902617</v>
      </c>
      <c r="AB199" s="1045"/>
      <c r="AF199" s="225"/>
    </row>
    <row r="200">
      <c r="A200" s="1013"/>
      <c r="B200" s="1019" t="s">
        <v>133</v>
      </c>
      <c r="C200" s="1020" t="s">
        <v>1035</v>
      </c>
      <c r="D200" s="1020" t="s">
        <v>1036</v>
      </c>
      <c r="E200" s="1020" t="s">
        <v>1047</v>
      </c>
      <c r="F200" s="1020">
        <v>2021.0</v>
      </c>
      <c r="G200" s="1021">
        <v>8.91718E-4</v>
      </c>
      <c r="H200" s="1021">
        <v>3.39983E-4</v>
      </c>
      <c r="I200" s="1022">
        <v>0.001780676</v>
      </c>
      <c r="K200" s="1031" t="s">
        <v>124</v>
      </c>
      <c r="L200" s="1032" t="s">
        <v>1047</v>
      </c>
      <c r="M200" s="1032" t="s">
        <v>1035</v>
      </c>
      <c r="N200" s="1032" t="s">
        <v>1042</v>
      </c>
      <c r="O200" s="1032">
        <v>2021.0</v>
      </c>
      <c r="P200" s="1032" t="s">
        <v>1039</v>
      </c>
      <c r="Q200" s="1033" t="s">
        <v>63</v>
      </c>
      <c r="R200" s="1034">
        <v>38.59544484</v>
      </c>
      <c r="S200" s="1034">
        <v>23.98449784</v>
      </c>
      <c r="T200" s="1035">
        <v>59.01531198</v>
      </c>
      <c r="AB200" s="1045"/>
      <c r="AF200" s="225"/>
    </row>
    <row r="201">
      <c r="A201" s="1013"/>
      <c r="B201" s="1019" t="s">
        <v>133</v>
      </c>
      <c r="C201" s="1020" t="s">
        <v>1035</v>
      </c>
      <c r="D201" s="1020" t="s">
        <v>1041</v>
      </c>
      <c r="E201" s="1020" t="s">
        <v>1047</v>
      </c>
      <c r="F201" s="1020">
        <v>2021.0</v>
      </c>
      <c r="G201" s="1021">
        <v>0.004878092</v>
      </c>
      <c r="H201" s="1021">
        <v>0.002104772</v>
      </c>
      <c r="I201" s="1022">
        <v>0.00913</v>
      </c>
      <c r="K201" s="1031" t="s">
        <v>124</v>
      </c>
      <c r="L201" s="1032" t="s">
        <v>1047</v>
      </c>
      <c r="M201" s="1032" t="s">
        <v>1035</v>
      </c>
      <c r="N201" s="1032" t="s">
        <v>1044</v>
      </c>
      <c r="O201" s="1032">
        <v>2021.0</v>
      </c>
      <c r="P201" s="1032" t="s">
        <v>1039</v>
      </c>
      <c r="Q201" s="1033" t="s">
        <v>63</v>
      </c>
      <c r="R201" s="1034">
        <v>52.9198806</v>
      </c>
      <c r="S201" s="1034">
        <v>37.06189759</v>
      </c>
      <c r="T201" s="1035">
        <v>76.50074185</v>
      </c>
      <c r="AB201" s="1045"/>
      <c r="AF201" s="225"/>
    </row>
    <row r="202">
      <c r="A202" s="1013"/>
      <c r="B202" s="1019" t="s">
        <v>133</v>
      </c>
      <c r="C202" s="1020" t="s">
        <v>1035</v>
      </c>
      <c r="D202" s="1020" t="s">
        <v>1043</v>
      </c>
      <c r="E202" s="1020" t="s">
        <v>1047</v>
      </c>
      <c r="F202" s="1020">
        <v>2021.0</v>
      </c>
      <c r="G202" s="1021">
        <v>1.47834E-4</v>
      </c>
      <c r="H202" s="1021">
        <v>5.16E-5</v>
      </c>
      <c r="I202" s="1022">
        <v>2.89208E-4</v>
      </c>
      <c r="K202" s="1031" t="s">
        <v>124</v>
      </c>
      <c r="L202" s="1032" t="s">
        <v>1047</v>
      </c>
      <c r="M202" s="1032" t="s">
        <v>1035</v>
      </c>
      <c r="N202" s="1032" t="s">
        <v>1046</v>
      </c>
      <c r="O202" s="1032">
        <v>2021.0</v>
      </c>
      <c r="P202" s="1032" t="s">
        <v>1039</v>
      </c>
      <c r="Q202" s="1033" t="s">
        <v>63</v>
      </c>
      <c r="R202" s="1034">
        <v>1217.180333</v>
      </c>
      <c r="S202" s="1034">
        <v>832.9727409</v>
      </c>
      <c r="T202" s="1035">
        <v>1723.585376</v>
      </c>
      <c r="AB202" s="1045"/>
      <c r="AF202" s="225"/>
    </row>
    <row r="203">
      <c r="A203" s="1013"/>
      <c r="B203" s="1019" t="s">
        <v>133</v>
      </c>
      <c r="C203" s="1020" t="s">
        <v>1035</v>
      </c>
      <c r="D203" s="1020" t="s">
        <v>1045</v>
      </c>
      <c r="E203" s="1020" t="s">
        <v>1047</v>
      </c>
      <c r="F203" s="1020">
        <v>2021.0</v>
      </c>
      <c r="G203" s="1021">
        <v>0.004365989</v>
      </c>
      <c r="H203" s="1021">
        <v>0.002019223</v>
      </c>
      <c r="I203" s="1022">
        <v>0.008826493</v>
      </c>
      <c r="K203" s="1031" t="s">
        <v>124</v>
      </c>
      <c r="L203" s="1032" t="s">
        <v>1047</v>
      </c>
      <c r="M203" s="1032" t="s">
        <v>1035</v>
      </c>
      <c r="N203" s="1032" t="s">
        <v>1045</v>
      </c>
      <c r="O203" s="1032">
        <v>2021.0</v>
      </c>
      <c r="P203" s="1032" t="s">
        <v>1039</v>
      </c>
      <c r="Q203" s="1033" t="s">
        <v>63</v>
      </c>
      <c r="R203" s="1034">
        <v>2039.447727</v>
      </c>
      <c r="S203" s="1034">
        <v>1366.043158</v>
      </c>
      <c r="T203" s="1035">
        <v>2922.805178</v>
      </c>
      <c r="AB203" s="1045"/>
      <c r="AF203" s="225"/>
    </row>
    <row r="204">
      <c r="A204" s="1013"/>
      <c r="B204" s="1019" t="s">
        <v>134</v>
      </c>
      <c r="C204" s="1020" t="s">
        <v>1035</v>
      </c>
      <c r="D204" s="1020" t="s">
        <v>1036</v>
      </c>
      <c r="E204" s="1020" t="s">
        <v>1047</v>
      </c>
      <c r="F204" s="1020">
        <v>2021.0</v>
      </c>
      <c r="G204" s="1021">
        <v>9.05281E-4</v>
      </c>
      <c r="H204" s="1021">
        <v>3.26074E-4</v>
      </c>
      <c r="I204" s="1022">
        <v>0.001792279</v>
      </c>
      <c r="K204" s="1031" t="s">
        <v>125</v>
      </c>
      <c r="L204" s="1032" t="s">
        <v>1047</v>
      </c>
      <c r="M204" s="1032" t="s">
        <v>1035</v>
      </c>
      <c r="N204" s="1032" t="s">
        <v>1038</v>
      </c>
      <c r="O204" s="1032">
        <v>2021.0</v>
      </c>
      <c r="P204" s="1032" t="s">
        <v>1039</v>
      </c>
      <c r="Q204" s="1033" t="s">
        <v>63</v>
      </c>
      <c r="R204" s="1034">
        <v>84.62821695</v>
      </c>
      <c r="S204" s="1034">
        <v>34.5637329</v>
      </c>
      <c r="T204" s="1035">
        <v>198.5864774</v>
      </c>
      <c r="AB204" s="1045"/>
      <c r="AF204" s="225"/>
    </row>
    <row r="205">
      <c r="A205" s="1013"/>
      <c r="B205" s="1019" t="s">
        <v>134</v>
      </c>
      <c r="C205" s="1020" t="s">
        <v>1035</v>
      </c>
      <c r="D205" s="1020" t="s">
        <v>1041</v>
      </c>
      <c r="E205" s="1020" t="s">
        <v>1047</v>
      </c>
      <c r="F205" s="1020">
        <v>2021.0</v>
      </c>
      <c r="G205" s="1021">
        <v>0.005995222</v>
      </c>
      <c r="H205" s="1021">
        <v>0.002467009</v>
      </c>
      <c r="I205" s="1022">
        <v>0.01135072</v>
      </c>
      <c r="K205" s="1031" t="s">
        <v>125</v>
      </c>
      <c r="L205" s="1032" t="s">
        <v>1047</v>
      </c>
      <c r="M205" s="1032" t="s">
        <v>1035</v>
      </c>
      <c r="N205" s="1032" t="s">
        <v>1042</v>
      </c>
      <c r="O205" s="1032">
        <v>2021.0</v>
      </c>
      <c r="P205" s="1032" t="s">
        <v>1039</v>
      </c>
      <c r="Q205" s="1033" t="s">
        <v>63</v>
      </c>
      <c r="R205" s="1034">
        <v>7.802556959</v>
      </c>
      <c r="S205" s="1034">
        <v>4.255449065</v>
      </c>
      <c r="T205" s="1035">
        <v>14.04624439</v>
      </c>
      <c r="AB205" s="1045"/>
      <c r="AF205" s="225"/>
    </row>
    <row r="206">
      <c r="A206" s="1013"/>
      <c r="B206" s="1019" t="s">
        <v>134</v>
      </c>
      <c r="C206" s="1020" t="s">
        <v>1035</v>
      </c>
      <c r="D206" s="1020" t="s">
        <v>1043</v>
      </c>
      <c r="E206" s="1020" t="s">
        <v>1047</v>
      </c>
      <c r="F206" s="1020">
        <v>2021.0</v>
      </c>
      <c r="G206" s="1021">
        <v>1.48033E-4</v>
      </c>
      <c r="H206" s="1021">
        <v>4.84E-5</v>
      </c>
      <c r="I206" s="1022">
        <v>3.09863E-4</v>
      </c>
      <c r="K206" s="1031" t="s">
        <v>125</v>
      </c>
      <c r="L206" s="1032" t="s">
        <v>1047</v>
      </c>
      <c r="M206" s="1032" t="s">
        <v>1035</v>
      </c>
      <c r="N206" s="1032" t="s">
        <v>1044</v>
      </c>
      <c r="O206" s="1032">
        <v>2021.0</v>
      </c>
      <c r="P206" s="1032" t="s">
        <v>1039</v>
      </c>
      <c r="Q206" s="1033" t="s">
        <v>63</v>
      </c>
      <c r="R206" s="1034">
        <v>7.020868349</v>
      </c>
      <c r="S206" s="1034">
        <v>3.063387331</v>
      </c>
      <c r="T206" s="1035">
        <v>16.21726821</v>
      </c>
      <c r="AB206" s="1045"/>
      <c r="AF206" s="225"/>
    </row>
    <row r="207">
      <c r="A207" s="1013"/>
      <c r="B207" s="1019" t="s">
        <v>134</v>
      </c>
      <c r="C207" s="1020" t="s">
        <v>1035</v>
      </c>
      <c r="D207" s="1020" t="s">
        <v>1045</v>
      </c>
      <c r="E207" s="1020" t="s">
        <v>1047</v>
      </c>
      <c r="F207" s="1020">
        <v>2021.0</v>
      </c>
      <c r="G207" s="1021">
        <v>0.004120486</v>
      </c>
      <c r="H207" s="1021">
        <v>0.001856085</v>
      </c>
      <c r="I207" s="1022">
        <v>0.007806029</v>
      </c>
      <c r="K207" s="1031" t="s">
        <v>125</v>
      </c>
      <c r="L207" s="1032" t="s">
        <v>1047</v>
      </c>
      <c r="M207" s="1032" t="s">
        <v>1035</v>
      </c>
      <c r="N207" s="1032" t="s">
        <v>1046</v>
      </c>
      <c r="O207" s="1032">
        <v>2021.0</v>
      </c>
      <c r="P207" s="1032" t="s">
        <v>1039</v>
      </c>
      <c r="Q207" s="1033" t="s">
        <v>63</v>
      </c>
      <c r="R207" s="1034">
        <v>127.2569602</v>
      </c>
      <c r="S207" s="1034">
        <v>59.52649099</v>
      </c>
      <c r="T207" s="1035">
        <v>265.8079712</v>
      </c>
      <c r="AB207" s="1045"/>
      <c r="AF207" s="225"/>
    </row>
    <row r="208">
      <c r="A208" s="1013"/>
      <c r="B208" s="1019" t="s">
        <v>135</v>
      </c>
      <c r="C208" s="1020" t="s">
        <v>1035</v>
      </c>
      <c r="D208" s="1020" t="s">
        <v>1036</v>
      </c>
      <c r="E208" s="1020" t="s">
        <v>1047</v>
      </c>
      <c r="F208" s="1020">
        <v>2021.0</v>
      </c>
      <c r="G208" s="1021">
        <v>0.001086224</v>
      </c>
      <c r="H208" s="1021">
        <v>3.88877E-4</v>
      </c>
      <c r="I208" s="1022">
        <v>0.002158988</v>
      </c>
      <c r="K208" s="1031" t="s">
        <v>125</v>
      </c>
      <c r="L208" s="1032" t="s">
        <v>1047</v>
      </c>
      <c r="M208" s="1032" t="s">
        <v>1035</v>
      </c>
      <c r="N208" s="1032" t="s">
        <v>1045</v>
      </c>
      <c r="O208" s="1032">
        <v>2021.0</v>
      </c>
      <c r="P208" s="1032" t="s">
        <v>1039</v>
      </c>
      <c r="Q208" s="1033" t="s">
        <v>63</v>
      </c>
      <c r="R208" s="1034">
        <v>226.7086025</v>
      </c>
      <c r="S208" s="1034">
        <v>105.7799541</v>
      </c>
      <c r="T208" s="1035">
        <v>478.3320096</v>
      </c>
      <c r="AB208" s="1045"/>
      <c r="AF208" s="225"/>
    </row>
    <row r="209">
      <c r="A209" s="1013"/>
      <c r="B209" s="1019" t="s">
        <v>135</v>
      </c>
      <c r="C209" s="1020" t="s">
        <v>1035</v>
      </c>
      <c r="D209" s="1020" t="s">
        <v>1041</v>
      </c>
      <c r="E209" s="1020" t="s">
        <v>1047</v>
      </c>
      <c r="F209" s="1020">
        <v>2021.0</v>
      </c>
      <c r="G209" s="1021">
        <v>0.007440561</v>
      </c>
      <c r="H209" s="1021">
        <v>0.003361368</v>
      </c>
      <c r="I209" s="1022">
        <v>0.013572389</v>
      </c>
      <c r="K209" s="1031" t="s">
        <v>126</v>
      </c>
      <c r="L209" s="1032" t="s">
        <v>1047</v>
      </c>
      <c r="M209" s="1032" t="s">
        <v>1035</v>
      </c>
      <c r="N209" s="1032" t="s">
        <v>1038</v>
      </c>
      <c r="O209" s="1032">
        <v>2021.0</v>
      </c>
      <c r="P209" s="1032" t="s">
        <v>1039</v>
      </c>
      <c r="Q209" s="1033" t="s">
        <v>63</v>
      </c>
      <c r="R209" s="1034">
        <v>193.5140927</v>
      </c>
      <c r="S209" s="1034">
        <v>72.32491708</v>
      </c>
      <c r="T209" s="1035">
        <v>424.8390057</v>
      </c>
      <c r="AB209" s="1045"/>
      <c r="AF209" s="225"/>
    </row>
    <row r="210">
      <c r="A210" s="1013"/>
      <c r="B210" s="1019" t="s">
        <v>135</v>
      </c>
      <c r="C210" s="1020" t="s">
        <v>1035</v>
      </c>
      <c r="D210" s="1020" t="s">
        <v>1043</v>
      </c>
      <c r="E210" s="1020" t="s">
        <v>1047</v>
      </c>
      <c r="F210" s="1020">
        <v>2021.0</v>
      </c>
      <c r="G210" s="1021">
        <v>1.81021E-4</v>
      </c>
      <c r="H210" s="1021">
        <v>5.02E-5</v>
      </c>
      <c r="I210" s="1022">
        <v>3.59717E-4</v>
      </c>
      <c r="K210" s="1031" t="s">
        <v>126</v>
      </c>
      <c r="L210" s="1032" t="s">
        <v>1047</v>
      </c>
      <c r="M210" s="1032" t="s">
        <v>1035</v>
      </c>
      <c r="N210" s="1032" t="s">
        <v>1042</v>
      </c>
      <c r="O210" s="1032">
        <v>2021.0</v>
      </c>
      <c r="P210" s="1032" t="s">
        <v>1039</v>
      </c>
      <c r="Q210" s="1033" t="s">
        <v>63</v>
      </c>
      <c r="R210" s="1034">
        <v>17.98321769</v>
      </c>
      <c r="S210" s="1034">
        <v>9.277329482</v>
      </c>
      <c r="T210" s="1035">
        <v>33.72846604</v>
      </c>
      <c r="AB210" s="1045"/>
      <c r="AF210" s="225"/>
    </row>
    <row r="211">
      <c r="A211" s="1013"/>
      <c r="B211" s="1019" t="s">
        <v>135</v>
      </c>
      <c r="C211" s="1020" t="s">
        <v>1035</v>
      </c>
      <c r="D211" s="1020" t="s">
        <v>1045</v>
      </c>
      <c r="E211" s="1020" t="s">
        <v>1047</v>
      </c>
      <c r="F211" s="1020">
        <v>2021.0</v>
      </c>
      <c r="G211" s="1021">
        <v>0.00271251</v>
      </c>
      <c r="H211" s="1021">
        <v>0.001161585</v>
      </c>
      <c r="I211" s="1022">
        <v>0.004789694</v>
      </c>
      <c r="K211" s="1031" t="s">
        <v>126</v>
      </c>
      <c r="L211" s="1032" t="s">
        <v>1047</v>
      </c>
      <c r="M211" s="1032" t="s">
        <v>1035</v>
      </c>
      <c r="N211" s="1032" t="s">
        <v>1044</v>
      </c>
      <c r="O211" s="1032">
        <v>2021.0</v>
      </c>
      <c r="P211" s="1032" t="s">
        <v>1039</v>
      </c>
      <c r="Q211" s="1033" t="s">
        <v>63</v>
      </c>
      <c r="R211" s="1034">
        <v>16.24688371</v>
      </c>
      <c r="S211" s="1034">
        <v>6.587533579</v>
      </c>
      <c r="T211" s="1035">
        <v>36.58994447</v>
      </c>
      <c r="AB211" s="1045"/>
      <c r="AF211" s="225"/>
    </row>
    <row r="212">
      <c r="A212" s="1013"/>
      <c r="B212" s="1019" t="s">
        <v>136</v>
      </c>
      <c r="C212" s="1020" t="s">
        <v>1035</v>
      </c>
      <c r="D212" s="1020" t="s">
        <v>1036</v>
      </c>
      <c r="E212" s="1020" t="s">
        <v>1047</v>
      </c>
      <c r="F212" s="1020">
        <v>2021.0</v>
      </c>
      <c r="G212" s="1021">
        <v>7.10434E-4</v>
      </c>
      <c r="H212" s="1021">
        <v>2.45622E-4</v>
      </c>
      <c r="I212" s="1022">
        <v>0.001430409</v>
      </c>
      <c r="K212" s="1031" t="s">
        <v>126</v>
      </c>
      <c r="L212" s="1032" t="s">
        <v>1047</v>
      </c>
      <c r="M212" s="1032" t="s">
        <v>1035</v>
      </c>
      <c r="N212" s="1032" t="s">
        <v>1046</v>
      </c>
      <c r="O212" s="1032">
        <v>2021.0</v>
      </c>
      <c r="P212" s="1032" t="s">
        <v>1039</v>
      </c>
      <c r="Q212" s="1033" t="s">
        <v>63</v>
      </c>
      <c r="R212" s="1034">
        <v>340.6728017</v>
      </c>
      <c r="S212" s="1034">
        <v>154.5414112</v>
      </c>
      <c r="T212" s="1035">
        <v>714.3891141</v>
      </c>
      <c r="AB212" s="1045"/>
      <c r="AF212" s="225"/>
    </row>
    <row r="213">
      <c r="A213" s="1013"/>
      <c r="B213" s="1019" t="s">
        <v>136</v>
      </c>
      <c r="C213" s="1020" t="s">
        <v>1035</v>
      </c>
      <c r="D213" s="1020" t="s">
        <v>1041</v>
      </c>
      <c r="E213" s="1020" t="s">
        <v>1047</v>
      </c>
      <c r="F213" s="1020">
        <v>2021.0</v>
      </c>
      <c r="G213" s="1021">
        <v>0.003652784</v>
      </c>
      <c r="H213" s="1021">
        <v>0.001389775</v>
      </c>
      <c r="I213" s="1022">
        <v>0.007070995</v>
      </c>
      <c r="K213" s="1031" t="s">
        <v>126</v>
      </c>
      <c r="L213" s="1032" t="s">
        <v>1047</v>
      </c>
      <c r="M213" s="1032" t="s">
        <v>1035</v>
      </c>
      <c r="N213" s="1032" t="s">
        <v>1045</v>
      </c>
      <c r="O213" s="1032">
        <v>2021.0</v>
      </c>
      <c r="P213" s="1032" t="s">
        <v>1039</v>
      </c>
      <c r="Q213" s="1033" t="s">
        <v>63</v>
      </c>
      <c r="R213" s="1034">
        <v>568.4169959</v>
      </c>
      <c r="S213" s="1034">
        <v>253.9181858</v>
      </c>
      <c r="T213" s="1035">
        <v>1165.3052</v>
      </c>
      <c r="AB213" s="1045"/>
      <c r="AF213" s="225"/>
    </row>
    <row r="214">
      <c r="A214" s="1013"/>
      <c r="B214" s="1019" t="s">
        <v>136</v>
      </c>
      <c r="C214" s="1020" t="s">
        <v>1035</v>
      </c>
      <c r="D214" s="1020" t="s">
        <v>1043</v>
      </c>
      <c r="E214" s="1020" t="s">
        <v>1047</v>
      </c>
      <c r="F214" s="1020">
        <v>2021.0</v>
      </c>
      <c r="G214" s="1021">
        <v>1.43824E-4</v>
      </c>
      <c r="H214" s="1021">
        <v>4.81E-5</v>
      </c>
      <c r="I214" s="1022">
        <v>2.83202E-4</v>
      </c>
      <c r="K214" s="1031" t="s">
        <v>114</v>
      </c>
      <c r="L214" s="1032" t="s">
        <v>1047</v>
      </c>
      <c r="M214" s="1032" t="s">
        <v>1035</v>
      </c>
      <c r="N214" s="1032" t="s">
        <v>1038</v>
      </c>
      <c r="O214" s="1032">
        <v>2021.0</v>
      </c>
      <c r="P214" s="1032" t="s">
        <v>1039</v>
      </c>
      <c r="Q214" s="1033" t="s">
        <v>63</v>
      </c>
      <c r="R214" s="1034">
        <v>4261.389712</v>
      </c>
      <c r="S214" s="1034">
        <v>2487.27829</v>
      </c>
      <c r="T214" s="1035">
        <v>6252.356213</v>
      </c>
      <c r="AB214" s="1045"/>
      <c r="AF214" s="225"/>
    </row>
    <row r="215">
      <c r="A215" s="1013"/>
      <c r="B215" s="1019" t="s">
        <v>136</v>
      </c>
      <c r="C215" s="1020" t="s">
        <v>1035</v>
      </c>
      <c r="D215" s="1020" t="s">
        <v>1045</v>
      </c>
      <c r="E215" s="1020" t="s">
        <v>1047</v>
      </c>
      <c r="F215" s="1020">
        <v>2021.0</v>
      </c>
      <c r="G215" s="1021">
        <v>0.004333639</v>
      </c>
      <c r="H215" s="1021">
        <v>0.001871946</v>
      </c>
      <c r="I215" s="1022">
        <v>0.008731836</v>
      </c>
      <c r="K215" s="1031" t="s">
        <v>114</v>
      </c>
      <c r="L215" s="1032" t="s">
        <v>1047</v>
      </c>
      <c r="M215" s="1032" t="s">
        <v>1035</v>
      </c>
      <c r="N215" s="1032" t="s">
        <v>1042</v>
      </c>
      <c r="O215" s="1032">
        <v>2021.0</v>
      </c>
      <c r="P215" s="1032" t="s">
        <v>1039</v>
      </c>
      <c r="Q215" s="1033" t="s">
        <v>63</v>
      </c>
      <c r="R215" s="1034">
        <v>186.6601729</v>
      </c>
      <c r="S215" s="1034">
        <v>86.95589907</v>
      </c>
      <c r="T215" s="1035">
        <v>289.6012574</v>
      </c>
      <c r="AB215" s="1045"/>
      <c r="AF215" s="225"/>
    </row>
    <row r="216">
      <c r="A216" s="1013"/>
      <c r="B216" s="1019" t="s">
        <v>115</v>
      </c>
      <c r="C216" s="1020" t="s">
        <v>1035</v>
      </c>
      <c r="D216" s="1020" t="s">
        <v>1036</v>
      </c>
      <c r="E216" s="1020" t="s">
        <v>1047</v>
      </c>
      <c r="F216" s="1020">
        <v>2021.0</v>
      </c>
      <c r="G216" s="1021">
        <v>0.002629884</v>
      </c>
      <c r="H216" s="1021">
        <v>0.001327871</v>
      </c>
      <c r="I216" s="1022">
        <v>0.005091133</v>
      </c>
      <c r="K216" s="1031" t="s">
        <v>114</v>
      </c>
      <c r="L216" s="1032" t="s">
        <v>1047</v>
      </c>
      <c r="M216" s="1032" t="s">
        <v>1035</v>
      </c>
      <c r="N216" s="1032" t="s">
        <v>1044</v>
      </c>
      <c r="O216" s="1032">
        <v>2021.0</v>
      </c>
      <c r="P216" s="1032" t="s">
        <v>1039</v>
      </c>
      <c r="Q216" s="1033" t="s">
        <v>63</v>
      </c>
      <c r="R216" s="1034">
        <v>192.0398033</v>
      </c>
      <c r="S216" s="1034">
        <v>110.9759115</v>
      </c>
      <c r="T216" s="1035">
        <v>289.968411</v>
      </c>
      <c r="AB216" s="1045"/>
      <c r="AF216" s="225"/>
    </row>
    <row r="217">
      <c r="A217" s="1013"/>
      <c r="B217" s="1019" t="s">
        <v>115</v>
      </c>
      <c r="C217" s="1020" t="s">
        <v>1035</v>
      </c>
      <c r="D217" s="1020" t="s">
        <v>1041</v>
      </c>
      <c r="E217" s="1020" t="s">
        <v>1047</v>
      </c>
      <c r="F217" s="1020">
        <v>2021.0</v>
      </c>
      <c r="G217" s="1021">
        <v>0.026063001</v>
      </c>
      <c r="H217" s="1021">
        <v>0.014494151</v>
      </c>
      <c r="I217" s="1022">
        <v>0.047086828</v>
      </c>
      <c r="K217" s="1031" t="s">
        <v>114</v>
      </c>
      <c r="L217" s="1032" t="s">
        <v>1047</v>
      </c>
      <c r="M217" s="1032" t="s">
        <v>1035</v>
      </c>
      <c r="N217" s="1032" t="s">
        <v>1046</v>
      </c>
      <c r="O217" s="1032">
        <v>2021.0</v>
      </c>
      <c r="P217" s="1032" t="s">
        <v>1039</v>
      </c>
      <c r="Q217" s="1033" t="s">
        <v>63</v>
      </c>
      <c r="R217" s="1034">
        <v>3644.320264</v>
      </c>
      <c r="S217" s="1034">
        <v>2471.425342</v>
      </c>
      <c r="T217" s="1035">
        <v>5068.985586</v>
      </c>
      <c r="AB217" s="1045"/>
      <c r="AF217" s="225"/>
    </row>
    <row r="218">
      <c r="A218" s="1013"/>
      <c r="B218" s="1019" t="s">
        <v>115</v>
      </c>
      <c r="C218" s="1020" t="s">
        <v>1035</v>
      </c>
      <c r="D218" s="1020" t="s">
        <v>1043</v>
      </c>
      <c r="E218" s="1020" t="s">
        <v>1047</v>
      </c>
      <c r="F218" s="1020">
        <v>2021.0</v>
      </c>
      <c r="G218" s="1021">
        <v>8.53859E-4</v>
      </c>
      <c r="H218" s="1021">
        <v>4.25987E-4</v>
      </c>
      <c r="I218" s="1022">
        <v>0.001538416</v>
      </c>
      <c r="K218" s="1031" t="s">
        <v>114</v>
      </c>
      <c r="L218" s="1032" t="s">
        <v>1047</v>
      </c>
      <c r="M218" s="1032" t="s">
        <v>1035</v>
      </c>
      <c r="N218" s="1032" t="s">
        <v>1045</v>
      </c>
      <c r="O218" s="1032">
        <v>2021.0</v>
      </c>
      <c r="P218" s="1032" t="s">
        <v>1039</v>
      </c>
      <c r="Q218" s="1033" t="s">
        <v>63</v>
      </c>
      <c r="R218" s="1034">
        <v>8284.409952</v>
      </c>
      <c r="S218" s="1034">
        <v>5429.733159</v>
      </c>
      <c r="T218" s="1035">
        <v>11521.63959</v>
      </c>
      <c r="AB218" s="1045"/>
      <c r="AF218" s="225"/>
    </row>
    <row r="219">
      <c r="A219" s="1013"/>
      <c r="B219" s="1019" t="s">
        <v>115</v>
      </c>
      <c r="C219" s="1020" t="s">
        <v>1035</v>
      </c>
      <c r="D219" s="1020" t="s">
        <v>1045</v>
      </c>
      <c r="E219" s="1020" t="s">
        <v>1047</v>
      </c>
      <c r="F219" s="1020">
        <v>2021.0</v>
      </c>
      <c r="G219" s="1021">
        <v>0.019935049</v>
      </c>
      <c r="H219" s="1021">
        <v>0.012648034</v>
      </c>
      <c r="I219" s="1022">
        <v>0.027649716</v>
      </c>
      <c r="K219" s="1031" t="s">
        <v>127</v>
      </c>
      <c r="L219" s="1032" t="s">
        <v>1047</v>
      </c>
      <c r="M219" s="1032" t="s">
        <v>1035</v>
      </c>
      <c r="N219" s="1032" t="s">
        <v>1038</v>
      </c>
      <c r="O219" s="1032">
        <v>2021.0</v>
      </c>
      <c r="P219" s="1032" t="s">
        <v>1039</v>
      </c>
      <c r="Q219" s="1033" t="s">
        <v>63</v>
      </c>
      <c r="R219" s="1034">
        <v>63.77990939</v>
      </c>
      <c r="S219" s="1034">
        <v>38.06418996</v>
      </c>
      <c r="T219" s="1035">
        <v>101.280332</v>
      </c>
      <c r="AB219" s="1045"/>
      <c r="AF219" s="225"/>
    </row>
    <row r="220">
      <c r="A220" s="1013"/>
      <c r="B220" s="1019" t="s">
        <v>137</v>
      </c>
      <c r="C220" s="1020" t="s">
        <v>1035</v>
      </c>
      <c r="D220" s="1020" t="s">
        <v>1036</v>
      </c>
      <c r="E220" s="1020" t="s">
        <v>1047</v>
      </c>
      <c r="F220" s="1020">
        <v>2021.0</v>
      </c>
      <c r="G220" s="1021">
        <v>6.83345E-4</v>
      </c>
      <c r="H220" s="1021">
        <v>2.40168E-4</v>
      </c>
      <c r="I220" s="1022">
        <v>0.001342899</v>
      </c>
      <c r="K220" s="1031" t="s">
        <v>127</v>
      </c>
      <c r="L220" s="1032" t="s">
        <v>1047</v>
      </c>
      <c r="M220" s="1032" t="s">
        <v>1035</v>
      </c>
      <c r="N220" s="1032" t="s">
        <v>1042</v>
      </c>
      <c r="O220" s="1032">
        <v>2021.0</v>
      </c>
      <c r="P220" s="1032" t="s">
        <v>1039</v>
      </c>
      <c r="Q220" s="1033" t="s">
        <v>63</v>
      </c>
      <c r="R220" s="1034">
        <v>4.36841713</v>
      </c>
      <c r="S220" s="1034">
        <v>3.141077867</v>
      </c>
      <c r="T220" s="1035">
        <v>6.237310479</v>
      </c>
      <c r="AB220" s="1045"/>
      <c r="AF220" s="225"/>
    </row>
    <row r="221">
      <c r="A221" s="1013"/>
      <c r="B221" s="1019" t="s">
        <v>137</v>
      </c>
      <c r="C221" s="1020" t="s">
        <v>1035</v>
      </c>
      <c r="D221" s="1020" t="s">
        <v>1041</v>
      </c>
      <c r="E221" s="1020" t="s">
        <v>1047</v>
      </c>
      <c r="F221" s="1020">
        <v>2021.0</v>
      </c>
      <c r="G221" s="1021">
        <v>0.004392525</v>
      </c>
      <c r="H221" s="1021">
        <v>0.001811165</v>
      </c>
      <c r="I221" s="1022">
        <v>0.008566664</v>
      </c>
      <c r="K221" s="1031" t="s">
        <v>127</v>
      </c>
      <c r="L221" s="1032" t="s">
        <v>1047</v>
      </c>
      <c r="M221" s="1032" t="s">
        <v>1035</v>
      </c>
      <c r="N221" s="1032" t="s">
        <v>1044</v>
      </c>
      <c r="O221" s="1032">
        <v>2021.0</v>
      </c>
      <c r="P221" s="1032" t="s">
        <v>1039</v>
      </c>
      <c r="Q221" s="1033" t="s">
        <v>63</v>
      </c>
      <c r="R221" s="1034">
        <v>6.953033941</v>
      </c>
      <c r="S221" s="1034">
        <v>5.631589906</v>
      </c>
      <c r="T221" s="1035">
        <v>9.229218025</v>
      </c>
      <c r="AB221" s="1045"/>
      <c r="AF221" s="225"/>
    </row>
    <row r="222">
      <c r="A222" s="1013"/>
      <c r="B222" s="1019" t="s">
        <v>137</v>
      </c>
      <c r="C222" s="1020" t="s">
        <v>1035</v>
      </c>
      <c r="D222" s="1020" t="s">
        <v>1043</v>
      </c>
      <c r="E222" s="1020" t="s">
        <v>1047</v>
      </c>
      <c r="F222" s="1020">
        <v>2021.0</v>
      </c>
      <c r="G222" s="1021">
        <v>1.19542E-4</v>
      </c>
      <c r="H222" s="1021">
        <v>3.96E-5</v>
      </c>
      <c r="I222" s="1022">
        <v>2.52963E-4</v>
      </c>
      <c r="K222" s="1031" t="s">
        <v>127</v>
      </c>
      <c r="L222" s="1032" t="s">
        <v>1047</v>
      </c>
      <c r="M222" s="1032" t="s">
        <v>1035</v>
      </c>
      <c r="N222" s="1032" t="s">
        <v>1046</v>
      </c>
      <c r="O222" s="1032">
        <v>2021.0</v>
      </c>
      <c r="P222" s="1032" t="s">
        <v>1039</v>
      </c>
      <c r="Q222" s="1033" t="s">
        <v>63</v>
      </c>
      <c r="R222" s="1034">
        <v>109.5316903</v>
      </c>
      <c r="S222" s="1034">
        <v>83.52283728</v>
      </c>
      <c r="T222" s="1035">
        <v>145.8456706</v>
      </c>
      <c r="AB222" s="1045"/>
      <c r="AF222" s="225"/>
    </row>
    <row r="223">
      <c r="A223" s="1013"/>
      <c r="B223" s="1019" t="s">
        <v>137</v>
      </c>
      <c r="C223" s="1020" t="s">
        <v>1035</v>
      </c>
      <c r="D223" s="1020" t="s">
        <v>1045</v>
      </c>
      <c r="E223" s="1020" t="s">
        <v>1047</v>
      </c>
      <c r="F223" s="1020">
        <v>2021.0</v>
      </c>
      <c r="G223" s="1021">
        <v>0.002607964</v>
      </c>
      <c r="H223" s="1021">
        <v>0.001205824</v>
      </c>
      <c r="I223" s="1022">
        <v>0.005516925</v>
      </c>
      <c r="K223" s="1031" t="s">
        <v>127</v>
      </c>
      <c r="L223" s="1032" t="s">
        <v>1047</v>
      </c>
      <c r="M223" s="1032" t="s">
        <v>1035</v>
      </c>
      <c r="N223" s="1032" t="s">
        <v>1045</v>
      </c>
      <c r="O223" s="1032">
        <v>2021.0</v>
      </c>
      <c r="P223" s="1032" t="s">
        <v>1039</v>
      </c>
      <c r="Q223" s="1033" t="s">
        <v>63</v>
      </c>
      <c r="R223" s="1034">
        <v>184.6330508</v>
      </c>
      <c r="S223" s="1034">
        <v>134.1232049</v>
      </c>
      <c r="T223" s="1035">
        <v>252.2249229</v>
      </c>
      <c r="AB223" s="1045"/>
      <c r="AF223" s="225"/>
    </row>
    <row r="224">
      <c r="A224" s="1013"/>
      <c r="B224" s="1019" t="s">
        <v>116</v>
      </c>
      <c r="C224" s="1020" t="s">
        <v>1035</v>
      </c>
      <c r="D224" s="1020" t="s">
        <v>1036</v>
      </c>
      <c r="E224" s="1020" t="s">
        <v>1047</v>
      </c>
      <c r="F224" s="1020">
        <v>2021.0</v>
      </c>
      <c r="G224" s="1021">
        <v>0.003693331</v>
      </c>
      <c r="H224" s="1021">
        <v>0.001630453</v>
      </c>
      <c r="I224" s="1022">
        <v>0.00691882</v>
      </c>
      <c r="K224" s="1031" t="s">
        <v>128</v>
      </c>
      <c r="L224" s="1032" t="s">
        <v>1047</v>
      </c>
      <c r="M224" s="1032" t="s">
        <v>1035</v>
      </c>
      <c r="N224" s="1032" t="s">
        <v>1038</v>
      </c>
      <c r="O224" s="1032">
        <v>2021.0</v>
      </c>
      <c r="P224" s="1032" t="s">
        <v>1039</v>
      </c>
      <c r="Q224" s="1033" t="s">
        <v>63</v>
      </c>
      <c r="R224" s="1034">
        <v>923.7504163</v>
      </c>
      <c r="S224" s="1034">
        <v>576.2245212</v>
      </c>
      <c r="T224" s="1035">
        <v>1381.749618</v>
      </c>
      <c r="AB224" s="1045"/>
      <c r="AF224" s="225"/>
    </row>
    <row r="225">
      <c r="A225" s="1013"/>
      <c r="B225" s="1019" t="s">
        <v>116</v>
      </c>
      <c r="C225" s="1020" t="s">
        <v>1035</v>
      </c>
      <c r="D225" s="1020" t="s">
        <v>1041</v>
      </c>
      <c r="E225" s="1020" t="s">
        <v>1047</v>
      </c>
      <c r="F225" s="1020">
        <v>2021.0</v>
      </c>
      <c r="G225" s="1021">
        <v>0.025191224</v>
      </c>
      <c r="H225" s="1021">
        <v>0.011631168</v>
      </c>
      <c r="I225" s="1022">
        <v>0.045202505</v>
      </c>
      <c r="K225" s="1031" t="s">
        <v>128</v>
      </c>
      <c r="L225" s="1032" t="s">
        <v>1047</v>
      </c>
      <c r="M225" s="1032" t="s">
        <v>1035</v>
      </c>
      <c r="N225" s="1032" t="s">
        <v>1042</v>
      </c>
      <c r="O225" s="1032">
        <v>2021.0</v>
      </c>
      <c r="P225" s="1032" t="s">
        <v>1039</v>
      </c>
      <c r="Q225" s="1033" t="s">
        <v>63</v>
      </c>
      <c r="R225" s="1034">
        <v>104.8980371</v>
      </c>
      <c r="S225" s="1034">
        <v>65.61653366</v>
      </c>
      <c r="T225" s="1035">
        <v>160.1931937</v>
      </c>
      <c r="AB225" s="1045"/>
      <c r="AF225" s="225"/>
    </row>
    <row r="226">
      <c r="A226" s="1013"/>
      <c r="B226" s="1019" t="s">
        <v>116</v>
      </c>
      <c r="C226" s="1020" t="s">
        <v>1035</v>
      </c>
      <c r="D226" s="1020" t="s">
        <v>1043</v>
      </c>
      <c r="E226" s="1020" t="s">
        <v>1047</v>
      </c>
      <c r="F226" s="1020">
        <v>2021.0</v>
      </c>
      <c r="G226" s="1021">
        <v>8.97047E-4</v>
      </c>
      <c r="H226" s="1021">
        <v>3.74105E-4</v>
      </c>
      <c r="I226" s="1022">
        <v>0.001590644</v>
      </c>
      <c r="K226" s="1031" t="s">
        <v>128</v>
      </c>
      <c r="L226" s="1032" t="s">
        <v>1047</v>
      </c>
      <c r="M226" s="1032" t="s">
        <v>1035</v>
      </c>
      <c r="N226" s="1032" t="s">
        <v>1044</v>
      </c>
      <c r="O226" s="1032">
        <v>2021.0</v>
      </c>
      <c r="P226" s="1032" t="s">
        <v>1039</v>
      </c>
      <c r="Q226" s="1033" t="s">
        <v>63</v>
      </c>
      <c r="R226" s="1034">
        <v>136.1277978</v>
      </c>
      <c r="S226" s="1034">
        <v>98.54584268</v>
      </c>
      <c r="T226" s="1035">
        <v>196.0214708</v>
      </c>
      <c r="AB226" s="1045"/>
      <c r="AF226" s="225"/>
    </row>
    <row r="227">
      <c r="A227" s="1013"/>
      <c r="B227" s="1019" t="s">
        <v>116</v>
      </c>
      <c r="C227" s="1020" t="s">
        <v>1035</v>
      </c>
      <c r="D227" s="1020" t="s">
        <v>1045</v>
      </c>
      <c r="E227" s="1020" t="s">
        <v>1047</v>
      </c>
      <c r="F227" s="1020">
        <v>2021.0</v>
      </c>
      <c r="G227" s="1021">
        <v>0.023778119</v>
      </c>
      <c r="H227" s="1021">
        <v>0.014758405</v>
      </c>
      <c r="I227" s="1022">
        <v>0.034549635</v>
      </c>
      <c r="K227" s="1031" t="s">
        <v>128</v>
      </c>
      <c r="L227" s="1032" t="s">
        <v>1047</v>
      </c>
      <c r="M227" s="1032" t="s">
        <v>1035</v>
      </c>
      <c r="N227" s="1032" t="s">
        <v>1046</v>
      </c>
      <c r="O227" s="1032">
        <v>2021.0</v>
      </c>
      <c r="P227" s="1032" t="s">
        <v>1039</v>
      </c>
      <c r="Q227" s="1033" t="s">
        <v>63</v>
      </c>
      <c r="R227" s="1034">
        <v>2404.995029</v>
      </c>
      <c r="S227" s="1034">
        <v>1788.138613</v>
      </c>
      <c r="T227" s="1035">
        <v>3305.424808</v>
      </c>
      <c r="AB227" s="1045"/>
      <c r="AF227" s="225"/>
    </row>
    <row r="228">
      <c r="A228" s="1013"/>
      <c r="B228" s="1019" t="s">
        <v>138</v>
      </c>
      <c r="C228" s="1020" t="s">
        <v>1035</v>
      </c>
      <c r="D228" s="1020" t="s">
        <v>1036</v>
      </c>
      <c r="E228" s="1020" t="s">
        <v>1047</v>
      </c>
      <c r="F228" s="1020">
        <v>2021.0</v>
      </c>
      <c r="G228" s="1021">
        <v>0.001387744</v>
      </c>
      <c r="H228" s="1021">
        <v>5.92541E-4</v>
      </c>
      <c r="I228" s="1022">
        <v>0.00262734</v>
      </c>
      <c r="K228" s="1031" t="s">
        <v>128</v>
      </c>
      <c r="L228" s="1032" t="s">
        <v>1047</v>
      </c>
      <c r="M228" s="1032" t="s">
        <v>1035</v>
      </c>
      <c r="N228" s="1032" t="s">
        <v>1045</v>
      </c>
      <c r="O228" s="1032">
        <v>2021.0</v>
      </c>
      <c r="P228" s="1032" t="s">
        <v>1039</v>
      </c>
      <c r="Q228" s="1033" t="s">
        <v>63</v>
      </c>
      <c r="R228" s="1034">
        <v>3569.77128</v>
      </c>
      <c r="S228" s="1034">
        <v>2598.3749</v>
      </c>
      <c r="T228" s="1035">
        <v>4965.320229</v>
      </c>
      <c r="AB228" s="1045"/>
      <c r="AF228" s="225"/>
    </row>
    <row r="229">
      <c r="A229" s="1013"/>
      <c r="B229" s="1019" t="s">
        <v>138</v>
      </c>
      <c r="C229" s="1020" t="s">
        <v>1035</v>
      </c>
      <c r="D229" s="1020" t="s">
        <v>1041</v>
      </c>
      <c r="E229" s="1020" t="s">
        <v>1047</v>
      </c>
      <c r="F229" s="1020">
        <v>2021.0</v>
      </c>
      <c r="G229" s="1021">
        <v>0.009476781</v>
      </c>
      <c r="H229" s="1021">
        <v>0.004614856</v>
      </c>
      <c r="I229" s="1022">
        <v>0.016628238</v>
      </c>
      <c r="K229" s="1031" t="s">
        <v>129</v>
      </c>
      <c r="L229" s="1032" t="s">
        <v>1047</v>
      </c>
      <c r="M229" s="1032" t="s">
        <v>1035</v>
      </c>
      <c r="N229" s="1032" t="s">
        <v>1038</v>
      </c>
      <c r="O229" s="1032">
        <v>2021.0</v>
      </c>
      <c r="P229" s="1032" t="s">
        <v>1039</v>
      </c>
      <c r="Q229" s="1033" t="s">
        <v>63</v>
      </c>
      <c r="R229" s="1034">
        <v>540.7739729</v>
      </c>
      <c r="S229" s="1034">
        <v>307.7620676</v>
      </c>
      <c r="T229" s="1035">
        <v>874.6717563</v>
      </c>
      <c r="AB229" s="1045"/>
      <c r="AF229" s="225"/>
    </row>
    <row r="230">
      <c r="A230" s="1013"/>
      <c r="B230" s="1019" t="s">
        <v>138</v>
      </c>
      <c r="C230" s="1020" t="s">
        <v>1035</v>
      </c>
      <c r="D230" s="1020" t="s">
        <v>1043</v>
      </c>
      <c r="E230" s="1020" t="s">
        <v>1047</v>
      </c>
      <c r="F230" s="1020">
        <v>2021.0</v>
      </c>
      <c r="G230" s="1021">
        <v>3.36525E-4</v>
      </c>
      <c r="H230" s="1021">
        <v>1.40243E-4</v>
      </c>
      <c r="I230" s="1022">
        <v>6.01068E-4</v>
      </c>
      <c r="K230" s="1031" t="s">
        <v>129</v>
      </c>
      <c r="L230" s="1032" t="s">
        <v>1047</v>
      </c>
      <c r="M230" s="1032" t="s">
        <v>1035</v>
      </c>
      <c r="N230" s="1032" t="s">
        <v>1042</v>
      </c>
      <c r="O230" s="1032">
        <v>2021.0</v>
      </c>
      <c r="P230" s="1032" t="s">
        <v>1039</v>
      </c>
      <c r="Q230" s="1033" t="s">
        <v>63</v>
      </c>
      <c r="R230" s="1034">
        <v>45.61202369</v>
      </c>
      <c r="S230" s="1034">
        <v>28.64791012</v>
      </c>
      <c r="T230" s="1035">
        <v>69.71062321</v>
      </c>
      <c r="AB230" s="1045"/>
      <c r="AF230" s="225"/>
    </row>
    <row r="231">
      <c r="A231" s="1013"/>
      <c r="B231" s="1019" t="s">
        <v>138</v>
      </c>
      <c r="C231" s="1020" t="s">
        <v>1035</v>
      </c>
      <c r="D231" s="1020" t="s">
        <v>1045</v>
      </c>
      <c r="E231" s="1020" t="s">
        <v>1047</v>
      </c>
      <c r="F231" s="1020">
        <v>2021.0</v>
      </c>
      <c r="G231" s="1021">
        <v>0.01066086</v>
      </c>
      <c r="H231" s="1021">
        <v>0.006407229</v>
      </c>
      <c r="I231" s="1022">
        <v>0.017290162</v>
      </c>
      <c r="K231" s="1031" t="s">
        <v>129</v>
      </c>
      <c r="L231" s="1032" t="s">
        <v>1047</v>
      </c>
      <c r="M231" s="1032" t="s">
        <v>1035</v>
      </c>
      <c r="N231" s="1032" t="s">
        <v>1044</v>
      </c>
      <c r="O231" s="1032">
        <v>2021.0</v>
      </c>
      <c r="P231" s="1032" t="s">
        <v>1039</v>
      </c>
      <c r="Q231" s="1033" t="s">
        <v>63</v>
      </c>
      <c r="R231" s="1034">
        <v>63.77770076</v>
      </c>
      <c r="S231" s="1034">
        <v>46.05161157</v>
      </c>
      <c r="T231" s="1035">
        <v>90.85675368</v>
      </c>
      <c r="AB231" s="1045"/>
      <c r="AF231" s="225"/>
    </row>
    <row r="232">
      <c r="A232" s="1013"/>
      <c r="B232" s="1019" t="s">
        <v>118</v>
      </c>
      <c r="C232" s="1020" t="s">
        <v>1035</v>
      </c>
      <c r="D232" s="1020" t="s">
        <v>1036</v>
      </c>
      <c r="E232" s="1020" t="s">
        <v>1047</v>
      </c>
      <c r="F232" s="1020">
        <v>2021.0</v>
      </c>
      <c r="G232" s="1021">
        <v>0.002059414</v>
      </c>
      <c r="H232" s="1021">
        <v>9.79258E-4</v>
      </c>
      <c r="I232" s="1022">
        <v>0.003880203</v>
      </c>
      <c r="K232" s="1031" t="s">
        <v>129</v>
      </c>
      <c r="L232" s="1032" t="s">
        <v>1047</v>
      </c>
      <c r="M232" s="1032" t="s">
        <v>1035</v>
      </c>
      <c r="N232" s="1032" t="s">
        <v>1046</v>
      </c>
      <c r="O232" s="1032">
        <v>2021.0</v>
      </c>
      <c r="P232" s="1032" t="s">
        <v>1039</v>
      </c>
      <c r="Q232" s="1033" t="s">
        <v>63</v>
      </c>
      <c r="R232" s="1034">
        <v>998.6377026</v>
      </c>
      <c r="S232" s="1034">
        <v>703.6392396</v>
      </c>
      <c r="T232" s="1035">
        <v>1334.765387</v>
      </c>
      <c r="AB232" s="1045"/>
      <c r="AF232" s="225"/>
    </row>
    <row r="233">
      <c r="A233" s="1013"/>
      <c r="B233" s="1019" t="s">
        <v>118</v>
      </c>
      <c r="C233" s="1020" t="s">
        <v>1035</v>
      </c>
      <c r="D233" s="1020" t="s">
        <v>1041</v>
      </c>
      <c r="E233" s="1020" t="s">
        <v>1047</v>
      </c>
      <c r="F233" s="1020">
        <v>2021.0</v>
      </c>
      <c r="G233" s="1021">
        <v>0.01495977</v>
      </c>
      <c r="H233" s="1021">
        <v>0.007857231</v>
      </c>
      <c r="I233" s="1022">
        <v>0.026931402</v>
      </c>
      <c r="K233" s="1031" t="s">
        <v>129</v>
      </c>
      <c r="L233" s="1032" t="s">
        <v>1047</v>
      </c>
      <c r="M233" s="1032" t="s">
        <v>1035</v>
      </c>
      <c r="N233" s="1032" t="s">
        <v>1045</v>
      </c>
      <c r="O233" s="1032">
        <v>2021.0</v>
      </c>
      <c r="P233" s="1032" t="s">
        <v>1039</v>
      </c>
      <c r="Q233" s="1033" t="s">
        <v>63</v>
      </c>
      <c r="R233" s="1034">
        <v>1648.8014</v>
      </c>
      <c r="S233" s="1034">
        <v>1153.892984</v>
      </c>
      <c r="T233" s="1035">
        <v>2287.162847</v>
      </c>
      <c r="AB233" s="1045"/>
      <c r="AF233" s="225"/>
    </row>
    <row r="234">
      <c r="A234" s="1013"/>
      <c r="B234" s="1019" t="s">
        <v>118</v>
      </c>
      <c r="C234" s="1020" t="s">
        <v>1035</v>
      </c>
      <c r="D234" s="1020" t="s">
        <v>1043</v>
      </c>
      <c r="E234" s="1020" t="s">
        <v>1047</v>
      </c>
      <c r="F234" s="1020">
        <v>2021.0</v>
      </c>
      <c r="G234" s="1021">
        <v>6.38931E-4</v>
      </c>
      <c r="H234" s="1021">
        <v>3.24432E-4</v>
      </c>
      <c r="I234" s="1022">
        <v>0.001108926</v>
      </c>
      <c r="K234" s="1031" t="s">
        <v>130</v>
      </c>
      <c r="L234" s="1032" t="s">
        <v>1047</v>
      </c>
      <c r="M234" s="1032" t="s">
        <v>1035</v>
      </c>
      <c r="N234" s="1032" t="s">
        <v>1038</v>
      </c>
      <c r="O234" s="1032">
        <v>2021.0</v>
      </c>
      <c r="P234" s="1032" t="s">
        <v>1039</v>
      </c>
      <c r="Q234" s="1033" t="s">
        <v>63</v>
      </c>
      <c r="R234" s="1034">
        <v>101.75073</v>
      </c>
      <c r="S234" s="1034">
        <v>50.11356175</v>
      </c>
      <c r="T234" s="1035">
        <v>178.9712147</v>
      </c>
      <c r="AB234" s="1045"/>
      <c r="AF234" s="225"/>
    </row>
    <row r="235">
      <c r="A235" s="1013"/>
      <c r="B235" s="1019" t="s">
        <v>118</v>
      </c>
      <c r="C235" s="1020" t="s">
        <v>1035</v>
      </c>
      <c r="D235" s="1020" t="s">
        <v>1045</v>
      </c>
      <c r="E235" s="1020" t="s">
        <v>1047</v>
      </c>
      <c r="F235" s="1020">
        <v>2021.0</v>
      </c>
      <c r="G235" s="1021">
        <v>0.019142781</v>
      </c>
      <c r="H235" s="1021">
        <v>0.010941368</v>
      </c>
      <c r="I235" s="1022">
        <v>0.031755163</v>
      </c>
      <c r="K235" s="1031" t="s">
        <v>130</v>
      </c>
      <c r="L235" s="1032" t="s">
        <v>1047</v>
      </c>
      <c r="M235" s="1032" t="s">
        <v>1035</v>
      </c>
      <c r="N235" s="1032" t="s">
        <v>1042</v>
      </c>
      <c r="O235" s="1032">
        <v>2021.0</v>
      </c>
      <c r="P235" s="1032" t="s">
        <v>1039</v>
      </c>
      <c r="Q235" s="1033" t="s">
        <v>63</v>
      </c>
      <c r="R235" s="1034">
        <v>7.940290724</v>
      </c>
      <c r="S235" s="1034">
        <v>4.473850771</v>
      </c>
      <c r="T235" s="1035">
        <v>13.28167432</v>
      </c>
      <c r="AB235" s="1045"/>
      <c r="AF235" s="225"/>
    </row>
    <row r="236">
      <c r="A236" s="1013"/>
      <c r="B236" s="1019" t="s">
        <v>119</v>
      </c>
      <c r="C236" s="1020" t="s">
        <v>1035</v>
      </c>
      <c r="D236" s="1020" t="s">
        <v>1036</v>
      </c>
      <c r="E236" s="1020" t="s">
        <v>1047</v>
      </c>
      <c r="F236" s="1020">
        <v>2021.0</v>
      </c>
      <c r="G236" s="1021">
        <v>0.003840535</v>
      </c>
      <c r="H236" s="1021">
        <v>0.001901747</v>
      </c>
      <c r="I236" s="1022">
        <v>0.007300036</v>
      </c>
      <c r="K236" s="1031" t="s">
        <v>130</v>
      </c>
      <c r="L236" s="1032" t="s">
        <v>1047</v>
      </c>
      <c r="M236" s="1032" t="s">
        <v>1035</v>
      </c>
      <c r="N236" s="1032" t="s">
        <v>1044</v>
      </c>
      <c r="O236" s="1032">
        <v>2021.0</v>
      </c>
      <c r="P236" s="1032" t="s">
        <v>1039</v>
      </c>
      <c r="Q236" s="1033" t="s">
        <v>63</v>
      </c>
      <c r="R236" s="1034">
        <v>7.864694379</v>
      </c>
      <c r="S236" s="1034">
        <v>3.960526172</v>
      </c>
      <c r="T236" s="1035">
        <v>14.15079097</v>
      </c>
      <c r="AB236" s="1045"/>
      <c r="AF236" s="225"/>
    </row>
    <row r="237">
      <c r="A237" s="1013"/>
      <c r="B237" s="1019" t="s">
        <v>119</v>
      </c>
      <c r="C237" s="1020" t="s">
        <v>1035</v>
      </c>
      <c r="D237" s="1020" t="s">
        <v>1041</v>
      </c>
      <c r="E237" s="1020" t="s">
        <v>1047</v>
      </c>
      <c r="F237" s="1020">
        <v>2021.0</v>
      </c>
      <c r="G237" s="1021">
        <v>0.026991937</v>
      </c>
      <c r="H237" s="1021">
        <v>0.014722087</v>
      </c>
      <c r="I237" s="1022">
        <v>0.049356914</v>
      </c>
      <c r="K237" s="1031" t="s">
        <v>130</v>
      </c>
      <c r="L237" s="1032" t="s">
        <v>1047</v>
      </c>
      <c r="M237" s="1032" t="s">
        <v>1035</v>
      </c>
      <c r="N237" s="1032" t="s">
        <v>1046</v>
      </c>
      <c r="O237" s="1032">
        <v>2021.0</v>
      </c>
      <c r="P237" s="1032" t="s">
        <v>1039</v>
      </c>
      <c r="Q237" s="1033" t="s">
        <v>63</v>
      </c>
      <c r="R237" s="1034">
        <v>171.1173182</v>
      </c>
      <c r="S237" s="1034">
        <v>92.93318804</v>
      </c>
      <c r="T237" s="1035">
        <v>287.5249433</v>
      </c>
      <c r="AB237" s="1045"/>
      <c r="AF237" s="225"/>
    </row>
    <row r="238">
      <c r="A238" s="1013"/>
      <c r="B238" s="1019" t="s">
        <v>119</v>
      </c>
      <c r="C238" s="1020" t="s">
        <v>1035</v>
      </c>
      <c r="D238" s="1020" t="s">
        <v>1043</v>
      </c>
      <c r="E238" s="1020" t="s">
        <v>1047</v>
      </c>
      <c r="F238" s="1020">
        <v>2021.0</v>
      </c>
      <c r="G238" s="1021">
        <v>9.30212E-4</v>
      </c>
      <c r="H238" s="1021">
        <v>4.61936E-4</v>
      </c>
      <c r="I238" s="1022">
        <v>0.001633782</v>
      </c>
      <c r="K238" s="1031" t="s">
        <v>130</v>
      </c>
      <c r="L238" s="1032" t="s">
        <v>1047</v>
      </c>
      <c r="M238" s="1032" t="s">
        <v>1035</v>
      </c>
      <c r="N238" s="1032" t="s">
        <v>1045</v>
      </c>
      <c r="O238" s="1032">
        <v>2021.0</v>
      </c>
      <c r="P238" s="1032" t="s">
        <v>1039</v>
      </c>
      <c r="Q238" s="1033" t="s">
        <v>63</v>
      </c>
      <c r="R238" s="1034">
        <v>288.6730333</v>
      </c>
      <c r="S238" s="1034">
        <v>155.3090055</v>
      </c>
      <c r="T238" s="1035">
        <v>473.6267038</v>
      </c>
      <c r="AB238" s="1045"/>
      <c r="AF238" s="225"/>
    </row>
    <row r="239">
      <c r="A239" s="1013"/>
      <c r="B239" s="1019" t="s">
        <v>119</v>
      </c>
      <c r="C239" s="1020" t="s">
        <v>1035</v>
      </c>
      <c r="D239" s="1020" t="s">
        <v>1045</v>
      </c>
      <c r="E239" s="1020" t="s">
        <v>1047</v>
      </c>
      <c r="F239" s="1020">
        <v>2021.0</v>
      </c>
      <c r="G239" s="1021">
        <v>0.020195653</v>
      </c>
      <c r="H239" s="1021">
        <v>0.012409475</v>
      </c>
      <c r="I239" s="1022">
        <v>0.029662918</v>
      </c>
      <c r="K239" s="1031" t="s">
        <v>131</v>
      </c>
      <c r="L239" s="1032" t="s">
        <v>1047</v>
      </c>
      <c r="M239" s="1032" t="s">
        <v>1035</v>
      </c>
      <c r="N239" s="1032" t="s">
        <v>1038</v>
      </c>
      <c r="O239" s="1032">
        <v>2021.0</v>
      </c>
      <c r="P239" s="1032" t="s">
        <v>1039</v>
      </c>
      <c r="Q239" s="1033" t="s">
        <v>63</v>
      </c>
      <c r="R239" s="1034">
        <v>193.5623118</v>
      </c>
      <c r="S239" s="1034">
        <v>77.1060033</v>
      </c>
      <c r="T239" s="1035">
        <v>409.4009894</v>
      </c>
      <c r="AB239" s="1045"/>
      <c r="AF239" s="225"/>
    </row>
    <row r="240">
      <c r="A240" s="1013"/>
      <c r="B240" s="1019" t="s">
        <v>120</v>
      </c>
      <c r="C240" s="1020" t="s">
        <v>1035</v>
      </c>
      <c r="D240" s="1020" t="s">
        <v>1036</v>
      </c>
      <c r="E240" s="1020" t="s">
        <v>1047</v>
      </c>
      <c r="F240" s="1020">
        <v>2021.0</v>
      </c>
      <c r="G240" s="1021">
        <v>0.004186265</v>
      </c>
      <c r="H240" s="1021">
        <v>0.002130778</v>
      </c>
      <c r="I240" s="1022">
        <v>0.008081397</v>
      </c>
      <c r="K240" s="1031" t="s">
        <v>131</v>
      </c>
      <c r="L240" s="1032" t="s">
        <v>1047</v>
      </c>
      <c r="M240" s="1032" t="s">
        <v>1035</v>
      </c>
      <c r="N240" s="1032" t="s">
        <v>1042</v>
      </c>
      <c r="O240" s="1032">
        <v>2021.0</v>
      </c>
      <c r="P240" s="1032" t="s">
        <v>1039</v>
      </c>
      <c r="Q240" s="1033" t="s">
        <v>63</v>
      </c>
      <c r="R240" s="1034">
        <v>18.73477951</v>
      </c>
      <c r="S240" s="1034">
        <v>10.15915368</v>
      </c>
      <c r="T240" s="1035">
        <v>33.31276317</v>
      </c>
      <c r="AB240" s="1045"/>
      <c r="AF240" s="225"/>
    </row>
    <row r="241">
      <c r="A241" s="1013"/>
      <c r="B241" s="1019" t="s">
        <v>120</v>
      </c>
      <c r="C241" s="1020" t="s">
        <v>1035</v>
      </c>
      <c r="D241" s="1020" t="s">
        <v>1041</v>
      </c>
      <c r="E241" s="1020" t="s">
        <v>1047</v>
      </c>
      <c r="F241" s="1020">
        <v>2021.0</v>
      </c>
      <c r="G241" s="1021">
        <v>0.035335125</v>
      </c>
      <c r="H241" s="1021">
        <v>0.02012624</v>
      </c>
      <c r="I241" s="1022">
        <v>0.065872301</v>
      </c>
      <c r="K241" s="1031" t="s">
        <v>131</v>
      </c>
      <c r="L241" s="1032" t="s">
        <v>1047</v>
      </c>
      <c r="M241" s="1032" t="s">
        <v>1035</v>
      </c>
      <c r="N241" s="1032" t="s">
        <v>1044</v>
      </c>
      <c r="O241" s="1032">
        <v>2021.0</v>
      </c>
      <c r="P241" s="1032" t="s">
        <v>1039</v>
      </c>
      <c r="Q241" s="1033" t="s">
        <v>63</v>
      </c>
      <c r="R241" s="1034">
        <v>20.68238466</v>
      </c>
      <c r="S241" s="1034">
        <v>8.994989264</v>
      </c>
      <c r="T241" s="1035">
        <v>45.34762474</v>
      </c>
      <c r="AB241" s="1045"/>
      <c r="AF241" s="225"/>
    </row>
    <row r="242">
      <c r="A242" s="1013"/>
      <c r="B242" s="1019" t="s">
        <v>120</v>
      </c>
      <c r="C242" s="1020" t="s">
        <v>1035</v>
      </c>
      <c r="D242" s="1020" t="s">
        <v>1043</v>
      </c>
      <c r="E242" s="1020" t="s">
        <v>1047</v>
      </c>
      <c r="F242" s="1020">
        <v>2021.0</v>
      </c>
      <c r="G242" s="1021">
        <v>0.001073511</v>
      </c>
      <c r="H242" s="1021">
        <v>5.44029E-4</v>
      </c>
      <c r="I242" s="1022">
        <v>0.001946328</v>
      </c>
      <c r="K242" s="1031" t="s">
        <v>131</v>
      </c>
      <c r="L242" s="1032" t="s">
        <v>1047</v>
      </c>
      <c r="M242" s="1032" t="s">
        <v>1035</v>
      </c>
      <c r="N242" s="1032" t="s">
        <v>1046</v>
      </c>
      <c r="O242" s="1032">
        <v>2021.0</v>
      </c>
      <c r="P242" s="1032" t="s">
        <v>1039</v>
      </c>
      <c r="Q242" s="1033" t="s">
        <v>63</v>
      </c>
      <c r="R242" s="1034">
        <v>362.7439319</v>
      </c>
      <c r="S242" s="1034">
        <v>167.4689633</v>
      </c>
      <c r="T242" s="1035">
        <v>692.481271</v>
      </c>
      <c r="AB242" s="1045"/>
      <c r="AF242" s="225"/>
    </row>
    <row r="243">
      <c r="A243" s="1013"/>
      <c r="B243" s="1019" t="s">
        <v>120</v>
      </c>
      <c r="C243" s="1020" t="s">
        <v>1035</v>
      </c>
      <c r="D243" s="1020" t="s">
        <v>1045</v>
      </c>
      <c r="E243" s="1020" t="s">
        <v>1047</v>
      </c>
      <c r="F243" s="1020">
        <v>2021.0</v>
      </c>
      <c r="G243" s="1021">
        <v>0.022145719</v>
      </c>
      <c r="H243" s="1021">
        <v>0.014538568</v>
      </c>
      <c r="I243" s="1022">
        <v>0.030791932</v>
      </c>
      <c r="K243" s="1031" t="s">
        <v>131</v>
      </c>
      <c r="L243" s="1032" t="s">
        <v>1047</v>
      </c>
      <c r="M243" s="1032" t="s">
        <v>1035</v>
      </c>
      <c r="N243" s="1032" t="s">
        <v>1045</v>
      </c>
      <c r="O243" s="1032">
        <v>2021.0</v>
      </c>
      <c r="P243" s="1032" t="s">
        <v>1039</v>
      </c>
      <c r="Q243" s="1033" t="s">
        <v>63</v>
      </c>
      <c r="R243" s="1034">
        <v>595.7234079</v>
      </c>
      <c r="S243" s="1034">
        <v>286.5632105</v>
      </c>
      <c r="T243" s="1035">
        <v>1109.341844</v>
      </c>
      <c r="AB243" s="1045"/>
      <c r="AF243" s="225"/>
    </row>
    <row r="244">
      <c r="A244" s="1013"/>
      <c r="B244" s="1019" t="s">
        <v>139</v>
      </c>
      <c r="C244" s="1020" t="s">
        <v>1035</v>
      </c>
      <c r="D244" s="1020" t="s">
        <v>1036</v>
      </c>
      <c r="E244" s="1020" t="s">
        <v>1047</v>
      </c>
      <c r="F244" s="1020">
        <v>2021.0</v>
      </c>
      <c r="G244" s="1021">
        <v>0.001335379</v>
      </c>
      <c r="H244" s="1021">
        <v>4.70924E-4</v>
      </c>
      <c r="I244" s="1022">
        <v>0.002580037</v>
      </c>
      <c r="K244" s="1031" t="s">
        <v>132</v>
      </c>
      <c r="L244" s="1032" t="s">
        <v>1047</v>
      </c>
      <c r="M244" s="1032" t="s">
        <v>1035</v>
      </c>
      <c r="N244" s="1032" t="s">
        <v>1038</v>
      </c>
      <c r="O244" s="1032">
        <v>2021.0</v>
      </c>
      <c r="P244" s="1032" t="s">
        <v>1039</v>
      </c>
      <c r="Q244" s="1033" t="s">
        <v>63</v>
      </c>
      <c r="R244" s="1034">
        <v>236.1997184</v>
      </c>
      <c r="S244" s="1034">
        <v>103.9627256</v>
      </c>
      <c r="T244" s="1035">
        <v>438.9321523</v>
      </c>
      <c r="AB244" s="1045"/>
      <c r="AF244" s="225"/>
    </row>
    <row r="245">
      <c r="A245" s="1013"/>
      <c r="B245" s="1019" t="s">
        <v>139</v>
      </c>
      <c r="C245" s="1020" t="s">
        <v>1035</v>
      </c>
      <c r="D245" s="1020" t="s">
        <v>1041</v>
      </c>
      <c r="E245" s="1020" t="s">
        <v>1047</v>
      </c>
      <c r="F245" s="1020">
        <v>2021.0</v>
      </c>
      <c r="G245" s="1021">
        <v>0.009759322</v>
      </c>
      <c r="H245" s="1021">
        <v>0.004475253</v>
      </c>
      <c r="I245" s="1022">
        <v>0.018106342</v>
      </c>
      <c r="K245" s="1031" t="s">
        <v>132</v>
      </c>
      <c r="L245" s="1032" t="s">
        <v>1047</v>
      </c>
      <c r="M245" s="1032" t="s">
        <v>1035</v>
      </c>
      <c r="N245" s="1032" t="s">
        <v>1042</v>
      </c>
      <c r="O245" s="1032">
        <v>2021.0</v>
      </c>
      <c r="P245" s="1032" t="s">
        <v>1039</v>
      </c>
      <c r="Q245" s="1033" t="s">
        <v>63</v>
      </c>
      <c r="R245" s="1034">
        <v>27.87589643</v>
      </c>
      <c r="S245" s="1034">
        <v>14.70944365</v>
      </c>
      <c r="T245" s="1035">
        <v>47.71358288</v>
      </c>
      <c r="AB245" s="1045"/>
      <c r="AF245" s="225"/>
    </row>
    <row r="246">
      <c r="A246" s="1013"/>
      <c r="B246" s="1019" t="s">
        <v>139</v>
      </c>
      <c r="C246" s="1020" t="s">
        <v>1035</v>
      </c>
      <c r="D246" s="1020" t="s">
        <v>1043</v>
      </c>
      <c r="E246" s="1020" t="s">
        <v>1047</v>
      </c>
      <c r="F246" s="1020">
        <v>2021.0</v>
      </c>
      <c r="G246" s="1021">
        <v>2.20572E-4</v>
      </c>
      <c r="H246" s="1021">
        <v>6.99E-5</v>
      </c>
      <c r="I246" s="1022">
        <v>4.4562E-4</v>
      </c>
      <c r="K246" s="1031" t="s">
        <v>132</v>
      </c>
      <c r="L246" s="1032" t="s">
        <v>1047</v>
      </c>
      <c r="M246" s="1032" t="s">
        <v>1035</v>
      </c>
      <c r="N246" s="1032" t="s">
        <v>1044</v>
      </c>
      <c r="O246" s="1032">
        <v>2021.0</v>
      </c>
      <c r="P246" s="1032" t="s">
        <v>1039</v>
      </c>
      <c r="Q246" s="1033" t="s">
        <v>63</v>
      </c>
      <c r="R246" s="1034">
        <v>24.91145495</v>
      </c>
      <c r="S246" s="1034">
        <v>12.8207637</v>
      </c>
      <c r="T246" s="1035">
        <v>46.3556119</v>
      </c>
      <c r="AB246" s="1045"/>
      <c r="AF246" s="225"/>
    </row>
    <row r="247">
      <c r="A247" s="1013"/>
      <c r="B247" s="1019" t="s">
        <v>139</v>
      </c>
      <c r="C247" s="1020" t="s">
        <v>1035</v>
      </c>
      <c r="D247" s="1020" t="s">
        <v>1045</v>
      </c>
      <c r="E247" s="1020" t="s">
        <v>1047</v>
      </c>
      <c r="F247" s="1020">
        <v>2021.0</v>
      </c>
      <c r="G247" s="1021">
        <v>0.003592045</v>
      </c>
      <c r="H247" s="1021">
        <v>0.001831537</v>
      </c>
      <c r="I247" s="1022">
        <v>0.006027864</v>
      </c>
      <c r="K247" s="1031" t="s">
        <v>132</v>
      </c>
      <c r="L247" s="1032" t="s">
        <v>1047</v>
      </c>
      <c r="M247" s="1032" t="s">
        <v>1035</v>
      </c>
      <c r="N247" s="1032" t="s">
        <v>1046</v>
      </c>
      <c r="O247" s="1032">
        <v>2021.0</v>
      </c>
      <c r="P247" s="1032" t="s">
        <v>1039</v>
      </c>
      <c r="Q247" s="1033" t="s">
        <v>63</v>
      </c>
      <c r="R247" s="1034">
        <v>539.3413898</v>
      </c>
      <c r="S247" s="1034">
        <v>291.8538436</v>
      </c>
      <c r="T247" s="1035">
        <v>879.6690753</v>
      </c>
      <c r="AB247" s="1045"/>
      <c r="AF247" s="225"/>
    </row>
    <row r="248">
      <c r="A248" s="1013"/>
      <c r="B248" s="1019" t="s">
        <v>140</v>
      </c>
      <c r="C248" s="1020" t="s">
        <v>1035</v>
      </c>
      <c r="D248" s="1020" t="s">
        <v>1036</v>
      </c>
      <c r="E248" s="1020" t="s">
        <v>1047</v>
      </c>
      <c r="F248" s="1020">
        <v>2021.0</v>
      </c>
      <c r="G248" s="1021">
        <v>0.001365595</v>
      </c>
      <c r="H248" s="1021">
        <v>4.93209E-4</v>
      </c>
      <c r="I248" s="1022">
        <v>0.002676195</v>
      </c>
      <c r="K248" s="1031" t="s">
        <v>132</v>
      </c>
      <c r="L248" s="1032" t="s">
        <v>1047</v>
      </c>
      <c r="M248" s="1032" t="s">
        <v>1035</v>
      </c>
      <c r="N248" s="1032" t="s">
        <v>1045</v>
      </c>
      <c r="O248" s="1032">
        <v>2021.0</v>
      </c>
      <c r="P248" s="1032" t="s">
        <v>1039</v>
      </c>
      <c r="Q248" s="1033" t="s">
        <v>63</v>
      </c>
      <c r="R248" s="1034">
        <v>828.3284596</v>
      </c>
      <c r="S248" s="1034">
        <v>436.1070336</v>
      </c>
      <c r="T248" s="1035">
        <v>1344.576548</v>
      </c>
      <c r="AB248" s="1045"/>
      <c r="AF248" s="225"/>
    </row>
    <row r="249">
      <c r="A249" s="1013"/>
      <c r="B249" s="1019" t="s">
        <v>140</v>
      </c>
      <c r="C249" s="1020" t="s">
        <v>1035</v>
      </c>
      <c r="D249" s="1020" t="s">
        <v>1041</v>
      </c>
      <c r="E249" s="1020" t="s">
        <v>1047</v>
      </c>
      <c r="F249" s="1020">
        <v>2021.0</v>
      </c>
      <c r="G249" s="1021">
        <v>0.008120277</v>
      </c>
      <c r="H249" s="1021">
        <v>0.003259531</v>
      </c>
      <c r="I249" s="1022">
        <v>0.015379556</v>
      </c>
      <c r="K249" s="1031" t="s">
        <v>133</v>
      </c>
      <c r="L249" s="1032" t="s">
        <v>1047</v>
      </c>
      <c r="M249" s="1032" t="s">
        <v>1035</v>
      </c>
      <c r="N249" s="1032" t="s">
        <v>1038</v>
      </c>
      <c r="O249" s="1032">
        <v>2021.0</v>
      </c>
      <c r="P249" s="1032" t="s">
        <v>1039</v>
      </c>
      <c r="Q249" s="1033" t="s">
        <v>63</v>
      </c>
      <c r="R249" s="1034">
        <v>233.8117424</v>
      </c>
      <c r="S249" s="1034">
        <v>106.6917351</v>
      </c>
      <c r="T249" s="1035">
        <v>517.8141477</v>
      </c>
      <c r="AB249" s="1045"/>
      <c r="AF249" s="225"/>
    </row>
    <row r="250">
      <c r="A250" s="1013"/>
      <c r="B250" s="1019" t="s">
        <v>140</v>
      </c>
      <c r="C250" s="1020" t="s">
        <v>1035</v>
      </c>
      <c r="D250" s="1020" t="s">
        <v>1043</v>
      </c>
      <c r="E250" s="1020" t="s">
        <v>1047</v>
      </c>
      <c r="F250" s="1020">
        <v>2021.0</v>
      </c>
      <c r="G250" s="1021">
        <v>1.88882E-4</v>
      </c>
      <c r="H250" s="1021">
        <v>5.42E-5</v>
      </c>
      <c r="I250" s="1022">
        <v>3.85012E-4</v>
      </c>
      <c r="K250" s="1031" t="s">
        <v>133</v>
      </c>
      <c r="L250" s="1032" t="s">
        <v>1047</v>
      </c>
      <c r="M250" s="1032" t="s">
        <v>1035</v>
      </c>
      <c r="N250" s="1032" t="s">
        <v>1042</v>
      </c>
      <c r="O250" s="1032">
        <v>2021.0</v>
      </c>
      <c r="P250" s="1032" t="s">
        <v>1039</v>
      </c>
      <c r="Q250" s="1033" t="s">
        <v>63</v>
      </c>
      <c r="R250" s="1034">
        <v>12.3771459</v>
      </c>
      <c r="S250" s="1034">
        <v>6.668763737</v>
      </c>
      <c r="T250" s="1035">
        <v>21.81858798</v>
      </c>
      <c r="AB250" s="1045"/>
      <c r="AF250" s="225"/>
    </row>
    <row r="251">
      <c r="A251" s="1013"/>
      <c r="B251" s="1019" t="s">
        <v>140</v>
      </c>
      <c r="C251" s="1020" t="s">
        <v>1035</v>
      </c>
      <c r="D251" s="1020" t="s">
        <v>1045</v>
      </c>
      <c r="E251" s="1020" t="s">
        <v>1047</v>
      </c>
      <c r="F251" s="1020">
        <v>2021.0</v>
      </c>
      <c r="G251" s="1021">
        <v>0.002748778</v>
      </c>
      <c r="H251" s="1021">
        <v>0.0014529</v>
      </c>
      <c r="I251" s="1022">
        <v>0.00479396</v>
      </c>
      <c r="K251" s="1031" t="s">
        <v>133</v>
      </c>
      <c r="L251" s="1032" t="s">
        <v>1047</v>
      </c>
      <c r="M251" s="1032" t="s">
        <v>1035</v>
      </c>
      <c r="N251" s="1032" t="s">
        <v>1044</v>
      </c>
      <c r="O251" s="1032">
        <v>2021.0</v>
      </c>
      <c r="P251" s="1032" t="s">
        <v>1039</v>
      </c>
      <c r="Q251" s="1033" t="s">
        <v>63</v>
      </c>
      <c r="R251" s="1034">
        <v>12.00700166</v>
      </c>
      <c r="S251" s="1034">
        <v>4.847296853</v>
      </c>
      <c r="T251" s="1035">
        <v>27.37824055</v>
      </c>
      <c r="AB251" s="1045"/>
      <c r="AF251" s="225"/>
    </row>
    <row r="252">
      <c r="A252" s="1013"/>
      <c r="B252" s="1019" t="s">
        <v>141</v>
      </c>
      <c r="C252" s="1020" t="s">
        <v>1035</v>
      </c>
      <c r="D252" s="1020" t="s">
        <v>1036</v>
      </c>
      <c r="E252" s="1020" t="s">
        <v>1047</v>
      </c>
      <c r="F252" s="1020">
        <v>2021.0</v>
      </c>
      <c r="G252" s="1021">
        <v>4.35125E-4</v>
      </c>
      <c r="H252" s="1021">
        <v>1.38466E-4</v>
      </c>
      <c r="I252" s="1022">
        <v>9.02471E-4</v>
      </c>
      <c r="K252" s="1031" t="s">
        <v>133</v>
      </c>
      <c r="L252" s="1032" t="s">
        <v>1047</v>
      </c>
      <c r="M252" s="1032" t="s">
        <v>1035</v>
      </c>
      <c r="N252" s="1032" t="s">
        <v>1046</v>
      </c>
      <c r="O252" s="1032">
        <v>2021.0</v>
      </c>
      <c r="P252" s="1032" t="s">
        <v>1039</v>
      </c>
      <c r="Q252" s="1033" t="s">
        <v>63</v>
      </c>
      <c r="R252" s="1034">
        <v>185.2863493</v>
      </c>
      <c r="S252" s="1034">
        <v>68.40961283</v>
      </c>
      <c r="T252" s="1035">
        <v>416.8052805</v>
      </c>
      <c r="AB252" s="1045"/>
      <c r="AF252" s="225"/>
    </row>
    <row r="253">
      <c r="A253" s="1013"/>
      <c r="B253" s="1019" t="s">
        <v>141</v>
      </c>
      <c r="C253" s="1020" t="s">
        <v>1035</v>
      </c>
      <c r="D253" s="1020" t="s">
        <v>1041</v>
      </c>
      <c r="E253" s="1020" t="s">
        <v>1047</v>
      </c>
      <c r="F253" s="1020">
        <v>2021.0</v>
      </c>
      <c r="G253" s="1021">
        <v>0.002439656</v>
      </c>
      <c r="H253" s="1021">
        <v>8.81132E-4</v>
      </c>
      <c r="I253" s="1022">
        <v>0.004652932</v>
      </c>
      <c r="K253" s="1031" t="s">
        <v>133</v>
      </c>
      <c r="L253" s="1032" t="s">
        <v>1047</v>
      </c>
      <c r="M253" s="1032" t="s">
        <v>1035</v>
      </c>
      <c r="N253" s="1032" t="s">
        <v>1045</v>
      </c>
      <c r="O253" s="1032">
        <v>2021.0</v>
      </c>
      <c r="P253" s="1032" t="s">
        <v>1039</v>
      </c>
      <c r="Q253" s="1033" t="s">
        <v>63</v>
      </c>
      <c r="R253" s="1034">
        <v>443.4822393</v>
      </c>
      <c r="S253" s="1034">
        <v>204.7683778</v>
      </c>
      <c r="T253" s="1035">
        <v>899.3816559</v>
      </c>
      <c r="AB253" s="1045"/>
      <c r="AF253" s="225"/>
    </row>
    <row r="254">
      <c r="A254" s="1013"/>
      <c r="B254" s="1019" t="s">
        <v>141</v>
      </c>
      <c r="C254" s="1020" t="s">
        <v>1035</v>
      </c>
      <c r="D254" s="1020" t="s">
        <v>1043</v>
      </c>
      <c r="E254" s="1020" t="s">
        <v>1047</v>
      </c>
      <c r="F254" s="1020">
        <v>2021.0</v>
      </c>
      <c r="G254" s="1021">
        <v>7.57E-5</v>
      </c>
      <c r="H254" s="1021">
        <v>2.28E-5</v>
      </c>
      <c r="I254" s="1022">
        <v>1.56494E-4</v>
      </c>
      <c r="K254" s="1031" t="s">
        <v>134</v>
      </c>
      <c r="L254" s="1032" t="s">
        <v>1047</v>
      </c>
      <c r="M254" s="1032" t="s">
        <v>1035</v>
      </c>
      <c r="N254" s="1032" t="s">
        <v>1038</v>
      </c>
      <c r="O254" s="1032">
        <v>2021.0</v>
      </c>
      <c r="P254" s="1032" t="s">
        <v>1039</v>
      </c>
      <c r="Q254" s="1033" t="s">
        <v>63</v>
      </c>
      <c r="R254" s="1034">
        <v>74.50548188</v>
      </c>
      <c r="S254" s="1034">
        <v>28.65933687</v>
      </c>
      <c r="T254" s="1035">
        <v>153.3179231</v>
      </c>
      <c r="AB254" s="1045"/>
      <c r="AF254" s="225"/>
    </row>
    <row r="255">
      <c r="A255" s="1013"/>
      <c r="B255" s="1019" t="s">
        <v>141</v>
      </c>
      <c r="C255" s="1020" t="s">
        <v>1035</v>
      </c>
      <c r="D255" s="1020" t="s">
        <v>1045</v>
      </c>
      <c r="E255" s="1020" t="s">
        <v>1047</v>
      </c>
      <c r="F255" s="1020">
        <v>2021.0</v>
      </c>
      <c r="G255" s="1021">
        <v>0.002528933</v>
      </c>
      <c r="H255" s="1021">
        <v>0.00114388</v>
      </c>
      <c r="I255" s="1022">
        <v>0.005374772</v>
      </c>
      <c r="K255" s="1031" t="s">
        <v>134</v>
      </c>
      <c r="L255" s="1032" t="s">
        <v>1047</v>
      </c>
      <c r="M255" s="1032" t="s">
        <v>1035</v>
      </c>
      <c r="N255" s="1032" t="s">
        <v>1042</v>
      </c>
      <c r="O255" s="1032">
        <v>2021.0</v>
      </c>
      <c r="P255" s="1032" t="s">
        <v>1039</v>
      </c>
      <c r="Q255" s="1033" t="s">
        <v>63</v>
      </c>
      <c r="R255" s="1034">
        <v>6.997506342</v>
      </c>
      <c r="S255" s="1034">
        <v>3.463230932</v>
      </c>
      <c r="T255" s="1035">
        <v>12.25005397</v>
      </c>
      <c r="AB255" s="1045"/>
      <c r="AF255" s="225"/>
    </row>
    <row r="256">
      <c r="A256" s="1013"/>
      <c r="B256" s="1019" t="s">
        <v>142</v>
      </c>
      <c r="C256" s="1020" t="s">
        <v>1035</v>
      </c>
      <c r="D256" s="1020" t="s">
        <v>1036</v>
      </c>
      <c r="E256" s="1020" t="s">
        <v>1047</v>
      </c>
      <c r="F256" s="1020">
        <v>2021.0</v>
      </c>
      <c r="G256" s="1021">
        <v>0.00190647</v>
      </c>
      <c r="H256" s="1021">
        <v>8.44715E-4</v>
      </c>
      <c r="I256" s="1022">
        <v>0.003537083</v>
      </c>
      <c r="K256" s="1031" t="s">
        <v>134</v>
      </c>
      <c r="L256" s="1032" t="s">
        <v>1047</v>
      </c>
      <c r="M256" s="1032" t="s">
        <v>1035</v>
      </c>
      <c r="N256" s="1032" t="s">
        <v>1044</v>
      </c>
      <c r="O256" s="1032">
        <v>2021.0</v>
      </c>
      <c r="P256" s="1032" t="s">
        <v>1039</v>
      </c>
      <c r="Q256" s="1033" t="s">
        <v>63</v>
      </c>
      <c r="R256" s="1034">
        <v>5.301157227</v>
      </c>
      <c r="S256" s="1034">
        <v>2.150165761</v>
      </c>
      <c r="T256" s="1035">
        <v>11.21589005</v>
      </c>
      <c r="AB256" s="1045"/>
      <c r="AF256" s="225"/>
    </row>
    <row r="257">
      <c r="A257" s="1013"/>
      <c r="B257" s="1019" t="s">
        <v>142</v>
      </c>
      <c r="C257" s="1020" t="s">
        <v>1035</v>
      </c>
      <c r="D257" s="1020" t="s">
        <v>1041</v>
      </c>
      <c r="E257" s="1020" t="s">
        <v>1047</v>
      </c>
      <c r="F257" s="1020">
        <v>2021.0</v>
      </c>
      <c r="G257" s="1021">
        <v>0.00992103</v>
      </c>
      <c r="H257" s="1021">
        <v>0.00502596</v>
      </c>
      <c r="I257" s="1022">
        <v>0.017823451</v>
      </c>
      <c r="K257" s="1031" t="s">
        <v>134</v>
      </c>
      <c r="L257" s="1032" t="s">
        <v>1047</v>
      </c>
      <c r="M257" s="1032" t="s">
        <v>1035</v>
      </c>
      <c r="N257" s="1032" t="s">
        <v>1046</v>
      </c>
      <c r="O257" s="1032">
        <v>2021.0</v>
      </c>
      <c r="P257" s="1032" t="s">
        <v>1039</v>
      </c>
      <c r="Q257" s="1033" t="s">
        <v>63</v>
      </c>
      <c r="R257" s="1034">
        <v>100.2496916</v>
      </c>
      <c r="S257" s="1034">
        <v>40.51569573</v>
      </c>
      <c r="T257" s="1035">
        <v>196.8315786</v>
      </c>
      <c r="AB257" s="1045"/>
      <c r="AF257" s="225"/>
    </row>
    <row r="258">
      <c r="A258" s="1013"/>
      <c r="B258" s="1019" t="s">
        <v>142</v>
      </c>
      <c r="C258" s="1020" t="s">
        <v>1035</v>
      </c>
      <c r="D258" s="1020" t="s">
        <v>1043</v>
      </c>
      <c r="E258" s="1020" t="s">
        <v>1047</v>
      </c>
      <c r="F258" s="1020">
        <v>2021.0</v>
      </c>
      <c r="G258" s="1021">
        <v>3.65466E-4</v>
      </c>
      <c r="H258" s="1021">
        <v>1.53424E-4</v>
      </c>
      <c r="I258" s="1022">
        <v>6.5197E-4</v>
      </c>
      <c r="K258" s="1031" t="s">
        <v>134</v>
      </c>
      <c r="L258" s="1032" t="s">
        <v>1047</v>
      </c>
      <c r="M258" s="1032" t="s">
        <v>1035</v>
      </c>
      <c r="N258" s="1032" t="s">
        <v>1045</v>
      </c>
      <c r="O258" s="1032">
        <v>2021.0</v>
      </c>
      <c r="P258" s="1032" t="s">
        <v>1039</v>
      </c>
      <c r="Q258" s="1033" t="s">
        <v>63</v>
      </c>
      <c r="R258" s="1034">
        <v>187.053837</v>
      </c>
      <c r="S258" s="1034">
        <v>84.12520525</v>
      </c>
      <c r="T258" s="1035">
        <v>355.2822122</v>
      </c>
      <c r="AB258" s="1045"/>
      <c r="AF258" s="225"/>
    </row>
    <row r="259">
      <c r="A259" s="1013"/>
      <c r="B259" s="1019" t="s">
        <v>142</v>
      </c>
      <c r="C259" s="1020" t="s">
        <v>1035</v>
      </c>
      <c r="D259" s="1020" t="s">
        <v>1045</v>
      </c>
      <c r="E259" s="1020" t="s">
        <v>1047</v>
      </c>
      <c r="F259" s="1020">
        <v>2021.0</v>
      </c>
      <c r="G259" s="1021">
        <v>0.006564346</v>
      </c>
      <c r="H259" s="1021">
        <v>0.003887666</v>
      </c>
      <c r="I259" s="1022">
        <v>0.010094317</v>
      </c>
      <c r="K259" s="1031" t="s">
        <v>135</v>
      </c>
      <c r="L259" s="1032" t="s">
        <v>1047</v>
      </c>
      <c r="M259" s="1032" t="s">
        <v>1035</v>
      </c>
      <c r="N259" s="1032" t="s">
        <v>1038</v>
      </c>
      <c r="O259" s="1032">
        <v>2021.0</v>
      </c>
      <c r="P259" s="1032" t="s">
        <v>1039</v>
      </c>
      <c r="Q259" s="1033" t="s">
        <v>63</v>
      </c>
      <c r="R259" s="1034">
        <v>120.4548864</v>
      </c>
      <c r="S259" s="1034">
        <v>45.60721665</v>
      </c>
      <c r="T259" s="1035">
        <v>254.511179</v>
      </c>
      <c r="AB259" s="1045"/>
      <c r="AF259" s="225"/>
    </row>
    <row r="260">
      <c r="A260" s="1013"/>
      <c r="B260" s="1019" t="s">
        <v>143</v>
      </c>
      <c r="C260" s="1020" t="s">
        <v>1035</v>
      </c>
      <c r="D260" s="1020" t="s">
        <v>1036</v>
      </c>
      <c r="E260" s="1020" t="s">
        <v>1047</v>
      </c>
      <c r="F260" s="1020">
        <v>2021.0</v>
      </c>
      <c r="G260" s="1021">
        <v>0.002810532</v>
      </c>
      <c r="H260" s="1021">
        <v>0.001289866</v>
      </c>
      <c r="I260" s="1022">
        <v>0.005489743</v>
      </c>
      <c r="K260" s="1031" t="s">
        <v>135</v>
      </c>
      <c r="L260" s="1032" t="s">
        <v>1047</v>
      </c>
      <c r="M260" s="1032" t="s">
        <v>1035</v>
      </c>
      <c r="N260" s="1032" t="s">
        <v>1042</v>
      </c>
      <c r="O260" s="1032">
        <v>2021.0</v>
      </c>
      <c r="P260" s="1032" t="s">
        <v>1039</v>
      </c>
      <c r="Q260" s="1033" t="s">
        <v>63</v>
      </c>
      <c r="R260" s="1034">
        <v>11.9632909</v>
      </c>
      <c r="S260" s="1034">
        <v>6.479139225</v>
      </c>
      <c r="T260" s="1035">
        <v>20.84975245</v>
      </c>
      <c r="AB260" s="1045"/>
      <c r="AF260" s="225"/>
    </row>
    <row r="261">
      <c r="A261" s="1013"/>
      <c r="B261" s="1019" t="s">
        <v>143</v>
      </c>
      <c r="C261" s="1020" t="s">
        <v>1035</v>
      </c>
      <c r="D261" s="1020" t="s">
        <v>1041</v>
      </c>
      <c r="E261" s="1020" t="s">
        <v>1047</v>
      </c>
      <c r="F261" s="1020">
        <v>2021.0</v>
      </c>
      <c r="G261" s="1021">
        <v>0.019015231</v>
      </c>
      <c r="H261" s="1021">
        <v>0.009850699</v>
      </c>
      <c r="I261" s="1022">
        <v>0.035150433</v>
      </c>
      <c r="K261" s="1031" t="s">
        <v>135</v>
      </c>
      <c r="L261" s="1032" t="s">
        <v>1047</v>
      </c>
      <c r="M261" s="1032" t="s">
        <v>1035</v>
      </c>
      <c r="N261" s="1032" t="s">
        <v>1044</v>
      </c>
      <c r="O261" s="1032">
        <v>2021.0</v>
      </c>
      <c r="P261" s="1032" t="s">
        <v>1039</v>
      </c>
      <c r="Q261" s="1033" t="s">
        <v>63</v>
      </c>
      <c r="R261" s="1034">
        <v>14.91823057</v>
      </c>
      <c r="S261" s="1034">
        <v>6.873926739</v>
      </c>
      <c r="T261" s="1035">
        <v>30.14081858</v>
      </c>
      <c r="AB261" s="1045"/>
      <c r="AF261" s="225"/>
    </row>
    <row r="262">
      <c r="A262" s="1013"/>
      <c r="B262" s="1019" t="s">
        <v>143</v>
      </c>
      <c r="C262" s="1020" t="s">
        <v>1035</v>
      </c>
      <c r="D262" s="1020" t="s">
        <v>1043</v>
      </c>
      <c r="E262" s="1020" t="s">
        <v>1047</v>
      </c>
      <c r="F262" s="1020">
        <v>2021.0</v>
      </c>
      <c r="G262" s="1021">
        <v>5.88147E-4</v>
      </c>
      <c r="H262" s="1021">
        <v>2.54087E-4</v>
      </c>
      <c r="I262" s="1022">
        <v>0.001079674</v>
      </c>
      <c r="K262" s="1031" t="s">
        <v>135</v>
      </c>
      <c r="L262" s="1032" t="s">
        <v>1047</v>
      </c>
      <c r="M262" s="1032" t="s">
        <v>1035</v>
      </c>
      <c r="N262" s="1032" t="s">
        <v>1046</v>
      </c>
      <c r="O262" s="1032">
        <v>2021.0</v>
      </c>
      <c r="P262" s="1032" t="s">
        <v>1039</v>
      </c>
      <c r="Q262" s="1033" t="s">
        <v>63</v>
      </c>
      <c r="R262" s="1034">
        <v>195.3981509</v>
      </c>
      <c r="S262" s="1034">
        <v>79.00843957</v>
      </c>
      <c r="T262" s="1035">
        <v>359.9944306</v>
      </c>
      <c r="AB262" s="1045"/>
      <c r="AF262" s="225"/>
    </row>
    <row r="263">
      <c r="A263" s="1013"/>
      <c r="B263" s="1019" t="s">
        <v>143</v>
      </c>
      <c r="C263" s="1020" t="s">
        <v>1035</v>
      </c>
      <c r="D263" s="1020" t="s">
        <v>1045</v>
      </c>
      <c r="E263" s="1020" t="s">
        <v>1047</v>
      </c>
      <c r="F263" s="1020">
        <v>2021.0</v>
      </c>
      <c r="G263" s="1021">
        <v>0.011935639</v>
      </c>
      <c r="H263" s="1021">
        <v>0.007037309</v>
      </c>
      <c r="I263" s="1022">
        <v>0.018385673</v>
      </c>
      <c r="K263" s="1031" t="s">
        <v>135</v>
      </c>
      <c r="L263" s="1032" t="s">
        <v>1047</v>
      </c>
      <c r="M263" s="1032" t="s">
        <v>1035</v>
      </c>
      <c r="N263" s="1032" t="s">
        <v>1045</v>
      </c>
      <c r="O263" s="1032">
        <v>2021.0</v>
      </c>
      <c r="P263" s="1032" t="s">
        <v>1039</v>
      </c>
      <c r="Q263" s="1033" t="s">
        <v>63</v>
      </c>
      <c r="R263" s="1034">
        <v>342.7345588</v>
      </c>
      <c r="S263" s="1034">
        <v>146.6106013</v>
      </c>
      <c r="T263" s="1035">
        <v>606.0764384</v>
      </c>
      <c r="AB263" s="1045"/>
      <c r="AF263" s="225"/>
    </row>
    <row r="264">
      <c r="A264" s="1013"/>
      <c r="B264" s="1019" t="s">
        <v>109</v>
      </c>
      <c r="C264" s="1020" t="s">
        <v>1035</v>
      </c>
      <c r="D264" s="1020" t="s">
        <v>1036</v>
      </c>
      <c r="E264" s="1020" t="s">
        <v>1047</v>
      </c>
      <c r="F264" s="1020">
        <v>2021.0</v>
      </c>
      <c r="G264" s="1021">
        <v>0.00202046</v>
      </c>
      <c r="H264" s="1021">
        <v>0.001039217</v>
      </c>
      <c r="I264" s="1022">
        <v>0.003676393</v>
      </c>
      <c r="K264" s="1031" t="s">
        <v>136</v>
      </c>
      <c r="L264" s="1032" t="s">
        <v>1047</v>
      </c>
      <c r="M264" s="1032" t="s">
        <v>1035</v>
      </c>
      <c r="N264" s="1032" t="s">
        <v>1038</v>
      </c>
      <c r="O264" s="1032">
        <v>2021.0</v>
      </c>
      <c r="P264" s="1032" t="s">
        <v>1039</v>
      </c>
      <c r="Q264" s="1033" t="s">
        <v>63</v>
      </c>
      <c r="R264" s="1034">
        <v>250.4904494</v>
      </c>
      <c r="S264" s="1034">
        <v>85.4108749</v>
      </c>
      <c r="T264" s="1035">
        <v>586.4825964</v>
      </c>
      <c r="AB264" s="1045"/>
      <c r="AF264" s="225"/>
    </row>
    <row r="265">
      <c r="A265" s="1013"/>
      <c r="B265" s="1019" t="s">
        <v>109</v>
      </c>
      <c r="C265" s="1020" t="s">
        <v>1035</v>
      </c>
      <c r="D265" s="1020" t="s">
        <v>1041</v>
      </c>
      <c r="E265" s="1020" t="s">
        <v>1047</v>
      </c>
      <c r="F265" s="1020">
        <v>2021.0</v>
      </c>
      <c r="G265" s="1021">
        <v>0.013077473</v>
      </c>
      <c r="H265" s="1021">
        <v>0.007374384</v>
      </c>
      <c r="I265" s="1022">
        <v>0.022779247</v>
      </c>
      <c r="K265" s="1031" t="s">
        <v>136</v>
      </c>
      <c r="L265" s="1032" t="s">
        <v>1047</v>
      </c>
      <c r="M265" s="1032" t="s">
        <v>1035</v>
      </c>
      <c r="N265" s="1032" t="s">
        <v>1042</v>
      </c>
      <c r="O265" s="1032">
        <v>2021.0</v>
      </c>
      <c r="P265" s="1032" t="s">
        <v>1039</v>
      </c>
      <c r="Q265" s="1033" t="s">
        <v>63</v>
      </c>
      <c r="R265" s="1034">
        <v>27.78061384</v>
      </c>
      <c r="S265" s="1034">
        <v>13.22298275</v>
      </c>
      <c r="T265" s="1035">
        <v>55.33952695</v>
      </c>
      <c r="AB265" s="1045"/>
      <c r="AF265" s="225"/>
    </row>
    <row r="266">
      <c r="A266" s="1013"/>
      <c r="B266" s="1019" t="s">
        <v>109</v>
      </c>
      <c r="C266" s="1020" t="s">
        <v>1035</v>
      </c>
      <c r="D266" s="1020" t="s">
        <v>1043</v>
      </c>
      <c r="E266" s="1020" t="s">
        <v>1047</v>
      </c>
      <c r="F266" s="1020">
        <v>2021.0</v>
      </c>
      <c r="G266" s="1021">
        <v>5.46182E-4</v>
      </c>
      <c r="H266" s="1021">
        <v>3.04159E-4</v>
      </c>
      <c r="I266" s="1022">
        <v>9.22987E-4</v>
      </c>
      <c r="K266" s="1031" t="s">
        <v>136</v>
      </c>
      <c r="L266" s="1032" t="s">
        <v>1047</v>
      </c>
      <c r="M266" s="1032" t="s">
        <v>1035</v>
      </c>
      <c r="N266" s="1032" t="s">
        <v>1044</v>
      </c>
      <c r="O266" s="1032">
        <v>2021.0</v>
      </c>
      <c r="P266" s="1032" t="s">
        <v>1039</v>
      </c>
      <c r="Q266" s="1033" t="s">
        <v>63</v>
      </c>
      <c r="R266" s="1034">
        <v>24.13717641</v>
      </c>
      <c r="S266" s="1034">
        <v>8.963630508</v>
      </c>
      <c r="T266" s="1035">
        <v>58.66109647</v>
      </c>
      <c r="AB266" s="1045"/>
      <c r="AF266" s="225"/>
    </row>
    <row r="267">
      <c r="A267" s="1013"/>
      <c r="B267" s="1019" t="s">
        <v>109</v>
      </c>
      <c r="C267" s="1020" t="s">
        <v>1035</v>
      </c>
      <c r="D267" s="1020" t="s">
        <v>1045</v>
      </c>
      <c r="E267" s="1020" t="s">
        <v>1047</v>
      </c>
      <c r="F267" s="1020">
        <v>2021.0</v>
      </c>
      <c r="G267" s="1021">
        <v>0.013026466</v>
      </c>
      <c r="H267" s="1021">
        <v>0.008707754</v>
      </c>
      <c r="I267" s="1022">
        <v>0.018152464</v>
      </c>
      <c r="K267" s="1031" t="s">
        <v>136</v>
      </c>
      <c r="L267" s="1032" t="s">
        <v>1047</v>
      </c>
      <c r="M267" s="1032" t="s">
        <v>1035</v>
      </c>
      <c r="N267" s="1032" t="s">
        <v>1046</v>
      </c>
      <c r="O267" s="1032">
        <v>2021.0</v>
      </c>
      <c r="P267" s="1032" t="s">
        <v>1039</v>
      </c>
      <c r="Q267" s="1033" t="s">
        <v>63</v>
      </c>
      <c r="R267" s="1034">
        <v>502.6624657</v>
      </c>
      <c r="S267" s="1034">
        <v>205.7401731</v>
      </c>
      <c r="T267" s="1035">
        <v>969.8808952</v>
      </c>
      <c r="AB267" s="1045"/>
      <c r="AF267" s="225"/>
    </row>
    <row r="268">
      <c r="A268" s="1013"/>
      <c r="B268" s="1019" t="s">
        <v>146</v>
      </c>
      <c r="C268" s="1020" t="s">
        <v>1035</v>
      </c>
      <c r="D268" s="1020" t="s">
        <v>1036</v>
      </c>
      <c r="E268" s="1020" t="s">
        <v>1047</v>
      </c>
      <c r="F268" s="1020">
        <v>2021.0</v>
      </c>
      <c r="G268" s="1021">
        <v>0.001056943</v>
      </c>
      <c r="H268" s="1021">
        <v>4.25639E-4</v>
      </c>
      <c r="I268" s="1022">
        <v>0.0020456</v>
      </c>
      <c r="K268" s="1031" t="s">
        <v>136</v>
      </c>
      <c r="L268" s="1032" t="s">
        <v>1047</v>
      </c>
      <c r="M268" s="1032" t="s">
        <v>1035</v>
      </c>
      <c r="N268" s="1032" t="s">
        <v>1045</v>
      </c>
      <c r="O268" s="1032">
        <v>2021.0</v>
      </c>
      <c r="P268" s="1032" t="s">
        <v>1039</v>
      </c>
      <c r="Q268" s="1033" t="s">
        <v>63</v>
      </c>
      <c r="R268" s="1034">
        <v>805.0707054</v>
      </c>
      <c r="S268" s="1034">
        <v>347.1560076</v>
      </c>
      <c r="T268" s="1035">
        <v>1627.159378</v>
      </c>
      <c r="AB268" s="1045"/>
      <c r="AF268" s="225"/>
    </row>
    <row r="269">
      <c r="A269" s="1013"/>
      <c r="B269" s="1019" t="s">
        <v>146</v>
      </c>
      <c r="C269" s="1020" t="s">
        <v>1035</v>
      </c>
      <c r="D269" s="1020" t="s">
        <v>1041</v>
      </c>
      <c r="E269" s="1020" t="s">
        <v>1047</v>
      </c>
      <c r="F269" s="1020">
        <v>2021.0</v>
      </c>
      <c r="G269" s="1021">
        <v>0.007177345</v>
      </c>
      <c r="H269" s="1021">
        <v>0.003024824</v>
      </c>
      <c r="I269" s="1022">
        <v>0.014020115</v>
      </c>
      <c r="K269" s="1031" t="s">
        <v>115</v>
      </c>
      <c r="L269" s="1032" t="s">
        <v>1047</v>
      </c>
      <c r="M269" s="1032" t="s">
        <v>1035</v>
      </c>
      <c r="N269" s="1032" t="s">
        <v>1038</v>
      </c>
      <c r="O269" s="1032">
        <v>2021.0</v>
      </c>
      <c r="P269" s="1032" t="s">
        <v>1039</v>
      </c>
      <c r="Q269" s="1033" t="s">
        <v>63</v>
      </c>
      <c r="R269" s="1034">
        <v>1291.260746</v>
      </c>
      <c r="S269" s="1034">
        <v>725.9696681</v>
      </c>
      <c r="T269" s="1035">
        <v>1992.016618</v>
      </c>
      <c r="AB269" s="1045"/>
      <c r="AF269" s="225"/>
    </row>
    <row r="270">
      <c r="A270" s="1013"/>
      <c r="B270" s="1019" t="s">
        <v>146</v>
      </c>
      <c r="C270" s="1020" t="s">
        <v>1035</v>
      </c>
      <c r="D270" s="1020" t="s">
        <v>1043</v>
      </c>
      <c r="E270" s="1020" t="s">
        <v>1047</v>
      </c>
      <c r="F270" s="1020">
        <v>2021.0</v>
      </c>
      <c r="G270" s="1021">
        <v>1.72906E-4</v>
      </c>
      <c r="H270" s="1021">
        <v>5.86E-5</v>
      </c>
      <c r="I270" s="1022">
        <v>3.24966E-4</v>
      </c>
      <c r="K270" s="1031" t="s">
        <v>115</v>
      </c>
      <c r="L270" s="1032" t="s">
        <v>1047</v>
      </c>
      <c r="M270" s="1032" t="s">
        <v>1035</v>
      </c>
      <c r="N270" s="1032" t="s">
        <v>1042</v>
      </c>
      <c r="O270" s="1032">
        <v>2021.0</v>
      </c>
      <c r="P270" s="1032" t="s">
        <v>1039</v>
      </c>
      <c r="Q270" s="1033" t="s">
        <v>63</v>
      </c>
      <c r="R270" s="1034">
        <v>55.6352953</v>
      </c>
      <c r="S270" s="1034">
        <v>26.93633408</v>
      </c>
      <c r="T270" s="1035">
        <v>86.78409642</v>
      </c>
      <c r="AB270" s="1045"/>
      <c r="AF270" s="225"/>
    </row>
    <row r="271">
      <c r="A271" s="1013"/>
      <c r="B271" s="1019" t="s">
        <v>146</v>
      </c>
      <c r="C271" s="1020" t="s">
        <v>1035</v>
      </c>
      <c r="D271" s="1020" t="s">
        <v>1045</v>
      </c>
      <c r="E271" s="1020" t="s">
        <v>1047</v>
      </c>
      <c r="F271" s="1020">
        <v>2021.0</v>
      </c>
      <c r="G271" s="1021">
        <v>0.00391545</v>
      </c>
      <c r="H271" s="1021">
        <v>0.002113845</v>
      </c>
      <c r="I271" s="1022">
        <v>0.00730071</v>
      </c>
      <c r="K271" s="1031" t="s">
        <v>115</v>
      </c>
      <c r="L271" s="1032" t="s">
        <v>1047</v>
      </c>
      <c r="M271" s="1032" t="s">
        <v>1035</v>
      </c>
      <c r="N271" s="1032" t="s">
        <v>1044</v>
      </c>
      <c r="O271" s="1032">
        <v>2021.0</v>
      </c>
      <c r="P271" s="1032" t="s">
        <v>1039</v>
      </c>
      <c r="Q271" s="1033" t="s">
        <v>63</v>
      </c>
      <c r="R271" s="1034">
        <v>50.88867629</v>
      </c>
      <c r="S271" s="1034">
        <v>26.91391908</v>
      </c>
      <c r="T271" s="1035">
        <v>86.65184659</v>
      </c>
      <c r="AB271" s="1045"/>
      <c r="AF271" s="225"/>
    </row>
    <row r="272">
      <c r="A272" s="1013"/>
      <c r="B272" s="1019" t="s">
        <v>147</v>
      </c>
      <c r="C272" s="1020" t="s">
        <v>1035</v>
      </c>
      <c r="D272" s="1020" t="s">
        <v>1036</v>
      </c>
      <c r="E272" s="1020" t="s">
        <v>1047</v>
      </c>
      <c r="F272" s="1020">
        <v>2021.0</v>
      </c>
      <c r="G272" s="1021">
        <v>0.001194849</v>
      </c>
      <c r="H272" s="1021">
        <v>4.77003E-4</v>
      </c>
      <c r="I272" s="1022">
        <v>0.002330659</v>
      </c>
      <c r="K272" s="1031" t="s">
        <v>115</v>
      </c>
      <c r="L272" s="1032" t="s">
        <v>1047</v>
      </c>
      <c r="M272" s="1032" t="s">
        <v>1035</v>
      </c>
      <c r="N272" s="1032" t="s">
        <v>1046</v>
      </c>
      <c r="O272" s="1032">
        <v>2021.0</v>
      </c>
      <c r="P272" s="1032" t="s">
        <v>1039</v>
      </c>
      <c r="Q272" s="1033" t="s">
        <v>63</v>
      </c>
      <c r="R272" s="1034">
        <v>1242.554837</v>
      </c>
      <c r="S272" s="1034">
        <v>816.6161769</v>
      </c>
      <c r="T272" s="1035">
        <v>1805.138368</v>
      </c>
      <c r="AB272" s="1045"/>
      <c r="AF272" s="225"/>
    </row>
    <row r="273">
      <c r="A273" s="1013"/>
      <c r="B273" s="1019" t="s">
        <v>147</v>
      </c>
      <c r="C273" s="1020" t="s">
        <v>1035</v>
      </c>
      <c r="D273" s="1020" t="s">
        <v>1041</v>
      </c>
      <c r="E273" s="1020" t="s">
        <v>1047</v>
      </c>
      <c r="F273" s="1020">
        <v>2021.0</v>
      </c>
      <c r="G273" s="1021">
        <v>0.008441165</v>
      </c>
      <c r="H273" s="1021">
        <v>0.003830678</v>
      </c>
      <c r="I273" s="1022">
        <v>0.015612292</v>
      </c>
      <c r="K273" s="1031" t="s">
        <v>115</v>
      </c>
      <c r="L273" s="1032" t="s">
        <v>1047</v>
      </c>
      <c r="M273" s="1032" t="s">
        <v>1035</v>
      </c>
      <c r="N273" s="1032" t="s">
        <v>1045</v>
      </c>
      <c r="O273" s="1032">
        <v>2021.0</v>
      </c>
      <c r="P273" s="1032" t="s">
        <v>1039</v>
      </c>
      <c r="Q273" s="1033" t="s">
        <v>63</v>
      </c>
      <c r="R273" s="1034">
        <v>2640.339554</v>
      </c>
      <c r="S273" s="1034">
        <v>1666.574186</v>
      </c>
      <c r="T273" s="1035">
        <v>3682.29165</v>
      </c>
      <c r="AB273" s="1045"/>
      <c r="AF273" s="225"/>
    </row>
    <row r="274">
      <c r="A274" s="1013"/>
      <c r="B274" s="1019" t="s">
        <v>147</v>
      </c>
      <c r="C274" s="1020" t="s">
        <v>1035</v>
      </c>
      <c r="D274" s="1020" t="s">
        <v>1043</v>
      </c>
      <c r="E274" s="1020" t="s">
        <v>1047</v>
      </c>
      <c r="F274" s="1020">
        <v>2021.0</v>
      </c>
      <c r="G274" s="1021">
        <v>2.21703E-4</v>
      </c>
      <c r="H274" s="1021">
        <v>8.54E-5</v>
      </c>
      <c r="I274" s="1022">
        <v>4.23476E-4</v>
      </c>
      <c r="K274" s="1031" t="s">
        <v>137</v>
      </c>
      <c r="L274" s="1032" t="s">
        <v>1047</v>
      </c>
      <c r="M274" s="1032" t="s">
        <v>1035</v>
      </c>
      <c r="N274" s="1032" t="s">
        <v>1038</v>
      </c>
      <c r="O274" s="1032">
        <v>2021.0</v>
      </c>
      <c r="P274" s="1032" t="s">
        <v>1039</v>
      </c>
      <c r="Q274" s="1033" t="s">
        <v>63</v>
      </c>
      <c r="R274" s="1034">
        <v>291.0317261</v>
      </c>
      <c r="S274" s="1034">
        <v>111.4266655</v>
      </c>
      <c r="T274" s="1035">
        <v>662.9276632</v>
      </c>
      <c r="AB274" s="1045"/>
      <c r="AF274" s="225"/>
    </row>
    <row r="275">
      <c r="A275" s="1013"/>
      <c r="B275" s="1019" t="s">
        <v>147</v>
      </c>
      <c r="C275" s="1020" t="s">
        <v>1035</v>
      </c>
      <c r="D275" s="1020" t="s">
        <v>1045</v>
      </c>
      <c r="E275" s="1020" t="s">
        <v>1047</v>
      </c>
      <c r="F275" s="1020">
        <v>2021.0</v>
      </c>
      <c r="G275" s="1021">
        <v>0.004007555</v>
      </c>
      <c r="H275" s="1021">
        <v>0.002019441</v>
      </c>
      <c r="I275" s="1022">
        <v>0.007347138</v>
      </c>
      <c r="K275" s="1031" t="s">
        <v>137</v>
      </c>
      <c r="L275" s="1032" t="s">
        <v>1047</v>
      </c>
      <c r="M275" s="1032" t="s">
        <v>1035</v>
      </c>
      <c r="N275" s="1032" t="s">
        <v>1042</v>
      </c>
      <c r="O275" s="1032">
        <v>2021.0</v>
      </c>
      <c r="P275" s="1032" t="s">
        <v>1039</v>
      </c>
      <c r="Q275" s="1033" t="s">
        <v>63</v>
      </c>
      <c r="R275" s="1034">
        <v>32.80596957</v>
      </c>
      <c r="S275" s="1034">
        <v>16.25663674</v>
      </c>
      <c r="T275" s="1035">
        <v>68.49889824</v>
      </c>
      <c r="AB275" s="1045"/>
      <c r="AF275" s="225"/>
    </row>
    <row r="276">
      <c r="A276" s="1013"/>
      <c r="B276" s="1019" t="s">
        <v>148</v>
      </c>
      <c r="C276" s="1020" t="s">
        <v>1035</v>
      </c>
      <c r="D276" s="1020" t="s">
        <v>1036</v>
      </c>
      <c r="E276" s="1020" t="s">
        <v>1047</v>
      </c>
      <c r="F276" s="1020">
        <v>2021.0</v>
      </c>
      <c r="G276" s="1021">
        <v>6.74307E-4</v>
      </c>
      <c r="H276" s="1021">
        <v>2.26677E-4</v>
      </c>
      <c r="I276" s="1022">
        <v>0.001323677</v>
      </c>
      <c r="K276" s="1031" t="s">
        <v>137</v>
      </c>
      <c r="L276" s="1032" t="s">
        <v>1047</v>
      </c>
      <c r="M276" s="1032" t="s">
        <v>1035</v>
      </c>
      <c r="N276" s="1032" t="s">
        <v>1044</v>
      </c>
      <c r="O276" s="1032">
        <v>2021.0</v>
      </c>
      <c r="P276" s="1032" t="s">
        <v>1039</v>
      </c>
      <c r="Q276" s="1033" t="s">
        <v>63</v>
      </c>
      <c r="R276" s="1034">
        <v>17.96206441</v>
      </c>
      <c r="S276" s="1034">
        <v>7.043393721</v>
      </c>
      <c r="T276" s="1035">
        <v>44.50179475</v>
      </c>
      <c r="AB276" s="1045"/>
      <c r="AF276" s="225"/>
    </row>
    <row r="277">
      <c r="A277" s="1013"/>
      <c r="B277" s="1019" t="s">
        <v>148</v>
      </c>
      <c r="C277" s="1020" t="s">
        <v>1035</v>
      </c>
      <c r="D277" s="1020" t="s">
        <v>1041</v>
      </c>
      <c r="E277" s="1020" t="s">
        <v>1047</v>
      </c>
      <c r="F277" s="1020">
        <v>2021.0</v>
      </c>
      <c r="G277" s="1021">
        <v>0.0051643</v>
      </c>
      <c r="H277" s="1021">
        <v>0.002197624</v>
      </c>
      <c r="I277" s="1022">
        <v>0.009826906</v>
      </c>
      <c r="K277" s="1031" t="s">
        <v>137</v>
      </c>
      <c r="L277" s="1032" t="s">
        <v>1047</v>
      </c>
      <c r="M277" s="1032" t="s">
        <v>1035</v>
      </c>
      <c r="N277" s="1032" t="s">
        <v>1046</v>
      </c>
      <c r="O277" s="1032">
        <v>2021.0</v>
      </c>
      <c r="P277" s="1032" t="s">
        <v>1039</v>
      </c>
      <c r="Q277" s="1033" t="s">
        <v>63</v>
      </c>
      <c r="R277" s="1034">
        <v>463.6661752</v>
      </c>
      <c r="S277" s="1034">
        <v>198.0545931</v>
      </c>
      <c r="T277" s="1035">
        <v>1061.678784</v>
      </c>
      <c r="AB277" s="1045"/>
      <c r="AF277" s="225"/>
    </row>
    <row r="278">
      <c r="A278" s="1013"/>
      <c r="B278" s="1019" t="s">
        <v>148</v>
      </c>
      <c r="C278" s="1020" t="s">
        <v>1035</v>
      </c>
      <c r="D278" s="1020" t="s">
        <v>1043</v>
      </c>
      <c r="E278" s="1020" t="s">
        <v>1047</v>
      </c>
      <c r="F278" s="1020">
        <v>2021.0</v>
      </c>
      <c r="G278" s="1021">
        <v>1.05538E-4</v>
      </c>
      <c r="H278" s="1021">
        <v>2.96E-5</v>
      </c>
      <c r="I278" s="1022">
        <v>2.26795E-4</v>
      </c>
      <c r="K278" s="1031" t="s">
        <v>137</v>
      </c>
      <c r="L278" s="1032" t="s">
        <v>1047</v>
      </c>
      <c r="M278" s="1032" t="s">
        <v>1035</v>
      </c>
      <c r="N278" s="1032" t="s">
        <v>1045</v>
      </c>
      <c r="O278" s="1032">
        <v>2021.0</v>
      </c>
      <c r="P278" s="1032" t="s">
        <v>1039</v>
      </c>
      <c r="Q278" s="1033" t="s">
        <v>63</v>
      </c>
      <c r="R278" s="1034">
        <v>805.4659353</v>
      </c>
      <c r="S278" s="1034">
        <v>372.0510621</v>
      </c>
      <c r="T278" s="1035">
        <v>1707.377175</v>
      </c>
      <c r="AB278" s="1045"/>
      <c r="AF278" s="225"/>
    </row>
    <row r="279">
      <c r="A279" s="1013"/>
      <c r="B279" s="1019" t="s">
        <v>148</v>
      </c>
      <c r="C279" s="1020" t="s">
        <v>1035</v>
      </c>
      <c r="D279" s="1020" t="s">
        <v>1045</v>
      </c>
      <c r="E279" s="1020" t="s">
        <v>1047</v>
      </c>
      <c r="F279" s="1020">
        <v>2021.0</v>
      </c>
      <c r="G279" s="1021">
        <v>0.002237864</v>
      </c>
      <c r="H279" s="1021">
        <v>9.72993E-4</v>
      </c>
      <c r="I279" s="1022">
        <v>0.004363954</v>
      </c>
      <c r="K279" s="1031" t="s">
        <v>116</v>
      </c>
      <c r="L279" s="1032" t="s">
        <v>1047</v>
      </c>
      <c r="M279" s="1032" t="s">
        <v>1035</v>
      </c>
      <c r="N279" s="1032" t="s">
        <v>1038</v>
      </c>
      <c r="O279" s="1032">
        <v>2021.0</v>
      </c>
      <c r="P279" s="1032" t="s">
        <v>1039</v>
      </c>
      <c r="Q279" s="1033" t="s">
        <v>63</v>
      </c>
      <c r="R279" s="1034">
        <v>2853.790551</v>
      </c>
      <c r="S279" s="1034">
        <v>1494.817198</v>
      </c>
      <c r="T279" s="1035">
        <v>4789.031678</v>
      </c>
      <c r="AB279" s="1045"/>
      <c r="AF279" s="225"/>
    </row>
    <row r="280">
      <c r="A280" s="1013"/>
      <c r="B280" s="1019" t="s">
        <v>149</v>
      </c>
      <c r="C280" s="1020" t="s">
        <v>1035</v>
      </c>
      <c r="D280" s="1020" t="s">
        <v>1036</v>
      </c>
      <c r="E280" s="1020" t="s">
        <v>1047</v>
      </c>
      <c r="F280" s="1020">
        <v>2021.0</v>
      </c>
      <c r="G280" s="1021">
        <v>0.001094594</v>
      </c>
      <c r="H280" s="1021">
        <v>3.82943E-4</v>
      </c>
      <c r="I280" s="1022">
        <v>0.001930017</v>
      </c>
      <c r="K280" s="1031" t="s">
        <v>116</v>
      </c>
      <c r="L280" s="1032" t="s">
        <v>1047</v>
      </c>
      <c r="M280" s="1032" t="s">
        <v>1035</v>
      </c>
      <c r="N280" s="1032" t="s">
        <v>1042</v>
      </c>
      <c r="O280" s="1032">
        <v>2021.0</v>
      </c>
      <c r="P280" s="1032" t="s">
        <v>1039</v>
      </c>
      <c r="Q280" s="1033" t="s">
        <v>63</v>
      </c>
      <c r="R280" s="1034">
        <v>97.71658596</v>
      </c>
      <c r="S280" s="1034">
        <v>50.74220173</v>
      </c>
      <c r="T280" s="1035">
        <v>159.08257</v>
      </c>
      <c r="AB280" s="1045"/>
      <c r="AF280" s="225"/>
    </row>
    <row r="281">
      <c r="A281" s="1013"/>
      <c r="B281" s="1019" t="s">
        <v>149</v>
      </c>
      <c r="C281" s="1020" t="s">
        <v>1035</v>
      </c>
      <c r="D281" s="1020" t="s">
        <v>1041</v>
      </c>
      <c r="E281" s="1020" t="s">
        <v>1047</v>
      </c>
      <c r="F281" s="1020">
        <v>2021.0</v>
      </c>
      <c r="G281" s="1021">
        <v>0.007085762</v>
      </c>
      <c r="H281" s="1021">
        <v>0.002966282</v>
      </c>
      <c r="I281" s="1022">
        <v>0.012206792</v>
      </c>
      <c r="K281" s="1031" t="s">
        <v>116</v>
      </c>
      <c r="L281" s="1032" t="s">
        <v>1047</v>
      </c>
      <c r="M281" s="1032" t="s">
        <v>1035</v>
      </c>
      <c r="N281" s="1032" t="s">
        <v>1044</v>
      </c>
      <c r="O281" s="1032">
        <v>2021.0</v>
      </c>
      <c r="P281" s="1032" t="s">
        <v>1039</v>
      </c>
      <c r="Q281" s="1033" t="s">
        <v>63</v>
      </c>
      <c r="R281" s="1034">
        <v>94.64718327</v>
      </c>
      <c r="S281" s="1034">
        <v>52.12011476</v>
      </c>
      <c r="T281" s="1035">
        <v>160.5857747</v>
      </c>
      <c r="AB281" s="1045"/>
      <c r="AF281" s="225"/>
    </row>
    <row r="282">
      <c r="A282" s="1013"/>
      <c r="B282" s="1019" t="s">
        <v>149</v>
      </c>
      <c r="C282" s="1020" t="s">
        <v>1035</v>
      </c>
      <c r="D282" s="1020" t="s">
        <v>1043</v>
      </c>
      <c r="E282" s="1020" t="s">
        <v>1047</v>
      </c>
      <c r="F282" s="1020">
        <v>2021.0</v>
      </c>
      <c r="G282" s="1021">
        <v>1.68951E-4</v>
      </c>
      <c r="H282" s="1021">
        <v>5.17E-5</v>
      </c>
      <c r="I282" s="1022">
        <v>3.17417E-4</v>
      </c>
      <c r="K282" s="1031" t="s">
        <v>116</v>
      </c>
      <c r="L282" s="1032" t="s">
        <v>1047</v>
      </c>
      <c r="M282" s="1032" t="s">
        <v>1035</v>
      </c>
      <c r="N282" s="1032" t="s">
        <v>1046</v>
      </c>
      <c r="O282" s="1032">
        <v>2021.0</v>
      </c>
      <c r="P282" s="1032" t="s">
        <v>1039</v>
      </c>
      <c r="Q282" s="1033" t="s">
        <v>63</v>
      </c>
      <c r="R282" s="1034">
        <v>2513.916636</v>
      </c>
      <c r="S282" s="1034">
        <v>1627.587058</v>
      </c>
      <c r="T282" s="1035">
        <v>3634.836006</v>
      </c>
      <c r="AB282" s="1045"/>
      <c r="AF282" s="225"/>
    </row>
    <row r="283">
      <c r="A283" s="1013"/>
      <c r="B283" s="1019" t="s">
        <v>149</v>
      </c>
      <c r="C283" s="1020" t="s">
        <v>1035</v>
      </c>
      <c r="D283" s="1020" t="s">
        <v>1045</v>
      </c>
      <c r="E283" s="1020" t="s">
        <v>1047</v>
      </c>
      <c r="F283" s="1020">
        <v>2021.0</v>
      </c>
      <c r="G283" s="1021">
        <v>0.002368033</v>
      </c>
      <c r="H283" s="1021">
        <v>0.00107813</v>
      </c>
      <c r="I283" s="1022">
        <v>0.004668966</v>
      </c>
      <c r="K283" s="1031" t="s">
        <v>116</v>
      </c>
      <c r="L283" s="1032" t="s">
        <v>1047</v>
      </c>
      <c r="M283" s="1032" t="s">
        <v>1035</v>
      </c>
      <c r="N283" s="1032" t="s">
        <v>1045</v>
      </c>
      <c r="O283" s="1032">
        <v>2021.0</v>
      </c>
      <c r="P283" s="1032" t="s">
        <v>1039</v>
      </c>
      <c r="Q283" s="1033" t="s">
        <v>63</v>
      </c>
      <c r="R283" s="1034">
        <v>5560.070956</v>
      </c>
      <c r="S283" s="1034">
        <v>3428.962304</v>
      </c>
      <c r="T283" s="1035">
        <v>8141.214103</v>
      </c>
      <c r="AB283" s="1045"/>
      <c r="AF283" s="225"/>
    </row>
    <row r="284">
      <c r="A284" s="1013"/>
      <c r="B284" s="1019" t="s">
        <v>150</v>
      </c>
      <c r="C284" s="1020" t="s">
        <v>1035</v>
      </c>
      <c r="D284" s="1020" t="s">
        <v>1036</v>
      </c>
      <c r="E284" s="1020" t="s">
        <v>1047</v>
      </c>
      <c r="F284" s="1020">
        <v>2021.0</v>
      </c>
      <c r="G284" s="1021">
        <v>0.002257257</v>
      </c>
      <c r="H284" s="1021">
        <v>0.001033502</v>
      </c>
      <c r="I284" s="1022">
        <v>0.004350457</v>
      </c>
      <c r="K284" s="1031" t="s">
        <v>138</v>
      </c>
      <c r="L284" s="1032" t="s">
        <v>1047</v>
      </c>
      <c r="M284" s="1032" t="s">
        <v>1035</v>
      </c>
      <c r="N284" s="1032" t="s">
        <v>1038</v>
      </c>
      <c r="O284" s="1032">
        <v>2021.0</v>
      </c>
      <c r="P284" s="1032" t="s">
        <v>1039</v>
      </c>
      <c r="Q284" s="1033" t="s">
        <v>63</v>
      </c>
      <c r="R284" s="1034">
        <v>1332.324102</v>
      </c>
      <c r="S284" s="1034">
        <v>627.9171883</v>
      </c>
      <c r="T284" s="1035">
        <v>2494.230499</v>
      </c>
      <c r="AB284" s="1045"/>
      <c r="AF284" s="225"/>
    </row>
    <row r="285">
      <c r="A285" s="1013"/>
      <c r="B285" s="1019" t="s">
        <v>150</v>
      </c>
      <c r="C285" s="1020" t="s">
        <v>1035</v>
      </c>
      <c r="D285" s="1020" t="s">
        <v>1041</v>
      </c>
      <c r="E285" s="1020" t="s">
        <v>1047</v>
      </c>
      <c r="F285" s="1020">
        <v>2021.0</v>
      </c>
      <c r="G285" s="1021">
        <v>0.011590778</v>
      </c>
      <c r="H285" s="1021">
        <v>0.005722948</v>
      </c>
      <c r="I285" s="1022">
        <v>0.02103342</v>
      </c>
      <c r="K285" s="1031" t="s">
        <v>138</v>
      </c>
      <c r="L285" s="1032" t="s">
        <v>1047</v>
      </c>
      <c r="M285" s="1032" t="s">
        <v>1035</v>
      </c>
      <c r="N285" s="1032" t="s">
        <v>1042</v>
      </c>
      <c r="O285" s="1032">
        <v>2021.0</v>
      </c>
      <c r="P285" s="1032" t="s">
        <v>1039</v>
      </c>
      <c r="Q285" s="1033" t="s">
        <v>63</v>
      </c>
      <c r="R285" s="1034">
        <v>81.31101787</v>
      </c>
      <c r="S285" s="1034">
        <v>46.3627355</v>
      </c>
      <c r="T285" s="1035">
        <v>136.47702</v>
      </c>
      <c r="AB285" s="1045"/>
      <c r="AF285" s="225"/>
    </row>
    <row r="286">
      <c r="A286" s="1013"/>
      <c r="B286" s="1019" t="s">
        <v>150</v>
      </c>
      <c r="C286" s="1020" t="s">
        <v>1035</v>
      </c>
      <c r="D286" s="1020" t="s">
        <v>1043</v>
      </c>
      <c r="E286" s="1020" t="s">
        <v>1047</v>
      </c>
      <c r="F286" s="1020">
        <v>2021.0</v>
      </c>
      <c r="G286" s="1021">
        <v>4.18418E-4</v>
      </c>
      <c r="H286" s="1021">
        <v>1.77591E-4</v>
      </c>
      <c r="I286" s="1022">
        <v>7.46913E-4</v>
      </c>
      <c r="K286" s="1031" t="s">
        <v>138</v>
      </c>
      <c r="L286" s="1032" t="s">
        <v>1047</v>
      </c>
      <c r="M286" s="1032" t="s">
        <v>1035</v>
      </c>
      <c r="N286" s="1032" t="s">
        <v>1044</v>
      </c>
      <c r="O286" s="1032">
        <v>2021.0</v>
      </c>
      <c r="P286" s="1032" t="s">
        <v>1039</v>
      </c>
      <c r="Q286" s="1033" t="s">
        <v>63</v>
      </c>
      <c r="R286" s="1034">
        <v>98.46007408</v>
      </c>
      <c r="S286" s="1034">
        <v>52.26387563</v>
      </c>
      <c r="T286" s="1035">
        <v>185.9256395</v>
      </c>
      <c r="AB286" s="1045"/>
      <c r="AF286" s="225"/>
    </row>
    <row r="287">
      <c r="A287" s="1013"/>
      <c r="B287" s="1019" t="s">
        <v>150</v>
      </c>
      <c r="C287" s="1020" t="s">
        <v>1035</v>
      </c>
      <c r="D287" s="1020" t="s">
        <v>1045</v>
      </c>
      <c r="E287" s="1020" t="s">
        <v>1047</v>
      </c>
      <c r="F287" s="1020">
        <v>2021.0</v>
      </c>
      <c r="G287" s="1021">
        <v>0.005945687</v>
      </c>
      <c r="H287" s="1021">
        <v>0.00332429</v>
      </c>
      <c r="I287" s="1022">
        <v>0.009219144</v>
      </c>
      <c r="K287" s="1031" t="s">
        <v>138</v>
      </c>
      <c r="L287" s="1032" t="s">
        <v>1047</v>
      </c>
      <c r="M287" s="1032" t="s">
        <v>1035</v>
      </c>
      <c r="N287" s="1032" t="s">
        <v>1046</v>
      </c>
      <c r="O287" s="1032">
        <v>2021.0</v>
      </c>
      <c r="P287" s="1032" t="s">
        <v>1039</v>
      </c>
      <c r="Q287" s="1033" t="s">
        <v>63</v>
      </c>
      <c r="R287" s="1034">
        <v>2680.773149</v>
      </c>
      <c r="S287" s="1034">
        <v>1595.8623</v>
      </c>
      <c r="T287" s="1035">
        <v>4545.314793</v>
      </c>
      <c r="AB287" s="1045"/>
      <c r="AF287" s="225"/>
    </row>
    <row r="288">
      <c r="A288" s="1013"/>
      <c r="B288" s="1019" t="s">
        <v>151</v>
      </c>
      <c r="C288" s="1020" t="s">
        <v>1035</v>
      </c>
      <c r="D288" s="1020" t="s">
        <v>1036</v>
      </c>
      <c r="E288" s="1020" t="s">
        <v>1047</v>
      </c>
      <c r="F288" s="1020">
        <v>2021.0</v>
      </c>
      <c r="G288" s="1021">
        <v>8.24424E-4</v>
      </c>
      <c r="H288" s="1021">
        <v>3.01163E-4</v>
      </c>
      <c r="I288" s="1022">
        <v>0.001649591</v>
      </c>
      <c r="K288" s="1031" t="s">
        <v>138</v>
      </c>
      <c r="L288" s="1032" t="s">
        <v>1047</v>
      </c>
      <c r="M288" s="1032" t="s">
        <v>1035</v>
      </c>
      <c r="N288" s="1032" t="s">
        <v>1045</v>
      </c>
      <c r="O288" s="1032">
        <v>2021.0</v>
      </c>
      <c r="P288" s="1032" t="s">
        <v>1039</v>
      </c>
      <c r="Q288" s="1033" t="s">
        <v>63</v>
      </c>
      <c r="R288" s="1034">
        <v>4192.868343</v>
      </c>
      <c r="S288" s="1034">
        <v>2512.397497</v>
      </c>
      <c r="T288" s="1035">
        <v>6832.08611</v>
      </c>
      <c r="AB288" s="1045"/>
      <c r="AF288" s="225"/>
    </row>
    <row r="289">
      <c r="A289" s="1013"/>
      <c r="B289" s="1019" t="s">
        <v>151</v>
      </c>
      <c r="C289" s="1020" t="s">
        <v>1035</v>
      </c>
      <c r="D289" s="1020" t="s">
        <v>1041</v>
      </c>
      <c r="E289" s="1020" t="s">
        <v>1047</v>
      </c>
      <c r="F289" s="1020">
        <v>2021.0</v>
      </c>
      <c r="G289" s="1021">
        <v>0.005148075</v>
      </c>
      <c r="H289" s="1021">
        <v>0.002079677</v>
      </c>
      <c r="I289" s="1022">
        <v>0.01007704</v>
      </c>
      <c r="K289" s="1031" t="s">
        <v>118</v>
      </c>
      <c r="L289" s="1032" t="s">
        <v>1047</v>
      </c>
      <c r="M289" s="1032" t="s">
        <v>1035</v>
      </c>
      <c r="N289" s="1032" t="s">
        <v>1038</v>
      </c>
      <c r="O289" s="1032">
        <v>2021.0</v>
      </c>
      <c r="P289" s="1032" t="s">
        <v>1039</v>
      </c>
      <c r="Q289" s="1033" t="s">
        <v>63</v>
      </c>
      <c r="R289" s="1034">
        <v>6264.491804</v>
      </c>
      <c r="S289" s="1034">
        <v>3108.434211</v>
      </c>
      <c r="T289" s="1035">
        <v>10971.05371</v>
      </c>
      <c r="AB289" s="1045"/>
      <c r="AF289" s="225"/>
    </row>
    <row r="290">
      <c r="A290" s="1013"/>
      <c r="B290" s="1019" t="s">
        <v>151</v>
      </c>
      <c r="C290" s="1020" t="s">
        <v>1035</v>
      </c>
      <c r="D290" s="1020" t="s">
        <v>1043</v>
      </c>
      <c r="E290" s="1020" t="s">
        <v>1047</v>
      </c>
      <c r="F290" s="1020">
        <v>2021.0</v>
      </c>
      <c r="G290" s="1021">
        <v>1.42167E-4</v>
      </c>
      <c r="H290" s="1021">
        <v>4.55E-5</v>
      </c>
      <c r="I290" s="1022">
        <v>2.8057E-4</v>
      </c>
      <c r="K290" s="1031" t="s">
        <v>118</v>
      </c>
      <c r="L290" s="1032" t="s">
        <v>1047</v>
      </c>
      <c r="M290" s="1032" t="s">
        <v>1035</v>
      </c>
      <c r="N290" s="1032" t="s">
        <v>1042</v>
      </c>
      <c r="O290" s="1032">
        <v>2021.0</v>
      </c>
      <c r="P290" s="1032" t="s">
        <v>1039</v>
      </c>
      <c r="Q290" s="1033" t="s">
        <v>63</v>
      </c>
      <c r="R290" s="1034">
        <v>280.5732459</v>
      </c>
      <c r="S290" s="1034">
        <v>156.942707</v>
      </c>
      <c r="T290" s="1035">
        <v>443.059518</v>
      </c>
      <c r="AB290" s="1045"/>
      <c r="AF290" s="225"/>
    </row>
    <row r="291">
      <c r="A291" s="1013"/>
      <c r="B291" s="1019" t="s">
        <v>151</v>
      </c>
      <c r="C291" s="1020" t="s">
        <v>1035</v>
      </c>
      <c r="D291" s="1020" t="s">
        <v>1045</v>
      </c>
      <c r="E291" s="1020" t="s">
        <v>1047</v>
      </c>
      <c r="F291" s="1020">
        <v>2021.0</v>
      </c>
      <c r="G291" s="1021">
        <v>0.004619085</v>
      </c>
      <c r="H291" s="1021">
        <v>0.002027052</v>
      </c>
      <c r="I291" s="1022">
        <v>0.009044706</v>
      </c>
      <c r="K291" s="1031" t="s">
        <v>118</v>
      </c>
      <c r="L291" s="1032" t="s">
        <v>1047</v>
      </c>
      <c r="M291" s="1032" t="s">
        <v>1035</v>
      </c>
      <c r="N291" s="1032" t="s">
        <v>1044</v>
      </c>
      <c r="O291" s="1032">
        <v>2021.0</v>
      </c>
      <c r="P291" s="1032" t="s">
        <v>1039</v>
      </c>
      <c r="Q291" s="1033" t="s">
        <v>63</v>
      </c>
      <c r="R291" s="1034">
        <v>330.3397102</v>
      </c>
      <c r="S291" s="1034">
        <v>186.6342095</v>
      </c>
      <c r="T291" s="1035">
        <v>547.039663</v>
      </c>
      <c r="AB291" s="1045"/>
      <c r="AF291" s="225"/>
    </row>
    <row r="292">
      <c r="A292" s="1013"/>
      <c r="B292" s="1019" t="s">
        <v>121</v>
      </c>
      <c r="C292" s="1020" t="s">
        <v>1035</v>
      </c>
      <c r="D292" s="1020" t="s">
        <v>1036</v>
      </c>
      <c r="E292" s="1020" t="s">
        <v>1047</v>
      </c>
      <c r="F292" s="1020">
        <v>2021.0</v>
      </c>
      <c r="G292" s="1021">
        <v>0.005418147</v>
      </c>
      <c r="H292" s="1021">
        <v>0.002947956</v>
      </c>
      <c r="I292" s="1022">
        <v>0.010330858</v>
      </c>
      <c r="K292" s="1031" t="s">
        <v>118</v>
      </c>
      <c r="L292" s="1032" t="s">
        <v>1047</v>
      </c>
      <c r="M292" s="1032" t="s">
        <v>1035</v>
      </c>
      <c r="N292" s="1032" t="s">
        <v>1046</v>
      </c>
      <c r="O292" s="1032">
        <v>2021.0</v>
      </c>
      <c r="P292" s="1032" t="s">
        <v>1039</v>
      </c>
      <c r="Q292" s="1033" t="s">
        <v>63</v>
      </c>
      <c r="R292" s="1034">
        <v>6366.741881</v>
      </c>
      <c r="S292" s="1034">
        <v>3523.674395</v>
      </c>
      <c r="T292" s="1035">
        <v>10826.32475</v>
      </c>
      <c r="AB292" s="1045"/>
      <c r="AF292" s="225"/>
    </row>
    <row r="293">
      <c r="A293" s="1013"/>
      <c r="B293" s="1019" t="s">
        <v>121</v>
      </c>
      <c r="C293" s="1020" t="s">
        <v>1035</v>
      </c>
      <c r="D293" s="1020" t="s">
        <v>1041</v>
      </c>
      <c r="E293" s="1020" t="s">
        <v>1047</v>
      </c>
      <c r="F293" s="1020">
        <v>2021.0</v>
      </c>
      <c r="G293" s="1021">
        <v>0.033801047</v>
      </c>
      <c r="H293" s="1021">
        <v>0.018229184</v>
      </c>
      <c r="I293" s="1022">
        <v>0.062237917</v>
      </c>
      <c r="K293" s="1031" t="s">
        <v>118</v>
      </c>
      <c r="L293" s="1032" t="s">
        <v>1047</v>
      </c>
      <c r="M293" s="1032" t="s">
        <v>1035</v>
      </c>
      <c r="N293" s="1032" t="s">
        <v>1045</v>
      </c>
      <c r="O293" s="1032">
        <v>2021.0</v>
      </c>
      <c r="P293" s="1032" t="s">
        <v>1039</v>
      </c>
      <c r="Q293" s="1033" t="s">
        <v>63</v>
      </c>
      <c r="R293" s="1034">
        <v>13242.14664</v>
      </c>
      <c r="S293" s="1034">
        <v>7524.976848</v>
      </c>
      <c r="T293" s="1035">
        <v>22165.19343</v>
      </c>
      <c r="AB293" s="1045"/>
      <c r="AF293" s="225"/>
    </row>
    <row r="294">
      <c r="A294" s="1013"/>
      <c r="B294" s="1019" t="s">
        <v>121</v>
      </c>
      <c r="C294" s="1020" t="s">
        <v>1035</v>
      </c>
      <c r="D294" s="1020" t="s">
        <v>1043</v>
      </c>
      <c r="E294" s="1020" t="s">
        <v>1047</v>
      </c>
      <c r="F294" s="1020">
        <v>2021.0</v>
      </c>
      <c r="G294" s="1021">
        <v>0.001322957</v>
      </c>
      <c r="H294" s="1021">
        <v>7.31386E-4</v>
      </c>
      <c r="I294" s="1022">
        <v>0.002381467</v>
      </c>
      <c r="K294" s="1031" t="s">
        <v>119</v>
      </c>
      <c r="L294" s="1032" t="s">
        <v>1047</v>
      </c>
      <c r="M294" s="1032" t="s">
        <v>1035</v>
      </c>
      <c r="N294" s="1032" t="s">
        <v>1038</v>
      </c>
      <c r="O294" s="1032">
        <v>2021.0</v>
      </c>
      <c r="P294" s="1032" t="s">
        <v>1039</v>
      </c>
      <c r="Q294" s="1033" t="s">
        <v>63</v>
      </c>
      <c r="R294" s="1034">
        <v>4078.499637</v>
      </c>
      <c r="S294" s="1034">
        <v>2132.395313</v>
      </c>
      <c r="T294" s="1035">
        <v>6459.038828</v>
      </c>
      <c r="AB294" s="1045"/>
      <c r="AF294" s="225"/>
    </row>
    <row r="295">
      <c r="A295" s="1013"/>
      <c r="B295" s="1019" t="s">
        <v>121</v>
      </c>
      <c r="C295" s="1020" t="s">
        <v>1035</v>
      </c>
      <c r="D295" s="1020" t="s">
        <v>1045</v>
      </c>
      <c r="E295" s="1020" t="s">
        <v>1047</v>
      </c>
      <c r="F295" s="1020">
        <v>2021.0</v>
      </c>
      <c r="G295" s="1021">
        <v>0.03220683</v>
      </c>
      <c r="H295" s="1021">
        <v>0.021165913</v>
      </c>
      <c r="I295" s="1022">
        <v>0.043565401</v>
      </c>
      <c r="K295" s="1031" t="s">
        <v>119</v>
      </c>
      <c r="L295" s="1032" t="s">
        <v>1047</v>
      </c>
      <c r="M295" s="1032" t="s">
        <v>1035</v>
      </c>
      <c r="N295" s="1032" t="s">
        <v>1042</v>
      </c>
      <c r="O295" s="1032">
        <v>2021.0</v>
      </c>
      <c r="P295" s="1032" t="s">
        <v>1039</v>
      </c>
      <c r="Q295" s="1033" t="s">
        <v>63</v>
      </c>
      <c r="R295" s="1034">
        <v>170.9802828</v>
      </c>
      <c r="S295" s="1034">
        <v>80.71141507</v>
      </c>
      <c r="T295" s="1035">
        <v>268.9544389</v>
      </c>
      <c r="AB295" s="1045"/>
      <c r="AF295" s="225"/>
    </row>
    <row r="296">
      <c r="A296" s="1013"/>
      <c r="B296" s="1019" t="s">
        <v>152</v>
      </c>
      <c r="C296" s="1020" t="s">
        <v>1035</v>
      </c>
      <c r="D296" s="1020" t="s">
        <v>1036</v>
      </c>
      <c r="E296" s="1020" t="s">
        <v>1047</v>
      </c>
      <c r="F296" s="1020">
        <v>2021.0</v>
      </c>
      <c r="G296" s="1021">
        <v>0.003444727</v>
      </c>
      <c r="H296" s="1021">
        <v>0.001740355</v>
      </c>
      <c r="I296" s="1022">
        <v>0.006803668</v>
      </c>
      <c r="K296" s="1031" t="s">
        <v>119</v>
      </c>
      <c r="L296" s="1032" t="s">
        <v>1047</v>
      </c>
      <c r="M296" s="1032" t="s">
        <v>1035</v>
      </c>
      <c r="N296" s="1032" t="s">
        <v>1044</v>
      </c>
      <c r="O296" s="1032">
        <v>2021.0</v>
      </c>
      <c r="P296" s="1032" t="s">
        <v>1039</v>
      </c>
      <c r="Q296" s="1033" t="s">
        <v>63</v>
      </c>
      <c r="R296" s="1034">
        <v>258.344721</v>
      </c>
      <c r="S296" s="1034">
        <v>126.544462</v>
      </c>
      <c r="T296" s="1035">
        <v>410.3503091</v>
      </c>
      <c r="AB296" s="1045"/>
      <c r="AF296" s="225"/>
    </row>
    <row r="297">
      <c r="A297" s="1013"/>
      <c r="B297" s="1019" t="s">
        <v>152</v>
      </c>
      <c r="C297" s="1020" t="s">
        <v>1035</v>
      </c>
      <c r="D297" s="1020" t="s">
        <v>1041</v>
      </c>
      <c r="E297" s="1020" t="s">
        <v>1047</v>
      </c>
      <c r="F297" s="1020">
        <v>2021.0</v>
      </c>
      <c r="G297" s="1021">
        <v>0.018454295</v>
      </c>
      <c r="H297" s="1021">
        <v>0.009929494</v>
      </c>
      <c r="I297" s="1022">
        <v>0.035460172</v>
      </c>
      <c r="K297" s="1031" t="s">
        <v>119</v>
      </c>
      <c r="L297" s="1032" t="s">
        <v>1047</v>
      </c>
      <c r="M297" s="1032" t="s">
        <v>1035</v>
      </c>
      <c r="N297" s="1032" t="s">
        <v>1046</v>
      </c>
      <c r="O297" s="1032">
        <v>2021.0</v>
      </c>
      <c r="P297" s="1032" t="s">
        <v>1039</v>
      </c>
      <c r="Q297" s="1033" t="s">
        <v>63</v>
      </c>
      <c r="R297" s="1034">
        <v>4109.563376</v>
      </c>
      <c r="S297" s="1034">
        <v>2614.457557</v>
      </c>
      <c r="T297" s="1035">
        <v>6189.715086</v>
      </c>
      <c r="AB297" s="1045"/>
      <c r="AF297" s="225"/>
    </row>
    <row r="298">
      <c r="A298" s="1013"/>
      <c r="B298" s="1019" t="s">
        <v>152</v>
      </c>
      <c r="C298" s="1020" t="s">
        <v>1035</v>
      </c>
      <c r="D298" s="1020" t="s">
        <v>1043</v>
      </c>
      <c r="E298" s="1020" t="s">
        <v>1047</v>
      </c>
      <c r="F298" s="1020">
        <v>2021.0</v>
      </c>
      <c r="G298" s="1021">
        <v>8.45421E-4</v>
      </c>
      <c r="H298" s="1021">
        <v>4.30579E-4</v>
      </c>
      <c r="I298" s="1022">
        <v>0.001511679</v>
      </c>
      <c r="K298" s="1031" t="s">
        <v>119</v>
      </c>
      <c r="L298" s="1032" t="s">
        <v>1047</v>
      </c>
      <c r="M298" s="1032" t="s">
        <v>1035</v>
      </c>
      <c r="N298" s="1032" t="s">
        <v>1045</v>
      </c>
      <c r="O298" s="1032">
        <v>2021.0</v>
      </c>
      <c r="P298" s="1032" t="s">
        <v>1039</v>
      </c>
      <c r="Q298" s="1033" t="s">
        <v>63</v>
      </c>
      <c r="R298" s="1034">
        <v>8617.388016</v>
      </c>
      <c r="S298" s="1034">
        <v>5265.950559</v>
      </c>
      <c r="T298" s="1035">
        <v>12742.68216</v>
      </c>
      <c r="AB298" s="1045"/>
      <c r="AF298" s="225"/>
    </row>
    <row r="299">
      <c r="A299" s="1013"/>
      <c r="B299" s="1019" t="s">
        <v>152</v>
      </c>
      <c r="C299" s="1020" t="s">
        <v>1035</v>
      </c>
      <c r="D299" s="1020" t="s">
        <v>1045</v>
      </c>
      <c r="E299" s="1020" t="s">
        <v>1047</v>
      </c>
      <c r="F299" s="1020">
        <v>2021.0</v>
      </c>
      <c r="G299" s="1021">
        <v>0.019506681</v>
      </c>
      <c r="H299" s="1021">
        <v>0.013297387</v>
      </c>
      <c r="I299" s="1022">
        <v>0.026898203</v>
      </c>
      <c r="K299" s="1031" t="s">
        <v>120</v>
      </c>
      <c r="L299" s="1032" t="s">
        <v>1047</v>
      </c>
      <c r="M299" s="1032" t="s">
        <v>1035</v>
      </c>
      <c r="N299" s="1032" t="s">
        <v>1038</v>
      </c>
      <c r="O299" s="1032">
        <v>2021.0</v>
      </c>
      <c r="P299" s="1032" t="s">
        <v>1039</v>
      </c>
      <c r="Q299" s="1033" t="s">
        <v>63</v>
      </c>
      <c r="R299" s="1034">
        <v>1939.693629</v>
      </c>
      <c r="S299" s="1034">
        <v>1069.390851</v>
      </c>
      <c r="T299" s="1035">
        <v>3016.679352</v>
      </c>
      <c r="AB299" s="1045"/>
      <c r="AF299" s="225"/>
    </row>
    <row r="300">
      <c r="A300" s="1013"/>
      <c r="B300" s="1019" t="s">
        <v>153</v>
      </c>
      <c r="C300" s="1020" t="s">
        <v>1035</v>
      </c>
      <c r="D300" s="1020" t="s">
        <v>1036</v>
      </c>
      <c r="E300" s="1020" t="s">
        <v>1047</v>
      </c>
      <c r="F300" s="1020">
        <v>2021.0</v>
      </c>
      <c r="G300" s="1021">
        <v>0.004175441</v>
      </c>
      <c r="H300" s="1021">
        <v>0.002096143</v>
      </c>
      <c r="I300" s="1022">
        <v>0.007969725</v>
      </c>
      <c r="K300" s="1031" t="s">
        <v>120</v>
      </c>
      <c r="L300" s="1032" t="s">
        <v>1047</v>
      </c>
      <c r="M300" s="1032" t="s">
        <v>1035</v>
      </c>
      <c r="N300" s="1032" t="s">
        <v>1042</v>
      </c>
      <c r="O300" s="1032">
        <v>2021.0</v>
      </c>
      <c r="P300" s="1032" t="s">
        <v>1039</v>
      </c>
      <c r="Q300" s="1033" t="s">
        <v>63</v>
      </c>
      <c r="R300" s="1034">
        <v>120.5220324</v>
      </c>
      <c r="S300" s="1034">
        <v>56.29795371</v>
      </c>
      <c r="T300" s="1035">
        <v>187.1241882</v>
      </c>
      <c r="AB300" s="1045"/>
      <c r="AF300" s="225"/>
    </row>
    <row r="301">
      <c r="A301" s="1013"/>
      <c r="B301" s="1019" t="s">
        <v>153</v>
      </c>
      <c r="C301" s="1020" t="s">
        <v>1035</v>
      </c>
      <c r="D301" s="1020" t="s">
        <v>1041</v>
      </c>
      <c r="E301" s="1020" t="s">
        <v>1047</v>
      </c>
      <c r="F301" s="1020">
        <v>2021.0</v>
      </c>
      <c r="G301" s="1021">
        <v>0.030197009</v>
      </c>
      <c r="H301" s="1021">
        <v>0.015995333</v>
      </c>
      <c r="I301" s="1022">
        <v>0.054682806</v>
      </c>
      <c r="K301" s="1031" t="s">
        <v>120</v>
      </c>
      <c r="L301" s="1032" t="s">
        <v>1047</v>
      </c>
      <c r="M301" s="1032" t="s">
        <v>1035</v>
      </c>
      <c r="N301" s="1032" t="s">
        <v>1044</v>
      </c>
      <c r="O301" s="1032">
        <v>2021.0</v>
      </c>
      <c r="P301" s="1032" t="s">
        <v>1039</v>
      </c>
      <c r="Q301" s="1033" t="s">
        <v>63</v>
      </c>
      <c r="R301" s="1034">
        <v>103.1314378</v>
      </c>
      <c r="S301" s="1034">
        <v>53.32720294</v>
      </c>
      <c r="T301" s="1035">
        <v>171.7877075</v>
      </c>
      <c r="AB301" s="1045"/>
      <c r="AF301" s="225"/>
    </row>
    <row r="302">
      <c r="A302" s="1013"/>
      <c r="B302" s="1019" t="s">
        <v>153</v>
      </c>
      <c r="C302" s="1020" t="s">
        <v>1035</v>
      </c>
      <c r="D302" s="1020" t="s">
        <v>1043</v>
      </c>
      <c r="E302" s="1020" t="s">
        <v>1047</v>
      </c>
      <c r="F302" s="1020">
        <v>2021.0</v>
      </c>
      <c r="G302" s="1021">
        <v>9.59022E-4</v>
      </c>
      <c r="H302" s="1021">
        <v>4.45364E-4</v>
      </c>
      <c r="I302" s="1022">
        <v>0.001724097</v>
      </c>
      <c r="K302" s="1031" t="s">
        <v>120</v>
      </c>
      <c r="L302" s="1032" t="s">
        <v>1047</v>
      </c>
      <c r="M302" s="1032" t="s">
        <v>1035</v>
      </c>
      <c r="N302" s="1032" t="s">
        <v>1046</v>
      </c>
      <c r="O302" s="1032">
        <v>2021.0</v>
      </c>
      <c r="P302" s="1032" t="s">
        <v>1039</v>
      </c>
      <c r="Q302" s="1033" t="s">
        <v>63</v>
      </c>
      <c r="R302" s="1034">
        <v>2319.33864</v>
      </c>
      <c r="S302" s="1034">
        <v>1531.127805</v>
      </c>
      <c r="T302" s="1035">
        <v>3212.863828</v>
      </c>
      <c r="AB302" s="1045"/>
      <c r="AF302" s="225"/>
    </row>
    <row r="303">
      <c r="A303" s="1013"/>
      <c r="B303" s="1019" t="s">
        <v>153</v>
      </c>
      <c r="C303" s="1020" t="s">
        <v>1035</v>
      </c>
      <c r="D303" s="1020" t="s">
        <v>1045</v>
      </c>
      <c r="E303" s="1020" t="s">
        <v>1047</v>
      </c>
      <c r="F303" s="1020">
        <v>2021.0</v>
      </c>
      <c r="G303" s="1021">
        <v>0.014523595</v>
      </c>
      <c r="H303" s="1021">
        <v>0.009481371</v>
      </c>
      <c r="I303" s="1022">
        <v>0.02057516</v>
      </c>
      <c r="K303" s="1031" t="s">
        <v>120</v>
      </c>
      <c r="L303" s="1032" t="s">
        <v>1047</v>
      </c>
      <c r="M303" s="1032" t="s">
        <v>1035</v>
      </c>
      <c r="N303" s="1032" t="s">
        <v>1045</v>
      </c>
      <c r="O303" s="1032">
        <v>2021.0</v>
      </c>
      <c r="P303" s="1032" t="s">
        <v>1039</v>
      </c>
      <c r="Q303" s="1033" t="s">
        <v>63</v>
      </c>
      <c r="R303" s="1034">
        <v>4482.685739</v>
      </c>
      <c r="S303" s="1034">
        <v>2927.031601</v>
      </c>
      <c r="T303" s="1035">
        <v>6271.386552</v>
      </c>
      <c r="AB303" s="1045"/>
      <c r="AF303" s="225"/>
    </row>
    <row r="304">
      <c r="A304" s="1013"/>
      <c r="B304" s="1019" t="s">
        <v>122</v>
      </c>
      <c r="C304" s="1020" t="s">
        <v>1035</v>
      </c>
      <c r="D304" s="1020" t="s">
        <v>1036</v>
      </c>
      <c r="E304" s="1020" t="s">
        <v>1047</v>
      </c>
      <c r="F304" s="1020">
        <v>2021.0</v>
      </c>
      <c r="G304" s="1021">
        <v>0.004713418</v>
      </c>
      <c r="H304" s="1021">
        <v>0.002372194</v>
      </c>
      <c r="I304" s="1022">
        <v>0.009235257</v>
      </c>
      <c r="K304" s="1031" t="s">
        <v>139</v>
      </c>
      <c r="L304" s="1032" t="s">
        <v>1047</v>
      </c>
      <c r="M304" s="1032" t="s">
        <v>1035</v>
      </c>
      <c r="N304" s="1032" t="s">
        <v>1038</v>
      </c>
      <c r="O304" s="1032">
        <v>2021.0</v>
      </c>
      <c r="P304" s="1032" t="s">
        <v>1039</v>
      </c>
      <c r="Q304" s="1033" t="s">
        <v>63</v>
      </c>
      <c r="R304" s="1034">
        <v>130.8900125</v>
      </c>
      <c r="S304" s="1034">
        <v>57.36114903</v>
      </c>
      <c r="T304" s="1035">
        <v>241.4273328</v>
      </c>
      <c r="AB304" s="1045"/>
      <c r="AF304" s="225"/>
    </row>
    <row r="305">
      <c r="A305" s="1013"/>
      <c r="B305" s="1019" t="s">
        <v>122</v>
      </c>
      <c r="C305" s="1020" t="s">
        <v>1035</v>
      </c>
      <c r="D305" s="1020" t="s">
        <v>1041</v>
      </c>
      <c r="E305" s="1020" t="s">
        <v>1047</v>
      </c>
      <c r="F305" s="1020">
        <v>2021.0</v>
      </c>
      <c r="G305" s="1021">
        <v>0.040274929</v>
      </c>
      <c r="H305" s="1021">
        <v>0.022136497</v>
      </c>
      <c r="I305" s="1022">
        <v>0.073138386</v>
      </c>
      <c r="K305" s="1031" t="s">
        <v>139</v>
      </c>
      <c r="L305" s="1032" t="s">
        <v>1047</v>
      </c>
      <c r="M305" s="1032" t="s">
        <v>1035</v>
      </c>
      <c r="N305" s="1032" t="s">
        <v>1042</v>
      </c>
      <c r="O305" s="1032">
        <v>2021.0</v>
      </c>
      <c r="P305" s="1032" t="s">
        <v>1039</v>
      </c>
      <c r="Q305" s="1033" t="s">
        <v>63</v>
      </c>
      <c r="R305" s="1034">
        <v>10.95262137</v>
      </c>
      <c r="S305" s="1034">
        <v>5.907843303</v>
      </c>
      <c r="T305" s="1035">
        <v>18.45002612</v>
      </c>
      <c r="AB305" s="1045"/>
      <c r="AF305" s="225"/>
    </row>
    <row r="306">
      <c r="A306" s="1013"/>
      <c r="B306" s="1019" t="s">
        <v>122</v>
      </c>
      <c r="C306" s="1020" t="s">
        <v>1035</v>
      </c>
      <c r="D306" s="1020" t="s">
        <v>1043</v>
      </c>
      <c r="E306" s="1020" t="s">
        <v>1047</v>
      </c>
      <c r="F306" s="1020">
        <v>2021.0</v>
      </c>
      <c r="G306" s="1021">
        <v>0.001353697</v>
      </c>
      <c r="H306" s="1021">
        <v>6.94111E-4</v>
      </c>
      <c r="I306" s="1022">
        <v>0.002504799</v>
      </c>
      <c r="K306" s="1031" t="s">
        <v>139</v>
      </c>
      <c r="L306" s="1032" t="s">
        <v>1047</v>
      </c>
      <c r="M306" s="1032" t="s">
        <v>1035</v>
      </c>
      <c r="N306" s="1032" t="s">
        <v>1044</v>
      </c>
      <c r="O306" s="1032">
        <v>2021.0</v>
      </c>
      <c r="P306" s="1032" t="s">
        <v>1039</v>
      </c>
      <c r="Q306" s="1033" t="s">
        <v>63</v>
      </c>
      <c r="R306" s="1034">
        <v>9.01224181</v>
      </c>
      <c r="S306" s="1034">
        <v>3.651342997</v>
      </c>
      <c r="T306" s="1035">
        <v>21.20666288</v>
      </c>
      <c r="AB306" s="1045"/>
      <c r="AF306" s="225"/>
    </row>
    <row r="307">
      <c r="A307" s="1013"/>
      <c r="B307" s="1019" t="s">
        <v>122</v>
      </c>
      <c r="C307" s="1020" t="s">
        <v>1035</v>
      </c>
      <c r="D307" s="1020" t="s">
        <v>1045</v>
      </c>
      <c r="E307" s="1020" t="s">
        <v>1047</v>
      </c>
      <c r="F307" s="1020">
        <v>2021.0</v>
      </c>
      <c r="G307" s="1021">
        <v>0.038689546</v>
      </c>
      <c r="H307" s="1021">
        <v>0.02703802</v>
      </c>
      <c r="I307" s="1022">
        <v>0.052132698</v>
      </c>
      <c r="K307" s="1031" t="s">
        <v>139</v>
      </c>
      <c r="L307" s="1032" t="s">
        <v>1047</v>
      </c>
      <c r="M307" s="1032" t="s">
        <v>1035</v>
      </c>
      <c r="N307" s="1032" t="s">
        <v>1046</v>
      </c>
      <c r="O307" s="1032">
        <v>2021.0</v>
      </c>
      <c r="P307" s="1032" t="s">
        <v>1039</v>
      </c>
      <c r="Q307" s="1033" t="s">
        <v>63</v>
      </c>
      <c r="R307" s="1034">
        <v>150.418911</v>
      </c>
      <c r="S307" s="1034">
        <v>72.28415793</v>
      </c>
      <c r="T307" s="1035">
        <v>263.0414328</v>
      </c>
      <c r="AB307" s="1045"/>
      <c r="AF307" s="225"/>
    </row>
    <row r="308">
      <c r="A308" s="1013"/>
      <c r="B308" s="1019" t="s">
        <v>123</v>
      </c>
      <c r="C308" s="1020" t="s">
        <v>1035</v>
      </c>
      <c r="D308" s="1020" t="s">
        <v>1036</v>
      </c>
      <c r="E308" s="1020" t="s">
        <v>539</v>
      </c>
      <c r="F308" s="1020">
        <v>2021.0</v>
      </c>
      <c r="G308" s="1021">
        <v>1.33E-6</v>
      </c>
      <c r="H308" s="1021">
        <v>5.93E-7</v>
      </c>
      <c r="I308" s="1022">
        <v>2.42E-6</v>
      </c>
      <c r="K308" s="1031" t="s">
        <v>139</v>
      </c>
      <c r="L308" s="1032" t="s">
        <v>1047</v>
      </c>
      <c r="M308" s="1032" t="s">
        <v>1035</v>
      </c>
      <c r="N308" s="1032" t="s">
        <v>1045</v>
      </c>
      <c r="O308" s="1032">
        <v>2021.0</v>
      </c>
      <c r="P308" s="1032" t="s">
        <v>1039</v>
      </c>
      <c r="Q308" s="1033" t="s">
        <v>63</v>
      </c>
      <c r="R308" s="1034">
        <v>301.2737867</v>
      </c>
      <c r="S308" s="1034">
        <v>153.4260722</v>
      </c>
      <c r="T308" s="1035">
        <v>506.4377444</v>
      </c>
      <c r="AB308" s="1045"/>
      <c r="AF308" s="225"/>
    </row>
    <row r="309">
      <c r="A309" s="1013"/>
      <c r="B309" s="1019" t="s">
        <v>123</v>
      </c>
      <c r="C309" s="1020" t="s">
        <v>1035</v>
      </c>
      <c r="D309" s="1020" t="s">
        <v>1041</v>
      </c>
      <c r="E309" s="1020" t="s">
        <v>539</v>
      </c>
      <c r="F309" s="1020">
        <v>2021.0</v>
      </c>
      <c r="G309" s="1021">
        <v>1.62E-6</v>
      </c>
      <c r="H309" s="1021">
        <v>3.98E-7</v>
      </c>
      <c r="I309" s="1022">
        <v>3.75E-6</v>
      </c>
      <c r="K309" s="1031" t="s">
        <v>140</v>
      </c>
      <c r="L309" s="1032" t="s">
        <v>1047</v>
      </c>
      <c r="M309" s="1032" t="s">
        <v>1035</v>
      </c>
      <c r="N309" s="1032" t="s">
        <v>1038</v>
      </c>
      <c r="O309" s="1032">
        <v>2021.0</v>
      </c>
      <c r="P309" s="1032" t="s">
        <v>1039</v>
      </c>
      <c r="Q309" s="1033" t="s">
        <v>63</v>
      </c>
      <c r="R309" s="1034">
        <v>83.3526728</v>
      </c>
      <c r="S309" s="1034">
        <v>37.38462236</v>
      </c>
      <c r="T309" s="1035">
        <v>166.4808031</v>
      </c>
      <c r="AB309" s="1045"/>
      <c r="AF309" s="225"/>
    </row>
    <row r="310">
      <c r="A310" s="1013"/>
      <c r="B310" s="1019" t="s">
        <v>123</v>
      </c>
      <c r="C310" s="1020" t="s">
        <v>1035</v>
      </c>
      <c r="D310" s="1020" t="s">
        <v>1043</v>
      </c>
      <c r="E310" s="1020" t="s">
        <v>539</v>
      </c>
      <c r="F310" s="1020">
        <v>2021.0</v>
      </c>
      <c r="G310" s="1021">
        <v>1.73E-6</v>
      </c>
      <c r="H310" s="1021">
        <v>3.99E-7</v>
      </c>
      <c r="I310" s="1022">
        <v>4.47E-6</v>
      </c>
      <c r="K310" s="1031" t="s">
        <v>140</v>
      </c>
      <c r="L310" s="1032" t="s">
        <v>1047</v>
      </c>
      <c r="M310" s="1032" t="s">
        <v>1035</v>
      </c>
      <c r="N310" s="1032" t="s">
        <v>1042</v>
      </c>
      <c r="O310" s="1032">
        <v>2021.0</v>
      </c>
      <c r="P310" s="1032" t="s">
        <v>1039</v>
      </c>
      <c r="Q310" s="1033" t="s">
        <v>63</v>
      </c>
      <c r="R310" s="1034">
        <v>10.28972327</v>
      </c>
      <c r="S310" s="1034">
        <v>5.268504774</v>
      </c>
      <c r="T310" s="1035">
        <v>17.85296924</v>
      </c>
      <c r="AB310" s="1045"/>
      <c r="AF310" s="225"/>
    </row>
    <row r="311">
      <c r="A311" s="1013"/>
      <c r="B311" s="1019" t="s">
        <v>123</v>
      </c>
      <c r="C311" s="1020" t="s">
        <v>1035</v>
      </c>
      <c r="D311" s="1020" t="s">
        <v>1045</v>
      </c>
      <c r="E311" s="1020" t="s">
        <v>539</v>
      </c>
      <c r="F311" s="1020">
        <v>2021.0</v>
      </c>
      <c r="G311" s="1021">
        <v>8.6E-6</v>
      </c>
      <c r="H311" s="1021">
        <v>2.87E-6</v>
      </c>
      <c r="I311" s="1022">
        <v>1.93E-5</v>
      </c>
      <c r="K311" s="1031" t="s">
        <v>140</v>
      </c>
      <c r="L311" s="1032" t="s">
        <v>1047</v>
      </c>
      <c r="M311" s="1032" t="s">
        <v>1035</v>
      </c>
      <c r="N311" s="1032" t="s">
        <v>1044</v>
      </c>
      <c r="O311" s="1032">
        <v>2021.0</v>
      </c>
      <c r="P311" s="1032" t="s">
        <v>1039</v>
      </c>
      <c r="Q311" s="1033" t="s">
        <v>63</v>
      </c>
      <c r="R311" s="1034">
        <v>11.69385697</v>
      </c>
      <c r="S311" s="1034">
        <v>5.359528883</v>
      </c>
      <c r="T311" s="1035">
        <v>24.2109281</v>
      </c>
      <c r="AB311" s="1045"/>
      <c r="AF311" s="225"/>
    </row>
    <row r="312">
      <c r="A312" s="1013"/>
      <c r="B312" s="1019" t="s">
        <v>124</v>
      </c>
      <c r="C312" s="1020" t="s">
        <v>1035</v>
      </c>
      <c r="D312" s="1020" t="s">
        <v>1036</v>
      </c>
      <c r="E312" s="1020" t="s">
        <v>539</v>
      </c>
      <c r="F312" s="1020">
        <v>2021.0</v>
      </c>
      <c r="G312" s="1021">
        <v>5.37E-6</v>
      </c>
      <c r="H312" s="1021">
        <v>2.5E-6</v>
      </c>
      <c r="I312" s="1022">
        <v>9.81E-6</v>
      </c>
      <c r="K312" s="1031" t="s">
        <v>140</v>
      </c>
      <c r="L312" s="1032" t="s">
        <v>1047</v>
      </c>
      <c r="M312" s="1032" t="s">
        <v>1035</v>
      </c>
      <c r="N312" s="1032" t="s">
        <v>1046</v>
      </c>
      <c r="O312" s="1032">
        <v>2021.0</v>
      </c>
      <c r="P312" s="1032" t="s">
        <v>1039</v>
      </c>
      <c r="Q312" s="1033" t="s">
        <v>63</v>
      </c>
      <c r="R312" s="1034">
        <v>146.7326603</v>
      </c>
      <c r="S312" s="1034">
        <v>73.67798901</v>
      </c>
      <c r="T312" s="1035">
        <v>257.9589222</v>
      </c>
      <c r="AB312" s="1045"/>
      <c r="AF312" s="225"/>
    </row>
    <row r="313">
      <c r="A313" s="1013"/>
      <c r="B313" s="1019" t="s">
        <v>124</v>
      </c>
      <c r="C313" s="1020" t="s">
        <v>1035</v>
      </c>
      <c r="D313" s="1020" t="s">
        <v>1041</v>
      </c>
      <c r="E313" s="1020" t="s">
        <v>539</v>
      </c>
      <c r="F313" s="1020">
        <v>2021.0</v>
      </c>
      <c r="G313" s="1021">
        <v>6.74E-6</v>
      </c>
      <c r="H313" s="1021">
        <v>1.81E-6</v>
      </c>
      <c r="I313" s="1022">
        <v>1.56E-5</v>
      </c>
      <c r="K313" s="1031" t="s">
        <v>140</v>
      </c>
      <c r="L313" s="1032" t="s">
        <v>1047</v>
      </c>
      <c r="M313" s="1032" t="s">
        <v>1035</v>
      </c>
      <c r="N313" s="1032" t="s">
        <v>1045</v>
      </c>
      <c r="O313" s="1032">
        <v>2021.0</v>
      </c>
      <c r="P313" s="1032" t="s">
        <v>1039</v>
      </c>
      <c r="Q313" s="1033" t="s">
        <v>63</v>
      </c>
      <c r="R313" s="1034">
        <v>252.0689133</v>
      </c>
      <c r="S313" s="1034">
        <v>133.1131068</v>
      </c>
      <c r="T313" s="1035">
        <v>440.2480538</v>
      </c>
      <c r="AB313" s="1045"/>
      <c r="AF313" s="225"/>
    </row>
    <row r="314">
      <c r="A314" s="1013"/>
      <c r="B314" s="1019" t="s">
        <v>124</v>
      </c>
      <c r="C314" s="1020" t="s">
        <v>1035</v>
      </c>
      <c r="D314" s="1020" t="s">
        <v>1043</v>
      </c>
      <c r="E314" s="1020" t="s">
        <v>539</v>
      </c>
      <c r="F314" s="1020">
        <v>2021.0</v>
      </c>
      <c r="G314" s="1021">
        <v>1.08E-5</v>
      </c>
      <c r="H314" s="1021">
        <v>2.52E-6</v>
      </c>
      <c r="I314" s="1022">
        <v>2.65E-5</v>
      </c>
      <c r="K314" s="1031" t="s">
        <v>141</v>
      </c>
      <c r="L314" s="1032" t="s">
        <v>1047</v>
      </c>
      <c r="M314" s="1032" t="s">
        <v>1035</v>
      </c>
      <c r="N314" s="1032" t="s">
        <v>1038</v>
      </c>
      <c r="O314" s="1032">
        <v>2021.0</v>
      </c>
      <c r="P314" s="1032" t="s">
        <v>1039</v>
      </c>
      <c r="Q314" s="1033" t="s">
        <v>63</v>
      </c>
      <c r="R314" s="1034">
        <v>97.74649543</v>
      </c>
      <c r="S314" s="1034">
        <v>32.9566141</v>
      </c>
      <c r="T314" s="1035">
        <v>236.8997817</v>
      </c>
      <c r="AB314" s="1045"/>
      <c r="AF314" s="225"/>
    </row>
    <row r="315">
      <c r="A315" s="1013"/>
      <c r="B315" s="1019" t="s">
        <v>124</v>
      </c>
      <c r="C315" s="1020" t="s">
        <v>1035</v>
      </c>
      <c r="D315" s="1020" t="s">
        <v>1045</v>
      </c>
      <c r="E315" s="1020" t="s">
        <v>539</v>
      </c>
      <c r="F315" s="1020">
        <v>2021.0</v>
      </c>
      <c r="G315" s="1021">
        <v>6.78E-5</v>
      </c>
      <c r="H315" s="1021">
        <v>2.28E-5</v>
      </c>
      <c r="I315" s="1022">
        <v>1.38339E-4</v>
      </c>
      <c r="K315" s="1031" t="s">
        <v>141</v>
      </c>
      <c r="L315" s="1032" t="s">
        <v>1047</v>
      </c>
      <c r="M315" s="1032" t="s">
        <v>1035</v>
      </c>
      <c r="N315" s="1032" t="s">
        <v>1042</v>
      </c>
      <c r="O315" s="1032">
        <v>2021.0</v>
      </c>
      <c r="P315" s="1032" t="s">
        <v>1039</v>
      </c>
      <c r="Q315" s="1033" t="s">
        <v>63</v>
      </c>
      <c r="R315" s="1034">
        <v>16.89501024</v>
      </c>
      <c r="S315" s="1034">
        <v>7.254864116</v>
      </c>
      <c r="T315" s="1035">
        <v>33.20194839</v>
      </c>
      <c r="AB315" s="1045"/>
      <c r="AF315" s="225"/>
    </row>
    <row r="316">
      <c r="A316" s="1013"/>
      <c r="B316" s="1019" t="s">
        <v>125</v>
      </c>
      <c r="C316" s="1020" t="s">
        <v>1035</v>
      </c>
      <c r="D316" s="1020" t="s">
        <v>1036</v>
      </c>
      <c r="E316" s="1020" t="s">
        <v>539</v>
      </c>
      <c r="F316" s="1020">
        <v>2021.0</v>
      </c>
      <c r="G316" s="1021">
        <v>1.61E-6</v>
      </c>
      <c r="H316" s="1021">
        <v>6.96E-7</v>
      </c>
      <c r="I316" s="1022">
        <v>3.11E-6</v>
      </c>
      <c r="K316" s="1031" t="s">
        <v>141</v>
      </c>
      <c r="L316" s="1032" t="s">
        <v>1047</v>
      </c>
      <c r="M316" s="1032" t="s">
        <v>1035</v>
      </c>
      <c r="N316" s="1032" t="s">
        <v>1044</v>
      </c>
      <c r="O316" s="1032">
        <v>2021.0</v>
      </c>
      <c r="P316" s="1032" t="s">
        <v>1039</v>
      </c>
      <c r="Q316" s="1033" t="s">
        <v>63</v>
      </c>
      <c r="R316" s="1034">
        <v>16.35667984</v>
      </c>
      <c r="S316" s="1034">
        <v>5.353872258</v>
      </c>
      <c r="T316" s="1035">
        <v>38.56141397</v>
      </c>
      <c r="AB316" s="1045"/>
      <c r="AF316" s="225"/>
    </row>
    <row r="317">
      <c r="A317" s="1013"/>
      <c r="B317" s="1019" t="s">
        <v>125</v>
      </c>
      <c r="C317" s="1020" t="s">
        <v>1035</v>
      </c>
      <c r="D317" s="1020" t="s">
        <v>1041</v>
      </c>
      <c r="E317" s="1020" t="s">
        <v>539</v>
      </c>
      <c r="F317" s="1020">
        <v>2021.0</v>
      </c>
      <c r="G317" s="1021">
        <v>1.93E-6</v>
      </c>
      <c r="H317" s="1021">
        <v>4.89E-7</v>
      </c>
      <c r="I317" s="1022">
        <v>4.8E-6</v>
      </c>
      <c r="K317" s="1031" t="s">
        <v>141</v>
      </c>
      <c r="L317" s="1032" t="s">
        <v>1047</v>
      </c>
      <c r="M317" s="1032" t="s">
        <v>1035</v>
      </c>
      <c r="N317" s="1032" t="s">
        <v>1046</v>
      </c>
      <c r="O317" s="1032">
        <v>2021.0</v>
      </c>
      <c r="P317" s="1032" t="s">
        <v>1039</v>
      </c>
      <c r="Q317" s="1033" t="s">
        <v>63</v>
      </c>
      <c r="R317" s="1034">
        <v>207.9934017</v>
      </c>
      <c r="S317" s="1034">
        <v>81.45297057</v>
      </c>
      <c r="T317" s="1035">
        <v>435.4847987</v>
      </c>
      <c r="AB317" s="1045"/>
      <c r="AF317" s="225"/>
    </row>
    <row r="318">
      <c r="A318" s="1013"/>
      <c r="B318" s="1019" t="s">
        <v>125</v>
      </c>
      <c r="C318" s="1020" t="s">
        <v>1035</v>
      </c>
      <c r="D318" s="1020" t="s">
        <v>1043</v>
      </c>
      <c r="E318" s="1020" t="s">
        <v>539</v>
      </c>
      <c r="F318" s="1020">
        <v>2021.0</v>
      </c>
      <c r="G318" s="1021">
        <v>1.72E-6</v>
      </c>
      <c r="H318" s="1021">
        <v>3.48E-7</v>
      </c>
      <c r="I318" s="1022">
        <v>4.48E-6</v>
      </c>
      <c r="K318" s="1031" t="s">
        <v>141</v>
      </c>
      <c r="L318" s="1032" t="s">
        <v>1047</v>
      </c>
      <c r="M318" s="1032" t="s">
        <v>1035</v>
      </c>
      <c r="N318" s="1032" t="s">
        <v>1045</v>
      </c>
      <c r="O318" s="1032">
        <v>2021.0</v>
      </c>
      <c r="P318" s="1032" t="s">
        <v>1039</v>
      </c>
      <c r="Q318" s="1033" t="s">
        <v>63</v>
      </c>
      <c r="R318" s="1034">
        <v>338.9915872</v>
      </c>
      <c r="S318" s="1034">
        <v>153.1829842</v>
      </c>
      <c r="T318" s="1035">
        <v>721.9037334</v>
      </c>
      <c r="AB318" s="1045"/>
      <c r="AF318" s="225"/>
    </row>
    <row r="319">
      <c r="A319" s="1013"/>
      <c r="B319" s="1019" t="s">
        <v>125</v>
      </c>
      <c r="C319" s="1020" t="s">
        <v>1035</v>
      </c>
      <c r="D319" s="1020" t="s">
        <v>1045</v>
      </c>
      <c r="E319" s="1020" t="s">
        <v>539</v>
      </c>
      <c r="F319" s="1020">
        <v>2021.0</v>
      </c>
      <c r="G319" s="1021">
        <v>6.75E-6</v>
      </c>
      <c r="H319" s="1021">
        <v>1.9E-6</v>
      </c>
      <c r="I319" s="1022">
        <v>1.62E-5</v>
      </c>
      <c r="K319" s="1031" t="s">
        <v>142</v>
      </c>
      <c r="L319" s="1032" t="s">
        <v>1047</v>
      </c>
      <c r="M319" s="1032" t="s">
        <v>1035</v>
      </c>
      <c r="N319" s="1032" t="s">
        <v>1038</v>
      </c>
      <c r="O319" s="1032">
        <v>2021.0</v>
      </c>
      <c r="P319" s="1032" t="s">
        <v>1039</v>
      </c>
      <c r="Q319" s="1033" t="s">
        <v>63</v>
      </c>
      <c r="R319" s="1034">
        <v>449.3351542</v>
      </c>
      <c r="S319" s="1034">
        <v>224.610043</v>
      </c>
      <c r="T319" s="1035">
        <v>805.3612997</v>
      </c>
      <c r="AB319" s="1045"/>
      <c r="AF319" s="225"/>
    </row>
    <row r="320">
      <c r="A320" s="1013"/>
      <c r="B320" s="1019" t="s">
        <v>126</v>
      </c>
      <c r="C320" s="1020" t="s">
        <v>1035</v>
      </c>
      <c r="D320" s="1020" t="s">
        <v>1036</v>
      </c>
      <c r="E320" s="1020" t="s">
        <v>539</v>
      </c>
      <c r="F320" s="1020">
        <v>2021.0</v>
      </c>
      <c r="G320" s="1021">
        <v>9.81E-7</v>
      </c>
      <c r="H320" s="1021">
        <v>4.37E-7</v>
      </c>
      <c r="I320" s="1022">
        <v>1.82E-6</v>
      </c>
      <c r="K320" s="1031" t="s">
        <v>142</v>
      </c>
      <c r="L320" s="1032" t="s">
        <v>1047</v>
      </c>
      <c r="M320" s="1032" t="s">
        <v>1035</v>
      </c>
      <c r="N320" s="1032" t="s">
        <v>1042</v>
      </c>
      <c r="O320" s="1032">
        <v>2021.0</v>
      </c>
      <c r="P320" s="1032" t="s">
        <v>1039</v>
      </c>
      <c r="Q320" s="1033" t="s">
        <v>63</v>
      </c>
      <c r="R320" s="1034">
        <v>39.98148502</v>
      </c>
      <c r="S320" s="1034">
        <v>23.18181758</v>
      </c>
      <c r="T320" s="1035">
        <v>66.59121971</v>
      </c>
      <c r="AB320" s="1045"/>
      <c r="AF320" s="225"/>
    </row>
    <row r="321">
      <c r="A321" s="1013"/>
      <c r="B321" s="1019" t="s">
        <v>126</v>
      </c>
      <c r="C321" s="1020" t="s">
        <v>1035</v>
      </c>
      <c r="D321" s="1020" t="s">
        <v>1041</v>
      </c>
      <c r="E321" s="1020" t="s">
        <v>539</v>
      </c>
      <c r="F321" s="1020">
        <v>2021.0</v>
      </c>
      <c r="G321" s="1021">
        <v>1.22E-6</v>
      </c>
      <c r="H321" s="1021">
        <v>3.19E-7</v>
      </c>
      <c r="I321" s="1022">
        <v>2.94E-6</v>
      </c>
      <c r="K321" s="1031" t="s">
        <v>142</v>
      </c>
      <c r="L321" s="1032" t="s">
        <v>1047</v>
      </c>
      <c r="M321" s="1032" t="s">
        <v>1035</v>
      </c>
      <c r="N321" s="1032" t="s">
        <v>1044</v>
      </c>
      <c r="O321" s="1032">
        <v>2021.0</v>
      </c>
      <c r="P321" s="1032" t="s">
        <v>1039</v>
      </c>
      <c r="Q321" s="1033" t="s">
        <v>63</v>
      </c>
      <c r="R321" s="1034">
        <v>41.66667585</v>
      </c>
      <c r="S321" s="1034">
        <v>23.25976038</v>
      </c>
      <c r="T321" s="1035">
        <v>73.61658642</v>
      </c>
      <c r="AB321" s="1045"/>
      <c r="AF321" s="225"/>
    </row>
    <row r="322">
      <c r="A322" s="1013"/>
      <c r="B322" s="1019" t="s">
        <v>126</v>
      </c>
      <c r="C322" s="1020" t="s">
        <v>1035</v>
      </c>
      <c r="D322" s="1020" t="s">
        <v>1043</v>
      </c>
      <c r="E322" s="1020" t="s">
        <v>539</v>
      </c>
      <c r="F322" s="1020">
        <v>2021.0</v>
      </c>
      <c r="G322" s="1021">
        <v>1.09E-6</v>
      </c>
      <c r="H322" s="1021">
        <v>2.29E-7</v>
      </c>
      <c r="I322" s="1022">
        <v>2.68E-6</v>
      </c>
      <c r="K322" s="1031" t="s">
        <v>142</v>
      </c>
      <c r="L322" s="1032" t="s">
        <v>1047</v>
      </c>
      <c r="M322" s="1032" t="s">
        <v>1035</v>
      </c>
      <c r="N322" s="1032" t="s">
        <v>1046</v>
      </c>
      <c r="O322" s="1032">
        <v>2021.0</v>
      </c>
      <c r="P322" s="1032" t="s">
        <v>1039</v>
      </c>
      <c r="Q322" s="1033" t="s">
        <v>63</v>
      </c>
      <c r="R322" s="1034">
        <v>755.6070103</v>
      </c>
      <c r="S322" s="1034">
        <v>453.0837173</v>
      </c>
      <c r="T322" s="1035">
        <v>1181.284388</v>
      </c>
      <c r="AB322" s="1045"/>
      <c r="AF322" s="225"/>
    </row>
    <row r="323">
      <c r="A323" s="1013"/>
      <c r="B323" s="1019" t="s">
        <v>126</v>
      </c>
      <c r="C323" s="1020" t="s">
        <v>1035</v>
      </c>
      <c r="D323" s="1020" t="s">
        <v>1045</v>
      </c>
      <c r="E323" s="1020" t="s">
        <v>539</v>
      </c>
      <c r="F323" s="1020">
        <v>2021.0</v>
      </c>
      <c r="G323" s="1021">
        <v>3.9E-6</v>
      </c>
      <c r="H323" s="1021">
        <v>1.03E-6</v>
      </c>
      <c r="I323" s="1022">
        <v>8.85E-6</v>
      </c>
      <c r="K323" s="1031" t="s">
        <v>142</v>
      </c>
      <c r="L323" s="1032" t="s">
        <v>1047</v>
      </c>
      <c r="M323" s="1032" t="s">
        <v>1035</v>
      </c>
      <c r="N323" s="1032" t="s">
        <v>1045</v>
      </c>
      <c r="O323" s="1032">
        <v>2021.0</v>
      </c>
      <c r="P323" s="1032" t="s">
        <v>1039</v>
      </c>
      <c r="Q323" s="1033" t="s">
        <v>63</v>
      </c>
      <c r="R323" s="1034">
        <v>1286.590325</v>
      </c>
      <c r="S323" s="1034">
        <v>760.5382548</v>
      </c>
      <c r="T323" s="1035">
        <v>1983.376545</v>
      </c>
      <c r="AB323" s="1045"/>
      <c r="AF323" s="225"/>
    </row>
    <row r="324">
      <c r="A324" s="1013"/>
      <c r="B324" s="1019" t="s">
        <v>114</v>
      </c>
      <c r="C324" s="1020" t="s">
        <v>1035</v>
      </c>
      <c r="D324" s="1020" t="s">
        <v>1036</v>
      </c>
      <c r="E324" s="1020" t="s">
        <v>539</v>
      </c>
      <c r="F324" s="1020">
        <v>2021.0</v>
      </c>
      <c r="G324" s="1021">
        <v>2.77E-5</v>
      </c>
      <c r="H324" s="1021">
        <v>1.14E-5</v>
      </c>
      <c r="I324" s="1022">
        <v>5.17E-5</v>
      </c>
      <c r="K324" s="1031" t="s">
        <v>143</v>
      </c>
      <c r="L324" s="1032" t="s">
        <v>1047</v>
      </c>
      <c r="M324" s="1032" t="s">
        <v>1035</v>
      </c>
      <c r="N324" s="1032" t="s">
        <v>1038</v>
      </c>
      <c r="O324" s="1032">
        <v>2021.0</v>
      </c>
      <c r="P324" s="1032" t="s">
        <v>1039</v>
      </c>
      <c r="Q324" s="1033" t="s">
        <v>63</v>
      </c>
      <c r="R324" s="1034">
        <v>1830.670213</v>
      </c>
      <c r="S324" s="1034">
        <v>938.2006187</v>
      </c>
      <c r="T324" s="1035">
        <v>3100.536482</v>
      </c>
      <c r="AB324" s="1045"/>
      <c r="AF324" s="225"/>
    </row>
    <row r="325">
      <c r="A325" s="1013"/>
      <c r="B325" s="1019" t="s">
        <v>114</v>
      </c>
      <c r="C325" s="1020" t="s">
        <v>1035</v>
      </c>
      <c r="D325" s="1020" t="s">
        <v>1041</v>
      </c>
      <c r="E325" s="1020" t="s">
        <v>539</v>
      </c>
      <c r="F325" s="1020">
        <v>2021.0</v>
      </c>
      <c r="G325" s="1021">
        <v>4.12E-5</v>
      </c>
      <c r="H325" s="1021">
        <v>1.02E-5</v>
      </c>
      <c r="I325" s="1022">
        <v>9.41E-5</v>
      </c>
      <c r="K325" s="1031" t="s">
        <v>143</v>
      </c>
      <c r="L325" s="1032" t="s">
        <v>1047</v>
      </c>
      <c r="M325" s="1032" t="s">
        <v>1035</v>
      </c>
      <c r="N325" s="1032" t="s">
        <v>1042</v>
      </c>
      <c r="O325" s="1032">
        <v>2021.0</v>
      </c>
      <c r="P325" s="1032" t="s">
        <v>1039</v>
      </c>
      <c r="Q325" s="1033" t="s">
        <v>63</v>
      </c>
      <c r="R325" s="1034">
        <v>116.7900938</v>
      </c>
      <c r="S325" s="1034">
        <v>67.22285957</v>
      </c>
      <c r="T325" s="1035">
        <v>187.6870217</v>
      </c>
      <c r="AB325" s="1045"/>
      <c r="AF325" s="225"/>
    </row>
    <row r="326">
      <c r="A326" s="1013"/>
      <c r="B326" s="1019" t="s">
        <v>114</v>
      </c>
      <c r="C326" s="1020" t="s">
        <v>1035</v>
      </c>
      <c r="D326" s="1020" t="s">
        <v>1043</v>
      </c>
      <c r="E326" s="1020" t="s">
        <v>539</v>
      </c>
      <c r="F326" s="1020">
        <v>2021.0</v>
      </c>
      <c r="G326" s="1021">
        <v>5.88E-5</v>
      </c>
      <c r="H326" s="1021">
        <v>1.46E-5</v>
      </c>
      <c r="I326" s="1022">
        <v>1.60087E-4</v>
      </c>
      <c r="K326" s="1031" t="s">
        <v>143</v>
      </c>
      <c r="L326" s="1032" t="s">
        <v>1047</v>
      </c>
      <c r="M326" s="1032" t="s">
        <v>1035</v>
      </c>
      <c r="N326" s="1032" t="s">
        <v>1044</v>
      </c>
      <c r="O326" s="1032">
        <v>2021.0</v>
      </c>
      <c r="P326" s="1032" t="s">
        <v>1039</v>
      </c>
      <c r="Q326" s="1033" t="s">
        <v>63</v>
      </c>
      <c r="R326" s="1034">
        <v>166.9785541</v>
      </c>
      <c r="S326" s="1034">
        <v>89.90641662</v>
      </c>
      <c r="T326" s="1035">
        <v>283.4990569</v>
      </c>
      <c r="AB326" s="1045"/>
      <c r="AF326" s="225"/>
    </row>
    <row r="327">
      <c r="A327" s="1013"/>
      <c r="B327" s="1019" t="s">
        <v>114</v>
      </c>
      <c r="C327" s="1020" t="s">
        <v>1035</v>
      </c>
      <c r="D327" s="1020" t="s">
        <v>1045</v>
      </c>
      <c r="E327" s="1020" t="s">
        <v>539</v>
      </c>
      <c r="F327" s="1020">
        <v>2021.0</v>
      </c>
      <c r="G327" s="1021">
        <v>5.01357E-4</v>
      </c>
      <c r="H327" s="1021">
        <v>1.36199E-4</v>
      </c>
      <c r="I327" s="1022">
        <v>0.001155441</v>
      </c>
      <c r="K327" s="1031" t="s">
        <v>143</v>
      </c>
      <c r="L327" s="1032" t="s">
        <v>1047</v>
      </c>
      <c r="M327" s="1032" t="s">
        <v>1035</v>
      </c>
      <c r="N327" s="1032" t="s">
        <v>1046</v>
      </c>
      <c r="O327" s="1032">
        <v>2021.0</v>
      </c>
      <c r="P327" s="1032" t="s">
        <v>1039</v>
      </c>
      <c r="Q327" s="1033" t="s">
        <v>63</v>
      </c>
      <c r="R327" s="1034">
        <v>2959.923915</v>
      </c>
      <c r="S327" s="1034">
        <v>1726.143318</v>
      </c>
      <c r="T327" s="1035">
        <v>4636.143713</v>
      </c>
      <c r="AB327" s="1045"/>
      <c r="AF327" s="225"/>
    </row>
    <row r="328">
      <c r="A328" s="1013"/>
      <c r="B328" s="1019" t="s">
        <v>127</v>
      </c>
      <c r="C328" s="1020" t="s">
        <v>1035</v>
      </c>
      <c r="D328" s="1020" t="s">
        <v>1036</v>
      </c>
      <c r="E328" s="1020" t="s">
        <v>539</v>
      </c>
      <c r="F328" s="1020">
        <v>2021.0</v>
      </c>
      <c r="G328" s="1021">
        <v>3.66E-6</v>
      </c>
      <c r="H328" s="1021">
        <v>1.66E-6</v>
      </c>
      <c r="I328" s="1022">
        <v>6.8E-6</v>
      </c>
      <c r="K328" s="1031" t="s">
        <v>143</v>
      </c>
      <c r="L328" s="1032" t="s">
        <v>1047</v>
      </c>
      <c r="M328" s="1032" t="s">
        <v>1035</v>
      </c>
      <c r="N328" s="1032" t="s">
        <v>1045</v>
      </c>
      <c r="O328" s="1032">
        <v>2021.0</v>
      </c>
      <c r="P328" s="1032" t="s">
        <v>1039</v>
      </c>
      <c r="Q328" s="1033" t="s">
        <v>63</v>
      </c>
      <c r="R328" s="1034">
        <v>5074.362776</v>
      </c>
      <c r="S328" s="1034">
        <v>2981.558955</v>
      </c>
      <c r="T328" s="1035">
        <v>7852.307092</v>
      </c>
      <c r="AB328" s="1045"/>
      <c r="AF328" s="225"/>
    </row>
    <row r="329">
      <c r="A329" s="1013"/>
      <c r="B329" s="1019" t="s">
        <v>127</v>
      </c>
      <c r="C329" s="1020" t="s">
        <v>1035</v>
      </c>
      <c r="D329" s="1020" t="s">
        <v>1041</v>
      </c>
      <c r="E329" s="1020" t="s">
        <v>539</v>
      </c>
      <c r="F329" s="1020">
        <v>2021.0</v>
      </c>
      <c r="G329" s="1021">
        <v>3.89E-6</v>
      </c>
      <c r="H329" s="1021">
        <v>9.13E-7</v>
      </c>
      <c r="I329" s="1022">
        <v>9.25E-6</v>
      </c>
      <c r="K329" s="1031" t="s">
        <v>109</v>
      </c>
      <c r="L329" s="1032" t="s">
        <v>1047</v>
      </c>
      <c r="M329" s="1032" t="s">
        <v>1035</v>
      </c>
      <c r="N329" s="1032" t="s">
        <v>1038</v>
      </c>
      <c r="O329" s="1032">
        <v>2021.0</v>
      </c>
      <c r="P329" s="1032" t="s">
        <v>1039</v>
      </c>
      <c r="Q329" s="1033" t="s">
        <v>63</v>
      </c>
      <c r="R329" s="1034">
        <v>42100.94723</v>
      </c>
      <c r="S329" s="1034">
        <v>24514.77276</v>
      </c>
      <c r="T329" s="1035">
        <v>61470.33589</v>
      </c>
      <c r="AB329" s="1045"/>
      <c r="AF329" s="225"/>
    </row>
    <row r="330">
      <c r="A330" s="1013"/>
      <c r="B330" s="1019" t="s">
        <v>127</v>
      </c>
      <c r="C330" s="1020" t="s">
        <v>1035</v>
      </c>
      <c r="D330" s="1020" t="s">
        <v>1043</v>
      </c>
      <c r="E330" s="1020" t="s">
        <v>539</v>
      </c>
      <c r="F330" s="1020">
        <v>2021.0</v>
      </c>
      <c r="G330" s="1021">
        <v>3.69E-6</v>
      </c>
      <c r="H330" s="1021">
        <v>8.34E-7</v>
      </c>
      <c r="I330" s="1022">
        <v>9.71E-6</v>
      </c>
      <c r="K330" s="1031" t="s">
        <v>109</v>
      </c>
      <c r="L330" s="1032" t="s">
        <v>1047</v>
      </c>
      <c r="M330" s="1032" t="s">
        <v>1035</v>
      </c>
      <c r="N330" s="1032" t="s">
        <v>1042</v>
      </c>
      <c r="O330" s="1032">
        <v>2021.0</v>
      </c>
      <c r="P330" s="1032" t="s">
        <v>1039</v>
      </c>
      <c r="Q330" s="1033" t="s">
        <v>63</v>
      </c>
      <c r="R330" s="1034">
        <v>2239.334801</v>
      </c>
      <c r="S330" s="1034">
        <v>1513.205177</v>
      </c>
      <c r="T330" s="1035">
        <v>3229.328105</v>
      </c>
      <c r="AB330" s="1045"/>
      <c r="AF330" s="225"/>
    </row>
    <row r="331">
      <c r="A331" s="1013"/>
      <c r="B331" s="1019" t="s">
        <v>127</v>
      </c>
      <c r="C331" s="1020" t="s">
        <v>1035</v>
      </c>
      <c r="D331" s="1020" t="s">
        <v>1045</v>
      </c>
      <c r="E331" s="1020" t="s">
        <v>539</v>
      </c>
      <c r="F331" s="1020">
        <v>2021.0</v>
      </c>
      <c r="G331" s="1021">
        <v>1.97E-5</v>
      </c>
      <c r="H331" s="1021">
        <v>5.47E-6</v>
      </c>
      <c r="I331" s="1022">
        <v>4.7E-5</v>
      </c>
      <c r="K331" s="1031" t="s">
        <v>109</v>
      </c>
      <c r="L331" s="1032" t="s">
        <v>1047</v>
      </c>
      <c r="M331" s="1032" t="s">
        <v>1035</v>
      </c>
      <c r="N331" s="1032" t="s">
        <v>1044</v>
      </c>
      <c r="O331" s="1032">
        <v>2021.0</v>
      </c>
      <c r="P331" s="1032" t="s">
        <v>1039</v>
      </c>
      <c r="Q331" s="1033" t="s">
        <v>63</v>
      </c>
      <c r="R331" s="1034">
        <v>2576.226884</v>
      </c>
      <c r="S331" s="1034">
        <v>1879.497686</v>
      </c>
      <c r="T331" s="1035">
        <v>3451.528281</v>
      </c>
      <c r="AB331" s="1045"/>
      <c r="AF331" s="225"/>
    </row>
    <row r="332">
      <c r="A332" s="1013"/>
      <c r="B332" s="1019" t="s">
        <v>128</v>
      </c>
      <c r="C332" s="1020" t="s">
        <v>1035</v>
      </c>
      <c r="D332" s="1020" t="s">
        <v>1036</v>
      </c>
      <c r="E332" s="1020" t="s">
        <v>539</v>
      </c>
      <c r="F332" s="1020">
        <v>2021.0</v>
      </c>
      <c r="G332" s="1021">
        <v>3.95E-6</v>
      </c>
      <c r="H332" s="1021">
        <v>1.71E-6</v>
      </c>
      <c r="I332" s="1022">
        <v>7.64E-6</v>
      </c>
      <c r="K332" s="1031" t="s">
        <v>109</v>
      </c>
      <c r="L332" s="1032" t="s">
        <v>1047</v>
      </c>
      <c r="M332" s="1032" t="s">
        <v>1035</v>
      </c>
      <c r="N332" s="1032" t="s">
        <v>1046</v>
      </c>
      <c r="O332" s="1032">
        <v>2021.0</v>
      </c>
      <c r="P332" s="1032" t="s">
        <v>1039</v>
      </c>
      <c r="Q332" s="1033" t="s">
        <v>63</v>
      </c>
      <c r="R332" s="1034">
        <v>50676.2547</v>
      </c>
      <c r="S332" s="1034">
        <v>35687.98152</v>
      </c>
      <c r="T332" s="1035">
        <v>70196.40738</v>
      </c>
      <c r="AB332" s="1045"/>
      <c r="AF332" s="225"/>
    </row>
    <row r="333">
      <c r="A333" s="1013"/>
      <c r="B333" s="1019" t="s">
        <v>128</v>
      </c>
      <c r="C333" s="1020" t="s">
        <v>1035</v>
      </c>
      <c r="D333" s="1020" t="s">
        <v>1041</v>
      </c>
      <c r="E333" s="1020" t="s">
        <v>539</v>
      </c>
      <c r="F333" s="1020">
        <v>2021.0</v>
      </c>
      <c r="G333" s="1021">
        <v>4.12E-6</v>
      </c>
      <c r="H333" s="1021">
        <v>1.08E-6</v>
      </c>
      <c r="I333" s="1022">
        <v>1.03E-5</v>
      </c>
      <c r="K333" s="1031" t="s">
        <v>109</v>
      </c>
      <c r="L333" s="1032" t="s">
        <v>1047</v>
      </c>
      <c r="M333" s="1032" t="s">
        <v>1035</v>
      </c>
      <c r="N333" s="1032" t="s">
        <v>1045</v>
      </c>
      <c r="O333" s="1032">
        <v>2021.0</v>
      </c>
      <c r="P333" s="1032" t="s">
        <v>1039</v>
      </c>
      <c r="Q333" s="1033" t="s">
        <v>63</v>
      </c>
      <c r="R333" s="1034">
        <v>97592.76361</v>
      </c>
      <c r="S333" s="1034">
        <v>65039.05246</v>
      </c>
      <c r="T333" s="1035">
        <v>136490.408</v>
      </c>
      <c r="AB333" s="1045"/>
      <c r="AF333" s="225"/>
    </row>
    <row r="334">
      <c r="A334" s="1013"/>
      <c r="B334" s="1019" t="s">
        <v>128</v>
      </c>
      <c r="C334" s="1020" t="s">
        <v>1035</v>
      </c>
      <c r="D334" s="1020" t="s">
        <v>1043</v>
      </c>
      <c r="E334" s="1020" t="s">
        <v>539</v>
      </c>
      <c r="F334" s="1020">
        <v>2021.0</v>
      </c>
      <c r="G334" s="1021">
        <v>5.81E-6</v>
      </c>
      <c r="H334" s="1021">
        <v>1.28E-6</v>
      </c>
      <c r="I334" s="1022">
        <v>1.58E-5</v>
      </c>
      <c r="K334" s="1031" t="s">
        <v>146</v>
      </c>
      <c r="L334" s="1032" t="s">
        <v>1047</v>
      </c>
      <c r="M334" s="1032" t="s">
        <v>1035</v>
      </c>
      <c r="N334" s="1032" t="s">
        <v>1038</v>
      </c>
      <c r="O334" s="1032">
        <v>2021.0</v>
      </c>
      <c r="P334" s="1032" t="s">
        <v>1039</v>
      </c>
      <c r="Q334" s="1033" t="s">
        <v>63</v>
      </c>
      <c r="R334" s="1034">
        <v>439.0425063</v>
      </c>
      <c r="S334" s="1034">
        <v>196.2934385</v>
      </c>
      <c r="T334" s="1035">
        <v>958.9339133</v>
      </c>
      <c r="AB334" s="1045"/>
      <c r="AF334" s="225"/>
    </row>
    <row r="335">
      <c r="A335" s="1013"/>
      <c r="B335" s="1019" t="s">
        <v>128</v>
      </c>
      <c r="C335" s="1020" t="s">
        <v>1035</v>
      </c>
      <c r="D335" s="1020" t="s">
        <v>1045</v>
      </c>
      <c r="E335" s="1020" t="s">
        <v>539</v>
      </c>
      <c r="F335" s="1020">
        <v>2021.0</v>
      </c>
      <c r="G335" s="1021">
        <v>1.97E-5</v>
      </c>
      <c r="H335" s="1021">
        <v>7.08E-6</v>
      </c>
      <c r="I335" s="1022">
        <v>4.45E-5</v>
      </c>
      <c r="K335" s="1031" t="s">
        <v>146</v>
      </c>
      <c r="L335" s="1032" t="s">
        <v>1047</v>
      </c>
      <c r="M335" s="1032" t="s">
        <v>1035</v>
      </c>
      <c r="N335" s="1032" t="s">
        <v>1042</v>
      </c>
      <c r="O335" s="1032">
        <v>2021.0</v>
      </c>
      <c r="P335" s="1032" t="s">
        <v>1039</v>
      </c>
      <c r="Q335" s="1033" t="s">
        <v>63</v>
      </c>
      <c r="R335" s="1034">
        <v>54.05414163</v>
      </c>
      <c r="S335" s="1034">
        <v>27.42108425</v>
      </c>
      <c r="T335" s="1035">
        <v>98.67548394</v>
      </c>
      <c r="AB335" s="1045"/>
      <c r="AF335" s="225"/>
    </row>
    <row r="336">
      <c r="A336" s="1013"/>
      <c r="B336" s="1019" t="s">
        <v>129</v>
      </c>
      <c r="C336" s="1020" t="s">
        <v>1035</v>
      </c>
      <c r="D336" s="1020" t="s">
        <v>1036</v>
      </c>
      <c r="E336" s="1020" t="s">
        <v>539</v>
      </c>
      <c r="F336" s="1020">
        <v>2021.0</v>
      </c>
      <c r="G336" s="1021">
        <v>8.26E-6</v>
      </c>
      <c r="H336" s="1021">
        <v>3.53E-6</v>
      </c>
      <c r="I336" s="1022">
        <v>1.53E-5</v>
      </c>
      <c r="K336" s="1031" t="s">
        <v>146</v>
      </c>
      <c r="L336" s="1032" t="s">
        <v>1047</v>
      </c>
      <c r="M336" s="1032" t="s">
        <v>1035</v>
      </c>
      <c r="N336" s="1032" t="s">
        <v>1044</v>
      </c>
      <c r="O336" s="1032">
        <v>2021.0</v>
      </c>
      <c r="P336" s="1032" t="s">
        <v>1039</v>
      </c>
      <c r="Q336" s="1033" t="s">
        <v>63</v>
      </c>
      <c r="R336" s="1034">
        <v>65.92991123</v>
      </c>
      <c r="S336" s="1034">
        <v>30.71386944</v>
      </c>
      <c r="T336" s="1035">
        <v>133.9822265</v>
      </c>
      <c r="AB336" s="1045"/>
      <c r="AF336" s="225"/>
    </row>
    <row r="337">
      <c r="A337" s="1013"/>
      <c r="B337" s="1019" t="s">
        <v>129</v>
      </c>
      <c r="C337" s="1020" t="s">
        <v>1035</v>
      </c>
      <c r="D337" s="1020" t="s">
        <v>1041</v>
      </c>
      <c r="E337" s="1020" t="s">
        <v>539</v>
      </c>
      <c r="F337" s="1020">
        <v>2021.0</v>
      </c>
      <c r="G337" s="1021">
        <v>1.26E-5</v>
      </c>
      <c r="H337" s="1021">
        <v>3.13E-6</v>
      </c>
      <c r="I337" s="1022">
        <v>2.96E-5</v>
      </c>
      <c r="K337" s="1031" t="s">
        <v>146</v>
      </c>
      <c r="L337" s="1032" t="s">
        <v>1047</v>
      </c>
      <c r="M337" s="1032" t="s">
        <v>1035</v>
      </c>
      <c r="N337" s="1032" t="s">
        <v>1046</v>
      </c>
      <c r="O337" s="1032">
        <v>2021.0</v>
      </c>
      <c r="P337" s="1032" t="s">
        <v>1039</v>
      </c>
      <c r="Q337" s="1033" t="s">
        <v>63</v>
      </c>
      <c r="R337" s="1034">
        <v>794.3815585</v>
      </c>
      <c r="S337" s="1034">
        <v>381.6618148</v>
      </c>
      <c r="T337" s="1035">
        <v>1519.556134</v>
      </c>
      <c r="AB337" s="1045"/>
      <c r="AF337" s="225"/>
    </row>
    <row r="338">
      <c r="A338" s="1013"/>
      <c r="B338" s="1019" t="s">
        <v>129</v>
      </c>
      <c r="C338" s="1020" t="s">
        <v>1035</v>
      </c>
      <c r="D338" s="1020" t="s">
        <v>1043</v>
      </c>
      <c r="E338" s="1020" t="s">
        <v>539</v>
      </c>
      <c r="F338" s="1020">
        <v>2021.0</v>
      </c>
      <c r="G338" s="1021">
        <v>1.11E-5</v>
      </c>
      <c r="H338" s="1021">
        <v>2.61E-6</v>
      </c>
      <c r="I338" s="1022">
        <v>2.81E-5</v>
      </c>
      <c r="K338" s="1031" t="s">
        <v>146</v>
      </c>
      <c r="L338" s="1032" t="s">
        <v>1047</v>
      </c>
      <c r="M338" s="1032" t="s">
        <v>1035</v>
      </c>
      <c r="N338" s="1032" t="s">
        <v>1045</v>
      </c>
      <c r="O338" s="1032">
        <v>2021.0</v>
      </c>
      <c r="P338" s="1032" t="s">
        <v>1039</v>
      </c>
      <c r="Q338" s="1033" t="s">
        <v>63</v>
      </c>
      <c r="R338" s="1034">
        <v>1353.408118</v>
      </c>
      <c r="S338" s="1034">
        <v>729.7454801</v>
      </c>
      <c r="T338" s="1035">
        <v>2529.562145</v>
      </c>
      <c r="AB338" s="1045"/>
      <c r="AF338" s="225"/>
    </row>
    <row r="339">
      <c r="A339" s="1013"/>
      <c r="B339" s="1019" t="s">
        <v>129</v>
      </c>
      <c r="C339" s="1020" t="s">
        <v>1035</v>
      </c>
      <c r="D339" s="1020" t="s">
        <v>1045</v>
      </c>
      <c r="E339" s="1020" t="s">
        <v>539</v>
      </c>
      <c r="F339" s="1020">
        <v>2021.0</v>
      </c>
      <c r="G339" s="1021">
        <v>4.71E-5</v>
      </c>
      <c r="H339" s="1021">
        <v>1.47E-5</v>
      </c>
      <c r="I339" s="1022">
        <v>1.01853E-4</v>
      </c>
      <c r="K339" s="1031" t="s">
        <v>147</v>
      </c>
      <c r="L339" s="1032" t="s">
        <v>1047</v>
      </c>
      <c r="M339" s="1032" t="s">
        <v>1035</v>
      </c>
      <c r="N339" s="1032" t="s">
        <v>1038</v>
      </c>
      <c r="O339" s="1032">
        <v>2021.0</v>
      </c>
      <c r="P339" s="1032" t="s">
        <v>1039</v>
      </c>
      <c r="Q339" s="1033" t="s">
        <v>63</v>
      </c>
      <c r="R339" s="1034">
        <v>193.1882431</v>
      </c>
      <c r="S339" s="1034">
        <v>87.20108579</v>
      </c>
      <c r="T339" s="1035">
        <v>370.1823213</v>
      </c>
      <c r="AB339" s="1045"/>
      <c r="AF339" s="225"/>
    </row>
    <row r="340">
      <c r="A340" s="1013"/>
      <c r="B340" s="1019" t="s">
        <v>130</v>
      </c>
      <c r="C340" s="1020" t="s">
        <v>1035</v>
      </c>
      <c r="D340" s="1020" t="s">
        <v>1036</v>
      </c>
      <c r="E340" s="1020" t="s">
        <v>539</v>
      </c>
      <c r="F340" s="1020">
        <v>2021.0</v>
      </c>
      <c r="G340" s="1021">
        <v>1.75E-6</v>
      </c>
      <c r="H340" s="1021">
        <v>8.3E-7</v>
      </c>
      <c r="I340" s="1022">
        <v>3.23E-6</v>
      </c>
      <c r="K340" s="1031" t="s">
        <v>147</v>
      </c>
      <c r="L340" s="1032" t="s">
        <v>1047</v>
      </c>
      <c r="M340" s="1032" t="s">
        <v>1035</v>
      </c>
      <c r="N340" s="1032" t="s">
        <v>1042</v>
      </c>
      <c r="O340" s="1032">
        <v>2021.0</v>
      </c>
      <c r="P340" s="1032" t="s">
        <v>1039</v>
      </c>
      <c r="Q340" s="1033" t="s">
        <v>63</v>
      </c>
      <c r="R340" s="1034">
        <v>14.90727946</v>
      </c>
      <c r="S340" s="1034">
        <v>8.034312713</v>
      </c>
      <c r="T340" s="1035">
        <v>25.69225078</v>
      </c>
      <c r="AB340" s="1045"/>
      <c r="AF340" s="225"/>
    </row>
    <row r="341">
      <c r="A341" s="1013"/>
      <c r="B341" s="1019" t="s">
        <v>130</v>
      </c>
      <c r="C341" s="1020" t="s">
        <v>1035</v>
      </c>
      <c r="D341" s="1020" t="s">
        <v>1041</v>
      </c>
      <c r="E341" s="1020" t="s">
        <v>539</v>
      </c>
      <c r="F341" s="1020">
        <v>2021.0</v>
      </c>
      <c r="G341" s="1021">
        <v>1.97E-6</v>
      </c>
      <c r="H341" s="1021">
        <v>5.78E-7</v>
      </c>
      <c r="I341" s="1022">
        <v>4.34E-6</v>
      </c>
      <c r="K341" s="1031" t="s">
        <v>147</v>
      </c>
      <c r="L341" s="1032" t="s">
        <v>1047</v>
      </c>
      <c r="M341" s="1032" t="s">
        <v>1035</v>
      </c>
      <c r="N341" s="1032" t="s">
        <v>1044</v>
      </c>
      <c r="O341" s="1032">
        <v>2021.0</v>
      </c>
      <c r="P341" s="1032" t="s">
        <v>1039</v>
      </c>
      <c r="Q341" s="1033" t="s">
        <v>63</v>
      </c>
      <c r="R341" s="1034">
        <v>12.73943317</v>
      </c>
      <c r="S341" s="1034">
        <v>6.053173965</v>
      </c>
      <c r="T341" s="1035">
        <v>26.54279196</v>
      </c>
      <c r="AB341" s="1045"/>
      <c r="AF341" s="225"/>
    </row>
    <row r="342">
      <c r="A342" s="1013"/>
      <c r="B342" s="1019" t="s">
        <v>130</v>
      </c>
      <c r="C342" s="1020" t="s">
        <v>1035</v>
      </c>
      <c r="D342" s="1020" t="s">
        <v>1043</v>
      </c>
      <c r="E342" s="1020" t="s">
        <v>539</v>
      </c>
      <c r="F342" s="1020">
        <v>2021.0</v>
      </c>
      <c r="G342" s="1021">
        <v>1.8E-6</v>
      </c>
      <c r="H342" s="1021">
        <v>4.59E-7</v>
      </c>
      <c r="I342" s="1022">
        <v>4.26E-6</v>
      </c>
      <c r="K342" s="1031" t="s">
        <v>147</v>
      </c>
      <c r="L342" s="1032" t="s">
        <v>1047</v>
      </c>
      <c r="M342" s="1032" t="s">
        <v>1035</v>
      </c>
      <c r="N342" s="1032" t="s">
        <v>1046</v>
      </c>
      <c r="O342" s="1032">
        <v>2021.0</v>
      </c>
      <c r="P342" s="1032" t="s">
        <v>1039</v>
      </c>
      <c r="Q342" s="1033" t="s">
        <v>63</v>
      </c>
      <c r="R342" s="1034">
        <v>173.1987703</v>
      </c>
      <c r="S342" s="1034">
        <v>79.03389233</v>
      </c>
      <c r="T342" s="1035">
        <v>322.2302488</v>
      </c>
      <c r="AB342" s="1045"/>
      <c r="AF342" s="225"/>
    </row>
    <row r="343">
      <c r="A343" s="1013"/>
      <c r="B343" s="1019" t="s">
        <v>130</v>
      </c>
      <c r="C343" s="1020" t="s">
        <v>1035</v>
      </c>
      <c r="D343" s="1020" t="s">
        <v>1045</v>
      </c>
      <c r="E343" s="1020" t="s">
        <v>539</v>
      </c>
      <c r="F343" s="1020">
        <v>2021.0</v>
      </c>
      <c r="G343" s="1021">
        <v>6.97E-6</v>
      </c>
      <c r="H343" s="1021">
        <v>2.32E-6</v>
      </c>
      <c r="I343" s="1022">
        <v>1.55E-5</v>
      </c>
      <c r="K343" s="1031" t="s">
        <v>147</v>
      </c>
      <c r="L343" s="1032" t="s">
        <v>1047</v>
      </c>
      <c r="M343" s="1032" t="s">
        <v>1035</v>
      </c>
      <c r="N343" s="1032" t="s">
        <v>1045</v>
      </c>
      <c r="O343" s="1032">
        <v>2021.0</v>
      </c>
      <c r="P343" s="1032" t="s">
        <v>1039</v>
      </c>
      <c r="Q343" s="1033" t="s">
        <v>63</v>
      </c>
      <c r="R343" s="1034">
        <v>394.033726</v>
      </c>
      <c r="S343" s="1034">
        <v>198.2801578</v>
      </c>
      <c r="T343" s="1035">
        <v>724.0880345</v>
      </c>
      <c r="AB343" s="1045"/>
      <c r="AF343" s="225"/>
    </row>
    <row r="344">
      <c r="A344" s="1013"/>
      <c r="B344" s="1019" t="s">
        <v>131</v>
      </c>
      <c r="C344" s="1020" t="s">
        <v>1035</v>
      </c>
      <c r="D344" s="1020" t="s">
        <v>1036</v>
      </c>
      <c r="E344" s="1020" t="s">
        <v>539</v>
      </c>
      <c r="F344" s="1020">
        <v>2021.0</v>
      </c>
      <c r="G344" s="1021">
        <v>1.85E-6</v>
      </c>
      <c r="H344" s="1021">
        <v>8.29E-7</v>
      </c>
      <c r="I344" s="1022">
        <v>3.43E-6</v>
      </c>
      <c r="K344" s="1031" t="s">
        <v>148</v>
      </c>
      <c r="L344" s="1032" t="s">
        <v>1047</v>
      </c>
      <c r="M344" s="1032" t="s">
        <v>1035</v>
      </c>
      <c r="N344" s="1032" t="s">
        <v>1038</v>
      </c>
      <c r="O344" s="1032">
        <v>2021.0</v>
      </c>
      <c r="P344" s="1032" t="s">
        <v>1039</v>
      </c>
      <c r="Q344" s="1033" t="s">
        <v>63</v>
      </c>
      <c r="R344" s="1034">
        <v>83.1756413</v>
      </c>
      <c r="S344" s="1034">
        <v>30.21112554</v>
      </c>
      <c r="T344" s="1035">
        <v>186.8261342</v>
      </c>
      <c r="AB344" s="1045"/>
      <c r="AF344" s="225"/>
    </row>
    <row r="345">
      <c r="A345" s="1013"/>
      <c r="B345" s="1019" t="s">
        <v>131</v>
      </c>
      <c r="C345" s="1020" t="s">
        <v>1035</v>
      </c>
      <c r="D345" s="1020" t="s">
        <v>1041</v>
      </c>
      <c r="E345" s="1020" t="s">
        <v>539</v>
      </c>
      <c r="F345" s="1020">
        <v>2021.0</v>
      </c>
      <c r="G345" s="1021">
        <v>2.21E-6</v>
      </c>
      <c r="H345" s="1021">
        <v>5.48E-7</v>
      </c>
      <c r="I345" s="1022">
        <v>5.5E-6</v>
      </c>
      <c r="K345" s="1031" t="s">
        <v>148</v>
      </c>
      <c r="L345" s="1032" t="s">
        <v>1047</v>
      </c>
      <c r="M345" s="1032" t="s">
        <v>1035</v>
      </c>
      <c r="N345" s="1032" t="s">
        <v>1042</v>
      </c>
      <c r="O345" s="1032">
        <v>2021.0</v>
      </c>
      <c r="P345" s="1032" t="s">
        <v>1039</v>
      </c>
      <c r="Q345" s="1033" t="s">
        <v>63</v>
      </c>
      <c r="R345" s="1034">
        <v>12.16089506</v>
      </c>
      <c r="S345" s="1034">
        <v>6.155956654</v>
      </c>
      <c r="T345" s="1035">
        <v>22.45303949</v>
      </c>
      <c r="AB345" s="1045"/>
      <c r="AF345" s="225"/>
    </row>
    <row r="346">
      <c r="A346" s="1013"/>
      <c r="B346" s="1019" t="s">
        <v>131</v>
      </c>
      <c r="C346" s="1020" t="s">
        <v>1035</v>
      </c>
      <c r="D346" s="1020" t="s">
        <v>1043</v>
      </c>
      <c r="E346" s="1020" t="s">
        <v>539</v>
      </c>
      <c r="F346" s="1020">
        <v>2021.0</v>
      </c>
      <c r="G346" s="1021">
        <v>2.39E-6</v>
      </c>
      <c r="H346" s="1021">
        <v>5.24E-7</v>
      </c>
      <c r="I346" s="1022">
        <v>6.17E-6</v>
      </c>
      <c r="K346" s="1031" t="s">
        <v>148</v>
      </c>
      <c r="L346" s="1032" t="s">
        <v>1047</v>
      </c>
      <c r="M346" s="1032" t="s">
        <v>1035</v>
      </c>
      <c r="N346" s="1032" t="s">
        <v>1044</v>
      </c>
      <c r="O346" s="1032">
        <v>2021.0</v>
      </c>
      <c r="P346" s="1032" t="s">
        <v>1039</v>
      </c>
      <c r="Q346" s="1033" t="s">
        <v>63</v>
      </c>
      <c r="R346" s="1034">
        <v>12.63519598</v>
      </c>
      <c r="S346" s="1034">
        <v>5.166341938</v>
      </c>
      <c r="T346" s="1035">
        <v>27.04239087</v>
      </c>
      <c r="AB346" s="1045"/>
      <c r="AF346" s="225"/>
    </row>
    <row r="347">
      <c r="A347" s="1013"/>
      <c r="B347" s="1019" t="s">
        <v>131</v>
      </c>
      <c r="C347" s="1020" t="s">
        <v>1035</v>
      </c>
      <c r="D347" s="1020" t="s">
        <v>1045</v>
      </c>
      <c r="E347" s="1020" t="s">
        <v>539</v>
      </c>
      <c r="F347" s="1020">
        <v>2021.0</v>
      </c>
      <c r="G347" s="1021">
        <v>9.24E-6</v>
      </c>
      <c r="H347" s="1021">
        <v>2.68E-6</v>
      </c>
      <c r="I347" s="1022">
        <v>2.18E-5</v>
      </c>
      <c r="K347" s="1031" t="s">
        <v>148</v>
      </c>
      <c r="L347" s="1032" t="s">
        <v>1047</v>
      </c>
      <c r="M347" s="1032" t="s">
        <v>1035</v>
      </c>
      <c r="N347" s="1032" t="s">
        <v>1046</v>
      </c>
      <c r="O347" s="1032">
        <v>2021.0</v>
      </c>
      <c r="P347" s="1032" t="s">
        <v>1039</v>
      </c>
      <c r="Q347" s="1033" t="s">
        <v>63</v>
      </c>
      <c r="R347" s="1034">
        <v>145.3329797</v>
      </c>
      <c r="S347" s="1034">
        <v>56.87465078</v>
      </c>
      <c r="T347" s="1035">
        <v>302.9505358</v>
      </c>
      <c r="AB347" s="1045"/>
      <c r="AF347" s="225"/>
    </row>
    <row r="348">
      <c r="A348" s="1013"/>
      <c r="B348" s="1019" t="s">
        <v>132</v>
      </c>
      <c r="C348" s="1020" t="s">
        <v>1035</v>
      </c>
      <c r="D348" s="1020" t="s">
        <v>1036</v>
      </c>
      <c r="E348" s="1020" t="s">
        <v>539</v>
      </c>
      <c r="F348" s="1020">
        <v>2021.0</v>
      </c>
      <c r="G348" s="1021">
        <v>2.24E-6</v>
      </c>
      <c r="H348" s="1021">
        <v>1.03E-6</v>
      </c>
      <c r="I348" s="1022">
        <v>4.14E-6</v>
      </c>
      <c r="K348" s="1031" t="s">
        <v>148</v>
      </c>
      <c r="L348" s="1032" t="s">
        <v>1047</v>
      </c>
      <c r="M348" s="1032" t="s">
        <v>1035</v>
      </c>
      <c r="N348" s="1032" t="s">
        <v>1045</v>
      </c>
      <c r="O348" s="1032">
        <v>2021.0</v>
      </c>
      <c r="P348" s="1032" t="s">
        <v>1039</v>
      </c>
      <c r="Q348" s="1033" t="s">
        <v>63</v>
      </c>
      <c r="R348" s="1034">
        <v>253.304712</v>
      </c>
      <c r="S348" s="1034">
        <v>110.0359399</v>
      </c>
      <c r="T348" s="1035">
        <v>494.6951401</v>
      </c>
      <c r="AB348" s="1045"/>
      <c r="AF348" s="225"/>
    </row>
    <row r="349">
      <c r="A349" s="1013"/>
      <c r="B349" s="1019" t="s">
        <v>132</v>
      </c>
      <c r="C349" s="1020" t="s">
        <v>1035</v>
      </c>
      <c r="D349" s="1020" t="s">
        <v>1041</v>
      </c>
      <c r="E349" s="1020" t="s">
        <v>539</v>
      </c>
      <c r="F349" s="1020">
        <v>2021.0</v>
      </c>
      <c r="G349" s="1021">
        <v>2.4E-6</v>
      </c>
      <c r="H349" s="1021">
        <v>6.81E-7</v>
      </c>
      <c r="I349" s="1022">
        <v>5.75E-6</v>
      </c>
      <c r="K349" s="1031" t="s">
        <v>149</v>
      </c>
      <c r="L349" s="1032" t="s">
        <v>1047</v>
      </c>
      <c r="M349" s="1032" t="s">
        <v>1035</v>
      </c>
      <c r="N349" s="1032" t="s">
        <v>1038</v>
      </c>
      <c r="O349" s="1032">
        <v>2021.0</v>
      </c>
      <c r="P349" s="1032" t="s">
        <v>1039</v>
      </c>
      <c r="Q349" s="1033" t="s">
        <v>63</v>
      </c>
      <c r="R349" s="1034">
        <v>157.8546296</v>
      </c>
      <c r="S349" s="1034">
        <v>65.76456341</v>
      </c>
      <c r="T349" s="1035">
        <v>328.1961703</v>
      </c>
      <c r="AB349" s="1045"/>
      <c r="AF349" s="225"/>
    </row>
    <row r="350">
      <c r="A350" s="1013"/>
      <c r="B350" s="1019" t="s">
        <v>132</v>
      </c>
      <c r="C350" s="1020" t="s">
        <v>1035</v>
      </c>
      <c r="D350" s="1020" t="s">
        <v>1043</v>
      </c>
      <c r="E350" s="1020" t="s">
        <v>539</v>
      </c>
      <c r="F350" s="1020">
        <v>2021.0</v>
      </c>
      <c r="G350" s="1021">
        <v>3.31E-6</v>
      </c>
      <c r="H350" s="1021">
        <v>7.88E-7</v>
      </c>
      <c r="I350" s="1022">
        <v>8.12E-6</v>
      </c>
      <c r="K350" s="1031" t="s">
        <v>149</v>
      </c>
      <c r="L350" s="1032" t="s">
        <v>1047</v>
      </c>
      <c r="M350" s="1032" t="s">
        <v>1035</v>
      </c>
      <c r="N350" s="1032" t="s">
        <v>1042</v>
      </c>
      <c r="O350" s="1032">
        <v>2021.0</v>
      </c>
      <c r="P350" s="1032" t="s">
        <v>1039</v>
      </c>
      <c r="Q350" s="1033" t="s">
        <v>63</v>
      </c>
      <c r="R350" s="1034">
        <v>16.02194237</v>
      </c>
      <c r="S350" s="1034">
        <v>8.015733467</v>
      </c>
      <c r="T350" s="1035">
        <v>28.79902204</v>
      </c>
      <c r="AB350" s="1045"/>
      <c r="AF350" s="225"/>
    </row>
    <row r="351">
      <c r="A351" s="1013"/>
      <c r="B351" s="1019" t="s">
        <v>132</v>
      </c>
      <c r="C351" s="1020" t="s">
        <v>1035</v>
      </c>
      <c r="D351" s="1020" t="s">
        <v>1045</v>
      </c>
      <c r="E351" s="1020" t="s">
        <v>539</v>
      </c>
      <c r="F351" s="1020">
        <v>2021.0</v>
      </c>
      <c r="G351" s="1021">
        <v>1.09E-5</v>
      </c>
      <c r="H351" s="1021">
        <v>3.62E-6</v>
      </c>
      <c r="I351" s="1022">
        <v>2.37E-5</v>
      </c>
      <c r="K351" s="1031" t="s">
        <v>149</v>
      </c>
      <c r="L351" s="1032" t="s">
        <v>1047</v>
      </c>
      <c r="M351" s="1032" t="s">
        <v>1035</v>
      </c>
      <c r="N351" s="1032" t="s">
        <v>1044</v>
      </c>
      <c r="O351" s="1032">
        <v>2021.0</v>
      </c>
      <c r="P351" s="1032" t="s">
        <v>1039</v>
      </c>
      <c r="Q351" s="1033" t="s">
        <v>63</v>
      </c>
      <c r="R351" s="1034">
        <v>6.490274099</v>
      </c>
      <c r="S351" s="1034">
        <v>2.360600043</v>
      </c>
      <c r="T351" s="1035">
        <v>15.60879597</v>
      </c>
      <c r="AB351" s="1045"/>
      <c r="AF351" s="225"/>
    </row>
    <row r="352">
      <c r="A352" s="1013"/>
      <c r="B352" s="1019" t="s">
        <v>133</v>
      </c>
      <c r="C352" s="1020" t="s">
        <v>1035</v>
      </c>
      <c r="D352" s="1020" t="s">
        <v>1036</v>
      </c>
      <c r="E352" s="1020" t="s">
        <v>539</v>
      </c>
      <c r="F352" s="1020">
        <v>2021.0</v>
      </c>
      <c r="G352" s="1021">
        <v>1.15E-6</v>
      </c>
      <c r="H352" s="1021">
        <v>5.0E-7</v>
      </c>
      <c r="I352" s="1022">
        <v>2.16E-6</v>
      </c>
      <c r="K352" s="1031" t="s">
        <v>149</v>
      </c>
      <c r="L352" s="1032" t="s">
        <v>1047</v>
      </c>
      <c r="M352" s="1032" t="s">
        <v>1035</v>
      </c>
      <c r="N352" s="1032" t="s">
        <v>1046</v>
      </c>
      <c r="O352" s="1032">
        <v>2021.0</v>
      </c>
      <c r="P352" s="1032" t="s">
        <v>1039</v>
      </c>
      <c r="Q352" s="1033" t="s">
        <v>63</v>
      </c>
      <c r="R352" s="1034">
        <v>195.178049</v>
      </c>
      <c r="S352" s="1034">
        <v>84.38416845</v>
      </c>
      <c r="T352" s="1035">
        <v>400.8110494</v>
      </c>
      <c r="AB352" s="1045"/>
      <c r="AF352" s="225"/>
    </row>
    <row r="353">
      <c r="A353" s="1013"/>
      <c r="B353" s="1019" t="s">
        <v>133</v>
      </c>
      <c r="C353" s="1020" t="s">
        <v>1035</v>
      </c>
      <c r="D353" s="1020" t="s">
        <v>1041</v>
      </c>
      <c r="E353" s="1020" t="s">
        <v>539</v>
      </c>
      <c r="F353" s="1020">
        <v>2021.0</v>
      </c>
      <c r="G353" s="1021">
        <v>1.45E-6</v>
      </c>
      <c r="H353" s="1021">
        <v>3.68E-7</v>
      </c>
      <c r="I353" s="1022">
        <v>3.43E-6</v>
      </c>
      <c r="K353" s="1031" t="s">
        <v>149</v>
      </c>
      <c r="L353" s="1032" t="s">
        <v>1047</v>
      </c>
      <c r="M353" s="1032" t="s">
        <v>1035</v>
      </c>
      <c r="N353" s="1032" t="s">
        <v>1045</v>
      </c>
      <c r="O353" s="1032">
        <v>2021.0</v>
      </c>
      <c r="P353" s="1032" t="s">
        <v>1039</v>
      </c>
      <c r="Q353" s="1033" t="s">
        <v>63</v>
      </c>
      <c r="R353" s="1034">
        <v>375.5448951</v>
      </c>
      <c r="S353" s="1034">
        <v>170.8254939</v>
      </c>
      <c r="T353" s="1035">
        <v>741.645039</v>
      </c>
      <c r="AB353" s="1045"/>
      <c r="AF353" s="225"/>
    </row>
    <row r="354">
      <c r="A354" s="1013"/>
      <c r="B354" s="1019" t="s">
        <v>133</v>
      </c>
      <c r="C354" s="1020" t="s">
        <v>1035</v>
      </c>
      <c r="D354" s="1020" t="s">
        <v>1043</v>
      </c>
      <c r="E354" s="1020" t="s">
        <v>539</v>
      </c>
      <c r="F354" s="1020">
        <v>2021.0</v>
      </c>
      <c r="G354" s="1021">
        <v>1.29E-6</v>
      </c>
      <c r="H354" s="1021">
        <v>3.13E-7</v>
      </c>
      <c r="I354" s="1022">
        <v>3.09E-6</v>
      </c>
      <c r="K354" s="1031" t="s">
        <v>150</v>
      </c>
      <c r="L354" s="1032" t="s">
        <v>1047</v>
      </c>
      <c r="M354" s="1032" t="s">
        <v>1035</v>
      </c>
      <c r="N354" s="1032" t="s">
        <v>1038</v>
      </c>
      <c r="O354" s="1032">
        <v>2021.0</v>
      </c>
      <c r="P354" s="1032" t="s">
        <v>1039</v>
      </c>
      <c r="Q354" s="1033" t="s">
        <v>63</v>
      </c>
      <c r="R354" s="1034">
        <v>609.7215139</v>
      </c>
      <c r="S354" s="1034">
        <v>273.4731537</v>
      </c>
      <c r="T354" s="1035">
        <v>1105.096453</v>
      </c>
      <c r="AB354" s="1045"/>
      <c r="AF354" s="225"/>
    </row>
    <row r="355">
      <c r="A355" s="1013"/>
      <c r="B355" s="1019" t="s">
        <v>133</v>
      </c>
      <c r="C355" s="1020" t="s">
        <v>1035</v>
      </c>
      <c r="D355" s="1020" t="s">
        <v>1045</v>
      </c>
      <c r="E355" s="1020" t="s">
        <v>539</v>
      </c>
      <c r="F355" s="1020">
        <v>2021.0</v>
      </c>
      <c r="G355" s="1021">
        <v>7.59E-6</v>
      </c>
      <c r="H355" s="1021">
        <v>2.17E-6</v>
      </c>
      <c r="I355" s="1022">
        <v>1.86E-5</v>
      </c>
      <c r="K355" s="1031" t="s">
        <v>150</v>
      </c>
      <c r="L355" s="1032" t="s">
        <v>1047</v>
      </c>
      <c r="M355" s="1032" t="s">
        <v>1035</v>
      </c>
      <c r="N355" s="1032" t="s">
        <v>1042</v>
      </c>
      <c r="O355" s="1032">
        <v>2021.0</v>
      </c>
      <c r="P355" s="1032" t="s">
        <v>1039</v>
      </c>
      <c r="Q355" s="1033" t="s">
        <v>63</v>
      </c>
      <c r="R355" s="1034">
        <v>73.49630531</v>
      </c>
      <c r="S355" s="1034">
        <v>40.99093414</v>
      </c>
      <c r="T355" s="1035">
        <v>124.7733568</v>
      </c>
      <c r="AB355" s="1045"/>
      <c r="AF355" s="225"/>
    </row>
    <row r="356">
      <c r="A356" s="1013"/>
      <c r="B356" s="1019" t="s">
        <v>134</v>
      </c>
      <c r="C356" s="1020" t="s">
        <v>1035</v>
      </c>
      <c r="D356" s="1020" t="s">
        <v>1036</v>
      </c>
      <c r="E356" s="1020" t="s">
        <v>539</v>
      </c>
      <c r="F356" s="1020">
        <v>2021.0</v>
      </c>
      <c r="G356" s="1021">
        <v>8.56E-7</v>
      </c>
      <c r="H356" s="1021">
        <v>3.55E-7</v>
      </c>
      <c r="I356" s="1022">
        <v>1.68E-6</v>
      </c>
      <c r="K356" s="1031" t="s">
        <v>150</v>
      </c>
      <c r="L356" s="1032" t="s">
        <v>1047</v>
      </c>
      <c r="M356" s="1032" t="s">
        <v>1035</v>
      </c>
      <c r="N356" s="1032" t="s">
        <v>1044</v>
      </c>
      <c r="O356" s="1032">
        <v>2021.0</v>
      </c>
      <c r="P356" s="1032" t="s">
        <v>1039</v>
      </c>
      <c r="Q356" s="1033" t="s">
        <v>63</v>
      </c>
      <c r="R356" s="1034">
        <v>90.22663128</v>
      </c>
      <c r="S356" s="1034">
        <v>47.0826663</v>
      </c>
      <c r="T356" s="1035">
        <v>148.9219208</v>
      </c>
      <c r="AB356" s="1045"/>
      <c r="AF356" s="225"/>
    </row>
    <row r="357">
      <c r="A357" s="1013"/>
      <c r="B357" s="1019" t="s">
        <v>134</v>
      </c>
      <c r="C357" s="1020" t="s">
        <v>1035</v>
      </c>
      <c r="D357" s="1020" t="s">
        <v>1041</v>
      </c>
      <c r="E357" s="1020" t="s">
        <v>539</v>
      </c>
      <c r="F357" s="1020">
        <v>2021.0</v>
      </c>
      <c r="G357" s="1021">
        <v>9.39E-7</v>
      </c>
      <c r="H357" s="1021">
        <v>2.65E-7</v>
      </c>
      <c r="I357" s="1022">
        <v>2.14E-6</v>
      </c>
      <c r="K357" s="1031" t="s">
        <v>150</v>
      </c>
      <c r="L357" s="1032" t="s">
        <v>1047</v>
      </c>
      <c r="M357" s="1032" t="s">
        <v>1035</v>
      </c>
      <c r="N357" s="1032" t="s">
        <v>1046</v>
      </c>
      <c r="O357" s="1032">
        <v>2021.0</v>
      </c>
      <c r="P357" s="1032" t="s">
        <v>1039</v>
      </c>
      <c r="Q357" s="1033" t="s">
        <v>63</v>
      </c>
      <c r="R357" s="1034">
        <v>1540.42804</v>
      </c>
      <c r="S357" s="1034">
        <v>864.5426363</v>
      </c>
      <c r="T357" s="1035">
        <v>2403.35041</v>
      </c>
      <c r="AB357" s="1045"/>
      <c r="AF357" s="225"/>
    </row>
    <row r="358">
      <c r="A358" s="1013"/>
      <c r="B358" s="1019" t="s">
        <v>134</v>
      </c>
      <c r="C358" s="1020" t="s">
        <v>1035</v>
      </c>
      <c r="D358" s="1020" t="s">
        <v>1043</v>
      </c>
      <c r="E358" s="1020" t="s">
        <v>539</v>
      </c>
      <c r="F358" s="1020">
        <v>2021.0</v>
      </c>
      <c r="G358" s="1021">
        <v>9.22E-7</v>
      </c>
      <c r="H358" s="1021">
        <v>1.96E-7</v>
      </c>
      <c r="I358" s="1022">
        <v>2.36E-6</v>
      </c>
      <c r="K358" s="1031" t="s">
        <v>150</v>
      </c>
      <c r="L358" s="1032" t="s">
        <v>1047</v>
      </c>
      <c r="M358" s="1032" t="s">
        <v>1035</v>
      </c>
      <c r="N358" s="1032" t="s">
        <v>1045</v>
      </c>
      <c r="O358" s="1032">
        <v>2021.0</v>
      </c>
      <c r="P358" s="1032" t="s">
        <v>1039</v>
      </c>
      <c r="Q358" s="1033" t="s">
        <v>63</v>
      </c>
      <c r="R358" s="1034">
        <v>2313.872491</v>
      </c>
      <c r="S358" s="1034">
        <v>1291.328608</v>
      </c>
      <c r="T358" s="1035">
        <v>3596.07242</v>
      </c>
      <c r="AB358" s="1045"/>
      <c r="AF358" s="225"/>
    </row>
    <row r="359">
      <c r="A359" s="1013"/>
      <c r="B359" s="1019" t="s">
        <v>134</v>
      </c>
      <c r="C359" s="1020" t="s">
        <v>1035</v>
      </c>
      <c r="D359" s="1020" t="s">
        <v>1045</v>
      </c>
      <c r="E359" s="1020" t="s">
        <v>539</v>
      </c>
      <c r="F359" s="1020">
        <v>2021.0</v>
      </c>
      <c r="G359" s="1021">
        <v>4.02E-6</v>
      </c>
      <c r="H359" s="1021">
        <v>1.09E-6</v>
      </c>
      <c r="I359" s="1022">
        <v>9.49E-6</v>
      </c>
      <c r="K359" s="1031" t="s">
        <v>151</v>
      </c>
      <c r="L359" s="1032" t="s">
        <v>1047</v>
      </c>
      <c r="M359" s="1032" t="s">
        <v>1035</v>
      </c>
      <c r="N359" s="1032" t="s">
        <v>1038</v>
      </c>
      <c r="O359" s="1032">
        <v>2021.0</v>
      </c>
      <c r="P359" s="1032" t="s">
        <v>1039</v>
      </c>
      <c r="Q359" s="1033" t="s">
        <v>63</v>
      </c>
      <c r="R359" s="1034">
        <v>183.1503538</v>
      </c>
      <c r="S359" s="1034">
        <v>67.34293458</v>
      </c>
      <c r="T359" s="1035">
        <v>405.7774293</v>
      </c>
      <c r="AB359" s="1045"/>
      <c r="AF359" s="225"/>
    </row>
    <row r="360">
      <c r="A360" s="1013"/>
      <c r="B360" s="1019" t="s">
        <v>135</v>
      </c>
      <c r="C360" s="1020" t="s">
        <v>1035</v>
      </c>
      <c r="D360" s="1020" t="s">
        <v>1036</v>
      </c>
      <c r="E360" s="1020" t="s">
        <v>539</v>
      </c>
      <c r="F360" s="1020">
        <v>2021.0</v>
      </c>
      <c r="G360" s="1021">
        <v>1.27E-6</v>
      </c>
      <c r="H360" s="1021">
        <v>4.96E-7</v>
      </c>
      <c r="I360" s="1022">
        <v>2.47E-6</v>
      </c>
      <c r="K360" s="1031" t="s">
        <v>151</v>
      </c>
      <c r="L360" s="1032" t="s">
        <v>1047</v>
      </c>
      <c r="M360" s="1032" t="s">
        <v>1035</v>
      </c>
      <c r="N360" s="1032" t="s">
        <v>1042</v>
      </c>
      <c r="O360" s="1032">
        <v>2021.0</v>
      </c>
      <c r="P360" s="1032" t="s">
        <v>1039</v>
      </c>
      <c r="Q360" s="1033" t="s">
        <v>63</v>
      </c>
      <c r="R360" s="1034">
        <v>14.11847333</v>
      </c>
      <c r="S360" s="1034">
        <v>7.320002124</v>
      </c>
      <c r="T360" s="1035">
        <v>26.5556111</v>
      </c>
      <c r="AB360" s="1045"/>
      <c r="AF360" s="225"/>
    </row>
    <row r="361">
      <c r="A361" s="1013"/>
      <c r="B361" s="1019" t="s">
        <v>135</v>
      </c>
      <c r="C361" s="1020" t="s">
        <v>1035</v>
      </c>
      <c r="D361" s="1020" t="s">
        <v>1041</v>
      </c>
      <c r="E361" s="1020" t="s">
        <v>539</v>
      </c>
      <c r="F361" s="1020">
        <v>2021.0</v>
      </c>
      <c r="G361" s="1021">
        <v>1.53E-6</v>
      </c>
      <c r="H361" s="1021">
        <v>3.79E-7</v>
      </c>
      <c r="I361" s="1022">
        <v>3.6E-6</v>
      </c>
      <c r="K361" s="1031" t="s">
        <v>151</v>
      </c>
      <c r="L361" s="1032" t="s">
        <v>1047</v>
      </c>
      <c r="M361" s="1032" t="s">
        <v>1035</v>
      </c>
      <c r="N361" s="1032" t="s">
        <v>1044</v>
      </c>
      <c r="O361" s="1032">
        <v>2021.0</v>
      </c>
      <c r="P361" s="1032" t="s">
        <v>1039</v>
      </c>
      <c r="Q361" s="1033" t="s">
        <v>63</v>
      </c>
      <c r="R361" s="1034">
        <v>11.50997047</v>
      </c>
      <c r="S361" s="1034">
        <v>4.511481482</v>
      </c>
      <c r="T361" s="1035">
        <v>24.7688945</v>
      </c>
      <c r="AB361" s="1045"/>
      <c r="AF361" s="225"/>
    </row>
    <row r="362">
      <c r="A362" s="1013"/>
      <c r="B362" s="1019" t="s">
        <v>135</v>
      </c>
      <c r="C362" s="1020" t="s">
        <v>1035</v>
      </c>
      <c r="D362" s="1020" t="s">
        <v>1043</v>
      </c>
      <c r="E362" s="1020" t="s">
        <v>539</v>
      </c>
      <c r="F362" s="1020">
        <v>2021.0</v>
      </c>
      <c r="G362" s="1021">
        <v>1.21E-6</v>
      </c>
      <c r="H362" s="1021">
        <v>3.11E-7</v>
      </c>
      <c r="I362" s="1022">
        <v>2.76E-6</v>
      </c>
      <c r="K362" s="1031" t="s">
        <v>151</v>
      </c>
      <c r="L362" s="1032" t="s">
        <v>1047</v>
      </c>
      <c r="M362" s="1032" t="s">
        <v>1035</v>
      </c>
      <c r="N362" s="1032" t="s">
        <v>1046</v>
      </c>
      <c r="O362" s="1032">
        <v>2021.0</v>
      </c>
      <c r="P362" s="1032" t="s">
        <v>1039</v>
      </c>
      <c r="Q362" s="1033" t="s">
        <v>63</v>
      </c>
      <c r="R362" s="1034">
        <v>237.8964504</v>
      </c>
      <c r="S362" s="1034">
        <v>106.9550446</v>
      </c>
      <c r="T362" s="1035">
        <v>483.4811833</v>
      </c>
      <c r="AB362" s="1045"/>
      <c r="AF362" s="225"/>
    </row>
    <row r="363">
      <c r="A363" s="1013"/>
      <c r="B363" s="1019" t="s">
        <v>135</v>
      </c>
      <c r="C363" s="1020" t="s">
        <v>1035</v>
      </c>
      <c r="D363" s="1020" t="s">
        <v>1045</v>
      </c>
      <c r="E363" s="1020" t="s">
        <v>539</v>
      </c>
      <c r="F363" s="1020">
        <v>2021.0</v>
      </c>
      <c r="G363" s="1021">
        <v>3.45E-6</v>
      </c>
      <c r="H363" s="1021">
        <v>8.58E-7</v>
      </c>
      <c r="I363" s="1022">
        <v>7.78E-6</v>
      </c>
      <c r="K363" s="1031" t="s">
        <v>151</v>
      </c>
      <c r="L363" s="1032" t="s">
        <v>1047</v>
      </c>
      <c r="M363" s="1032" t="s">
        <v>1035</v>
      </c>
      <c r="N363" s="1032" t="s">
        <v>1045</v>
      </c>
      <c r="O363" s="1032">
        <v>2021.0</v>
      </c>
      <c r="P363" s="1032" t="s">
        <v>1039</v>
      </c>
      <c r="Q363" s="1033" t="s">
        <v>63</v>
      </c>
      <c r="R363" s="1034">
        <v>446.675248</v>
      </c>
      <c r="S363" s="1034">
        <v>195.6639856</v>
      </c>
      <c r="T363" s="1035">
        <v>877.3689594</v>
      </c>
      <c r="AB363" s="1045"/>
      <c r="AF363" s="225"/>
    </row>
    <row r="364">
      <c r="A364" s="1013"/>
      <c r="B364" s="1019" t="s">
        <v>136</v>
      </c>
      <c r="C364" s="1020" t="s">
        <v>1035</v>
      </c>
      <c r="D364" s="1020" t="s">
        <v>1036</v>
      </c>
      <c r="E364" s="1020" t="s">
        <v>539</v>
      </c>
      <c r="F364" s="1020">
        <v>2021.0</v>
      </c>
      <c r="G364" s="1021">
        <v>1.5E-6</v>
      </c>
      <c r="H364" s="1021">
        <v>5.9E-7</v>
      </c>
      <c r="I364" s="1022">
        <v>2.74E-6</v>
      </c>
      <c r="K364" s="1031" t="s">
        <v>121</v>
      </c>
      <c r="L364" s="1032" t="s">
        <v>1047</v>
      </c>
      <c r="M364" s="1032" t="s">
        <v>1035</v>
      </c>
      <c r="N364" s="1032" t="s">
        <v>1038</v>
      </c>
      <c r="O364" s="1032">
        <v>2021.0</v>
      </c>
      <c r="P364" s="1032" t="s">
        <v>1039</v>
      </c>
      <c r="Q364" s="1033" t="s">
        <v>63</v>
      </c>
      <c r="R364" s="1034">
        <v>5074.224557</v>
      </c>
      <c r="S364" s="1034">
        <v>3045.055542</v>
      </c>
      <c r="T364" s="1035">
        <v>7363.826908</v>
      </c>
      <c r="AB364" s="1045"/>
      <c r="AF364" s="225"/>
    </row>
    <row r="365">
      <c r="A365" s="1013"/>
      <c r="B365" s="1019" t="s">
        <v>136</v>
      </c>
      <c r="C365" s="1020" t="s">
        <v>1035</v>
      </c>
      <c r="D365" s="1020" t="s">
        <v>1041</v>
      </c>
      <c r="E365" s="1020" t="s">
        <v>539</v>
      </c>
      <c r="F365" s="1020">
        <v>2021.0</v>
      </c>
      <c r="G365" s="1021">
        <v>2.1E-6</v>
      </c>
      <c r="H365" s="1021">
        <v>5.12E-7</v>
      </c>
      <c r="I365" s="1022">
        <v>5.11E-6</v>
      </c>
      <c r="K365" s="1031" t="s">
        <v>121</v>
      </c>
      <c r="L365" s="1032" t="s">
        <v>1047</v>
      </c>
      <c r="M365" s="1032" t="s">
        <v>1035</v>
      </c>
      <c r="N365" s="1032" t="s">
        <v>1042</v>
      </c>
      <c r="O365" s="1032">
        <v>2021.0</v>
      </c>
      <c r="P365" s="1032" t="s">
        <v>1039</v>
      </c>
      <c r="Q365" s="1033" t="s">
        <v>63</v>
      </c>
      <c r="R365" s="1034">
        <v>194.8961882</v>
      </c>
      <c r="S365" s="1034">
        <v>85.31501968</v>
      </c>
      <c r="T365" s="1035">
        <v>322.1784936</v>
      </c>
      <c r="AB365" s="1045"/>
      <c r="AF365" s="225"/>
    </row>
    <row r="366">
      <c r="A366" s="1013"/>
      <c r="B366" s="1019" t="s">
        <v>136</v>
      </c>
      <c r="C366" s="1020" t="s">
        <v>1035</v>
      </c>
      <c r="D366" s="1020" t="s">
        <v>1043</v>
      </c>
      <c r="E366" s="1020" t="s">
        <v>539</v>
      </c>
      <c r="F366" s="1020">
        <v>2021.0</v>
      </c>
      <c r="G366" s="1021">
        <v>2.29E-6</v>
      </c>
      <c r="H366" s="1021">
        <v>5.21E-7</v>
      </c>
      <c r="I366" s="1022">
        <v>5.54E-6</v>
      </c>
      <c r="K366" s="1031" t="s">
        <v>121</v>
      </c>
      <c r="L366" s="1032" t="s">
        <v>1047</v>
      </c>
      <c r="M366" s="1032" t="s">
        <v>1035</v>
      </c>
      <c r="N366" s="1032" t="s">
        <v>1044</v>
      </c>
      <c r="O366" s="1032">
        <v>2021.0</v>
      </c>
      <c r="P366" s="1032" t="s">
        <v>1039</v>
      </c>
      <c r="Q366" s="1033" t="s">
        <v>63</v>
      </c>
      <c r="R366" s="1034">
        <v>241.8041695</v>
      </c>
      <c r="S366" s="1034">
        <v>117.3287304</v>
      </c>
      <c r="T366" s="1035">
        <v>388.6253459</v>
      </c>
      <c r="AB366" s="1045"/>
      <c r="AF366" s="225"/>
    </row>
    <row r="367">
      <c r="A367" s="1013"/>
      <c r="B367" s="1019" t="s">
        <v>136</v>
      </c>
      <c r="C367" s="1020" t="s">
        <v>1035</v>
      </c>
      <c r="D367" s="1020" t="s">
        <v>1045</v>
      </c>
      <c r="E367" s="1020" t="s">
        <v>539</v>
      </c>
      <c r="F367" s="1020">
        <v>2021.0</v>
      </c>
      <c r="G367" s="1021">
        <v>7.94E-6</v>
      </c>
      <c r="H367" s="1021">
        <v>2.12E-6</v>
      </c>
      <c r="I367" s="1022">
        <v>1.82E-5</v>
      </c>
      <c r="K367" s="1031" t="s">
        <v>121</v>
      </c>
      <c r="L367" s="1032" t="s">
        <v>1047</v>
      </c>
      <c r="M367" s="1032" t="s">
        <v>1035</v>
      </c>
      <c r="N367" s="1032" t="s">
        <v>1046</v>
      </c>
      <c r="O367" s="1032">
        <v>2021.0</v>
      </c>
      <c r="P367" s="1032" t="s">
        <v>1039</v>
      </c>
      <c r="Q367" s="1033" t="s">
        <v>63</v>
      </c>
      <c r="R367" s="1034">
        <v>4268.877147</v>
      </c>
      <c r="S367" s="1034">
        <v>2763.432322</v>
      </c>
      <c r="T367" s="1035">
        <v>6148.546252</v>
      </c>
      <c r="AB367" s="1045"/>
      <c r="AF367" s="225"/>
    </row>
    <row r="368">
      <c r="A368" s="1013"/>
      <c r="B368" s="1019" t="s">
        <v>115</v>
      </c>
      <c r="C368" s="1020" t="s">
        <v>1035</v>
      </c>
      <c r="D368" s="1020" t="s">
        <v>1036</v>
      </c>
      <c r="E368" s="1020" t="s">
        <v>539</v>
      </c>
      <c r="F368" s="1020">
        <v>2021.0</v>
      </c>
      <c r="G368" s="1021">
        <v>2.01E-5</v>
      </c>
      <c r="H368" s="1021">
        <v>8.74E-6</v>
      </c>
      <c r="I368" s="1022">
        <v>3.9E-5</v>
      </c>
      <c r="K368" s="1031" t="s">
        <v>121</v>
      </c>
      <c r="L368" s="1032" t="s">
        <v>1047</v>
      </c>
      <c r="M368" s="1032" t="s">
        <v>1035</v>
      </c>
      <c r="N368" s="1032" t="s">
        <v>1045</v>
      </c>
      <c r="O368" s="1032">
        <v>2021.0</v>
      </c>
      <c r="P368" s="1032" t="s">
        <v>1039</v>
      </c>
      <c r="Q368" s="1033" t="s">
        <v>63</v>
      </c>
      <c r="R368" s="1034">
        <v>9779.802062</v>
      </c>
      <c r="S368" s="1034">
        <v>6376.739262</v>
      </c>
      <c r="T368" s="1035">
        <v>13337.39345</v>
      </c>
      <c r="AB368" s="1045"/>
      <c r="AF368" s="225"/>
    </row>
    <row r="369">
      <c r="A369" s="1013"/>
      <c r="B369" s="1019" t="s">
        <v>115</v>
      </c>
      <c r="C369" s="1020" t="s">
        <v>1035</v>
      </c>
      <c r="D369" s="1020" t="s">
        <v>1041</v>
      </c>
      <c r="E369" s="1020" t="s">
        <v>539</v>
      </c>
      <c r="F369" s="1020">
        <v>2021.0</v>
      </c>
      <c r="G369" s="1021">
        <v>3.15E-5</v>
      </c>
      <c r="H369" s="1021">
        <v>8.43E-6</v>
      </c>
      <c r="I369" s="1022">
        <v>7.29E-5</v>
      </c>
      <c r="K369" s="1031" t="s">
        <v>152</v>
      </c>
      <c r="L369" s="1032" t="s">
        <v>1047</v>
      </c>
      <c r="M369" s="1032" t="s">
        <v>1035</v>
      </c>
      <c r="N369" s="1032" t="s">
        <v>1038</v>
      </c>
      <c r="O369" s="1032">
        <v>2021.0</v>
      </c>
      <c r="P369" s="1032" t="s">
        <v>1039</v>
      </c>
      <c r="Q369" s="1033" t="s">
        <v>63</v>
      </c>
      <c r="R369" s="1034">
        <v>1983.667433</v>
      </c>
      <c r="S369" s="1034">
        <v>1121.866868</v>
      </c>
      <c r="T369" s="1035">
        <v>3127.373556</v>
      </c>
      <c r="AB369" s="1045"/>
      <c r="AF369" s="225"/>
    </row>
    <row r="370">
      <c r="A370" s="1013"/>
      <c r="B370" s="1019" t="s">
        <v>115</v>
      </c>
      <c r="C370" s="1020" t="s">
        <v>1035</v>
      </c>
      <c r="D370" s="1020" t="s">
        <v>1043</v>
      </c>
      <c r="E370" s="1020" t="s">
        <v>539</v>
      </c>
      <c r="F370" s="1020">
        <v>2021.0</v>
      </c>
      <c r="G370" s="1021">
        <v>4.39E-5</v>
      </c>
      <c r="H370" s="1021">
        <v>1.03E-5</v>
      </c>
      <c r="I370" s="1022">
        <v>1.17449E-4</v>
      </c>
      <c r="K370" s="1031" t="s">
        <v>152</v>
      </c>
      <c r="L370" s="1032" t="s">
        <v>1047</v>
      </c>
      <c r="M370" s="1032" t="s">
        <v>1035</v>
      </c>
      <c r="N370" s="1032" t="s">
        <v>1042</v>
      </c>
      <c r="O370" s="1032">
        <v>2021.0</v>
      </c>
      <c r="P370" s="1032" t="s">
        <v>1039</v>
      </c>
      <c r="Q370" s="1033" t="s">
        <v>63</v>
      </c>
      <c r="R370" s="1034">
        <v>103.6475582</v>
      </c>
      <c r="S370" s="1034">
        <v>51.3141118</v>
      </c>
      <c r="T370" s="1035">
        <v>164.6426582</v>
      </c>
      <c r="AB370" s="1045"/>
      <c r="AF370" s="225"/>
    </row>
    <row r="371">
      <c r="A371" s="1013"/>
      <c r="B371" s="1019" t="s">
        <v>115</v>
      </c>
      <c r="C371" s="1020" t="s">
        <v>1035</v>
      </c>
      <c r="D371" s="1020" t="s">
        <v>1045</v>
      </c>
      <c r="E371" s="1020" t="s">
        <v>539</v>
      </c>
      <c r="F371" s="1020">
        <v>2021.0</v>
      </c>
      <c r="G371" s="1021">
        <v>3.47103E-4</v>
      </c>
      <c r="H371" s="1021">
        <v>1.02552E-4</v>
      </c>
      <c r="I371" s="1022">
        <v>7.59076E-4</v>
      </c>
      <c r="K371" s="1031" t="s">
        <v>152</v>
      </c>
      <c r="L371" s="1032" t="s">
        <v>1047</v>
      </c>
      <c r="M371" s="1032" t="s">
        <v>1035</v>
      </c>
      <c r="N371" s="1032" t="s">
        <v>1044</v>
      </c>
      <c r="O371" s="1032">
        <v>2021.0</v>
      </c>
      <c r="P371" s="1032" t="s">
        <v>1039</v>
      </c>
      <c r="Q371" s="1033" t="s">
        <v>63</v>
      </c>
      <c r="R371" s="1034">
        <v>108.768648</v>
      </c>
      <c r="S371" s="1034">
        <v>57.60049407</v>
      </c>
      <c r="T371" s="1035">
        <v>179.930495</v>
      </c>
      <c r="AB371" s="1045"/>
      <c r="AF371" s="225"/>
    </row>
    <row r="372">
      <c r="A372" s="1013"/>
      <c r="B372" s="1019" t="s">
        <v>137</v>
      </c>
      <c r="C372" s="1020" t="s">
        <v>1035</v>
      </c>
      <c r="D372" s="1020" t="s">
        <v>1036</v>
      </c>
      <c r="E372" s="1020" t="s">
        <v>539</v>
      </c>
      <c r="F372" s="1020">
        <v>2021.0</v>
      </c>
      <c r="G372" s="1021">
        <v>1.01E-6</v>
      </c>
      <c r="H372" s="1021">
        <v>4.06E-7</v>
      </c>
      <c r="I372" s="1022">
        <v>2.03E-6</v>
      </c>
      <c r="K372" s="1031" t="s">
        <v>152</v>
      </c>
      <c r="L372" s="1032" t="s">
        <v>1047</v>
      </c>
      <c r="M372" s="1032" t="s">
        <v>1035</v>
      </c>
      <c r="N372" s="1032" t="s">
        <v>1046</v>
      </c>
      <c r="O372" s="1032">
        <v>2021.0</v>
      </c>
      <c r="P372" s="1032" t="s">
        <v>1039</v>
      </c>
      <c r="Q372" s="1033" t="s">
        <v>63</v>
      </c>
      <c r="R372" s="1034">
        <v>3646.676429</v>
      </c>
      <c r="S372" s="1034">
        <v>2433.362322</v>
      </c>
      <c r="T372" s="1035">
        <v>5091.851561</v>
      </c>
      <c r="AB372" s="1045"/>
      <c r="AF372" s="225"/>
    </row>
    <row r="373">
      <c r="A373" s="1013"/>
      <c r="B373" s="1019" t="s">
        <v>137</v>
      </c>
      <c r="C373" s="1020" t="s">
        <v>1035</v>
      </c>
      <c r="D373" s="1020" t="s">
        <v>1041</v>
      </c>
      <c r="E373" s="1020" t="s">
        <v>539</v>
      </c>
      <c r="F373" s="1020">
        <v>2021.0</v>
      </c>
      <c r="G373" s="1021">
        <v>1.21E-6</v>
      </c>
      <c r="H373" s="1021">
        <v>3.03E-7</v>
      </c>
      <c r="I373" s="1022">
        <v>2.96E-6</v>
      </c>
      <c r="K373" s="1031" t="s">
        <v>152</v>
      </c>
      <c r="L373" s="1032" t="s">
        <v>1047</v>
      </c>
      <c r="M373" s="1032" t="s">
        <v>1035</v>
      </c>
      <c r="N373" s="1032" t="s">
        <v>1045</v>
      </c>
      <c r="O373" s="1032">
        <v>2021.0</v>
      </c>
      <c r="P373" s="1032" t="s">
        <v>1039</v>
      </c>
      <c r="Q373" s="1033" t="s">
        <v>63</v>
      </c>
      <c r="R373" s="1034">
        <v>5842.760068</v>
      </c>
      <c r="S373" s="1034">
        <v>3965.440109</v>
      </c>
      <c r="T373" s="1035">
        <v>8099.199799</v>
      </c>
      <c r="AB373" s="1045"/>
      <c r="AF373" s="225"/>
    </row>
    <row r="374">
      <c r="A374" s="1013"/>
      <c r="B374" s="1019" t="s">
        <v>137</v>
      </c>
      <c r="C374" s="1020" t="s">
        <v>1035</v>
      </c>
      <c r="D374" s="1020" t="s">
        <v>1043</v>
      </c>
      <c r="E374" s="1020" t="s">
        <v>539</v>
      </c>
      <c r="F374" s="1020">
        <v>2021.0</v>
      </c>
      <c r="G374" s="1021">
        <v>1.1E-6</v>
      </c>
      <c r="H374" s="1021">
        <v>2.55E-7</v>
      </c>
      <c r="I374" s="1022">
        <v>2.64E-6</v>
      </c>
      <c r="K374" s="1031" t="s">
        <v>153</v>
      </c>
      <c r="L374" s="1032" t="s">
        <v>1047</v>
      </c>
      <c r="M374" s="1032" t="s">
        <v>1035</v>
      </c>
      <c r="N374" s="1032" t="s">
        <v>1038</v>
      </c>
      <c r="O374" s="1032">
        <v>2021.0</v>
      </c>
      <c r="P374" s="1032" t="s">
        <v>1039</v>
      </c>
      <c r="Q374" s="1033" t="s">
        <v>63</v>
      </c>
      <c r="R374" s="1034">
        <v>1134.858032</v>
      </c>
      <c r="S374" s="1034">
        <v>613.4377626</v>
      </c>
      <c r="T374" s="1035">
        <v>1762.138802</v>
      </c>
      <c r="AB374" s="1045"/>
      <c r="AF374" s="225"/>
    </row>
    <row r="375">
      <c r="A375" s="1013"/>
      <c r="B375" s="1019" t="s">
        <v>137</v>
      </c>
      <c r="C375" s="1020" t="s">
        <v>1035</v>
      </c>
      <c r="D375" s="1020" t="s">
        <v>1045</v>
      </c>
      <c r="E375" s="1020" t="s">
        <v>539</v>
      </c>
      <c r="F375" s="1020">
        <v>2021.0</v>
      </c>
      <c r="G375" s="1021">
        <v>3.61E-6</v>
      </c>
      <c r="H375" s="1021">
        <v>1.02E-6</v>
      </c>
      <c r="I375" s="1022">
        <v>9.04E-6</v>
      </c>
      <c r="K375" s="1031" t="s">
        <v>153</v>
      </c>
      <c r="L375" s="1032" t="s">
        <v>1047</v>
      </c>
      <c r="M375" s="1032" t="s">
        <v>1035</v>
      </c>
      <c r="N375" s="1032" t="s">
        <v>1042</v>
      </c>
      <c r="O375" s="1032">
        <v>2021.0</v>
      </c>
      <c r="P375" s="1032" t="s">
        <v>1039</v>
      </c>
      <c r="Q375" s="1033" t="s">
        <v>63</v>
      </c>
      <c r="R375" s="1034">
        <v>87.2097434</v>
      </c>
      <c r="S375" s="1034">
        <v>38.83804515</v>
      </c>
      <c r="T375" s="1035">
        <v>135.7066733</v>
      </c>
      <c r="AB375" s="1045"/>
      <c r="AF375" s="225"/>
    </row>
    <row r="376">
      <c r="A376" s="1013"/>
      <c r="B376" s="1019" t="s">
        <v>116</v>
      </c>
      <c r="C376" s="1020" t="s">
        <v>1035</v>
      </c>
      <c r="D376" s="1020" t="s">
        <v>1036</v>
      </c>
      <c r="E376" s="1020" t="s">
        <v>539</v>
      </c>
      <c r="F376" s="1020">
        <v>2021.0</v>
      </c>
      <c r="G376" s="1021">
        <v>3.52E-5</v>
      </c>
      <c r="H376" s="1021">
        <v>1.68E-5</v>
      </c>
      <c r="I376" s="1022">
        <v>6.44E-5</v>
      </c>
      <c r="K376" s="1031" t="s">
        <v>153</v>
      </c>
      <c r="L376" s="1032" t="s">
        <v>1047</v>
      </c>
      <c r="M376" s="1032" t="s">
        <v>1035</v>
      </c>
      <c r="N376" s="1032" t="s">
        <v>1044</v>
      </c>
      <c r="O376" s="1032">
        <v>2021.0</v>
      </c>
      <c r="P376" s="1032" t="s">
        <v>1039</v>
      </c>
      <c r="Q376" s="1033" t="s">
        <v>63</v>
      </c>
      <c r="R376" s="1034">
        <v>63.8773908</v>
      </c>
      <c r="S376" s="1034">
        <v>36.12015229</v>
      </c>
      <c r="T376" s="1035">
        <v>111.2137076</v>
      </c>
      <c r="AB376" s="1045"/>
      <c r="AF376" s="225"/>
    </row>
    <row r="377">
      <c r="A377" s="1013"/>
      <c r="B377" s="1019" t="s">
        <v>116</v>
      </c>
      <c r="C377" s="1020" t="s">
        <v>1035</v>
      </c>
      <c r="D377" s="1020" t="s">
        <v>1041</v>
      </c>
      <c r="E377" s="1020" t="s">
        <v>539</v>
      </c>
      <c r="F377" s="1020">
        <v>2021.0</v>
      </c>
      <c r="G377" s="1021">
        <v>4.55E-5</v>
      </c>
      <c r="H377" s="1021">
        <v>1.17E-5</v>
      </c>
      <c r="I377" s="1022">
        <v>1.09711E-4</v>
      </c>
      <c r="K377" s="1031" t="s">
        <v>153</v>
      </c>
      <c r="L377" s="1032" t="s">
        <v>1047</v>
      </c>
      <c r="M377" s="1032" t="s">
        <v>1035</v>
      </c>
      <c r="N377" s="1032" t="s">
        <v>1046</v>
      </c>
      <c r="O377" s="1032">
        <v>2021.0</v>
      </c>
      <c r="P377" s="1032" t="s">
        <v>1039</v>
      </c>
      <c r="Q377" s="1033" t="s">
        <v>63</v>
      </c>
      <c r="R377" s="1034">
        <v>1209.776729</v>
      </c>
      <c r="S377" s="1034">
        <v>798.010836</v>
      </c>
      <c r="T377" s="1035">
        <v>1720.806938</v>
      </c>
      <c r="AB377" s="1045"/>
      <c r="AF377" s="225"/>
    </row>
    <row r="378">
      <c r="A378" s="1013"/>
      <c r="B378" s="1019" t="s">
        <v>116</v>
      </c>
      <c r="C378" s="1020" t="s">
        <v>1035</v>
      </c>
      <c r="D378" s="1020" t="s">
        <v>1043</v>
      </c>
      <c r="E378" s="1020" t="s">
        <v>539</v>
      </c>
      <c r="F378" s="1020">
        <v>2021.0</v>
      </c>
      <c r="G378" s="1021">
        <v>6.71E-5</v>
      </c>
      <c r="H378" s="1021">
        <v>1.47E-5</v>
      </c>
      <c r="I378" s="1022">
        <v>1.68084E-4</v>
      </c>
      <c r="K378" s="1031" t="s">
        <v>153</v>
      </c>
      <c r="L378" s="1032" t="s">
        <v>1047</v>
      </c>
      <c r="M378" s="1032" t="s">
        <v>1035</v>
      </c>
      <c r="N378" s="1032" t="s">
        <v>1045</v>
      </c>
      <c r="O378" s="1032">
        <v>2021.0</v>
      </c>
      <c r="P378" s="1032" t="s">
        <v>1039</v>
      </c>
      <c r="Q378" s="1033" t="s">
        <v>63</v>
      </c>
      <c r="R378" s="1034">
        <v>2495.721895</v>
      </c>
      <c r="S378" s="1034">
        <v>1623.481545</v>
      </c>
      <c r="T378" s="1035">
        <v>3550.813753</v>
      </c>
      <c r="AB378" s="1045"/>
      <c r="AF378" s="225"/>
    </row>
    <row r="379">
      <c r="A379" s="1013"/>
      <c r="B379" s="1019" t="s">
        <v>116</v>
      </c>
      <c r="C379" s="1020" t="s">
        <v>1035</v>
      </c>
      <c r="D379" s="1020" t="s">
        <v>1045</v>
      </c>
      <c r="E379" s="1020" t="s">
        <v>539</v>
      </c>
      <c r="F379" s="1020">
        <v>2021.0</v>
      </c>
      <c r="G379" s="1021">
        <v>5.79052E-4</v>
      </c>
      <c r="H379" s="1021">
        <v>1.67976E-4</v>
      </c>
      <c r="I379" s="1022">
        <v>0.001330104</v>
      </c>
      <c r="K379" s="1031" t="s">
        <v>122</v>
      </c>
      <c r="L379" s="1032" t="s">
        <v>1047</v>
      </c>
      <c r="M379" s="1032" t="s">
        <v>1035</v>
      </c>
      <c r="N379" s="1032" t="s">
        <v>1038</v>
      </c>
      <c r="O379" s="1032">
        <v>2021.0</v>
      </c>
      <c r="P379" s="1032" t="s">
        <v>1039</v>
      </c>
      <c r="Q379" s="1033" t="s">
        <v>63</v>
      </c>
      <c r="R379" s="1034">
        <v>3222.549571</v>
      </c>
      <c r="S379" s="1034">
        <v>2000.39836</v>
      </c>
      <c r="T379" s="1035">
        <v>4781.305929</v>
      </c>
      <c r="AB379" s="1045"/>
      <c r="AF379" s="225"/>
    </row>
    <row r="380">
      <c r="A380" s="1013"/>
      <c r="B380" s="1019" t="s">
        <v>138</v>
      </c>
      <c r="C380" s="1020" t="s">
        <v>1035</v>
      </c>
      <c r="D380" s="1020" t="s">
        <v>1036</v>
      </c>
      <c r="E380" s="1020" t="s">
        <v>539</v>
      </c>
      <c r="F380" s="1020">
        <v>2021.0</v>
      </c>
      <c r="G380" s="1021">
        <v>1.12E-5</v>
      </c>
      <c r="H380" s="1021">
        <v>4.85E-6</v>
      </c>
      <c r="I380" s="1022">
        <v>2.15E-5</v>
      </c>
      <c r="K380" s="1031" t="s">
        <v>122</v>
      </c>
      <c r="L380" s="1032" t="s">
        <v>1047</v>
      </c>
      <c r="M380" s="1032" t="s">
        <v>1035</v>
      </c>
      <c r="N380" s="1032" t="s">
        <v>1042</v>
      </c>
      <c r="O380" s="1032">
        <v>2021.0</v>
      </c>
      <c r="P380" s="1032" t="s">
        <v>1039</v>
      </c>
      <c r="Q380" s="1033" t="s">
        <v>63</v>
      </c>
      <c r="R380" s="1034">
        <v>88.41418118</v>
      </c>
      <c r="S380" s="1034">
        <v>42.10245222</v>
      </c>
      <c r="T380" s="1035">
        <v>140.4930278</v>
      </c>
      <c r="AB380" s="1045"/>
      <c r="AF380" s="225"/>
    </row>
    <row r="381">
      <c r="A381" s="1013"/>
      <c r="B381" s="1019" t="s">
        <v>138</v>
      </c>
      <c r="C381" s="1020" t="s">
        <v>1035</v>
      </c>
      <c r="D381" s="1020" t="s">
        <v>1041</v>
      </c>
      <c r="E381" s="1020" t="s">
        <v>539</v>
      </c>
      <c r="F381" s="1020">
        <v>2021.0</v>
      </c>
      <c r="G381" s="1021">
        <v>1.6E-5</v>
      </c>
      <c r="H381" s="1021">
        <v>4.55E-6</v>
      </c>
      <c r="I381" s="1022">
        <v>3.72E-5</v>
      </c>
      <c r="K381" s="1031" t="s">
        <v>122</v>
      </c>
      <c r="L381" s="1032" t="s">
        <v>1047</v>
      </c>
      <c r="M381" s="1032" t="s">
        <v>1035</v>
      </c>
      <c r="N381" s="1032" t="s">
        <v>1044</v>
      </c>
      <c r="O381" s="1032">
        <v>2021.0</v>
      </c>
      <c r="P381" s="1032" t="s">
        <v>1039</v>
      </c>
      <c r="Q381" s="1033" t="s">
        <v>63</v>
      </c>
      <c r="R381" s="1034">
        <v>136.0808621</v>
      </c>
      <c r="S381" s="1034">
        <v>64.15750442</v>
      </c>
      <c r="T381" s="1035">
        <v>217.3847821</v>
      </c>
      <c r="AB381" s="1045"/>
      <c r="AF381" s="225"/>
    </row>
    <row r="382">
      <c r="A382" s="1013"/>
      <c r="B382" s="1019" t="s">
        <v>138</v>
      </c>
      <c r="C382" s="1020" t="s">
        <v>1035</v>
      </c>
      <c r="D382" s="1020" t="s">
        <v>1043</v>
      </c>
      <c r="E382" s="1020" t="s">
        <v>539</v>
      </c>
      <c r="F382" s="1020">
        <v>2021.0</v>
      </c>
      <c r="G382" s="1021">
        <v>1.99E-5</v>
      </c>
      <c r="H382" s="1021">
        <v>4.65E-6</v>
      </c>
      <c r="I382" s="1022">
        <v>5.18E-5</v>
      </c>
      <c r="K382" s="1031" t="s">
        <v>122</v>
      </c>
      <c r="L382" s="1032" t="s">
        <v>1047</v>
      </c>
      <c r="M382" s="1032" t="s">
        <v>1035</v>
      </c>
      <c r="N382" s="1032" t="s">
        <v>1046</v>
      </c>
      <c r="O382" s="1032">
        <v>2021.0</v>
      </c>
      <c r="P382" s="1032" t="s">
        <v>1039</v>
      </c>
      <c r="Q382" s="1033" t="s">
        <v>63</v>
      </c>
      <c r="R382" s="1034">
        <v>2924.136936</v>
      </c>
      <c r="S382" s="1034">
        <v>2020.730644</v>
      </c>
      <c r="T382" s="1035">
        <v>4047.864816</v>
      </c>
      <c r="AB382" s="1045"/>
      <c r="AF382" s="225"/>
    </row>
    <row r="383">
      <c r="A383" s="1013"/>
      <c r="B383" s="1019" t="s">
        <v>138</v>
      </c>
      <c r="C383" s="1020" t="s">
        <v>1035</v>
      </c>
      <c r="D383" s="1020" t="s">
        <v>1045</v>
      </c>
      <c r="E383" s="1020" t="s">
        <v>539</v>
      </c>
      <c r="F383" s="1020">
        <v>2021.0</v>
      </c>
      <c r="G383" s="1021">
        <v>1.05863E-4</v>
      </c>
      <c r="H383" s="1021">
        <v>3.35E-5</v>
      </c>
      <c r="I383" s="1022">
        <v>2.33019E-4</v>
      </c>
      <c r="K383" s="1031" t="s">
        <v>122</v>
      </c>
      <c r="L383" s="1032" t="s">
        <v>1047</v>
      </c>
      <c r="M383" s="1032" t="s">
        <v>1035</v>
      </c>
      <c r="N383" s="1032" t="s">
        <v>1045</v>
      </c>
      <c r="O383" s="1032">
        <v>2021.0</v>
      </c>
      <c r="P383" s="1032" t="s">
        <v>1039</v>
      </c>
      <c r="Q383" s="1033" t="s">
        <v>63</v>
      </c>
      <c r="R383" s="1034">
        <v>6371.181551</v>
      </c>
      <c r="S383" s="1034">
        <v>4415.457127</v>
      </c>
      <c r="T383" s="1035">
        <v>8668.771514</v>
      </c>
      <c r="AB383" s="1045"/>
      <c r="AF383" s="225"/>
    </row>
    <row r="384">
      <c r="A384" s="1013"/>
      <c r="B384" s="1019" t="s">
        <v>118</v>
      </c>
      <c r="C384" s="1020" t="s">
        <v>1035</v>
      </c>
      <c r="D384" s="1020" t="s">
        <v>1036</v>
      </c>
      <c r="E384" s="1020" t="s">
        <v>539</v>
      </c>
      <c r="F384" s="1020">
        <v>2021.0</v>
      </c>
      <c r="G384" s="1021">
        <v>1.33E-5</v>
      </c>
      <c r="H384" s="1021">
        <v>5.9E-6</v>
      </c>
      <c r="I384" s="1022">
        <v>2.46E-5</v>
      </c>
      <c r="K384" s="1031" t="s">
        <v>123</v>
      </c>
      <c r="L384" s="1032" t="s">
        <v>539</v>
      </c>
      <c r="M384" s="1032" t="s">
        <v>1035</v>
      </c>
      <c r="N384" s="1032" t="s">
        <v>1038</v>
      </c>
      <c r="O384" s="1032">
        <v>2021.0</v>
      </c>
      <c r="P384" s="1032" t="s">
        <v>1039</v>
      </c>
      <c r="Q384" s="1033" t="s">
        <v>63</v>
      </c>
      <c r="R384" s="1034">
        <v>0.8183963</v>
      </c>
      <c r="S384" s="1034">
        <v>0.208228649</v>
      </c>
      <c r="T384" s="1035">
        <v>2.002141564</v>
      </c>
      <c r="AB384" s="1045"/>
      <c r="AF384" s="225"/>
    </row>
    <row r="385">
      <c r="A385" s="1013"/>
      <c r="B385" s="1019" t="s">
        <v>118</v>
      </c>
      <c r="C385" s="1020" t="s">
        <v>1035</v>
      </c>
      <c r="D385" s="1020" t="s">
        <v>1041</v>
      </c>
      <c r="E385" s="1020" t="s">
        <v>539</v>
      </c>
      <c r="F385" s="1020">
        <v>2021.0</v>
      </c>
      <c r="G385" s="1021">
        <v>2.15E-5</v>
      </c>
      <c r="H385" s="1021">
        <v>5.23E-6</v>
      </c>
      <c r="I385" s="1022">
        <v>5.07E-5</v>
      </c>
      <c r="K385" s="1031" t="s">
        <v>123</v>
      </c>
      <c r="L385" s="1032" t="s">
        <v>539</v>
      </c>
      <c r="M385" s="1032" t="s">
        <v>1035</v>
      </c>
      <c r="N385" s="1032" t="s">
        <v>1042</v>
      </c>
      <c r="O385" s="1032">
        <v>2021.0</v>
      </c>
      <c r="P385" s="1032" t="s">
        <v>1039</v>
      </c>
      <c r="Q385" s="1033" t="s">
        <v>63</v>
      </c>
      <c r="R385" s="1034">
        <v>0.0</v>
      </c>
      <c r="S385" s="1034">
        <v>0.0</v>
      </c>
      <c r="T385" s="1035">
        <v>0.0</v>
      </c>
      <c r="AB385" s="1045"/>
      <c r="AF385" s="225"/>
    </row>
    <row r="386">
      <c r="A386" s="1013"/>
      <c r="B386" s="1019" t="s">
        <v>118</v>
      </c>
      <c r="C386" s="1020" t="s">
        <v>1035</v>
      </c>
      <c r="D386" s="1020" t="s">
        <v>1043</v>
      </c>
      <c r="E386" s="1020" t="s">
        <v>539</v>
      </c>
      <c r="F386" s="1020">
        <v>2021.0</v>
      </c>
      <c r="G386" s="1021">
        <v>3.53E-5</v>
      </c>
      <c r="H386" s="1021">
        <v>8.06E-6</v>
      </c>
      <c r="I386" s="1022">
        <v>9.07E-5</v>
      </c>
      <c r="K386" s="1031" t="s">
        <v>123</v>
      </c>
      <c r="L386" s="1032" t="s">
        <v>539</v>
      </c>
      <c r="M386" s="1032" t="s">
        <v>1035</v>
      </c>
      <c r="N386" s="1032" t="s">
        <v>1044</v>
      </c>
      <c r="O386" s="1032">
        <v>2021.0</v>
      </c>
      <c r="P386" s="1032" t="s">
        <v>1039</v>
      </c>
      <c r="Q386" s="1033" t="s">
        <v>63</v>
      </c>
      <c r="R386" s="1034">
        <v>0.0</v>
      </c>
      <c r="S386" s="1034">
        <v>0.0</v>
      </c>
      <c r="T386" s="1035">
        <v>0.0</v>
      </c>
      <c r="AB386" s="1045"/>
      <c r="AF386" s="225"/>
    </row>
    <row r="387">
      <c r="A387" s="1013"/>
      <c r="B387" s="1019" t="s">
        <v>118</v>
      </c>
      <c r="C387" s="1020" t="s">
        <v>1035</v>
      </c>
      <c r="D387" s="1020" t="s">
        <v>1045</v>
      </c>
      <c r="E387" s="1020" t="s">
        <v>539</v>
      </c>
      <c r="F387" s="1020">
        <v>2021.0</v>
      </c>
      <c r="G387" s="1021">
        <v>2.47733E-4</v>
      </c>
      <c r="H387" s="1021">
        <v>7.08E-5</v>
      </c>
      <c r="I387" s="1022">
        <v>6.1883E-4</v>
      </c>
      <c r="K387" s="1031" t="s">
        <v>123</v>
      </c>
      <c r="L387" s="1032" t="s">
        <v>539</v>
      </c>
      <c r="M387" s="1032" t="s">
        <v>1035</v>
      </c>
      <c r="N387" s="1032" t="s">
        <v>1046</v>
      </c>
      <c r="O387" s="1032">
        <v>2021.0</v>
      </c>
      <c r="P387" s="1032" t="s">
        <v>1039</v>
      </c>
      <c r="Q387" s="1033" t="s">
        <v>63</v>
      </c>
      <c r="R387" s="1034">
        <v>0.372585776</v>
      </c>
      <c r="S387" s="1034">
        <v>0.069754804</v>
      </c>
      <c r="T387" s="1035">
        <v>1.069043112</v>
      </c>
      <c r="AB387" s="1045"/>
      <c r="AF387" s="225"/>
    </row>
    <row r="388">
      <c r="A388" s="1013"/>
      <c r="B388" s="1019" t="s">
        <v>119</v>
      </c>
      <c r="C388" s="1020" t="s">
        <v>1035</v>
      </c>
      <c r="D388" s="1020" t="s">
        <v>1036</v>
      </c>
      <c r="E388" s="1020" t="s">
        <v>539</v>
      </c>
      <c r="F388" s="1020">
        <v>2021.0</v>
      </c>
      <c r="G388" s="1021">
        <v>2.68E-5</v>
      </c>
      <c r="H388" s="1021">
        <v>1.19E-5</v>
      </c>
      <c r="I388" s="1022">
        <v>4.94E-5</v>
      </c>
      <c r="K388" s="1031" t="s">
        <v>123</v>
      </c>
      <c r="L388" s="1032" t="s">
        <v>539</v>
      </c>
      <c r="M388" s="1032" t="s">
        <v>1035</v>
      </c>
      <c r="N388" s="1032" t="s">
        <v>1045</v>
      </c>
      <c r="O388" s="1032">
        <v>2021.0</v>
      </c>
      <c r="P388" s="1032" t="s">
        <v>1039</v>
      </c>
      <c r="Q388" s="1033" t="s">
        <v>63</v>
      </c>
      <c r="R388" s="1034">
        <v>1.190982076</v>
      </c>
      <c r="S388" s="1034">
        <v>0.397953467</v>
      </c>
      <c r="T388" s="1035">
        <v>2.669369069</v>
      </c>
      <c r="AB388" s="1045"/>
      <c r="AF388" s="225"/>
    </row>
    <row r="389">
      <c r="A389" s="1013"/>
      <c r="B389" s="1019" t="s">
        <v>119</v>
      </c>
      <c r="C389" s="1020" t="s">
        <v>1035</v>
      </c>
      <c r="D389" s="1020" t="s">
        <v>1041</v>
      </c>
      <c r="E389" s="1020" t="s">
        <v>539</v>
      </c>
      <c r="F389" s="1020">
        <v>2021.0</v>
      </c>
      <c r="G389" s="1021">
        <v>3.93E-5</v>
      </c>
      <c r="H389" s="1021">
        <v>1.07E-5</v>
      </c>
      <c r="I389" s="1022">
        <v>8.95E-5</v>
      </c>
      <c r="K389" s="1031" t="s">
        <v>124</v>
      </c>
      <c r="L389" s="1032" t="s">
        <v>539</v>
      </c>
      <c r="M389" s="1032" t="s">
        <v>1035</v>
      </c>
      <c r="N389" s="1032" t="s">
        <v>1038</v>
      </c>
      <c r="O389" s="1032">
        <v>2021.0</v>
      </c>
      <c r="P389" s="1032" t="s">
        <v>1039</v>
      </c>
      <c r="Q389" s="1033" t="s">
        <v>63</v>
      </c>
      <c r="R389" s="1034">
        <v>5.768313821</v>
      </c>
      <c r="S389" s="1034">
        <v>1.487816344</v>
      </c>
      <c r="T389" s="1035">
        <v>13.57410092</v>
      </c>
      <c r="AB389" s="1045"/>
      <c r="AF389" s="225"/>
    </row>
    <row r="390">
      <c r="A390" s="1013"/>
      <c r="B390" s="1019" t="s">
        <v>119</v>
      </c>
      <c r="C390" s="1020" t="s">
        <v>1035</v>
      </c>
      <c r="D390" s="1020" t="s">
        <v>1043</v>
      </c>
      <c r="E390" s="1020" t="s">
        <v>539</v>
      </c>
      <c r="F390" s="1020">
        <v>2021.0</v>
      </c>
      <c r="G390" s="1021">
        <v>4.59E-5</v>
      </c>
      <c r="H390" s="1021">
        <v>1.05E-5</v>
      </c>
      <c r="I390" s="1022">
        <v>1.16247E-4</v>
      </c>
      <c r="K390" s="1031" t="s">
        <v>124</v>
      </c>
      <c r="L390" s="1032" t="s">
        <v>539</v>
      </c>
      <c r="M390" s="1032" t="s">
        <v>1035</v>
      </c>
      <c r="N390" s="1032" t="s">
        <v>1042</v>
      </c>
      <c r="O390" s="1032">
        <v>2021.0</v>
      </c>
      <c r="P390" s="1032" t="s">
        <v>1039</v>
      </c>
      <c r="Q390" s="1033" t="s">
        <v>63</v>
      </c>
      <c r="R390" s="1034">
        <v>0.0</v>
      </c>
      <c r="S390" s="1034">
        <v>0.0</v>
      </c>
      <c r="T390" s="1035">
        <v>0.0</v>
      </c>
      <c r="AB390" s="1045"/>
      <c r="AF390" s="225"/>
    </row>
    <row r="391">
      <c r="A391" s="1013"/>
      <c r="B391" s="1019" t="s">
        <v>119</v>
      </c>
      <c r="C391" s="1020" t="s">
        <v>1035</v>
      </c>
      <c r="D391" s="1020" t="s">
        <v>1045</v>
      </c>
      <c r="E391" s="1020" t="s">
        <v>539</v>
      </c>
      <c r="F391" s="1020">
        <v>2021.0</v>
      </c>
      <c r="G391" s="1021">
        <v>3.80731E-4</v>
      </c>
      <c r="H391" s="1021">
        <v>1.1312E-4</v>
      </c>
      <c r="I391" s="1022">
        <v>9.21548E-4</v>
      </c>
      <c r="K391" s="1031" t="s">
        <v>124</v>
      </c>
      <c r="L391" s="1032" t="s">
        <v>539</v>
      </c>
      <c r="M391" s="1032" t="s">
        <v>1035</v>
      </c>
      <c r="N391" s="1032" t="s">
        <v>1044</v>
      </c>
      <c r="O391" s="1032">
        <v>2021.0</v>
      </c>
      <c r="P391" s="1032" t="s">
        <v>1039</v>
      </c>
      <c r="Q391" s="1033" t="s">
        <v>63</v>
      </c>
      <c r="R391" s="1034">
        <v>0.0</v>
      </c>
      <c r="S391" s="1034">
        <v>0.0</v>
      </c>
      <c r="T391" s="1035">
        <v>0.0</v>
      </c>
      <c r="AB391" s="1045"/>
      <c r="AF391" s="225"/>
    </row>
    <row r="392">
      <c r="A392" s="1013"/>
      <c r="B392" s="1019" t="s">
        <v>120</v>
      </c>
      <c r="C392" s="1020" t="s">
        <v>1035</v>
      </c>
      <c r="D392" s="1020" t="s">
        <v>1036</v>
      </c>
      <c r="E392" s="1020" t="s">
        <v>539</v>
      </c>
      <c r="F392" s="1020">
        <v>2021.0</v>
      </c>
      <c r="G392" s="1021">
        <v>5.9E-5</v>
      </c>
      <c r="H392" s="1021">
        <v>2.67E-5</v>
      </c>
      <c r="I392" s="1022">
        <v>1.08358E-4</v>
      </c>
      <c r="K392" s="1031" t="s">
        <v>124</v>
      </c>
      <c r="L392" s="1032" t="s">
        <v>539</v>
      </c>
      <c r="M392" s="1032" t="s">
        <v>1035</v>
      </c>
      <c r="N392" s="1032" t="s">
        <v>1046</v>
      </c>
      <c r="O392" s="1032">
        <v>2021.0</v>
      </c>
      <c r="P392" s="1032" t="s">
        <v>1039</v>
      </c>
      <c r="Q392" s="1033" t="s">
        <v>63</v>
      </c>
      <c r="R392" s="1034">
        <v>1.846267923</v>
      </c>
      <c r="S392" s="1034">
        <v>0.372080603</v>
      </c>
      <c r="T392" s="1035">
        <v>5.218176939</v>
      </c>
      <c r="AB392" s="1045"/>
      <c r="AF392" s="225"/>
    </row>
    <row r="393">
      <c r="A393" s="1013"/>
      <c r="B393" s="1019" t="s">
        <v>120</v>
      </c>
      <c r="C393" s="1020" t="s">
        <v>1035</v>
      </c>
      <c r="D393" s="1020" t="s">
        <v>1041</v>
      </c>
      <c r="E393" s="1020" t="s">
        <v>539</v>
      </c>
      <c r="F393" s="1020">
        <v>2021.0</v>
      </c>
      <c r="G393" s="1021">
        <v>8.1E-5</v>
      </c>
      <c r="H393" s="1021">
        <v>2.04E-5</v>
      </c>
      <c r="I393" s="1022">
        <v>1.9258E-4</v>
      </c>
      <c r="K393" s="1031" t="s">
        <v>124</v>
      </c>
      <c r="L393" s="1032" t="s">
        <v>539</v>
      </c>
      <c r="M393" s="1032" t="s">
        <v>1035</v>
      </c>
      <c r="N393" s="1032" t="s">
        <v>1045</v>
      </c>
      <c r="O393" s="1032">
        <v>2021.0</v>
      </c>
      <c r="P393" s="1032" t="s">
        <v>1039</v>
      </c>
      <c r="Q393" s="1033" t="s">
        <v>63</v>
      </c>
      <c r="R393" s="1034">
        <v>7.614581744</v>
      </c>
      <c r="S393" s="1034">
        <v>2.564571096</v>
      </c>
      <c r="T393" s="1035">
        <v>15.5400644</v>
      </c>
      <c r="AB393" s="1045"/>
      <c r="AF393" s="225"/>
    </row>
    <row r="394">
      <c r="A394" s="1013"/>
      <c r="B394" s="1019" t="s">
        <v>120</v>
      </c>
      <c r="C394" s="1020" t="s">
        <v>1035</v>
      </c>
      <c r="D394" s="1020" t="s">
        <v>1043</v>
      </c>
      <c r="E394" s="1020" t="s">
        <v>539</v>
      </c>
      <c r="F394" s="1020">
        <v>2021.0</v>
      </c>
      <c r="G394" s="1021">
        <v>1.09744E-4</v>
      </c>
      <c r="H394" s="1021">
        <v>2.63E-5</v>
      </c>
      <c r="I394" s="1022">
        <v>2.6435E-4</v>
      </c>
      <c r="K394" s="1031" t="s">
        <v>125</v>
      </c>
      <c r="L394" s="1032" t="s">
        <v>539</v>
      </c>
      <c r="M394" s="1032" t="s">
        <v>1035</v>
      </c>
      <c r="N394" s="1032" t="s">
        <v>1038</v>
      </c>
      <c r="O394" s="1032">
        <v>2021.0</v>
      </c>
      <c r="P394" s="1032" t="s">
        <v>1039</v>
      </c>
      <c r="Q394" s="1033" t="s">
        <v>63</v>
      </c>
      <c r="R394" s="1034">
        <v>0.310083423</v>
      </c>
      <c r="S394" s="1034">
        <v>0.057732682</v>
      </c>
      <c r="T394" s="1035">
        <v>0.834974897</v>
      </c>
      <c r="AB394" s="1045"/>
      <c r="AF394" s="225"/>
    </row>
    <row r="395">
      <c r="A395" s="1013"/>
      <c r="B395" s="1019" t="s">
        <v>120</v>
      </c>
      <c r="C395" s="1020" t="s">
        <v>1035</v>
      </c>
      <c r="D395" s="1020" t="s">
        <v>1045</v>
      </c>
      <c r="E395" s="1020" t="s">
        <v>539</v>
      </c>
      <c r="F395" s="1020">
        <v>2021.0</v>
      </c>
      <c r="G395" s="1021">
        <v>7.28763E-4</v>
      </c>
      <c r="H395" s="1021">
        <v>2.43366E-4</v>
      </c>
      <c r="I395" s="1022">
        <v>0.00170639</v>
      </c>
      <c r="K395" s="1031" t="s">
        <v>125</v>
      </c>
      <c r="L395" s="1032" t="s">
        <v>539</v>
      </c>
      <c r="M395" s="1032" t="s">
        <v>1035</v>
      </c>
      <c r="N395" s="1032" t="s">
        <v>1042</v>
      </c>
      <c r="O395" s="1032">
        <v>2021.0</v>
      </c>
      <c r="P395" s="1032" t="s">
        <v>1039</v>
      </c>
      <c r="Q395" s="1033" t="s">
        <v>63</v>
      </c>
      <c r="R395" s="1034">
        <v>0.0</v>
      </c>
      <c r="S395" s="1034">
        <v>0.0</v>
      </c>
      <c r="T395" s="1035">
        <v>0.0</v>
      </c>
      <c r="AB395" s="1045"/>
      <c r="AF395" s="225"/>
    </row>
    <row r="396">
      <c r="A396" s="1013"/>
      <c r="B396" s="1019" t="s">
        <v>139</v>
      </c>
      <c r="C396" s="1020" t="s">
        <v>1035</v>
      </c>
      <c r="D396" s="1020" t="s">
        <v>1036</v>
      </c>
      <c r="E396" s="1020" t="s">
        <v>539</v>
      </c>
      <c r="F396" s="1020">
        <v>2021.0</v>
      </c>
      <c r="G396" s="1021">
        <v>2.62E-6</v>
      </c>
      <c r="H396" s="1021">
        <v>1.14E-6</v>
      </c>
      <c r="I396" s="1022">
        <v>4.78E-6</v>
      </c>
      <c r="K396" s="1031" t="s">
        <v>125</v>
      </c>
      <c r="L396" s="1032" t="s">
        <v>539</v>
      </c>
      <c r="M396" s="1032" t="s">
        <v>1035</v>
      </c>
      <c r="N396" s="1032" t="s">
        <v>1044</v>
      </c>
      <c r="O396" s="1032">
        <v>2021.0</v>
      </c>
      <c r="P396" s="1032" t="s">
        <v>1039</v>
      </c>
      <c r="Q396" s="1033" t="s">
        <v>63</v>
      </c>
      <c r="R396" s="1034">
        <v>0.0</v>
      </c>
      <c r="S396" s="1034">
        <v>0.0</v>
      </c>
      <c r="T396" s="1035">
        <v>0.0</v>
      </c>
      <c r="AB396" s="1045"/>
      <c r="AF396" s="225"/>
    </row>
    <row r="397">
      <c r="A397" s="1013"/>
      <c r="B397" s="1019" t="s">
        <v>139</v>
      </c>
      <c r="C397" s="1020" t="s">
        <v>1035</v>
      </c>
      <c r="D397" s="1020" t="s">
        <v>1041</v>
      </c>
      <c r="E397" s="1020" t="s">
        <v>539</v>
      </c>
      <c r="F397" s="1020">
        <v>2021.0</v>
      </c>
      <c r="G397" s="1021">
        <v>2.93E-6</v>
      </c>
      <c r="H397" s="1021">
        <v>7.46E-7</v>
      </c>
      <c r="I397" s="1022">
        <v>6.83E-6</v>
      </c>
      <c r="K397" s="1031" t="s">
        <v>125</v>
      </c>
      <c r="L397" s="1032" t="s">
        <v>539</v>
      </c>
      <c r="M397" s="1032" t="s">
        <v>1035</v>
      </c>
      <c r="N397" s="1032" t="s">
        <v>1046</v>
      </c>
      <c r="O397" s="1032">
        <v>2021.0</v>
      </c>
      <c r="P397" s="1032" t="s">
        <v>1039</v>
      </c>
      <c r="Q397" s="1033" t="s">
        <v>63</v>
      </c>
      <c r="R397" s="1034">
        <v>0.09461251</v>
      </c>
      <c r="S397" s="1034">
        <v>0.022248407</v>
      </c>
      <c r="T397" s="1035">
        <v>0.250873992</v>
      </c>
      <c r="AB397" s="1045"/>
      <c r="AF397" s="225"/>
    </row>
    <row r="398">
      <c r="A398" s="1013"/>
      <c r="B398" s="1019" t="s">
        <v>139</v>
      </c>
      <c r="C398" s="1020" t="s">
        <v>1035</v>
      </c>
      <c r="D398" s="1020" t="s">
        <v>1043</v>
      </c>
      <c r="E398" s="1020" t="s">
        <v>539</v>
      </c>
      <c r="F398" s="1020">
        <v>2021.0</v>
      </c>
      <c r="G398" s="1021">
        <v>2.65E-6</v>
      </c>
      <c r="H398" s="1021">
        <v>6.73E-7</v>
      </c>
      <c r="I398" s="1022">
        <v>6.7E-6</v>
      </c>
      <c r="K398" s="1031" t="s">
        <v>125</v>
      </c>
      <c r="L398" s="1032" t="s">
        <v>539</v>
      </c>
      <c r="M398" s="1032" t="s">
        <v>1035</v>
      </c>
      <c r="N398" s="1032" t="s">
        <v>1045</v>
      </c>
      <c r="O398" s="1032">
        <v>2021.0</v>
      </c>
      <c r="P398" s="1032" t="s">
        <v>1039</v>
      </c>
      <c r="Q398" s="1033" t="s">
        <v>63</v>
      </c>
      <c r="R398" s="1034">
        <v>0.404695933</v>
      </c>
      <c r="S398" s="1034">
        <v>0.113926165</v>
      </c>
      <c r="T398" s="1035">
        <v>0.971989861</v>
      </c>
      <c r="AB398" s="1045"/>
      <c r="AF398" s="225"/>
    </row>
    <row r="399">
      <c r="A399" s="1013"/>
      <c r="B399" s="1019" t="s">
        <v>139</v>
      </c>
      <c r="C399" s="1020" t="s">
        <v>1035</v>
      </c>
      <c r="D399" s="1020" t="s">
        <v>1045</v>
      </c>
      <c r="E399" s="1020" t="s">
        <v>539</v>
      </c>
      <c r="F399" s="1020">
        <v>2021.0</v>
      </c>
      <c r="G399" s="1021">
        <v>1.13E-5</v>
      </c>
      <c r="H399" s="1021">
        <v>3.08E-6</v>
      </c>
      <c r="I399" s="1022">
        <v>2.73E-5</v>
      </c>
      <c r="K399" s="1031" t="s">
        <v>126</v>
      </c>
      <c r="L399" s="1032" t="s">
        <v>539</v>
      </c>
      <c r="M399" s="1032" t="s">
        <v>1035</v>
      </c>
      <c r="N399" s="1032" t="s">
        <v>1038</v>
      </c>
      <c r="O399" s="1032">
        <v>2021.0</v>
      </c>
      <c r="P399" s="1032" t="s">
        <v>1039</v>
      </c>
      <c r="Q399" s="1033" t="s">
        <v>63</v>
      </c>
      <c r="R399" s="1034">
        <v>0.509761962</v>
      </c>
      <c r="S399" s="1034">
        <v>0.095936388</v>
      </c>
      <c r="T399" s="1035">
        <v>1.300507292</v>
      </c>
      <c r="AB399" s="1045"/>
      <c r="AF399" s="225"/>
    </row>
    <row r="400">
      <c r="A400" s="1013"/>
      <c r="B400" s="1019" t="s">
        <v>140</v>
      </c>
      <c r="C400" s="1020" t="s">
        <v>1035</v>
      </c>
      <c r="D400" s="1020" t="s">
        <v>1036</v>
      </c>
      <c r="E400" s="1020" t="s">
        <v>539</v>
      </c>
      <c r="F400" s="1020">
        <v>2021.0</v>
      </c>
      <c r="G400" s="1021">
        <v>2.66E-6</v>
      </c>
      <c r="H400" s="1021">
        <v>1.17E-6</v>
      </c>
      <c r="I400" s="1022">
        <v>5.25E-6</v>
      </c>
      <c r="K400" s="1031" t="s">
        <v>126</v>
      </c>
      <c r="L400" s="1032" t="s">
        <v>539</v>
      </c>
      <c r="M400" s="1032" t="s">
        <v>1035</v>
      </c>
      <c r="N400" s="1032" t="s">
        <v>1042</v>
      </c>
      <c r="O400" s="1032">
        <v>2021.0</v>
      </c>
      <c r="P400" s="1032" t="s">
        <v>1039</v>
      </c>
      <c r="Q400" s="1033" t="s">
        <v>63</v>
      </c>
      <c r="R400" s="1034">
        <v>0.0</v>
      </c>
      <c r="S400" s="1034">
        <v>0.0</v>
      </c>
      <c r="T400" s="1035">
        <v>0.0</v>
      </c>
      <c r="AB400" s="1045"/>
      <c r="AF400" s="225"/>
    </row>
    <row r="401">
      <c r="A401" s="1013"/>
      <c r="B401" s="1019" t="s">
        <v>140</v>
      </c>
      <c r="C401" s="1020" t="s">
        <v>1035</v>
      </c>
      <c r="D401" s="1020" t="s">
        <v>1041</v>
      </c>
      <c r="E401" s="1020" t="s">
        <v>539</v>
      </c>
      <c r="F401" s="1020">
        <v>2021.0</v>
      </c>
      <c r="G401" s="1021">
        <v>3.27E-6</v>
      </c>
      <c r="H401" s="1021">
        <v>8.34E-7</v>
      </c>
      <c r="I401" s="1022">
        <v>7.95E-6</v>
      </c>
      <c r="K401" s="1031" t="s">
        <v>126</v>
      </c>
      <c r="L401" s="1032" t="s">
        <v>539</v>
      </c>
      <c r="M401" s="1032" t="s">
        <v>1035</v>
      </c>
      <c r="N401" s="1032" t="s">
        <v>1044</v>
      </c>
      <c r="O401" s="1032">
        <v>2021.0</v>
      </c>
      <c r="P401" s="1032" t="s">
        <v>1039</v>
      </c>
      <c r="Q401" s="1033" t="s">
        <v>63</v>
      </c>
      <c r="R401" s="1034">
        <v>0.0</v>
      </c>
      <c r="S401" s="1034">
        <v>0.0</v>
      </c>
      <c r="T401" s="1035">
        <v>0.0</v>
      </c>
      <c r="AB401" s="1045"/>
      <c r="AF401" s="225"/>
    </row>
    <row r="402">
      <c r="A402" s="1013"/>
      <c r="B402" s="1019" t="s">
        <v>140</v>
      </c>
      <c r="C402" s="1020" t="s">
        <v>1035</v>
      </c>
      <c r="D402" s="1020" t="s">
        <v>1043</v>
      </c>
      <c r="E402" s="1020" t="s">
        <v>539</v>
      </c>
      <c r="F402" s="1020">
        <v>2021.0</v>
      </c>
      <c r="G402" s="1021">
        <v>2.12E-6</v>
      </c>
      <c r="H402" s="1021">
        <v>3.83E-7</v>
      </c>
      <c r="I402" s="1022">
        <v>5.32E-6</v>
      </c>
      <c r="K402" s="1031" t="s">
        <v>126</v>
      </c>
      <c r="L402" s="1032" t="s">
        <v>539</v>
      </c>
      <c r="M402" s="1032" t="s">
        <v>1035</v>
      </c>
      <c r="N402" s="1032" t="s">
        <v>1046</v>
      </c>
      <c r="O402" s="1032">
        <v>2021.0</v>
      </c>
      <c r="P402" s="1032" t="s">
        <v>1039</v>
      </c>
      <c r="Q402" s="1033" t="s">
        <v>63</v>
      </c>
      <c r="R402" s="1034">
        <v>0.226625696</v>
      </c>
      <c r="S402" s="1034">
        <v>0.042421262</v>
      </c>
      <c r="T402" s="1035">
        <v>0.664167914</v>
      </c>
      <c r="AB402" s="1045"/>
      <c r="AF402" s="225"/>
    </row>
    <row r="403">
      <c r="A403" s="1013"/>
      <c r="B403" s="1019" t="s">
        <v>140</v>
      </c>
      <c r="C403" s="1020" t="s">
        <v>1035</v>
      </c>
      <c r="D403" s="1020" t="s">
        <v>1045</v>
      </c>
      <c r="E403" s="1020" t="s">
        <v>539</v>
      </c>
      <c r="F403" s="1020">
        <v>2021.0</v>
      </c>
      <c r="G403" s="1021">
        <v>6.94E-6</v>
      </c>
      <c r="H403" s="1021">
        <v>2.2E-6</v>
      </c>
      <c r="I403" s="1022">
        <v>1.6E-5</v>
      </c>
      <c r="K403" s="1031" t="s">
        <v>126</v>
      </c>
      <c r="L403" s="1032" t="s">
        <v>539</v>
      </c>
      <c r="M403" s="1032" t="s">
        <v>1035</v>
      </c>
      <c r="N403" s="1032" t="s">
        <v>1045</v>
      </c>
      <c r="O403" s="1032">
        <v>2021.0</v>
      </c>
      <c r="P403" s="1032" t="s">
        <v>1039</v>
      </c>
      <c r="Q403" s="1033" t="s">
        <v>63</v>
      </c>
      <c r="R403" s="1034">
        <v>0.736387658</v>
      </c>
      <c r="S403" s="1034">
        <v>0.193486942</v>
      </c>
      <c r="T403" s="1035">
        <v>1.670544306</v>
      </c>
      <c r="AB403" s="1045"/>
      <c r="AF403" s="225"/>
    </row>
    <row r="404">
      <c r="A404" s="1013"/>
      <c r="B404" s="1019" t="s">
        <v>141</v>
      </c>
      <c r="C404" s="1020" t="s">
        <v>1035</v>
      </c>
      <c r="D404" s="1020" t="s">
        <v>1036</v>
      </c>
      <c r="E404" s="1020" t="s">
        <v>539</v>
      </c>
      <c r="F404" s="1020">
        <v>2021.0</v>
      </c>
      <c r="G404" s="1021">
        <v>5.6E-7</v>
      </c>
      <c r="H404" s="1021">
        <v>2.47E-7</v>
      </c>
      <c r="I404" s="1022">
        <v>1.05E-6</v>
      </c>
      <c r="K404" s="1031" t="s">
        <v>114</v>
      </c>
      <c r="L404" s="1032" t="s">
        <v>539</v>
      </c>
      <c r="M404" s="1032" t="s">
        <v>1035</v>
      </c>
      <c r="N404" s="1032" t="s">
        <v>1038</v>
      </c>
      <c r="O404" s="1032">
        <v>2021.0</v>
      </c>
      <c r="P404" s="1032" t="s">
        <v>1039</v>
      </c>
      <c r="Q404" s="1033" t="s">
        <v>63</v>
      </c>
      <c r="R404" s="1034">
        <v>122.8566374</v>
      </c>
      <c r="S404" s="1034">
        <v>26.84347419</v>
      </c>
      <c r="T404" s="1035">
        <v>304.5761768</v>
      </c>
      <c r="AB404" s="1045"/>
      <c r="AF404" s="225"/>
    </row>
    <row r="405">
      <c r="A405" s="1013"/>
      <c r="B405" s="1019" t="s">
        <v>141</v>
      </c>
      <c r="C405" s="1020" t="s">
        <v>1035</v>
      </c>
      <c r="D405" s="1020" t="s">
        <v>1041</v>
      </c>
      <c r="E405" s="1020" t="s">
        <v>539</v>
      </c>
      <c r="F405" s="1020">
        <v>2021.0</v>
      </c>
      <c r="G405" s="1021">
        <v>8.27E-7</v>
      </c>
      <c r="H405" s="1021">
        <v>1.89E-7</v>
      </c>
      <c r="I405" s="1022">
        <v>1.95E-6</v>
      </c>
      <c r="K405" s="1031" t="s">
        <v>114</v>
      </c>
      <c r="L405" s="1032" t="s">
        <v>539</v>
      </c>
      <c r="M405" s="1032" t="s">
        <v>1035</v>
      </c>
      <c r="N405" s="1032" t="s">
        <v>1042</v>
      </c>
      <c r="O405" s="1032">
        <v>2021.0</v>
      </c>
      <c r="P405" s="1032" t="s">
        <v>1039</v>
      </c>
      <c r="Q405" s="1033" t="s">
        <v>63</v>
      </c>
      <c r="R405" s="1034">
        <v>0.0</v>
      </c>
      <c r="S405" s="1034">
        <v>0.0</v>
      </c>
      <c r="T405" s="1035">
        <v>0.0</v>
      </c>
      <c r="AB405" s="1045"/>
      <c r="AF405" s="225"/>
    </row>
    <row r="406">
      <c r="A406" s="1013"/>
      <c r="B406" s="1019" t="s">
        <v>141</v>
      </c>
      <c r="C406" s="1020" t="s">
        <v>1035</v>
      </c>
      <c r="D406" s="1020" t="s">
        <v>1043</v>
      </c>
      <c r="E406" s="1020" t="s">
        <v>539</v>
      </c>
      <c r="F406" s="1020">
        <v>2021.0</v>
      </c>
      <c r="G406" s="1021">
        <v>7.23E-7</v>
      </c>
      <c r="H406" s="1021">
        <v>1.69E-7</v>
      </c>
      <c r="I406" s="1022">
        <v>1.75E-6</v>
      </c>
      <c r="K406" s="1031" t="s">
        <v>114</v>
      </c>
      <c r="L406" s="1032" t="s">
        <v>539</v>
      </c>
      <c r="M406" s="1032" t="s">
        <v>1035</v>
      </c>
      <c r="N406" s="1032" t="s">
        <v>1044</v>
      </c>
      <c r="O406" s="1032">
        <v>2021.0</v>
      </c>
      <c r="P406" s="1032" t="s">
        <v>1039</v>
      </c>
      <c r="Q406" s="1033" t="s">
        <v>63</v>
      </c>
      <c r="R406" s="1034">
        <v>0.0</v>
      </c>
      <c r="S406" s="1034">
        <v>0.0</v>
      </c>
      <c r="T406" s="1035">
        <v>0.0</v>
      </c>
      <c r="AB406" s="1045"/>
      <c r="AF406" s="225"/>
    </row>
    <row r="407">
      <c r="A407" s="1013"/>
      <c r="B407" s="1019" t="s">
        <v>141</v>
      </c>
      <c r="C407" s="1020" t="s">
        <v>1035</v>
      </c>
      <c r="D407" s="1020" t="s">
        <v>1045</v>
      </c>
      <c r="E407" s="1020" t="s">
        <v>539</v>
      </c>
      <c r="F407" s="1020">
        <v>2021.0</v>
      </c>
      <c r="G407" s="1021">
        <v>1.67E-6</v>
      </c>
      <c r="H407" s="1021">
        <v>4.72E-7</v>
      </c>
      <c r="I407" s="1022">
        <v>3.65E-6</v>
      </c>
      <c r="K407" s="1031" t="s">
        <v>114</v>
      </c>
      <c r="L407" s="1032" t="s">
        <v>539</v>
      </c>
      <c r="M407" s="1032" t="s">
        <v>1035</v>
      </c>
      <c r="N407" s="1032" t="s">
        <v>1046</v>
      </c>
      <c r="O407" s="1032">
        <v>2021.0</v>
      </c>
      <c r="P407" s="1032" t="s">
        <v>1039</v>
      </c>
      <c r="Q407" s="1033" t="s">
        <v>63</v>
      </c>
      <c r="R407" s="1034">
        <v>17.73593433</v>
      </c>
      <c r="S407" s="1034">
        <v>3.930902069</v>
      </c>
      <c r="T407" s="1035">
        <v>46.54249962</v>
      </c>
      <c r="AB407" s="1045"/>
      <c r="AF407" s="225"/>
    </row>
    <row r="408">
      <c r="A408" s="1013"/>
      <c r="B408" s="1019" t="s">
        <v>142</v>
      </c>
      <c r="C408" s="1020" t="s">
        <v>1035</v>
      </c>
      <c r="D408" s="1020" t="s">
        <v>1036</v>
      </c>
      <c r="E408" s="1020" t="s">
        <v>539</v>
      </c>
      <c r="F408" s="1020">
        <v>2021.0</v>
      </c>
      <c r="G408" s="1021">
        <v>5.77E-6</v>
      </c>
      <c r="H408" s="1021">
        <v>2.78E-6</v>
      </c>
      <c r="I408" s="1022">
        <v>1.01E-5</v>
      </c>
      <c r="K408" s="1031" t="s">
        <v>114</v>
      </c>
      <c r="L408" s="1032" t="s">
        <v>539</v>
      </c>
      <c r="M408" s="1032" t="s">
        <v>1035</v>
      </c>
      <c r="N408" s="1032" t="s">
        <v>1045</v>
      </c>
      <c r="O408" s="1032">
        <v>2021.0</v>
      </c>
      <c r="P408" s="1032" t="s">
        <v>1039</v>
      </c>
      <c r="Q408" s="1033" t="s">
        <v>63</v>
      </c>
      <c r="R408" s="1034">
        <v>140.5925717</v>
      </c>
      <c r="S408" s="1034">
        <v>38.18374632</v>
      </c>
      <c r="T408" s="1035">
        <v>324.1620891</v>
      </c>
      <c r="AB408" s="1045"/>
      <c r="AF408" s="225"/>
    </row>
    <row r="409">
      <c r="A409" s="1013"/>
      <c r="B409" s="1019" t="s">
        <v>142</v>
      </c>
      <c r="C409" s="1020" t="s">
        <v>1035</v>
      </c>
      <c r="D409" s="1020" t="s">
        <v>1041</v>
      </c>
      <c r="E409" s="1020" t="s">
        <v>539</v>
      </c>
      <c r="F409" s="1020">
        <v>2021.0</v>
      </c>
      <c r="G409" s="1021">
        <v>6.82E-6</v>
      </c>
      <c r="H409" s="1021">
        <v>1.76E-6</v>
      </c>
      <c r="I409" s="1022">
        <v>1.51E-5</v>
      </c>
      <c r="K409" s="1031" t="s">
        <v>127</v>
      </c>
      <c r="L409" s="1032" t="s">
        <v>539</v>
      </c>
      <c r="M409" s="1032" t="s">
        <v>1035</v>
      </c>
      <c r="N409" s="1032" t="s">
        <v>1038</v>
      </c>
      <c r="O409" s="1032">
        <v>2021.0</v>
      </c>
      <c r="P409" s="1032" t="s">
        <v>1039</v>
      </c>
      <c r="Q409" s="1033" t="s">
        <v>63</v>
      </c>
      <c r="R409" s="1034">
        <v>0.344827021</v>
      </c>
      <c r="S409" s="1034">
        <v>0.071574587</v>
      </c>
      <c r="T409" s="1035">
        <v>0.90166613</v>
      </c>
      <c r="AB409" s="1045"/>
      <c r="AF409" s="225"/>
    </row>
    <row r="410">
      <c r="A410" s="1013"/>
      <c r="B410" s="1019" t="s">
        <v>142</v>
      </c>
      <c r="C410" s="1020" t="s">
        <v>1035</v>
      </c>
      <c r="D410" s="1020" t="s">
        <v>1043</v>
      </c>
      <c r="E410" s="1020" t="s">
        <v>539</v>
      </c>
      <c r="F410" s="1020">
        <v>2021.0</v>
      </c>
      <c r="G410" s="1021">
        <v>7.4E-6</v>
      </c>
      <c r="H410" s="1021">
        <v>1.94E-6</v>
      </c>
      <c r="I410" s="1022">
        <v>1.78E-5</v>
      </c>
      <c r="K410" s="1031" t="s">
        <v>127</v>
      </c>
      <c r="L410" s="1032" t="s">
        <v>539</v>
      </c>
      <c r="M410" s="1032" t="s">
        <v>1035</v>
      </c>
      <c r="N410" s="1032" t="s">
        <v>1042</v>
      </c>
      <c r="O410" s="1032">
        <v>2021.0</v>
      </c>
      <c r="P410" s="1032" t="s">
        <v>1039</v>
      </c>
      <c r="Q410" s="1033" t="s">
        <v>63</v>
      </c>
      <c r="R410" s="1034">
        <v>0.0</v>
      </c>
      <c r="S410" s="1034">
        <v>0.0</v>
      </c>
      <c r="T410" s="1035">
        <v>0.0</v>
      </c>
      <c r="AB410" s="1045"/>
      <c r="AF410" s="225"/>
    </row>
    <row r="411">
      <c r="A411" s="1013"/>
      <c r="B411" s="1019" t="s">
        <v>142</v>
      </c>
      <c r="C411" s="1020" t="s">
        <v>1035</v>
      </c>
      <c r="D411" s="1020" t="s">
        <v>1045</v>
      </c>
      <c r="E411" s="1020" t="s">
        <v>539</v>
      </c>
      <c r="F411" s="1020">
        <v>2021.0</v>
      </c>
      <c r="G411" s="1021">
        <v>3.13E-5</v>
      </c>
      <c r="H411" s="1021">
        <v>1.04E-5</v>
      </c>
      <c r="I411" s="1022">
        <v>7.28E-5</v>
      </c>
      <c r="K411" s="1031" t="s">
        <v>127</v>
      </c>
      <c r="L411" s="1032" t="s">
        <v>539</v>
      </c>
      <c r="M411" s="1032" t="s">
        <v>1035</v>
      </c>
      <c r="N411" s="1032" t="s">
        <v>1044</v>
      </c>
      <c r="O411" s="1032">
        <v>2021.0</v>
      </c>
      <c r="P411" s="1032" t="s">
        <v>1039</v>
      </c>
      <c r="Q411" s="1033" t="s">
        <v>63</v>
      </c>
      <c r="R411" s="1034">
        <v>0.0</v>
      </c>
      <c r="S411" s="1034">
        <v>0.0</v>
      </c>
      <c r="T411" s="1035">
        <v>0.0</v>
      </c>
      <c r="AB411" s="1045"/>
      <c r="AF411" s="225"/>
    </row>
    <row r="412">
      <c r="A412" s="1013"/>
      <c r="B412" s="1019" t="s">
        <v>143</v>
      </c>
      <c r="C412" s="1020" t="s">
        <v>1035</v>
      </c>
      <c r="D412" s="1020" t="s">
        <v>1036</v>
      </c>
      <c r="E412" s="1020" t="s">
        <v>539</v>
      </c>
      <c r="F412" s="1020">
        <v>2021.0</v>
      </c>
      <c r="G412" s="1021">
        <v>1.63E-5</v>
      </c>
      <c r="H412" s="1021">
        <v>7.32E-6</v>
      </c>
      <c r="I412" s="1022">
        <v>3.03E-5</v>
      </c>
      <c r="K412" s="1031" t="s">
        <v>127</v>
      </c>
      <c r="L412" s="1032" t="s">
        <v>539</v>
      </c>
      <c r="M412" s="1032" t="s">
        <v>1035</v>
      </c>
      <c r="N412" s="1032" t="s">
        <v>1046</v>
      </c>
      <c r="O412" s="1032">
        <v>2021.0</v>
      </c>
      <c r="P412" s="1032" t="s">
        <v>1039</v>
      </c>
      <c r="Q412" s="1033" t="s">
        <v>63</v>
      </c>
      <c r="R412" s="1034">
        <v>0.082234531</v>
      </c>
      <c r="S412" s="1034">
        <v>0.01692474</v>
      </c>
      <c r="T412" s="1035">
        <v>0.227355643</v>
      </c>
      <c r="AB412" s="1045"/>
      <c r="AF412" s="225"/>
    </row>
    <row r="413">
      <c r="A413" s="1013"/>
      <c r="B413" s="1019" t="s">
        <v>143</v>
      </c>
      <c r="C413" s="1020" t="s">
        <v>1035</v>
      </c>
      <c r="D413" s="1020" t="s">
        <v>1041</v>
      </c>
      <c r="E413" s="1020" t="s">
        <v>539</v>
      </c>
      <c r="F413" s="1020">
        <v>2021.0</v>
      </c>
      <c r="G413" s="1021">
        <v>2.05E-5</v>
      </c>
      <c r="H413" s="1021">
        <v>6.27E-6</v>
      </c>
      <c r="I413" s="1022">
        <v>4.71E-5</v>
      </c>
      <c r="K413" s="1031" t="s">
        <v>127</v>
      </c>
      <c r="L413" s="1032" t="s">
        <v>539</v>
      </c>
      <c r="M413" s="1032" t="s">
        <v>1035</v>
      </c>
      <c r="N413" s="1032" t="s">
        <v>1045</v>
      </c>
      <c r="O413" s="1032">
        <v>2021.0</v>
      </c>
      <c r="P413" s="1032" t="s">
        <v>1039</v>
      </c>
      <c r="Q413" s="1033" t="s">
        <v>63</v>
      </c>
      <c r="R413" s="1034">
        <v>0.427061552</v>
      </c>
      <c r="S413" s="1034">
        <v>0.118484694</v>
      </c>
      <c r="T413" s="1035">
        <v>1.018904139</v>
      </c>
      <c r="AB413" s="1045"/>
      <c r="AF413" s="225"/>
    </row>
    <row r="414">
      <c r="A414" s="1013"/>
      <c r="B414" s="1019" t="s">
        <v>143</v>
      </c>
      <c r="C414" s="1020" t="s">
        <v>1035</v>
      </c>
      <c r="D414" s="1020" t="s">
        <v>1043</v>
      </c>
      <c r="E414" s="1020" t="s">
        <v>539</v>
      </c>
      <c r="F414" s="1020">
        <v>2021.0</v>
      </c>
      <c r="G414" s="1021">
        <v>2.42E-5</v>
      </c>
      <c r="H414" s="1021">
        <v>5.36E-6</v>
      </c>
      <c r="I414" s="1022">
        <v>5.54E-5</v>
      </c>
      <c r="K414" s="1031" t="s">
        <v>128</v>
      </c>
      <c r="L414" s="1032" t="s">
        <v>539</v>
      </c>
      <c r="M414" s="1032" t="s">
        <v>1035</v>
      </c>
      <c r="N414" s="1032" t="s">
        <v>1038</v>
      </c>
      <c r="O414" s="1032">
        <v>2021.0</v>
      </c>
      <c r="P414" s="1032" t="s">
        <v>1039</v>
      </c>
      <c r="Q414" s="1033" t="s">
        <v>63</v>
      </c>
      <c r="R414" s="1034">
        <v>3.706751873</v>
      </c>
      <c r="S414" s="1034">
        <v>0.899084715</v>
      </c>
      <c r="T414" s="1035">
        <v>9.440467974</v>
      </c>
      <c r="AB414" s="1045"/>
      <c r="AF414" s="225"/>
    </row>
    <row r="415">
      <c r="A415" s="1013"/>
      <c r="B415" s="1019" t="s">
        <v>143</v>
      </c>
      <c r="C415" s="1020" t="s">
        <v>1035</v>
      </c>
      <c r="D415" s="1020" t="s">
        <v>1045</v>
      </c>
      <c r="E415" s="1020" t="s">
        <v>539</v>
      </c>
      <c r="F415" s="1020">
        <v>2021.0</v>
      </c>
      <c r="G415" s="1021">
        <v>1.1796E-4</v>
      </c>
      <c r="H415" s="1021">
        <v>4.04E-5</v>
      </c>
      <c r="I415" s="1022">
        <v>2.53544E-4</v>
      </c>
      <c r="K415" s="1031" t="s">
        <v>128</v>
      </c>
      <c r="L415" s="1032" t="s">
        <v>539</v>
      </c>
      <c r="M415" s="1032" t="s">
        <v>1035</v>
      </c>
      <c r="N415" s="1032" t="s">
        <v>1042</v>
      </c>
      <c r="O415" s="1032">
        <v>2021.0</v>
      </c>
      <c r="P415" s="1032" t="s">
        <v>1039</v>
      </c>
      <c r="Q415" s="1033" t="s">
        <v>63</v>
      </c>
      <c r="R415" s="1034">
        <v>0.0</v>
      </c>
      <c r="S415" s="1034">
        <v>0.0</v>
      </c>
      <c r="T415" s="1035">
        <v>0.0</v>
      </c>
      <c r="AB415" s="1045"/>
      <c r="AF415" s="225"/>
    </row>
    <row r="416">
      <c r="A416" s="1013"/>
      <c r="B416" s="1019" t="s">
        <v>109</v>
      </c>
      <c r="C416" s="1020" t="s">
        <v>1035</v>
      </c>
      <c r="D416" s="1020" t="s">
        <v>1036</v>
      </c>
      <c r="E416" s="1020" t="s">
        <v>539</v>
      </c>
      <c r="F416" s="1020">
        <v>2021.0</v>
      </c>
      <c r="G416" s="1021">
        <v>1.21E-5</v>
      </c>
      <c r="H416" s="1021">
        <v>7.94E-6</v>
      </c>
      <c r="I416" s="1022">
        <v>1.74E-5</v>
      </c>
      <c r="K416" s="1031" t="s">
        <v>128</v>
      </c>
      <c r="L416" s="1032" t="s">
        <v>539</v>
      </c>
      <c r="M416" s="1032" t="s">
        <v>1035</v>
      </c>
      <c r="N416" s="1032" t="s">
        <v>1044</v>
      </c>
      <c r="O416" s="1032">
        <v>2021.0</v>
      </c>
      <c r="P416" s="1032" t="s">
        <v>1039</v>
      </c>
      <c r="Q416" s="1033" t="s">
        <v>63</v>
      </c>
      <c r="R416" s="1034">
        <v>0.0</v>
      </c>
      <c r="S416" s="1034">
        <v>0.0</v>
      </c>
      <c r="T416" s="1035">
        <v>0.0</v>
      </c>
      <c r="AB416" s="1045"/>
      <c r="AF416" s="225"/>
    </row>
    <row r="417">
      <c r="A417" s="1013"/>
      <c r="B417" s="1019" t="s">
        <v>109</v>
      </c>
      <c r="C417" s="1020" t="s">
        <v>1035</v>
      </c>
      <c r="D417" s="1020" t="s">
        <v>1041</v>
      </c>
      <c r="E417" s="1020" t="s">
        <v>539</v>
      </c>
      <c r="F417" s="1020">
        <v>2021.0</v>
      </c>
      <c r="G417" s="1021">
        <v>1.47E-5</v>
      </c>
      <c r="H417" s="1021">
        <v>9.27E-6</v>
      </c>
      <c r="I417" s="1022">
        <v>2.2E-5</v>
      </c>
      <c r="K417" s="1031" t="s">
        <v>128</v>
      </c>
      <c r="L417" s="1032" t="s">
        <v>539</v>
      </c>
      <c r="M417" s="1032" t="s">
        <v>1035</v>
      </c>
      <c r="N417" s="1032" t="s">
        <v>1046</v>
      </c>
      <c r="O417" s="1032">
        <v>2021.0</v>
      </c>
      <c r="P417" s="1032" t="s">
        <v>1039</v>
      </c>
      <c r="Q417" s="1033" t="s">
        <v>63</v>
      </c>
      <c r="R417" s="1034">
        <v>2.270374832</v>
      </c>
      <c r="S417" s="1034">
        <v>0.446909914</v>
      </c>
      <c r="T417" s="1035">
        <v>6.32718312</v>
      </c>
      <c r="AB417" s="1045"/>
      <c r="AF417" s="225"/>
    </row>
    <row r="418">
      <c r="A418" s="1013"/>
      <c r="B418" s="1019" t="s">
        <v>109</v>
      </c>
      <c r="C418" s="1020" t="s">
        <v>1035</v>
      </c>
      <c r="D418" s="1020" t="s">
        <v>1043</v>
      </c>
      <c r="E418" s="1020" t="s">
        <v>539</v>
      </c>
      <c r="F418" s="1020">
        <v>2021.0</v>
      </c>
      <c r="G418" s="1021">
        <v>2.85E-5</v>
      </c>
      <c r="H418" s="1021">
        <v>1.76E-5</v>
      </c>
      <c r="I418" s="1022">
        <v>4.48E-5</v>
      </c>
      <c r="K418" s="1031" t="s">
        <v>128</v>
      </c>
      <c r="L418" s="1032" t="s">
        <v>539</v>
      </c>
      <c r="M418" s="1032" t="s">
        <v>1035</v>
      </c>
      <c r="N418" s="1032" t="s">
        <v>1045</v>
      </c>
      <c r="O418" s="1032">
        <v>2021.0</v>
      </c>
      <c r="P418" s="1032" t="s">
        <v>1039</v>
      </c>
      <c r="Q418" s="1033" t="s">
        <v>63</v>
      </c>
      <c r="R418" s="1034">
        <v>5.977126705</v>
      </c>
      <c r="S418" s="1034">
        <v>2.143782943</v>
      </c>
      <c r="T418" s="1035">
        <v>13.46465966</v>
      </c>
      <c r="AB418" s="1045"/>
      <c r="AF418" s="225"/>
    </row>
    <row r="419">
      <c r="A419" s="1013"/>
      <c r="B419" s="1019" t="s">
        <v>109</v>
      </c>
      <c r="C419" s="1020" t="s">
        <v>1035</v>
      </c>
      <c r="D419" s="1020" t="s">
        <v>1045</v>
      </c>
      <c r="E419" s="1020" t="s">
        <v>539</v>
      </c>
      <c r="F419" s="1020">
        <v>2021.0</v>
      </c>
      <c r="G419" s="1021">
        <v>2.29297E-4</v>
      </c>
      <c r="H419" s="1021">
        <v>1.21955E-4</v>
      </c>
      <c r="I419" s="1022">
        <v>3.67912E-4</v>
      </c>
      <c r="K419" s="1031" t="s">
        <v>129</v>
      </c>
      <c r="L419" s="1032" t="s">
        <v>539</v>
      </c>
      <c r="M419" s="1032" t="s">
        <v>1035</v>
      </c>
      <c r="N419" s="1032" t="s">
        <v>1038</v>
      </c>
      <c r="O419" s="1032">
        <v>2021.0</v>
      </c>
      <c r="P419" s="1032" t="s">
        <v>1039</v>
      </c>
      <c r="Q419" s="1033" t="s">
        <v>63</v>
      </c>
      <c r="R419" s="1034">
        <v>5.757578823</v>
      </c>
      <c r="S419" s="1034">
        <v>1.378798423</v>
      </c>
      <c r="T419" s="1035">
        <v>14.0047814</v>
      </c>
      <c r="AB419" s="1045"/>
      <c r="AF419" s="225"/>
    </row>
    <row r="420">
      <c r="A420" s="1013"/>
      <c r="B420" s="1019" t="s">
        <v>146</v>
      </c>
      <c r="C420" s="1020" t="s">
        <v>1035</v>
      </c>
      <c r="D420" s="1020" t="s">
        <v>1036</v>
      </c>
      <c r="E420" s="1020" t="s">
        <v>539</v>
      </c>
      <c r="F420" s="1020">
        <v>2021.0</v>
      </c>
      <c r="G420" s="1021">
        <v>3.58E-6</v>
      </c>
      <c r="H420" s="1021">
        <v>1.61E-6</v>
      </c>
      <c r="I420" s="1022">
        <v>6.73E-6</v>
      </c>
      <c r="K420" s="1031" t="s">
        <v>129</v>
      </c>
      <c r="L420" s="1032" t="s">
        <v>539</v>
      </c>
      <c r="M420" s="1032" t="s">
        <v>1035</v>
      </c>
      <c r="N420" s="1032" t="s">
        <v>1042</v>
      </c>
      <c r="O420" s="1032">
        <v>2021.0</v>
      </c>
      <c r="P420" s="1032" t="s">
        <v>1039</v>
      </c>
      <c r="Q420" s="1033" t="s">
        <v>63</v>
      </c>
      <c r="R420" s="1034">
        <v>0.0</v>
      </c>
      <c r="S420" s="1034">
        <v>0.0</v>
      </c>
      <c r="T420" s="1035">
        <v>0.0</v>
      </c>
      <c r="AB420" s="1045"/>
      <c r="AF420" s="225"/>
    </row>
    <row r="421">
      <c r="A421" s="1013"/>
      <c r="B421" s="1019" t="s">
        <v>146</v>
      </c>
      <c r="C421" s="1020" t="s">
        <v>1035</v>
      </c>
      <c r="D421" s="1020" t="s">
        <v>1041</v>
      </c>
      <c r="E421" s="1020" t="s">
        <v>539</v>
      </c>
      <c r="F421" s="1020">
        <v>2021.0</v>
      </c>
      <c r="G421" s="1021">
        <v>4.03E-6</v>
      </c>
      <c r="H421" s="1021">
        <v>1.16E-6</v>
      </c>
      <c r="I421" s="1022">
        <v>9.41E-6</v>
      </c>
      <c r="K421" s="1031" t="s">
        <v>129</v>
      </c>
      <c r="L421" s="1032" t="s">
        <v>539</v>
      </c>
      <c r="M421" s="1032" t="s">
        <v>1035</v>
      </c>
      <c r="N421" s="1032" t="s">
        <v>1044</v>
      </c>
      <c r="O421" s="1032">
        <v>2021.0</v>
      </c>
      <c r="P421" s="1032" t="s">
        <v>1039</v>
      </c>
      <c r="Q421" s="1033" t="s">
        <v>63</v>
      </c>
      <c r="R421" s="1034">
        <v>0.0</v>
      </c>
      <c r="S421" s="1034">
        <v>0.0</v>
      </c>
      <c r="T421" s="1035">
        <v>0.0</v>
      </c>
      <c r="AB421" s="1045"/>
      <c r="AF421" s="225"/>
    </row>
    <row r="422">
      <c r="A422" s="1013"/>
      <c r="B422" s="1019" t="s">
        <v>146</v>
      </c>
      <c r="C422" s="1020" t="s">
        <v>1035</v>
      </c>
      <c r="D422" s="1020" t="s">
        <v>1043</v>
      </c>
      <c r="E422" s="1020" t="s">
        <v>539</v>
      </c>
      <c r="F422" s="1020">
        <v>2021.0</v>
      </c>
      <c r="G422" s="1021">
        <v>3.91E-6</v>
      </c>
      <c r="H422" s="1021">
        <v>8.94E-7</v>
      </c>
      <c r="I422" s="1022">
        <v>1.05E-5</v>
      </c>
      <c r="K422" s="1031" t="s">
        <v>129</v>
      </c>
      <c r="L422" s="1032" t="s">
        <v>539</v>
      </c>
      <c r="M422" s="1032" t="s">
        <v>1035</v>
      </c>
      <c r="N422" s="1032" t="s">
        <v>1046</v>
      </c>
      <c r="O422" s="1032">
        <v>2021.0</v>
      </c>
      <c r="P422" s="1032" t="s">
        <v>1039</v>
      </c>
      <c r="Q422" s="1033" t="s">
        <v>63</v>
      </c>
      <c r="R422" s="1034">
        <v>2.079454236</v>
      </c>
      <c r="S422" s="1034">
        <v>0.409789629</v>
      </c>
      <c r="T422" s="1035">
        <v>5.70992436</v>
      </c>
      <c r="AB422" s="1045"/>
      <c r="AF422" s="225"/>
    </row>
    <row r="423">
      <c r="A423" s="1013"/>
      <c r="B423" s="1019" t="s">
        <v>146</v>
      </c>
      <c r="C423" s="1020" t="s">
        <v>1035</v>
      </c>
      <c r="D423" s="1020" t="s">
        <v>1045</v>
      </c>
      <c r="E423" s="1020" t="s">
        <v>539</v>
      </c>
      <c r="F423" s="1020">
        <v>2021.0</v>
      </c>
      <c r="G423" s="1021">
        <v>1.32E-5</v>
      </c>
      <c r="H423" s="1021">
        <v>4.05E-6</v>
      </c>
      <c r="I423" s="1022">
        <v>2.91E-5</v>
      </c>
      <c r="K423" s="1031" t="s">
        <v>129</v>
      </c>
      <c r="L423" s="1032" t="s">
        <v>539</v>
      </c>
      <c r="M423" s="1032" t="s">
        <v>1035</v>
      </c>
      <c r="N423" s="1032" t="s">
        <v>1045</v>
      </c>
      <c r="O423" s="1032">
        <v>2021.0</v>
      </c>
      <c r="P423" s="1032" t="s">
        <v>1039</v>
      </c>
      <c r="Q423" s="1033" t="s">
        <v>63</v>
      </c>
      <c r="R423" s="1034">
        <v>7.83703306</v>
      </c>
      <c r="S423" s="1034">
        <v>2.452266861</v>
      </c>
      <c r="T423" s="1035">
        <v>16.94262421</v>
      </c>
      <c r="AB423" s="1045"/>
      <c r="AF423" s="225"/>
    </row>
    <row r="424">
      <c r="A424" s="1013"/>
      <c r="B424" s="1019" t="s">
        <v>147</v>
      </c>
      <c r="C424" s="1020" t="s">
        <v>1035</v>
      </c>
      <c r="D424" s="1020" t="s">
        <v>1036</v>
      </c>
      <c r="E424" s="1020" t="s">
        <v>539</v>
      </c>
      <c r="F424" s="1020">
        <v>2021.0</v>
      </c>
      <c r="G424" s="1021">
        <v>1.37E-6</v>
      </c>
      <c r="H424" s="1021">
        <v>6.07E-7</v>
      </c>
      <c r="I424" s="1022">
        <v>2.48E-6</v>
      </c>
      <c r="K424" s="1031" t="s">
        <v>130</v>
      </c>
      <c r="L424" s="1032" t="s">
        <v>539</v>
      </c>
      <c r="M424" s="1032" t="s">
        <v>1035</v>
      </c>
      <c r="N424" s="1032" t="s">
        <v>1038</v>
      </c>
      <c r="O424" s="1032">
        <v>2021.0</v>
      </c>
      <c r="P424" s="1032" t="s">
        <v>1039</v>
      </c>
      <c r="Q424" s="1033" t="s">
        <v>63</v>
      </c>
      <c r="R424" s="1034">
        <v>0.333871726</v>
      </c>
      <c r="S424" s="1034">
        <v>0.082626163</v>
      </c>
      <c r="T424" s="1035">
        <v>0.809183084</v>
      </c>
      <c r="AB424" s="1045"/>
      <c r="AF424" s="225"/>
    </row>
    <row r="425">
      <c r="A425" s="1013"/>
      <c r="B425" s="1019" t="s">
        <v>147</v>
      </c>
      <c r="C425" s="1020" t="s">
        <v>1035</v>
      </c>
      <c r="D425" s="1020" t="s">
        <v>1041</v>
      </c>
      <c r="E425" s="1020" t="s">
        <v>539</v>
      </c>
      <c r="F425" s="1020">
        <v>2021.0</v>
      </c>
      <c r="G425" s="1021">
        <v>1.48E-6</v>
      </c>
      <c r="H425" s="1021">
        <v>3.72E-7</v>
      </c>
      <c r="I425" s="1022">
        <v>3.62E-6</v>
      </c>
      <c r="K425" s="1031" t="s">
        <v>130</v>
      </c>
      <c r="L425" s="1032" t="s">
        <v>539</v>
      </c>
      <c r="M425" s="1032" t="s">
        <v>1035</v>
      </c>
      <c r="N425" s="1032" t="s">
        <v>1042</v>
      </c>
      <c r="O425" s="1032">
        <v>2021.0</v>
      </c>
      <c r="P425" s="1032" t="s">
        <v>1039</v>
      </c>
      <c r="Q425" s="1033" t="s">
        <v>63</v>
      </c>
      <c r="R425" s="1034">
        <v>0.0</v>
      </c>
      <c r="S425" s="1034">
        <v>0.0</v>
      </c>
      <c r="T425" s="1035">
        <v>0.0</v>
      </c>
      <c r="AB425" s="1045"/>
      <c r="AF425" s="225"/>
    </row>
    <row r="426">
      <c r="A426" s="1013"/>
      <c r="B426" s="1019" t="s">
        <v>147</v>
      </c>
      <c r="C426" s="1020" t="s">
        <v>1035</v>
      </c>
      <c r="D426" s="1020" t="s">
        <v>1043</v>
      </c>
      <c r="E426" s="1020" t="s">
        <v>539</v>
      </c>
      <c r="F426" s="1020">
        <v>2021.0</v>
      </c>
      <c r="G426" s="1021">
        <v>1.75E-6</v>
      </c>
      <c r="H426" s="1021">
        <v>4.41E-7</v>
      </c>
      <c r="I426" s="1022">
        <v>4.35E-6</v>
      </c>
      <c r="K426" s="1031" t="s">
        <v>130</v>
      </c>
      <c r="L426" s="1032" t="s">
        <v>539</v>
      </c>
      <c r="M426" s="1032" t="s">
        <v>1035</v>
      </c>
      <c r="N426" s="1032" t="s">
        <v>1044</v>
      </c>
      <c r="O426" s="1032">
        <v>2021.0</v>
      </c>
      <c r="P426" s="1032" t="s">
        <v>1039</v>
      </c>
      <c r="Q426" s="1033" t="s">
        <v>63</v>
      </c>
      <c r="R426" s="1034">
        <v>0.0</v>
      </c>
      <c r="S426" s="1034">
        <v>0.0</v>
      </c>
      <c r="T426" s="1035">
        <v>0.0</v>
      </c>
      <c r="AB426" s="1045"/>
      <c r="AF426" s="225"/>
    </row>
    <row r="427">
      <c r="A427" s="1013"/>
      <c r="B427" s="1019" t="s">
        <v>147</v>
      </c>
      <c r="C427" s="1020" t="s">
        <v>1035</v>
      </c>
      <c r="D427" s="1020" t="s">
        <v>1045</v>
      </c>
      <c r="E427" s="1020" t="s">
        <v>539</v>
      </c>
      <c r="F427" s="1020">
        <v>2021.0</v>
      </c>
      <c r="G427" s="1021">
        <v>7.03E-6</v>
      </c>
      <c r="H427" s="1021">
        <v>2.0E-6</v>
      </c>
      <c r="I427" s="1022">
        <v>1.62E-5</v>
      </c>
      <c r="K427" s="1031" t="s">
        <v>130</v>
      </c>
      <c r="L427" s="1032" t="s">
        <v>539</v>
      </c>
      <c r="M427" s="1032" t="s">
        <v>1035</v>
      </c>
      <c r="N427" s="1032" t="s">
        <v>1046</v>
      </c>
      <c r="O427" s="1032">
        <v>2021.0</v>
      </c>
      <c r="P427" s="1032" t="s">
        <v>1039</v>
      </c>
      <c r="Q427" s="1033" t="s">
        <v>63</v>
      </c>
      <c r="R427" s="1034">
        <v>0.108272675</v>
      </c>
      <c r="S427" s="1034">
        <v>0.026732926</v>
      </c>
      <c r="T427" s="1035">
        <v>0.267128004</v>
      </c>
      <c r="AB427" s="1045"/>
      <c r="AF427" s="225"/>
    </row>
    <row r="428">
      <c r="A428" s="1013"/>
      <c r="B428" s="1019" t="s">
        <v>148</v>
      </c>
      <c r="C428" s="1020" t="s">
        <v>1035</v>
      </c>
      <c r="D428" s="1020" t="s">
        <v>1036</v>
      </c>
      <c r="E428" s="1020" t="s">
        <v>539</v>
      </c>
      <c r="F428" s="1020">
        <v>2021.0</v>
      </c>
      <c r="G428" s="1021">
        <v>7.63E-7</v>
      </c>
      <c r="H428" s="1021">
        <v>3.06E-7</v>
      </c>
      <c r="I428" s="1022">
        <v>1.52E-6</v>
      </c>
      <c r="K428" s="1031" t="s">
        <v>130</v>
      </c>
      <c r="L428" s="1032" t="s">
        <v>539</v>
      </c>
      <c r="M428" s="1032" t="s">
        <v>1035</v>
      </c>
      <c r="N428" s="1032" t="s">
        <v>1045</v>
      </c>
      <c r="O428" s="1032">
        <v>2021.0</v>
      </c>
      <c r="P428" s="1032" t="s">
        <v>1039</v>
      </c>
      <c r="Q428" s="1033" t="s">
        <v>63</v>
      </c>
      <c r="R428" s="1034">
        <v>0.442144401</v>
      </c>
      <c r="S428" s="1034">
        <v>0.146907131</v>
      </c>
      <c r="T428" s="1035">
        <v>0.984133391</v>
      </c>
      <c r="AB428" s="1045"/>
      <c r="AF428" s="225"/>
    </row>
    <row r="429">
      <c r="A429" s="1013"/>
      <c r="B429" s="1019" t="s">
        <v>148</v>
      </c>
      <c r="C429" s="1020" t="s">
        <v>1035</v>
      </c>
      <c r="D429" s="1020" t="s">
        <v>1041</v>
      </c>
      <c r="E429" s="1020" t="s">
        <v>539</v>
      </c>
      <c r="F429" s="1020">
        <v>2021.0</v>
      </c>
      <c r="G429" s="1021">
        <v>9.36E-7</v>
      </c>
      <c r="H429" s="1021">
        <v>2.3E-7</v>
      </c>
      <c r="I429" s="1022">
        <v>2.13E-6</v>
      </c>
      <c r="K429" s="1031" t="s">
        <v>131</v>
      </c>
      <c r="L429" s="1032" t="s">
        <v>539</v>
      </c>
      <c r="M429" s="1032" t="s">
        <v>1035</v>
      </c>
      <c r="N429" s="1032" t="s">
        <v>1038</v>
      </c>
      <c r="O429" s="1032">
        <v>2021.0</v>
      </c>
      <c r="P429" s="1032" t="s">
        <v>1039</v>
      </c>
      <c r="Q429" s="1033" t="s">
        <v>63</v>
      </c>
      <c r="R429" s="1034">
        <v>0.790470442</v>
      </c>
      <c r="S429" s="1034">
        <v>0.154758267</v>
      </c>
      <c r="T429" s="1035">
        <v>2.054276431</v>
      </c>
      <c r="AB429" s="1045"/>
      <c r="AF429" s="225"/>
    </row>
    <row r="430">
      <c r="A430" s="1013"/>
      <c r="B430" s="1019" t="s">
        <v>148</v>
      </c>
      <c r="C430" s="1020" t="s">
        <v>1035</v>
      </c>
      <c r="D430" s="1020" t="s">
        <v>1043</v>
      </c>
      <c r="E430" s="1020" t="s">
        <v>539</v>
      </c>
      <c r="F430" s="1020">
        <v>2021.0</v>
      </c>
      <c r="G430" s="1021">
        <v>7.36E-7</v>
      </c>
      <c r="H430" s="1021">
        <v>1.67E-7</v>
      </c>
      <c r="I430" s="1022">
        <v>1.87E-6</v>
      </c>
      <c r="K430" s="1031" t="s">
        <v>131</v>
      </c>
      <c r="L430" s="1032" t="s">
        <v>539</v>
      </c>
      <c r="M430" s="1032" t="s">
        <v>1035</v>
      </c>
      <c r="N430" s="1032" t="s">
        <v>1042</v>
      </c>
      <c r="O430" s="1032">
        <v>2021.0</v>
      </c>
      <c r="P430" s="1032" t="s">
        <v>1039</v>
      </c>
      <c r="Q430" s="1033" t="s">
        <v>63</v>
      </c>
      <c r="R430" s="1034">
        <v>0.0</v>
      </c>
      <c r="S430" s="1034">
        <v>0.0</v>
      </c>
      <c r="T430" s="1035">
        <v>0.0</v>
      </c>
      <c r="AB430" s="1045"/>
      <c r="AF430" s="225"/>
    </row>
    <row r="431">
      <c r="A431" s="1013"/>
      <c r="B431" s="1019" t="s">
        <v>148</v>
      </c>
      <c r="C431" s="1020" t="s">
        <v>1035</v>
      </c>
      <c r="D431" s="1020" t="s">
        <v>1045</v>
      </c>
      <c r="E431" s="1020" t="s">
        <v>539</v>
      </c>
      <c r="F431" s="1020">
        <v>2021.0</v>
      </c>
      <c r="G431" s="1021">
        <v>2.14E-6</v>
      </c>
      <c r="H431" s="1021">
        <v>5.68E-7</v>
      </c>
      <c r="I431" s="1022">
        <v>5.18E-6</v>
      </c>
      <c r="K431" s="1031" t="s">
        <v>131</v>
      </c>
      <c r="L431" s="1032" t="s">
        <v>539</v>
      </c>
      <c r="M431" s="1032" t="s">
        <v>1035</v>
      </c>
      <c r="N431" s="1032" t="s">
        <v>1044</v>
      </c>
      <c r="O431" s="1032">
        <v>2021.0</v>
      </c>
      <c r="P431" s="1032" t="s">
        <v>1039</v>
      </c>
      <c r="Q431" s="1033" t="s">
        <v>63</v>
      </c>
      <c r="R431" s="1034">
        <v>0.0</v>
      </c>
      <c r="S431" s="1034">
        <v>0.0</v>
      </c>
      <c r="T431" s="1035">
        <v>0.0</v>
      </c>
      <c r="AB431" s="1045"/>
      <c r="AF431" s="225"/>
    </row>
    <row r="432">
      <c r="A432" s="1013"/>
      <c r="B432" s="1019" t="s">
        <v>149</v>
      </c>
      <c r="C432" s="1020" t="s">
        <v>1035</v>
      </c>
      <c r="D432" s="1020" t="s">
        <v>1036</v>
      </c>
      <c r="E432" s="1020" t="s">
        <v>539</v>
      </c>
      <c r="F432" s="1020">
        <v>2021.0</v>
      </c>
      <c r="G432" s="1021">
        <v>2.52E-6</v>
      </c>
      <c r="H432" s="1021">
        <v>1.09E-6</v>
      </c>
      <c r="I432" s="1022">
        <v>4.77E-6</v>
      </c>
      <c r="K432" s="1031" t="s">
        <v>131</v>
      </c>
      <c r="L432" s="1032" t="s">
        <v>539</v>
      </c>
      <c r="M432" s="1032" t="s">
        <v>1035</v>
      </c>
      <c r="N432" s="1032" t="s">
        <v>1046</v>
      </c>
      <c r="O432" s="1032">
        <v>2021.0</v>
      </c>
      <c r="P432" s="1032" t="s">
        <v>1039</v>
      </c>
      <c r="Q432" s="1033" t="s">
        <v>63</v>
      </c>
      <c r="R432" s="1034">
        <v>0.316802014</v>
      </c>
      <c r="S432" s="1034">
        <v>0.06238145</v>
      </c>
      <c r="T432" s="1035">
        <v>0.856615716</v>
      </c>
      <c r="AB432" s="1045"/>
      <c r="AF432" s="225"/>
    </row>
    <row r="433">
      <c r="A433" s="1013"/>
      <c r="B433" s="1019" t="s">
        <v>149</v>
      </c>
      <c r="C433" s="1020" t="s">
        <v>1035</v>
      </c>
      <c r="D433" s="1020" t="s">
        <v>1041</v>
      </c>
      <c r="E433" s="1020" t="s">
        <v>539</v>
      </c>
      <c r="F433" s="1020">
        <v>2021.0</v>
      </c>
      <c r="G433" s="1021">
        <v>3.23E-6</v>
      </c>
      <c r="H433" s="1021">
        <v>7.82E-7</v>
      </c>
      <c r="I433" s="1022">
        <v>7.61E-6</v>
      </c>
      <c r="K433" s="1031" t="s">
        <v>131</v>
      </c>
      <c r="L433" s="1032" t="s">
        <v>539</v>
      </c>
      <c r="M433" s="1032" t="s">
        <v>1035</v>
      </c>
      <c r="N433" s="1032" t="s">
        <v>1045</v>
      </c>
      <c r="O433" s="1032">
        <v>2021.0</v>
      </c>
      <c r="P433" s="1032" t="s">
        <v>1039</v>
      </c>
      <c r="Q433" s="1033" t="s">
        <v>63</v>
      </c>
      <c r="R433" s="1034">
        <v>1.107272456</v>
      </c>
      <c r="S433" s="1034">
        <v>0.320827536</v>
      </c>
      <c r="T433" s="1035">
        <v>2.610213527</v>
      </c>
      <c r="AB433" s="1045"/>
      <c r="AF433" s="225"/>
    </row>
    <row r="434">
      <c r="A434" s="1013"/>
      <c r="B434" s="1019" t="s">
        <v>149</v>
      </c>
      <c r="C434" s="1020" t="s">
        <v>1035</v>
      </c>
      <c r="D434" s="1020" t="s">
        <v>1043</v>
      </c>
      <c r="E434" s="1020" t="s">
        <v>539</v>
      </c>
      <c r="F434" s="1020">
        <v>2021.0</v>
      </c>
      <c r="G434" s="1021">
        <v>2.21E-6</v>
      </c>
      <c r="H434" s="1021">
        <v>5.17E-7</v>
      </c>
      <c r="I434" s="1022">
        <v>5.46E-6</v>
      </c>
      <c r="K434" s="1031" t="s">
        <v>132</v>
      </c>
      <c r="L434" s="1032" t="s">
        <v>539</v>
      </c>
      <c r="M434" s="1032" t="s">
        <v>1035</v>
      </c>
      <c r="N434" s="1032" t="s">
        <v>1038</v>
      </c>
      <c r="O434" s="1032">
        <v>2021.0</v>
      </c>
      <c r="P434" s="1032" t="s">
        <v>1039</v>
      </c>
      <c r="Q434" s="1033" t="s">
        <v>63</v>
      </c>
      <c r="R434" s="1034">
        <v>0.686980404</v>
      </c>
      <c r="S434" s="1034">
        <v>0.148654736</v>
      </c>
      <c r="T434" s="1035">
        <v>1.72785857</v>
      </c>
      <c r="AB434" s="1045"/>
      <c r="AF434" s="225"/>
    </row>
    <row r="435">
      <c r="A435" s="1013"/>
      <c r="B435" s="1019" t="s">
        <v>149</v>
      </c>
      <c r="C435" s="1020" t="s">
        <v>1035</v>
      </c>
      <c r="D435" s="1020" t="s">
        <v>1045</v>
      </c>
      <c r="E435" s="1020" t="s">
        <v>539</v>
      </c>
      <c r="F435" s="1020">
        <v>2021.0</v>
      </c>
      <c r="G435" s="1021">
        <v>9.46E-6</v>
      </c>
      <c r="H435" s="1021">
        <v>2.81E-6</v>
      </c>
      <c r="I435" s="1022">
        <v>2.28E-5</v>
      </c>
      <c r="K435" s="1031" t="s">
        <v>132</v>
      </c>
      <c r="L435" s="1032" t="s">
        <v>539</v>
      </c>
      <c r="M435" s="1032" t="s">
        <v>1035</v>
      </c>
      <c r="N435" s="1032" t="s">
        <v>1042</v>
      </c>
      <c r="O435" s="1032">
        <v>2021.0</v>
      </c>
      <c r="P435" s="1032" t="s">
        <v>1039</v>
      </c>
      <c r="Q435" s="1033" t="s">
        <v>63</v>
      </c>
      <c r="R435" s="1034">
        <v>0.0</v>
      </c>
      <c r="S435" s="1034">
        <v>0.0</v>
      </c>
      <c r="T435" s="1035">
        <v>0.0</v>
      </c>
      <c r="AB435" s="1045"/>
      <c r="AF435" s="225"/>
    </row>
    <row r="436">
      <c r="A436" s="1013"/>
      <c r="B436" s="1019" t="s">
        <v>150</v>
      </c>
      <c r="C436" s="1020" t="s">
        <v>1035</v>
      </c>
      <c r="D436" s="1020" t="s">
        <v>1036</v>
      </c>
      <c r="E436" s="1020" t="s">
        <v>539</v>
      </c>
      <c r="F436" s="1020">
        <v>2021.0</v>
      </c>
      <c r="G436" s="1021">
        <v>3.35E-6</v>
      </c>
      <c r="H436" s="1021">
        <v>1.52E-6</v>
      </c>
      <c r="I436" s="1022">
        <v>6.16E-6</v>
      </c>
      <c r="K436" s="1031" t="s">
        <v>132</v>
      </c>
      <c r="L436" s="1032" t="s">
        <v>539</v>
      </c>
      <c r="M436" s="1032" t="s">
        <v>1035</v>
      </c>
      <c r="N436" s="1032" t="s">
        <v>1044</v>
      </c>
      <c r="O436" s="1032">
        <v>2021.0</v>
      </c>
      <c r="P436" s="1032" t="s">
        <v>1039</v>
      </c>
      <c r="Q436" s="1033" t="s">
        <v>63</v>
      </c>
      <c r="R436" s="1034">
        <v>0.0</v>
      </c>
      <c r="S436" s="1034">
        <v>0.0</v>
      </c>
      <c r="T436" s="1035">
        <v>0.0</v>
      </c>
      <c r="AB436" s="1045"/>
      <c r="AF436" s="225"/>
    </row>
    <row r="437">
      <c r="A437" s="1013"/>
      <c r="B437" s="1019" t="s">
        <v>150</v>
      </c>
      <c r="C437" s="1020" t="s">
        <v>1035</v>
      </c>
      <c r="D437" s="1020" t="s">
        <v>1041</v>
      </c>
      <c r="E437" s="1020" t="s">
        <v>539</v>
      </c>
      <c r="F437" s="1020">
        <v>2021.0</v>
      </c>
      <c r="G437" s="1021">
        <v>4.25E-6</v>
      </c>
      <c r="H437" s="1021">
        <v>1.24E-6</v>
      </c>
      <c r="I437" s="1022">
        <v>9.99E-6</v>
      </c>
      <c r="K437" s="1031" t="s">
        <v>132</v>
      </c>
      <c r="L437" s="1032" t="s">
        <v>539</v>
      </c>
      <c r="M437" s="1032" t="s">
        <v>1035</v>
      </c>
      <c r="N437" s="1032" t="s">
        <v>1046</v>
      </c>
      <c r="O437" s="1032">
        <v>2021.0</v>
      </c>
      <c r="P437" s="1032" t="s">
        <v>1039</v>
      </c>
      <c r="Q437" s="1033" t="s">
        <v>63</v>
      </c>
      <c r="R437" s="1034">
        <v>0.44419353</v>
      </c>
      <c r="S437" s="1034">
        <v>0.092409481</v>
      </c>
      <c r="T437" s="1035">
        <v>1.277336979</v>
      </c>
      <c r="AB437" s="1045"/>
      <c r="AF437" s="225"/>
    </row>
    <row r="438">
      <c r="A438" s="1013"/>
      <c r="B438" s="1019" t="s">
        <v>150</v>
      </c>
      <c r="C438" s="1020" t="s">
        <v>1035</v>
      </c>
      <c r="D438" s="1020" t="s">
        <v>1043</v>
      </c>
      <c r="E438" s="1020" t="s">
        <v>539</v>
      </c>
      <c r="F438" s="1020">
        <v>2021.0</v>
      </c>
      <c r="G438" s="1021">
        <v>4.13E-6</v>
      </c>
      <c r="H438" s="1021">
        <v>9.6E-7</v>
      </c>
      <c r="I438" s="1022">
        <v>1.04E-5</v>
      </c>
      <c r="K438" s="1031" t="s">
        <v>132</v>
      </c>
      <c r="L438" s="1032" t="s">
        <v>539</v>
      </c>
      <c r="M438" s="1032" t="s">
        <v>1035</v>
      </c>
      <c r="N438" s="1032" t="s">
        <v>1045</v>
      </c>
      <c r="O438" s="1032">
        <v>2021.0</v>
      </c>
      <c r="P438" s="1032" t="s">
        <v>1039</v>
      </c>
      <c r="Q438" s="1033" t="s">
        <v>63</v>
      </c>
      <c r="R438" s="1034">
        <v>1.131173934</v>
      </c>
      <c r="S438" s="1034">
        <v>0.375870849</v>
      </c>
      <c r="T438" s="1035">
        <v>2.462506813</v>
      </c>
      <c r="AB438" s="1045"/>
      <c r="AF438" s="225"/>
    </row>
    <row r="439">
      <c r="A439" s="1013"/>
      <c r="B439" s="1019" t="s">
        <v>150</v>
      </c>
      <c r="C439" s="1020" t="s">
        <v>1035</v>
      </c>
      <c r="D439" s="1020" t="s">
        <v>1045</v>
      </c>
      <c r="E439" s="1020" t="s">
        <v>539</v>
      </c>
      <c r="F439" s="1020">
        <v>2021.0</v>
      </c>
      <c r="G439" s="1021">
        <v>1.22E-5</v>
      </c>
      <c r="H439" s="1021">
        <v>3.53E-6</v>
      </c>
      <c r="I439" s="1022">
        <v>2.98E-5</v>
      </c>
      <c r="K439" s="1031" t="s">
        <v>133</v>
      </c>
      <c r="L439" s="1032" t="s">
        <v>539</v>
      </c>
      <c r="M439" s="1032" t="s">
        <v>1035</v>
      </c>
      <c r="N439" s="1032" t="s">
        <v>1038</v>
      </c>
      <c r="O439" s="1032">
        <v>2021.0</v>
      </c>
      <c r="P439" s="1032" t="s">
        <v>1039</v>
      </c>
      <c r="Q439" s="1033" t="s">
        <v>63</v>
      </c>
      <c r="R439" s="1034">
        <v>0.654922869</v>
      </c>
      <c r="S439" s="1034">
        <v>0.143782906</v>
      </c>
      <c r="T439" s="1035">
        <v>1.770549163</v>
      </c>
      <c r="AB439" s="1045"/>
      <c r="AF439" s="225"/>
    </row>
    <row r="440">
      <c r="A440" s="1013"/>
      <c r="B440" s="1019" t="s">
        <v>151</v>
      </c>
      <c r="C440" s="1020" t="s">
        <v>1035</v>
      </c>
      <c r="D440" s="1020" t="s">
        <v>1036</v>
      </c>
      <c r="E440" s="1020" t="s">
        <v>539</v>
      </c>
      <c r="F440" s="1020">
        <v>2021.0</v>
      </c>
      <c r="G440" s="1021">
        <v>1.33E-6</v>
      </c>
      <c r="H440" s="1021">
        <v>5.64E-7</v>
      </c>
      <c r="I440" s="1022">
        <v>2.65E-6</v>
      </c>
      <c r="K440" s="1031" t="s">
        <v>133</v>
      </c>
      <c r="L440" s="1032" t="s">
        <v>539</v>
      </c>
      <c r="M440" s="1032" t="s">
        <v>1035</v>
      </c>
      <c r="N440" s="1032" t="s">
        <v>1042</v>
      </c>
      <c r="O440" s="1032">
        <v>2021.0</v>
      </c>
      <c r="P440" s="1032" t="s">
        <v>1039</v>
      </c>
      <c r="Q440" s="1033" t="s">
        <v>63</v>
      </c>
      <c r="R440" s="1034">
        <v>0.0</v>
      </c>
      <c r="S440" s="1034">
        <v>0.0</v>
      </c>
      <c r="T440" s="1035">
        <v>0.0</v>
      </c>
      <c r="AB440" s="1045"/>
      <c r="AF440" s="225"/>
    </row>
    <row r="441">
      <c r="A441" s="1013"/>
      <c r="B441" s="1019" t="s">
        <v>151</v>
      </c>
      <c r="C441" s="1020" t="s">
        <v>1035</v>
      </c>
      <c r="D441" s="1020" t="s">
        <v>1041</v>
      </c>
      <c r="E441" s="1020" t="s">
        <v>539</v>
      </c>
      <c r="F441" s="1020">
        <v>2021.0</v>
      </c>
      <c r="G441" s="1021">
        <v>1.58E-6</v>
      </c>
      <c r="H441" s="1021">
        <v>4.52E-7</v>
      </c>
      <c r="I441" s="1022">
        <v>3.65E-6</v>
      </c>
      <c r="K441" s="1031" t="s">
        <v>133</v>
      </c>
      <c r="L441" s="1032" t="s">
        <v>539</v>
      </c>
      <c r="M441" s="1032" t="s">
        <v>1035</v>
      </c>
      <c r="N441" s="1032" t="s">
        <v>1044</v>
      </c>
      <c r="O441" s="1032">
        <v>2021.0</v>
      </c>
      <c r="P441" s="1032" t="s">
        <v>1039</v>
      </c>
      <c r="Q441" s="1033" t="s">
        <v>63</v>
      </c>
      <c r="R441" s="1034">
        <v>0.0</v>
      </c>
      <c r="S441" s="1034">
        <v>0.0</v>
      </c>
      <c r="T441" s="1035">
        <v>0.0</v>
      </c>
      <c r="AB441" s="1045"/>
      <c r="AF441" s="225"/>
    </row>
    <row r="442">
      <c r="A442" s="1013"/>
      <c r="B442" s="1019" t="s">
        <v>151</v>
      </c>
      <c r="C442" s="1020" t="s">
        <v>1035</v>
      </c>
      <c r="D442" s="1020" t="s">
        <v>1043</v>
      </c>
      <c r="E442" s="1020" t="s">
        <v>539</v>
      </c>
      <c r="F442" s="1020">
        <v>2021.0</v>
      </c>
      <c r="G442" s="1021">
        <v>1.64E-6</v>
      </c>
      <c r="H442" s="1021">
        <v>3.7E-7</v>
      </c>
      <c r="I442" s="1022">
        <v>4.08E-6</v>
      </c>
      <c r="K442" s="1031" t="s">
        <v>133</v>
      </c>
      <c r="L442" s="1032" t="s">
        <v>539</v>
      </c>
      <c r="M442" s="1032" t="s">
        <v>1035</v>
      </c>
      <c r="N442" s="1032" t="s">
        <v>1046</v>
      </c>
      <c r="O442" s="1032">
        <v>2021.0</v>
      </c>
      <c r="P442" s="1032" t="s">
        <v>1039</v>
      </c>
      <c r="Q442" s="1033" t="s">
        <v>63</v>
      </c>
      <c r="R442" s="1034">
        <v>0.113344909</v>
      </c>
      <c r="S442" s="1034">
        <v>0.01990054</v>
      </c>
      <c r="T442" s="1035">
        <v>0.310338866</v>
      </c>
      <c r="AB442" s="1045"/>
      <c r="AF442" s="225"/>
    </row>
    <row r="443">
      <c r="A443" s="1013"/>
      <c r="B443" s="1019" t="s">
        <v>151</v>
      </c>
      <c r="C443" s="1020" t="s">
        <v>1035</v>
      </c>
      <c r="D443" s="1020" t="s">
        <v>1045</v>
      </c>
      <c r="E443" s="1020" t="s">
        <v>539</v>
      </c>
      <c r="F443" s="1020">
        <v>2021.0</v>
      </c>
      <c r="G443" s="1021">
        <v>7.55E-6</v>
      </c>
      <c r="H443" s="1021">
        <v>2.07E-6</v>
      </c>
      <c r="I443" s="1022">
        <v>1.73E-5</v>
      </c>
      <c r="K443" s="1031" t="s">
        <v>133</v>
      </c>
      <c r="L443" s="1032" t="s">
        <v>539</v>
      </c>
      <c r="M443" s="1032" t="s">
        <v>1035</v>
      </c>
      <c r="N443" s="1032" t="s">
        <v>1045</v>
      </c>
      <c r="O443" s="1032">
        <v>2021.0</v>
      </c>
      <c r="P443" s="1032" t="s">
        <v>1039</v>
      </c>
      <c r="Q443" s="1033" t="s">
        <v>63</v>
      </c>
      <c r="R443" s="1034">
        <v>0.768267778</v>
      </c>
      <c r="S443" s="1034">
        <v>0.220137201</v>
      </c>
      <c r="T443" s="1035">
        <v>1.883759665</v>
      </c>
      <c r="AB443" s="1045"/>
      <c r="AF443" s="225"/>
    </row>
    <row r="444">
      <c r="A444" s="1013"/>
      <c r="B444" s="1019" t="s">
        <v>121</v>
      </c>
      <c r="C444" s="1020" t="s">
        <v>1035</v>
      </c>
      <c r="D444" s="1020" t="s">
        <v>1036</v>
      </c>
      <c r="E444" s="1020" t="s">
        <v>539</v>
      </c>
      <c r="F444" s="1020">
        <v>2021.0</v>
      </c>
      <c r="G444" s="1021">
        <v>9.35E-5</v>
      </c>
      <c r="H444" s="1021">
        <v>4.17E-5</v>
      </c>
      <c r="I444" s="1022">
        <v>1.73096E-4</v>
      </c>
      <c r="K444" s="1031" t="s">
        <v>134</v>
      </c>
      <c r="L444" s="1032" t="s">
        <v>539</v>
      </c>
      <c r="M444" s="1032" t="s">
        <v>1035</v>
      </c>
      <c r="N444" s="1032" t="s">
        <v>1038</v>
      </c>
      <c r="O444" s="1032">
        <v>2021.0</v>
      </c>
      <c r="P444" s="1032" t="s">
        <v>1039</v>
      </c>
      <c r="Q444" s="1033" t="s">
        <v>63</v>
      </c>
      <c r="R444" s="1034">
        <v>0.137566905</v>
      </c>
      <c r="S444" s="1034">
        <v>0.030025505</v>
      </c>
      <c r="T444" s="1035">
        <v>0.349825728</v>
      </c>
      <c r="AB444" s="1045"/>
      <c r="AF444" s="225"/>
    </row>
    <row r="445">
      <c r="A445" s="1013"/>
      <c r="B445" s="1019" t="s">
        <v>121</v>
      </c>
      <c r="C445" s="1020" t="s">
        <v>1035</v>
      </c>
      <c r="D445" s="1020" t="s">
        <v>1041</v>
      </c>
      <c r="E445" s="1020" t="s">
        <v>539</v>
      </c>
      <c r="F445" s="1020">
        <v>2021.0</v>
      </c>
      <c r="G445" s="1021">
        <v>1.27981E-4</v>
      </c>
      <c r="H445" s="1021">
        <v>3.24E-5</v>
      </c>
      <c r="I445" s="1022">
        <v>2.89055E-4</v>
      </c>
      <c r="K445" s="1031" t="s">
        <v>134</v>
      </c>
      <c r="L445" s="1032" t="s">
        <v>539</v>
      </c>
      <c r="M445" s="1032" t="s">
        <v>1035</v>
      </c>
      <c r="N445" s="1032" t="s">
        <v>1042</v>
      </c>
      <c r="O445" s="1032">
        <v>2021.0</v>
      </c>
      <c r="P445" s="1032" t="s">
        <v>1039</v>
      </c>
      <c r="Q445" s="1033" t="s">
        <v>63</v>
      </c>
      <c r="R445" s="1034">
        <v>0.0</v>
      </c>
      <c r="S445" s="1034">
        <v>0.0</v>
      </c>
      <c r="T445" s="1035">
        <v>0.0</v>
      </c>
      <c r="AB445" s="1045"/>
      <c r="AF445" s="225"/>
    </row>
    <row r="446">
      <c r="A446" s="1013"/>
      <c r="B446" s="1019" t="s">
        <v>121</v>
      </c>
      <c r="C446" s="1020" t="s">
        <v>1035</v>
      </c>
      <c r="D446" s="1020" t="s">
        <v>1043</v>
      </c>
      <c r="E446" s="1020" t="s">
        <v>539</v>
      </c>
      <c r="F446" s="1020">
        <v>2021.0</v>
      </c>
      <c r="G446" s="1021">
        <v>1.81069E-4</v>
      </c>
      <c r="H446" s="1021">
        <v>3.77E-5</v>
      </c>
      <c r="I446" s="1022">
        <v>4.61766E-4</v>
      </c>
      <c r="K446" s="1031" t="s">
        <v>134</v>
      </c>
      <c r="L446" s="1032" t="s">
        <v>539</v>
      </c>
      <c r="M446" s="1032" t="s">
        <v>1035</v>
      </c>
      <c r="N446" s="1032" t="s">
        <v>1044</v>
      </c>
      <c r="O446" s="1032">
        <v>2021.0</v>
      </c>
      <c r="P446" s="1032" t="s">
        <v>1039</v>
      </c>
      <c r="Q446" s="1033" t="s">
        <v>63</v>
      </c>
      <c r="R446" s="1034">
        <v>0.0</v>
      </c>
      <c r="S446" s="1034">
        <v>0.0</v>
      </c>
      <c r="T446" s="1035">
        <v>0.0</v>
      </c>
      <c r="AB446" s="1045"/>
      <c r="AF446" s="225"/>
    </row>
    <row r="447">
      <c r="A447" s="1013"/>
      <c r="B447" s="1019" t="s">
        <v>121</v>
      </c>
      <c r="C447" s="1020" t="s">
        <v>1035</v>
      </c>
      <c r="D447" s="1020" t="s">
        <v>1045</v>
      </c>
      <c r="E447" s="1020" t="s">
        <v>539</v>
      </c>
      <c r="F447" s="1020">
        <v>2021.0</v>
      </c>
      <c r="G447" s="1021">
        <v>0.001418658</v>
      </c>
      <c r="H447" s="1021">
        <v>5.09108E-4</v>
      </c>
      <c r="I447" s="1022">
        <v>0.003105753</v>
      </c>
      <c r="K447" s="1031" t="s">
        <v>134</v>
      </c>
      <c r="L447" s="1032" t="s">
        <v>539</v>
      </c>
      <c r="M447" s="1032" t="s">
        <v>1035</v>
      </c>
      <c r="N447" s="1032" t="s">
        <v>1046</v>
      </c>
      <c r="O447" s="1032">
        <v>2021.0</v>
      </c>
      <c r="P447" s="1032" t="s">
        <v>1039</v>
      </c>
      <c r="Q447" s="1033" t="s">
        <v>63</v>
      </c>
      <c r="R447" s="1034">
        <v>0.044328215</v>
      </c>
      <c r="S447" s="1034">
        <v>0.00787332</v>
      </c>
      <c r="T447" s="1035">
        <v>0.124366599</v>
      </c>
      <c r="AB447" s="1045"/>
      <c r="AF447" s="225"/>
    </row>
    <row r="448">
      <c r="A448" s="1013"/>
      <c r="B448" s="1019" t="s">
        <v>152</v>
      </c>
      <c r="C448" s="1020" t="s">
        <v>1035</v>
      </c>
      <c r="D448" s="1020" t="s">
        <v>1036</v>
      </c>
      <c r="E448" s="1020" t="s">
        <v>539</v>
      </c>
      <c r="F448" s="1020">
        <v>2021.0</v>
      </c>
      <c r="G448" s="1021">
        <v>1.36E-5</v>
      </c>
      <c r="H448" s="1021">
        <v>6.36E-6</v>
      </c>
      <c r="I448" s="1022">
        <v>2.56E-5</v>
      </c>
      <c r="K448" s="1031" t="s">
        <v>134</v>
      </c>
      <c r="L448" s="1032" t="s">
        <v>539</v>
      </c>
      <c r="M448" s="1032" t="s">
        <v>1035</v>
      </c>
      <c r="N448" s="1032" t="s">
        <v>1045</v>
      </c>
      <c r="O448" s="1032">
        <v>2021.0</v>
      </c>
      <c r="P448" s="1032" t="s">
        <v>1039</v>
      </c>
      <c r="Q448" s="1033" t="s">
        <v>63</v>
      </c>
      <c r="R448" s="1034">
        <v>0.18189512</v>
      </c>
      <c r="S448" s="1034">
        <v>0.049193809</v>
      </c>
      <c r="T448" s="1035">
        <v>0.429681129</v>
      </c>
      <c r="AB448" s="1045"/>
      <c r="AF448" s="225"/>
    </row>
    <row r="449">
      <c r="A449" s="1013"/>
      <c r="B449" s="1019" t="s">
        <v>152</v>
      </c>
      <c r="C449" s="1020" t="s">
        <v>1035</v>
      </c>
      <c r="D449" s="1020" t="s">
        <v>1041</v>
      </c>
      <c r="E449" s="1020" t="s">
        <v>539</v>
      </c>
      <c r="F449" s="1020">
        <v>2021.0</v>
      </c>
      <c r="G449" s="1021">
        <v>2.03E-5</v>
      </c>
      <c r="H449" s="1021">
        <v>5.56E-6</v>
      </c>
      <c r="I449" s="1022">
        <v>4.75E-5</v>
      </c>
      <c r="K449" s="1031" t="s">
        <v>135</v>
      </c>
      <c r="L449" s="1032" t="s">
        <v>539</v>
      </c>
      <c r="M449" s="1032" t="s">
        <v>1035</v>
      </c>
      <c r="N449" s="1032" t="s">
        <v>1038</v>
      </c>
      <c r="O449" s="1032">
        <v>2021.0</v>
      </c>
      <c r="P449" s="1032" t="s">
        <v>1039</v>
      </c>
      <c r="Q449" s="1033" t="s">
        <v>63</v>
      </c>
      <c r="R449" s="1034">
        <v>0.301561286</v>
      </c>
      <c r="S449" s="1034">
        <v>0.055022897</v>
      </c>
      <c r="T449" s="1035">
        <v>0.7711519</v>
      </c>
      <c r="AB449" s="1045"/>
      <c r="AF449" s="225"/>
    </row>
    <row r="450">
      <c r="A450" s="1013"/>
      <c r="B450" s="1019" t="s">
        <v>152</v>
      </c>
      <c r="C450" s="1020" t="s">
        <v>1035</v>
      </c>
      <c r="D450" s="1020" t="s">
        <v>1043</v>
      </c>
      <c r="E450" s="1020" t="s">
        <v>539</v>
      </c>
      <c r="F450" s="1020">
        <v>2021.0</v>
      </c>
      <c r="G450" s="1021">
        <v>2.6E-5</v>
      </c>
      <c r="H450" s="1021">
        <v>6.42E-6</v>
      </c>
      <c r="I450" s="1022">
        <v>7.0E-5</v>
      </c>
      <c r="K450" s="1031" t="s">
        <v>135</v>
      </c>
      <c r="L450" s="1032" t="s">
        <v>539</v>
      </c>
      <c r="M450" s="1032" t="s">
        <v>1035</v>
      </c>
      <c r="N450" s="1032" t="s">
        <v>1042</v>
      </c>
      <c r="O450" s="1032">
        <v>2021.0</v>
      </c>
      <c r="P450" s="1032" t="s">
        <v>1039</v>
      </c>
      <c r="Q450" s="1033" t="s">
        <v>63</v>
      </c>
      <c r="R450" s="1034">
        <v>0.0</v>
      </c>
      <c r="S450" s="1034">
        <v>0.0</v>
      </c>
      <c r="T450" s="1035">
        <v>0.0</v>
      </c>
      <c r="AB450" s="1045"/>
      <c r="AF450" s="225"/>
    </row>
    <row r="451">
      <c r="A451" s="1013"/>
      <c r="B451" s="1019" t="s">
        <v>152</v>
      </c>
      <c r="C451" s="1020" t="s">
        <v>1035</v>
      </c>
      <c r="D451" s="1020" t="s">
        <v>1045</v>
      </c>
      <c r="E451" s="1020" t="s">
        <v>539</v>
      </c>
      <c r="F451" s="1020">
        <v>2021.0</v>
      </c>
      <c r="G451" s="1021">
        <v>1.40862E-4</v>
      </c>
      <c r="H451" s="1021">
        <v>4.78E-5</v>
      </c>
      <c r="I451" s="1022">
        <v>2.99391E-4</v>
      </c>
      <c r="K451" s="1031" t="s">
        <v>135</v>
      </c>
      <c r="L451" s="1032" t="s">
        <v>539</v>
      </c>
      <c r="M451" s="1032" t="s">
        <v>1035</v>
      </c>
      <c r="N451" s="1032" t="s">
        <v>1044</v>
      </c>
      <c r="O451" s="1032">
        <v>2021.0</v>
      </c>
      <c r="P451" s="1032" t="s">
        <v>1039</v>
      </c>
      <c r="Q451" s="1033" t="s">
        <v>63</v>
      </c>
      <c r="R451" s="1034">
        <v>0.0</v>
      </c>
      <c r="S451" s="1034">
        <v>0.0</v>
      </c>
      <c r="T451" s="1035">
        <v>0.0</v>
      </c>
      <c r="AB451" s="1045"/>
      <c r="AF451" s="225"/>
    </row>
    <row r="452">
      <c r="A452" s="1013"/>
      <c r="B452" s="1019" t="s">
        <v>153</v>
      </c>
      <c r="C452" s="1020" t="s">
        <v>1035</v>
      </c>
      <c r="D452" s="1020" t="s">
        <v>1036</v>
      </c>
      <c r="E452" s="1020" t="s">
        <v>539</v>
      </c>
      <c r="F452" s="1020">
        <v>2021.0</v>
      </c>
      <c r="G452" s="1021">
        <v>3.04E-5</v>
      </c>
      <c r="H452" s="1021">
        <v>1.33E-5</v>
      </c>
      <c r="I452" s="1022">
        <v>5.52E-5</v>
      </c>
      <c r="K452" s="1031" t="s">
        <v>135</v>
      </c>
      <c r="L452" s="1032" t="s">
        <v>539</v>
      </c>
      <c r="M452" s="1032" t="s">
        <v>1035</v>
      </c>
      <c r="N452" s="1032" t="s">
        <v>1046</v>
      </c>
      <c r="O452" s="1032">
        <v>2021.0</v>
      </c>
      <c r="P452" s="1032" t="s">
        <v>1039</v>
      </c>
      <c r="Q452" s="1033" t="s">
        <v>63</v>
      </c>
      <c r="R452" s="1034">
        <v>0.134094899</v>
      </c>
      <c r="S452" s="1034">
        <v>0.021892299</v>
      </c>
      <c r="T452" s="1035">
        <v>0.389768927</v>
      </c>
      <c r="AB452" s="1045"/>
      <c r="AF452" s="225"/>
    </row>
    <row r="453">
      <c r="A453" s="1013"/>
      <c r="B453" s="1019" t="s">
        <v>153</v>
      </c>
      <c r="C453" s="1020" t="s">
        <v>1035</v>
      </c>
      <c r="D453" s="1020" t="s">
        <v>1041</v>
      </c>
      <c r="E453" s="1020" t="s">
        <v>539</v>
      </c>
      <c r="F453" s="1020">
        <v>2021.0</v>
      </c>
      <c r="G453" s="1021">
        <v>4.25E-5</v>
      </c>
      <c r="H453" s="1021">
        <v>1.18E-5</v>
      </c>
      <c r="I453" s="1022">
        <v>9.71E-5</v>
      </c>
      <c r="K453" s="1031" t="s">
        <v>135</v>
      </c>
      <c r="L453" s="1032" t="s">
        <v>539</v>
      </c>
      <c r="M453" s="1032" t="s">
        <v>1035</v>
      </c>
      <c r="N453" s="1032" t="s">
        <v>1045</v>
      </c>
      <c r="O453" s="1032">
        <v>2021.0</v>
      </c>
      <c r="P453" s="1032" t="s">
        <v>1039</v>
      </c>
      <c r="Q453" s="1033" t="s">
        <v>63</v>
      </c>
      <c r="R453" s="1034">
        <v>0.435656185</v>
      </c>
      <c r="S453" s="1034">
        <v>0.108166601</v>
      </c>
      <c r="T453" s="1035">
        <v>0.981383982</v>
      </c>
      <c r="AB453" s="1045"/>
      <c r="AF453" s="225"/>
    </row>
    <row r="454">
      <c r="A454" s="1013"/>
      <c r="B454" s="1019" t="s">
        <v>153</v>
      </c>
      <c r="C454" s="1020" t="s">
        <v>1035</v>
      </c>
      <c r="D454" s="1020" t="s">
        <v>1043</v>
      </c>
      <c r="E454" s="1020" t="s">
        <v>539</v>
      </c>
      <c r="F454" s="1020">
        <v>2021.0</v>
      </c>
      <c r="G454" s="1021">
        <v>4.46E-5</v>
      </c>
      <c r="H454" s="1021">
        <v>1.32E-5</v>
      </c>
      <c r="I454" s="1022">
        <v>1.09355E-4</v>
      </c>
      <c r="K454" s="1031" t="s">
        <v>136</v>
      </c>
      <c r="L454" s="1032" t="s">
        <v>539</v>
      </c>
      <c r="M454" s="1032" t="s">
        <v>1035</v>
      </c>
      <c r="N454" s="1032" t="s">
        <v>1038</v>
      </c>
      <c r="O454" s="1032">
        <v>2021.0</v>
      </c>
      <c r="P454" s="1032" t="s">
        <v>1039</v>
      </c>
      <c r="Q454" s="1033" t="s">
        <v>63</v>
      </c>
      <c r="R454" s="1034">
        <v>0.989255131</v>
      </c>
      <c r="S454" s="1034">
        <v>0.191508373</v>
      </c>
      <c r="T454" s="1035">
        <v>2.635361047</v>
      </c>
      <c r="AB454" s="1045"/>
      <c r="AF454" s="225"/>
    </row>
    <row r="455">
      <c r="A455" s="1013"/>
      <c r="B455" s="1019" t="s">
        <v>153</v>
      </c>
      <c r="C455" s="1020" t="s">
        <v>1035</v>
      </c>
      <c r="D455" s="1020" t="s">
        <v>1045</v>
      </c>
      <c r="E455" s="1020" t="s">
        <v>539</v>
      </c>
      <c r="F455" s="1020">
        <v>2021.0</v>
      </c>
      <c r="G455" s="1021">
        <v>2.57334E-4</v>
      </c>
      <c r="H455" s="1021">
        <v>8.02E-5</v>
      </c>
      <c r="I455" s="1022">
        <v>5.96198E-4</v>
      </c>
      <c r="K455" s="1031" t="s">
        <v>136</v>
      </c>
      <c r="L455" s="1032" t="s">
        <v>539</v>
      </c>
      <c r="M455" s="1032" t="s">
        <v>1035</v>
      </c>
      <c r="N455" s="1032" t="s">
        <v>1042</v>
      </c>
      <c r="O455" s="1032">
        <v>2021.0</v>
      </c>
      <c r="P455" s="1032" t="s">
        <v>1039</v>
      </c>
      <c r="Q455" s="1033" t="s">
        <v>63</v>
      </c>
      <c r="R455" s="1034">
        <v>0.0</v>
      </c>
      <c r="S455" s="1034">
        <v>0.0</v>
      </c>
      <c r="T455" s="1035">
        <v>0.0</v>
      </c>
      <c r="AB455" s="1045"/>
      <c r="AF455" s="225"/>
    </row>
    <row r="456">
      <c r="A456" s="1013"/>
      <c r="B456" s="1019" t="s">
        <v>122</v>
      </c>
      <c r="C456" s="1020" t="s">
        <v>1035</v>
      </c>
      <c r="D456" s="1020" t="s">
        <v>1036</v>
      </c>
      <c r="E456" s="1020" t="s">
        <v>539</v>
      </c>
      <c r="F456" s="1020">
        <v>2021.0</v>
      </c>
      <c r="G456" s="1021">
        <v>8.01E-5</v>
      </c>
      <c r="H456" s="1021">
        <v>3.53E-5</v>
      </c>
      <c r="I456" s="1022">
        <v>1.49845E-4</v>
      </c>
      <c r="K456" s="1031" t="s">
        <v>136</v>
      </c>
      <c r="L456" s="1032" t="s">
        <v>539</v>
      </c>
      <c r="M456" s="1032" t="s">
        <v>1035</v>
      </c>
      <c r="N456" s="1032" t="s">
        <v>1044</v>
      </c>
      <c r="O456" s="1032">
        <v>2021.0</v>
      </c>
      <c r="P456" s="1032" t="s">
        <v>1039</v>
      </c>
      <c r="Q456" s="1033" t="s">
        <v>63</v>
      </c>
      <c r="R456" s="1034">
        <v>0.0</v>
      </c>
      <c r="S456" s="1034">
        <v>0.0</v>
      </c>
      <c r="T456" s="1035">
        <v>0.0</v>
      </c>
      <c r="AB456" s="1045"/>
      <c r="AF456" s="225"/>
    </row>
    <row r="457">
      <c r="A457" s="1013"/>
      <c r="B457" s="1019" t="s">
        <v>122</v>
      </c>
      <c r="C457" s="1020" t="s">
        <v>1035</v>
      </c>
      <c r="D457" s="1020" t="s">
        <v>1041</v>
      </c>
      <c r="E457" s="1020" t="s">
        <v>539</v>
      </c>
      <c r="F457" s="1020">
        <v>2021.0</v>
      </c>
      <c r="G457" s="1021">
        <v>1.12303E-4</v>
      </c>
      <c r="H457" s="1021">
        <v>2.97E-5</v>
      </c>
      <c r="I457" s="1022">
        <v>2.7057E-4</v>
      </c>
      <c r="K457" s="1031" t="s">
        <v>136</v>
      </c>
      <c r="L457" s="1032" t="s">
        <v>539</v>
      </c>
      <c r="M457" s="1032" t="s">
        <v>1035</v>
      </c>
      <c r="N457" s="1032" t="s">
        <v>1046</v>
      </c>
      <c r="O457" s="1032">
        <v>2021.0</v>
      </c>
      <c r="P457" s="1032" t="s">
        <v>1039</v>
      </c>
      <c r="Q457" s="1033" t="s">
        <v>63</v>
      </c>
      <c r="R457" s="1034">
        <v>0.481958407</v>
      </c>
      <c r="S457" s="1034">
        <v>0.093242906</v>
      </c>
      <c r="T457" s="1035">
        <v>1.319634577</v>
      </c>
      <c r="AB457" s="1045"/>
      <c r="AF457" s="225"/>
    </row>
    <row r="458">
      <c r="A458" s="1013"/>
      <c r="B458" s="1019" t="s">
        <v>122</v>
      </c>
      <c r="C458" s="1020" t="s">
        <v>1035</v>
      </c>
      <c r="D458" s="1020" t="s">
        <v>1043</v>
      </c>
      <c r="E458" s="1020" t="s">
        <v>539</v>
      </c>
      <c r="F458" s="1020">
        <v>2021.0</v>
      </c>
      <c r="G458" s="1021">
        <v>1.77977E-4</v>
      </c>
      <c r="H458" s="1021">
        <v>4.38E-5</v>
      </c>
      <c r="I458" s="1022">
        <v>4.24433E-4</v>
      </c>
      <c r="K458" s="1031" t="s">
        <v>136</v>
      </c>
      <c r="L458" s="1032" t="s">
        <v>539</v>
      </c>
      <c r="M458" s="1032" t="s">
        <v>1035</v>
      </c>
      <c r="N458" s="1032" t="s">
        <v>1045</v>
      </c>
      <c r="O458" s="1032">
        <v>2021.0</v>
      </c>
      <c r="P458" s="1032" t="s">
        <v>1039</v>
      </c>
      <c r="Q458" s="1033" t="s">
        <v>63</v>
      </c>
      <c r="R458" s="1034">
        <v>1.471213539</v>
      </c>
      <c r="S458" s="1034">
        <v>0.393238944</v>
      </c>
      <c r="T458" s="1035">
        <v>3.379833198</v>
      </c>
      <c r="AB458" s="1045"/>
      <c r="AF458" s="225"/>
    </row>
    <row r="459">
      <c r="A459" s="1013"/>
      <c r="B459" s="1019" t="s">
        <v>122</v>
      </c>
      <c r="C459" s="1020" t="s">
        <v>1035</v>
      </c>
      <c r="D459" s="1020" t="s">
        <v>1045</v>
      </c>
      <c r="E459" s="1020" t="s">
        <v>539</v>
      </c>
      <c r="F459" s="1020">
        <v>2021.0</v>
      </c>
      <c r="G459" s="1021">
        <v>0.001618551</v>
      </c>
      <c r="H459" s="1021">
        <v>5.20333E-4</v>
      </c>
      <c r="I459" s="1022">
        <v>0.00354602</v>
      </c>
      <c r="K459" s="1031" t="s">
        <v>115</v>
      </c>
      <c r="L459" s="1032" t="s">
        <v>539</v>
      </c>
      <c r="M459" s="1032" t="s">
        <v>1035</v>
      </c>
      <c r="N459" s="1032" t="s">
        <v>1038</v>
      </c>
      <c r="O459" s="1032">
        <v>2021.0</v>
      </c>
      <c r="P459" s="1032" t="s">
        <v>1039</v>
      </c>
      <c r="Q459" s="1033" t="s">
        <v>63</v>
      </c>
      <c r="R459" s="1034">
        <v>37.99682142</v>
      </c>
      <c r="S459" s="1034">
        <v>8.590459871</v>
      </c>
      <c r="T459" s="1035">
        <v>91.37720934</v>
      </c>
      <c r="AB459" s="1045"/>
      <c r="AF459" s="225"/>
    </row>
    <row r="460">
      <c r="A460" s="1013"/>
      <c r="B460" s="1019" t="s">
        <v>123</v>
      </c>
      <c r="C460" s="1020" t="s">
        <v>1035</v>
      </c>
      <c r="D460" s="1020" t="s">
        <v>1036</v>
      </c>
      <c r="E460" s="1020" t="s">
        <v>581</v>
      </c>
      <c r="F460" s="1020">
        <v>2021.0</v>
      </c>
      <c r="G460" s="1021">
        <v>0.001764135</v>
      </c>
      <c r="H460" s="1021">
        <v>9.88616E-4</v>
      </c>
      <c r="I460" s="1022">
        <v>0.002940067</v>
      </c>
      <c r="K460" s="1031" t="s">
        <v>115</v>
      </c>
      <c r="L460" s="1032" t="s">
        <v>539</v>
      </c>
      <c r="M460" s="1032" t="s">
        <v>1035</v>
      </c>
      <c r="N460" s="1032" t="s">
        <v>1042</v>
      </c>
      <c r="O460" s="1032">
        <v>2021.0</v>
      </c>
      <c r="P460" s="1032" t="s">
        <v>1039</v>
      </c>
      <c r="Q460" s="1033" t="s">
        <v>63</v>
      </c>
      <c r="R460" s="1034">
        <v>0.0</v>
      </c>
      <c r="S460" s="1034">
        <v>0.0</v>
      </c>
      <c r="T460" s="1035">
        <v>0.0</v>
      </c>
      <c r="AB460" s="1045"/>
      <c r="AF460" s="225"/>
    </row>
    <row r="461">
      <c r="A461" s="1013"/>
      <c r="B461" s="1019" t="s">
        <v>123</v>
      </c>
      <c r="C461" s="1020" t="s">
        <v>1035</v>
      </c>
      <c r="D461" s="1020" t="s">
        <v>1041</v>
      </c>
      <c r="E461" s="1020" t="s">
        <v>581</v>
      </c>
      <c r="F461" s="1020">
        <v>2021.0</v>
      </c>
      <c r="G461" s="1021">
        <v>0.015782545</v>
      </c>
      <c r="H461" s="1021">
        <v>0.010099495</v>
      </c>
      <c r="I461" s="1022">
        <v>0.024389997</v>
      </c>
      <c r="K461" s="1031" t="s">
        <v>115</v>
      </c>
      <c r="L461" s="1032" t="s">
        <v>539</v>
      </c>
      <c r="M461" s="1032" t="s">
        <v>1035</v>
      </c>
      <c r="N461" s="1032" t="s">
        <v>1044</v>
      </c>
      <c r="O461" s="1032">
        <v>2021.0</v>
      </c>
      <c r="P461" s="1032" t="s">
        <v>1039</v>
      </c>
      <c r="Q461" s="1033" t="s">
        <v>63</v>
      </c>
      <c r="R461" s="1034">
        <v>0.0</v>
      </c>
      <c r="S461" s="1034">
        <v>0.0</v>
      </c>
      <c r="T461" s="1035">
        <v>0.0</v>
      </c>
      <c r="AB461" s="1045"/>
      <c r="AF461" s="225"/>
    </row>
    <row r="462">
      <c r="A462" s="1013"/>
      <c r="B462" s="1019" t="s">
        <v>123</v>
      </c>
      <c r="C462" s="1020" t="s">
        <v>1035</v>
      </c>
      <c r="D462" s="1020" t="s">
        <v>1043</v>
      </c>
      <c r="E462" s="1020" t="s">
        <v>581</v>
      </c>
      <c r="F462" s="1020">
        <v>2021.0</v>
      </c>
      <c r="G462" s="1021">
        <v>5.4279E-4</v>
      </c>
      <c r="H462" s="1021">
        <v>2.67851E-4</v>
      </c>
      <c r="I462" s="1022">
        <v>9.34404E-4</v>
      </c>
      <c r="K462" s="1031" t="s">
        <v>115</v>
      </c>
      <c r="L462" s="1032" t="s">
        <v>539</v>
      </c>
      <c r="M462" s="1032" t="s">
        <v>1035</v>
      </c>
      <c r="N462" s="1032" t="s">
        <v>1046</v>
      </c>
      <c r="O462" s="1032">
        <v>2021.0</v>
      </c>
      <c r="P462" s="1032" t="s">
        <v>1039</v>
      </c>
      <c r="Q462" s="1033" t="s">
        <v>63</v>
      </c>
      <c r="R462" s="1034">
        <v>7.34543864</v>
      </c>
      <c r="S462" s="1034">
        <v>1.624334154</v>
      </c>
      <c r="T462" s="1035">
        <v>19.18124868</v>
      </c>
      <c r="AB462" s="1045"/>
      <c r="AF462" s="225"/>
    </row>
    <row r="463">
      <c r="A463" s="1013"/>
      <c r="B463" s="1019" t="s">
        <v>123</v>
      </c>
      <c r="C463" s="1020" t="s">
        <v>1035</v>
      </c>
      <c r="D463" s="1020" t="s">
        <v>1045</v>
      </c>
      <c r="E463" s="1020" t="s">
        <v>581</v>
      </c>
      <c r="F463" s="1020">
        <v>2021.0</v>
      </c>
      <c r="G463" s="1021">
        <v>0.008631043</v>
      </c>
      <c r="H463" s="1021">
        <v>0.005060317</v>
      </c>
      <c r="I463" s="1022">
        <v>0.01298828</v>
      </c>
      <c r="K463" s="1031" t="s">
        <v>115</v>
      </c>
      <c r="L463" s="1032" t="s">
        <v>539</v>
      </c>
      <c r="M463" s="1032" t="s">
        <v>1035</v>
      </c>
      <c r="N463" s="1032" t="s">
        <v>1045</v>
      </c>
      <c r="O463" s="1032">
        <v>2021.0</v>
      </c>
      <c r="P463" s="1032" t="s">
        <v>1039</v>
      </c>
      <c r="Q463" s="1033" t="s">
        <v>63</v>
      </c>
      <c r="R463" s="1034">
        <v>45.34226006</v>
      </c>
      <c r="S463" s="1034">
        <v>13.3941637</v>
      </c>
      <c r="T463" s="1035">
        <v>99.18716661</v>
      </c>
      <c r="AB463" s="1045"/>
      <c r="AF463" s="225"/>
    </row>
    <row r="464">
      <c r="A464" s="1013"/>
      <c r="B464" s="1019" t="s">
        <v>124</v>
      </c>
      <c r="C464" s="1020" t="s">
        <v>1035</v>
      </c>
      <c r="D464" s="1020" t="s">
        <v>1036</v>
      </c>
      <c r="E464" s="1020" t="s">
        <v>581</v>
      </c>
      <c r="F464" s="1020">
        <v>2021.0</v>
      </c>
      <c r="G464" s="1021">
        <v>0.002444501</v>
      </c>
      <c r="H464" s="1021">
        <v>0.001502234</v>
      </c>
      <c r="I464" s="1022">
        <v>0.003616412</v>
      </c>
      <c r="K464" s="1031" t="s">
        <v>137</v>
      </c>
      <c r="L464" s="1032" t="s">
        <v>539</v>
      </c>
      <c r="M464" s="1032" t="s">
        <v>1035</v>
      </c>
      <c r="N464" s="1032" t="s">
        <v>1038</v>
      </c>
      <c r="O464" s="1032">
        <v>2021.0</v>
      </c>
      <c r="P464" s="1032" t="s">
        <v>1039</v>
      </c>
      <c r="Q464" s="1033" t="s">
        <v>63</v>
      </c>
      <c r="R464" s="1034">
        <v>0.786824861</v>
      </c>
      <c r="S464" s="1034">
        <v>0.165390807</v>
      </c>
      <c r="T464" s="1035">
        <v>2.125589515</v>
      </c>
      <c r="AB464" s="1045"/>
      <c r="AF464" s="225"/>
    </row>
    <row r="465">
      <c r="A465" s="1013"/>
      <c r="B465" s="1019" t="s">
        <v>124</v>
      </c>
      <c r="C465" s="1020" t="s">
        <v>1035</v>
      </c>
      <c r="D465" s="1020" t="s">
        <v>1041</v>
      </c>
      <c r="E465" s="1020" t="s">
        <v>581</v>
      </c>
      <c r="F465" s="1020">
        <v>2021.0</v>
      </c>
      <c r="G465" s="1021">
        <v>0.023351116</v>
      </c>
      <c r="H465" s="1021">
        <v>0.016496407</v>
      </c>
      <c r="I465" s="1022">
        <v>0.032414178</v>
      </c>
      <c r="K465" s="1031" t="s">
        <v>137</v>
      </c>
      <c r="L465" s="1032" t="s">
        <v>539</v>
      </c>
      <c r="M465" s="1032" t="s">
        <v>1035</v>
      </c>
      <c r="N465" s="1032" t="s">
        <v>1042</v>
      </c>
      <c r="O465" s="1032">
        <v>2021.0</v>
      </c>
      <c r="P465" s="1032" t="s">
        <v>1039</v>
      </c>
      <c r="Q465" s="1033" t="s">
        <v>63</v>
      </c>
      <c r="R465" s="1034">
        <v>0.0</v>
      </c>
      <c r="S465" s="1034">
        <v>0.0</v>
      </c>
      <c r="T465" s="1035">
        <v>0.0</v>
      </c>
      <c r="AB465" s="1045"/>
      <c r="AF465" s="225"/>
    </row>
    <row r="466">
      <c r="A466" s="1013"/>
      <c r="B466" s="1019" t="s">
        <v>124</v>
      </c>
      <c r="C466" s="1020" t="s">
        <v>1035</v>
      </c>
      <c r="D466" s="1020" t="s">
        <v>1043</v>
      </c>
      <c r="E466" s="1020" t="s">
        <v>581</v>
      </c>
      <c r="F466" s="1020">
        <v>2021.0</v>
      </c>
      <c r="G466" s="1021">
        <v>0.001159606</v>
      </c>
      <c r="H466" s="1021">
        <v>7.19827E-4</v>
      </c>
      <c r="I466" s="1022">
        <v>0.001709246</v>
      </c>
      <c r="K466" s="1031" t="s">
        <v>137</v>
      </c>
      <c r="L466" s="1032" t="s">
        <v>539</v>
      </c>
      <c r="M466" s="1032" t="s">
        <v>1035</v>
      </c>
      <c r="N466" s="1032" t="s">
        <v>1044</v>
      </c>
      <c r="O466" s="1032">
        <v>2021.0</v>
      </c>
      <c r="P466" s="1032" t="s">
        <v>1039</v>
      </c>
      <c r="Q466" s="1033" t="s">
        <v>63</v>
      </c>
      <c r="R466" s="1034">
        <v>0.0</v>
      </c>
      <c r="S466" s="1034">
        <v>0.0</v>
      </c>
      <c r="T466" s="1035">
        <v>0.0</v>
      </c>
      <c r="AB466" s="1045"/>
      <c r="AF466" s="225"/>
    </row>
    <row r="467">
      <c r="A467" s="1013"/>
      <c r="B467" s="1019" t="s">
        <v>124</v>
      </c>
      <c r="C467" s="1020" t="s">
        <v>1035</v>
      </c>
      <c r="D467" s="1020" t="s">
        <v>1045</v>
      </c>
      <c r="E467" s="1020" t="s">
        <v>581</v>
      </c>
      <c r="F467" s="1020">
        <v>2021.0</v>
      </c>
      <c r="G467" s="1021">
        <v>0.017692972</v>
      </c>
      <c r="H467" s="1021">
        <v>0.011466141</v>
      </c>
      <c r="I467" s="1022">
        <v>0.02568941</v>
      </c>
      <c r="K467" s="1031" t="s">
        <v>137</v>
      </c>
      <c r="L467" s="1032" t="s">
        <v>539</v>
      </c>
      <c r="M467" s="1032" t="s">
        <v>1035</v>
      </c>
      <c r="N467" s="1032" t="s">
        <v>1046</v>
      </c>
      <c r="O467" s="1032">
        <v>2021.0</v>
      </c>
      <c r="P467" s="1032" t="s">
        <v>1039</v>
      </c>
      <c r="Q467" s="1033" t="s">
        <v>63</v>
      </c>
      <c r="R467" s="1034">
        <v>0.325161876</v>
      </c>
      <c r="S467" s="1034">
        <v>0.05707939</v>
      </c>
      <c r="T467" s="1035">
        <v>0.970449736</v>
      </c>
      <c r="AB467" s="1045"/>
      <c r="AF467" s="225"/>
    </row>
    <row r="468">
      <c r="A468" s="1013"/>
      <c r="B468" s="1019" t="s">
        <v>125</v>
      </c>
      <c r="C468" s="1020" t="s">
        <v>1035</v>
      </c>
      <c r="D468" s="1020" t="s">
        <v>1036</v>
      </c>
      <c r="E468" s="1020" t="s">
        <v>581</v>
      </c>
      <c r="F468" s="1020">
        <v>2021.0</v>
      </c>
      <c r="G468" s="1021">
        <v>0.001880042</v>
      </c>
      <c r="H468" s="1021">
        <v>0.001019863</v>
      </c>
      <c r="I468" s="1022">
        <v>0.003105527</v>
      </c>
      <c r="K468" s="1031" t="s">
        <v>137</v>
      </c>
      <c r="L468" s="1032" t="s">
        <v>539</v>
      </c>
      <c r="M468" s="1032" t="s">
        <v>1035</v>
      </c>
      <c r="N468" s="1032" t="s">
        <v>1045</v>
      </c>
      <c r="O468" s="1032">
        <v>2021.0</v>
      </c>
      <c r="P468" s="1032" t="s">
        <v>1039</v>
      </c>
      <c r="Q468" s="1033" t="s">
        <v>63</v>
      </c>
      <c r="R468" s="1034">
        <v>1.111986737</v>
      </c>
      <c r="S468" s="1034">
        <v>0.315157616</v>
      </c>
      <c r="T468" s="1035">
        <v>2.78549326</v>
      </c>
      <c r="AB468" s="1045"/>
      <c r="AF468" s="225"/>
    </row>
    <row r="469">
      <c r="A469" s="1013"/>
      <c r="B469" s="1019" t="s">
        <v>125</v>
      </c>
      <c r="C469" s="1020" t="s">
        <v>1035</v>
      </c>
      <c r="D469" s="1020" t="s">
        <v>1041</v>
      </c>
      <c r="E469" s="1020" t="s">
        <v>581</v>
      </c>
      <c r="F469" s="1020">
        <v>2021.0</v>
      </c>
      <c r="G469" s="1021">
        <v>0.017447023</v>
      </c>
      <c r="H469" s="1021">
        <v>0.011457022</v>
      </c>
      <c r="I469" s="1022">
        <v>0.027266799</v>
      </c>
      <c r="K469" s="1031" t="s">
        <v>116</v>
      </c>
      <c r="L469" s="1032" t="s">
        <v>539</v>
      </c>
      <c r="M469" s="1032" t="s">
        <v>1035</v>
      </c>
      <c r="N469" s="1032" t="s">
        <v>1038</v>
      </c>
      <c r="O469" s="1032">
        <v>2021.0</v>
      </c>
      <c r="P469" s="1032" t="s">
        <v>1039</v>
      </c>
      <c r="Q469" s="1033" t="s">
        <v>63</v>
      </c>
      <c r="R469" s="1034">
        <v>115.5780373</v>
      </c>
      <c r="S469" s="1034">
        <v>26.20304012</v>
      </c>
      <c r="T469" s="1035">
        <v>282.9426992</v>
      </c>
      <c r="AB469" s="1045"/>
      <c r="AF469" s="225"/>
    </row>
    <row r="470">
      <c r="A470" s="1013"/>
      <c r="B470" s="1019" t="s">
        <v>125</v>
      </c>
      <c r="C470" s="1020" t="s">
        <v>1035</v>
      </c>
      <c r="D470" s="1020" t="s">
        <v>1043</v>
      </c>
      <c r="E470" s="1020" t="s">
        <v>581</v>
      </c>
      <c r="F470" s="1020">
        <v>2021.0</v>
      </c>
      <c r="G470" s="1021">
        <v>4.38313E-4</v>
      </c>
      <c r="H470" s="1021">
        <v>2.12364E-4</v>
      </c>
      <c r="I470" s="1022">
        <v>7.50607E-4</v>
      </c>
      <c r="K470" s="1031" t="s">
        <v>116</v>
      </c>
      <c r="L470" s="1032" t="s">
        <v>539</v>
      </c>
      <c r="M470" s="1032" t="s">
        <v>1035</v>
      </c>
      <c r="N470" s="1032" t="s">
        <v>1042</v>
      </c>
      <c r="O470" s="1032">
        <v>2021.0</v>
      </c>
      <c r="P470" s="1032" t="s">
        <v>1039</v>
      </c>
      <c r="Q470" s="1033" t="s">
        <v>63</v>
      </c>
      <c r="R470" s="1034">
        <v>0.0</v>
      </c>
      <c r="S470" s="1034">
        <v>0.0</v>
      </c>
      <c r="T470" s="1035">
        <v>0.0</v>
      </c>
      <c r="AB470" s="1045"/>
      <c r="AF470" s="225"/>
    </row>
    <row r="471">
      <c r="A471" s="1013"/>
      <c r="B471" s="1019" t="s">
        <v>125</v>
      </c>
      <c r="C471" s="1020" t="s">
        <v>1035</v>
      </c>
      <c r="D471" s="1020" t="s">
        <v>1045</v>
      </c>
      <c r="E471" s="1020" t="s">
        <v>581</v>
      </c>
      <c r="F471" s="1020">
        <v>2021.0</v>
      </c>
      <c r="G471" s="1021">
        <v>0.006290583</v>
      </c>
      <c r="H471" s="1021">
        <v>0.00374491</v>
      </c>
      <c r="I471" s="1022">
        <v>0.009386941</v>
      </c>
      <c r="K471" s="1031" t="s">
        <v>116</v>
      </c>
      <c r="L471" s="1032" t="s">
        <v>539</v>
      </c>
      <c r="M471" s="1032" t="s">
        <v>1035</v>
      </c>
      <c r="N471" s="1032" t="s">
        <v>1044</v>
      </c>
      <c r="O471" s="1032">
        <v>2021.0</v>
      </c>
      <c r="P471" s="1032" t="s">
        <v>1039</v>
      </c>
      <c r="Q471" s="1033" t="s">
        <v>63</v>
      </c>
      <c r="R471" s="1034">
        <v>0.0</v>
      </c>
      <c r="S471" s="1034">
        <v>0.0</v>
      </c>
      <c r="T471" s="1035">
        <v>0.0</v>
      </c>
      <c r="AB471" s="1045"/>
      <c r="AF471" s="225"/>
    </row>
    <row r="472">
      <c r="A472" s="1013"/>
      <c r="B472" s="1019" t="s">
        <v>126</v>
      </c>
      <c r="C472" s="1020" t="s">
        <v>1035</v>
      </c>
      <c r="D472" s="1020" t="s">
        <v>1036</v>
      </c>
      <c r="E472" s="1020" t="s">
        <v>581</v>
      </c>
      <c r="F472" s="1020">
        <v>2021.0</v>
      </c>
      <c r="G472" s="1021">
        <v>0.001957972</v>
      </c>
      <c r="H472" s="1021">
        <v>0.001162587</v>
      </c>
      <c r="I472" s="1022">
        <v>0.003176228</v>
      </c>
      <c r="K472" s="1031" t="s">
        <v>116</v>
      </c>
      <c r="L472" s="1032" t="s">
        <v>539</v>
      </c>
      <c r="M472" s="1032" t="s">
        <v>1035</v>
      </c>
      <c r="N472" s="1032" t="s">
        <v>1046</v>
      </c>
      <c r="O472" s="1032">
        <v>2021.0</v>
      </c>
      <c r="P472" s="1032" t="s">
        <v>1039</v>
      </c>
      <c r="Q472" s="1033" t="s">
        <v>63</v>
      </c>
      <c r="R472" s="1034">
        <v>17.62269744</v>
      </c>
      <c r="S472" s="1034">
        <v>4.308912025</v>
      </c>
      <c r="T472" s="1035">
        <v>41.43610991</v>
      </c>
      <c r="AB472" s="1045"/>
      <c r="AF472" s="225"/>
    </row>
    <row r="473">
      <c r="A473" s="1013"/>
      <c r="B473" s="1019" t="s">
        <v>126</v>
      </c>
      <c r="C473" s="1020" t="s">
        <v>1035</v>
      </c>
      <c r="D473" s="1020" t="s">
        <v>1041</v>
      </c>
      <c r="E473" s="1020" t="s">
        <v>581</v>
      </c>
      <c r="F473" s="1020">
        <v>2021.0</v>
      </c>
      <c r="G473" s="1021">
        <v>0.016405116</v>
      </c>
      <c r="H473" s="1021">
        <v>0.011057874</v>
      </c>
      <c r="I473" s="1022">
        <v>0.024625716</v>
      </c>
      <c r="K473" s="1031" t="s">
        <v>116</v>
      </c>
      <c r="L473" s="1032" t="s">
        <v>539</v>
      </c>
      <c r="M473" s="1032" t="s">
        <v>1035</v>
      </c>
      <c r="N473" s="1032" t="s">
        <v>1045</v>
      </c>
      <c r="O473" s="1032">
        <v>2021.0</v>
      </c>
      <c r="P473" s="1032" t="s">
        <v>1039</v>
      </c>
      <c r="Q473" s="1033" t="s">
        <v>63</v>
      </c>
      <c r="R473" s="1034">
        <v>133.2007348</v>
      </c>
      <c r="S473" s="1034">
        <v>38.62890274</v>
      </c>
      <c r="T473" s="1035">
        <v>306.1283899</v>
      </c>
      <c r="AB473" s="1045"/>
      <c r="AF473" s="225"/>
    </row>
    <row r="474">
      <c r="A474" s="1013"/>
      <c r="B474" s="1019" t="s">
        <v>126</v>
      </c>
      <c r="C474" s="1020" t="s">
        <v>1035</v>
      </c>
      <c r="D474" s="1020" t="s">
        <v>1043</v>
      </c>
      <c r="E474" s="1020" t="s">
        <v>581</v>
      </c>
      <c r="F474" s="1020">
        <v>2021.0</v>
      </c>
      <c r="G474" s="1021">
        <v>4.77036E-4</v>
      </c>
      <c r="H474" s="1021">
        <v>2.33393E-4</v>
      </c>
      <c r="I474" s="1022">
        <v>7.80398E-4</v>
      </c>
      <c r="K474" s="1031" t="s">
        <v>138</v>
      </c>
      <c r="L474" s="1032" t="s">
        <v>539</v>
      </c>
      <c r="M474" s="1032" t="s">
        <v>1035</v>
      </c>
      <c r="N474" s="1032" t="s">
        <v>1038</v>
      </c>
      <c r="O474" s="1032">
        <v>2021.0</v>
      </c>
      <c r="P474" s="1032" t="s">
        <v>1039</v>
      </c>
      <c r="Q474" s="1033" t="s">
        <v>63</v>
      </c>
      <c r="R474" s="1034">
        <v>30.87107349</v>
      </c>
      <c r="S474" s="1034">
        <v>7.128249854</v>
      </c>
      <c r="T474" s="1035">
        <v>80.20294568</v>
      </c>
      <c r="AB474" s="1045"/>
      <c r="AF474" s="225"/>
    </row>
    <row r="475">
      <c r="A475" s="1013"/>
      <c r="B475" s="1019" t="s">
        <v>126</v>
      </c>
      <c r="C475" s="1020" t="s">
        <v>1035</v>
      </c>
      <c r="D475" s="1020" t="s">
        <v>1045</v>
      </c>
      <c r="E475" s="1020" t="s">
        <v>581</v>
      </c>
      <c r="F475" s="1020">
        <v>2021.0</v>
      </c>
      <c r="G475" s="1021">
        <v>0.007369406</v>
      </c>
      <c r="H475" s="1021">
        <v>0.004167678</v>
      </c>
      <c r="I475" s="1022">
        <v>0.011204581</v>
      </c>
      <c r="K475" s="1031" t="s">
        <v>138</v>
      </c>
      <c r="L475" s="1032" t="s">
        <v>539</v>
      </c>
      <c r="M475" s="1032" t="s">
        <v>1035</v>
      </c>
      <c r="N475" s="1032" t="s">
        <v>1042</v>
      </c>
      <c r="O475" s="1032">
        <v>2021.0</v>
      </c>
      <c r="P475" s="1032" t="s">
        <v>1039</v>
      </c>
      <c r="Q475" s="1033" t="s">
        <v>63</v>
      </c>
      <c r="R475" s="1034">
        <v>0.0</v>
      </c>
      <c r="S475" s="1034">
        <v>0.0</v>
      </c>
      <c r="T475" s="1035">
        <v>0.0</v>
      </c>
      <c r="AB475" s="1045"/>
      <c r="AF475" s="225"/>
    </row>
    <row r="476">
      <c r="A476" s="1013"/>
      <c r="B476" s="1019" t="s">
        <v>114</v>
      </c>
      <c r="C476" s="1020" t="s">
        <v>1035</v>
      </c>
      <c r="D476" s="1020" t="s">
        <v>1036</v>
      </c>
      <c r="E476" s="1020" t="s">
        <v>581</v>
      </c>
      <c r="F476" s="1020">
        <v>2021.0</v>
      </c>
      <c r="G476" s="1021">
        <v>0.002586005</v>
      </c>
      <c r="H476" s="1021">
        <v>0.001705049</v>
      </c>
      <c r="I476" s="1022">
        <v>0.003759731</v>
      </c>
      <c r="K476" s="1031" t="s">
        <v>138</v>
      </c>
      <c r="L476" s="1032" t="s">
        <v>539</v>
      </c>
      <c r="M476" s="1032" t="s">
        <v>1035</v>
      </c>
      <c r="N476" s="1032" t="s">
        <v>1044</v>
      </c>
      <c r="O476" s="1032">
        <v>2021.0</v>
      </c>
      <c r="P476" s="1032" t="s">
        <v>1039</v>
      </c>
      <c r="Q476" s="1033" t="s">
        <v>63</v>
      </c>
      <c r="R476" s="1034">
        <v>0.0</v>
      </c>
      <c r="S476" s="1034">
        <v>0.0</v>
      </c>
      <c r="T476" s="1035">
        <v>0.0</v>
      </c>
      <c r="AB476" s="1045"/>
      <c r="AF476" s="225"/>
    </row>
    <row r="477">
      <c r="A477" s="1013"/>
      <c r="B477" s="1019" t="s">
        <v>114</v>
      </c>
      <c r="C477" s="1020" t="s">
        <v>1035</v>
      </c>
      <c r="D477" s="1020" t="s">
        <v>1041</v>
      </c>
      <c r="E477" s="1020" t="s">
        <v>581</v>
      </c>
      <c r="F477" s="1020">
        <v>2021.0</v>
      </c>
      <c r="G477" s="1021">
        <v>0.023849512</v>
      </c>
      <c r="H477" s="1021">
        <v>0.016411105</v>
      </c>
      <c r="I477" s="1022">
        <v>0.03301705</v>
      </c>
      <c r="K477" s="1031" t="s">
        <v>138</v>
      </c>
      <c r="L477" s="1032" t="s">
        <v>539</v>
      </c>
      <c r="M477" s="1032" t="s">
        <v>1035</v>
      </c>
      <c r="N477" s="1032" t="s">
        <v>1046</v>
      </c>
      <c r="O477" s="1032">
        <v>2021.0</v>
      </c>
      <c r="P477" s="1032" t="s">
        <v>1039</v>
      </c>
      <c r="Q477" s="1033" t="s">
        <v>63</v>
      </c>
      <c r="R477" s="1034">
        <v>10.45679282</v>
      </c>
      <c r="S477" s="1034">
        <v>2.466370016</v>
      </c>
      <c r="T477" s="1035">
        <v>27.04865344</v>
      </c>
      <c r="AB477" s="1045"/>
      <c r="AF477" s="225"/>
    </row>
    <row r="478">
      <c r="A478" s="1013"/>
      <c r="B478" s="1019" t="s">
        <v>114</v>
      </c>
      <c r="C478" s="1020" t="s">
        <v>1035</v>
      </c>
      <c r="D478" s="1020" t="s">
        <v>1043</v>
      </c>
      <c r="E478" s="1020" t="s">
        <v>581</v>
      </c>
      <c r="F478" s="1020">
        <v>2021.0</v>
      </c>
      <c r="G478" s="1021">
        <v>0.001298445</v>
      </c>
      <c r="H478" s="1021">
        <v>8.77547E-4</v>
      </c>
      <c r="I478" s="1022">
        <v>0.001846634</v>
      </c>
      <c r="K478" s="1031" t="s">
        <v>138</v>
      </c>
      <c r="L478" s="1032" t="s">
        <v>539</v>
      </c>
      <c r="M478" s="1032" t="s">
        <v>1035</v>
      </c>
      <c r="N478" s="1032" t="s">
        <v>1045</v>
      </c>
      <c r="O478" s="1032">
        <v>2021.0</v>
      </c>
      <c r="P478" s="1032" t="s">
        <v>1039</v>
      </c>
      <c r="Q478" s="1033" t="s">
        <v>63</v>
      </c>
      <c r="R478" s="1034">
        <v>41.32786631</v>
      </c>
      <c r="S478" s="1034">
        <v>13.08156082</v>
      </c>
      <c r="T478" s="1035">
        <v>90.97629761</v>
      </c>
      <c r="AB478" s="1045"/>
      <c r="AF478" s="225"/>
    </row>
    <row r="479">
      <c r="A479" s="1013"/>
      <c r="B479" s="1019" t="s">
        <v>114</v>
      </c>
      <c r="C479" s="1020" t="s">
        <v>1035</v>
      </c>
      <c r="D479" s="1020" t="s">
        <v>1045</v>
      </c>
      <c r="E479" s="1020" t="s">
        <v>581</v>
      </c>
      <c r="F479" s="1020">
        <v>2021.0</v>
      </c>
      <c r="G479" s="1021">
        <v>0.023390685</v>
      </c>
      <c r="H479" s="1021">
        <v>0.015969066</v>
      </c>
      <c r="I479" s="1022">
        <v>0.033883165</v>
      </c>
      <c r="K479" s="1031" t="s">
        <v>118</v>
      </c>
      <c r="L479" s="1032" t="s">
        <v>539</v>
      </c>
      <c r="M479" s="1032" t="s">
        <v>1035</v>
      </c>
      <c r="N479" s="1032" t="s">
        <v>1038</v>
      </c>
      <c r="O479" s="1032">
        <v>2021.0</v>
      </c>
      <c r="P479" s="1032" t="s">
        <v>1039</v>
      </c>
      <c r="Q479" s="1033" t="s">
        <v>63</v>
      </c>
      <c r="R479" s="1034">
        <v>144.7369394</v>
      </c>
      <c r="S479" s="1034">
        <v>34.48691577</v>
      </c>
      <c r="T479" s="1035">
        <v>388.9993655</v>
      </c>
      <c r="AB479" s="1045"/>
      <c r="AF479" s="225"/>
    </row>
    <row r="480">
      <c r="A480" s="1013"/>
      <c r="B480" s="1019" t="s">
        <v>127</v>
      </c>
      <c r="C480" s="1020" t="s">
        <v>1035</v>
      </c>
      <c r="D480" s="1020" t="s">
        <v>1036</v>
      </c>
      <c r="E480" s="1020" t="s">
        <v>581</v>
      </c>
      <c r="F480" s="1020">
        <v>2021.0</v>
      </c>
      <c r="G480" s="1021">
        <v>0.002082136</v>
      </c>
      <c r="H480" s="1021">
        <v>0.001215328</v>
      </c>
      <c r="I480" s="1022">
        <v>0.003185856</v>
      </c>
      <c r="K480" s="1031" t="s">
        <v>118</v>
      </c>
      <c r="L480" s="1032" t="s">
        <v>539</v>
      </c>
      <c r="M480" s="1032" t="s">
        <v>1035</v>
      </c>
      <c r="N480" s="1032" t="s">
        <v>1042</v>
      </c>
      <c r="O480" s="1032">
        <v>2021.0</v>
      </c>
      <c r="P480" s="1032" t="s">
        <v>1039</v>
      </c>
      <c r="Q480" s="1033" t="s">
        <v>63</v>
      </c>
      <c r="R480" s="1034">
        <v>0.0</v>
      </c>
      <c r="S480" s="1034">
        <v>0.0</v>
      </c>
      <c r="T480" s="1035">
        <v>0.0</v>
      </c>
      <c r="AB480" s="1045"/>
      <c r="AF480" s="225"/>
    </row>
    <row r="481">
      <c r="A481" s="1013"/>
      <c r="B481" s="1019" t="s">
        <v>127</v>
      </c>
      <c r="C481" s="1020" t="s">
        <v>1035</v>
      </c>
      <c r="D481" s="1020" t="s">
        <v>1041</v>
      </c>
      <c r="E481" s="1020" t="s">
        <v>581</v>
      </c>
      <c r="F481" s="1020">
        <v>2021.0</v>
      </c>
      <c r="G481" s="1021">
        <v>0.019350304</v>
      </c>
      <c r="H481" s="1021">
        <v>0.013119732</v>
      </c>
      <c r="I481" s="1022">
        <v>0.028013765</v>
      </c>
      <c r="K481" s="1031" t="s">
        <v>118</v>
      </c>
      <c r="L481" s="1032" t="s">
        <v>539</v>
      </c>
      <c r="M481" s="1032" t="s">
        <v>1035</v>
      </c>
      <c r="N481" s="1032" t="s">
        <v>1044</v>
      </c>
      <c r="O481" s="1032">
        <v>2021.0</v>
      </c>
      <c r="P481" s="1032" t="s">
        <v>1039</v>
      </c>
      <c r="Q481" s="1033" t="s">
        <v>63</v>
      </c>
      <c r="R481" s="1034">
        <v>0.0</v>
      </c>
      <c r="S481" s="1034">
        <v>0.0</v>
      </c>
      <c r="T481" s="1035">
        <v>0.0</v>
      </c>
      <c r="AB481" s="1045"/>
      <c r="AF481" s="225"/>
    </row>
    <row r="482">
      <c r="A482" s="1013"/>
      <c r="B482" s="1019" t="s">
        <v>127</v>
      </c>
      <c r="C482" s="1020" t="s">
        <v>1035</v>
      </c>
      <c r="D482" s="1020" t="s">
        <v>1043</v>
      </c>
      <c r="E482" s="1020" t="s">
        <v>581</v>
      </c>
      <c r="F482" s="1020">
        <v>2021.0</v>
      </c>
      <c r="G482" s="1021">
        <v>4.61053E-4</v>
      </c>
      <c r="H482" s="1021">
        <v>2.4183E-4</v>
      </c>
      <c r="I482" s="1022">
        <v>7.18571E-4</v>
      </c>
      <c r="K482" s="1031" t="s">
        <v>118</v>
      </c>
      <c r="L482" s="1032" t="s">
        <v>539</v>
      </c>
      <c r="M482" s="1032" t="s">
        <v>1035</v>
      </c>
      <c r="N482" s="1032" t="s">
        <v>1046</v>
      </c>
      <c r="O482" s="1032">
        <v>2021.0</v>
      </c>
      <c r="P482" s="1032" t="s">
        <v>1039</v>
      </c>
      <c r="Q482" s="1033" t="s">
        <v>63</v>
      </c>
      <c r="R482" s="1034">
        <v>24.367067</v>
      </c>
      <c r="S482" s="1034">
        <v>5.239576748</v>
      </c>
      <c r="T482" s="1035">
        <v>65.13385054</v>
      </c>
      <c r="AB482" s="1045"/>
      <c r="AF482" s="225"/>
    </row>
    <row r="483">
      <c r="A483" s="1013"/>
      <c r="B483" s="1019" t="s">
        <v>127</v>
      </c>
      <c r="C483" s="1020" t="s">
        <v>1035</v>
      </c>
      <c r="D483" s="1020" t="s">
        <v>1045</v>
      </c>
      <c r="E483" s="1020" t="s">
        <v>581</v>
      </c>
      <c r="F483" s="1020">
        <v>2021.0</v>
      </c>
      <c r="G483" s="1021">
        <v>0.00733338</v>
      </c>
      <c r="H483" s="1021">
        <v>0.004204496</v>
      </c>
      <c r="I483" s="1022">
        <v>0.010820956</v>
      </c>
      <c r="K483" s="1031" t="s">
        <v>118</v>
      </c>
      <c r="L483" s="1032" t="s">
        <v>539</v>
      </c>
      <c r="M483" s="1032" t="s">
        <v>1035</v>
      </c>
      <c r="N483" s="1032" t="s">
        <v>1045</v>
      </c>
      <c r="O483" s="1032">
        <v>2021.0</v>
      </c>
      <c r="P483" s="1032" t="s">
        <v>1039</v>
      </c>
      <c r="Q483" s="1033" t="s">
        <v>63</v>
      </c>
      <c r="R483" s="1034">
        <v>169.1040064</v>
      </c>
      <c r="S483" s="1034">
        <v>48.31002102</v>
      </c>
      <c r="T483" s="1035">
        <v>422.5264494</v>
      </c>
      <c r="AB483" s="1045"/>
      <c r="AF483" s="225"/>
    </row>
    <row r="484">
      <c r="A484" s="1013"/>
      <c r="B484" s="1019" t="s">
        <v>128</v>
      </c>
      <c r="C484" s="1020" t="s">
        <v>1035</v>
      </c>
      <c r="D484" s="1020" t="s">
        <v>1036</v>
      </c>
      <c r="E484" s="1020" t="s">
        <v>581</v>
      </c>
      <c r="F484" s="1020">
        <v>2021.0</v>
      </c>
      <c r="G484" s="1021">
        <v>0.002509839</v>
      </c>
      <c r="H484" s="1021">
        <v>0.001426272</v>
      </c>
      <c r="I484" s="1022">
        <v>0.004182439</v>
      </c>
      <c r="K484" s="1031" t="s">
        <v>119</v>
      </c>
      <c r="L484" s="1032" t="s">
        <v>539</v>
      </c>
      <c r="M484" s="1032" t="s">
        <v>1035</v>
      </c>
      <c r="N484" s="1032" t="s">
        <v>1038</v>
      </c>
      <c r="O484" s="1032">
        <v>2021.0</v>
      </c>
      <c r="P484" s="1032" t="s">
        <v>1039</v>
      </c>
      <c r="Q484" s="1033" t="s">
        <v>63</v>
      </c>
      <c r="R484" s="1034">
        <v>131.0307597</v>
      </c>
      <c r="S484" s="1034">
        <v>29.44754321</v>
      </c>
      <c r="T484" s="1035">
        <v>357.9081185</v>
      </c>
      <c r="AB484" s="1045"/>
      <c r="AF484" s="225"/>
    </row>
    <row r="485">
      <c r="A485" s="1013"/>
      <c r="B485" s="1019" t="s">
        <v>128</v>
      </c>
      <c r="C485" s="1020" t="s">
        <v>1035</v>
      </c>
      <c r="D485" s="1020" t="s">
        <v>1041</v>
      </c>
      <c r="E485" s="1020" t="s">
        <v>581</v>
      </c>
      <c r="F485" s="1020">
        <v>2021.0</v>
      </c>
      <c r="G485" s="1021">
        <v>0.021737143</v>
      </c>
      <c r="H485" s="1021">
        <v>0.014217358</v>
      </c>
      <c r="I485" s="1022">
        <v>0.032292074</v>
      </c>
      <c r="K485" s="1031" t="s">
        <v>119</v>
      </c>
      <c r="L485" s="1032" t="s">
        <v>539</v>
      </c>
      <c r="M485" s="1032" t="s">
        <v>1035</v>
      </c>
      <c r="N485" s="1032" t="s">
        <v>1042</v>
      </c>
      <c r="O485" s="1032">
        <v>2021.0</v>
      </c>
      <c r="P485" s="1032" t="s">
        <v>1039</v>
      </c>
      <c r="Q485" s="1033" t="s">
        <v>63</v>
      </c>
      <c r="R485" s="1034">
        <v>0.0</v>
      </c>
      <c r="S485" s="1034">
        <v>0.0</v>
      </c>
      <c r="T485" s="1035">
        <v>0.0</v>
      </c>
      <c r="AB485" s="1045"/>
      <c r="AF485" s="225"/>
    </row>
    <row r="486">
      <c r="A486" s="1013"/>
      <c r="B486" s="1019" t="s">
        <v>128</v>
      </c>
      <c r="C486" s="1020" t="s">
        <v>1035</v>
      </c>
      <c r="D486" s="1020" t="s">
        <v>1043</v>
      </c>
      <c r="E486" s="1020" t="s">
        <v>581</v>
      </c>
      <c r="F486" s="1020">
        <v>2021.0</v>
      </c>
      <c r="G486" s="1021">
        <v>8.39495E-4</v>
      </c>
      <c r="H486" s="1021">
        <v>5.08893E-4</v>
      </c>
      <c r="I486" s="1022">
        <v>0.001288065</v>
      </c>
      <c r="K486" s="1031" t="s">
        <v>119</v>
      </c>
      <c r="L486" s="1032" t="s">
        <v>539</v>
      </c>
      <c r="M486" s="1032" t="s">
        <v>1035</v>
      </c>
      <c r="N486" s="1032" t="s">
        <v>1044</v>
      </c>
      <c r="O486" s="1032">
        <v>2021.0</v>
      </c>
      <c r="P486" s="1032" t="s">
        <v>1039</v>
      </c>
      <c r="Q486" s="1033" t="s">
        <v>63</v>
      </c>
      <c r="R486" s="1034">
        <v>0.0</v>
      </c>
      <c r="S486" s="1034">
        <v>0.0</v>
      </c>
      <c r="T486" s="1035">
        <v>0.0</v>
      </c>
      <c r="AB486" s="1045"/>
      <c r="AF486" s="225"/>
    </row>
    <row r="487">
      <c r="A487" s="1013"/>
      <c r="B487" s="1019" t="s">
        <v>128</v>
      </c>
      <c r="C487" s="1020" t="s">
        <v>1035</v>
      </c>
      <c r="D487" s="1020" t="s">
        <v>1045</v>
      </c>
      <c r="E487" s="1020" t="s">
        <v>581</v>
      </c>
      <c r="F487" s="1020">
        <v>2021.0</v>
      </c>
      <c r="G487" s="1021">
        <v>0.010914292</v>
      </c>
      <c r="H487" s="1021">
        <v>0.00741759</v>
      </c>
      <c r="I487" s="1022">
        <v>0.015526221</v>
      </c>
      <c r="K487" s="1031" t="s">
        <v>119</v>
      </c>
      <c r="L487" s="1032" t="s">
        <v>539</v>
      </c>
      <c r="M487" s="1032" t="s">
        <v>1035</v>
      </c>
      <c r="N487" s="1032" t="s">
        <v>1046</v>
      </c>
      <c r="O487" s="1032">
        <v>2021.0</v>
      </c>
      <c r="P487" s="1032" t="s">
        <v>1039</v>
      </c>
      <c r="Q487" s="1033" t="s">
        <v>63</v>
      </c>
      <c r="R487" s="1034">
        <v>29.1714306</v>
      </c>
      <c r="S487" s="1034">
        <v>5.826211719</v>
      </c>
      <c r="T487" s="1035">
        <v>77.79016506</v>
      </c>
      <c r="AB487" s="1045"/>
      <c r="AF487" s="225"/>
    </row>
    <row r="488">
      <c r="A488" s="1013"/>
      <c r="B488" s="1019" t="s">
        <v>129</v>
      </c>
      <c r="C488" s="1020" t="s">
        <v>1035</v>
      </c>
      <c r="D488" s="1020" t="s">
        <v>1036</v>
      </c>
      <c r="E488" s="1020" t="s">
        <v>581</v>
      </c>
      <c r="F488" s="1020">
        <v>2021.0</v>
      </c>
      <c r="G488" s="1021">
        <v>0.00181658</v>
      </c>
      <c r="H488" s="1021">
        <v>0.001030309</v>
      </c>
      <c r="I488" s="1022">
        <v>0.002781211</v>
      </c>
      <c r="K488" s="1031" t="s">
        <v>119</v>
      </c>
      <c r="L488" s="1032" t="s">
        <v>539</v>
      </c>
      <c r="M488" s="1032" t="s">
        <v>1035</v>
      </c>
      <c r="N488" s="1032" t="s">
        <v>1045</v>
      </c>
      <c r="O488" s="1032">
        <v>2021.0</v>
      </c>
      <c r="P488" s="1032" t="s">
        <v>1039</v>
      </c>
      <c r="Q488" s="1033" t="s">
        <v>63</v>
      </c>
      <c r="R488" s="1034">
        <v>160.2021903</v>
      </c>
      <c r="S488" s="1034">
        <v>47.58903698</v>
      </c>
      <c r="T488" s="1035">
        <v>387.9114826</v>
      </c>
      <c r="AB488" s="1045"/>
      <c r="AF488" s="225"/>
    </row>
    <row r="489">
      <c r="A489" s="1013"/>
      <c r="B489" s="1019" t="s">
        <v>129</v>
      </c>
      <c r="C489" s="1020" t="s">
        <v>1035</v>
      </c>
      <c r="D489" s="1020" t="s">
        <v>1041</v>
      </c>
      <c r="E489" s="1020" t="s">
        <v>581</v>
      </c>
      <c r="F489" s="1020">
        <v>2021.0</v>
      </c>
      <c r="G489" s="1021">
        <v>0.019471301</v>
      </c>
      <c r="H489" s="1021">
        <v>0.013115318</v>
      </c>
      <c r="I489" s="1022">
        <v>0.028193327</v>
      </c>
      <c r="K489" s="1031" t="s">
        <v>120</v>
      </c>
      <c r="L489" s="1032" t="s">
        <v>539</v>
      </c>
      <c r="M489" s="1032" t="s">
        <v>1035</v>
      </c>
      <c r="N489" s="1032" t="s">
        <v>1038</v>
      </c>
      <c r="O489" s="1032">
        <v>2021.0</v>
      </c>
      <c r="P489" s="1032" t="s">
        <v>1039</v>
      </c>
      <c r="Q489" s="1033" t="s">
        <v>63</v>
      </c>
      <c r="R489" s="1034">
        <v>119.295166</v>
      </c>
      <c r="S489" s="1034">
        <v>29.13374482</v>
      </c>
      <c r="T489" s="1035">
        <v>306.1617078</v>
      </c>
      <c r="AB489" s="1045"/>
      <c r="AF489" s="225"/>
    </row>
    <row r="490">
      <c r="A490" s="1013"/>
      <c r="B490" s="1019" t="s">
        <v>129</v>
      </c>
      <c r="C490" s="1020" t="s">
        <v>1035</v>
      </c>
      <c r="D490" s="1020" t="s">
        <v>1043</v>
      </c>
      <c r="E490" s="1020" t="s">
        <v>581</v>
      </c>
      <c r="F490" s="1020">
        <v>2021.0</v>
      </c>
      <c r="G490" s="1021">
        <v>6.04129E-4</v>
      </c>
      <c r="H490" s="1021">
        <v>3.77019E-4</v>
      </c>
      <c r="I490" s="1022">
        <v>8.79023E-4</v>
      </c>
      <c r="K490" s="1031" t="s">
        <v>120</v>
      </c>
      <c r="L490" s="1032" t="s">
        <v>539</v>
      </c>
      <c r="M490" s="1032" t="s">
        <v>1035</v>
      </c>
      <c r="N490" s="1032" t="s">
        <v>1042</v>
      </c>
      <c r="O490" s="1032">
        <v>2021.0</v>
      </c>
      <c r="P490" s="1032" t="s">
        <v>1039</v>
      </c>
      <c r="Q490" s="1033" t="s">
        <v>63</v>
      </c>
      <c r="R490" s="1034">
        <v>0.0</v>
      </c>
      <c r="S490" s="1034">
        <v>0.0</v>
      </c>
      <c r="T490" s="1035">
        <v>0.0</v>
      </c>
      <c r="AB490" s="1045"/>
      <c r="AF490" s="225"/>
    </row>
    <row r="491">
      <c r="A491" s="1013"/>
      <c r="B491" s="1019" t="s">
        <v>129</v>
      </c>
      <c r="C491" s="1020" t="s">
        <v>1035</v>
      </c>
      <c r="D491" s="1020" t="s">
        <v>1045</v>
      </c>
      <c r="E491" s="1020" t="s">
        <v>581</v>
      </c>
      <c r="F491" s="1020">
        <v>2021.0</v>
      </c>
      <c r="G491" s="1021">
        <v>0.007233136</v>
      </c>
      <c r="H491" s="1021">
        <v>0.004632401</v>
      </c>
      <c r="I491" s="1022">
        <v>0.010245767</v>
      </c>
      <c r="K491" s="1031" t="s">
        <v>120</v>
      </c>
      <c r="L491" s="1032" t="s">
        <v>539</v>
      </c>
      <c r="M491" s="1032" t="s">
        <v>1035</v>
      </c>
      <c r="N491" s="1032" t="s">
        <v>1044</v>
      </c>
      <c r="O491" s="1032">
        <v>2021.0</v>
      </c>
      <c r="P491" s="1032" t="s">
        <v>1039</v>
      </c>
      <c r="Q491" s="1033" t="s">
        <v>63</v>
      </c>
      <c r="R491" s="1034">
        <v>0.0</v>
      </c>
      <c r="S491" s="1034">
        <v>0.0</v>
      </c>
      <c r="T491" s="1035">
        <v>0.0</v>
      </c>
      <c r="AB491" s="1045"/>
      <c r="AF491" s="225"/>
    </row>
    <row r="492">
      <c r="A492" s="1013"/>
      <c r="B492" s="1019" t="s">
        <v>130</v>
      </c>
      <c r="C492" s="1020" t="s">
        <v>1035</v>
      </c>
      <c r="D492" s="1020" t="s">
        <v>1036</v>
      </c>
      <c r="E492" s="1020" t="s">
        <v>581</v>
      </c>
      <c r="F492" s="1020">
        <v>2021.0</v>
      </c>
      <c r="G492" s="1021">
        <v>0.003680809</v>
      </c>
      <c r="H492" s="1021">
        <v>0.001862582</v>
      </c>
      <c r="I492" s="1022">
        <v>0.005515478</v>
      </c>
      <c r="K492" s="1031" t="s">
        <v>120</v>
      </c>
      <c r="L492" s="1032" t="s">
        <v>539</v>
      </c>
      <c r="M492" s="1032" t="s">
        <v>1035</v>
      </c>
      <c r="N492" s="1032" t="s">
        <v>1046</v>
      </c>
      <c r="O492" s="1032">
        <v>2021.0</v>
      </c>
      <c r="P492" s="1032" t="s">
        <v>1039</v>
      </c>
      <c r="Q492" s="1033" t="s">
        <v>63</v>
      </c>
      <c r="R492" s="1034">
        <v>26.00676359</v>
      </c>
      <c r="S492" s="1034">
        <v>6.081789248</v>
      </c>
      <c r="T492" s="1035">
        <v>66.93057704</v>
      </c>
      <c r="AB492" s="1045"/>
      <c r="AF492" s="225"/>
    </row>
    <row r="493">
      <c r="A493" s="1013"/>
      <c r="B493" s="1019" t="s">
        <v>130</v>
      </c>
      <c r="C493" s="1020" t="s">
        <v>1035</v>
      </c>
      <c r="D493" s="1020" t="s">
        <v>1041</v>
      </c>
      <c r="E493" s="1020" t="s">
        <v>581</v>
      </c>
      <c r="F493" s="1020">
        <v>2021.0</v>
      </c>
      <c r="G493" s="1021">
        <v>0.032955525</v>
      </c>
      <c r="H493" s="1021">
        <v>0.018619951</v>
      </c>
      <c r="I493" s="1022">
        <v>0.045504122</v>
      </c>
      <c r="K493" s="1031" t="s">
        <v>120</v>
      </c>
      <c r="L493" s="1032" t="s">
        <v>539</v>
      </c>
      <c r="M493" s="1032" t="s">
        <v>1035</v>
      </c>
      <c r="N493" s="1032" t="s">
        <v>1045</v>
      </c>
      <c r="O493" s="1032">
        <v>2021.0</v>
      </c>
      <c r="P493" s="1032" t="s">
        <v>1039</v>
      </c>
      <c r="Q493" s="1033" t="s">
        <v>63</v>
      </c>
      <c r="R493" s="1034">
        <v>145.3019295</v>
      </c>
      <c r="S493" s="1034">
        <v>48.50619365</v>
      </c>
      <c r="T493" s="1035">
        <v>340.4558052</v>
      </c>
      <c r="AB493" s="1045"/>
      <c r="AF493" s="225"/>
    </row>
    <row r="494">
      <c r="A494" s="1013"/>
      <c r="B494" s="1019" t="s">
        <v>130</v>
      </c>
      <c r="C494" s="1020" t="s">
        <v>1035</v>
      </c>
      <c r="D494" s="1020" t="s">
        <v>1043</v>
      </c>
      <c r="E494" s="1020" t="s">
        <v>581</v>
      </c>
      <c r="F494" s="1020">
        <v>2021.0</v>
      </c>
      <c r="G494" s="1021">
        <v>7.21752E-4</v>
      </c>
      <c r="H494" s="1021">
        <v>3.72887E-4</v>
      </c>
      <c r="I494" s="1022">
        <v>0.00104604</v>
      </c>
      <c r="K494" s="1031" t="s">
        <v>139</v>
      </c>
      <c r="L494" s="1032" t="s">
        <v>539</v>
      </c>
      <c r="M494" s="1032" t="s">
        <v>1035</v>
      </c>
      <c r="N494" s="1032" t="s">
        <v>1038</v>
      </c>
      <c r="O494" s="1032">
        <v>2021.0</v>
      </c>
      <c r="P494" s="1032" t="s">
        <v>1039</v>
      </c>
      <c r="Q494" s="1033" t="s">
        <v>63</v>
      </c>
      <c r="R494" s="1034">
        <v>0.777919242</v>
      </c>
      <c r="S494" s="1034">
        <v>0.161834979</v>
      </c>
      <c r="T494" s="1035">
        <v>2.087950445</v>
      </c>
      <c r="AB494" s="1045"/>
      <c r="AF494" s="225"/>
    </row>
    <row r="495">
      <c r="A495" s="1013"/>
      <c r="B495" s="1019" t="s">
        <v>130</v>
      </c>
      <c r="C495" s="1020" t="s">
        <v>1035</v>
      </c>
      <c r="D495" s="1020" t="s">
        <v>1045</v>
      </c>
      <c r="E495" s="1020" t="s">
        <v>581</v>
      </c>
      <c r="F495" s="1020">
        <v>2021.0</v>
      </c>
      <c r="G495" s="1021">
        <v>0.00653061</v>
      </c>
      <c r="H495" s="1021">
        <v>0.003993786</v>
      </c>
      <c r="I495" s="1022">
        <v>0.009305214</v>
      </c>
      <c r="K495" s="1031" t="s">
        <v>139</v>
      </c>
      <c r="L495" s="1032" t="s">
        <v>539</v>
      </c>
      <c r="M495" s="1032" t="s">
        <v>1035</v>
      </c>
      <c r="N495" s="1032" t="s">
        <v>1042</v>
      </c>
      <c r="O495" s="1032">
        <v>2021.0</v>
      </c>
      <c r="P495" s="1032" t="s">
        <v>1039</v>
      </c>
      <c r="Q495" s="1033" t="s">
        <v>63</v>
      </c>
      <c r="R495" s="1034">
        <v>0.0</v>
      </c>
      <c r="S495" s="1034">
        <v>0.0</v>
      </c>
      <c r="T495" s="1035">
        <v>0.0</v>
      </c>
      <c r="AB495" s="1045"/>
      <c r="AF495" s="225"/>
    </row>
    <row r="496">
      <c r="A496" s="1013"/>
      <c r="B496" s="1019" t="s">
        <v>131</v>
      </c>
      <c r="C496" s="1020" t="s">
        <v>1035</v>
      </c>
      <c r="D496" s="1020" t="s">
        <v>1036</v>
      </c>
      <c r="E496" s="1020" t="s">
        <v>581</v>
      </c>
      <c r="F496" s="1020">
        <v>2021.0</v>
      </c>
      <c r="G496" s="1021">
        <v>0.00207159</v>
      </c>
      <c r="H496" s="1021">
        <v>0.001203659</v>
      </c>
      <c r="I496" s="1022">
        <v>0.003301783</v>
      </c>
      <c r="K496" s="1031" t="s">
        <v>139</v>
      </c>
      <c r="L496" s="1032" t="s">
        <v>539</v>
      </c>
      <c r="M496" s="1032" t="s">
        <v>1035</v>
      </c>
      <c r="N496" s="1032" t="s">
        <v>1044</v>
      </c>
      <c r="O496" s="1032">
        <v>2021.0</v>
      </c>
      <c r="P496" s="1032" t="s">
        <v>1039</v>
      </c>
      <c r="Q496" s="1033" t="s">
        <v>63</v>
      </c>
      <c r="R496" s="1034">
        <v>0.0</v>
      </c>
      <c r="S496" s="1034">
        <v>0.0</v>
      </c>
      <c r="T496" s="1035">
        <v>0.0</v>
      </c>
      <c r="AB496" s="1045"/>
      <c r="AF496" s="225"/>
    </row>
    <row r="497">
      <c r="A497" s="1013"/>
      <c r="B497" s="1019" t="s">
        <v>131</v>
      </c>
      <c r="C497" s="1020" t="s">
        <v>1035</v>
      </c>
      <c r="D497" s="1020" t="s">
        <v>1041</v>
      </c>
      <c r="E497" s="1020" t="s">
        <v>581</v>
      </c>
      <c r="F497" s="1020">
        <v>2021.0</v>
      </c>
      <c r="G497" s="1021">
        <v>0.015790436</v>
      </c>
      <c r="H497" s="1021">
        <v>0.010437</v>
      </c>
      <c r="I497" s="1022">
        <v>0.023255709</v>
      </c>
      <c r="K497" s="1031" t="s">
        <v>139</v>
      </c>
      <c r="L497" s="1032" t="s">
        <v>539</v>
      </c>
      <c r="M497" s="1032" t="s">
        <v>1035</v>
      </c>
      <c r="N497" s="1032" t="s">
        <v>1046</v>
      </c>
      <c r="O497" s="1032">
        <v>2021.0</v>
      </c>
      <c r="P497" s="1032" t="s">
        <v>1039</v>
      </c>
      <c r="Q497" s="1033" t="s">
        <v>63</v>
      </c>
      <c r="R497" s="1034">
        <v>0.168110394</v>
      </c>
      <c r="S497" s="1034">
        <v>0.034269828</v>
      </c>
      <c r="T497" s="1035">
        <v>0.45241231</v>
      </c>
      <c r="AB497" s="1045"/>
      <c r="AF497" s="225"/>
    </row>
    <row r="498">
      <c r="A498" s="1013"/>
      <c r="B498" s="1019" t="s">
        <v>131</v>
      </c>
      <c r="C498" s="1020" t="s">
        <v>1035</v>
      </c>
      <c r="D498" s="1020" t="s">
        <v>1043</v>
      </c>
      <c r="E498" s="1020" t="s">
        <v>581</v>
      </c>
      <c r="F498" s="1020">
        <v>2021.0</v>
      </c>
      <c r="G498" s="1021">
        <v>6.01201E-4</v>
      </c>
      <c r="H498" s="1021">
        <v>2.92637E-4</v>
      </c>
      <c r="I498" s="1022">
        <v>9.9432E-4</v>
      </c>
      <c r="K498" s="1031" t="s">
        <v>139</v>
      </c>
      <c r="L498" s="1032" t="s">
        <v>539</v>
      </c>
      <c r="M498" s="1032" t="s">
        <v>1035</v>
      </c>
      <c r="N498" s="1032" t="s">
        <v>1045</v>
      </c>
      <c r="O498" s="1032">
        <v>2021.0</v>
      </c>
      <c r="P498" s="1032" t="s">
        <v>1039</v>
      </c>
      <c r="Q498" s="1033" t="s">
        <v>63</v>
      </c>
      <c r="R498" s="1034">
        <v>0.946029637</v>
      </c>
      <c r="S498" s="1034">
        <v>0.257713577</v>
      </c>
      <c r="T498" s="1035">
        <v>2.280911537</v>
      </c>
      <c r="AB498" s="1045"/>
      <c r="AF498" s="225"/>
    </row>
    <row r="499">
      <c r="A499" s="1013"/>
      <c r="B499" s="1019" t="s">
        <v>131</v>
      </c>
      <c r="C499" s="1020" t="s">
        <v>1035</v>
      </c>
      <c r="D499" s="1020" t="s">
        <v>1045</v>
      </c>
      <c r="E499" s="1020" t="s">
        <v>581</v>
      </c>
      <c r="F499" s="1020">
        <v>2021.0</v>
      </c>
      <c r="G499" s="1021">
        <v>0.008807684</v>
      </c>
      <c r="H499" s="1021">
        <v>0.005105743</v>
      </c>
      <c r="I499" s="1022">
        <v>0.012518155</v>
      </c>
      <c r="K499" s="1031" t="s">
        <v>140</v>
      </c>
      <c r="L499" s="1032" t="s">
        <v>539</v>
      </c>
      <c r="M499" s="1032" t="s">
        <v>1035</v>
      </c>
      <c r="N499" s="1032" t="s">
        <v>1038</v>
      </c>
      <c r="O499" s="1032">
        <v>2021.0</v>
      </c>
      <c r="P499" s="1032" t="s">
        <v>1039</v>
      </c>
      <c r="Q499" s="1033" t="s">
        <v>63</v>
      </c>
      <c r="R499" s="1034">
        <v>0.470825254</v>
      </c>
      <c r="S499" s="1034">
        <v>0.10660652</v>
      </c>
      <c r="T499" s="1035">
        <v>1.222166729</v>
      </c>
      <c r="AB499" s="1045"/>
      <c r="AF499" s="225"/>
    </row>
    <row r="500">
      <c r="A500" s="1013"/>
      <c r="B500" s="1019" t="s">
        <v>132</v>
      </c>
      <c r="C500" s="1020" t="s">
        <v>1035</v>
      </c>
      <c r="D500" s="1020" t="s">
        <v>1036</v>
      </c>
      <c r="E500" s="1020" t="s">
        <v>581</v>
      </c>
      <c r="F500" s="1020">
        <v>2021.0</v>
      </c>
      <c r="G500" s="1021">
        <v>0.002309895</v>
      </c>
      <c r="H500" s="1021">
        <v>0.001339891</v>
      </c>
      <c r="I500" s="1022">
        <v>0.003644658</v>
      </c>
      <c r="K500" s="1031" t="s">
        <v>140</v>
      </c>
      <c r="L500" s="1032" t="s">
        <v>539</v>
      </c>
      <c r="M500" s="1032" t="s">
        <v>1035</v>
      </c>
      <c r="N500" s="1032" t="s">
        <v>1042</v>
      </c>
      <c r="O500" s="1032">
        <v>2021.0</v>
      </c>
      <c r="P500" s="1032" t="s">
        <v>1039</v>
      </c>
      <c r="Q500" s="1033" t="s">
        <v>63</v>
      </c>
      <c r="R500" s="1034">
        <v>0.0</v>
      </c>
      <c r="S500" s="1034">
        <v>0.0</v>
      </c>
      <c r="T500" s="1035">
        <v>0.0</v>
      </c>
      <c r="AB500" s="1045"/>
      <c r="AF500" s="225"/>
    </row>
    <row r="501">
      <c r="A501" s="1013"/>
      <c r="B501" s="1019" t="s">
        <v>132</v>
      </c>
      <c r="C501" s="1020" t="s">
        <v>1035</v>
      </c>
      <c r="D501" s="1020" t="s">
        <v>1041</v>
      </c>
      <c r="E501" s="1020" t="s">
        <v>581</v>
      </c>
      <c r="F501" s="1020">
        <v>2021.0</v>
      </c>
      <c r="G501" s="1021">
        <v>0.019875108</v>
      </c>
      <c r="H501" s="1021">
        <v>0.013272836</v>
      </c>
      <c r="I501" s="1022">
        <v>0.027969584</v>
      </c>
      <c r="K501" s="1031" t="s">
        <v>140</v>
      </c>
      <c r="L501" s="1032" t="s">
        <v>539</v>
      </c>
      <c r="M501" s="1032" t="s">
        <v>1035</v>
      </c>
      <c r="N501" s="1032" t="s">
        <v>1044</v>
      </c>
      <c r="O501" s="1032">
        <v>2021.0</v>
      </c>
      <c r="P501" s="1032" t="s">
        <v>1039</v>
      </c>
      <c r="Q501" s="1033" t="s">
        <v>63</v>
      </c>
      <c r="R501" s="1034">
        <v>0.0</v>
      </c>
      <c r="S501" s="1034">
        <v>0.0</v>
      </c>
      <c r="T501" s="1035">
        <v>0.0</v>
      </c>
      <c r="AB501" s="1045"/>
      <c r="AF501" s="225"/>
    </row>
    <row r="502">
      <c r="A502" s="1013"/>
      <c r="B502" s="1019" t="s">
        <v>132</v>
      </c>
      <c r="C502" s="1020" t="s">
        <v>1035</v>
      </c>
      <c r="D502" s="1020" t="s">
        <v>1043</v>
      </c>
      <c r="E502" s="1020" t="s">
        <v>581</v>
      </c>
      <c r="F502" s="1020">
        <v>2021.0</v>
      </c>
      <c r="G502" s="1021">
        <v>8.18631E-4</v>
      </c>
      <c r="H502" s="1021">
        <v>4.37183E-4</v>
      </c>
      <c r="I502" s="1022">
        <v>0.001247804</v>
      </c>
      <c r="K502" s="1031" t="s">
        <v>140</v>
      </c>
      <c r="L502" s="1032" t="s">
        <v>539</v>
      </c>
      <c r="M502" s="1032" t="s">
        <v>1035</v>
      </c>
      <c r="N502" s="1032" t="s">
        <v>1046</v>
      </c>
      <c r="O502" s="1032">
        <v>2021.0</v>
      </c>
      <c r="P502" s="1032" t="s">
        <v>1039</v>
      </c>
      <c r="Q502" s="1033" t="s">
        <v>63</v>
      </c>
      <c r="R502" s="1034">
        <v>0.164143709</v>
      </c>
      <c r="S502" s="1034">
        <v>0.036268432</v>
      </c>
      <c r="T502" s="1035">
        <v>0.443196132</v>
      </c>
      <c r="AB502" s="1045"/>
      <c r="AF502" s="225"/>
    </row>
    <row r="503">
      <c r="A503" s="1013"/>
      <c r="B503" s="1019" t="s">
        <v>132</v>
      </c>
      <c r="C503" s="1020" t="s">
        <v>1035</v>
      </c>
      <c r="D503" s="1020" t="s">
        <v>1045</v>
      </c>
      <c r="E503" s="1020" t="s">
        <v>581</v>
      </c>
      <c r="F503" s="1020">
        <v>2021.0</v>
      </c>
      <c r="G503" s="1021">
        <v>0.011309457</v>
      </c>
      <c r="H503" s="1021">
        <v>0.006884005</v>
      </c>
      <c r="I503" s="1022">
        <v>0.016290851</v>
      </c>
      <c r="K503" s="1031" t="s">
        <v>140</v>
      </c>
      <c r="L503" s="1032" t="s">
        <v>539</v>
      </c>
      <c r="M503" s="1032" t="s">
        <v>1035</v>
      </c>
      <c r="N503" s="1032" t="s">
        <v>1045</v>
      </c>
      <c r="O503" s="1032">
        <v>2021.0</v>
      </c>
      <c r="P503" s="1032" t="s">
        <v>1039</v>
      </c>
      <c r="Q503" s="1033" t="s">
        <v>63</v>
      </c>
      <c r="R503" s="1034">
        <v>0.634968963</v>
      </c>
      <c r="S503" s="1034">
        <v>0.201005172</v>
      </c>
      <c r="T503" s="1035">
        <v>1.467741145</v>
      </c>
      <c r="AB503" s="1045"/>
      <c r="AF503" s="225"/>
    </row>
    <row r="504">
      <c r="A504" s="1013"/>
      <c r="B504" s="1019" t="s">
        <v>133</v>
      </c>
      <c r="C504" s="1020" t="s">
        <v>1035</v>
      </c>
      <c r="D504" s="1020" t="s">
        <v>1036</v>
      </c>
      <c r="E504" s="1020" t="s">
        <v>581</v>
      </c>
      <c r="F504" s="1020">
        <v>2021.0</v>
      </c>
      <c r="G504" s="1021">
        <v>0.002007432</v>
      </c>
      <c r="H504" s="1021">
        <v>0.0011616</v>
      </c>
      <c r="I504" s="1022">
        <v>0.003242205</v>
      </c>
      <c r="K504" s="1031" t="s">
        <v>141</v>
      </c>
      <c r="L504" s="1032" t="s">
        <v>539</v>
      </c>
      <c r="M504" s="1032" t="s">
        <v>1035</v>
      </c>
      <c r="N504" s="1032" t="s">
        <v>1038</v>
      </c>
      <c r="O504" s="1032">
        <v>2021.0</v>
      </c>
      <c r="P504" s="1032" t="s">
        <v>1039</v>
      </c>
      <c r="Q504" s="1033" t="s">
        <v>63</v>
      </c>
      <c r="R504" s="1034">
        <v>0.147789105</v>
      </c>
      <c r="S504" s="1034">
        <v>0.030128844</v>
      </c>
      <c r="T504" s="1035">
        <v>0.38926884</v>
      </c>
      <c r="AB504" s="1045"/>
      <c r="AF504" s="225"/>
    </row>
    <row r="505">
      <c r="A505" s="1013"/>
      <c r="B505" s="1019" t="s">
        <v>133</v>
      </c>
      <c r="C505" s="1020" t="s">
        <v>1035</v>
      </c>
      <c r="D505" s="1020" t="s">
        <v>1041</v>
      </c>
      <c r="E505" s="1020" t="s">
        <v>581</v>
      </c>
      <c r="F505" s="1020">
        <v>2021.0</v>
      </c>
      <c r="G505" s="1021">
        <v>0.014327169</v>
      </c>
      <c r="H505" s="1021">
        <v>0.009297755</v>
      </c>
      <c r="I505" s="1022">
        <v>0.020932751</v>
      </c>
      <c r="K505" s="1031" t="s">
        <v>141</v>
      </c>
      <c r="L505" s="1032" t="s">
        <v>539</v>
      </c>
      <c r="M505" s="1032" t="s">
        <v>1035</v>
      </c>
      <c r="N505" s="1032" t="s">
        <v>1042</v>
      </c>
      <c r="O505" s="1032">
        <v>2021.0</v>
      </c>
      <c r="P505" s="1032" t="s">
        <v>1039</v>
      </c>
      <c r="Q505" s="1033" t="s">
        <v>63</v>
      </c>
      <c r="R505" s="1034">
        <v>0.0</v>
      </c>
      <c r="S505" s="1034">
        <v>0.0</v>
      </c>
      <c r="T505" s="1035">
        <v>0.0</v>
      </c>
      <c r="AB505" s="1045"/>
      <c r="AF505" s="225"/>
    </row>
    <row r="506">
      <c r="A506" s="1013"/>
      <c r="B506" s="1019" t="s">
        <v>133</v>
      </c>
      <c r="C506" s="1020" t="s">
        <v>1035</v>
      </c>
      <c r="D506" s="1020" t="s">
        <v>1043</v>
      </c>
      <c r="E506" s="1020" t="s">
        <v>581</v>
      </c>
      <c r="F506" s="1020">
        <v>2021.0</v>
      </c>
      <c r="G506" s="1021">
        <v>4.92514E-4</v>
      </c>
      <c r="H506" s="1021">
        <v>2.36429E-4</v>
      </c>
      <c r="I506" s="1022">
        <v>8.14302E-4</v>
      </c>
      <c r="K506" s="1031" t="s">
        <v>141</v>
      </c>
      <c r="L506" s="1032" t="s">
        <v>539</v>
      </c>
      <c r="M506" s="1032" t="s">
        <v>1035</v>
      </c>
      <c r="N506" s="1032" t="s">
        <v>1044</v>
      </c>
      <c r="O506" s="1032">
        <v>2021.0</v>
      </c>
      <c r="P506" s="1032" t="s">
        <v>1039</v>
      </c>
      <c r="Q506" s="1033" t="s">
        <v>63</v>
      </c>
      <c r="R506" s="1034">
        <v>0.0</v>
      </c>
      <c r="S506" s="1034">
        <v>0.0</v>
      </c>
      <c r="T506" s="1035">
        <v>0.0</v>
      </c>
      <c r="AB506" s="1045"/>
      <c r="AF506" s="225"/>
    </row>
    <row r="507">
      <c r="A507" s="1013"/>
      <c r="B507" s="1019" t="s">
        <v>133</v>
      </c>
      <c r="C507" s="1020" t="s">
        <v>1035</v>
      </c>
      <c r="D507" s="1020" t="s">
        <v>1045</v>
      </c>
      <c r="E507" s="1020" t="s">
        <v>581</v>
      </c>
      <c r="F507" s="1020">
        <v>2021.0</v>
      </c>
      <c r="G507" s="1021">
        <v>0.008648343</v>
      </c>
      <c r="H507" s="1021">
        <v>0.005014334</v>
      </c>
      <c r="I507" s="1022">
        <v>0.012722124</v>
      </c>
      <c r="K507" s="1031" t="s">
        <v>141</v>
      </c>
      <c r="L507" s="1032" t="s">
        <v>539</v>
      </c>
      <c r="M507" s="1032" t="s">
        <v>1035</v>
      </c>
      <c r="N507" s="1032" t="s">
        <v>1046</v>
      </c>
      <c r="O507" s="1032">
        <v>2021.0</v>
      </c>
      <c r="P507" s="1032" t="s">
        <v>1039</v>
      </c>
      <c r="Q507" s="1033" t="s">
        <v>63</v>
      </c>
      <c r="R507" s="1034">
        <v>0.075080269</v>
      </c>
      <c r="S507" s="1034">
        <v>0.01608638</v>
      </c>
      <c r="T507" s="1035">
        <v>0.20463329</v>
      </c>
      <c r="AB507" s="1045"/>
      <c r="AF507" s="225"/>
    </row>
    <row r="508">
      <c r="A508" s="1013"/>
      <c r="B508" s="1019" t="s">
        <v>134</v>
      </c>
      <c r="C508" s="1020" t="s">
        <v>1035</v>
      </c>
      <c r="D508" s="1020" t="s">
        <v>1036</v>
      </c>
      <c r="E508" s="1020" t="s">
        <v>581</v>
      </c>
      <c r="F508" s="1020">
        <v>2021.0</v>
      </c>
      <c r="G508" s="1021">
        <v>0.001824262</v>
      </c>
      <c r="H508" s="1021">
        <v>9.89127E-4</v>
      </c>
      <c r="I508" s="1022">
        <v>0.003024277</v>
      </c>
      <c r="K508" s="1031" t="s">
        <v>141</v>
      </c>
      <c r="L508" s="1032" t="s">
        <v>539</v>
      </c>
      <c r="M508" s="1032" t="s">
        <v>1035</v>
      </c>
      <c r="N508" s="1032" t="s">
        <v>1045</v>
      </c>
      <c r="O508" s="1032">
        <v>2021.0</v>
      </c>
      <c r="P508" s="1032" t="s">
        <v>1039</v>
      </c>
      <c r="Q508" s="1033" t="s">
        <v>63</v>
      </c>
      <c r="R508" s="1034">
        <v>0.222869375</v>
      </c>
      <c r="S508" s="1034">
        <v>0.063134514</v>
      </c>
      <c r="T508" s="1035">
        <v>0.488795338</v>
      </c>
      <c r="AB508" s="1045"/>
      <c r="AF508" s="225"/>
    </row>
    <row r="509">
      <c r="A509" s="1013"/>
      <c r="B509" s="1019" t="s">
        <v>134</v>
      </c>
      <c r="C509" s="1020" t="s">
        <v>1035</v>
      </c>
      <c r="D509" s="1020" t="s">
        <v>1041</v>
      </c>
      <c r="E509" s="1020" t="s">
        <v>581</v>
      </c>
      <c r="F509" s="1020">
        <v>2021.0</v>
      </c>
      <c r="G509" s="1021">
        <v>0.015967831</v>
      </c>
      <c r="H509" s="1021">
        <v>0.010522227</v>
      </c>
      <c r="I509" s="1022">
        <v>0.023133136</v>
      </c>
      <c r="K509" s="1031" t="s">
        <v>142</v>
      </c>
      <c r="L509" s="1032" t="s">
        <v>539</v>
      </c>
      <c r="M509" s="1032" t="s">
        <v>1035</v>
      </c>
      <c r="N509" s="1032" t="s">
        <v>1038</v>
      </c>
      <c r="O509" s="1032">
        <v>2021.0</v>
      </c>
      <c r="P509" s="1032" t="s">
        <v>1039</v>
      </c>
      <c r="Q509" s="1033" t="s">
        <v>63</v>
      </c>
      <c r="R509" s="1034">
        <v>4.452064964</v>
      </c>
      <c r="S509" s="1034">
        <v>0.99545252</v>
      </c>
      <c r="T509" s="1035">
        <v>11.68246589</v>
      </c>
      <c r="AB509" s="1045"/>
      <c r="AF509" s="225"/>
    </row>
    <row r="510">
      <c r="A510" s="1013"/>
      <c r="B510" s="1019" t="s">
        <v>134</v>
      </c>
      <c r="C510" s="1020" t="s">
        <v>1035</v>
      </c>
      <c r="D510" s="1020" t="s">
        <v>1043</v>
      </c>
      <c r="E510" s="1020" t="s">
        <v>581</v>
      </c>
      <c r="F510" s="1020">
        <v>2021.0</v>
      </c>
      <c r="G510" s="1021">
        <v>4.65323E-4</v>
      </c>
      <c r="H510" s="1021">
        <v>1.95808E-4</v>
      </c>
      <c r="I510" s="1022">
        <v>8.21717E-4</v>
      </c>
      <c r="K510" s="1031" t="s">
        <v>142</v>
      </c>
      <c r="L510" s="1032" t="s">
        <v>539</v>
      </c>
      <c r="M510" s="1032" t="s">
        <v>1035</v>
      </c>
      <c r="N510" s="1032" t="s">
        <v>1042</v>
      </c>
      <c r="O510" s="1032">
        <v>2021.0</v>
      </c>
      <c r="P510" s="1032" t="s">
        <v>1039</v>
      </c>
      <c r="Q510" s="1033" t="s">
        <v>63</v>
      </c>
      <c r="R510" s="1034">
        <v>0.0</v>
      </c>
      <c r="S510" s="1034">
        <v>0.0</v>
      </c>
      <c r="T510" s="1035">
        <v>0.0</v>
      </c>
      <c r="AB510" s="1045"/>
      <c r="AF510" s="225"/>
    </row>
    <row r="511">
      <c r="A511" s="1013"/>
      <c r="B511" s="1019" t="s">
        <v>134</v>
      </c>
      <c r="C511" s="1020" t="s">
        <v>1035</v>
      </c>
      <c r="D511" s="1020" t="s">
        <v>1045</v>
      </c>
      <c r="E511" s="1020" t="s">
        <v>581</v>
      </c>
      <c r="F511" s="1020">
        <v>2021.0</v>
      </c>
      <c r="G511" s="1021">
        <v>0.007752461</v>
      </c>
      <c r="H511" s="1021">
        <v>0.004520871</v>
      </c>
      <c r="I511" s="1022">
        <v>0.011734843</v>
      </c>
      <c r="K511" s="1031" t="s">
        <v>142</v>
      </c>
      <c r="L511" s="1032" t="s">
        <v>539</v>
      </c>
      <c r="M511" s="1032" t="s">
        <v>1035</v>
      </c>
      <c r="N511" s="1032" t="s">
        <v>1044</v>
      </c>
      <c r="O511" s="1032">
        <v>2021.0</v>
      </c>
      <c r="P511" s="1032" t="s">
        <v>1039</v>
      </c>
      <c r="Q511" s="1033" t="s">
        <v>63</v>
      </c>
      <c r="R511" s="1034">
        <v>0.0</v>
      </c>
      <c r="S511" s="1034">
        <v>0.0</v>
      </c>
      <c r="T511" s="1035">
        <v>0.0</v>
      </c>
      <c r="AB511" s="1045"/>
      <c r="AF511" s="225"/>
    </row>
    <row r="512">
      <c r="A512" s="1013"/>
      <c r="B512" s="1019" t="s">
        <v>135</v>
      </c>
      <c r="C512" s="1020" t="s">
        <v>1035</v>
      </c>
      <c r="D512" s="1020" t="s">
        <v>1036</v>
      </c>
      <c r="E512" s="1020" t="s">
        <v>581</v>
      </c>
      <c r="F512" s="1020">
        <v>2021.0</v>
      </c>
      <c r="G512" s="1021">
        <v>0.00182818</v>
      </c>
      <c r="H512" s="1021">
        <v>9.9804E-4</v>
      </c>
      <c r="I512" s="1022">
        <v>0.002945859</v>
      </c>
      <c r="K512" s="1031" t="s">
        <v>142</v>
      </c>
      <c r="L512" s="1032" t="s">
        <v>539</v>
      </c>
      <c r="M512" s="1032" t="s">
        <v>1035</v>
      </c>
      <c r="N512" s="1032" t="s">
        <v>1046</v>
      </c>
      <c r="O512" s="1032">
        <v>2021.0</v>
      </c>
      <c r="P512" s="1032" t="s">
        <v>1039</v>
      </c>
      <c r="Q512" s="1033" t="s">
        <v>63</v>
      </c>
      <c r="R512" s="1034">
        <v>1.656832671</v>
      </c>
      <c r="S512" s="1034">
        <v>0.321774304</v>
      </c>
      <c r="T512" s="1035">
        <v>4.374195874</v>
      </c>
      <c r="AB512" s="1045"/>
      <c r="AF512" s="225"/>
    </row>
    <row r="513">
      <c r="A513" s="1013"/>
      <c r="B513" s="1019" t="s">
        <v>135</v>
      </c>
      <c r="C513" s="1020" t="s">
        <v>1035</v>
      </c>
      <c r="D513" s="1020" t="s">
        <v>1041</v>
      </c>
      <c r="E513" s="1020" t="s">
        <v>581</v>
      </c>
      <c r="F513" s="1020">
        <v>2021.0</v>
      </c>
      <c r="G513" s="1021">
        <v>0.017175346</v>
      </c>
      <c r="H513" s="1021">
        <v>0.011623852</v>
      </c>
      <c r="I513" s="1022">
        <v>0.025641267</v>
      </c>
      <c r="K513" s="1031" t="s">
        <v>142</v>
      </c>
      <c r="L513" s="1032" t="s">
        <v>539</v>
      </c>
      <c r="M513" s="1032" t="s">
        <v>1035</v>
      </c>
      <c r="N513" s="1032" t="s">
        <v>1045</v>
      </c>
      <c r="O513" s="1032">
        <v>2021.0</v>
      </c>
      <c r="P513" s="1032" t="s">
        <v>1039</v>
      </c>
      <c r="Q513" s="1033" t="s">
        <v>63</v>
      </c>
      <c r="R513" s="1034">
        <v>6.108897635</v>
      </c>
      <c r="S513" s="1034">
        <v>2.031997769</v>
      </c>
      <c r="T513" s="1035">
        <v>14.20340039</v>
      </c>
      <c r="AB513" s="1045"/>
      <c r="AF513" s="225"/>
    </row>
    <row r="514">
      <c r="A514" s="1013"/>
      <c r="B514" s="1019" t="s">
        <v>135</v>
      </c>
      <c r="C514" s="1020" t="s">
        <v>1035</v>
      </c>
      <c r="D514" s="1020" t="s">
        <v>1043</v>
      </c>
      <c r="E514" s="1020" t="s">
        <v>581</v>
      </c>
      <c r="F514" s="1020">
        <v>2021.0</v>
      </c>
      <c r="G514" s="1021">
        <v>3.94427E-4</v>
      </c>
      <c r="H514" s="1021">
        <v>1.93112E-4</v>
      </c>
      <c r="I514" s="1022">
        <v>6.36071E-4</v>
      </c>
      <c r="K514" s="1031" t="s">
        <v>143</v>
      </c>
      <c r="L514" s="1032" t="s">
        <v>539</v>
      </c>
      <c r="M514" s="1032" t="s">
        <v>1035</v>
      </c>
      <c r="N514" s="1032" t="s">
        <v>1038</v>
      </c>
      <c r="O514" s="1032">
        <v>2021.0</v>
      </c>
      <c r="P514" s="1032" t="s">
        <v>1039</v>
      </c>
      <c r="Q514" s="1033" t="s">
        <v>63</v>
      </c>
      <c r="R514" s="1034">
        <v>37.02016247</v>
      </c>
      <c r="S514" s="1034">
        <v>8.61145241</v>
      </c>
      <c r="T514" s="1035">
        <v>90.66074157</v>
      </c>
      <c r="AB514" s="1045"/>
      <c r="AF514" s="225"/>
    </row>
    <row r="515">
      <c r="A515" s="1013"/>
      <c r="B515" s="1019" t="s">
        <v>135</v>
      </c>
      <c r="C515" s="1020" t="s">
        <v>1035</v>
      </c>
      <c r="D515" s="1020" t="s">
        <v>1045</v>
      </c>
      <c r="E515" s="1020" t="s">
        <v>581</v>
      </c>
      <c r="F515" s="1020">
        <v>2021.0</v>
      </c>
      <c r="G515" s="1021">
        <v>0.004975645</v>
      </c>
      <c r="H515" s="1021">
        <v>0.002877808</v>
      </c>
      <c r="I515" s="1022">
        <v>0.007104203</v>
      </c>
      <c r="K515" s="1031" t="s">
        <v>143</v>
      </c>
      <c r="L515" s="1032" t="s">
        <v>539</v>
      </c>
      <c r="M515" s="1032" t="s">
        <v>1035</v>
      </c>
      <c r="N515" s="1032" t="s">
        <v>1042</v>
      </c>
      <c r="O515" s="1032">
        <v>2021.0</v>
      </c>
      <c r="P515" s="1032" t="s">
        <v>1039</v>
      </c>
      <c r="Q515" s="1033" t="s">
        <v>63</v>
      </c>
      <c r="R515" s="1034">
        <v>0.0</v>
      </c>
      <c r="S515" s="1034">
        <v>0.0</v>
      </c>
      <c r="T515" s="1035">
        <v>0.0</v>
      </c>
      <c r="AB515" s="1045"/>
      <c r="AF515" s="225"/>
    </row>
    <row r="516">
      <c r="A516" s="1013"/>
      <c r="B516" s="1019" t="s">
        <v>136</v>
      </c>
      <c r="C516" s="1020" t="s">
        <v>1035</v>
      </c>
      <c r="D516" s="1020" t="s">
        <v>1036</v>
      </c>
      <c r="E516" s="1020" t="s">
        <v>581</v>
      </c>
      <c r="F516" s="1020">
        <v>2021.0</v>
      </c>
      <c r="G516" s="1021">
        <v>0.001742828</v>
      </c>
      <c r="H516" s="1021">
        <v>8.61779E-4</v>
      </c>
      <c r="I516" s="1022">
        <v>0.002842257</v>
      </c>
      <c r="K516" s="1031" t="s">
        <v>143</v>
      </c>
      <c r="L516" s="1032" t="s">
        <v>539</v>
      </c>
      <c r="M516" s="1032" t="s">
        <v>1035</v>
      </c>
      <c r="N516" s="1032" t="s">
        <v>1044</v>
      </c>
      <c r="O516" s="1032">
        <v>2021.0</v>
      </c>
      <c r="P516" s="1032" t="s">
        <v>1039</v>
      </c>
      <c r="Q516" s="1033" t="s">
        <v>63</v>
      </c>
      <c r="R516" s="1034">
        <v>0.0</v>
      </c>
      <c r="S516" s="1034">
        <v>0.0</v>
      </c>
      <c r="T516" s="1035">
        <v>0.0</v>
      </c>
      <c r="AB516" s="1045"/>
      <c r="AF516" s="225"/>
    </row>
    <row r="517">
      <c r="A517" s="1013"/>
      <c r="B517" s="1019" t="s">
        <v>136</v>
      </c>
      <c r="C517" s="1020" t="s">
        <v>1035</v>
      </c>
      <c r="D517" s="1020" t="s">
        <v>1041</v>
      </c>
      <c r="E517" s="1020" t="s">
        <v>581</v>
      </c>
      <c r="F517" s="1020">
        <v>2021.0</v>
      </c>
      <c r="G517" s="1021">
        <v>0.011371433</v>
      </c>
      <c r="H517" s="1021">
        <v>0.007088496</v>
      </c>
      <c r="I517" s="1022">
        <v>0.017111913</v>
      </c>
      <c r="K517" s="1031" t="s">
        <v>143</v>
      </c>
      <c r="L517" s="1032" t="s">
        <v>539</v>
      </c>
      <c r="M517" s="1032" t="s">
        <v>1035</v>
      </c>
      <c r="N517" s="1032" t="s">
        <v>1046</v>
      </c>
      <c r="O517" s="1032">
        <v>2021.0</v>
      </c>
      <c r="P517" s="1032" t="s">
        <v>1039</v>
      </c>
      <c r="Q517" s="1033" t="s">
        <v>63</v>
      </c>
      <c r="R517" s="1034">
        <v>12.71493864</v>
      </c>
      <c r="S517" s="1034">
        <v>3.045266917</v>
      </c>
      <c r="T517" s="1035">
        <v>33.72913901</v>
      </c>
      <c r="AB517" s="1045"/>
      <c r="AF517" s="225"/>
    </row>
    <row r="518">
      <c r="A518" s="1013"/>
      <c r="B518" s="1019" t="s">
        <v>136</v>
      </c>
      <c r="C518" s="1020" t="s">
        <v>1035</v>
      </c>
      <c r="D518" s="1020" t="s">
        <v>1043</v>
      </c>
      <c r="E518" s="1020" t="s">
        <v>581</v>
      </c>
      <c r="F518" s="1020">
        <v>2021.0</v>
      </c>
      <c r="G518" s="1021">
        <v>6.0762E-4</v>
      </c>
      <c r="H518" s="1021">
        <v>2.78114E-4</v>
      </c>
      <c r="I518" s="1022">
        <v>9.87039E-4</v>
      </c>
      <c r="K518" s="1031" t="s">
        <v>143</v>
      </c>
      <c r="L518" s="1032" t="s">
        <v>539</v>
      </c>
      <c r="M518" s="1032" t="s">
        <v>1035</v>
      </c>
      <c r="N518" s="1032" t="s">
        <v>1045</v>
      </c>
      <c r="O518" s="1032">
        <v>2021.0</v>
      </c>
      <c r="P518" s="1032" t="s">
        <v>1039</v>
      </c>
      <c r="Q518" s="1033" t="s">
        <v>63</v>
      </c>
      <c r="R518" s="1034">
        <v>49.73510111</v>
      </c>
      <c r="S518" s="1034">
        <v>17.04946891</v>
      </c>
      <c r="T518" s="1035">
        <v>106.9111376</v>
      </c>
      <c r="AB518" s="1045"/>
      <c r="AF518" s="225"/>
    </row>
    <row r="519">
      <c r="A519" s="1013"/>
      <c r="B519" s="1019" t="s">
        <v>136</v>
      </c>
      <c r="C519" s="1020" t="s">
        <v>1035</v>
      </c>
      <c r="D519" s="1020" t="s">
        <v>1045</v>
      </c>
      <c r="E519" s="1020" t="s">
        <v>581</v>
      </c>
      <c r="F519" s="1020">
        <v>2021.0</v>
      </c>
      <c r="G519" s="1021">
        <v>0.008219573</v>
      </c>
      <c r="H519" s="1021">
        <v>0.004884309</v>
      </c>
      <c r="I519" s="1022">
        <v>0.011684779</v>
      </c>
      <c r="K519" s="1031" t="s">
        <v>109</v>
      </c>
      <c r="L519" s="1032" t="s">
        <v>539</v>
      </c>
      <c r="M519" s="1032" t="s">
        <v>1035</v>
      </c>
      <c r="N519" s="1032" t="s">
        <v>1038</v>
      </c>
      <c r="O519" s="1032">
        <v>2021.0</v>
      </c>
      <c r="P519" s="1032" t="s">
        <v>1039</v>
      </c>
      <c r="Q519" s="1033" t="s">
        <v>63</v>
      </c>
      <c r="R519" s="1034">
        <v>1415.775785</v>
      </c>
      <c r="S519" s="1034">
        <v>702.6822599</v>
      </c>
      <c r="T519" s="1035">
        <v>2367.242317</v>
      </c>
      <c r="AB519" s="1045"/>
      <c r="AF519" s="225"/>
    </row>
    <row r="520">
      <c r="A520" s="1013"/>
      <c r="B520" s="1019" t="s">
        <v>115</v>
      </c>
      <c r="C520" s="1020" t="s">
        <v>1035</v>
      </c>
      <c r="D520" s="1020" t="s">
        <v>1036</v>
      </c>
      <c r="E520" s="1020" t="s">
        <v>581</v>
      </c>
      <c r="F520" s="1020">
        <v>2021.0</v>
      </c>
      <c r="G520" s="1021">
        <v>0.00203186</v>
      </c>
      <c r="H520" s="1021">
        <v>0.001282033</v>
      </c>
      <c r="I520" s="1022">
        <v>0.002982043</v>
      </c>
      <c r="K520" s="1031" t="s">
        <v>109</v>
      </c>
      <c r="L520" s="1032" t="s">
        <v>539</v>
      </c>
      <c r="M520" s="1032" t="s">
        <v>1035</v>
      </c>
      <c r="N520" s="1032" t="s">
        <v>1042</v>
      </c>
      <c r="O520" s="1032">
        <v>2021.0</v>
      </c>
      <c r="P520" s="1032" t="s">
        <v>1039</v>
      </c>
      <c r="Q520" s="1033" t="s">
        <v>63</v>
      </c>
      <c r="R520" s="1034">
        <v>0.0</v>
      </c>
      <c r="S520" s="1034">
        <v>0.0</v>
      </c>
      <c r="T520" s="1035">
        <v>0.0</v>
      </c>
      <c r="AB520" s="1045"/>
      <c r="AF520" s="225"/>
    </row>
    <row r="521">
      <c r="A521" s="1013"/>
      <c r="B521" s="1019" t="s">
        <v>115</v>
      </c>
      <c r="C521" s="1020" t="s">
        <v>1035</v>
      </c>
      <c r="D521" s="1020" t="s">
        <v>1041</v>
      </c>
      <c r="E521" s="1020" t="s">
        <v>581</v>
      </c>
      <c r="F521" s="1020">
        <v>2021.0</v>
      </c>
      <c r="G521" s="1021">
        <v>0.02352892</v>
      </c>
      <c r="H521" s="1021">
        <v>0.016715472</v>
      </c>
      <c r="I521" s="1022">
        <v>0.032509788</v>
      </c>
      <c r="K521" s="1031" t="s">
        <v>109</v>
      </c>
      <c r="L521" s="1032" t="s">
        <v>539</v>
      </c>
      <c r="M521" s="1032" t="s">
        <v>1035</v>
      </c>
      <c r="N521" s="1032" t="s">
        <v>1044</v>
      </c>
      <c r="O521" s="1032">
        <v>2021.0</v>
      </c>
      <c r="P521" s="1032" t="s">
        <v>1039</v>
      </c>
      <c r="Q521" s="1033" t="s">
        <v>63</v>
      </c>
      <c r="R521" s="1034">
        <v>0.0</v>
      </c>
      <c r="S521" s="1034">
        <v>0.0</v>
      </c>
      <c r="T521" s="1035">
        <v>0.0</v>
      </c>
      <c r="AB521" s="1045"/>
      <c r="AF521" s="225"/>
    </row>
    <row r="522">
      <c r="A522" s="1013"/>
      <c r="B522" s="1019" t="s">
        <v>115</v>
      </c>
      <c r="C522" s="1020" t="s">
        <v>1035</v>
      </c>
      <c r="D522" s="1020" t="s">
        <v>1043</v>
      </c>
      <c r="E522" s="1020" t="s">
        <v>581</v>
      </c>
      <c r="F522" s="1020">
        <v>2021.0</v>
      </c>
      <c r="G522" s="1021">
        <v>0.001136902</v>
      </c>
      <c r="H522" s="1021">
        <v>7.08434E-4</v>
      </c>
      <c r="I522" s="1022">
        <v>0.001598212</v>
      </c>
      <c r="K522" s="1031" t="s">
        <v>109</v>
      </c>
      <c r="L522" s="1032" t="s">
        <v>539</v>
      </c>
      <c r="M522" s="1032" t="s">
        <v>1035</v>
      </c>
      <c r="N522" s="1032" t="s">
        <v>1046</v>
      </c>
      <c r="O522" s="1032">
        <v>2021.0</v>
      </c>
      <c r="P522" s="1032" t="s">
        <v>1039</v>
      </c>
      <c r="Q522" s="1033" t="s">
        <v>63</v>
      </c>
      <c r="R522" s="1034">
        <v>286.701984</v>
      </c>
      <c r="S522" s="1034">
        <v>162.8002599</v>
      </c>
      <c r="T522" s="1035">
        <v>460.737278</v>
      </c>
      <c r="AB522" s="1045"/>
      <c r="AF522" s="225"/>
    </row>
    <row r="523">
      <c r="A523" s="1013"/>
      <c r="B523" s="1019" t="s">
        <v>115</v>
      </c>
      <c r="C523" s="1020" t="s">
        <v>1035</v>
      </c>
      <c r="D523" s="1020" t="s">
        <v>1045</v>
      </c>
      <c r="E523" s="1020" t="s">
        <v>581</v>
      </c>
      <c r="F523" s="1020">
        <v>2021.0</v>
      </c>
      <c r="G523" s="1021">
        <v>0.018787823</v>
      </c>
      <c r="H523" s="1021">
        <v>0.012433214</v>
      </c>
      <c r="I523" s="1022">
        <v>0.02684378</v>
      </c>
      <c r="K523" s="1031" t="s">
        <v>109</v>
      </c>
      <c r="L523" s="1032" t="s">
        <v>539</v>
      </c>
      <c r="M523" s="1032" t="s">
        <v>1035</v>
      </c>
      <c r="N523" s="1032" t="s">
        <v>1045</v>
      </c>
      <c r="O523" s="1032">
        <v>2021.0</v>
      </c>
      <c r="P523" s="1032" t="s">
        <v>1039</v>
      </c>
      <c r="Q523" s="1033" t="s">
        <v>63</v>
      </c>
      <c r="R523" s="1034">
        <v>1702.477769</v>
      </c>
      <c r="S523" s="1034">
        <v>905.4194286</v>
      </c>
      <c r="T523" s="1035">
        <v>2731.920146</v>
      </c>
      <c r="AB523" s="1045"/>
      <c r="AF523" s="225"/>
    </row>
    <row r="524">
      <c r="A524" s="1013"/>
      <c r="B524" s="1019" t="s">
        <v>137</v>
      </c>
      <c r="C524" s="1020" t="s">
        <v>1035</v>
      </c>
      <c r="D524" s="1020" t="s">
        <v>1036</v>
      </c>
      <c r="E524" s="1020" t="s">
        <v>581</v>
      </c>
      <c r="F524" s="1020">
        <v>2021.0</v>
      </c>
      <c r="G524" s="1021">
        <v>0.001739745</v>
      </c>
      <c r="H524" s="1021">
        <v>9.26891E-4</v>
      </c>
      <c r="I524" s="1022">
        <v>0.002920443</v>
      </c>
      <c r="K524" s="1031" t="s">
        <v>146</v>
      </c>
      <c r="L524" s="1032" t="s">
        <v>539</v>
      </c>
      <c r="M524" s="1032" t="s">
        <v>1035</v>
      </c>
      <c r="N524" s="1032" t="s">
        <v>1038</v>
      </c>
      <c r="O524" s="1032">
        <v>2021.0</v>
      </c>
      <c r="P524" s="1032" t="s">
        <v>1039</v>
      </c>
      <c r="Q524" s="1033" t="s">
        <v>63</v>
      </c>
      <c r="R524" s="1034">
        <v>3.410421406</v>
      </c>
      <c r="S524" s="1034">
        <v>0.755513526</v>
      </c>
      <c r="T524" s="1035">
        <v>8.41483435</v>
      </c>
      <c r="AB524" s="1045"/>
      <c r="AF524" s="225"/>
    </row>
    <row r="525">
      <c r="A525" s="1013"/>
      <c r="B525" s="1019" t="s">
        <v>137</v>
      </c>
      <c r="C525" s="1020" t="s">
        <v>1035</v>
      </c>
      <c r="D525" s="1020" t="s">
        <v>1041</v>
      </c>
      <c r="E525" s="1020" t="s">
        <v>581</v>
      </c>
      <c r="F525" s="1020">
        <v>2021.0</v>
      </c>
      <c r="G525" s="1021">
        <v>0.014655234</v>
      </c>
      <c r="H525" s="1021">
        <v>0.009211541</v>
      </c>
      <c r="I525" s="1022">
        <v>0.022915053</v>
      </c>
      <c r="K525" s="1031" t="s">
        <v>146</v>
      </c>
      <c r="L525" s="1032" t="s">
        <v>539</v>
      </c>
      <c r="M525" s="1032" t="s">
        <v>1035</v>
      </c>
      <c r="N525" s="1032" t="s">
        <v>1042</v>
      </c>
      <c r="O525" s="1032">
        <v>2021.0</v>
      </c>
      <c r="P525" s="1032" t="s">
        <v>1039</v>
      </c>
      <c r="Q525" s="1033" t="s">
        <v>63</v>
      </c>
      <c r="R525" s="1034">
        <v>0.0</v>
      </c>
      <c r="S525" s="1034">
        <v>0.0</v>
      </c>
      <c r="T525" s="1035">
        <v>0.0</v>
      </c>
      <c r="AB525" s="1045"/>
      <c r="AF525" s="225"/>
    </row>
    <row r="526">
      <c r="A526" s="1013"/>
      <c r="B526" s="1019" t="s">
        <v>137</v>
      </c>
      <c r="C526" s="1020" t="s">
        <v>1035</v>
      </c>
      <c r="D526" s="1020" t="s">
        <v>1043</v>
      </c>
      <c r="E526" s="1020" t="s">
        <v>581</v>
      </c>
      <c r="F526" s="1020">
        <v>2021.0</v>
      </c>
      <c r="G526" s="1021">
        <v>4.2438E-4</v>
      </c>
      <c r="H526" s="1021">
        <v>1.95897E-4</v>
      </c>
      <c r="I526" s="1022">
        <v>7.35992E-4</v>
      </c>
      <c r="K526" s="1031" t="s">
        <v>146</v>
      </c>
      <c r="L526" s="1032" t="s">
        <v>539</v>
      </c>
      <c r="M526" s="1032" t="s">
        <v>1035</v>
      </c>
      <c r="N526" s="1032" t="s">
        <v>1044</v>
      </c>
      <c r="O526" s="1032">
        <v>2021.0</v>
      </c>
      <c r="P526" s="1032" t="s">
        <v>1039</v>
      </c>
      <c r="Q526" s="1033" t="s">
        <v>63</v>
      </c>
      <c r="R526" s="1034">
        <v>0.0</v>
      </c>
      <c r="S526" s="1034">
        <v>0.0</v>
      </c>
      <c r="T526" s="1035">
        <v>0.0</v>
      </c>
      <c r="AB526" s="1045"/>
      <c r="AF526" s="225"/>
    </row>
    <row r="527">
      <c r="A527" s="1013"/>
      <c r="B527" s="1019" t="s">
        <v>137</v>
      </c>
      <c r="C527" s="1020" t="s">
        <v>1035</v>
      </c>
      <c r="D527" s="1020" t="s">
        <v>1045</v>
      </c>
      <c r="E527" s="1020" t="s">
        <v>581</v>
      </c>
      <c r="F527" s="1020">
        <v>2021.0</v>
      </c>
      <c r="G527" s="1021">
        <v>0.005635233</v>
      </c>
      <c r="H527" s="1021">
        <v>0.003365702</v>
      </c>
      <c r="I527" s="1022">
        <v>0.008563577</v>
      </c>
      <c r="K527" s="1031" t="s">
        <v>146</v>
      </c>
      <c r="L527" s="1032" t="s">
        <v>539</v>
      </c>
      <c r="M527" s="1032" t="s">
        <v>1035</v>
      </c>
      <c r="N527" s="1032" t="s">
        <v>1046</v>
      </c>
      <c r="O527" s="1032">
        <v>2021.0</v>
      </c>
      <c r="P527" s="1032" t="s">
        <v>1039</v>
      </c>
      <c r="Q527" s="1033" t="s">
        <v>63</v>
      </c>
      <c r="R527" s="1034">
        <v>1.144057378</v>
      </c>
      <c r="S527" s="1034">
        <v>0.268937911</v>
      </c>
      <c r="T527" s="1035">
        <v>3.069523981</v>
      </c>
      <c r="AB527" s="1045"/>
      <c r="AF527" s="225"/>
    </row>
    <row r="528">
      <c r="A528" s="1013"/>
      <c r="B528" s="1019" t="s">
        <v>116</v>
      </c>
      <c r="C528" s="1020" t="s">
        <v>1035</v>
      </c>
      <c r="D528" s="1020" t="s">
        <v>1036</v>
      </c>
      <c r="E528" s="1020" t="s">
        <v>581</v>
      </c>
      <c r="F528" s="1020">
        <v>2021.0</v>
      </c>
      <c r="G528" s="1021">
        <v>0.003081885</v>
      </c>
      <c r="H528" s="1021">
        <v>0.001950239</v>
      </c>
      <c r="I528" s="1022">
        <v>0.004404159</v>
      </c>
      <c r="K528" s="1031" t="s">
        <v>146</v>
      </c>
      <c r="L528" s="1032" t="s">
        <v>539</v>
      </c>
      <c r="M528" s="1032" t="s">
        <v>1035</v>
      </c>
      <c r="N528" s="1032" t="s">
        <v>1045</v>
      </c>
      <c r="O528" s="1032">
        <v>2021.0</v>
      </c>
      <c r="P528" s="1032" t="s">
        <v>1039</v>
      </c>
      <c r="Q528" s="1033" t="s">
        <v>63</v>
      </c>
      <c r="R528" s="1034">
        <v>4.554478784</v>
      </c>
      <c r="S528" s="1034">
        <v>1.396495737</v>
      </c>
      <c r="T528" s="1035">
        <v>10.01722692</v>
      </c>
      <c r="AB528" s="1045"/>
      <c r="AF528" s="225"/>
    </row>
    <row r="529">
      <c r="A529" s="1013"/>
      <c r="B529" s="1019" t="s">
        <v>116</v>
      </c>
      <c r="C529" s="1020" t="s">
        <v>1035</v>
      </c>
      <c r="D529" s="1020" t="s">
        <v>1041</v>
      </c>
      <c r="E529" s="1020" t="s">
        <v>581</v>
      </c>
      <c r="F529" s="1020">
        <v>2021.0</v>
      </c>
      <c r="G529" s="1021">
        <v>0.024494371</v>
      </c>
      <c r="H529" s="1021">
        <v>0.016770274</v>
      </c>
      <c r="I529" s="1022">
        <v>0.034484473</v>
      </c>
      <c r="K529" s="1031" t="s">
        <v>147</v>
      </c>
      <c r="L529" s="1032" t="s">
        <v>539</v>
      </c>
      <c r="M529" s="1032" t="s">
        <v>1035</v>
      </c>
      <c r="N529" s="1032" t="s">
        <v>1038</v>
      </c>
      <c r="O529" s="1032">
        <v>2021.0</v>
      </c>
      <c r="P529" s="1032" t="s">
        <v>1039</v>
      </c>
      <c r="Q529" s="1033" t="s">
        <v>63</v>
      </c>
      <c r="R529" s="1034">
        <v>0.605515682</v>
      </c>
      <c r="S529" s="1034">
        <v>0.14326136</v>
      </c>
      <c r="T529" s="1035">
        <v>1.500201863</v>
      </c>
      <c r="AB529" s="1045"/>
      <c r="AF529" s="225"/>
    </row>
    <row r="530">
      <c r="A530" s="1013"/>
      <c r="B530" s="1019" t="s">
        <v>116</v>
      </c>
      <c r="C530" s="1020" t="s">
        <v>1035</v>
      </c>
      <c r="D530" s="1020" t="s">
        <v>1043</v>
      </c>
      <c r="E530" s="1020" t="s">
        <v>581</v>
      </c>
      <c r="F530" s="1020">
        <v>2021.0</v>
      </c>
      <c r="G530" s="1021">
        <v>0.001358999</v>
      </c>
      <c r="H530" s="1021">
        <v>8.90928E-4</v>
      </c>
      <c r="I530" s="1022">
        <v>0.001901138</v>
      </c>
      <c r="K530" s="1031" t="s">
        <v>147</v>
      </c>
      <c r="L530" s="1032" t="s">
        <v>539</v>
      </c>
      <c r="M530" s="1032" t="s">
        <v>1035</v>
      </c>
      <c r="N530" s="1032" t="s">
        <v>1042</v>
      </c>
      <c r="O530" s="1032">
        <v>2021.0</v>
      </c>
      <c r="P530" s="1032" t="s">
        <v>1039</v>
      </c>
      <c r="Q530" s="1033" t="s">
        <v>63</v>
      </c>
      <c r="R530" s="1034">
        <v>0.0</v>
      </c>
      <c r="S530" s="1034">
        <v>0.0</v>
      </c>
      <c r="T530" s="1035">
        <v>0.0</v>
      </c>
      <c r="AB530" s="1045"/>
      <c r="AF530" s="225"/>
    </row>
    <row r="531">
      <c r="A531" s="1013"/>
      <c r="B531" s="1019" t="s">
        <v>116</v>
      </c>
      <c r="C531" s="1020" t="s">
        <v>1035</v>
      </c>
      <c r="D531" s="1020" t="s">
        <v>1045</v>
      </c>
      <c r="E531" s="1020" t="s">
        <v>581</v>
      </c>
      <c r="F531" s="1020">
        <v>2021.0</v>
      </c>
      <c r="G531" s="1021">
        <v>0.023068706</v>
      </c>
      <c r="H531" s="1021">
        <v>0.014995993</v>
      </c>
      <c r="I531" s="1022">
        <v>0.032794292</v>
      </c>
      <c r="K531" s="1031" t="s">
        <v>147</v>
      </c>
      <c r="L531" s="1032" t="s">
        <v>539</v>
      </c>
      <c r="M531" s="1032" t="s">
        <v>1035</v>
      </c>
      <c r="N531" s="1032" t="s">
        <v>1044</v>
      </c>
      <c r="O531" s="1032">
        <v>2021.0</v>
      </c>
      <c r="P531" s="1032" t="s">
        <v>1039</v>
      </c>
      <c r="Q531" s="1033" t="s">
        <v>63</v>
      </c>
      <c r="R531" s="1034">
        <v>0.0</v>
      </c>
      <c r="S531" s="1034">
        <v>0.0</v>
      </c>
      <c r="T531" s="1035">
        <v>0.0</v>
      </c>
      <c r="AB531" s="1045"/>
      <c r="AF531" s="225"/>
    </row>
    <row r="532">
      <c r="A532" s="1013"/>
      <c r="B532" s="1019" t="s">
        <v>138</v>
      </c>
      <c r="C532" s="1020" t="s">
        <v>1035</v>
      </c>
      <c r="D532" s="1020" t="s">
        <v>1036</v>
      </c>
      <c r="E532" s="1020" t="s">
        <v>581</v>
      </c>
      <c r="F532" s="1020">
        <v>2021.0</v>
      </c>
      <c r="G532" s="1021">
        <v>0.002004393</v>
      </c>
      <c r="H532" s="1021">
        <v>0.001131502</v>
      </c>
      <c r="I532" s="1022">
        <v>0.003113615</v>
      </c>
      <c r="K532" s="1031" t="s">
        <v>147</v>
      </c>
      <c r="L532" s="1032" t="s">
        <v>539</v>
      </c>
      <c r="M532" s="1032" t="s">
        <v>1035</v>
      </c>
      <c r="N532" s="1032" t="s">
        <v>1046</v>
      </c>
      <c r="O532" s="1032">
        <v>2021.0</v>
      </c>
      <c r="P532" s="1032" t="s">
        <v>1039</v>
      </c>
      <c r="Q532" s="1033" t="s">
        <v>63</v>
      </c>
      <c r="R532" s="1034">
        <v>0.084029561</v>
      </c>
      <c r="S532" s="1034">
        <v>0.017127045</v>
      </c>
      <c r="T532" s="1035">
        <v>0.230873108</v>
      </c>
      <c r="AB532" s="1045"/>
      <c r="AF532" s="225"/>
    </row>
    <row r="533">
      <c r="A533" s="1013"/>
      <c r="B533" s="1019" t="s">
        <v>138</v>
      </c>
      <c r="C533" s="1020" t="s">
        <v>1035</v>
      </c>
      <c r="D533" s="1020" t="s">
        <v>1041</v>
      </c>
      <c r="E533" s="1020" t="s">
        <v>581</v>
      </c>
      <c r="F533" s="1020">
        <v>2021.0</v>
      </c>
      <c r="G533" s="1021">
        <v>0.016803436</v>
      </c>
      <c r="H533" s="1021">
        <v>0.010879753</v>
      </c>
      <c r="I533" s="1022">
        <v>0.02430045</v>
      </c>
      <c r="K533" s="1031" t="s">
        <v>147</v>
      </c>
      <c r="L533" s="1032" t="s">
        <v>539</v>
      </c>
      <c r="M533" s="1032" t="s">
        <v>1035</v>
      </c>
      <c r="N533" s="1032" t="s">
        <v>1045</v>
      </c>
      <c r="O533" s="1032">
        <v>2021.0</v>
      </c>
      <c r="P533" s="1032" t="s">
        <v>1039</v>
      </c>
      <c r="Q533" s="1033" t="s">
        <v>63</v>
      </c>
      <c r="R533" s="1034">
        <v>0.689545242</v>
      </c>
      <c r="S533" s="1034">
        <v>0.196542733</v>
      </c>
      <c r="T533" s="1035">
        <v>1.5902893</v>
      </c>
      <c r="AB533" s="1045"/>
      <c r="AF533" s="225"/>
    </row>
    <row r="534">
      <c r="A534" s="1013"/>
      <c r="B534" s="1019" t="s">
        <v>138</v>
      </c>
      <c r="C534" s="1020" t="s">
        <v>1035</v>
      </c>
      <c r="D534" s="1020" t="s">
        <v>1043</v>
      </c>
      <c r="E534" s="1020" t="s">
        <v>581</v>
      </c>
      <c r="F534" s="1020">
        <v>2021.0</v>
      </c>
      <c r="G534" s="1021">
        <v>8.48418E-4</v>
      </c>
      <c r="H534" s="1021">
        <v>4.7836E-4</v>
      </c>
      <c r="I534" s="1022">
        <v>0.001313654</v>
      </c>
      <c r="K534" s="1031" t="s">
        <v>148</v>
      </c>
      <c r="L534" s="1032" t="s">
        <v>539</v>
      </c>
      <c r="M534" s="1032" t="s">
        <v>1035</v>
      </c>
      <c r="N534" s="1032" t="s">
        <v>1038</v>
      </c>
      <c r="O534" s="1032">
        <v>2021.0</v>
      </c>
      <c r="P534" s="1032" t="s">
        <v>1039</v>
      </c>
      <c r="Q534" s="1033" t="s">
        <v>63</v>
      </c>
      <c r="R534" s="1034">
        <v>0.175366462</v>
      </c>
      <c r="S534" s="1034">
        <v>0.035594561</v>
      </c>
      <c r="T534" s="1035">
        <v>0.477176818</v>
      </c>
      <c r="AB534" s="1045"/>
      <c r="AF534" s="225"/>
    </row>
    <row r="535">
      <c r="A535" s="1013"/>
      <c r="B535" s="1019" t="s">
        <v>138</v>
      </c>
      <c r="C535" s="1020" t="s">
        <v>1035</v>
      </c>
      <c r="D535" s="1020" t="s">
        <v>1045</v>
      </c>
      <c r="E535" s="1020" t="s">
        <v>581</v>
      </c>
      <c r="F535" s="1020">
        <v>2021.0</v>
      </c>
      <c r="G535" s="1021">
        <v>0.01387223</v>
      </c>
      <c r="H535" s="1021">
        <v>0.009092737</v>
      </c>
      <c r="I535" s="1022">
        <v>0.019552701</v>
      </c>
      <c r="K535" s="1031" t="s">
        <v>148</v>
      </c>
      <c r="L535" s="1032" t="s">
        <v>539</v>
      </c>
      <c r="M535" s="1032" t="s">
        <v>1035</v>
      </c>
      <c r="N535" s="1032" t="s">
        <v>1042</v>
      </c>
      <c r="O535" s="1032">
        <v>2021.0</v>
      </c>
      <c r="P535" s="1032" t="s">
        <v>1039</v>
      </c>
      <c r="Q535" s="1033" t="s">
        <v>63</v>
      </c>
      <c r="R535" s="1034">
        <v>0.0</v>
      </c>
      <c r="S535" s="1034">
        <v>0.0</v>
      </c>
      <c r="T535" s="1035">
        <v>0.0</v>
      </c>
      <c r="AB535" s="1045"/>
      <c r="AF535" s="225"/>
    </row>
    <row r="536">
      <c r="A536" s="1013"/>
      <c r="B536" s="1019" t="s">
        <v>118</v>
      </c>
      <c r="C536" s="1020" t="s">
        <v>1035</v>
      </c>
      <c r="D536" s="1020" t="s">
        <v>1036</v>
      </c>
      <c r="E536" s="1020" t="s">
        <v>581</v>
      </c>
      <c r="F536" s="1020">
        <v>2021.0</v>
      </c>
      <c r="G536" s="1021">
        <v>0.002148469</v>
      </c>
      <c r="H536" s="1021">
        <v>0.001288526</v>
      </c>
      <c r="I536" s="1022">
        <v>0.003208876</v>
      </c>
      <c r="K536" s="1031" t="s">
        <v>148</v>
      </c>
      <c r="L536" s="1032" t="s">
        <v>539</v>
      </c>
      <c r="M536" s="1032" t="s">
        <v>1035</v>
      </c>
      <c r="N536" s="1032" t="s">
        <v>1044</v>
      </c>
      <c r="O536" s="1032">
        <v>2021.0</v>
      </c>
      <c r="P536" s="1032" t="s">
        <v>1039</v>
      </c>
      <c r="Q536" s="1033" t="s">
        <v>63</v>
      </c>
      <c r="R536" s="1034">
        <v>0.0</v>
      </c>
      <c r="S536" s="1034">
        <v>0.0</v>
      </c>
      <c r="T536" s="1035">
        <v>0.0</v>
      </c>
      <c r="AB536" s="1045"/>
      <c r="AF536" s="225"/>
    </row>
    <row r="537">
      <c r="A537" s="1013"/>
      <c r="B537" s="1019" t="s">
        <v>118</v>
      </c>
      <c r="C537" s="1020" t="s">
        <v>1035</v>
      </c>
      <c r="D537" s="1020" t="s">
        <v>1041</v>
      </c>
      <c r="E537" s="1020" t="s">
        <v>581</v>
      </c>
      <c r="F537" s="1020">
        <v>2021.0</v>
      </c>
      <c r="G537" s="1021">
        <v>0.018501934</v>
      </c>
      <c r="H537" s="1021">
        <v>0.012303501</v>
      </c>
      <c r="I537" s="1022">
        <v>0.026831625</v>
      </c>
      <c r="K537" s="1031" t="s">
        <v>148</v>
      </c>
      <c r="L537" s="1032" t="s">
        <v>539</v>
      </c>
      <c r="M537" s="1032" t="s">
        <v>1035</v>
      </c>
      <c r="N537" s="1032" t="s">
        <v>1046</v>
      </c>
      <c r="O537" s="1032">
        <v>2021.0</v>
      </c>
      <c r="P537" s="1032" t="s">
        <v>1039</v>
      </c>
      <c r="Q537" s="1033" t="s">
        <v>63</v>
      </c>
      <c r="R537" s="1034">
        <v>0.066767652</v>
      </c>
      <c r="S537" s="1034">
        <v>0.012444134</v>
      </c>
      <c r="T537" s="1035">
        <v>0.188836107</v>
      </c>
      <c r="AB537" s="1045"/>
      <c r="AF537" s="225"/>
    </row>
    <row r="538">
      <c r="A538" s="1013"/>
      <c r="B538" s="1019" t="s">
        <v>118</v>
      </c>
      <c r="C538" s="1020" t="s">
        <v>1035</v>
      </c>
      <c r="D538" s="1020" t="s">
        <v>1043</v>
      </c>
      <c r="E538" s="1020" t="s">
        <v>581</v>
      </c>
      <c r="F538" s="1020">
        <v>2021.0</v>
      </c>
      <c r="G538" s="1021">
        <v>0.001325756</v>
      </c>
      <c r="H538" s="1021">
        <v>7.78969E-4</v>
      </c>
      <c r="I538" s="1022">
        <v>0.001999597</v>
      </c>
      <c r="K538" s="1031" t="s">
        <v>148</v>
      </c>
      <c r="L538" s="1032" t="s">
        <v>539</v>
      </c>
      <c r="M538" s="1032" t="s">
        <v>1035</v>
      </c>
      <c r="N538" s="1032" t="s">
        <v>1045</v>
      </c>
      <c r="O538" s="1032">
        <v>2021.0</v>
      </c>
      <c r="P538" s="1032" t="s">
        <v>1039</v>
      </c>
      <c r="Q538" s="1033" t="s">
        <v>63</v>
      </c>
      <c r="R538" s="1034">
        <v>0.242134115</v>
      </c>
      <c r="S538" s="1034">
        <v>0.06419308</v>
      </c>
      <c r="T538" s="1035">
        <v>0.585933933</v>
      </c>
      <c r="AB538" s="1045"/>
      <c r="AF538" s="225"/>
    </row>
    <row r="539">
      <c r="A539" s="1013"/>
      <c r="B539" s="1019" t="s">
        <v>118</v>
      </c>
      <c r="C539" s="1020" t="s">
        <v>1035</v>
      </c>
      <c r="D539" s="1020" t="s">
        <v>1045</v>
      </c>
      <c r="E539" s="1020" t="s">
        <v>581</v>
      </c>
      <c r="F539" s="1020">
        <v>2021.0</v>
      </c>
      <c r="G539" s="1021">
        <v>0.021079399</v>
      </c>
      <c r="H539" s="1021">
        <v>0.013249841</v>
      </c>
      <c r="I539" s="1022">
        <v>0.030338707</v>
      </c>
      <c r="K539" s="1031" t="s">
        <v>149</v>
      </c>
      <c r="L539" s="1032" t="s">
        <v>539</v>
      </c>
      <c r="M539" s="1032" t="s">
        <v>1035</v>
      </c>
      <c r="N539" s="1032" t="s">
        <v>1038</v>
      </c>
      <c r="O539" s="1032">
        <v>2021.0</v>
      </c>
      <c r="P539" s="1032" t="s">
        <v>1039</v>
      </c>
      <c r="Q539" s="1033" t="s">
        <v>63</v>
      </c>
      <c r="R539" s="1034">
        <v>1.208837736</v>
      </c>
      <c r="S539" s="1034">
        <v>0.30034464</v>
      </c>
      <c r="T539" s="1035">
        <v>3.002757221</v>
      </c>
      <c r="AB539" s="1045"/>
      <c r="AF539" s="225"/>
    </row>
    <row r="540">
      <c r="A540" s="1013"/>
      <c r="B540" s="1019" t="s">
        <v>119</v>
      </c>
      <c r="C540" s="1020" t="s">
        <v>1035</v>
      </c>
      <c r="D540" s="1020" t="s">
        <v>1036</v>
      </c>
      <c r="E540" s="1020" t="s">
        <v>581</v>
      </c>
      <c r="F540" s="1020">
        <v>2021.0</v>
      </c>
      <c r="G540" s="1021">
        <v>0.002520287</v>
      </c>
      <c r="H540" s="1021">
        <v>0.001607119</v>
      </c>
      <c r="I540" s="1022">
        <v>0.003640644</v>
      </c>
      <c r="K540" s="1031" t="s">
        <v>149</v>
      </c>
      <c r="L540" s="1032" t="s">
        <v>539</v>
      </c>
      <c r="M540" s="1032" t="s">
        <v>1035</v>
      </c>
      <c r="N540" s="1032" t="s">
        <v>1042</v>
      </c>
      <c r="O540" s="1032">
        <v>2021.0</v>
      </c>
      <c r="P540" s="1032" t="s">
        <v>1039</v>
      </c>
      <c r="Q540" s="1033" t="s">
        <v>63</v>
      </c>
      <c r="R540" s="1034">
        <v>0.0</v>
      </c>
      <c r="S540" s="1034">
        <v>0.0</v>
      </c>
      <c r="T540" s="1035">
        <v>0.0</v>
      </c>
      <c r="AB540" s="1045"/>
      <c r="AF540" s="225"/>
    </row>
    <row r="541">
      <c r="A541" s="1013"/>
      <c r="B541" s="1019" t="s">
        <v>119</v>
      </c>
      <c r="C541" s="1020" t="s">
        <v>1035</v>
      </c>
      <c r="D541" s="1020" t="s">
        <v>1041</v>
      </c>
      <c r="E541" s="1020" t="s">
        <v>581</v>
      </c>
      <c r="F541" s="1020">
        <v>2021.0</v>
      </c>
      <c r="G541" s="1021">
        <v>0.02109105</v>
      </c>
      <c r="H541" s="1021">
        <v>0.014694764</v>
      </c>
      <c r="I541" s="1022">
        <v>0.029600739</v>
      </c>
      <c r="K541" s="1031" t="s">
        <v>149</v>
      </c>
      <c r="L541" s="1032" t="s">
        <v>539</v>
      </c>
      <c r="M541" s="1032" t="s">
        <v>1035</v>
      </c>
      <c r="N541" s="1032" t="s">
        <v>1044</v>
      </c>
      <c r="O541" s="1032">
        <v>2021.0</v>
      </c>
      <c r="P541" s="1032" t="s">
        <v>1039</v>
      </c>
      <c r="Q541" s="1033" t="s">
        <v>63</v>
      </c>
      <c r="R541" s="1034">
        <v>0.0</v>
      </c>
      <c r="S541" s="1034">
        <v>0.0</v>
      </c>
      <c r="T541" s="1035">
        <v>0.0</v>
      </c>
      <c r="AB541" s="1045"/>
      <c r="AF541" s="225"/>
    </row>
    <row r="542">
      <c r="A542" s="1013"/>
      <c r="B542" s="1019" t="s">
        <v>119</v>
      </c>
      <c r="C542" s="1020" t="s">
        <v>1035</v>
      </c>
      <c r="D542" s="1020" t="s">
        <v>1043</v>
      </c>
      <c r="E542" s="1020" t="s">
        <v>581</v>
      </c>
      <c r="F542" s="1020">
        <v>2021.0</v>
      </c>
      <c r="G542" s="1021">
        <v>0.001052452</v>
      </c>
      <c r="H542" s="1021">
        <v>6.73461E-4</v>
      </c>
      <c r="I542" s="1022">
        <v>0.001501815</v>
      </c>
      <c r="K542" s="1031" t="s">
        <v>149</v>
      </c>
      <c r="L542" s="1032" t="s">
        <v>539</v>
      </c>
      <c r="M542" s="1032" t="s">
        <v>1035</v>
      </c>
      <c r="N542" s="1032" t="s">
        <v>1046</v>
      </c>
      <c r="O542" s="1032">
        <v>2021.0</v>
      </c>
      <c r="P542" s="1032" t="s">
        <v>1039</v>
      </c>
      <c r="Q542" s="1033" t="s">
        <v>63</v>
      </c>
      <c r="R542" s="1034">
        <v>0.288561387</v>
      </c>
      <c r="S542" s="1034">
        <v>0.052434615</v>
      </c>
      <c r="T542" s="1035">
        <v>0.825878551</v>
      </c>
      <c r="AB542" s="1045"/>
      <c r="AF542" s="225"/>
    </row>
    <row r="543">
      <c r="A543" s="1013"/>
      <c r="B543" s="1019" t="s">
        <v>119</v>
      </c>
      <c r="C543" s="1020" t="s">
        <v>1035</v>
      </c>
      <c r="D543" s="1020" t="s">
        <v>1045</v>
      </c>
      <c r="E543" s="1020" t="s">
        <v>581</v>
      </c>
      <c r="F543" s="1020">
        <v>2021.0</v>
      </c>
      <c r="G543" s="1021">
        <v>0.01695616</v>
      </c>
      <c r="H543" s="1021">
        <v>0.011141582</v>
      </c>
      <c r="I543" s="1022">
        <v>0.024035393</v>
      </c>
      <c r="K543" s="1031" t="s">
        <v>149</v>
      </c>
      <c r="L543" s="1032" t="s">
        <v>539</v>
      </c>
      <c r="M543" s="1032" t="s">
        <v>1035</v>
      </c>
      <c r="N543" s="1032" t="s">
        <v>1045</v>
      </c>
      <c r="O543" s="1032">
        <v>2021.0</v>
      </c>
      <c r="P543" s="1032" t="s">
        <v>1039</v>
      </c>
      <c r="Q543" s="1033" t="s">
        <v>63</v>
      </c>
      <c r="R543" s="1034">
        <v>1.497399123</v>
      </c>
      <c r="S543" s="1034">
        <v>0.445218329</v>
      </c>
      <c r="T543" s="1035">
        <v>3.609966716</v>
      </c>
      <c r="AB543" s="1045"/>
      <c r="AF543" s="225"/>
    </row>
    <row r="544">
      <c r="A544" s="1013"/>
      <c r="B544" s="1019" t="s">
        <v>120</v>
      </c>
      <c r="C544" s="1020" t="s">
        <v>1035</v>
      </c>
      <c r="D544" s="1020" t="s">
        <v>1036</v>
      </c>
      <c r="E544" s="1020" t="s">
        <v>581</v>
      </c>
      <c r="F544" s="1020">
        <v>2021.0</v>
      </c>
      <c r="G544" s="1021">
        <v>0.002528167</v>
      </c>
      <c r="H544" s="1021">
        <v>0.001635241</v>
      </c>
      <c r="I544" s="1022">
        <v>0.003591065</v>
      </c>
      <c r="K544" s="1031" t="s">
        <v>150</v>
      </c>
      <c r="L544" s="1032" t="s">
        <v>539</v>
      </c>
      <c r="M544" s="1032" t="s">
        <v>1035</v>
      </c>
      <c r="N544" s="1032" t="s">
        <v>1038</v>
      </c>
      <c r="O544" s="1032">
        <v>2021.0</v>
      </c>
      <c r="P544" s="1032" t="s">
        <v>1039</v>
      </c>
      <c r="Q544" s="1033" t="s">
        <v>63</v>
      </c>
      <c r="R544" s="1034">
        <v>2.989142547</v>
      </c>
      <c r="S544" s="1034">
        <v>0.576754706</v>
      </c>
      <c r="T544" s="1035">
        <v>8.272805786</v>
      </c>
      <c r="AB544" s="1045"/>
      <c r="AF544" s="225"/>
    </row>
    <row r="545">
      <c r="A545" s="1013"/>
      <c r="B545" s="1019" t="s">
        <v>120</v>
      </c>
      <c r="C545" s="1020" t="s">
        <v>1035</v>
      </c>
      <c r="D545" s="1020" t="s">
        <v>1041</v>
      </c>
      <c r="E545" s="1020" t="s">
        <v>581</v>
      </c>
      <c r="F545" s="1020">
        <v>2021.0</v>
      </c>
      <c r="G545" s="1021">
        <v>0.025109776</v>
      </c>
      <c r="H545" s="1021">
        <v>0.017823754</v>
      </c>
      <c r="I545" s="1022">
        <v>0.03481246</v>
      </c>
      <c r="K545" s="1031" t="s">
        <v>150</v>
      </c>
      <c r="L545" s="1032" t="s">
        <v>539</v>
      </c>
      <c r="M545" s="1032" t="s">
        <v>1035</v>
      </c>
      <c r="N545" s="1032" t="s">
        <v>1042</v>
      </c>
      <c r="O545" s="1032">
        <v>2021.0</v>
      </c>
      <c r="P545" s="1032" t="s">
        <v>1039</v>
      </c>
      <c r="Q545" s="1033" t="s">
        <v>63</v>
      </c>
      <c r="R545" s="1034">
        <v>0.0</v>
      </c>
      <c r="S545" s="1034">
        <v>0.0</v>
      </c>
      <c r="T545" s="1035">
        <v>0.0</v>
      </c>
      <c r="AB545" s="1045"/>
      <c r="AF545" s="225"/>
    </row>
    <row r="546">
      <c r="A546" s="1013"/>
      <c r="B546" s="1019" t="s">
        <v>120</v>
      </c>
      <c r="C546" s="1020" t="s">
        <v>1035</v>
      </c>
      <c r="D546" s="1020" t="s">
        <v>1043</v>
      </c>
      <c r="E546" s="1020" t="s">
        <v>581</v>
      </c>
      <c r="F546" s="1020">
        <v>2021.0</v>
      </c>
      <c r="G546" s="1021">
        <v>0.001083798</v>
      </c>
      <c r="H546" s="1021">
        <v>7.2059E-4</v>
      </c>
      <c r="I546" s="1022">
        <v>0.001493952</v>
      </c>
      <c r="K546" s="1031" t="s">
        <v>150</v>
      </c>
      <c r="L546" s="1032" t="s">
        <v>539</v>
      </c>
      <c r="M546" s="1032" t="s">
        <v>1035</v>
      </c>
      <c r="N546" s="1032" t="s">
        <v>1044</v>
      </c>
      <c r="O546" s="1032">
        <v>2021.0</v>
      </c>
      <c r="P546" s="1032" t="s">
        <v>1039</v>
      </c>
      <c r="Q546" s="1033" t="s">
        <v>63</v>
      </c>
      <c r="R546" s="1034">
        <v>0.0</v>
      </c>
      <c r="S546" s="1034">
        <v>0.0</v>
      </c>
      <c r="T546" s="1035">
        <v>0.0</v>
      </c>
      <c r="AB546" s="1045"/>
      <c r="AF546" s="225"/>
    </row>
    <row r="547">
      <c r="A547" s="1013"/>
      <c r="B547" s="1019" t="s">
        <v>120</v>
      </c>
      <c r="C547" s="1020" t="s">
        <v>1035</v>
      </c>
      <c r="D547" s="1020" t="s">
        <v>1045</v>
      </c>
      <c r="E547" s="1020" t="s">
        <v>581</v>
      </c>
      <c r="F547" s="1020">
        <v>2021.0</v>
      </c>
      <c r="G547" s="1021">
        <v>0.018438313</v>
      </c>
      <c r="H547" s="1021">
        <v>0.013093</v>
      </c>
      <c r="I547" s="1022">
        <v>0.025249354</v>
      </c>
      <c r="K547" s="1031" t="s">
        <v>150</v>
      </c>
      <c r="L547" s="1032" t="s">
        <v>539</v>
      </c>
      <c r="M547" s="1032" t="s">
        <v>1035</v>
      </c>
      <c r="N547" s="1032" t="s">
        <v>1046</v>
      </c>
      <c r="O547" s="1032">
        <v>2021.0</v>
      </c>
      <c r="P547" s="1032" t="s">
        <v>1039</v>
      </c>
      <c r="Q547" s="1033" t="s">
        <v>63</v>
      </c>
      <c r="R547" s="1034">
        <v>1.722023852</v>
      </c>
      <c r="S547" s="1034">
        <v>0.323117965</v>
      </c>
      <c r="T547" s="1035">
        <v>4.875493431</v>
      </c>
      <c r="AB547" s="1045"/>
      <c r="AF547" s="225"/>
    </row>
    <row r="548">
      <c r="A548" s="1013"/>
      <c r="B548" s="1019" t="s">
        <v>139</v>
      </c>
      <c r="C548" s="1020" t="s">
        <v>1035</v>
      </c>
      <c r="D548" s="1020" t="s">
        <v>1036</v>
      </c>
      <c r="E548" s="1020" t="s">
        <v>581</v>
      </c>
      <c r="F548" s="1020">
        <v>2021.0</v>
      </c>
      <c r="G548" s="1021">
        <v>0.001960957</v>
      </c>
      <c r="H548" s="1021">
        <v>0.001074831</v>
      </c>
      <c r="I548" s="1022">
        <v>0.003071402</v>
      </c>
      <c r="K548" s="1031" t="s">
        <v>150</v>
      </c>
      <c r="L548" s="1032" t="s">
        <v>539</v>
      </c>
      <c r="M548" s="1032" t="s">
        <v>1035</v>
      </c>
      <c r="N548" s="1032" t="s">
        <v>1045</v>
      </c>
      <c r="O548" s="1032">
        <v>2021.0</v>
      </c>
      <c r="P548" s="1032" t="s">
        <v>1039</v>
      </c>
      <c r="Q548" s="1033" t="s">
        <v>63</v>
      </c>
      <c r="R548" s="1034">
        <v>4.711166399</v>
      </c>
      <c r="S548" s="1034">
        <v>1.367064029</v>
      </c>
      <c r="T548" s="1035">
        <v>11.53641606</v>
      </c>
      <c r="AB548" s="1045"/>
      <c r="AF548" s="225"/>
    </row>
    <row r="549">
      <c r="A549" s="1013"/>
      <c r="B549" s="1019" t="s">
        <v>139</v>
      </c>
      <c r="C549" s="1020" t="s">
        <v>1035</v>
      </c>
      <c r="D549" s="1020" t="s">
        <v>1041</v>
      </c>
      <c r="E549" s="1020" t="s">
        <v>581</v>
      </c>
      <c r="F549" s="1020">
        <v>2021.0</v>
      </c>
      <c r="G549" s="1021">
        <v>0.019361124</v>
      </c>
      <c r="H549" s="1021">
        <v>0.013532188</v>
      </c>
      <c r="I549" s="1022">
        <v>0.026797571</v>
      </c>
      <c r="K549" s="1031" t="s">
        <v>151</v>
      </c>
      <c r="L549" s="1032" t="s">
        <v>539</v>
      </c>
      <c r="M549" s="1032" t="s">
        <v>1035</v>
      </c>
      <c r="N549" s="1032" t="s">
        <v>1038</v>
      </c>
      <c r="O549" s="1032">
        <v>2021.0</v>
      </c>
      <c r="P549" s="1032" t="s">
        <v>1039</v>
      </c>
      <c r="Q549" s="1033" t="s">
        <v>63</v>
      </c>
      <c r="R549" s="1034">
        <v>0.531868461</v>
      </c>
      <c r="S549" s="1034">
        <v>0.112010927</v>
      </c>
      <c r="T549" s="1035">
        <v>1.363739009</v>
      </c>
      <c r="AB549" s="1045"/>
      <c r="AF549" s="225"/>
    </row>
    <row r="550">
      <c r="A550" s="1013"/>
      <c r="B550" s="1019" t="s">
        <v>139</v>
      </c>
      <c r="C550" s="1020" t="s">
        <v>1035</v>
      </c>
      <c r="D550" s="1020" t="s">
        <v>1043</v>
      </c>
      <c r="E550" s="1020" t="s">
        <v>581</v>
      </c>
      <c r="F550" s="1020">
        <v>2021.0</v>
      </c>
      <c r="G550" s="1021">
        <v>4.43956E-4</v>
      </c>
      <c r="H550" s="1021">
        <v>2.18728E-4</v>
      </c>
      <c r="I550" s="1022">
        <v>6.87472E-4</v>
      </c>
      <c r="K550" s="1031" t="s">
        <v>151</v>
      </c>
      <c r="L550" s="1032" t="s">
        <v>539</v>
      </c>
      <c r="M550" s="1032" t="s">
        <v>1035</v>
      </c>
      <c r="N550" s="1032" t="s">
        <v>1042</v>
      </c>
      <c r="O550" s="1032">
        <v>2021.0</v>
      </c>
      <c r="P550" s="1032" t="s">
        <v>1039</v>
      </c>
      <c r="Q550" s="1033" t="s">
        <v>63</v>
      </c>
      <c r="R550" s="1034">
        <v>0.0</v>
      </c>
      <c r="S550" s="1034">
        <v>0.0</v>
      </c>
      <c r="T550" s="1035">
        <v>0.0</v>
      </c>
      <c r="AB550" s="1045"/>
      <c r="AF550" s="225"/>
    </row>
    <row r="551">
      <c r="A551" s="1013"/>
      <c r="B551" s="1019" t="s">
        <v>139</v>
      </c>
      <c r="C551" s="1020" t="s">
        <v>1035</v>
      </c>
      <c r="D551" s="1020" t="s">
        <v>1045</v>
      </c>
      <c r="E551" s="1020" t="s">
        <v>581</v>
      </c>
      <c r="F551" s="1020">
        <v>2021.0</v>
      </c>
      <c r="G551" s="1021">
        <v>0.006925311</v>
      </c>
      <c r="H551" s="1021">
        <v>0.004296713</v>
      </c>
      <c r="I551" s="1022">
        <v>0.010092998</v>
      </c>
      <c r="K551" s="1031" t="s">
        <v>151</v>
      </c>
      <c r="L551" s="1032" t="s">
        <v>539</v>
      </c>
      <c r="M551" s="1032" t="s">
        <v>1035</v>
      </c>
      <c r="N551" s="1032" t="s">
        <v>1044</v>
      </c>
      <c r="O551" s="1032">
        <v>2021.0</v>
      </c>
      <c r="P551" s="1032" t="s">
        <v>1039</v>
      </c>
      <c r="Q551" s="1033" t="s">
        <v>63</v>
      </c>
      <c r="R551" s="1034">
        <v>0.0</v>
      </c>
      <c r="S551" s="1034">
        <v>0.0</v>
      </c>
      <c r="T551" s="1035">
        <v>0.0</v>
      </c>
      <c r="AB551" s="1045"/>
      <c r="AF551" s="225"/>
    </row>
    <row r="552">
      <c r="A552" s="1013"/>
      <c r="B552" s="1019" t="s">
        <v>140</v>
      </c>
      <c r="C552" s="1020" t="s">
        <v>1035</v>
      </c>
      <c r="D552" s="1020" t="s">
        <v>1036</v>
      </c>
      <c r="E552" s="1020" t="s">
        <v>581</v>
      </c>
      <c r="F552" s="1020">
        <v>2021.0</v>
      </c>
      <c r="G552" s="1021">
        <v>0.002123181</v>
      </c>
      <c r="H552" s="1021">
        <v>0.001268774</v>
      </c>
      <c r="I552" s="1022">
        <v>0.003312078</v>
      </c>
      <c r="K552" s="1031" t="s">
        <v>151</v>
      </c>
      <c r="L552" s="1032" t="s">
        <v>539</v>
      </c>
      <c r="M552" s="1032" t="s">
        <v>1035</v>
      </c>
      <c r="N552" s="1032" t="s">
        <v>1046</v>
      </c>
      <c r="O552" s="1032">
        <v>2021.0</v>
      </c>
      <c r="P552" s="1032" t="s">
        <v>1039</v>
      </c>
      <c r="Q552" s="1033" t="s">
        <v>63</v>
      </c>
      <c r="R552" s="1034">
        <v>0.195401276</v>
      </c>
      <c r="S552" s="1034">
        <v>0.033964245</v>
      </c>
      <c r="T552" s="1035">
        <v>0.593189736</v>
      </c>
      <c r="AB552" s="1045"/>
      <c r="AF552" s="225"/>
    </row>
    <row r="553">
      <c r="A553" s="1013"/>
      <c r="B553" s="1019" t="s">
        <v>140</v>
      </c>
      <c r="C553" s="1020" t="s">
        <v>1035</v>
      </c>
      <c r="D553" s="1020" t="s">
        <v>1041</v>
      </c>
      <c r="E553" s="1020" t="s">
        <v>581</v>
      </c>
      <c r="F553" s="1020">
        <v>2021.0</v>
      </c>
      <c r="G553" s="1021">
        <v>0.016970364</v>
      </c>
      <c r="H553" s="1021">
        <v>0.01174171</v>
      </c>
      <c r="I553" s="1022">
        <v>0.024915095</v>
      </c>
      <c r="K553" s="1031" t="s">
        <v>151</v>
      </c>
      <c r="L553" s="1032" t="s">
        <v>539</v>
      </c>
      <c r="M553" s="1032" t="s">
        <v>1035</v>
      </c>
      <c r="N553" s="1032" t="s">
        <v>1045</v>
      </c>
      <c r="O553" s="1032">
        <v>2021.0</v>
      </c>
      <c r="P553" s="1032" t="s">
        <v>1039</v>
      </c>
      <c r="Q553" s="1033" t="s">
        <v>63</v>
      </c>
      <c r="R553" s="1034">
        <v>0.727269737</v>
      </c>
      <c r="S553" s="1034">
        <v>0.199626394</v>
      </c>
      <c r="T553" s="1035">
        <v>1.664015527</v>
      </c>
      <c r="AB553" s="1045"/>
      <c r="AF553" s="225"/>
    </row>
    <row r="554">
      <c r="A554" s="1013"/>
      <c r="B554" s="1019" t="s">
        <v>140</v>
      </c>
      <c r="C554" s="1020" t="s">
        <v>1035</v>
      </c>
      <c r="D554" s="1020" t="s">
        <v>1043</v>
      </c>
      <c r="E554" s="1020" t="s">
        <v>581</v>
      </c>
      <c r="F554" s="1020">
        <v>2021.0</v>
      </c>
      <c r="G554" s="1021">
        <v>3.88867E-4</v>
      </c>
      <c r="H554" s="1021">
        <v>2.09862E-4</v>
      </c>
      <c r="I554" s="1022">
        <v>6.43869E-4</v>
      </c>
      <c r="K554" s="1031" t="s">
        <v>121</v>
      </c>
      <c r="L554" s="1032" t="s">
        <v>539</v>
      </c>
      <c r="M554" s="1032" t="s">
        <v>1035</v>
      </c>
      <c r="N554" s="1032" t="s">
        <v>1038</v>
      </c>
      <c r="O554" s="1032">
        <v>2021.0</v>
      </c>
      <c r="P554" s="1032" t="s">
        <v>1039</v>
      </c>
      <c r="Q554" s="1033" t="s">
        <v>63</v>
      </c>
      <c r="R554" s="1034">
        <v>358.4508391</v>
      </c>
      <c r="S554" s="1034">
        <v>96.35160518</v>
      </c>
      <c r="T554" s="1035">
        <v>849.554887</v>
      </c>
      <c r="AB554" s="1045"/>
      <c r="AF554" s="225"/>
    </row>
    <row r="555">
      <c r="A555" s="1013"/>
      <c r="B555" s="1019" t="s">
        <v>140</v>
      </c>
      <c r="C555" s="1020" t="s">
        <v>1035</v>
      </c>
      <c r="D555" s="1020" t="s">
        <v>1045</v>
      </c>
      <c r="E555" s="1020" t="s">
        <v>581</v>
      </c>
      <c r="F555" s="1020">
        <v>2021.0</v>
      </c>
      <c r="G555" s="1021">
        <v>0.005374371</v>
      </c>
      <c r="H555" s="1021">
        <v>0.003451976</v>
      </c>
      <c r="I555" s="1022">
        <v>0.007625823</v>
      </c>
      <c r="K555" s="1031" t="s">
        <v>121</v>
      </c>
      <c r="L555" s="1032" t="s">
        <v>539</v>
      </c>
      <c r="M555" s="1032" t="s">
        <v>1035</v>
      </c>
      <c r="N555" s="1032" t="s">
        <v>1042</v>
      </c>
      <c r="O555" s="1032">
        <v>2021.0</v>
      </c>
      <c r="P555" s="1032" t="s">
        <v>1039</v>
      </c>
      <c r="Q555" s="1033" t="s">
        <v>63</v>
      </c>
      <c r="R555" s="1034">
        <v>0.0</v>
      </c>
      <c r="S555" s="1034">
        <v>0.0</v>
      </c>
      <c r="T555" s="1035">
        <v>0.0</v>
      </c>
      <c r="AB555" s="1045"/>
      <c r="AF555" s="225"/>
    </row>
    <row r="556">
      <c r="A556" s="1013"/>
      <c r="B556" s="1019" t="s">
        <v>141</v>
      </c>
      <c r="C556" s="1020" t="s">
        <v>1035</v>
      </c>
      <c r="D556" s="1020" t="s">
        <v>1036</v>
      </c>
      <c r="E556" s="1020" t="s">
        <v>581</v>
      </c>
      <c r="F556" s="1020">
        <v>2021.0</v>
      </c>
      <c r="G556" s="1021">
        <v>0.001496856</v>
      </c>
      <c r="H556" s="1021">
        <v>8.35749E-4</v>
      </c>
      <c r="I556" s="1022">
        <v>0.002417496</v>
      </c>
      <c r="K556" s="1031" t="s">
        <v>121</v>
      </c>
      <c r="L556" s="1032" t="s">
        <v>539</v>
      </c>
      <c r="M556" s="1032" t="s">
        <v>1035</v>
      </c>
      <c r="N556" s="1032" t="s">
        <v>1044</v>
      </c>
      <c r="O556" s="1032">
        <v>2021.0</v>
      </c>
      <c r="P556" s="1032" t="s">
        <v>1039</v>
      </c>
      <c r="Q556" s="1033" t="s">
        <v>63</v>
      </c>
      <c r="R556" s="1034">
        <v>0.0</v>
      </c>
      <c r="S556" s="1034">
        <v>0.0</v>
      </c>
      <c r="T556" s="1035">
        <v>0.0</v>
      </c>
      <c r="AB556" s="1045"/>
      <c r="AF556" s="225"/>
    </row>
    <row r="557">
      <c r="A557" s="1013"/>
      <c r="B557" s="1019" t="s">
        <v>141</v>
      </c>
      <c r="C557" s="1020" t="s">
        <v>1035</v>
      </c>
      <c r="D557" s="1020" t="s">
        <v>1041</v>
      </c>
      <c r="E557" s="1020" t="s">
        <v>581</v>
      </c>
      <c r="F557" s="1020">
        <v>2021.0</v>
      </c>
      <c r="G557" s="1021">
        <v>0.011549145</v>
      </c>
      <c r="H557" s="1021">
        <v>0.006947182</v>
      </c>
      <c r="I557" s="1022">
        <v>0.017485331</v>
      </c>
      <c r="K557" s="1031" t="s">
        <v>121</v>
      </c>
      <c r="L557" s="1032" t="s">
        <v>539</v>
      </c>
      <c r="M557" s="1032" t="s">
        <v>1035</v>
      </c>
      <c r="N557" s="1032" t="s">
        <v>1046</v>
      </c>
      <c r="O557" s="1032">
        <v>2021.0</v>
      </c>
      <c r="P557" s="1032" t="s">
        <v>1039</v>
      </c>
      <c r="Q557" s="1033" t="s">
        <v>63</v>
      </c>
      <c r="R557" s="1034">
        <v>63.04011149</v>
      </c>
      <c r="S557" s="1034">
        <v>12.16108103</v>
      </c>
      <c r="T557" s="1035">
        <v>170.9261823</v>
      </c>
      <c r="AB557" s="1045"/>
      <c r="AF557" s="225"/>
    </row>
    <row r="558">
      <c r="A558" s="1013"/>
      <c r="B558" s="1019" t="s">
        <v>141</v>
      </c>
      <c r="C558" s="1020" t="s">
        <v>1035</v>
      </c>
      <c r="D558" s="1020" t="s">
        <v>1043</v>
      </c>
      <c r="E558" s="1020" t="s">
        <v>581</v>
      </c>
      <c r="F558" s="1020">
        <v>2021.0</v>
      </c>
      <c r="G558" s="1021">
        <v>4.20064E-4</v>
      </c>
      <c r="H558" s="1021">
        <v>1.94066E-4</v>
      </c>
      <c r="I558" s="1022">
        <v>7.19786E-4</v>
      </c>
      <c r="K558" s="1031" t="s">
        <v>121</v>
      </c>
      <c r="L558" s="1032" t="s">
        <v>539</v>
      </c>
      <c r="M558" s="1032" t="s">
        <v>1035</v>
      </c>
      <c r="N558" s="1032" t="s">
        <v>1045</v>
      </c>
      <c r="O558" s="1032">
        <v>2021.0</v>
      </c>
      <c r="P558" s="1032" t="s">
        <v>1039</v>
      </c>
      <c r="Q558" s="1033" t="s">
        <v>63</v>
      </c>
      <c r="R558" s="1034">
        <v>421.4909505</v>
      </c>
      <c r="S558" s="1034">
        <v>151.1623121</v>
      </c>
      <c r="T558" s="1035">
        <v>923.8279976</v>
      </c>
      <c r="AB558" s="1045"/>
      <c r="AF558" s="225"/>
    </row>
    <row r="559">
      <c r="A559" s="1013"/>
      <c r="B559" s="1019" t="s">
        <v>141</v>
      </c>
      <c r="C559" s="1020" t="s">
        <v>1035</v>
      </c>
      <c r="D559" s="1020" t="s">
        <v>1045</v>
      </c>
      <c r="E559" s="1020" t="s">
        <v>581</v>
      </c>
      <c r="F559" s="1020">
        <v>2021.0</v>
      </c>
      <c r="G559" s="1021">
        <v>0.005648216</v>
      </c>
      <c r="H559" s="1021">
        <v>0.003545763</v>
      </c>
      <c r="I559" s="1022">
        <v>0.008198162</v>
      </c>
      <c r="K559" s="1031" t="s">
        <v>152</v>
      </c>
      <c r="L559" s="1032" t="s">
        <v>539</v>
      </c>
      <c r="M559" s="1032" t="s">
        <v>1035</v>
      </c>
      <c r="N559" s="1032" t="s">
        <v>1038</v>
      </c>
      <c r="O559" s="1032">
        <v>2021.0</v>
      </c>
      <c r="P559" s="1032" t="s">
        <v>1039</v>
      </c>
      <c r="Q559" s="1033" t="s">
        <v>63</v>
      </c>
      <c r="R559" s="1034">
        <v>31.18554203</v>
      </c>
      <c r="S559" s="1034">
        <v>7.159978268</v>
      </c>
      <c r="T559" s="1035">
        <v>74.88746739</v>
      </c>
      <c r="AB559" s="1045"/>
      <c r="AF559" s="225"/>
    </row>
    <row r="560">
      <c r="A560" s="1013"/>
      <c r="B560" s="1019" t="s">
        <v>142</v>
      </c>
      <c r="C560" s="1020" t="s">
        <v>1035</v>
      </c>
      <c r="D560" s="1020" t="s">
        <v>1036</v>
      </c>
      <c r="E560" s="1020" t="s">
        <v>581</v>
      </c>
      <c r="F560" s="1020">
        <v>2021.0</v>
      </c>
      <c r="G560" s="1021">
        <v>0.002433635</v>
      </c>
      <c r="H560" s="1021">
        <v>0.001539196</v>
      </c>
      <c r="I560" s="1022">
        <v>0.003704498</v>
      </c>
      <c r="K560" s="1031" t="s">
        <v>152</v>
      </c>
      <c r="L560" s="1032" t="s">
        <v>539</v>
      </c>
      <c r="M560" s="1032" t="s">
        <v>1035</v>
      </c>
      <c r="N560" s="1032" t="s">
        <v>1042</v>
      </c>
      <c r="O560" s="1032">
        <v>2021.0</v>
      </c>
      <c r="P560" s="1032" t="s">
        <v>1039</v>
      </c>
      <c r="Q560" s="1033" t="s">
        <v>63</v>
      </c>
      <c r="R560" s="1034">
        <v>0.0</v>
      </c>
      <c r="S560" s="1034">
        <v>0.0</v>
      </c>
      <c r="T560" s="1035">
        <v>0.0</v>
      </c>
      <c r="AB560" s="1045"/>
      <c r="AF560" s="225"/>
    </row>
    <row r="561">
      <c r="A561" s="1013"/>
      <c r="B561" s="1019" t="s">
        <v>142</v>
      </c>
      <c r="C561" s="1020" t="s">
        <v>1035</v>
      </c>
      <c r="D561" s="1020" t="s">
        <v>1041</v>
      </c>
      <c r="E561" s="1020" t="s">
        <v>581</v>
      </c>
      <c r="F561" s="1020">
        <v>2021.0</v>
      </c>
      <c r="G561" s="1021">
        <v>0.015653005</v>
      </c>
      <c r="H561" s="1021">
        <v>0.011049615</v>
      </c>
      <c r="I561" s="1022">
        <v>0.022747959</v>
      </c>
      <c r="K561" s="1031" t="s">
        <v>152</v>
      </c>
      <c r="L561" s="1032" t="s">
        <v>539</v>
      </c>
      <c r="M561" s="1032" t="s">
        <v>1035</v>
      </c>
      <c r="N561" s="1032" t="s">
        <v>1044</v>
      </c>
      <c r="O561" s="1032">
        <v>2021.0</v>
      </c>
      <c r="P561" s="1032" t="s">
        <v>1039</v>
      </c>
      <c r="Q561" s="1033" t="s">
        <v>63</v>
      </c>
      <c r="R561" s="1034">
        <v>0.0</v>
      </c>
      <c r="S561" s="1034">
        <v>0.0</v>
      </c>
      <c r="T561" s="1035">
        <v>0.0</v>
      </c>
      <c r="AB561" s="1045"/>
      <c r="AF561" s="225"/>
    </row>
    <row r="562">
      <c r="A562" s="1013"/>
      <c r="B562" s="1019" t="s">
        <v>142</v>
      </c>
      <c r="C562" s="1020" t="s">
        <v>1035</v>
      </c>
      <c r="D562" s="1020" t="s">
        <v>1043</v>
      </c>
      <c r="E562" s="1020" t="s">
        <v>581</v>
      </c>
      <c r="F562" s="1020">
        <v>2021.0</v>
      </c>
      <c r="G562" s="1021">
        <v>7.53327E-4</v>
      </c>
      <c r="H562" s="1021">
        <v>4.56752E-4</v>
      </c>
      <c r="I562" s="1022">
        <v>0.001099762</v>
      </c>
      <c r="K562" s="1031" t="s">
        <v>152</v>
      </c>
      <c r="L562" s="1032" t="s">
        <v>539</v>
      </c>
      <c r="M562" s="1032" t="s">
        <v>1035</v>
      </c>
      <c r="N562" s="1032" t="s">
        <v>1046</v>
      </c>
      <c r="O562" s="1032">
        <v>2021.0</v>
      </c>
      <c r="P562" s="1032" t="s">
        <v>1039</v>
      </c>
      <c r="Q562" s="1033" t="s">
        <v>63</v>
      </c>
      <c r="R562" s="1034">
        <v>10.43434373</v>
      </c>
      <c r="S562" s="1034">
        <v>2.527597111</v>
      </c>
      <c r="T562" s="1035">
        <v>26.04133496</v>
      </c>
      <c r="AB562" s="1045"/>
      <c r="AF562" s="225"/>
    </row>
    <row r="563">
      <c r="A563" s="1013"/>
      <c r="B563" s="1019" t="s">
        <v>142</v>
      </c>
      <c r="C563" s="1020" t="s">
        <v>1035</v>
      </c>
      <c r="D563" s="1020" t="s">
        <v>1045</v>
      </c>
      <c r="E563" s="1020" t="s">
        <v>581</v>
      </c>
      <c r="F563" s="1020">
        <v>2021.0</v>
      </c>
      <c r="G563" s="1021">
        <v>0.009993866</v>
      </c>
      <c r="H563" s="1021">
        <v>0.006528683</v>
      </c>
      <c r="I563" s="1022">
        <v>0.013860794</v>
      </c>
      <c r="K563" s="1031" t="s">
        <v>152</v>
      </c>
      <c r="L563" s="1032" t="s">
        <v>539</v>
      </c>
      <c r="M563" s="1032" t="s">
        <v>1035</v>
      </c>
      <c r="N563" s="1032" t="s">
        <v>1045</v>
      </c>
      <c r="O563" s="1032">
        <v>2021.0</v>
      </c>
      <c r="P563" s="1032" t="s">
        <v>1039</v>
      </c>
      <c r="Q563" s="1033" t="s">
        <v>63</v>
      </c>
      <c r="R563" s="1034">
        <v>41.61988576</v>
      </c>
      <c r="S563" s="1034">
        <v>14.11692971</v>
      </c>
      <c r="T563" s="1035">
        <v>88.46955706</v>
      </c>
      <c r="AB563" s="1045"/>
      <c r="AF563" s="225"/>
    </row>
    <row r="564">
      <c r="A564" s="1013"/>
      <c r="B564" s="1019" t="s">
        <v>143</v>
      </c>
      <c r="C564" s="1020" t="s">
        <v>1035</v>
      </c>
      <c r="D564" s="1020" t="s">
        <v>1036</v>
      </c>
      <c r="E564" s="1020" t="s">
        <v>581</v>
      </c>
      <c r="F564" s="1020">
        <v>2021.0</v>
      </c>
      <c r="G564" s="1021">
        <v>0.002520823</v>
      </c>
      <c r="H564" s="1021">
        <v>0.00150558</v>
      </c>
      <c r="I564" s="1022">
        <v>0.003743989</v>
      </c>
      <c r="K564" s="1031" t="s">
        <v>153</v>
      </c>
      <c r="L564" s="1032" t="s">
        <v>539</v>
      </c>
      <c r="M564" s="1032" t="s">
        <v>1035</v>
      </c>
      <c r="N564" s="1032" t="s">
        <v>1038</v>
      </c>
      <c r="O564" s="1032">
        <v>2021.0</v>
      </c>
      <c r="P564" s="1032" t="s">
        <v>1039</v>
      </c>
      <c r="Q564" s="1033" t="s">
        <v>63</v>
      </c>
      <c r="R564" s="1034">
        <v>35.95831196</v>
      </c>
      <c r="S564" s="1034">
        <v>8.177612519</v>
      </c>
      <c r="T564" s="1035">
        <v>91.32071862</v>
      </c>
      <c r="AB564" s="1045"/>
      <c r="AF564" s="225"/>
    </row>
    <row r="565">
      <c r="A565" s="1013"/>
      <c r="B565" s="1019" t="s">
        <v>143</v>
      </c>
      <c r="C565" s="1020" t="s">
        <v>1035</v>
      </c>
      <c r="D565" s="1020" t="s">
        <v>1041</v>
      </c>
      <c r="E565" s="1020" t="s">
        <v>581</v>
      </c>
      <c r="F565" s="1020">
        <v>2021.0</v>
      </c>
      <c r="G565" s="1021">
        <v>0.020421233</v>
      </c>
      <c r="H565" s="1021">
        <v>0.014047484</v>
      </c>
      <c r="I565" s="1022">
        <v>0.029326968</v>
      </c>
      <c r="K565" s="1031" t="s">
        <v>153</v>
      </c>
      <c r="L565" s="1032" t="s">
        <v>539</v>
      </c>
      <c r="M565" s="1032" t="s">
        <v>1035</v>
      </c>
      <c r="N565" s="1032" t="s">
        <v>1042</v>
      </c>
      <c r="O565" s="1032">
        <v>2021.0</v>
      </c>
      <c r="P565" s="1032" t="s">
        <v>1039</v>
      </c>
      <c r="Q565" s="1033" t="s">
        <v>63</v>
      </c>
      <c r="R565" s="1034">
        <v>0.0</v>
      </c>
      <c r="S565" s="1034">
        <v>0.0</v>
      </c>
      <c r="T565" s="1035">
        <v>0.0</v>
      </c>
      <c r="AB565" s="1045"/>
      <c r="AF565" s="225"/>
    </row>
    <row r="566">
      <c r="A566" s="1013"/>
      <c r="B566" s="1019" t="s">
        <v>143</v>
      </c>
      <c r="C566" s="1020" t="s">
        <v>1035</v>
      </c>
      <c r="D566" s="1020" t="s">
        <v>1043</v>
      </c>
      <c r="E566" s="1020" t="s">
        <v>581</v>
      </c>
      <c r="F566" s="1020">
        <v>2021.0</v>
      </c>
      <c r="G566" s="1021">
        <v>8.57672E-4</v>
      </c>
      <c r="H566" s="1021">
        <v>5.23276E-4</v>
      </c>
      <c r="I566" s="1022">
        <v>0.001247831</v>
      </c>
      <c r="K566" s="1031" t="s">
        <v>153</v>
      </c>
      <c r="L566" s="1032" t="s">
        <v>539</v>
      </c>
      <c r="M566" s="1032" t="s">
        <v>1035</v>
      </c>
      <c r="N566" s="1032" t="s">
        <v>1044</v>
      </c>
      <c r="O566" s="1032">
        <v>2021.0</v>
      </c>
      <c r="P566" s="1032" t="s">
        <v>1039</v>
      </c>
      <c r="Q566" s="1033" t="s">
        <v>63</v>
      </c>
      <c r="R566" s="1034">
        <v>0.0</v>
      </c>
      <c r="S566" s="1034">
        <v>0.0</v>
      </c>
      <c r="T566" s="1035">
        <v>0.0</v>
      </c>
      <c r="AB566" s="1045"/>
      <c r="AF566" s="225"/>
    </row>
    <row r="567">
      <c r="A567" s="1013"/>
      <c r="B567" s="1019" t="s">
        <v>143</v>
      </c>
      <c r="C567" s="1020" t="s">
        <v>1035</v>
      </c>
      <c r="D567" s="1020" t="s">
        <v>1045</v>
      </c>
      <c r="E567" s="1020" t="s">
        <v>581</v>
      </c>
      <c r="F567" s="1020">
        <v>2021.0</v>
      </c>
      <c r="G567" s="1021">
        <v>0.012652618</v>
      </c>
      <c r="H567" s="1021">
        <v>0.008536146</v>
      </c>
      <c r="I567" s="1022">
        <v>0.017370693</v>
      </c>
      <c r="K567" s="1031" t="s">
        <v>153</v>
      </c>
      <c r="L567" s="1032" t="s">
        <v>539</v>
      </c>
      <c r="M567" s="1032" t="s">
        <v>1035</v>
      </c>
      <c r="N567" s="1032" t="s">
        <v>1046</v>
      </c>
      <c r="O567" s="1032">
        <v>2021.0</v>
      </c>
      <c r="P567" s="1032" t="s">
        <v>1039</v>
      </c>
      <c r="Q567" s="1033" t="s">
        <v>63</v>
      </c>
      <c r="R567" s="1034">
        <v>7.820044894</v>
      </c>
      <c r="S567" s="1034">
        <v>1.826622961</v>
      </c>
      <c r="T567" s="1035">
        <v>20.20789844</v>
      </c>
      <c r="AB567" s="1045"/>
      <c r="AF567" s="225"/>
    </row>
    <row r="568">
      <c r="A568" s="1013"/>
      <c r="B568" s="1019" t="s">
        <v>109</v>
      </c>
      <c r="C568" s="1020" t="s">
        <v>1035</v>
      </c>
      <c r="D568" s="1020" t="s">
        <v>1036</v>
      </c>
      <c r="E568" s="1020" t="s">
        <v>581</v>
      </c>
      <c r="F568" s="1020">
        <v>2021.0</v>
      </c>
      <c r="G568" s="1021">
        <v>0.002207429</v>
      </c>
      <c r="H568" s="1021">
        <v>0.001428191</v>
      </c>
      <c r="I568" s="1022">
        <v>0.003151421</v>
      </c>
      <c r="K568" s="1031" t="s">
        <v>153</v>
      </c>
      <c r="L568" s="1032" t="s">
        <v>539</v>
      </c>
      <c r="M568" s="1032" t="s">
        <v>1035</v>
      </c>
      <c r="N568" s="1032" t="s">
        <v>1045</v>
      </c>
      <c r="O568" s="1032">
        <v>2021.0</v>
      </c>
      <c r="P568" s="1032" t="s">
        <v>1039</v>
      </c>
      <c r="Q568" s="1033" t="s">
        <v>63</v>
      </c>
      <c r="R568" s="1034">
        <v>43.77835685</v>
      </c>
      <c r="S568" s="1034">
        <v>13.6404833</v>
      </c>
      <c r="T568" s="1035">
        <v>101.4508798</v>
      </c>
      <c r="AB568" s="1045"/>
      <c r="AF568" s="225"/>
    </row>
    <row r="569">
      <c r="A569" s="1013"/>
      <c r="B569" s="1019" t="s">
        <v>109</v>
      </c>
      <c r="C569" s="1020" t="s">
        <v>1035</v>
      </c>
      <c r="D569" s="1020" t="s">
        <v>1041</v>
      </c>
      <c r="E569" s="1020" t="s">
        <v>581</v>
      </c>
      <c r="F569" s="1020">
        <v>2021.0</v>
      </c>
      <c r="G569" s="1021">
        <v>0.018286228</v>
      </c>
      <c r="H569" s="1021">
        <v>0.013535059</v>
      </c>
      <c r="I569" s="1022">
        <v>0.024363134</v>
      </c>
      <c r="K569" s="1031" t="s">
        <v>122</v>
      </c>
      <c r="L569" s="1032" t="s">
        <v>539</v>
      </c>
      <c r="M569" s="1032" t="s">
        <v>1035</v>
      </c>
      <c r="N569" s="1032" t="s">
        <v>1038</v>
      </c>
      <c r="O569" s="1032">
        <v>2021.0</v>
      </c>
      <c r="P569" s="1032" t="s">
        <v>1039</v>
      </c>
      <c r="Q569" s="1033" t="s">
        <v>63</v>
      </c>
      <c r="R569" s="1034">
        <v>214.1285771</v>
      </c>
      <c r="S569" s="1034">
        <v>52.55582261</v>
      </c>
      <c r="T569" s="1035">
        <v>521.8046809</v>
      </c>
      <c r="AB569" s="1045"/>
      <c r="AF569" s="225"/>
    </row>
    <row r="570">
      <c r="A570" s="1013"/>
      <c r="B570" s="1019" t="s">
        <v>109</v>
      </c>
      <c r="C570" s="1020" t="s">
        <v>1035</v>
      </c>
      <c r="D570" s="1020" t="s">
        <v>1043</v>
      </c>
      <c r="E570" s="1020" t="s">
        <v>581</v>
      </c>
      <c r="F570" s="1020">
        <v>2021.0</v>
      </c>
      <c r="G570" s="1021">
        <v>8.42417E-4</v>
      </c>
      <c r="H570" s="1021">
        <v>5.41254E-4</v>
      </c>
      <c r="I570" s="1022">
        <v>0.001143721</v>
      </c>
      <c r="K570" s="1031" t="s">
        <v>122</v>
      </c>
      <c r="L570" s="1032" t="s">
        <v>539</v>
      </c>
      <c r="M570" s="1032" t="s">
        <v>1035</v>
      </c>
      <c r="N570" s="1032" t="s">
        <v>1042</v>
      </c>
      <c r="O570" s="1032">
        <v>2021.0</v>
      </c>
      <c r="P570" s="1032" t="s">
        <v>1039</v>
      </c>
      <c r="Q570" s="1033" t="s">
        <v>63</v>
      </c>
      <c r="R570" s="1034">
        <v>0.0</v>
      </c>
      <c r="S570" s="1034">
        <v>0.0</v>
      </c>
      <c r="T570" s="1035">
        <v>0.0</v>
      </c>
      <c r="AB570" s="1045"/>
      <c r="AF570" s="225"/>
    </row>
    <row r="571">
      <c r="A571" s="1013"/>
      <c r="B571" s="1019" t="s">
        <v>109</v>
      </c>
      <c r="C571" s="1020" t="s">
        <v>1035</v>
      </c>
      <c r="D571" s="1020" t="s">
        <v>1045</v>
      </c>
      <c r="E571" s="1020" t="s">
        <v>581</v>
      </c>
      <c r="F571" s="1020">
        <v>2021.0</v>
      </c>
      <c r="G571" s="1021">
        <v>0.013374416</v>
      </c>
      <c r="H571" s="1021">
        <v>0.009316604</v>
      </c>
      <c r="I571" s="1022">
        <v>0.018512566</v>
      </c>
      <c r="K571" s="1031" t="s">
        <v>122</v>
      </c>
      <c r="L571" s="1032" t="s">
        <v>539</v>
      </c>
      <c r="M571" s="1032" t="s">
        <v>1035</v>
      </c>
      <c r="N571" s="1032" t="s">
        <v>1044</v>
      </c>
      <c r="O571" s="1032">
        <v>2021.0</v>
      </c>
      <c r="P571" s="1032" t="s">
        <v>1039</v>
      </c>
      <c r="Q571" s="1033" t="s">
        <v>63</v>
      </c>
      <c r="R571" s="1034">
        <v>0.0</v>
      </c>
      <c r="S571" s="1034">
        <v>0.0</v>
      </c>
      <c r="T571" s="1035">
        <v>0.0</v>
      </c>
      <c r="AB571" s="1045"/>
      <c r="AF571" s="225"/>
    </row>
    <row r="572">
      <c r="A572" s="1013"/>
      <c r="B572" s="1019" t="s">
        <v>146</v>
      </c>
      <c r="C572" s="1020" t="s">
        <v>1035</v>
      </c>
      <c r="D572" s="1020" t="s">
        <v>1036</v>
      </c>
      <c r="E572" s="1020" t="s">
        <v>581</v>
      </c>
      <c r="F572" s="1020">
        <v>2021.0</v>
      </c>
      <c r="G572" s="1021">
        <v>0.002077252</v>
      </c>
      <c r="H572" s="1021">
        <v>0.001206219</v>
      </c>
      <c r="I572" s="1022">
        <v>0.003265577</v>
      </c>
      <c r="K572" s="1031" t="s">
        <v>122</v>
      </c>
      <c r="L572" s="1032" t="s">
        <v>539</v>
      </c>
      <c r="M572" s="1032" t="s">
        <v>1035</v>
      </c>
      <c r="N572" s="1032" t="s">
        <v>1046</v>
      </c>
      <c r="O572" s="1032">
        <v>2021.0</v>
      </c>
      <c r="P572" s="1032" t="s">
        <v>1039</v>
      </c>
      <c r="Q572" s="1033" t="s">
        <v>63</v>
      </c>
      <c r="R572" s="1034">
        <v>45.4811006</v>
      </c>
      <c r="S572" s="1034">
        <v>9.950064326</v>
      </c>
      <c r="T572" s="1035">
        <v>125.3574956</v>
      </c>
      <c r="AB572" s="1045"/>
      <c r="AF572" s="225"/>
    </row>
    <row r="573">
      <c r="A573" s="1013"/>
      <c r="B573" s="1019" t="s">
        <v>146</v>
      </c>
      <c r="C573" s="1020" t="s">
        <v>1035</v>
      </c>
      <c r="D573" s="1020" t="s">
        <v>1041</v>
      </c>
      <c r="E573" s="1020" t="s">
        <v>581</v>
      </c>
      <c r="F573" s="1020">
        <v>2021.0</v>
      </c>
      <c r="G573" s="1021">
        <v>0.018129064</v>
      </c>
      <c r="H573" s="1021">
        <v>0.012044615</v>
      </c>
      <c r="I573" s="1022">
        <v>0.026710706</v>
      </c>
      <c r="K573" s="1031" t="s">
        <v>122</v>
      </c>
      <c r="L573" s="1032" t="s">
        <v>539</v>
      </c>
      <c r="M573" s="1032" t="s">
        <v>1035</v>
      </c>
      <c r="N573" s="1032" t="s">
        <v>1045</v>
      </c>
      <c r="O573" s="1032">
        <v>2021.0</v>
      </c>
      <c r="P573" s="1032" t="s">
        <v>1039</v>
      </c>
      <c r="Q573" s="1033" t="s">
        <v>63</v>
      </c>
      <c r="R573" s="1034">
        <v>259.6096777</v>
      </c>
      <c r="S573" s="1034">
        <v>83.39530469</v>
      </c>
      <c r="T573" s="1035">
        <v>569.5381658</v>
      </c>
      <c r="AB573" s="1045"/>
      <c r="AF573" s="225"/>
    </row>
    <row r="574">
      <c r="A574" s="1013"/>
      <c r="B574" s="1019" t="s">
        <v>146</v>
      </c>
      <c r="C574" s="1020" t="s">
        <v>1035</v>
      </c>
      <c r="D574" s="1020" t="s">
        <v>1043</v>
      </c>
      <c r="E574" s="1020" t="s">
        <v>581</v>
      </c>
      <c r="F574" s="1020">
        <v>2021.0</v>
      </c>
      <c r="G574" s="1021">
        <v>5.02423E-4</v>
      </c>
      <c r="H574" s="1021">
        <v>2.90901E-4</v>
      </c>
      <c r="I574" s="1022">
        <v>7.79126E-4</v>
      </c>
      <c r="K574" s="1031" t="s">
        <v>123</v>
      </c>
      <c r="L574" s="1032" t="s">
        <v>581</v>
      </c>
      <c r="M574" s="1032" t="s">
        <v>1035</v>
      </c>
      <c r="N574" s="1032" t="s">
        <v>1038</v>
      </c>
      <c r="O574" s="1032">
        <v>2021.0</v>
      </c>
      <c r="P574" s="1032" t="s">
        <v>1039</v>
      </c>
      <c r="Q574" s="1033" t="s">
        <v>63</v>
      </c>
      <c r="R574" s="1034">
        <v>469.8973494</v>
      </c>
      <c r="S574" s="1034">
        <v>217.0326662</v>
      </c>
      <c r="T574" s="1035">
        <v>787.9362474</v>
      </c>
      <c r="AB574" s="1045"/>
      <c r="AF574" s="225"/>
    </row>
    <row r="575">
      <c r="A575" s="1013"/>
      <c r="B575" s="1019" t="s">
        <v>146</v>
      </c>
      <c r="C575" s="1020" t="s">
        <v>1035</v>
      </c>
      <c r="D575" s="1020" t="s">
        <v>1045</v>
      </c>
      <c r="E575" s="1020" t="s">
        <v>581</v>
      </c>
      <c r="F575" s="1020">
        <v>2021.0</v>
      </c>
      <c r="G575" s="1021">
        <v>0.007272124</v>
      </c>
      <c r="H575" s="1021">
        <v>0.004779477</v>
      </c>
      <c r="I575" s="1022">
        <v>0.010296035</v>
      </c>
      <c r="K575" s="1031" t="s">
        <v>123</v>
      </c>
      <c r="L575" s="1032" t="s">
        <v>581</v>
      </c>
      <c r="M575" s="1032" t="s">
        <v>1035</v>
      </c>
      <c r="N575" s="1032" t="s">
        <v>1042</v>
      </c>
      <c r="O575" s="1032">
        <v>2021.0</v>
      </c>
      <c r="P575" s="1032" t="s">
        <v>1039</v>
      </c>
      <c r="Q575" s="1033" t="s">
        <v>63</v>
      </c>
      <c r="R575" s="1034">
        <v>273.658547</v>
      </c>
      <c r="S575" s="1034">
        <v>179.154869</v>
      </c>
      <c r="T575" s="1035">
        <v>411.4635371</v>
      </c>
      <c r="AB575" s="1045"/>
      <c r="AF575" s="225"/>
    </row>
    <row r="576">
      <c r="A576" s="1013"/>
      <c r="B576" s="1019" t="s">
        <v>147</v>
      </c>
      <c r="C576" s="1020" t="s">
        <v>1035</v>
      </c>
      <c r="D576" s="1020" t="s">
        <v>1036</v>
      </c>
      <c r="E576" s="1020" t="s">
        <v>581</v>
      </c>
      <c r="F576" s="1020">
        <v>2021.0</v>
      </c>
      <c r="G576" s="1021">
        <v>0.001965618</v>
      </c>
      <c r="H576" s="1021">
        <v>0.001181101</v>
      </c>
      <c r="I576" s="1022">
        <v>0.003123507</v>
      </c>
      <c r="K576" s="1031" t="s">
        <v>123</v>
      </c>
      <c r="L576" s="1032" t="s">
        <v>581</v>
      </c>
      <c r="M576" s="1032" t="s">
        <v>1035</v>
      </c>
      <c r="N576" s="1032" t="s">
        <v>1044</v>
      </c>
      <c r="O576" s="1032">
        <v>2021.0</v>
      </c>
      <c r="P576" s="1032" t="s">
        <v>1039</v>
      </c>
      <c r="Q576" s="1033" t="s">
        <v>63</v>
      </c>
      <c r="R576" s="1034">
        <v>95.28330604</v>
      </c>
      <c r="S576" s="1034">
        <v>46.744491</v>
      </c>
      <c r="T576" s="1035">
        <v>155.5266598</v>
      </c>
      <c r="AB576" s="1045"/>
      <c r="AF576" s="225"/>
    </row>
    <row r="577">
      <c r="A577" s="1013"/>
      <c r="B577" s="1019" t="s">
        <v>147</v>
      </c>
      <c r="C577" s="1020" t="s">
        <v>1035</v>
      </c>
      <c r="D577" s="1020" t="s">
        <v>1041</v>
      </c>
      <c r="E577" s="1020" t="s">
        <v>581</v>
      </c>
      <c r="F577" s="1020">
        <v>2021.0</v>
      </c>
      <c r="G577" s="1021">
        <v>0.018137271</v>
      </c>
      <c r="H577" s="1021">
        <v>0.012458718</v>
      </c>
      <c r="I577" s="1022">
        <v>0.025766624</v>
      </c>
      <c r="K577" s="1031" t="s">
        <v>123</v>
      </c>
      <c r="L577" s="1032" t="s">
        <v>581</v>
      </c>
      <c r="M577" s="1032" t="s">
        <v>1035</v>
      </c>
      <c r="N577" s="1032" t="s">
        <v>1046</v>
      </c>
      <c r="O577" s="1032">
        <v>2021.0</v>
      </c>
      <c r="P577" s="1032" t="s">
        <v>1039</v>
      </c>
      <c r="Q577" s="1033" t="s">
        <v>63</v>
      </c>
      <c r="R577" s="1034">
        <v>364.0901675</v>
      </c>
      <c r="S577" s="1034">
        <v>180.0766472</v>
      </c>
      <c r="T577" s="1035">
        <v>582.7711568</v>
      </c>
      <c r="AB577" s="1045"/>
      <c r="AF577" s="225"/>
    </row>
    <row r="578">
      <c r="A578" s="1013"/>
      <c r="B578" s="1019" t="s">
        <v>147</v>
      </c>
      <c r="C578" s="1020" t="s">
        <v>1035</v>
      </c>
      <c r="D578" s="1020" t="s">
        <v>1043</v>
      </c>
      <c r="E578" s="1020" t="s">
        <v>581</v>
      </c>
      <c r="F578" s="1020">
        <v>2021.0</v>
      </c>
      <c r="G578" s="1021">
        <v>5.80734E-4</v>
      </c>
      <c r="H578" s="1021">
        <v>3.02362E-4</v>
      </c>
      <c r="I578" s="1022">
        <v>9.28366E-4</v>
      </c>
      <c r="K578" s="1031" t="s">
        <v>123</v>
      </c>
      <c r="L578" s="1032" t="s">
        <v>581</v>
      </c>
      <c r="M578" s="1032" t="s">
        <v>1035</v>
      </c>
      <c r="N578" s="1032" t="s">
        <v>1045</v>
      </c>
      <c r="O578" s="1032">
        <v>2021.0</v>
      </c>
      <c r="P578" s="1032" t="s">
        <v>1039</v>
      </c>
      <c r="Q578" s="1033" t="s">
        <v>63</v>
      </c>
      <c r="R578" s="1034">
        <v>1202.92937</v>
      </c>
      <c r="S578" s="1034">
        <v>703.4995163</v>
      </c>
      <c r="T578" s="1035">
        <v>1815.780009</v>
      </c>
      <c r="AB578" s="1045"/>
      <c r="AF578" s="225"/>
    </row>
    <row r="579">
      <c r="A579" s="1013"/>
      <c r="B579" s="1019" t="s">
        <v>147</v>
      </c>
      <c r="C579" s="1020" t="s">
        <v>1035</v>
      </c>
      <c r="D579" s="1020" t="s">
        <v>1045</v>
      </c>
      <c r="E579" s="1020" t="s">
        <v>581</v>
      </c>
      <c r="F579" s="1020">
        <v>2021.0</v>
      </c>
      <c r="G579" s="1021">
        <v>0.00799731</v>
      </c>
      <c r="H579" s="1021">
        <v>0.004921797</v>
      </c>
      <c r="I579" s="1022">
        <v>0.011441223</v>
      </c>
      <c r="K579" s="1031" t="s">
        <v>124</v>
      </c>
      <c r="L579" s="1032" t="s">
        <v>581</v>
      </c>
      <c r="M579" s="1032" t="s">
        <v>1035</v>
      </c>
      <c r="N579" s="1032" t="s">
        <v>1038</v>
      </c>
      <c r="O579" s="1032">
        <v>2021.0</v>
      </c>
      <c r="P579" s="1032" t="s">
        <v>1039</v>
      </c>
      <c r="Q579" s="1033" t="s">
        <v>63</v>
      </c>
      <c r="R579" s="1034">
        <v>881.8721742</v>
      </c>
      <c r="S579" s="1034">
        <v>463.4960651</v>
      </c>
      <c r="T579" s="1035">
        <v>1381.508428</v>
      </c>
      <c r="AB579" s="1045"/>
      <c r="AF579" s="225"/>
    </row>
    <row r="580">
      <c r="A580" s="1013"/>
      <c r="B580" s="1019" t="s">
        <v>148</v>
      </c>
      <c r="C580" s="1020" t="s">
        <v>1035</v>
      </c>
      <c r="D580" s="1020" t="s">
        <v>1036</v>
      </c>
      <c r="E580" s="1020" t="s">
        <v>581</v>
      </c>
      <c r="F580" s="1020">
        <v>2021.0</v>
      </c>
      <c r="G580" s="1021">
        <v>0.001386363</v>
      </c>
      <c r="H580" s="1021">
        <v>6.7614E-4</v>
      </c>
      <c r="I580" s="1022">
        <v>0.002423469</v>
      </c>
      <c r="K580" s="1031" t="s">
        <v>124</v>
      </c>
      <c r="L580" s="1032" t="s">
        <v>581</v>
      </c>
      <c r="M580" s="1032" t="s">
        <v>1035</v>
      </c>
      <c r="N580" s="1032" t="s">
        <v>1042</v>
      </c>
      <c r="O580" s="1032">
        <v>2021.0</v>
      </c>
      <c r="P580" s="1032" t="s">
        <v>1039</v>
      </c>
      <c r="Q580" s="1033" t="s">
        <v>63</v>
      </c>
      <c r="R580" s="1034">
        <v>319.0969645</v>
      </c>
      <c r="S580" s="1034">
        <v>199.8206349</v>
      </c>
      <c r="T580" s="1035">
        <v>479.8094892</v>
      </c>
      <c r="AB580" s="1045"/>
      <c r="AF580" s="225"/>
    </row>
    <row r="581">
      <c r="A581" s="1013"/>
      <c r="B581" s="1019" t="s">
        <v>148</v>
      </c>
      <c r="C581" s="1020" t="s">
        <v>1035</v>
      </c>
      <c r="D581" s="1020" t="s">
        <v>1041</v>
      </c>
      <c r="E581" s="1020" t="s">
        <v>581</v>
      </c>
      <c r="F581" s="1020">
        <v>2021.0</v>
      </c>
      <c r="G581" s="1021">
        <v>0.014733298</v>
      </c>
      <c r="H581" s="1021">
        <v>0.009130292</v>
      </c>
      <c r="I581" s="1022">
        <v>0.022829228</v>
      </c>
      <c r="K581" s="1031" t="s">
        <v>124</v>
      </c>
      <c r="L581" s="1032" t="s">
        <v>581</v>
      </c>
      <c r="M581" s="1032" t="s">
        <v>1035</v>
      </c>
      <c r="N581" s="1032" t="s">
        <v>1044</v>
      </c>
      <c r="O581" s="1032">
        <v>2021.0</v>
      </c>
      <c r="P581" s="1032" t="s">
        <v>1039</v>
      </c>
      <c r="Q581" s="1033" t="s">
        <v>63</v>
      </c>
      <c r="R581" s="1034">
        <v>157.2835257</v>
      </c>
      <c r="S581" s="1034">
        <v>102.9401304</v>
      </c>
      <c r="T581" s="1035">
        <v>230.4339795</v>
      </c>
      <c r="AB581" s="1045"/>
      <c r="AF581" s="225"/>
    </row>
    <row r="582">
      <c r="A582" s="1013"/>
      <c r="B582" s="1019" t="s">
        <v>148</v>
      </c>
      <c r="C582" s="1020" t="s">
        <v>1035</v>
      </c>
      <c r="D582" s="1020" t="s">
        <v>1043</v>
      </c>
      <c r="E582" s="1020" t="s">
        <v>581</v>
      </c>
      <c r="F582" s="1020">
        <v>2021.0</v>
      </c>
      <c r="G582" s="1021">
        <v>3.03436E-4</v>
      </c>
      <c r="H582" s="1021">
        <v>1.31492E-4</v>
      </c>
      <c r="I582" s="1022">
        <v>5.37979E-4</v>
      </c>
      <c r="K582" s="1031" t="s">
        <v>124</v>
      </c>
      <c r="L582" s="1032" t="s">
        <v>581</v>
      </c>
      <c r="M582" s="1032" t="s">
        <v>1035</v>
      </c>
      <c r="N582" s="1032" t="s">
        <v>1046</v>
      </c>
      <c r="O582" s="1032">
        <v>2021.0</v>
      </c>
      <c r="P582" s="1032" t="s">
        <v>1039</v>
      </c>
      <c r="Q582" s="1033" t="s">
        <v>63</v>
      </c>
      <c r="R582" s="1034">
        <v>653.9849214</v>
      </c>
      <c r="S582" s="1034">
        <v>405.0705385</v>
      </c>
      <c r="T582" s="1035">
        <v>996.8651094</v>
      </c>
      <c r="AB582" s="1045"/>
      <c r="AF582" s="225"/>
    </row>
    <row r="583">
      <c r="A583" s="1013"/>
      <c r="B583" s="1019" t="s">
        <v>148</v>
      </c>
      <c r="C583" s="1020" t="s">
        <v>1035</v>
      </c>
      <c r="D583" s="1020" t="s">
        <v>1045</v>
      </c>
      <c r="E583" s="1020" t="s">
        <v>581</v>
      </c>
      <c r="F583" s="1020">
        <v>2021.0</v>
      </c>
      <c r="G583" s="1021">
        <v>0.004606194</v>
      </c>
      <c r="H583" s="1021">
        <v>0.002887882</v>
      </c>
      <c r="I583" s="1022">
        <v>0.006537817</v>
      </c>
      <c r="K583" s="1031" t="s">
        <v>124</v>
      </c>
      <c r="L583" s="1032" t="s">
        <v>581</v>
      </c>
      <c r="M583" s="1032" t="s">
        <v>1035</v>
      </c>
      <c r="N583" s="1032" t="s">
        <v>1045</v>
      </c>
      <c r="O583" s="1032">
        <v>2021.0</v>
      </c>
      <c r="P583" s="1032" t="s">
        <v>1039</v>
      </c>
      <c r="Q583" s="1033" t="s">
        <v>63</v>
      </c>
      <c r="R583" s="1034">
        <v>2012.237586</v>
      </c>
      <c r="S583" s="1034">
        <v>1298.32442</v>
      </c>
      <c r="T583" s="1035">
        <v>2938.3333</v>
      </c>
      <c r="AB583" s="1045"/>
      <c r="AF583" s="225"/>
    </row>
    <row r="584">
      <c r="A584" s="1013"/>
      <c r="B584" s="1019" t="s">
        <v>149</v>
      </c>
      <c r="C584" s="1020" t="s">
        <v>1035</v>
      </c>
      <c r="D584" s="1020" t="s">
        <v>1036</v>
      </c>
      <c r="E584" s="1020" t="s">
        <v>581</v>
      </c>
      <c r="F584" s="1020">
        <v>2021.0</v>
      </c>
      <c r="G584" s="1021">
        <v>0.001585732</v>
      </c>
      <c r="H584" s="1021">
        <v>9.0774E-4</v>
      </c>
      <c r="I584" s="1022">
        <v>0.002504304</v>
      </c>
      <c r="K584" s="1031" t="s">
        <v>125</v>
      </c>
      <c r="L584" s="1032" t="s">
        <v>581</v>
      </c>
      <c r="M584" s="1032" t="s">
        <v>1035</v>
      </c>
      <c r="N584" s="1032" t="s">
        <v>1038</v>
      </c>
      <c r="O584" s="1032">
        <v>2021.0</v>
      </c>
      <c r="P584" s="1032" t="s">
        <v>1039</v>
      </c>
      <c r="Q584" s="1033" t="s">
        <v>63</v>
      </c>
      <c r="R584" s="1034">
        <v>125.466506</v>
      </c>
      <c r="S584" s="1034">
        <v>55.75657551</v>
      </c>
      <c r="T584" s="1035">
        <v>214.8773764</v>
      </c>
      <c r="AB584" s="1045"/>
      <c r="AF584" s="225"/>
    </row>
    <row r="585">
      <c r="A585" s="1013"/>
      <c r="B585" s="1019" t="s">
        <v>149</v>
      </c>
      <c r="C585" s="1020" t="s">
        <v>1035</v>
      </c>
      <c r="D585" s="1020" t="s">
        <v>1041</v>
      </c>
      <c r="E585" s="1020" t="s">
        <v>581</v>
      </c>
      <c r="F585" s="1020">
        <v>2021.0</v>
      </c>
      <c r="G585" s="1021">
        <v>0.014182152</v>
      </c>
      <c r="H585" s="1021">
        <v>0.009523543</v>
      </c>
      <c r="I585" s="1022">
        <v>0.020524004</v>
      </c>
      <c r="K585" s="1031" t="s">
        <v>125</v>
      </c>
      <c r="L585" s="1032" t="s">
        <v>581</v>
      </c>
      <c r="M585" s="1032" t="s">
        <v>1035</v>
      </c>
      <c r="N585" s="1032" t="s">
        <v>1042</v>
      </c>
      <c r="O585" s="1032">
        <v>2021.0</v>
      </c>
      <c r="P585" s="1032" t="s">
        <v>1039</v>
      </c>
      <c r="Q585" s="1033" t="s">
        <v>63</v>
      </c>
      <c r="R585" s="1034">
        <v>99.18373242</v>
      </c>
      <c r="S585" s="1034">
        <v>63.6589342</v>
      </c>
      <c r="T585" s="1035">
        <v>150.2852103</v>
      </c>
      <c r="AB585" s="1045"/>
      <c r="AF585" s="225"/>
    </row>
    <row r="586">
      <c r="A586" s="1013"/>
      <c r="B586" s="1019" t="s">
        <v>149</v>
      </c>
      <c r="C586" s="1020" t="s">
        <v>1035</v>
      </c>
      <c r="D586" s="1020" t="s">
        <v>1043</v>
      </c>
      <c r="E586" s="1020" t="s">
        <v>581</v>
      </c>
      <c r="F586" s="1020">
        <v>2021.0</v>
      </c>
      <c r="G586" s="1021">
        <v>2.94241E-4</v>
      </c>
      <c r="H586" s="1021">
        <v>1.54746E-4</v>
      </c>
      <c r="I586" s="1022">
        <v>4.80274E-4</v>
      </c>
      <c r="K586" s="1031" t="s">
        <v>125</v>
      </c>
      <c r="L586" s="1032" t="s">
        <v>581</v>
      </c>
      <c r="M586" s="1032" t="s">
        <v>1035</v>
      </c>
      <c r="N586" s="1032" t="s">
        <v>1044</v>
      </c>
      <c r="O586" s="1032">
        <v>2021.0</v>
      </c>
      <c r="P586" s="1032" t="s">
        <v>1039</v>
      </c>
      <c r="Q586" s="1033" t="s">
        <v>63</v>
      </c>
      <c r="R586" s="1034">
        <v>45.35458905</v>
      </c>
      <c r="S586" s="1034">
        <v>24.36355428</v>
      </c>
      <c r="T586" s="1035">
        <v>68.64134096</v>
      </c>
      <c r="AB586" s="1045"/>
      <c r="AF586" s="225"/>
    </row>
    <row r="587">
      <c r="A587" s="1013"/>
      <c r="B587" s="1019" t="s">
        <v>149</v>
      </c>
      <c r="C587" s="1020" t="s">
        <v>1035</v>
      </c>
      <c r="D587" s="1020" t="s">
        <v>1045</v>
      </c>
      <c r="E587" s="1020" t="s">
        <v>581</v>
      </c>
      <c r="F587" s="1020">
        <v>2021.0</v>
      </c>
      <c r="G587" s="1021">
        <v>0.004597797</v>
      </c>
      <c r="H587" s="1021">
        <v>0.002917486</v>
      </c>
      <c r="I587" s="1022">
        <v>0.007016642</v>
      </c>
      <c r="K587" s="1031" t="s">
        <v>125</v>
      </c>
      <c r="L587" s="1032" t="s">
        <v>581</v>
      </c>
      <c r="M587" s="1032" t="s">
        <v>1035</v>
      </c>
      <c r="N587" s="1032" t="s">
        <v>1046</v>
      </c>
      <c r="O587" s="1032">
        <v>2021.0</v>
      </c>
      <c r="P587" s="1032" t="s">
        <v>1039</v>
      </c>
      <c r="Q587" s="1033" t="s">
        <v>63</v>
      </c>
      <c r="R587" s="1034">
        <v>108.8095805</v>
      </c>
      <c r="S587" s="1034">
        <v>55.81179735</v>
      </c>
      <c r="T587" s="1035">
        <v>172.6154789</v>
      </c>
      <c r="AB587" s="1045"/>
      <c r="AF587" s="225"/>
    </row>
    <row r="588">
      <c r="A588" s="1013"/>
      <c r="B588" s="1019" t="s">
        <v>150</v>
      </c>
      <c r="C588" s="1020" t="s">
        <v>1035</v>
      </c>
      <c r="D588" s="1020" t="s">
        <v>1036</v>
      </c>
      <c r="E588" s="1020" t="s">
        <v>581</v>
      </c>
      <c r="F588" s="1020">
        <v>2021.0</v>
      </c>
      <c r="G588" s="1021">
        <v>0.002490513</v>
      </c>
      <c r="H588" s="1021">
        <v>0.001475644</v>
      </c>
      <c r="I588" s="1022">
        <v>0.003969531</v>
      </c>
      <c r="K588" s="1031" t="s">
        <v>125</v>
      </c>
      <c r="L588" s="1032" t="s">
        <v>581</v>
      </c>
      <c r="M588" s="1032" t="s">
        <v>1035</v>
      </c>
      <c r="N588" s="1032" t="s">
        <v>1045</v>
      </c>
      <c r="O588" s="1032">
        <v>2021.0</v>
      </c>
      <c r="P588" s="1032" t="s">
        <v>1039</v>
      </c>
      <c r="Q588" s="1033" t="s">
        <v>63</v>
      </c>
      <c r="R588" s="1034">
        <v>378.814408</v>
      </c>
      <c r="S588" s="1034">
        <v>225.1128928</v>
      </c>
      <c r="T588" s="1035">
        <v>566.5081853</v>
      </c>
      <c r="AB588" s="1045"/>
      <c r="AF588" s="225"/>
    </row>
    <row r="589">
      <c r="A589" s="1013"/>
      <c r="B589" s="1019" t="s">
        <v>150</v>
      </c>
      <c r="C589" s="1020" t="s">
        <v>1035</v>
      </c>
      <c r="D589" s="1020" t="s">
        <v>1041</v>
      </c>
      <c r="E589" s="1020" t="s">
        <v>581</v>
      </c>
      <c r="F589" s="1020">
        <v>2021.0</v>
      </c>
      <c r="G589" s="1021">
        <v>0.015807042</v>
      </c>
      <c r="H589" s="1021">
        <v>0.010446177</v>
      </c>
      <c r="I589" s="1022">
        <v>0.022941928</v>
      </c>
      <c r="K589" s="1031" t="s">
        <v>126</v>
      </c>
      <c r="L589" s="1032" t="s">
        <v>581</v>
      </c>
      <c r="M589" s="1032" t="s">
        <v>1035</v>
      </c>
      <c r="N589" s="1032" t="s">
        <v>1038</v>
      </c>
      <c r="O589" s="1032">
        <v>2021.0</v>
      </c>
      <c r="P589" s="1032" t="s">
        <v>1039</v>
      </c>
      <c r="Q589" s="1033" t="s">
        <v>63</v>
      </c>
      <c r="R589" s="1034">
        <v>439.5359567</v>
      </c>
      <c r="S589" s="1034">
        <v>176.2850383</v>
      </c>
      <c r="T589" s="1035">
        <v>753.8038956</v>
      </c>
      <c r="AB589" s="1045"/>
      <c r="AF589" s="225"/>
    </row>
    <row r="590">
      <c r="A590" s="1013"/>
      <c r="B590" s="1019" t="s">
        <v>150</v>
      </c>
      <c r="C590" s="1020" t="s">
        <v>1035</v>
      </c>
      <c r="D590" s="1020" t="s">
        <v>1043</v>
      </c>
      <c r="E590" s="1020" t="s">
        <v>581</v>
      </c>
      <c r="F590" s="1020">
        <v>2021.0</v>
      </c>
      <c r="G590" s="1021">
        <v>6.8802E-4</v>
      </c>
      <c r="H590" s="1021">
        <v>3.7813E-4</v>
      </c>
      <c r="I590" s="1022">
        <v>0.001044749</v>
      </c>
      <c r="K590" s="1031" t="s">
        <v>126</v>
      </c>
      <c r="L590" s="1032" t="s">
        <v>581</v>
      </c>
      <c r="M590" s="1032" t="s">
        <v>1035</v>
      </c>
      <c r="N590" s="1032" t="s">
        <v>1042</v>
      </c>
      <c r="O590" s="1032">
        <v>2021.0</v>
      </c>
      <c r="P590" s="1032" t="s">
        <v>1039</v>
      </c>
      <c r="Q590" s="1033" t="s">
        <v>63</v>
      </c>
      <c r="R590" s="1034">
        <v>357.6860169</v>
      </c>
      <c r="S590" s="1034">
        <v>224.4116952</v>
      </c>
      <c r="T590" s="1035">
        <v>552.4406785</v>
      </c>
      <c r="AB590" s="1045"/>
      <c r="AF590" s="225"/>
    </row>
    <row r="591">
      <c r="A591" s="1013"/>
      <c r="B591" s="1019" t="s">
        <v>150</v>
      </c>
      <c r="C591" s="1020" t="s">
        <v>1035</v>
      </c>
      <c r="D591" s="1020" t="s">
        <v>1045</v>
      </c>
      <c r="E591" s="1020" t="s">
        <v>581</v>
      </c>
      <c r="F591" s="1020">
        <v>2021.0</v>
      </c>
      <c r="G591" s="1021">
        <v>0.008021461</v>
      </c>
      <c r="H591" s="1021">
        <v>0.005025447</v>
      </c>
      <c r="I591" s="1022">
        <v>0.011271751</v>
      </c>
      <c r="K591" s="1031" t="s">
        <v>126</v>
      </c>
      <c r="L591" s="1032" t="s">
        <v>581</v>
      </c>
      <c r="M591" s="1032" t="s">
        <v>1035</v>
      </c>
      <c r="N591" s="1032" t="s">
        <v>1044</v>
      </c>
      <c r="O591" s="1032">
        <v>2021.0</v>
      </c>
      <c r="P591" s="1032" t="s">
        <v>1039</v>
      </c>
      <c r="Q591" s="1033" t="s">
        <v>63</v>
      </c>
      <c r="R591" s="1034">
        <v>150.8925561</v>
      </c>
      <c r="S591" s="1034">
        <v>82.4710398</v>
      </c>
      <c r="T591" s="1035">
        <v>227.771982</v>
      </c>
      <c r="AB591" s="1045"/>
      <c r="AF591" s="225"/>
    </row>
    <row r="592">
      <c r="A592" s="1013"/>
      <c r="B592" s="1019" t="s">
        <v>151</v>
      </c>
      <c r="C592" s="1020" t="s">
        <v>1035</v>
      </c>
      <c r="D592" s="1020" t="s">
        <v>1036</v>
      </c>
      <c r="E592" s="1020" t="s">
        <v>581</v>
      </c>
      <c r="F592" s="1020">
        <v>2021.0</v>
      </c>
      <c r="G592" s="1021">
        <v>0.00194264</v>
      </c>
      <c r="H592" s="1021">
        <v>0.001090031</v>
      </c>
      <c r="I592" s="1022">
        <v>0.003147766</v>
      </c>
      <c r="K592" s="1031" t="s">
        <v>126</v>
      </c>
      <c r="L592" s="1032" t="s">
        <v>581</v>
      </c>
      <c r="M592" s="1032" t="s">
        <v>1035</v>
      </c>
      <c r="N592" s="1032" t="s">
        <v>1046</v>
      </c>
      <c r="O592" s="1032">
        <v>2021.0</v>
      </c>
      <c r="P592" s="1032" t="s">
        <v>1039</v>
      </c>
      <c r="Q592" s="1033" t="s">
        <v>63</v>
      </c>
      <c r="R592" s="1034">
        <v>449.8875285</v>
      </c>
      <c r="S592" s="1034">
        <v>209.4078059</v>
      </c>
      <c r="T592" s="1035">
        <v>712.1367355</v>
      </c>
      <c r="AB592" s="1045"/>
      <c r="AF592" s="225"/>
    </row>
    <row r="593">
      <c r="A593" s="1013"/>
      <c r="B593" s="1019" t="s">
        <v>151</v>
      </c>
      <c r="C593" s="1020" t="s">
        <v>1035</v>
      </c>
      <c r="D593" s="1020" t="s">
        <v>1041</v>
      </c>
      <c r="E593" s="1020" t="s">
        <v>581</v>
      </c>
      <c r="F593" s="1020">
        <v>2021.0</v>
      </c>
      <c r="G593" s="1021">
        <v>0.015695869</v>
      </c>
      <c r="H593" s="1021">
        <v>0.010071826</v>
      </c>
      <c r="I593" s="1022">
        <v>0.022745608</v>
      </c>
      <c r="K593" s="1031" t="s">
        <v>126</v>
      </c>
      <c r="L593" s="1032" t="s">
        <v>581</v>
      </c>
      <c r="M593" s="1032" t="s">
        <v>1035</v>
      </c>
      <c r="N593" s="1032" t="s">
        <v>1045</v>
      </c>
      <c r="O593" s="1032">
        <v>2021.0</v>
      </c>
      <c r="P593" s="1032" t="s">
        <v>1039</v>
      </c>
      <c r="Q593" s="1033" t="s">
        <v>63</v>
      </c>
      <c r="R593" s="1034">
        <v>1398.002058</v>
      </c>
      <c r="S593" s="1034">
        <v>788.8460097</v>
      </c>
      <c r="T593" s="1035">
        <v>2131.299617</v>
      </c>
      <c r="AB593" s="1045"/>
      <c r="AF593" s="225"/>
    </row>
    <row r="594">
      <c r="A594" s="1013"/>
      <c r="B594" s="1019" t="s">
        <v>151</v>
      </c>
      <c r="C594" s="1020" t="s">
        <v>1035</v>
      </c>
      <c r="D594" s="1020" t="s">
        <v>1043</v>
      </c>
      <c r="E594" s="1020" t="s">
        <v>581</v>
      </c>
      <c r="F594" s="1020">
        <v>2021.0</v>
      </c>
      <c r="G594" s="1021">
        <v>5.23182E-4</v>
      </c>
      <c r="H594" s="1021">
        <v>2.43037E-4</v>
      </c>
      <c r="I594" s="1022">
        <v>9.1181E-4</v>
      </c>
      <c r="K594" s="1031" t="s">
        <v>114</v>
      </c>
      <c r="L594" s="1032" t="s">
        <v>581</v>
      </c>
      <c r="M594" s="1032" t="s">
        <v>1035</v>
      </c>
      <c r="N594" s="1032" t="s">
        <v>1038</v>
      </c>
      <c r="O594" s="1032">
        <v>2021.0</v>
      </c>
      <c r="P594" s="1032" t="s">
        <v>1039</v>
      </c>
      <c r="Q594" s="1033" t="s">
        <v>63</v>
      </c>
      <c r="R594" s="1034">
        <v>3872.478051</v>
      </c>
      <c r="S594" s="1034">
        <v>2292.357343</v>
      </c>
      <c r="T594" s="1035">
        <v>6244.594533</v>
      </c>
      <c r="AB594" s="1045"/>
      <c r="AF594" s="225"/>
    </row>
    <row r="595">
      <c r="A595" s="1013"/>
      <c r="B595" s="1019" t="s">
        <v>151</v>
      </c>
      <c r="C595" s="1020" t="s">
        <v>1035</v>
      </c>
      <c r="D595" s="1020" t="s">
        <v>1045</v>
      </c>
      <c r="E595" s="1020" t="s">
        <v>581</v>
      </c>
      <c r="F595" s="1020">
        <v>2021.0</v>
      </c>
      <c r="G595" s="1021">
        <v>0.00814551</v>
      </c>
      <c r="H595" s="1021">
        <v>0.004715164</v>
      </c>
      <c r="I595" s="1022">
        <v>0.012125614</v>
      </c>
      <c r="K595" s="1031" t="s">
        <v>114</v>
      </c>
      <c r="L595" s="1032" t="s">
        <v>581</v>
      </c>
      <c r="M595" s="1032" t="s">
        <v>1035</v>
      </c>
      <c r="N595" s="1032" t="s">
        <v>1042</v>
      </c>
      <c r="O595" s="1032">
        <v>2021.0</v>
      </c>
      <c r="P595" s="1032" t="s">
        <v>1039</v>
      </c>
      <c r="Q595" s="1033" t="s">
        <v>63</v>
      </c>
      <c r="R595" s="1034">
        <v>1061.467461</v>
      </c>
      <c r="S595" s="1034">
        <v>693.7281206</v>
      </c>
      <c r="T595" s="1035">
        <v>1584.231978</v>
      </c>
      <c r="AB595" s="1045"/>
      <c r="AF595" s="225"/>
    </row>
    <row r="596">
      <c r="A596" s="1013"/>
      <c r="B596" s="1019" t="s">
        <v>121</v>
      </c>
      <c r="C596" s="1020" t="s">
        <v>1035</v>
      </c>
      <c r="D596" s="1020" t="s">
        <v>1036</v>
      </c>
      <c r="E596" s="1020" t="s">
        <v>581</v>
      </c>
      <c r="F596" s="1020">
        <v>2021.0</v>
      </c>
      <c r="G596" s="1021">
        <v>0.003306589</v>
      </c>
      <c r="H596" s="1021">
        <v>0.002267549</v>
      </c>
      <c r="I596" s="1022">
        <v>0.004730945</v>
      </c>
      <c r="K596" s="1031" t="s">
        <v>114</v>
      </c>
      <c r="L596" s="1032" t="s">
        <v>581</v>
      </c>
      <c r="M596" s="1032" t="s">
        <v>1035</v>
      </c>
      <c r="N596" s="1032" t="s">
        <v>1044</v>
      </c>
      <c r="O596" s="1032">
        <v>2021.0</v>
      </c>
      <c r="P596" s="1032" t="s">
        <v>1039</v>
      </c>
      <c r="Q596" s="1033" t="s">
        <v>63</v>
      </c>
      <c r="R596" s="1034">
        <v>404.6041757</v>
      </c>
      <c r="S596" s="1034">
        <v>271.8767846</v>
      </c>
      <c r="T596" s="1035">
        <v>579.586645</v>
      </c>
      <c r="AB596" s="1045"/>
      <c r="AF596" s="225"/>
    </row>
    <row r="597">
      <c r="A597" s="1013"/>
      <c r="B597" s="1019" t="s">
        <v>121</v>
      </c>
      <c r="C597" s="1020" t="s">
        <v>1035</v>
      </c>
      <c r="D597" s="1020" t="s">
        <v>1041</v>
      </c>
      <c r="E597" s="1020" t="s">
        <v>581</v>
      </c>
      <c r="F597" s="1020">
        <v>2021.0</v>
      </c>
      <c r="G597" s="1021">
        <v>0.024150318</v>
      </c>
      <c r="H597" s="1021">
        <v>0.016795637</v>
      </c>
      <c r="I597" s="1022">
        <v>0.033532708</v>
      </c>
      <c r="K597" s="1031" t="s">
        <v>114</v>
      </c>
      <c r="L597" s="1032" t="s">
        <v>581</v>
      </c>
      <c r="M597" s="1032" t="s">
        <v>1035</v>
      </c>
      <c r="N597" s="1032" t="s">
        <v>1046</v>
      </c>
      <c r="O597" s="1032">
        <v>2021.0</v>
      </c>
      <c r="P597" s="1032" t="s">
        <v>1039</v>
      </c>
      <c r="Q597" s="1033" t="s">
        <v>63</v>
      </c>
      <c r="R597" s="1034">
        <v>1327.610749</v>
      </c>
      <c r="S597" s="1034">
        <v>862.5579461</v>
      </c>
      <c r="T597" s="1035">
        <v>1968.313834</v>
      </c>
      <c r="AB597" s="1045"/>
      <c r="AF597" s="225"/>
    </row>
    <row r="598">
      <c r="A598" s="1013"/>
      <c r="B598" s="1019" t="s">
        <v>121</v>
      </c>
      <c r="C598" s="1020" t="s">
        <v>1035</v>
      </c>
      <c r="D598" s="1020" t="s">
        <v>1043</v>
      </c>
      <c r="E598" s="1020" t="s">
        <v>581</v>
      </c>
      <c r="F598" s="1020">
        <v>2021.0</v>
      </c>
      <c r="G598" s="1021">
        <v>0.001487164</v>
      </c>
      <c r="H598" s="1021">
        <v>0.0010192</v>
      </c>
      <c r="I598" s="1022">
        <v>0.002069838</v>
      </c>
      <c r="K598" s="1031" t="s">
        <v>114</v>
      </c>
      <c r="L598" s="1032" t="s">
        <v>581</v>
      </c>
      <c r="M598" s="1032" t="s">
        <v>1035</v>
      </c>
      <c r="N598" s="1032" t="s">
        <v>1045</v>
      </c>
      <c r="O598" s="1032">
        <v>2021.0</v>
      </c>
      <c r="P598" s="1032" t="s">
        <v>1039</v>
      </c>
      <c r="Q598" s="1033" t="s">
        <v>63</v>
      </c>
      <c r="R598" s="1034">
        <v>6666.160437</v>
      </c>
      <c r="S598" s="1034">
        <v>4527.146912</v>
      </c>
      <c r="T598" s="1035">
        <v>9729.081382</v>
      </c>
      <c r="AB598" s="1045"/>
      <c r="AF598" s="225"/>
    </row>
    <row r="599">
      <c r="A599" s="1013"/>
      <c r="B599" s="1019" t="s">
        <v>121</v>
      </c>
      <c r="C599" s="1020" t="s">
        <v>1035</v>
      </c>
      <c r="D599" s="1020" t="s">
        <v>1045</v>
      </c>
      <c r="E599" s="1020" t="s">
        <v>581</v>
      </c>
      <c r="F599" s="1020">
        <v>2021.0</v>
      </c>
      <c r="G599" s="1021">
        <v>0.026957948</v>
      </c>
      <c r="H599" s="1021">
        <v>0.019238075</v>
      </c>
      <c r="I599" s="1022">
        <v>0.037788354</v>
      </c>
      <c r="K599" s="1031" t="s">
        <v>127</v>
      </c>
      <c r="L599" s="1032" t="s">
        <v>581</v>
      </c>
      <c r="M599" s="1032" t="s">
        <v>1035</v>
      </c>
      <c r="N599" s="1032" t="s">
        <v>1038</v>
      </c>
      <c r="O599" s="1032">
        <v>2021.0</v>
      </c>
      <c r="P599" s="1032" t="s">
        <v>1039</v>
      </c>
      <c r="Q599" s="1033" t="s">
        <v>63</v>
      </c>
      <c r="R599" s="1034">
        <v>71.19975193</v>
      </c>
      <c r="S599" s="1034">
        <v>33.61405239</v>
      </c>
      <c r="T599" s="1035">
        <v>117.0249658</v>
      </c>
      <c r="AB599" s="1045"/>
      <c r="AF599" s="225"/>
    </row>
    <row r="600">
      <c r="A600" s="1013"/>
      <c r="B600" s="1019" t="s">
        <v>152</v>
      </c>
      <c r="C600" s="1020" t="s">
        <v>1035</v>
      </c>
      <c r="D600" s="1020" t="s">
        <v>1036</v>
      </c>
      <c r="E600" s="1020" t="s">
        <v>581</v>
      </c>
      <c r="F600" s="1020">
        <v>2021.0</v>
      </c>
      <c r="G600" s="1021">
        <v>0.002746134</v>
      </c>
      <c r="H600" s="1021">
        <v>0.001752121</v>
      </c>
      <c r="I600" s="1022">
        <v>0.004164289</v>
      </c>
      <c r="K600" s="1031" t="s">
        <v>127</v>
      </c>
      <c r="L600" s="1032" t="s">
        <v>581</v>
      </c>
      <c r="M600" s="1032" t="s">
        <v>1035</v>
      </c>
      <c r="N600" s="1032" t="s">
        <v>1042</v>
      </c>
      <c r="O600" s="1032">
        <v>2021.0</v>
      </c>
      <c r="P600" s="1032" t="s">
        <v>1039</v>
      </c>
      <c r="Q600" s="1033" t="s">
        <v>63</v>
      </c>
      <c r="R600" s="1034">
        <v>33.50491455</v>
      </c>
      <c r="S600" s="1034">
        <v>21.12949253</v>
      </c>
      <c r="T600" s="1035">
        <v>50.82004291</v>
      </c>
      <c r="AB600" s="1045"/>
      <c r="AF600" s="225"/>
    </row>
    <row r="601">
      <c r="A601" s="1013"/>
      <c r="B601" s="1019" t="s">
        <v>152</v>
      </c>
      <c r="C601" s="1020" t="s">
        <v>1035</v>
      </c>
      <c r="D601" s="1020" t="s">
        <v>1041</v>
      </c>
      <c r="E601" s="1020" t="s">
        <v>581</v>
      </c>
      <c r="F601" s="1020">
        <v>2021.0</v>
      </c>
      <c r="G601" s="1021">
        <v>0.017242094</v>
      </c>
      <c r="H601" s="1021">
        <v>0.011630156</v>
      </c>
      <c r="I601" s="1022">
        <v>0.025187569</v>
      </c>
      <c r="K601" s="1031" t="s">
        <v>127</v>
      </c>
      <c r="L601" s="1032" t="s">
        <v>581</v>
      </c>
      <c r="M601" s="1032" t="s">
        <v>1035</v>
      </c>
      <c r="N601" s="1032" t="s">
        <v>1044</v>
      </c>
      <c r="O601" s="1032">
        <v>2021.0</v>
      </c>
      <c r="P601" s="1032" t="s">
        <v>1039</v>
      </c>
      <c r="Q601" s="1033" t="s">
        <v>63</v>
      </c>
      <c r="R601" s="1034">
        <v>14.62465335</v>
      </c>
      <c r="S601" s="1034">
        <v>8.290268549</v>
      </c>
      <c r="T601" s="1035">
        <v>21.74049692</v>
      </c>
      <c r="AB601" s="1045"/>
      <c r="AF601" s="225"/>
    </row>
    <row r="602">
      <c r="A602" s="1013"/>
      <c r="B602" s="1019" t="s">
        <v>152</v>
      </c>
      <c r="C602" s="1020" t="s">
        <v>1035</v>
      </c>
      <c r="D602" s="1020" t="s">
        <v>1043</v>
      </c>
      <c r="E602" s="1020" t="s">
        <v>581</v>
      </c>
      <c r="F602" s="1020">
        <v>2021.0</v>
      </c>
      <c r="G602" s="1021">
        <v>0.001213507</v>
      </c>
      <c r="H602" s="1021">
        <v>8.04539E-4</v>
      </c>
      <c r="I602" s="1022">
        <v>0.001745258</v>
      </c>
      <c r="K602" s="1031" t="s">
        <v>127</v>
      </c>
      <c r="L602" s="1032" t="s">
        <v>581</v>
      </c>
      <c r="M602" s="1032" t="s">
        <v>1035</v>
      </c>
      <c r="N602" s="1032" t="s">
        <v>1046</v>
      </c>
      <c r="O602" s="1032">
        <v>2021.0</v>
      </c>
      <c r="P602" s="1032" t="s">
        <v>1039</v>
      </c>
      <c r="Q602" s="1033" t="s">
        <v>63</v>
      </c>
      <c r="R602" s="1034">
        <v>40.46018239</v>
      </c>
      <c r="S602" s="1034">
        <v>20.85271725</v>
      </c>
      <c r="T602" s="1035">
        <v>62.17743977</v>
      </c>
      <c r="AB602" s="1045"/>
      <c r="AF602" s="225"/>
    </row>
    <row r="603">
      <c r="A603" s="1013"/>
      <c r="B603" s="1019" t="s">
        <v>152</v>
      </c>
      <c r="C603" s="1020" t="s">
        <v>1035</v>
      </c>
      <c r="D603" s="1020" t="s">
        <v>1045</v>
      </c>
      <c r="E603" s="1020" t="s">
        <v>581</v>
      </c>
      <c r="F603" s="1020">
        <v>2021.0</v>
      </c>
      <c r="G603" s="1021">
        <v>0.018515733</v>
      </c>
      <c r="H603" s="1021">
        <v>0.012547744</v>
      </c>
      <c r="I603" s="1022">
        <v>0.026486964</v>
      </c>
      <c r="K603" s="1031" t="s">
        <v>127</v>
      </c>
      <c r="L603" s="1032" t="s">
        <v>581</v>
      </c>
      <c r="M603" s="1032" t="s">
        <v>1035</v>
      </c>
      <c r="N603" s="1032" t="s">
        <v>1045</v>
      </c>
      <c r="O603" s="1032">
        <v>2021.0</v>
      </c>
      <c r="P603" s="1032" t="s">
        <v>1039</v>
      </c>
      <c r="Q603" s="1033" t="s">
        <v>63</v>
      </c>
      <c r="R603" s="1034">
        <v>159.7895022</v>
      </c>
      <c r="S603" s="1034">
        <v>91.41195205</v>
      </c>
      <c r="T603" s="1035">
        <v>236.3614929</v>
      </c>
      <c r="AB603" s="1045"/>
      <c r="AF603" s="225"/>
    </row>
    <row r="604">
      <c r="A604" s="1013"/>
      <c r="B604" s="1019" t="s">
        <v>153</v>
      </c>
      <c r="C604" s="1020" t="s">
        <v>1035</v>
      </c>
      <c r="D604" s="1020" t="s">
        <v>1036</v>
      </c>
      <c r="E604" s="1020" t="s">
        <v>581</v>
      </c>
      <c r="F604" s="1020">
        <v>2021.0</v>
      </c>
      <c r="G604" s="1021">
        <v>0.002595537</v>
      </c>
      <c r="H604" s="1021">
        <v>0.001721493</v>
      </c>
      <c r="I604" s="1022">
        <v>0.003783194</v>
      </c>
      <c r="K604" s="1031" t="s">
        <v>128</v>
      </c>
      <c r="L604" s="1032" t="s">
        <v>581</v>
      </c>
      <c r="M604" s="1032" t="s">
        <v>1035</v>
      </c>
      <c r="N604" s="1032" t="s">
        <v>1038</v>
      </c>
      <c r="O604" s="1032">
        <v>2021.0</v>
      </c>
      <c r="P604" s="1032" t="s">
        <v>1039</v>
      </c>
      <c r="Q604" s="1033" t="s">
        <v>63</v>
      </c>
      <c r="R604" s="1034">
        <v>852.3289207</v>
      </c>
      <c r="S604" s="1034">
        <v>407.3646422</v>
      </c>
      <c r="T604" s="1035">
        <v>1387.49285</v>
      </c>
      <c r="AB604" s="1045"/>
      <c r="AF604" s="225"/>
    </row>
    <row r="605">
      <c r="A605" s="1013"/>
      <c r="B605" s="1019" t="s">
        <v>153</v>
      </c>
      <c r="C605" s="1020" t="s">
        <v>1035</v>
      </c>
      <c r="D605" s="1020" t="s">
        <v>1041</v>
      </c>
      <c r="E605" s="1020" t="s">
        <v>581</v>
      </c>
      <c r="F605" s="1020">
        <v>2021.0</v>
      </c>
      <c r="G605" s="1021">
        <v>0.022438887</v>
      </c>
      <c r="H605" s="1021">
        <v>0.015273053</v>
      </c>
      <c r="I605" s="1022">
        <v>0.031721509</v>
      </c>
      <c r="K605" s="1031" t="s">
        <v>128</v>
      </c>
      <c r="L605" s="1032" t="s">
        <v>581</v>
      </c>
      <c r="M605" s="1032" t="s">
        <v>1035</v>
      </c>
      <c r="N605" s="1032" t="s">
        <v>1042</v>
      </c>
      <c r="O605" s="1032">
        <v>2021.0</v>
      </c>
      <c r="P605" s="1032" t="s">
        <v>1039</v>
      </c>
      <c r="Q605" s="1033" t="s">
        <v>63</v>
      </c>
      <c r="R605" s="1034">
        <v>886.0005902</v>
      </c>
      <c r="S605" s="1034">
        <v>575.134149</v>
      </c>
      <c r="T605" s="1035">
        <v>1337.615018</v>
      </c>
      <c r="AB605" s="1045"/>
      <c r="AF605" s="225"/>
    </row>
    <row r="606">
      <c r="A606" s="1013"/>
      <c r="B606" s="1019" t="s">
        <v>153</v>
      </c>
      <c r="C606" s="1020" t="s">
        <v>1035</v>
      </c>
      <c r="D606" s="1020" t="s">
        <v>1043</v>
      </c>
      <c r="E606" s="1020" t="s">
        <v>581</v>
      </c>
      <c r="F606" s="1020">
        <v>2021.0</v>
      </c>
      <c r="G606" s="1021">
        <v>9.21898E-4</v>
      </c>
      <c r="H606" s="1021">
        <v>6.29878E-4</v>
      </c>
      <c r="I606" s="1022">
        <v>0.001298621</v>
      </c>
      <c r="K606" s="1031" t="s">
        <v>128</v>
      </c>
      <c r="L606" s="1032" t="s">
        <v>581</v>
      </c>
      <c r="M606" s="1032" t="s">
        <v>1035</v>
      </c>
      <c r="N606" s="1032" t="s">
        <v>1044</v>
      </c>
      <c r="O606" s="1032">
        <v>2021.0</v>
      </c>
      <c r="P606" s="1032" t="s">
        <v>1039</v>
      </c>
      <c r="Q606" s="1033" t="s">
        <v>63</v>
      </c>
      <c r="R606" s="1034">
        <v>380.1906619</v>
      </c>
      <c r="S606" s="1034">
        <v>234.1780156</v>
      </c>
      <c r="T606" s="1035">
        <v>579.5592006</v>
      </c>
      <c r="AB606" s="1045"/>
      <c r="AF606" s="225"/>
    </row>
    <row r="607">
      <c r="A607" s="1013"/>
      <c r="B607" s="1019" t="s">
        <v>153</v>
      </c>
      <c r="C607" s="1020" t="s">
        <v>1035</v>
      </c>
      <c r="D607" s="1020" t="s">
        <v>1045</v>
      </c>
      <c r="E607" s="1020" t="s">
        <v>581</v>
      </c>
      <c r="F607" s="1020">
        <v>2021.0</v>
      </c>
      <c r="G607" s="1021">
        <v>0.013456401</v>
      </c>
      <c r="H607" s="1021">
        <v>0.009300864</v>
      </c>
      <c r="I607" s="1022">
        <v>0.018605843</v>
      </c>
      <c r="K607" s="1031" t="s">
        <v>128</v>
      </c>
      <c r="L607" s="1032" t="s">
        <v>581</v>
      </c>
      <c r="M607" s="1032" t="s">
        <v>1035</v>
      </c>
      <c r="N607" s="1032" t="s">
        <v>1046</v>
      </c>
      <c r="O607" s="1032">
        <v>2021.0</v>
      </c>
      <c r="P607" s="1032" t="s">
        <v>1039</v>
      </c>
      <c r="Q607" s="1033" t="s">
        <v>63</v>
      </c>
      <c r="R607" s="1034">
        <v>1212.312265</v>
      </c>
      <c r="S607" s="1034">
        <v>740.3687146</v>
      </c>
      <c r="T607" s="1035">
        <v>1842.449136</v>
      </c>
      <c r="AB607" s="1045"/>
      <c r="AF607" s="225"/>
    </row>
    <row r="608">
      <c r="A608" s="1013"/>
      <c r="B608" s="1019" t="s">
        <v>122</v>
      </c>
      <c r="C608" s="1020" t="s">
        <v>1035</v>
      </c>
      <c r="D608" s="1020" t="s">
        <v>1036</v>
      </c>
      <c r="E608" s="1020" t="s">
        <v>581</v>
      </c>
      <c r="F608" s="1020">
        <v>2021.0</v>
      </c>
      <c r="G608" s="1021">
        <v>0.002961165</v>
      </c>
      <c r="H608" s="1021">
        <v>0.001992275</v>
      </c>
      <c r="I608" s="1022">
        <v>0.004218954</v>
      </c>
      <c r="K608" s="1031" t="s">
        <v>128</v>
      </c>
      <c r="L608" s="1032" t="s">
        <v>581</v>
      </c>
      <c r="M608" s="1032" t="s">
        <v>1035</v>
      </c>
      <c r="N608" s="1032" t="s">
        <v>1045</v>
      </c>
      <c r="O608" s="1032">
        <v>2021.0</v>
      </c>
      <c r="P608" s="1032" t="s">
        <v>1039</v>
      </c>
      <c r="Q608" s="1033" t="s">
        <v>63</v>
      </c>
      <c r="R608" s="1034">
        <v>3330.832438</v>
      </c>
      <c r="S608" s="1034">
        <v>2258.136517</v>
      </c>
      <c r="T608" s="1035">
        <v>4753.769675</v>
      </c>
      <c r="AB608" s="1045"/>
      <c r="AF608" s="225"/>
    </row>
    <row r="609">
      <c r="A609" s="1013"/>
      <c r="B609" s="1019" t="s">
        <v>122</v>
      </c>
      <c r="C609" s="1020" t="s">
        <v>1035</v>
      </c>
      <c r="D609" s="1020" t="s">
        <v>1041</v>
      </c>
      <c r="E609" s="1020" t="s">
        <v>581</v>
      </c>
      <c r="F609" s="1020">
        <v>2021.0</v>
      </c>
      <c r="G609" s="1021">
        <v>0.029711508</v>
      </c>
      <c r="H609" s="1021">
        <v>0.021118177</v>
      </c>
      <c r="I609" s="1022">
        <v>0.040856327</v>
      </c>
      <c r="K609" s="1031" t="s">
        <v>129</v>
      </c>
      <c r="L609" s="1032" t="s">
        <v>581</v>
      </c>
      <c r="M609" s="1032" t="s">
        <v>1035</v>
      </c>
      <c r="N609" s="1032" t="s">
        <v>1038</v>
      </c>
      <c r="O609" s="1032">
        <v>2021.0</v>
      </c>
      <c r="P609" s="1032" t="s">
        <v>1039</v>
      </c>
      <c r="Q609" s="1033" t="s">
        <v>63</v>
      </c>
      <c r="R609" s="1034">
        <v>436.9998201</v>
      </c>
      <c r="S609" s="1034">
        <v>210.0899214</v>
      </c>
      <c r="T609" s="1035">
        <v>691.0850888</v>
      </c>
      <c r="AB609" s="1045"/>
      <c r="AF609" s="225"/>
    </row>
    <row r="610">
      <c r="A610" s="1013"/>
      <c r="B610" s="1019" t="s">
        <v>122</v>
      </c>
      <c r="C610" s="1020" t="s">
        <v>1035</v>
      </c>
      <c r="D610" s="1020" t="s">
        <v>1043</v>
      </c>
      <c r="E610" s="1020" t="s">
        <v>581</v>
      </c>
      <c r="F610" s="1020">
        <v>2021.0</v>
      </c>
      <c r="G610" s="1021">
        <v>0.001579396</v>
      </c>
      <c r="H610" s="1021">
        <v>0.001082278</v>
      </c>
      <c r="I610" s="1022">
        <v>0.002147014</v>
      </c>
      <c r="K610" s="1031" t="s">
        <v>129</v>
      </c>
      <c r="L610" s="1032" t="s">
        <v>581</v>
      </c>
      <c r="M610" s="1032" t="s">
        <v>1035</v>
      </c>
      <c r="N610" s="1032" t="s">
        <v>1042</v>
      </c>
      <c r="O610" s="1032">
        <v>2021.0</v>
      </c>
      <c r="P610" s="1032" t="s">
        <v>1039</v>
      </c>
      <c r="Q610" s="1033" t="s">
        <v>63</v>
      </c>
      <c r="R610" s="1034">
        <v>300.3458283</v>
      </c>
      <c r="S610" s="1034">
        <v>198.0186388</v>
      </c>
      <c r="T610" s="1035">
        <v>438.3677768</v>
      </c>
      <c r="AB610" s="1045"/>
      <c r="AF610" s="225"/>
    </row>
    <row r="611">
      <c r="A611" s="1013"/>
      <c r="B611" s="1019" t="s">
        <v>122</v>
      </c>
      <c r="C611" s="1020" t="s">
        <v>1035</v>
      </c>
      <c r="D611" s="1020" t="s">
        <v>1045</v>
      </c>
      <c r="E611" s="1020" t="s">
        <v>581</v>
      </c>
      <c r="F611" s="1020">
        <v>2021.0</v>
      </c>
      <c r="G611" s="1021">
        <v>0.021586078</v>
      </c>
      <c r="H611" s="1021">
        <v>0.015813124</v>
      </c>
      <c r="I611" s="1022">
        <v>0.030871126</v>
      </c>
      <c r="K611" s="1031" t="s">
        <v>129</v>
      </c>
      <c r="L611" s="1032" t="s">
        <v>581</v>
      </c>
      <c r="M611" s="1032" t="s">
        <v>1035</v>
      </c>
      <c r="N611" s="1032" t="s">
        <v>1044</v>
      </c>
      <c r="O611" s="1032">
        <v>2021.0</v>
      </c>
      <c r="P611" s="1032" t="s">
        <v>1039</v>
      </c>
      <c r="Q611" s="1033" t="s">
        <v>63</v>
      </c>
      <c r="R611" s="1034">
        <v>147.7294825</v>
      </c>
      <c r="S611" s="1034">
        <v>90.89254192</v>
      </c>
      <c r="T611" s="1035">
        <v>216.7823858</v>
      </c>
      <c r="AB611" s="1045"/>
      <c r="AF611" s="225"/>
    </row>
    <row r="612">
      <c r="A612" s="1013"/>
      <c r="B612" s="1019" t="s">
        <v>123</v>
      </c>
      <c r="C612" s="1020" t="s">
        <v>1035</v>
      </c>
      <c r="D612" s="1020" t="s">
        <v>1036</v>
      </c>
      <c r="E612" s="1020" t="s">
        <v>660</v>
      </c>
      <c r="F612" s="1020">
        <v>2021.0</v>
      </c>
      <c r="G612" s="1021">
        <v>5.71E-6</v>
      </c>
      <c r="H612" s="1021">
        <v>1.7E-6</v>
      </c>
      <c r="I612" s="1022">
        <v>1.23E-5</v>
      </c>
      <c r="K612" s="1031" t="s">
        <v>129</v>
      </c>
      <c r="L612" s="1032" t="s">
        <v>581</v>
      </c>
      <c r="M612" s="1032" t="s">
        <v>1035</v>
      </c>
      <c r="N612" s="1032" t="s">
        <v>1046</v>
      </c>
      <c r="O612" s="1032">
        <v>2021.0</v>
      </c>
      <c r="P612" s="1032" t="s">
        <v>1039</v>
      </c>
      <c r="Q612" s="1033" t="s">
        <v>63</v>
      </c>
      <c r="R612" s="1034">
        <v>324.1529071</v>
      </c>
      <c r="S612" s="1034">
        <v>183.8662189</v>
      </c>
      <c r="T612" s="1035">
        <v>503.0566292</v>
      </c>
      <c r="AB612" s="1045"/>
      <c r="AF612" s="225"/>
    </row>
    <row r="613">
      <c r="A613" s="1013"/>
      <c r="B613" s="1019" t="s">
        <v>123</v>
      </c>
      <c r="C613" s="1020" t="s">
        <v>1035</v>
      </c>
      <c r="D613" s="1020" t="s">
        <v>1041</v>
      </c>
      <c r="E613" s="1020" t="s">
        <v>660</v>
      </c>
      <c r="F613" s="1020">
        <v>2021.0</v>
      </c>
      <c r="G613" s="1021">
        <v>1.28E-6</v>
      </c>
      <c r="H613" s="1021">
        <v>5.12E-7</v>
      </c>
      <c r="I613" s="1022">
        <v>2.5E-6</v>
      </c>
      <c r="K613" s="1031" t="s">
        <v>129</v>
      </c>
      <c r="L613" s="1032" t="s">
        <v>581</v>
      </c>
      <c r="M613" s="1032" t="s">
        <v>1035</v>
      </c>
      <c r="N613" s="1032" t="s">
        <v>1045</v>
      </c>
      <c r="O613" s="1032">
        <v>2021.0</v>
      </c>
      <c r="P613" s="1032" t="s">
        <v>1039</v>
      </c>
      <c r="Q613" s="1033" t="s">
        <v>63</v>
      </c>
      <c r="R613" s="1034">
        <v>1209.228038</v>
      </c>
      <c r="S613" s="1034">
        <v>773.0254446</v>
      </c>
      <c r="T613" s="1035">
        <v>1716.514908</v>
      </c>
      <c r="AB613" s="1045"/>
      <c r="AF613" s="225"/>
    </row>
    <row r="614">
      <c r="A614" s="1013"/>
      <c r="B614" s="1019" t="s">
        <v>123</v>
      </c>
      <c r="C614" s="1020" t="s">
        <v>1035</v>
      </c>
      <c r="D614" s="1020" t="s">
        <v>1043</v>
      </c>
      <c r="E614" s="1020" t="s">
        <v>660</v>
      </c>
      <c r="F614" s="1020">
        <v>2021.0</v>
      </c>
      <c r="G614" s="1021">
        <v>2.44E-5</v>
      </c>
      <c r="H614" s="1021">
        <v>9.32E-6</v>
      </c>
      <c r="I614" s="1022">
        <v>4.91E-5</v>
      </c>
      <c r="K614" s="1031" t="s">
        <v>130</v>
      </c>
      <c r="L614" s="1032" t="s">
        <v>581</v>
      </c>
      <c r="M614" s="1032" t="s">
        <v>1035</v>
      </c>
      <c r="N614" s="1032" t="s">
        <v>1038</v>
      </c>
      <c r="O614" s="1032">
        <v>2021.0</v>
      </c>
      <c r="P614" s="1032" t="s">
        <v>1039</v>
      </c>
      <c r="Q614" s="1033" t="s">
        <v>63</v>
      </c>
      <c r="R614" s="1034">
        <v>137.3352442</v>
      </c>
      <c r="S614" s="1034">
        <v>67.1235937</v>
      </c>
      <c r="T614" s="1035">
        <v>219.2132748</v>
      </c>
      <c r="AB614" s="1045"/>
      <c r="AF614" s="225"/>
    </row>
    <row r="615">
      <c r="A615" s="1013"/>
      <c r="B615" s="1019" t="s">
        <v>123</v>
      </c>
      <c r="C615" s="1020" t="s">
        <v>1035</v>
      </c>
      <c r="D615" s="1020" t="s">
        <v>1045</v>
      </c>
      <c r="E615" s="1020" t="s">
        <v>660</v>
      </c>
      <c r="F615" s="1020">
        <v>2021.0</v>
      </c>
      <c r="G615" s="1021">
        <v>1.41832E-4</v>
      </c>
      <c r="H615" s="1021">
        <v>5.61E-5</v>
      </c>
      <c r="I615" s="1022">
        <v>2.77653E-4</v>
      </c>
      <c r="K615" s="1031" t="s">
        <v>130</v>
      </c>
      <c r="L615" s="1032" t="s">
        <v>581</v>
      </c>
      <c r="M615" s="1032" t="s">
        <v>1035</v>
      </c>
      <c r="N615" s="1032" t="s">
        <v>1042</v>
      </c>
      <c r="O615" s="1032">
        <v>2021.0</v>
      </c>
      <c r="P615" s="1032" t="s">
        <v>1039</v>
      </c>
      <c r="Q615" s="1033" t="s">
        <v>63</v>
      </c>
      <c r="R615" s="1034">
        <v>89.35648229</v>
      </c>
      <c r="S615" s="1034">
        <v>56.32567137</v>
      </c>
      <c r="T615" s="1035">
        <v>132.1687349</v>
      </c>
      <c r="AB615" s="1045"/>
      <c r="AF615" s="225"/>
    </row>
    <row r="616">
      <c r="A616" s="1013"/>
      <c r="B616" s="1019" t="s">
        <v>124</v>
      </c>
      <c r="C616" s="1020" t="s">
        <v>1035</v>
      </c>
      <c r="D616" s="1020" t="s">
        <v>1036</v>
      </c>
      <c r="E616" s="1020" t="s">
        <v>660</v>
      </c>
      <c r="F616" s="1020">
        <v>2021.0</v>
      </c>
      <c r="G616" s="1021">
        <v>1.86E-5</v>
      </c>
      <c r="H616" s="1021">
        <v>5.91E-6</v>
      </c>
      <c r="I616" s="1022">
        <v>3.51E-5</v>
      </c>
      <c r="K616" s="1031" t="s">
        <v>130</v>
      </c>
      <c r="L616" s="1032" t="s">
        <v>581</v>
      </c>
      <c r="M616" s="1032" t="s">
        <v>1035</v>
      </c>
      <c r="N616" s="1032" t="s">
        <v>1044</v>
      </c>
      <c r="O616" s="1032">
        <v>2021.0</v>
      </c>
      <c r="P616" s="1032" t="s">
        <v>1039</v>
      </c>
      <c r="Q616" s="1033" t="s">
        <v>63</v>
      </c>
      <c r="R616" s="1034">
        <v>42.64310619</v>
      </c>
      <c r="S616" s="1034">
        <v>24.5036543</v>
      </c>
      <c r="T616" s="1035">
        <v>64.22409524</v>
      </c>
      <c r="AB616" s="1045"/>
      <c r="AF616" s="225"/>
    </row>
    <row r="617">
      <c r="A617" s="1013"/>
      <c r="B617" s="1019" t="s">
        <v>124</v>
      </c>
      <c r="C617" s="1020" t="s">
        <v>1035</v>
      </c>
      <c r="D617" s="1020" t="s">
        <v>1041</v>
      </c>
      <c r="E617" s="1020" t="s">
        <v>660</v>
      </c>
      <c r="F617" s="1020">
        <v>2021.0</v>
      </c>
      <c r="G617" s="1021">
        <v>3.65E-6</v>
      </c>
      <c r="H617" s="1021">
        <v>1.66E-6</v>
      </c>
      <c r="I617" s="1022">
        <v>6.57E-6</v>
      </c>
      <c r="K617" s="1031" t="s">
        <v>130</v>
      </c>
      <c r="L617" s="1032" t="s">
        <v>581</v>
      </c>
      <c r="M617" s="1032" t="s">
        <v>1035</v>
      </c>
      <c r="N617" s="1032" t="s">
        <v>1046</v>
      </c>
      <c r="O617" s="1032">
        <v>2021.0</v>
      </c>
      <c r="P617" s="1032" t="s">
        <v>1039</v>
      </c>
      <c r="Q617" s="1033" t="s">
        <v>63</v>
      </c>
      <c r="R617" s="1034">
        <v>146.5552708</v>
      </c>
      <c r="S617" s="1034">
        <v>83.07530937</v>
      </c>
      <c r="T617" s="1035">
        <v>235.0392117</v>
      </c>
      <c r="AB617" s="1045"/>
      <c r="AF617" s="225"/>
    </row>
    <row r="618">
      <c r="A618" s="1013"/>
      <c r="B618" s="1019" t="s">
        <v>124</v>
      </c>
      <c r="C618" s="1020" t="s">
        <v>1035</v>
      </c>
      <c r="D618" s="1020" t="s">
        <v>1043</v>
      </c>
      <c r="E618" s="1020" t="s">
        <v>660</v>
      </c>
      <c r="F618" s="1020">
        <v>2021.0</v>
      </c>
      <c r="G618" s="1021">
        <v>8.0E-5</v>
      </c>
      <c r="H618" s="1021">
        <v>2.02E-5</v>
      </c>
      <c r="I618" s="1022">
        <v>1.55807E-4</v>
      </c>
      <c r="K618" s="1031" t="s">
        <v>130</v>
      </c>
      <c r="L618" s="1032" t="s">
        <v>581</v>
      </c>
      <c r="M618" s="1032" t="s">
        <v>1035</v>
      </c>
      <c r="N618" s="1032" t="s">
        <v>1045</v>
      </c>
      <c r="O618" s="1032">
        <v>2021.0</v>
      </c>
      <c r="P618" s="1032" t="s">
        <v>1039</v>
      </c>
      <c r="Q618" s="1033" t="s">
        <v>63</v>
      </c>
      <c r="R618" s="1034">
        <v>415.8901035</v>
      </c>
      <c r="S618" s="1034">
        <v>253.8840998</v>
      </c>
      <c r="T618" s="1035">
        <v>593.7441687</v>
      </c>
      <c r="AB618" s="1045"/>
      <c r="AF618" s="225"/>
    </row>
    <row r="619">
      <c r="A619" s="1013"/>
      <c r="B619" s="1019" t="s">
        <v>124</v>
      </c>
      <c r="C619" s="1020" t="s">
        <v>1035</v>
      </c>
      <c r="D619" s="1020" t="s">
        <v>1045</v>
      </c>
      <c r="E619" s="1020" t="s">
        <v>660</v>
      </c>
      <c r="F619" s="1020">
        <v>2021.0</v>
      </c>
      <c r="G619" s="1021">
        <v>5.08638E-4</v>
      </c>
      <c r="H619" s="1021">
        <v>2.38959E-4</v>
      </c>
      <c r="I619" s="1022">
        <v>9.02629E-4</v>
      </c>
      <c r="K619" s="1031" t="s">
        <v>131</v>
      </c>
      <c r="L619" s="1032" t="s">
        <v>581</v>
      </c>
      <c r="M619" s="1032" t="s">
        <v>1035</v>
      </c>
      <c r="N619" s="1032" t="s">
        <v>1038</v>
      </c>
      <c r="O619" s="1032">
        <v>2021.0</v>
      </c>
      <c r="P619" s="1032" t="s">
        <v>1039</v>
      </c>
      <c r="Q619" s="1033" t="s">
        <v>63</v>
      </c>
      <c r="R619" s="1034">
        <v>306.9518217</v>
      </c>
      <c r="S619" s="1034">
        <v>124.1013091</v>
      </c>
      <c r="T619" s="1035">
        <v>530.0360828</v>
      </c>
      <c r="AB619" s="1045"/>
      <c r="AF619" s="225"/>
    </row>
    <row r="620">
      <c r="A620" s="1013"/>
      <c r="B620" s="1019" t="s">
        <v>125</v>
      </c>
      <c r="C620" s="1020" t="s">
        <v>1035</v>
      </c>
      <c r="D620" s="1020" t="s">
        <v>1036</v>
      </c>
      <c r="E620" s="1020" t="s">
        <v>660</v>
      </c>
      <c r="F620" s="1020">
        <v>2021.0</v>
      </c>
      <c r="G620" s="1021">
        <v>8.59E-6</v>
      </c>
      <c r="H620" s="1021">
        <v>2.3E-6</v>
      </c>
      <c r="I620" s="1022">
        <v>1.8E-5</v>
      </c>
      <c r="K620" s="1031" t="s">
        <v>131</v>
      </c>
      <c r="L620" s="1032" t="s">
        <v>581</v>
      </c>
      <c r="M620" s="1032" t="s">
        <v>1035</v>
      </c>
      <c r="N620" s="1032" t="s">
        <v>1042</v>
      </c>
      <c r="O620" s="1032">
        <v>2021.0</v>
      </c>
      <c r="P620" s="1032" t="s">
        <v>1039</v>
      </c>
      <c r="Q620" s="1033" t="s">
        <v>63</v>
      </c>
      <c r="R620" s="1034">
        <v>272.6754375</v>
      </c>
      <c r="S620" s="1034">
        <v>173.6156769</v>
      </c>
      <c r="T620" s="1035">
        <v>400.4600061</v>
      </c>
      <c r="AB620" s="1045"/>
      <c r="AF620" s="225"/>
    </row>
    <row r="621">
      <c r="A621" s="1013"/>
      <c r="B621" s="1019" t="s">
        <v>125</v>
      </c>
      <c r="C621" s="1020" t="s">
        <v>1035</v>
      </c>
      <c r="D621" s="1020" t="s">
        <v>1041</v>
      </c>
      <c r="E621" s="1020" t="s">
        <v>660</v>
      </c>
      <c r="F621" s="1020">
        <v>2021.0</v>
      </c>
      <c r="G621" s="1021">
        <v>2.07E-6</v>
      </c>
      <c r="H621" s="1021">
        <v>7.71E-7</v>
      </c>
      <c r="I621" s="1022">
        <v>4.05E-6</v>
      </c>
      <c r="K621" s="1031" t="s">
        <v>131</v>
      </c>
      <c r="L621" s="1032" t="s">
        <v>581</v>
      </c>
      <c r="M621" s="1032" t="s">
        <v>1035</v>
      </c>
      <c r="N621" s="1032" t="s">
        <v>1044</v>
      </c>
      <c r="O621" s="1032">
        <v>2021.0</v>
      </c>
      <c r="P621" s="1032" t="s">
        <v>1039</v>
      </c>
      <c r="Q621" s="1033" t="s">
        <v>63</v>
      </c>
      <c r="R621" s="1034">
        <v>144.0685462</v>
      </c>
      <c r="S621" s="1034">
        <v>85.15980476</v>
      </c>
      <c r="T621" s="1035">
        <v>204.1350777</v>
      </c>
      <c r="AB621" s="1045"/>
      <c r="AF621" s="225"/>
    </row>
    <row r="622">
      <c r="A622" s="1013"/>
      <c r="B622" s="1019" t="s">
        <v>125</v>
      </c>
      <c r="C622" s="1020" t="s">
        <v>1035</v>
      </c>
      <c r="D622" s="1020" t="s">
        <v>1043</v>
      </c>
      <c r="E622" s="1020" t="s">
        <v>660</v>
      </c>
      <c r="F622" s="1020">
        <v>2021.0</v>
      </c>
      <c r="G622" s="1021">
        <v>3.4E-5</v>
      </c>
      <c r="H622" s="1021">
        <v>1.28E-5</v>
      </c>
      <c r="I622" s="1022">
        <v>6.89E-5</v>
      </c>
      <c r="K622" s="1031" t="s">
        <v>131</v>
      </c>
      <c r="L622" s="1032" t="s">
        <v>581</v>
      </c>
      <c r="M622" s="1032" t="s">
        <v>1035</v>
      </c>
      <c r="N622" s="1032" t="s">
        <v>1046</v>
      </c>
      <c r="O622" s="1032">
        <v>2021.0</v>
      </c>
      <c r="P622" s="1032" t="s">
        <v>1039</v>
      </c>
      <c r="Q622" s="1033" t="s">
        <v>63</v>
      </c>
      <c r="R622" s="1034">
        <v>338.0729582</v>
      </c>
      <c r="S622" s="1034">
        <v>167.9622286</v>
      </c>
      <c r="T622" s="1035">
        <v>512.8938755</v>
      </c>
      <c r="AB622" s="1045"/>
      <c r="AF622" s="225"/>
    </row>
    <row r="623">
      <c r="A623" s="1013"/>
      <c r="B623" s="1019" t="s">
        <v>125</v>
      </c>
      <c r="C623" s="1020" t="s">
        <v>1035</v>
      </c>
      <c r="D623" s="1020" t="s">
        <v>1045</v>
      </c>
      <c r="E623" s="1020" t="s">
        <v>660</v>
      </c>
      <c r="F623" s="1020">
        <v>2021.0</v>
      </c>
      <c r="G623" s="1021">
        <v>1.89306E-4</v>
      </c>
      <c r="H623" s="1021">
        <v>7.16E-5</v>
      </c>
      <c r="I623" s="1022">
        <v>3.76274E-4</v>
      </c>
      <c r="K623" s="1031" t="s">
        <v>131</v>
      </c>
      <c r="L623" s="1032" t="s">
        <v>581</v>
      </c>
      <c r="M623" s="1032" t="s">
        <v>1035</v>
      </c>
      <c r="N623" s="1032" t="s">
        <v>1045</v>
      </c>
      <c r="O623" s="1032">
        <v>2021.0</v>
      </c>
      <c r="P623" s="1032" t="s">
        <v>1039</v>
      </c>
      <c r="Q623" s="1033" t="s">
        <v>63</v>
      </c>
      <c r="R623" s="1034">
        <v>1061.768764</v>
      </c>
      <c r="S623" s="1034">
        <v>613.8980694</v>
      </c>
      <c r="T623" s="1035">
        <v>1513.021274</v>
      </c>
      <c r="AB623" s="1045"/>
      <c r="AF623" s="225"/>
    </row>
    <row r="624">
      <c r="A624" s="1013"/>
      <c r="B624" s="1019" t="s">
        <v>126</v>
      </c>
      <c r="C624" s="1020" t="s">
        <v>1035</v>
      </c>
      <c r="D624" s="1020" t="s">
        <v>1036</v>
      </c>
      <c r="E624" s="1020" t="s">
        <v>660</v>
      </c>
      <c r="F624" s="1020">
        <v>2021.0</v>
      </c>
      <c r="G624" s="1021">
        <v>7.19E-6</v>
      </c>
      <c r="H624" s="1021">
        <v>1.78E-6</v>
      </c>
      <c r="I624" s="1022">
        <v>1.9E-5</v>
      </c>
      <c r="K624" s="1031" t="s">
        <v>132</v>
      </c>
      <c r="L624" s="1032" t="s">
        <v>581</v>
      </c>
      <c r="M624" s="1032" t="s">
        <v>1035</v>
      </c>
      <c r="N624" s="1032" t="s">
        <v>1038</v>
      </c>
      <c r="O624" s="1032">
        <v>2021.0</v>
      </c>
      <c r="P624" s="1032" t="s">
        <v>1039</v>
      </c>
      <c r="Q624" s="1033" t="s">
        <v>63</v>
      </c>
      <c r="R624" s="1034">
        <v>315.9686236</v>
      </c>
      <c r="S624" s="1034">
        <v>139.1579447</v>
      </c>
      <c r="T624" s="1035">
        <v>522.8783669</v>
      </c>
      <c r="AB624" s="1045"/>
      <c r="AF624" s="225"/>
    </row>
    <row r="625">
      <c r="A625" s="1013"/>
      <c r="B625" s="1019" t="s">
        <v>126</v>
      </c>
      <c r="C625" s="1020" t="s">
        <v>1035</v>
      </c>
      <c r="D625" s="1020" t="s">
        <v>1041</v>
      </c>
      <c r="E625" s="1020" t="s">
        <v>660</v>
      </c>
      <c r="F625" s="1020">
        <v>2021.0</v>
      </c>
      <c r="G625" s="1021">
        <v>1.49E-6</v>
      </c>
      <c r="H625" s="1021">
        <v>4.02E-7</v>
      </c>
      <c r="I625" s="1022">
        <v>3.81E-6</v>
      </c>
      <c r="K625" s="1031" t="s">
        <v>132</v>
      </c>
      <c r="L625" s="1032" t="s">
        <v>581</v>
      </c>
      <c r="M625" s="1032" t="s">
        <v>1035</v>
      </c>
      <c r="N625" s="1032" t="s">
        <v>1042</v>
      </c>
      <c r="O625" s="1032">
        <v>2021.0</v>
      </c>
      <c r="P625" s="1032" t="s">
        <v>1039</v>
      </c>
      <c r="Q625" s="1033" t="s">
        <v>63</v>
      </c>
      <c r="R625" s="1034">
        <v>318.3975475</v>
      </c>
      <c r="S625" s="1034">
        <v>205.3708502</v>
      </c>
      <c r="T625" s="1035">
        <v>475.1131635</v>
      </c>
      <c r="AB625" s="1045"/>
      <c r="AF625" s="225"/>
    </row>
    <row r="626">
      <c r="A626" s="1013"/>
      <c r="B626" s="1019" t="s">
        <v>126</v>
      </c>
      <c r="C626" s="1020" t="s">
        <v>1035</v>
      </c>
      <c r="D626" s="1020" t="s">
        <v>1043</v>
      </c>
      <c r="E626" s="1020" t="s">
        <v>660</v>
      </c>
      <c r="F626" s="1020">
        <v>2021.0</v>
      </c>
      <c r="G626" s="1021">
        <v>2.65E-5</v>
      </c>
      <c r="H626" s="1021">
        <v>6.42E-6</v>
      </c>
      <c r="I626" s="1022">
        <v>6.91E-5</v>
      </c>
      <c r="K626" s="1031" t="s">
        <v>132</v>
      </c>
      <c r="L626" s="1032" t="s">
        <v>581</v>
      </c>
      <c r="M626" s="1032" t="s">
        <v>1035</v>
      </c>
      <c r="N626" s="1032" t="s">
        <v>1044</v>
      </c>
      <c r="O626" s="1032">
        <v>2021.0</v>
      </c>
      <c r="P626" s="1032" t="s">
        <v>1039</v>
      </c>
      <c r="Q626" s="1033" t="s">
        <v>63</v>
      </c>
      <c r="R626" s="1034">
        <v>132.6954545</v>
      </c>
      <c r="S626" s="1034">
        <v>80.75937106</v>
      </c>
      <c r="T626" s="1035">
        <v>190.3892231</v>
      </c>
      <c r="AB626" s="1045"/>
      <c r="AF626" s="225"/>
    </row>
    <row r="627">
      <c r="A627" s="1013"/>
      <c r="B627" s="1019" t="s">
        <v>126</v>
      </c>
      <c r="C627" s="1020" t="s">
        <v>1035</v>
      </c>
      <c r="D627" s="1020" t="s">
        <v>1045</v>
      </c>
      <c r="E627" s="1020" t="s">
        <v>660</v>
      </c>
      <c r="F627" s="1020">
        <v>2021.0</v>
      </c>
      <c r="G627" s="1021">
        <v>1.45828E-4</v>
      </c>
      <c r="H627" s="1021">
        <v>3.37E-5</v>
      </c>
      <c r="I627" s="1022">
        <v>3.83912E-4</v>
      </c>
      <c r="K627" s="1031" t="s">
        <v>132</v>
      </c>
      <c r="L627" s="1032" t="s">
        <v>581</v>
      </c>
      <c r="M627" s="1032" t="s">
        <v>1035</v>
      </c>
      <c r="N627" s="1032" t="s">
        <v>1046</v>
      </c>
      <c r="O627" s="1032">
        <v>2021.0</v>
      </c>
      <c r="P627" s="1032" t="s">
        <v>1039</v>
      </c>
      <c r="Q627" s="1033" t="s">
        <v>63</v>
      </c>
      <c r="R627" s="1034">
        <v>417.5247416</v>
      </c>
      <c r="S627" s="1034">
        <v>235.6580585</v>
      </c>
      <c r="T627" s="1035">
        <v>630.7004277</v>
      </c>
      <c r="AB627" s="1045"/>
      <c r="AF627" s="225"/>
    </row>
    <row r="628">
      <c r="A628" s="1013"/>
      <c r="B628" s="1019" t="s">
        <v>114</v>
      </c>
      <c r="C628" s="1020" t="s">
        <v>1035</v>
      </c>
      <c r="D628" s="1020" t="s">
        <v>1036</v>
      </c>
      <c r="E628" s="1020" t="s">
        <v>660</v>
      </c>
      <c r="F628" s="1020">
        <v>2021.0</v>
      </c>
      <c r="G628" s="1021">
        <v>5.31E-5</v>
      </c>
      <c r="H628" s="1021">
        <v>1.47E-5</v>
      </c>
      <c r="I628" s="1022">
        <v>9.8E-5</v>
      </c>
      <c r="K628" s="1031" t="s">
        <v>132</v>
      </c>
      <c r="L628" s="1032" t="s">
        <v>581</v>
      </c>
      <c r="M628" s="1032" t="s">
        <v>1035</v>
      </c>
      <c r="N628" s="1032" t="s">
        <v>1045</v>
      </c>
      <c r="O628" s="1032">
        <v>2021.0</v>
      </c>
      <c r="P628" s="1032" t="s">
        <v>1039</v>
      </c>
      <c r="Q628" s="1033" t="s">
        <v>63</v>
      </c>
      <c r="R628" s="1034">
        <v>1184.586367</v>
      </c>
      <c r="S628" s="1034">
        <v>718.8067628</v>
      </c>
      <c r="T628" s="1035">
        <v>1712.371143</v>
      </c>
      <c r="AB628" s="1045"/>
      <c r="AF628" s="225"/>
    </row>
    <row r="629">
      <c r="A629" s="1013"/>
      <c r="B629" s="1019" t="s">
        <v>114</v>
      </c>
      <c r="C629" s="1020" t="s">
        <v>1035</v>
      </c>
      <c r="D629" s="1020" t="s">
        <v>1041</v>
      </c>
      <c r="E629" s="1020" t="s">
        <v>660</v>
      </c>
      <c r="F629" s="1020">
        <v>2021.0</v>
      </c>
      <c r="G629" s="1021">
        <v>1.3E-5</v>
      </c>
      <c r="H629" s="1021">
        <v>5.17E-6</v>
      </c>
      <c r="I629" s="1022">
        <v>2.29E-5</v>
      </c>
      <c r="K629" s="1031" t="s">
        <v>133</v>
      </c>
      <c r="L629" s="1032" t="s">
        <v>581</v>
      </c>
      <c r="M629" s="1032" t="s">
        <v>1035</v>
      </c>
      <c r="N629" s="1032" t="s">
        <v>1038</v>
      </c>
      <c r="O629" s="1032">
        <v>2021.0</v>
      </c>
      <c r="P629" s="1032" t="s">
        <v>1039</v>
      </c>
      <c r="Q629" s="1033" t="s">
        <v>63</v>
      </c>
      <c r="R629" s="1034">
        <v>442.2342143</v>
      </c>
      <c r="S629" s="1034">
        <v>204.0155265</v>
      </c>
      <c r="T629" s="1035">
        <v>711.2867403</v>
      </c>
      <c r="AB629" s="1045"/>
      <c r="AF629" s="225"/>
    </row>
    <row r="630">
      <c r="A630" s="1013"/>
      <c r="B630" s="1019" t="s">
        <v>114</v>
      </c>
      <c r="C630" s="1020" t="s">
        <v>1035</v>
      </c>
      <c r="D630" s="1020" t="s">
        <v>1043</v>
      </c>
      <c r="E630" s="1020" t="s">
        <v>660</v>
      </c>
      <c r="F630" s="1020">
        <v>2021.0</v>
      </c>
      <c r="G630" s="1021">
        <v>2.58566E-4</v>
      </c>
      <c r="H630" s="1021">
        <v>5.87E-5</v>
      </c>
      <c r="I630" s="1022">
        <v>4.95352E-4</v>
      </c>
      <c r="K630" s="1031" t="s">
        <v>133</v>
      </c>
      <c r="L630" s="1032" t="s">
        <v>581</v>
      </c>
      <c r="M630" s="1032" t="s">
        <v>1035</v>
      </c>
      <c r="N630" s="1032" t="s">
        <v>1042</v>
      </c>
      <c r="O630" s="1032">
        <v>2021.0</v>
      </c>
      <c r="P630" s="1032" t="s">
        <v>1039</v>
      </c>
      <c r="Q630" s="1033" t="s">
        <v>63</v>
      </c>
      <c r="R630" s="1034">
        <v>195.6446153</v>
      </c>
      <c r="S630" s="1034">
        <v>130.5331306</v>
      </c>
      <c r="T630" s="1035">
        <v>282.3955265</v>
      </c>
      <c r="AB630" s="1045"/>
      <c r="AF630" s="225"/>
    </row>
    <row r="631">
      <c r="A631" s="1013"/>
      <c r="B631" s="1019" t="s">
        <v>114</v>
      </c>
      <c r="C631" s="1020" t="s">
        <v>1035</v>
      </c>
      <c r="D631" s="1020" t="s">
        <v>1045</v>
      </c>
      <c r="E631" s="1020" t="s">
        <v>660</v>
      </c>
      <c r="F631" s="1020">
        <v>2021.0</v>
      </c>
      <c r="G631" s="1021">
        <v>0.001684193</v>
      </c>
      <c r="H631" s="1021">
        <v>7.60334E-4</v>
      </c>
      <c r="I631" s="1022">
        <v>0.002946088</v>
      </c>
      <c r="K631" s="1031" t="s">
        <v>133</v>
      </c>
      <c r="L631" s="1032" t="s">
        <v>581</v>
      </c>
      <c r="M631" s="1032" t="s">
        <v>1035</v>
      </c>
      <c r="N631" s="1032" t="s">
        <v>1044</v>
      </c>
      <c r="O631" s="1032">
        <v>2021.0</v>
      </c>
      <c r="P631" s="1032" t="s">
        <v>1039</v>
      </c>
      <c r="Q631" s="1033" t="s">
        <v>63</v>
      </c>
      <c r="R631" s="1034">
        <v>90.30950381</v>
      </c>
      <c r="S631" s="1034">
        <v>52.5734221</v>
      </c>
      <c r="T631" s="1035">
        <v>136.1615076</v>
      </c>
      <c r="AB631" s="1045"/>
      <c r="AF631" s="225"/>
    </row>
    <row r="632">
      <c r="A632" s="1013"/>
      <c r="B632" s="1019" t="s">
        <v>127</v>
      </c>
      <c r="C632" s="1020" t="s">
        <v>1035</v>
      </c>
      <c r="D632" s="1020" t="s">
        <v>1036</v>
      </c>
      <c r="E632" s="1020" t="s">
        <v>660</v>
      </c>
      <c r="F632" s="1020">
        <v>2021.0</v>
      </c>
      <c r="G632" s="1021">
        <v>1.39E-5</v>
      </c>
      <c r="H632" s="1021">
        <v>4.73E-6</v>
      </c>
      <c r="I632" s="1022">
        <v>2.82E-5</v>
      </c>
      <c r="K632" s="1031" t="s">
        <v>133</v>
      </c>
      <c r="L632" s="1032" t="s">
        <v>581</v>
      </c>
      <c r="M632" s="1032" t="s">
        <v>1035</v>
      </c>
      <c r="N632" s="1032" t="s">
        <v>1046</v>
      </c>
      <c r="O632" s="1032">
        <v>2021.0</v>
      </c>
      <c r="P632" s="1032" t="s">
        <v>1039</v>
      </c>
      <c r="Q632" s="1033" t="s">
        <v>63</v>
      </c>
      <c r="R632" s="1034">
        <v>152.9300856</v>
      </c>
      <c r="S632" s="1034">
        <v>70.40809703</v>
      </c>
      <c r="T632" s="1035">
        <v>252.2399873</v>
      </c>
      <c r="AB632" s="1045"/>
      <c r="AF632" s="225"/>
    </row>
    <row r="633">
      <c r="A633" s="1013"/>
      <c r="B633" s="1019" t="s">
        <v>127</v>
      </c>
      <c r="C633" s="1020" t="s">
        <v>1035</v>
      </c>
      <c r="D633" s="1020" t="s">
        <v>1041</v>
      </c>
      <c r="E633" s="1020" t="s">
        <v>660</v>
      </c>
      <c r="F633" s="1020">
        <v>2021.0</v>
      </c>
      <c r="G633" s="1021">
        <v>2.87E-6</v>
      </c>
      <c r="H633" s="1021">
        <v>1.3E-6</v>
      </c>
      <c r="I633" s="1022">
        <v>5.29E-6</v>
      </c>
      <c r="K633" s="1031" t="s">
        <v>133</v>
      </c>
      <c r="L633" s="1032" t="s">
        <v>581</v>
      </c>
      <c r="M633" s="1032" t="s">
        <v>1035</v>
      </c>
      <c r="N633" s="1032" t="s">
        <v>1045</v>
      </c>
      <c r="O633" s="1032">
        <v>2021.0</v>
      </c>
      <c r="P633" s="1032" t="s">
        <v>1039</v>
      </c>
      <c r="Q633" s="1033" t="s">
        <v>63</v>
      </c>
      <c r="R633" s="1034">
        <v>881.118419</v>
      </c>
      <c r="S633" s="1034">
        <v>509.5708578</v>
      </c>
      <c r="T633" s="1035">
        <v>1299.896493</v>
      </c>
      <c r="AB633" s="1045"/>
      <c r="AF633" s="225"/>
    </row>
    <row r="634">
      <c r="A634" s="1013"/>
      <c r="B634" s="1019" t="s">
        <v>127</v>
      </c>
      <c r="C634" s="1020" t="s">
        <v>1035</v>
      </c>
      <c r="D634" s="1020" t="s">
        <v>1043</v>
      </c>
      <c r="E634" s="1020" t="s">
        <v>660</v>
      </c>
      <c r="F634" s="1020">
        <v>2021.0</v>
      </c>
      <c r="G634" s="1021">
        <v>5.56E-5</v>
      </c>
      <c r="H634" s="1021">
        <v>2.27E-5</v>
      </c>
      <c r="I634" s="1022">
        <v>1.01616E-4</v>
      </c>
      <c r="K634" s="1031" t="s">
        <v>134</v>
      </c>
      <c r="L634" s="1032" t="s">
        <v>581</v>
      </c>
      <c r="M634" s="1032" t="s">
        <v>1035</v>
      </c>
      <c r="N634" s="1032" t="s">
        <v>1038</v>
      </c>
      <c r="O634" s="1032">
        <v>2021.0</v>
      </c>
      <c r="P634" s="1032" t="s">
        <v>1039</v>
      </c>
      <c r="Q634" s="1033" t="s">
        <v>63</v>
      </c>
      <c r="R634" s="1034">
        <v>119.0759352</v>
      </c>
      <c r="S634" s="1034">
        <v>49.51482709</v>
      </c>
      <c r="T634" s="1035">
        <v>212.7276784</v>
      </c>
      <c r="AB634" s="1045"/>
      <c r="AF634" s="225"/>
    </row>
    <row r="635">
      <c r="A635" s="1013"/>
      <c r="B635" s="1019" t="s">
        <v>127</v>
      </c>
      <c r="C635" s="1020" t="s">
        <v>1035</v>
      </c>
      <c r="D635" s="1020" t="s">
        <v>1045</v>
      </c>
      <c r="E635" s="1020" t="s">
        <v>660</v>
      </c>
      <c r="F635" s="1020">
        <v>2021.0</v>
      </c>
      <c r="G635" s="1021">
        <v>3.56325E-4</v>
      </c>
      <c r="H635" s="1021">
        <v>1.44508E-4</v>
      </c>
      <c r="I635" s="1022">
        <v>6.49032E-4</v>
      </c>
      <c r="K635" s="1031" t="s">
        <v>134</v>
      </c>
      <c r="L635" s="1032" t="s">
        <v>581</v>
      </c>
      <c r="M635" s="1032" t="s">
        <v>1035</v>
      </c>
      <c r="N635" s="1032" t="s">
        <v>1042</v>
      </c>
      <c r="O635" s="1032">
        <v>2021.0</v>
      </c>
      <c r="P635" s="1032" t="s">
        <v>1039</v>
      </c>
      <c r="Q635" s="1033" t="s">
        <v>63</v>
      </c>
      <c r="R635" s="1034">
        <v>113.2588923</v>
      </c>
      <c r="S635" s="1034">
        <v>70.81552662</v>
      </c>
      <c r="T635" s="1035">
        <v>170.3700608</v>
      </c>
      <c r="AB635" s="1045"/>
      <c r="AF635" s="225"/>
    </row>
    <row r="636">
      <c r="A636" s="1013"/>
      <c r="B636" s="1019" t="s">
        <v>128</v>
      </c>
      <c r="C636" s="1020" t="s">
        <v>1035</v>
      </c>
      <c r="D636" s="1020" t="s">
        <v>1036</v>
      </c>
      <c r="E636" s="1020" t="s">
        <v>660</v>
      </c>
      <c r="F636" s="1020">
        <v>2021.0</v>
      </c>
      <c r="G636" s="1021">
        <v>1.25E-5</v>
      </c>
      <c r="H636" s="1021">
        <v>2.84E-6</v>
      </c>
      <c r="I636" s="1022">
        <v>2.72E-5</v>
      </c>
      <c r="K636" s="1031" t="s">
        <v>134</v>
      </c>
      <c r="L636" s="1032" t="s">
        <v>581</v>
      </c>
      <c r="M636" s="1032" t="s">
        <v>1035</v>
      </c>
      <c r="N636" s="1032" t="s">
        <v>1044</v>
      </c>
      <c r="O636" s="1032">
        <v>2021.0</v>
      </c>
      <c r="P636" s="1032" t="s">
        <v>1039</v>
      </c>
      <c r="Q636" s="1033" t="s">
        <v>63</v>
      </c>
      <c r="R636" s="1034">
        <v>36.88682191</v>
      </c>
      <c r="S636" s="1034">
        <v>20.59432264</v>
      </c>
      <c r="T636" s="1035">
        <v>56.64961706</v>
      </c>
      <c r="AB636" s="1045"/>
      <c r="AF636" s="225"/>
    </row>
    <row r="637">
      <c r="A637" s="1013"/>
      <c r="B637" s="1019" t="s">
        <v>128</v>
      </c>
      <c r="C637" s="1020" t="s">
        <v>1035</v>
      </c>
      <c r="D637" s="1020" t="s">
        <v>1041</v>
      </c>
      <c r="E637" s="1020" t="s">
        <v>660</v>
      </c>
      <c r="F637" s="1020">
        <v>2021.0</v>
      </c>
      <c r="G637" s="1021">
        <v>2.53E-6</v>
      </c>
      <c r="H637" s="1021">
        <v>8.66E-7</v>
      </c>
      <c r="I637" s="1022">
        <v>5.05E-6</v>
      </c>
      <c r="K637" s="1031" t="s">
        <v>134</v>
      </c>
      <c r="L637" s="1032" t="s">
        <v>581</v>
      </c>
      <c r="M637" s="1032" t="s">
        <v>1035</v>
      </c>
      <c r="N637" s="1032" t="s">
        <v>1046</v>
      </c>
      <c r="O637" s="1032">
        <v>2021.0</v>
      </c>
      <c r="P637" s="1032" t="s">
        <v>1039</v>
      </c>
      <c r="Q637" s="1033" t="s">
        <v>63</v>
      </c>
      <c r="R637" s="1034">
        <v>83.60914771</v>
      </c>
      <c r="S637" s="1034">
        <v>40.81404835</v>
      </c>
      <c r="T637" s="1035">
        <v>131.9905355</v>
      </c>
      <c r="AB637" s="1045"/>
      <c r="AF637" s="225"/>
    </row>
    <row r="638">
      <c r="A638" s="1013"/>
      <c r="B638" s="1019" t="s">
        <v>128</v>
      </c>
      <c r="C638" s="1020" t="s">
        <v>1035</v>
      </c>
      <c r="D638" s="1020" t="s">
        <v>1043</v>
      </c>
      <c r="E638" s="1020" t="s">
        <v>660</v>
      </c>
      <c r="F638" s="1020">
        <v>2021.0</v>
      </c>
      <c r="G638" s="1021">
        <v>4.97E-5</v>
      </c>
      <c r="H638" s="1021">
        <v>7.34E-6</v>
      </c>
      <c r="I638" s="1022">
        <v>1.01957E-4</v>
      </c>
      <c r="K638" s="1031" t="s">
        <v>134</v>
      </c>
      <c r="L638" s="1032" t="s">
        <v>581</v>
      </c>
      <c r="M638" s="1032" t="s">
        <v>1035</v>
      </c>
      <c r="N638" s="1032" t="s">
        <v>1045</v>
      </c>
      <c r="O638" s="1032">
        <v>2021.0</v>
      </c>
      <c r="P638" s="1032" t="s">
        <v>1039</v>
      </c>
      <c r="Q638" s="1033" t="s">
        <v>63</v>
      </c>
      <c r="R638" s="1034">
        <v>352.8307972</v>
      </c>
      <c r="S638" s="1034">
        <v>205.2874444</v>
      </c>
      <c r="T638" s="1035">
        <v>535.5785602</v>
      </c>
      <c r="AB638" s="1045"/>
      <c r="AF638" s="225"/>
    </row>
    <row r="639">
      <c r="A639" s="1013"/>
      <c r="B639" s="1019" t="s">
        <v>128</v>
      </c>
      <c r="C639" s="1020" t="s">
        <v>1035</v>
      </c>
      <c r="D639" s="1020" t="s">
        <v>1045</v>
      </c>
      <c r="E639" s="1020" t="s">
        <v>660</v>
      </c>
      <c r="F639" s="1020">
        <v>2021.0</v>
      </c>
      <c r="G639" s="1021">
        <v>2.84489E-4</v>
      </c>
      <c r="H639" s="1021">
        <v>1.21284E-4</v>
      </c>
      <c r="I639" s="1022">
        <v>4.99573E-4</v>
      </c>
      <c r="K639" s="1031" t="s">
        <v>135</v>
      </c>
      <c r="L639" s="1032" t="s">
        <v>581</v>
      </c>
      <c r="M639" s="1032" t="s">
        <v>1035</v>
      </c>
      <c r="N639" s="1032" t="s">
        <v>1038</v>
      </c>
      <c r="O639" s="1032">
        <v>2021.0</v>
      </c>
      <c r="P639" s="1032" t="s">
        <v>1039</v>
      </c>
      <c r="Q639" s="1033" t="s">
        <v>63</v>
      </c>
      <c r="R639" s="1034">
        <v>186.5926883</v>
      </c>
      <c r="S639" s="1034">
        <v>70.13975998</v>
      </c>
      <c r="T639" s="1035">
        <v>305.1982608</v>
      </c>
      <c r="AB639" s="1045"/>
      <c r="AF639" s="225"/>
    </row>
    <row r="640">
      <c r="A640" s="1013"/>
      <c r="B640" s="1019" t="s">
        <v>129</v>
      </c>
      <c r="C640" s="1020" t="s">
        <v>1035</v>
      </c>
      <c r="D640" s="1020" t="s">
        <v>1036</v>
      </c>
      <c r="E640" s="1020" t="s">
        <v>660</v>
      </c>
      <c r="F640" s="1020">
        <v>2021.0</v>
      </c>
      <c r="G640" s="1021">
        <v>2.39E-5</v>
      </c>
      <c r="H640" s="1021">
        <v>6.69E-6</v>
      </c>
      <c r="I640" s="1022">
        <v>4.7E-5</v>
      </c>
      <c r="K640" s="1031" t="s">
        <v>135</v>
      </c>
      <c r="L640" s="1032" t="s">
        <v>581</v>
      </c>
      <c r="M640" s="1032" t="s">
        <v>1035</v>
      </c>
      <c r="N640" s="1032" t="s">
        <v>1042</v>
      </c>
      <c r="O640" s="1032">
        <v>2021.0</v>
      </c>
      <c r="P640" s="1032" t="s">
        <v>1039</v>
      </c>
      <c r="Q640" s="1033" t="s">
        <v>63</v>
      </c>
      <c r="R640" s="1034">
        <v>160.875714</v>
      </c>
      <c r="S640" s="1034">
        <v>106.1314471</v>
      </c>
      <c r="T640" s="1035">
        <v>226.6953261</v>
      </c>
      <c r="AB640" s="1045"/>
      <c r="AF640" s="225"/>
    </row>
    <row r="641">
      <c r="A641" s="1013"/>
      <c r="B641" s="1019" t="s">
        <v>129</v>
      </c>
      <c r="C641" s="1020" t="s">
        <v>1035</v>
      </c>
      <c r="D641" s="1020" t="s">
        <v>1041</v>
      </c>
      <c r="E641" s="1020" t="s">
        <v>660</v>
      </c>
      <c r="F641" s="1020">
        <v>2021.0</v>
      </c>
      <c r="G641" s="1021">
        <v>5.37E-6</v>
      </c>
      <c r="H641" s="1021">
        <v>1.95E-6</v>
      </c>
      <c r="I641" s="1022">
        <v>1.02E-5</v>
      </c>
      <c r="K641" s="1031" t="s">
        <v>135</v>
      </c>
      <c r="L641" s="1032" t="s">
        <v>581</v>
      </c>
      <c r="M641" s="1032" t="s">
        <v>1035</v>
      </c>
      <c r="N641" s="1032" t="s">
        <v>1044</v>
      </c>
      <c r="O641" s="1032">
        <v>2021.0</v>
      </c>
      <c r="P641" s="1032" t="s">
        <v>1039</v>
      </c>
      <c r="Q641" s="1033" t="s">
        <v>63</v>
      </c>
      <c r="R641" s="1034">
        <v>110.7200888</v>
      </c>
      <c r="S641" s="1034">
        <v>64.12514456</v>
      </c>
      <c r="T641" s="1035">
        <v>162.3929395</v>
      </c>
      <c r="AB641" s="1045"/>
      <c r="AF641" s="225"/>
    </row>
    <row r="642">
      <c r="A642" s="1013"/>
      <c r="B642" s="1019" t="s">
        <v>129</v>
      </c>
      <c r="C642" s="1020" t="s">
        <v>1035</v>
      </c>
      <c r="D642" s="1020" t="s">
        <v>1043</v>
      </c>
      <c r="E642" s="1020" t="s">
        <v>660</v>
      </c>
      <c r="F642" s="1020">
        <v>2021.0</v>
      </c>
      <c r="G642" s="1021">
        <v>9.23E-5</v>
      </c>
      <c r="H642" s="1021">
        <v>1.25E-5</v>
      </c>
      <c r="I642" s="1022">
        <v>1.78981E-4</v>
      </c>
      <c r="K642" s="1031" t="s">
        <v>135</v>
      </c>
      <c r="L642" s="1032" t="s">
        <v>581</v>
      </c>
      <c r="M642" s="1032" t="s">
        <v>1035</v>
      </c>
      <c r="N642" s="1032" t="s">
        <v>1046</v>
      </c>
      <c r="O642" s="1032">
        <v>2021.0</v>
      </c>
      <c r="P642" s="1032" t="s">
        <v>1039</v>
      </c>
      <c r="Q642" s="1033" t="s">
        <v>63</v>
      </c>
      <c r="R642" s="1034">
        <v>171.5000529</v>
      </c>
      <c r="S642" s="1034">
        <v>77.36310697</v>
      </c>
      <c r="T642" s="1035">
        <v>266.7448279</v>
      </c>
      <c r="AB642" s="1045"/>
      <c r="AF642" s="225"/>
    </row>
    <row r="643">
      <c r="A643" s="1013"/>
      <c r="B643" s="1019" t="s">
        <v>129</v>
      </c>
      <c r="C643" s="1020" t="s">
        <v>1035</v>
      </c>
      <c r="D643" s="1020" t="s">
        <v>1045</v>
      </c>
      <c r="E643" s="1020" t="s">
        <v>660</v>
      </c>
      <c r="F643" s="1020">
        <v>2021.0</v>
      </c>
      <c r="G643" s="1021">
        <v>5.85515E-4</v>
      </c>
      <c r="H643" s="1021">
        <v>2.57682E-4</v>
      </c>
      <c r="I643" s="1022">
        <v>0.001026364</v>
      </c>
      <c r="K643" s="1031" t="s">
        <v>135</v>
      </c>
      <c r="L643" s="1032" t="s">
        <v>581</v>
      </c>
      <c r="M643" s="1032" t="s">
        <v>1035</v>
      </c>
      <c r="N643" s="1032" t="s">
        <v>1045</v>
      </c>
      <c r="O643" s="1032">
        <v>2021.0</v>
      </c>
      <c r="P643" s="1032" t="s">
        <v>1039</v>
      </c>
      <c r="Q643" s="1033" t="s">
        <v>63</v>
      </c>
      <c r="R643" s="1034">
        <v>629.688544</v>
      </c>
      <c r="S643" s="1034">
        <v>363.6626595</v>
      </c>
      <c r="T643" s="1035">
        <v>900.4126125</v>
      </c>
      <c r="AB643" s="1045"/>
      <c r="AF643" s="225"/>
    </row>
    <row r="644">
      <c r="A644" s="1013"/>
      <c r="B644" s="1019" t="s">
        <v>130</v>
      </c>
      <c r="C644" s="1020" t="s">
        <v>1035</v>
      </c>
      <c r="D644" s="1020" t="s">
        <v>1036</v>
      </c>
      <c r="E644" s="1020" t="s">
        <v>660</v>
      </c>
      <c r="F644" s="1020">
        <v>2021.0</v>
      </c>
      <c r="G644" s="1021">
        <v>9.57E-6</v>
      </c>
      <c r="H644" s="1021">
        <v>3.1E-6</v>
      </c>
      <c r="I644" s="1022">
        <v>2.01E-5</v>
      </c>
      <c r="K644" s="1031" t="s">
        <v>136</v>
      </c>
      <c r="L644" s="1032" t="s">
        <v>581</v>
      </c>
      <c r="M644" s="1032" t="s">
        <v>1035</v>
      </c>
      <c r="N644" s="1032" t="s">
        <v>1038</v>
      </c>
      <c r="O644" s="1032">
        <v>2021.0</v>
      </c>
      <c r="P644" s="1032" t="s">
        <v>1039</v>
      </c>
      <c r="Q644" s="1033" t="s">
        <v>63</v>
      </c>
      <c r="R644" s="1034">
        <v>436.6059851</v>
      </c>
      <c r="S644" s="1034">
        <v>168.8162745</v>
      </c>
      <c r="T644" s="1035">
        <v>728.7598058</v>
      </c>
      <c r="AB644" s="1045"/>
      <c r="AF644" s="225"/>
    </row>
    <row r="645">
      <c r="A645" s="1013"/>
      <c r="B645" s="1019" t="s">
        <v>130</v>
      </c>
      <c r="C645" s="1020" t="s">
        <v>1035</v>
      </c>
      <c r="D645" s="1020" t="s">
        <v>1041</v>
      </c>
      <c r="E645" s="1020" t="s">
        <v>660</v>
      </c>
      <c r="F645" s="1020">
        <v>2021.0</v>
      </c>
      <c r="G645" s="1021">
        <v>2.15E-6</v>
      </c>
      <c r="H645" s="1021">
        <v>9.62E-7</v>
      </c>
      <c r="I645" s="1022">
        <v>3.94E-6</v>
      </c>
      <c r="K645" s="1031" t="s">
        <v>136</v>
      </c>
      <c r="L645" s="1032" t="s">
        <v>581</v>
      </c>
      <c r="M645" s="1032" t="s">
        <v>1035</v>
      </c>
      <c r="N645" s="1032" t="s">
        <v>1042</v>
      </c>
      <c r="O645" s="1032">
        <v>2021.0</v>
      </c>
      <c r="P645" s="1032" t="s">
        <v>1039</v>
      </c>
      <c r="Q645" s="1033" t="s">
        <v>63</v>
      </c>
      <c r="R645" s="1034">
        <v>465.8300061</v>
      </c>
      <c r="S645" s="1034">
        <v>302.9718011</v>
      </c>
      <c r="T645" s="1035">
        <v>673.1779948</v>
      </c>
      <c r="AB645" s="1045"/>
      <c r="AF645" s="225"/>
    </row>
    <row r="646">
      <c r="A646" s="1013"/>
      <c r="B646" s="1019" t="s">
        <v>130</v>
      </c>
      <c r="C646" s="1020" t="s">
        <v>1035</v>
      </c>
      <c r="D646" s="1020" t="s">
        <v>1043</v>
      </c>
      <c r="E646" s="1020" t="s">
        <v>660</v>
      </c>
      <c r="F646" s="1020">
        <v>2021.0</v>
      </c>
      <c r="G646" s="1021">
        <v>3.92E-5</v>
      </c>
      <c r="H646" s="1021">
        <v>1.45E-5</v>
      </c>
      <c r="I646" s="1022">
        <v>7.55E-5</v>
      </c>
      <c r="K646" s="1031" t="s">
        <v>136</v>
      </c>
      <c r="L646" s="1032" t="s">
        <v>581</v>
      </c>
      <c r="M646" s="1032" t="s">
        <v>1035</v>
      </c>
      <c r="N646" s="1032" t="s">
        <v>1044</v>
      </c>
      <c r="O646" s="1032">
        <v>2021.0</v>
      </c>
      <c r="P646" s="1032" t="s">
        <v>1039</v>
      </c>
      <c r="Q646" s="1033" t="s">
        <v>63</v>
      </c>
      <c r="R646" s="1034">
        <v>160.3809941</v>
      </c>
      <c r="S646" s="1034">
        <v>94.85484785</v>
      </c>
      <c r="T646" s="1035">
        <v>236.0542537</v>
      </c>
      <c r="AB646" s="1045"/>
      <c r="AF646" s="225"/>
    </row>
    <row r="647">
      <c r="A647" s="1013"/>
      <c r="B647" s="1019" t="s">
        <v>130</v>
      </c>
      <c r="C647" s="1020" t="s">
        <v>1035</v>
      </c>
      <c r="D647" s="1020" t="s">
        <v>1045</v>
      </c>
      <c r="E647" s="1020" t="s">
        <v>660</v>
      </c>
      <c r="F647" s="1020">
        <v>2021.0</v>
      </c>
      <c r="G647" s="1021">
        <v>2.27998E-4</v>
      </c>
      <c r="H647" s="1021">
        <v>9.61E-5</v>
      </c>
      <c r="I647" s="1022">
        <v>4.14588E-4</v>
      </c>
      <c r="K647" s="1031" t="s">
        <v>136</v>
      </c>
      <c r="L647" s="1032" t="s">
        <v>581</v>
      </c>
      <c r="M647" s="1032" t="s">
        <v>1035</v>
      </c>
      <c r="N647" s="1032" t="s">
        <v>1046</v>
      </c>
      <c r="O647" s="1032">
        <v>2021.0</v>
      </c>
      <c r="P647" s="1032" t="s">
        <v>1039</v>
      </c>
      <c r="Q647" s="1033" t="s">
        <v>63</v>
      </c>
      <c r="R647" s="1034">
        <v>468.3308254</v>
      </c>
      <c r="S647" s="1034">
        <v>229.005629</v>
      </c>
      <c r="T647" s="1035">
        <v>713.7739035</v>
      </c>
      <c r="AB647" s="1045"/>
      <c r="AF647" s="225"/>
    </row>
    <row r="648">
      <c r="A648" s="1013"/>
      <c r="B648" s="1019" t="s">
        <v>131</v>
      </c>
      <c r="C648" s="1020" t="s">
        <v>1035</v>
      </c>
      <c r="D648" s="1020" t="s">
        <v>1036</v>
      </c>
      <c r="E648" s="1020" t="s">
        <v>660</v>
      </c>
      <c r="F648" s="1020">
        <v>2021.0</v>
      </c>
      <c r="G648" s="1021">
        <v>9.26E-6</v>
      </c>
      <c r="H648" s="1021">
        <v>3.04E-6</v>
      </c>
      <c r="I648" s="1022">
        <v>1.89E-5</v>
      </c>
      <c r="K648" s="1031" t="s">
        <v>136</v>
      </c>
      <c r="L648" s="1032" t="s">
        <v>581</v>
      </c>
      <c r="M648" s="1032" t="s">
        <v>1035</v>
      </c>
      <c r="N648" s="1032" t="s">
        <v>1045</v>
      </c>
      <c r="O648" s="1032">
        <v>2021.0</v>
      </c>
      <c r="P648" s="1032" t="s">
        <v>1039</v>
      </c>
      <c r="Q648" s="1033" t="s">
        <v>63</v>
      </c>
      <c r="R648" s="1034">
        <v>1531.147811</v>
      </c>
      <c r="S648" s="1034">
        <v>907.7210896</v>
      </c>
      <c r="T648" s="1035">
        <v>2181.972149</v>
      </c>
      <c r="AB648" s="1045"/>
      <c r="AF648" s="225"/>
    </row>
    <row r="649">
      <c r="A649" s="1013"/>
      <c r="B649" s="1019" t="s">
        <v>131</v>
      </c>
      <c r="C649" s="1020" t="s">
        <v>1035</v>
      </c>
      <c r="D649" s="1020" t="s">
        <v>1041</v>
      </c>
      <c r="E649" s="1020" t="s">
        <v>660</v>
      </c>
      <c r="F649" s="1020">
        <v>2021.0</v>
      </c>
      <c r="G649" s="1021">
        <v>1.87E-6</v>
      </c>
      <c r="H649" s="1021">
        <v>8.39E-7</v>
      </c>
      <c r="I649" s="1022">
        <v>3.44E-6</v>
      </c>
      <c r="K649" s="1031" t="s">
        <v>115</v>
      </c>
      <c r="L649" s="1032" t="s">
        <v>581</v>
      </c>
      <c r="M649" s="1032" t="s">
        <v>1035</v>
      </c>
      <c r="N649" s="1032" t="s">
        <v>1038</v>
      </c>
      <c r="O649" s="1032">
        <v>2021.0</v>
      </c>
      <c r="P649" s="1032" t="s">
        <v>1039</v>
      </c>
      <c r="Q649" s="1033" t="s">
        <v>63</v>
      </c>
      <c r="R649" s="1034">
        <v>1302.26985</v>
      </c>
      <c r="S649" s="1034">
        <v>712.6792763</v>
      </c>
      <c r="T649" s="1035">
        <v>2115.56406</v>
      </c>
      <c r="AB649" s="1045"/>
      <c r="AF649" s="225"/>
    </row>
    <row r="650">
      <c r="A650" s="1013"/>
      <c r="B650" s="1019" t="s">
        <v>131</v>
      </c>
      <c r="C650" s="1020" t="s">
        <v>1035</v>
      </c>
      <c r="D650" s="1020" t="s">
        <v>1043</v>
      </c>
      <c r="E650" s="1020" t="s">
        <v>660</v>
      </c>
      <c r="F650" s="1020">
        <v>2021.0</v>
      </c>
      <c r="G650" s="1021">
        <v>3.87E-5</v>
      </c>
      <c r="H650" s="1021">
        <v>1.47E-5</v>
      </c>
      <c r="I650" s="1022">
        <v>7.47E-5</v>
      </c>
      <c r="K650" s="1031" t="s">
        <v>115</v>
      </c>
      <c r="L650" s="1032" t="s">
        <v>581</v>
      </c>
      <c r="M650" s="1032" t="s">
        <v>1035</v>
      </c>
      <c r="N650" s="1032" t="s">
        <v>1042</v>
      </c>
      <c r="O650" s="1032">
        <v>2021.0</v>
      </c>
      <c r="P650" s="1032" t="s">
        <v>1039</v>
      </c>
      <c r="Q650" s="1033" t="s">
        <v>63</v>
      </c>
      <c r="R650" s="1034">
        <v>381.0681328</v>
      </c>
      <c r="S650" s="1034">
        <v>250.1790418</v>
      </c>
      <c r="T650" s="1035">
        <v>549.8072856</v>
      </c>
      <c r="AB650" s="1045"/>
      <c r="AF650" s="225"/>
    </row>
    <row r="651">
      <c r="A651" s="1013"/>
      <c r="B651" s="1019" t="s">
        <v>131</v>
      </c>
      <c r="C651" s="1020" t="s">
        <v>1035</v>
      </c>
      <c r="D651" s="1020" t="s">
        <v>1045</v>
      </c>
      <c r="E651" s="1020" t="s">
        <v>660</v>
      </c>
      <c r="F651" s="1020">
        <v>2021.0</v>
      </c>
      <c r="G651" s="1021">
        <v>2.0488E-4</v>
      </c>
      <c r="H651" s="1021">
        <v>7.3E-5</v>
      </c>
      <c r="I651" s="1022">
        <v>4.00971E-4</v>
      </c>
      <c r="K651" s="1031" t="s">
        <v>115</v>
      </c>
      <c r="L651" s="1032" t="s">
        <v>581</v>
      </c>
      <c r="M651" s="1032" t="s">
        <v>1035</v>
      </c>
      <c r="N651" s="1032" t="s">
        <v>1044</v>
      </c>
      <c r="O651" s="1032">
        <v>2021.0</v>
      </c>
      <c r="P651" s="1032" t="s">
        <v>1039</v>
      </c>
      <c r="Q651" s="1033" t="s">
        <v>63</v>
      </c>
      <c r="R651" s="1034">
        <v>172.4965171</v>
      </c>
      <c r="S651" s="1034">
        <v>114.0934461</v>
      </c>
      <c r="T651" s="1035">
        <v>238.5226087</v>
      </c>
      <c r="AB651" s="1045"/>
      <c r="AF651" s="225"/>
    </row>
    <row r="652">
      <c r="A652" s="1013"/>
      <c r="B652" s="1019" t="s">
        <v>132</v>
      </c>
      <c r="C652" s="1020" t="s">
        <v>1035</v>
      </c>
      <c r="D652" s="1020" t="s">
        <v>1036</v>
      </c>
      <c r="E652" s="1020" t="s">
        <v>660</v>
      </c>
      <c r="F652" s="1020">
        <v>2021.0</v>
      </c>
      <c r="G652" s="1021">
        <v>1.17E-5</v>
      </c>
      <c r="H652" s="1021">
        <v>3.62E-6</v>
      </c>
      <c r="I652" s="1022">
        <v>2.35E-5</v>
      </c>
      <c r="K652" s="1031" t="s">
        <v>115</v>
      </c>
      <c r="L652" s="1032" t="s">
        <v>581</v>
      </c>
      <c r="M652" s="1032" t="s">
        <v>1035</v>
      </c>
      <c r="N652" s="1032" t="s">
        <v>1046</v>
      </c>
      <c r="O652" s="1032">
        <v>2021.0</v>
      </c>
      <c r="P652" s="1032" t="s">
        <v>1039</v>
      </c>
      <c r="Q652" s="1033" t="s">
        <v>63</v>
      </c>
      <c r="R652" s="1034">
        <v>630.5333599</v>
      </c>
      <c r="S652" s="1034">
        <v>411.6339091</v>
      </c>
      <c r="T652" s="1035">
        <v>903.1620907</v>
      </c>
      <c r="AB652" s="1045"/>
      <c r="AF652" s="225"/>
    </row>
    <row r="653">
      <c r="A653" s="1013"/>
      <c r="B653" s="1019" t="s">
        <v>132</v>
      </c>
      <c r="C653" s="1020" t="s">
        <v>1035</v>
      </c>
      <c r="D653" s="1020" t="s">
        <v>1041</v>
      </c>
      <c r="E653" s="1020" t="s">
        <v>660</v>
      </c>
      <c r="F653" s="1020">
        <v>2021.0</v>
      </c>
      <c r="G653" s="1021">
        <v>2.4E-6</v>
      </c>
      <c r="H653" s="1021">
        <v>1.04E-6</v>
      </c>
      <c r="I653" s="1022">
        <v>4.37E-6</v>
      </c>
      <c r="K653" s="1031" t="s">
        <v>115</v>
      </c>
      <c r="L653" s="1032" t="s">
        <v>581</v>
      </c>
      <c r="M653" s="1032" t="s">
        <v>1035</v>
      </c>
      <c r="N653" s="1032" t="s">
        <v>1045</v>
      </c>
      <c r="O653" s="1032">
        <v>2021.0</v>
      </c>
      <c r="P653" s="1032" t="s">
        <v>1039</v>
      </c>
      <c r="Q653" s="1033" t="s">
        <v>63</v>
      </c>
      <c r="R653" s="1034">
        <v>2486.36786</v>
      </c>
      <c r="S653" s="1034">
        <v>1638.01983</v>
      </c>
      <c r="T653" s="1035">
        <v>3572.904576</v>
      </c>
      <c r="AB653" s="1045"/>
      <c r="AF653" s="225"/>
    </row>
    <row r="654">
      <c r="A654" s="1013"/>
      <c r="B654" s="1019" t="s">
        <v>132</v>
      </c>
      <c r="C654" s="1020" t="s">
        <v>1035</v>
      </c>
      <c r="D654" s="1020" t="s">
        <v>1043</v>
      </c>
      <c r="E654" s="1020" t="s">
        <v>660</v>
      </c>
      <c r="F654" s="1020">
        <v>2021.0</v>
      </c>
      <c r="G654" s="1021">
        <v>5.07E-5</v>
      </c>
      <c r="H654" s="1021">
        <v>1.8E-5</v>
      </c>
      <c r="I654" s="1022">
        <v>9.59E-5</v>
      </c>
      <c r="K654" s="1031" t="s">
        <v>137</v>
      </c>
      <c r="L654" s="1032" t="s">
        <v>581</v>
      </c>
      <c r="M654" s="1032" t="s">
        <v>1035</v>
      </c>
      <c r="N654" s="1032" t="s">
        <v>1038</v>
      </c>
      <c r="O654" s="1032">
        <v>2021.0</v>
      </c>
      <c r="P654" s="1032" t="s">
        <v>1039</v>
      </c>
      <c r="Q654" s="1033" t="s">
        <v>63</v>
      </c>
      <c r="R654" s="1034">
        <v>535.2560547</v>
      </c>
      <c r="S654" s="1034">
        <v>221.0764032</v>
      </c>
      <c r="T654" s="1035">
        <v>913.3145469</v>
      </c>
      <c r="AB654" s="1045"/>
      <c r="AF654" s="225"/>
    </row>
    <row r="655">
      <c r="A655" s="1013"/>
      <c r="B655" s="1019" t="s">
        <v>132</v>
      </c>
      <c r="C655" s="1020" t="s">
        <v>1035</v>
      </c>
      <c r="D655" s="1020" t="s">
        <v>1045</v>
      </c>
      <c r="E655" s="1020" t="s">
        <v>660</v>
      </c>
      <c r="F655" s="1020">
        <v>2021.0</v>
      </c>
      <c r="G655" s="1021">
        <v>2.59696E-4</v>
      </c>
      <c r="H655" s="1021">
        <v>1.03965E-4</v>
      </c>
      <c r="I655" s="1022">
        <v>4.8244E-4</v>
      </c>
      <c r="K655" s="1031" t="s">
        <v>137</v>
      </c>
      <c r="L655" s="1032" t="s">
        <v>581</v>
      </c>
      <c r="M655" s="1032" t="s">
        <v>1035</v>
      </c>
      <c r="N655" s="1032" t="s">
        <v>1042</v>
      </c>
      <c r="O655" s="1032">
        <v>2021.0</v>
      </c>
      <c r="P655" s="1032" t="s">
        <v>1039</v>
      </c>
      <c r="Q655" s="1033" t="s">
        <v>63</v>
      </c>
      <c r="R655" s="1034">
        <v>588.8475439</v>
      </c>
      <c r="S655" s="1034">
        <v>366.9566218</v>
      </c>
      <c r="T655" s="1035">
        <v>918.260033</v>
      </c>
      <c r="AB655" s="1045"/>
      <c r="AF655" s="225"/>
    </row>
    <row r="656">
      <c r="A656" s="1013"/>
      <c r="B656" s="1019" t="s">
        <v>133</v>
      </c>
      <c r="C656" s="1020" t="s">
        <v>1035</v>
      </c>
      <c r="D656" s="1020" t="s">
        <v>1036</v>
      </c>
      <c r="E656" s="1020" t="s">
        <v>660</v>
      </c>
      <c r="F656" s="1020">
        <v>2021.0</v>
      </c>
      <c r="G656" s="1021">
        <v>6.52E-6</v>
      </c>
      <c r="H656" s="1021">
        <v>2.04E-6</v>
      </c>
      <c r="I656" s="1022">
        <v>1.39E-5</v>
      </c>
      <c r="K656" s="1031" t="s">
        <v>137</v>
      </c>
      <c r="L656" s="1032" t="s">
        <v>581</v>
      </c>
      <c r="M656" s="1032" t="s">
        <v>1035</v>
      </c>
      <c r="N656" s="1032" t="s">
        <v>1044</v>
      </c>
      <c r="O656" s="1032">
        <v>2021.0</v>
      </c>
      <c r="P656" s="1032" t="s">
        <v>1039</v>
      </c>
      <c r="Q656" s="1033" t="s">
        <v>63</v>
      </c>
      <c r="R656" s="1034">
        <v>133.3791064</v>
      </c>
      <c r="S656" s="1034">
        <v>66.39876646</v>
      </c>
      <c r="T656" s="1035">
        <v>218.0783102</v>
      </c>
      <c r="AB656" s="1045"/>
      <c r="AF656" s="225"/>
    </row>
    <row r="657">
      <c r="A657" s="1013"/>
      <c r="B657" s="1019" t="s">
        <v>133</v>
      </c>
      <c r="C657" s="1020" t="s">
        <v>1035</v>
      </c>
      <c r="D657" s="1020" t="s">
        <v>1041</v>
      </c>
      <c r="E657" s="1020" t="s">
        <v>660</v>
      </c>
      <c r="F657" s="1020">
        <v>2021.0</v>
      </c>
      <c r="G657" s="1021">
        <v>1.49E-6</v>
      </c>
      <c r="H657" s="1021">
        <v>6.4E-7</v>
      </c>
      <c r="I657" s="1022">
        <v>2.74E-6</v>
      </c>
      <c r="K657" s="1031" t="s">
        <v>137</v>
      </c>
      <c r="L657" s="1032" t="s">
        <v>581</v>
      </c>
      <c r="M657" s="1032" t="s">
        <v>1035</v>
      </c>
      <c r="N657" s="1032" t="s">
        <v>1046</v>
      </c>
      <c r="O657" s="1032">
        <v>2021.0</v>
      </c>
      <c r="P657" s="1032" t="s">
        <v>1039</v>
      </c>
      <c r="Q657" s="1033" t="s">
        <v>63</v>
      </c>
      <c r="R657" s="1034">
        <v>486.6533194</v>
      </c>
      <c r="S657" s="1034">
        <v>228.1598834</v>
      </c>
      <c r="T657" s="1035">
        <v>797.8171984</v>
      </c>
      <c r="AB657" s="1045"/>
      <c r="AF657" s="225"/>
    </row>
    <row r="658">
      <c r="A658" s="1013"/>
      <c r="B658" s="1019" t="s">
        <v>133</v>
      </c>
      <c r="C658" s="1020" t="s">
        <v>1035</v>
      </c>
      <c r="D658" s="1020" t="s">
        <v>1043</v>
      </c>
      <c r="E658" s="1020" t="s">
        <v>660</v>
      </c>
      <c r="F658" s="1020">
        <v>2021.0</v>
      </c>
      <c r="G658" s="1021">
        <v>2.72E-5</v>
      </c>
      <c r="H658" s="1021">
        <v>1.05E-5</v>
      </c>
      <c r="I658" s="1022">
        <v>5.48E-5</v>
      </c>
      <c r="K658" s="1031" t="s">
        <v>137</v>
      </c>
      <c r="L658" s="1032" t="s">
        <v>581</v>
      </c>
      <c r="M658" s="1032" t="s">
        <v>1035</v>
      </c>
      <c r="N658" s="1032" t="s">
        <v>1045</v>
      </c>
      <c r="O658" s="1032">
        <v>2021.0</v>
      </c>
      <c r="P658" s="1032" t="s">
        <v>1039</v>
      </c>
      <c r="Q658" s="1033" t="s">
        <v>63</v>
      </c>
      <c r="R658" s="1034">
        <v>1744.136024</v>
      </c>
      <c r="S658" s="1034">
        <v>1040.0447</v>
      </c>
      <c r="T658" s="1035">
        <v>2655.940775</v>
      </c>
      <c r="AB658" s="1045"/>
      <c r="AF658" s="225"/>
    </row>
    <row r="659">
      <c r="A659" s="1013"/>
      <c r="B659" s="1019" t="s">
        <v>133</v>
      </c>
      <c r="C659" s="1020" t="s">
        <v>1035</v>
      </c>
      <c r="D659" s="1020" t="s">
        <v>1045</v>
      </c>
      <c r="E659" s="1020" t="s">
        <v>660</v>
      </c>
      <c r="F659" s="1020">
        <v>2021.0</v>
      </c>
      <c r="G659" s="1021">
        <v>1.80419E-4</v>
      </c>
      <c r="H659" s="1021">
        <v>7.1E-5</v>
      </c>
      <c r="I659" s="1022">
        <v>3.50951E-4</v>
      </c>
      <c r="K659" s="1031" t="s">
        <v>116</v>
      </c>
      <c r="L659" s="1032" t="s">
        <v>581</v>
      </c>
      <c r="M659" s="1032" t="s">
        <v>1035</v>
      </c>
      <c r="N659" s="1032" t="s">
        <v>1038</v>
      </c>
      <c r="O659" s="1032">
        <v>2021.0</v>
      </c>
      <c r="P659" s="1032" t="s">
        <v>1039</v>
      </c>
      <c r="Q659" s="1033" t="s">
        <v>63</v>
      </c>
      <c r="R659" s="1034">
        <v>3069.587304</v>
      </c>
      <c r="S659" s="1034">
        <v>1670.211351</v>
      </c>
      <c r="T659" s="1035">
        <v>4792.35084</v>
      </c>
      <c r="AB659" s="1045"/>
      <c r="AF659" s="225"/>
    </row>
    <row r="660">
      <c r="A660" s="1013"/>
      <c r="B660" s="1019" t="s">
        <v>134</v>
      </c>
      <c r="C660" s="1020" t="s">
        <v>1035</v>
      </c>
      <c r="D660" s="1020" t="s">
        <v>1036</v>
      </c>
      <c r="E660" s="1020" t="s">
        <v>660</v>
      </c>
      <c r="F660" s="1020">
        <v>2021.0</v>
      </c>
      <c r="G660" s="1021">
        <v>6.97E-6</v>
      </c>
      <c r="H660" s="1021">
        <v>2.21E-6</v>
      </c>
      <c r="I660" s="1022">
        <v>1.43E-5</v>
      </c>
      <c r="K660" s="1031" t="s">
        <v>116</v>
      </c>
      <c r="L660" s="1032" t="s">
        <v>581</v>
      </c>
      <c r="M660" s="1032" t="s">
        <v>1035</v>
      </c>
      <c r="N660" s="1032" t="s">
        <v>1042</v>
      </c>
      <c r="O660" s="1032">
        <v>2021.0</v>
      </c>
      <c r="P660" s="1032" t="s">
        <v>1039</v>
      </c>
      <c r="Q660" s="1033" t="s">
        <v>63</v>
      </c>
      <c r="R660" s="1034">
        <v>750.413681</v>
      </c>
      <c r="S660" s="1034">
        <v>485.6268877</v>
      </c>
      <c r="T660" s="1035">
        <v>1066.788841</v>
      </c>
      <c r="AB660" s="1045"/>
      <c r="AF660" s="225"/>
    </row>
    <row r="661">
      <c r="A661" s="1013"/>
      <c r="B661" s="1019" t="s">
        <v>134</v>
      </c>
      <c r="C661" s="1020" t="s">
        <v>1035</v>
      </c>
      <c r="D661" s="1020" t="s">
        <v>1041</v>
      </c>
      <c r="E661" s="1020" t="s">
        <v>660</v>
      </c>
      <c r="F661" s="1020">
        <v>2021.0</v>
      </c>
      <c r="G661" s="1021">
        <v>1.67E-6</v>
      </c>
      <c r="H661" s="1021">
        <v>7.18E-7</v>
      </c>
      <c r="I661" s="1022">
        <v>3.07E-6</v>
      </c>
      <c r="K661" s="1031" t="s">
        <v>116</v>
      </c>
      <c r="L661" s="1032" t="s">
        <v>581</v>
      </c>
      <c r="M661" s="1032" t="s">
        <v>1035</v>
      </c>
      <c r="N661" s="1032" t="s">
        <v>1044</v>
      </c>
      <c r="O661" s="1032">
        <v>2021.0</v>
      </c>
      <c r="P661" s="1032" t="s">
        <v>1039</v>
      </c>
      <c r="Q661" s="1033" t="s">
        <v>63</v>
      </c>
      <c r="R661" s="1034">
        <v>322.7686116</v>
      </c>
      <c r="S661" s="1034">
        <v>223.7918336</v>
      </c>
      <c r="T661" s="1035">
        <v>434.9800452</v>
      </c>
      <c r="AB661" s="1045"/>
      <c r="AF661" s="225"/>
    </row>
    <row r="662">
      <c r="A662" s="1013"/>
      <c r="B662" s="1019" t="s">
        <v>134</v>
      </c>
      <c r="C662" s="1020" t="s">
        <v>1035</v>
      </c>
      <c r="D662" s="1020" t="s">
        <v>1043</v>
      </c>
      <c r="E662" s="1020" t="s">
        <v>660</v>
      </c>
      <c r="F662" s="1020">
        <v>2021.0</v>
      </c>
      <c r="G662" s="1021">
        <v>3.07E-5</v>
      </c>
      <c r="H662" s="1021">
        <v>1.18E-5</v>
      </c>
      <c r="I662" s="1022">
        <v>6.19E-5</v>
      </c>
      <c r="K662" s="1031" t="s">
        <v>116</v>
      </c>
      <c r="L662" s="1032" t="s">
        <v>581</v>
      </c>
      <c r="M662" s="1032" t="s">
        <v>1035</v>
      </c>
      <c r="N662" s="1032" t="s">
        <v>1046</v>
      </c>
      <c r="O662" s="1032">
        <v>2021.0</v>
      </c>
      <c r="P662" s="1032" t="s">
        <v>1039</v>
      </c>
      <c r="Q662" s="1033" t="s">
        <v>63</v>
      </c>
      <c r="R662" s="1034">
        <v>1248.695729</v>
      </c>
      <c r="S662" s="1034">
        <v>814.5926763</v>
      </c>
      <c r="T662" s="1035">
        <v>1799.375861</v>
      </c>
      <c r="AB662" s="1045"/>
      <c r="AF662" s="225"/>
    </row>
    <row r="663">
      <c r="A663" s="1013"/>
      <c r="B663" s="1019" t="s">
        <v>134</v>
      </c>
      <c r="C663" s="1020" t="s">
        <v>1035</v>
      </c>
      <c r="D663" s="1020" t="s">
        <v>1045</v>
      </c>
      <c r="E663" s="1020" t="s">
        <v>660</v>
      </c>
      <c r="F663" s="1020">
        <v>2021.0</v>
      </c>
      <c r="G663" s="1021">
        <v>1.73715E-4</v>
      </c>
      <c r="H663" s="1021">
        <v>6.39E-5</v>
      </c>
      <c r="I663" s="1022">
        <v>3.4236E-4</v>
      </c>
      <c r="K663" s="1031" t="s">
        <v>116</v>
      </c>
      <c r="L663" s="1032" t="s">
        <v>581</v>
      </c>
      <c r="M663" s="1032" t="s">
        <v>1035</v>
      </c>
      <c r="N663" s="1032" t="s">
        <v>1045</v>
      </c>
      <c r="O663" s="1032">
        <v>2021.0</v>
      </c>
      <c r="P663" s="1032" t="s">
        <v>1039</v>
      </c>
      <c r="Q663" s="1033" t="s">
        <v>63</v>
      </c>
      <c r="R663" s="1034">
        <v>5391.465326</v>
      </c>
      <c r="S663" s="1034">
        <v>3484.749191</v>
      </c>
      <c r="T663" s="1035">
        <v>7717.869994</v>
      </c>
      <c r="AB663" s="1045"/>
      <c r="AF663" s="225"/>
    </row>
    <row r="664">
      <c r="A664" s="1013"/>
      <c r="B664" s="1019" t="s">
        <v>135</v>
      </c>
      <c r="C664" s="1020" t="s">
        <v>1035</v>
      </c>
      <c r="D664" s="1020" t="s">
        <v>1036</v>
      </c>
      <c r="E664" s="1020" t="s">
        <v>660</v>
      </c>
      <c r="F664" s="1020">
        <v>2021.0</v>
      </c>
      <c r="G664" s="1021">
        <v>6.58E-6</v>
      </c>
      <c r="H664" s="1021">
        <v>2.03E-6</v>
      </c>
      <c r="I664" s="1022">
        <v>1.44E-5</v>
      </c>
      <c r="K664" s="1031" t="s">
        <v>138</v>
      </c>
      <c r="L664" s="1032" t="s">
        <v>581</v>
      </c>
      <c r="M664" s="1032" t="s">
        <v>1035</v>
      </c>
      <c r="N664" s="1032" t="s">
        <v>1038</v>
      </c>
      <c r="O664" s="1032">
        <v>2021.0</v>
      </c>
      <c r="P664" s="1032" t="s">
        <v>1039</v>
      </c>
      <c r="Q664" s="1033" t="s">
        <v>63</v>
      </c>
      <c r="R664" s="1034">
        <v>1899.812779</v>
      </c>
      <c r="S664" s="1034">
        <v>946.6502429</v>
      </c>
      <c r="T664" s="1035">
        <v>3045.850561</v>
      </c>
      <c r="AB664" s="1045"/>
      <c r="AF664" s="225"/>
    </row>
    <row r="665">
      <c r="A665" s="1013"/>
      <c r="B665" s="1019" t="s">
        <v>135</v>
      </c>
      <c r="C665" s="1020" t="s">
        <v>1035</v>
      </c>
      <c r="D665" s="1020" t="s">
        <v>1041</v>
      </c>
      <c r="E665" s="1020" t="s">
        <v>660</v>
      </c>
      <c r="F665" s="1020">
        <v>2021.0</v>
      </c>
      <c r="G665" s="1021">
        <v>1.3E-6</v>
      </c>
      <c r="H665" s="1021">
        <v>5.52E-7</v>
      </c>
      <c r="I665" s="1022">
        <v>2.54E-6</v>
      </c>
      <c r="K665" s="1031" t="s">
        <v>138</v>
      </c>
      <c r="L665" s="1032" t="s">
        <v>581</v>
      </c>
      <c r="M665" s="1032" t="s">
        <v>1035</v>
      </c>
      <c r="N665" s="1032" t="s">
        <v>1042</v>
      </c>
      <c r="O665" s="1032">
        <v>2021.0</v>
      </c>
      <c r="P665" s="1032" t="s">
        <v>1039</v>
      </c>
      <c r="Q665" s="1033" t="s">
        <v>63</v>
      </c>
      <c r="R665" s="1034">
        <v>981.2133565</v>
      </c>
      <c r="S665" s="1034">
        <v>658.4748296</v>
      </c>
      <c r="T665" s="1035">
        <v>1414.208146</v>
      </c>
      <c r="AB665" s="1045"/>
      <c r="AF665" s="225"/>
    </row>
    <row r="666">
      <c r="A666" s="1013"/>
      <c r="B666" s="1019" t="s">
        <v>135</v>
      </c>
      <c r="C666" s="1020" t="s">
        <v>1035</v>
      </c>
      <c r="D666" s="1020" t="s">
        <v>1043</v>
      </c>
      <c r="E666" s="1020" t="s">
        <v>660</v>
      </c>
      <c r="F666" s="1020">
        <v>2021.0</v>
      </c>
      <c r="G666" s="1021">
        <v>2.35E-5</v>
      </c>
      <c r="H666" s="1021">
        <v>6.96E-6</v>
      </c>
      <c r="I666" s="1022">
        <v>4.73E-5</v>
      </c>
      <c r="K666" s="1031" t="s">
        <v>138</v>
      </c>
      <c r="L666" s="1032" t="s">
        <v>581</v>
      </c>
      <c r="M666" s="1032" t="s">
        <v>1035</v>
      </c>
      <c r="N666" s="1032" t="s">
        <v>1044</v>
      </c>
      <c r="O666" s="1032">
        <v>2021.0</v>
      </c>
      <c r="P666" s="1032" t="s">
        <v>1039</v>
      </c>
      <c r="Q666" s="1033" t="s">
        <v>63</v>
      </c>
      <c r="R666" s="1034">
        <v>560.4574101</v>
      </c>
      <c r="S666" s="1034">
        <v>370.57505</v>
      </c>
      <c r="T666" s="1035">
        <v>790.6865753</v>
      </c>
      <c r="AB666" s="1045"/>
      <c r="AF666" s="225"/>
    </row>
    <row r="667">
      <c r="A667" s="1013"/>
      <c r="B667" s="1019" t="s">
        <v>135</v>
      </c>
      <c r="C667" s="1020" t="s">
        <v>1035</v>
      </c>
      <c r="D667" s="1020" t="s">
        <v>1045</v>
      </c>
      <c r="E667" s="1020" t="s">
        <v>660</v>
      </c>
      <c r="F667" s="1020">
        <v>2021.0</v>
      </c>
      <c r="G667" s="1021">
        <v>1.22419E-4</v>
      </c>
      <c r="H667" s="1021">
        <v>3.98E-5</v>
      </c>
      <c r="I667" s="1022">
        <v>2.3262E-4</v>
      </c>
      <c r="K667" s="1031" t="s">
        <v>138</v>
      </c>
      <c r="L667" s="1032" t="s">
        <v>581</v>
      </c>
      <c r="M667" s="1032" t="s">
        <v>1035</v>
      </c>
      <c r="N667" s="1032" t="s">
        <v>1046</v>
      </c>
      <c r="O667" s="1032">
        <v>2021.0</v>
      </c>
      <c r="P667" s="1032" t="s">
        <v>1039</v>
      </c>
      <c r="Q667" s="1033" t="s">
        <v>63</v>
      </c>
      <c r="R667" s="1034">
        <v>2026.787389</v>
      </c>
      <c r="S667" s="1034">
        <v>1225.184533</v>
      </c>
      <c r="T667" s="1035">
        <v>3011.117324</v>
      </c>
      <c r="AB667" s="1045"/>
      <c r="AF667" s="225"/>
    </row>
    <row r="668">
      <c r="A668" s="1013"/>
      <c r="B668" s="1019" t="s">
        <v>136</v>
      </c>
      <c r="C668" s="1020" t="s">
        <v>1035</v>
      </c>
      <c r="D668" s="1020" t="s">
        <v>1036</v>
      </c>
      <c r="E668" s="1020" t="s">
        <v>660</v>
      </c>
      <c r="F668" s="1020">
        <v>2021.0</v>
      </c>
      <c r="G668" s="1021">
        <v>6.57E-6</v>
      </c>
      <c r="H668" s="1021">
        <v>1.77E-6</v>
      </c>
      <c r="I668" s="1022">
        <v>1.33E-5</v>
      </c>
      <c r="K668" s="1031" t="s">
        <v>138</v>
      </c>
      <c r="L668" s="1032" t="s">
        <v>581</v>
      </c>
      <c r="M668" s="1032" t="s">
        <v>1035</v>
      </c>
      <c r="N668" s="1032" t="s">
        <v>1045</v>
      </c>
      <c r="O668" s="1032">
        <v>2021.0</v>
      </c>
      <c r="P668" s="1032" t="s">
        <v>1039</v>
      </c>
      <c r="Q668" s="1033" t="s">
        <v>63</v>
      </c>
      <c r="R668" s="1034">
        <v>5468.270934</v>
      </c>
      <c r="S668" s="1034">
        <v>3572.182072</v>
      </c>
      <c r="T668" s="1035">
        <v>7738.518534</v>
      </c>
      <c r="AB668" s="1045"/>
      <c r="AF668" s="225"/>
    </row>
    <row r="669">
      <c r="A669" s="1013"/>
      <c r="B669" s="1019" t="s">
        <v>136</v>
      </c>
      <c r="C669" s="1020" t="s">
        <v>1035</v>
      </c>
      <c r="D669" s="1020" t="s">
        <v>1041</v>
      </c>
      <c r="E669" s="1020" t="s">
        <v>660</v>
      </c>
      <c r="F669" s="1020">
        <v>2021.0</v>
      </c>
      <c r="G669" s="1021">
        <v>1.37E-6</v>
      </c>
      <c r="H669" s="1021">
        <v>5.35E-7</v>
      </c>
      <c r="I669" s="1022">
        <v>2.6E-6</v>
      </c>
      <c r="K669" s="1031" t="s">
        <v>118</v>
      </c>
      <c r="L669" s="1032" t="s">
        <v>581</v>
      </c>
      <c r="M669" s="1032" t="s">
        <v>1035</v>
      </c>
      <c r="N669" s="1032" t="s">
        <v>1038</v>
      </c>
      <c r="O669" s="1032">
        <v>2021.0</v>
      </c>
      <c r="P669" s="1032" t="s">
        <v>1039</v>
      </c>
      <c r="Q669" s="1033" t="s">
        <v>63</v>
      </c>
      <c r="R669" s="1034">
        <v>7398.018313</v>
      </c>
      <c r="S669" s="1034">
        <v>3633.947998</v>
      </c>
      <c r="T669" s="1035">
        <v>12249.04277</v>
      </c>
      <c r="AB669" s="1045"/>
      <c r="AF669" s="225"/>
    </row>
    <row r="670">
      <c r="A670" s="1013"/>
      <c r="B670" s="1019" t="s">
        <v>136</v>
      </c>
      <c r="C670" s="1020" t="s">
        <v>1035</v>
      </c>
      <c r="D670" s="1020" t="s">
        <v>1043</v>
      </c>
      <c r="E670" s="1020" t="s">
        <v>660</v>
      </c>
      <c r="F670" s="1020">
        <v>2021.0</v>
      </c>
      <c r="G670" s="1021">
        <v>2.46E-5</v>
      </c>
      <c r="H670" s="1021">
        <v>7.51E-6</v>
      </c>
      <c r="I670" s="1022">
        <v>4.89E-5</v>
      </c>
      <c r="K670" s="1031" t="s">
        <v>118</v>
      </c>
      <c r="L670" s="1032" t="s">
        <v>581</v>
      </c>
      <c r="M670" s="1032" t="s">
        <v>1035</v>
      </c>
      <c r="N670" s="1032" t="s">
        <v>1042</v>
      </c>
      <c r="O670" s="1032">
        <v>2021.0</v>
      </c>
      <c r="P670" s="1032" t="s">
        <v>1039</v>
      </c>
      <c r="Q670" s="1033" t="s">
        <v>63</v>
      </c>
      <c r="R670" s="1034">
        <v>2779.112992</v>
      </c>
      <c r="S670" s="1034">
        <v>1867.178487</v>
      </c>
      <c r="T670" s="1035">
        <v>3999.593558</v>
      </c>
      <c r="AB670" s="1045"/>
      <c r="AF670" s="225"/>
    </row>
    <row r="671">
      <c r="A671" s="1013"/>
      <c r="B671" s="1019" t="s">
        <v>136</v>
      </c>
      <c r="C671" s="1020" t="s">
        <v>1035</v>
      </c>
      <c r="D671" s="1020" t="s">
        <v>1045</v>
      </c>
      <c r="E671" s="1020" t="s">
        <v>660</v>
      </c>
      <c r="F671" s="1020">
        <v>2021.0</v>
      </c>
      <c r="G671" s="1021">
        <v>1.35426E-4</v>
      </c>
      <c r="H671" s="1021">
        <v>4.62E-5</v>
      </c>
      <c r="I671" s="1022">
        <v>2.57433E-4</v>
      </c>
      <c r="K671" s="1031" t="s">
        <v>118</v>
      </c>
      <c r="L671" s="1032" t="s">
        <v>581</v>
      </c>
      <c r="M671" s="1032" t="s">
        <v>1035</v>
      </c>
      <c r="N671" s="1032" t="s">
        <v>1044</v>
      </c>
      <c r="O671" s="1032">
        <v>2021.0</v>
      </c>
      <c r="P671" s="1032" t="s">
        <v>1039</v>
      </c>
      <c r="Q671" s="1033" t="s">
        <v>63</v>
      </c>
      <c r="R671" s="1034">
        <v>1432.33014</v>
      </c>
      <c r="S671" s="1034">
        <v>958.6425941</v>
      </c>
      <c r="T671" s="1035">
        <v>2005.851363</v>
      </c>
      <c r="AB671" s="1045"/>
      <c r="AF671" s="225"/>
    </row>
    <row r="672">
      <c r="A672" s="1013"/>
      <c r="B672" s="1019" t="s">
        <v>115</v>
      </c>
      <c r="C672" s="1020" t="s">
        <v>1035</v>
      </c>
      <c r="D672" s="1020" t="s">
        <v>1036</v>
      </c>
      <c r="E672" s="1020" t="s">
        <v>660</v>
      </c>
      <c r="F672" s="1020">
        <v>2021.0</v>
      </c>
      <c r="G672" s="1021">
        <v>2.4E-5</v>
      </c>
      <c r="H672" s="1021">
        <v>7.18E-6</v>
      </c>
      <c r="I672" s="1022">
        <v>4.53E-5</v>
      </c>
      <c r="K672" s="1031" t="s">
        <v>118</v>
      </c>
      <c r="L672" s="1032" t="s">
        <v>581</v>
      </c>
      <c r="M672" s="1032" t="s">
        <v>1035</v>
      </c>
      <c r="N672" s="1032" t="s">
        <v>1046</v>
      </c>
      <c r="O672" s="1032">
        <v>2021.0</v>
      </c>
      <c r="P672" s="1032" t="s">
        <v>1039</v>
      </c>
      <c r="Q672" s="1033" t="s">
        <v>63</v>
      </c>
      <c r="R672" s="1034">
        <v>2992.417022</v>
      </c>
      <c r="S672" s="1034">
        <v>1821.630301</v>
      </c>
      <c r="T672" s="1035">
        <v>4362.76244</v>
      </c>
      <c r="AB672" s="1045"/>
      <c r="AF672" s="225"/>
    </row>
    <row r="673">
      <c r="A673" s="1013"/>
      <c r="B673" s="1019" t="s">
        <v>115</v>
      </c>
      <c r="C673" s="1020" t="s">
        <v>1035</v>
      </c>
      <c r="D673" s="1020" t="s">
        <v>1041</v>
      </c>
      <c r="E673" s="1020" t="s">
        <v>660</v>
      </c>
      <c r="F673" s="1020">
        <v>2021.0</v>
      </c>
      <c r="G673" s="1021">
        <v>6.97E-6</v>
      </c>
      <c r="H673" s="1021">
        <v>2.74E-6</v>
      </c>
      <c r="I673" s="1022">
        <v>1.23E-5</v>
      </c>
      <c r="K673" s="1031" t="s">
        <v>118</v>
      </c>
      <c r="L673" s="1032" t="s">
        <v>581</v>
      </c>
      <c r="M673" s="1032" t="s">
        <v>1035</v>
      </c>
      <c r="N673" s="1032" t="s">
        <v>1045</v>
      </c>
      <c r="O673" s="1032">
        <v>2021.0</v>
      </c>
      <c r="P673" s="1032" t="s">
        <v>1039</v>
      </c>
      <c r="Q673" s="1033" t="s">
        <v>63</v>
      </c>
      <c r="R673" s="1034">
        <v>14601.87847</v>
      </c>
      <c r="S673" s="1034">
        <v>9127.503282</v>
      </c>
      <c r="T673" s="1035">
        <v>21155.05062</v>
      </c>
      <c r="AB673" s="1045"/>
      <c r="AF673" s="225"/>
    </row>
    <row r="674">
      <c r="A674" s="1013"/>
      <c r="B674" s="1019" t="s">
        <v>115</v>
      </c>
      <c r="C674" s="1020" t="s">
        <v>1035</v>
      </c>
      <c r="D674" s="1020" t="s">
        <v>1043</v>
      </c>
      <c r="E674" s="1020" t="s">
        <v>660</v>
      </c>
      <c r="F674" s="1020">
        <v>2021.0</v>
      </c>
      <c r="G674" s="1021">
        <v>1.38837E-4</v>
      </c>
      <c r="H674" s="1021">
        <v>2.75E-5</v>
      </c>
      <c r="I674" s="1022">
        <v>2.60852E-4</v>
      </c>
      <c r="K674" s="1031" t="s">
        <v>119</v>
      </c>
      <c r="L674" s="1032" t="s">
        <v>581</v>
      </c>
      <c r="M674" s="1032" t="s">
        <v>1035</v>
      </c>
      <c r="N674" s="1032" t="s">
        <v>1038</v>
      </c>
      <c r="O674" s="1032">
        <v>2021.0</v>
      </c>
      <c r="P674" s="1032" t="s">
        <v>1039</v>
      </c>
      <c r="Q674" s="1033" t="s">
        <v>63</v>
      </c>
      <c r="R674" s="1034">
        <v>3645.233863</v>
      </c>
      <c r="S674" s="1034">
        <v>1937.932509</v>
      </c>
      <c r="T674" s="1035">
        <v>5816.834898</v>
      </c>
      <c r="AB674" s="1045"/>
      <c r="AF674" s="225"/>
    </row>
    <row r="675">
      <c r="A675" s="1013"/>
      <c r="B675" s="1019" t="s">
        <v>115</v>
      </c>
      <c r="C675" s="1020" t="s">
        <v>1035</v>
      </c>
      <c r="D675" s="1020" t="s">
        <v>1045</v>
      </c>
      <c r="E675" s="1020" t="s">
        <v>660</v>
      </c>
      <c r="F675" s="1020">
        <v>2021.0</v>
      </c>
      <c r="G675" s="1021">
        <v>9.21641E-4</v>
      </c>
      <c r="H675" s="1021">
        <v>4.37361E-4</v>
      </c>
      <c r="I675" s="1022">
        <v>0.001630148</v>
      </c>
      <c r="K675" s="1031" t="s">
        <v>119</v>
      </c>
      <c r="L675" s="1032" t="s">
        <v>581</v>
      </c>
      <c r="M675" s="1032" t="s">
        <v>1035</v>
      </c>
      <c r="N675" s="1032" t="s">
        <v>1042</v>
      </c>
      <c r="O675" s="1032">
        <v>2021.0</v>
      </c>
      <c r="P675" s="1032" t="s">
        <v>1039</v>
      </c>
      <c r="Q675" s="1033" t="s">
        <v>63</v>
      </c>
      <c r="R675" s="1034">
        <v>1075.561854</v>
      </c>
      <c r="S675" s="1034">
        <v>701.6771898</v>
      </c>
      <c r="T675" s="1035">
        <v>1545.821328</v>
      </c>
      <c r="AB675" s="1045"/>
      <c r="AF675" s="225"/>
    </row>
    <row r="676">
      <c r="A676" s="1013"/>
      <c r="B676" s="1019" t="s">
        <v>137</v>
      </c>
      <c r="C676" s="1020" t="s">
        <v>1035</v>
      </c>
      <c r="D676" s="1020" t="s">
        <v>1036</v>
      </c>
      <c r="E676" s="1020" t="s">
        <v>660</v>
      </c>
      <c r="F676" s="1020">
        <v>2021.0</v>
      </c>
      <c r="G676" s="1021">
        <v>5.32E-6</v>
      </c>
      <c r="H676" s="1021">
        <v>1.39E-6</v>
      </c>
      <c r="I676" s="1022">
        <v>1.18E-5</v>
      </c>
      <c r="K676" s="1031" t="s">
        <v>119</v>
      </c>
      <c r="L676" s="1032" t="s">
        <v>581</v>
      </c>
      <c r="M676" s="1032" t="s">
        <v>1035</v>
      </c>
      <c r="N676" s="1032" t="s">
        <v>1044</v>
      </c>
      <c r="O676" s="1032">
        <v>2021.0</v>
      </c>
      <c r="P676" s="1032" t="s">
        <v>1039</v>
      </c>
      <c r="Q676" s="1033" t="s">
        <v>63</v>
      </c>
      <c r="R676" s="1034">
        <v>842.4771043</v>
      </c>
      <c r="S676" s="1034">
        <v>574.1615106</v>
      </c>
      <c r="T676" s="1035">
        <v>1170.064042</v>
      </c>
      <c r="AB676" s="1045"/>
      <c r="AF676" s="225"/>
    </row>
    <row r="677">
      <c r="A677" s="1013"/>
      <c r="B677" s="1019" t="s">
        <v>137</v>
      </c>
      <c r="C677" s="1020" t="s">
        <v>1035</v>
      </c>
      <c r="D677" s="1020" t="s">
        <v>1041</v>
      </c>
      <c r="E677" s="1020" t="s">
        <v>660</v>
      </c>
      <c r="F677" s="1020">
        <v>2021.0</v>
      </c>
      <c r="G677" s="1021">
        <v>1.18E-6</v>
      </c>
      <c r="H677" s="1021">
        <v>4.5E-7</v>
      </c>
      <c r="I677" s="1022">
        <v>2.28E-6</v>
      </c>
      <c r="K677" s="1031" t="s">
        <v>119</v>
      </c>
      <c r="L677" s="1032" t="s">
        <v>581</v>
      </c>
      <c r="M677" s="1032" t="s">
        <v>1035</v>
      </c>
      <c r="N677" s="1032" t="s">
        <v>1046</v>
      </c>
      <c r="O677" s="1032">
        <v>2021.0</v>
      </c>
      <c r="P677" s="1032" t="s">
        <v>1039</v>
      </c>
      <c r="Q677" s="1033" t="s">
        <v>63</v>
      </c>
      <c r="R677" s="1034">
        <v>1655.235404</v>
      </c>
      <c r="S677" s="1034">
        <v>1034.766784</v>
      </c>
      <c r="T677" s="1035">
        <v>2529.717296</v>
      </c>
      <c r="AB677" s="1045"/>
      <c r="AF677" s="225"/>
    </row>
    <row r="678">
      <c r="A678" s="1013"/>
      <c r="B678" s="1019" t="s">
        <v>137</v>
      </c>
      <c r="C678" s="1020" t="s">
        <v>1035</v>
      </c>
      <c r="D678" s="1020" t="s">
        <v>1043</v>
      </c>
      <c r="E678" s="1020" t="s">
        <v>660</v>
      </c>
      <c r="F678" s="1020">
        <v>2021.0</v>
      </c>
      <c r="G678" s="1021">
        <v>1.98E-5</v>
      </c>
      <c r="H678" s="1021">
        <v>6.04E-6</v>
      </c>
      <c r="I678" s="1022">
        <v>4.03E-5</v>
      </c>
      <c r="K678" s="1031" t="s">
        <v>119</v>
      </c>
      <c r="L678" s="1032" t="s">
        <v>581</v>
      </c>
      <c r="M678" s="1032" t="s">
        <v>1035</v>
      </c>
      <c r="N678" s="1032" t="s">
        <v>1045</v>
      </c>
      <c r="O678" s="1032">
        <v>2021.0</v>
      </c>
      <c r="P678" s="1032" t="s">
        <v>1039</v>
      </c>
      <c r="Q678" s="1033" t="s">
        <v>63</v>
      </c>
      <c r="R678" s="1034">
        <v>7218.508224</v>
      </c>
      <c r="S678" s="1034">
        <v>4723.692041</v>
      </c>
      <c r="T678" s="1035">
        <v>10283.82376</v>
      </c>
      <c r="AB678" s="1045"/>
      <c r="AF678" s="225"/>
    </row>
    <row r="679">
      <c r="A679" s="1013"/>
      <c r="B679" s="1019" t="s">
        <v>137</v>
      </c>
      <c r="C679" s="1020" t="s">
        <v>1035</v>
      </c>
      <c r="D679" s="1020" t="s">
        <v>1045</v>
      </c>
      <c r="E679" s="1020" t="s">
        <v>660</v>
      </c>
      <c r="F679" s="1020">
        <v>2021.0</v>
      </c>
      <c r="G679" s="1021">
        <v>1.01351E-4</v>
      </c>
      <c r="H679" s="1021">
        <v>3.64E-5</v>
      </c>
      <c r="I679" s="1022">
        <v>2.04361E-4</v>
      </c>
      <c r="K679" s="1031" t="s">
        <v>120</v>
      </c>
      <c r="L679" s="1032" t="s">
        <v>581</v>
      </c>
      <c r="M679" s="1032" t="s">
        <v>1035</v>
      </c>
      <c r="N679" s="1032" t="s">
        <v>1038</v>
      </c>
      <c r="O679" s="1032">
        <v>2021.0</v>
      </c>
      <c r="P679" s="1032" t="s">
        <v>1039</v>
      </c>
      <c r="Q679" s="1033" t="s">
        <v>63</v>
      </c>
      <c r="R679" s="1034">
        <v>1718.540368</v>
      </c>
      <c r="S679" s="1034">
        <v>1009.947394</v>
      </c>
      <c r="T679" s="1035">
        <v>2664.280536</v>
      </c>
      <c r="AB679" s="1045"/>
      <c r="AF679" s="225"/>
    </row>
    <row r="680">
      <c r="A680" s="1013"/>
      <c r="B680" s="1019" t="s">
        <v>116</v>
      </c>
      <c r="C680" s="1020" t="s">
        <v>1035</v>
      </c>
      <c r="D680" s="1020" t="s">
        <v>1036</v>
      </c>
      <c r="E680" s="1020" t="s">
        <v>660</v>
      </c>
      <c r="F680" s="1020">
        <v>2021.0</v>
      </c>
      <c r="G680" s="1021">
        <v>7.73E-5</v>
      </c>
      <c r="H680" s="1021">
        <v>2.83E-5</v>
      </c>
      <c r="I680" s="1022">
        <v>1.40369E-4</v>
      </c>
      <c r="K680" s="1031" t="s">
        <v>120</v>
      </c>
      <c r="L680" s="1032" t="s">
        <v>581</v>
      </c>
      <c r="M680" s="1032" t="s">
        <v>1035</v>
      </c>
      <c r="N680" s="1032" t="s">
        <v>1042</v>
      </c>
      <c r="O680" s="1032">
        <v>2021.0</v>
      </c>
      <c r="P680" s="1032" t="s">
        <v>1039</v>
      </c>
      <c r="Q680" s="1033" t="s">
        <v>63</v>
      </c>
      <c r="R680" s="1034">
        <v>697.047277</v>
      </c>
      <c r="S680" s="1034">
        <v>462.5594687</v>
      </c>
      <c r="T680" s="1035">
        <v>989.5784971</v>
      </c>
      <c r="AB680" s="1045"/>
      <c r="AF680" s="225"/>
    </row>
    <row r="681">
      <c r="A681" s="1013"/>
      <c r="B681" s="1019" t="s">
        <v>116</v>
      </c>
      <c r="C681" s="1020" t="s">
        <v>1035</v>
      </c>
      <c r="D681" s="1020" t="s">
        <v>1041</v>
      </c>
      <c r="E681" s="1020" t="s">
        <v>660</v>
      </c>
      <c r="F681" s="1020">
        <v>2021.0</v>
      </c>
      <c r="G681" s="1021">
        <v>1.36E-5</v>
      </c>
      <c r="H681" s="1021">
        <v>6.28E-6</v>
      </c>
      <c r="I681" s="1022">
        <v>2.48E-5</v>
      </c>
      <c r="K681" s="1031" t="s">
        <v>120</v>
      </c>
      <c r="L681" s="1032" t="s">
        <v>581</v>
      </c>
      <c r="M681" s="1032" t="s">
        <v>1035</v>
      </c>
      <c r="N681" s="1032" t="s">
        <v>1044</v>
      </c>
      <c r="O681" s="1032">
        <v>2021.0</v>
      </c>
      <c r="P681" s="1032" t="s">
        <v>1039</v>
      </c>
      <c r="Q681" s="1033" t="s">
        <v>63</v>
      </c>
      <c r="R681" s="1034">
        <v>317.3714496</v>
      </c>
      <c r="S681" s="1034">
        <v>212.8234525</v>
      </c>
      <c r="T681" s="1035">
        <v>435.6139733</v>
      </c>
      <c r="AB681" s="1045"/>
      <c r="AF681" s="225"/>
    </row>
    <row r="682">
      <c r="A682" s="1013"/>
      <c r="B682" s="1019" t="s">
        <v>116</v>
      </c>
      <c r="C682" s="1020" t="s">
        <v>1035</v>
      </c>
      <c r="D682" s="1020" t="s">
        <v>1043</v>
      </c>
      <c r="E682" s="1020" t="s">
        <v>660</v>
      </c>
      <c r="F682" s="1020">
        <v>2021.0</v>
      </c>
      <c r="G682" s="1021">
        <v>2.90386E-4</v>
      </c>
      <c r="H682" s="1021">
        <v>1.00715E-4</v>
      </c>
      <c r="I682" s="1022">
        <v>5.24986E-4</v>
      </c>
      <c r="K682" s="1031" t="s">
        <v>120</v>
      </c>
      <c r="L682" s="1032" t="s">
        <v>581</v>
      </c>
      <c r="M682" s="1032" t="s">
        <v>1035</v>
      </c>
      <c r="N682" s="1032" t="s">
        <v>1046</v>
      </c>
      <c r="O682" s="1032">
        <v>2021.0</v>
      </c>
      <c r="P682" s="1032" t="s">
        <v>1039</v>
      </c>
      <c r="Q682" s="1033" t="s">
        <v>63</v>
      </c>
      <c r="R682" s="1034">
        <v>989.4695123</v>
      </c>
      <c r="S682" s="1034">
        <v>700.5902959</v>
      </c>
      <c r="T682" s="1035">
        <v>1378.317985</v>
      </c>
      <c r="AB682" s="1045"/>
      <c r="AF682" s="225"/>
    </row>
    <row r="683">
      <c r="A683" s="1013"/>
      <c r="B683" s="1019" t="s">
        <v>116</v>
      </c>
      <c r="C683" s="1020" t="s">
        <v>1035</v>
      </c>
      <c r="D683" s="1020" t="s">
        <v>1045</v>
      </c>
      <c r="E683" s="1020" t="s">
        <v>660</v>
      </c>
      <c r="F683" s="1020">
        <v>2021.0</v>
      </c>
      <c r="G683" s="1021">
        <v>0.001855196</v>
      </c>
      <c r="H683" s="1021">
        <v>8.98053E-4</v>
      </c>
      <c r="I683" s="1022">
        <v>0.003308406</v>
      </c>
      <c r="K683" s="1031" t="s">
        <v>120</v>
      </c>
      <c r="L683" s="1032" t="s">
        <v>581</v>
      </c>
      <c r="M683" s="1032" t="s">
        <v>1035</v>
      </c>
      <c r="N683" s="1032" t="s">
        <v>1045</v>
      </c>
      <c r="O683" s="1032">
        <v>2021.0</v>
      </c>
      <c r="P683" s="1032" t="s">
        <v>1039</v>
      </c>
      <c r="Q683" s="1033" t="s">
        <v>63</v>
      </c>
      <c r="R683" s="1034">
        <v>3722.428607</v>
      </c>
      <c r="S683" s="1034">
        <v>2633.305254</v>
      </c>
      <c r="T683" s="1035">
        <v>5122.219773</v>
      </c>
      <c r="AB683" s="1045"/>
      <c r="AF683" s="225"/>
    </row>
    <row r="684">
      <c r="A684" s="1013"/>
      <c r="B684" s="1019" t="s">
        <v>138</v>
      </c>
      <c r="C684" s="1020" t="s">
        <v>1035</v>
      </c>
      <c r="D684" s="1020" t="s">
        <v>1036</v>
      </c>
      <c r="E684" s="1020" t="s">
        <v>660</v>
      </c>
      <c r="F684" s="1020">
        <v>2021.0</v>
      </c>
      <c r="G684" s="1021">
        <v>2.23E-5</v>
      </c>
      <c r="H684" s="1021">
        <v>7.02E-6</v>
      </c>
      <c r="I684" s="1022">
        <v>4.3E-5</v>
      </c>
      <c r="K684" s="1031" t="s">
        <v>139</v>
      </c>
      <c r="L684" s="1032" t="s">
        <v>581</v>
      </c>
      <c r="M684" s="1032" t="s">
        <v>1035</v>
      </c>
      <c r="N684" s="1032" t="s">
        <v>1038</v>
      </c>
      <c r="O684" s="1032">
        <v>2021.0</v>
      </c>
      <c r="P684" s="1032" t="s">
        <v>1039</v>
      </c>
      <c r="Q684" s="1033" t="s">
        <v>63</v>
      </c>
      <c r="R684" s="1034">
        <v>222.7040628</v>
      </c>
      <c r="S684" s="1034">
        <v>102.5459842</v>
      </c>
      <c r="T684" s="1035">
        <v>364.8261667</v>
      </c>
      <c r="AB684" s="1045"/>
      <c r="AF684" s="225"/>
    </row>
    <row r="685">
      <c r="A685" s="1013"/>
      <c r="B685" s="1019" t="s">
        <v>138</v>
      </c>
      <c r="C685" s="1020" t="s">
        <v>1035</v>
      </c>
      <c r="D685" s="1020" t="s">
        <v>1041</v>
      </c>
      <c r="E685" s="1020" t="s">
        <v>660</v>
      </c>
      <c r="F685" s="1020">
        <v>2021.0</v>
      </c>
      <c r="G685" s="1021">
        <v>5.24E-6</v>
      </c>
      <c r="H685" s="1021">
        <v>2.51E-6</v>
      </c>
      <c r="I685" s="1022">
        <v>8.67E-6</v>
      </c>
      <c r="K685" s="1031" t="s">
        <v>139</v>
      </c>
      <c r="L685" s="1032" t="s">
        <v>581</v>
      </c>
      <c r="M685" s="1032" t="s">
        <v>1035</v>
      </c>
      <c r="N685" s="1032" t="s">
        <v>1042</v>
      </c>
      <c r="O685" s="1032">
        <v>2021.0</v>
      </c>
      <c r="P685" s="1032" t="s">
        <v>1039</v>
      </c>
      <c r="Q685" s="1033" t="s">
        <v>63</v>
      </c>
      <c r="R685" s="1034">
        <v>162.1212496</v>
      </c>
      <c r="S685" s="1034">
        <v>106.6424489</v>
      </c>
      <c r="T685" s="1035">
        <v>243.4124471</v>
      </c>
      <c r="AB685" s="1045"/>
      <c r="AF685" s="225"/>
    </row>
    <row r="686">
      <c r="A686" s="1013"/>
      <c r="B686" s="1019" t="s">
        <v>138</v>
      </c>
      <c r="C686" s="1020" t="s">
        <v>1035</v>
      </c>
      <c r="D686" s="1020" t="s">
        <v>1043</v>
      </c>
      <c r="E686" s="1020" t="s">
        <v>660</v>
      </c>
      <c r="F686" s="1020">
        <v>2021.0</v>
      </c>
      <c r="G686" s="1021">
        <v>1.09043E-4</v>
      </c>
      <c r="H686" s="1021">
        <v>4.18E-5</v>
      </c>
      <c r="I686" s="1022">
        <v>2.00912E-4</v>
      </c>
      <c r="K686" s="1031" t="s">
        <v>139</v>
      </c>
      <c r="L686" s="1032" t="s">
        <v>581</v>
      </c>
      <c r="M686" s="1032" t="s">
        <v>1035</v>
      </c>
      <c r="N686" s="1032" t="s">
        <v>1044</v>
      </c>
      <c r="O686" s="1032">
        <v>2021.0</v>
      </c>
      <c r="P686" s="1032" t="s">
        <v>1039</v>
      </c>
      <c r="Q686" s="1033" t="s">
        <v>63</v>
      </c>
      <c r="R686" s="1034">
        <v>67.57942849</v>
      </c>
      <c r="S686" s="1034">
        <v>40.93260096</v>
      </c>
      <c r="T686" s="1035">
        <v>100.2756363</v>
      </c>
      <c r="AB686" s="1045"/>
      <c r="AF686" s="225"/>
    </row>
    <row r="687">
      <c r="A687" s="1013"/>
      <c r="B687" s="1019" t="s">
        <v>138</v>
      </c>
      <c r="C687" s="1020" t="s">
        <v>1035</v>
      </c>
      <c r="D687" s="1020" t="s">
        <v>1045</v>
      </c>
      <c r="E687" s="1020" t="s">
        <v>660</v>
      </c>
      <c r="F687" s="1020">
        <v>2021.0</v>
      </c>
      <c r="G687" s="1021">
        <v>6.22002E-4</v>
      </c>
      <c r="H687" s="1021">
        <v>2.82142E-4</v>
      </c>
      <c r="I687" s="1022">
        <v>0.001136469</v>
      </c>
      <c r="K687" s="1031" t="s">
        <v>139</v>
      </c>
      <c r="L687" s="1032" t="s">
        <v>581</v>
      </c>
      <c r="M687" s="1032" t="s">
        <v>1035</v>
      </c>
      <c r="N687" s="1032" t="s">
        <v>1046</v>
      </c>
      <c r="O687" s="1032">
        <v>2021.0</v>
      </c>
      <c r="P687" s="1032" t="s">
        <v>1039</v>
      </c>
      <c r="Q687" s="1033" t="s">
        <v>63</v>
      </c>
      <c r="R687" s="1034">
        <v>129.8003173</v>
      </c>
      <c r="S687" s="1034">
        <v>68.79294095</v>
      </c>
      <c r="T687" s="1035">
        <v>198.9750822</v>
      </c>
      <c r="AB687" s="1045"/>
      <c r="AF687" s="225"/>
    </row>
    <row r="688">
      <c r="A688" s="1013"/>
      <c r="B688" s="1019" t="s">
        <v>118</v>
      </c>
      <c r="C688" s="1020" t="s">
        <v>1035</v>
      </c>
      <c r="D688" s="1020" t="s">
        <v>1036</v>
      </c>
      <c r="E688" s="1020" t="s">
        <v>660</v>
      </c>
      <c r="F688" s="1020">
        <v>2021.0</v>
      </c>
      <c r="G688" s="1021">
        <v>1.9E-5</v>
      </c>
      <c r="H688" s="1021">
        <v>5.11E-6</v>
      </c>
      <c r="I688" s="1022">
        <v>3.76E-5</v>
      </c>
      <c r="K688" s="1031" t="s">
        <v>139</v>
      </c>
      <c r="L688" s="1032" t="s">
        <v>581</v>
      </c>
      <c r="M688" s="1032" t="s">
        <v>1035</v>
      </c>
      <c r="N688" s="1032" t="s">
        <v>1045</v>
      </c>
      <c r="O688" s="1032">
        <v>2021.0</v>
      </c>
      <c r="P688" s="1032" t="s">
        <v>1039</v>
      </c>
      <c r="Q688" s="1033" t="s">
        <v>63</v>
      </c>
      <c r="R688" s="1034">
        <v>582.2050582</v>
      </c>
      <c r="S688" s="1034">
        <v>360.5543396</v>
      </c>
      <c r="T688" s="1035">
        <v>850.4046335</v>
      </c>
      <c r="AB688" s="1045"/>
      <c r="AF688" s="225"/>
    </row>
    <row r="689">
      <c r="A689" s="1013"/>
      <c r="B689" s="1019" t="s">
        <v>118</v>
      </c>
      <c r="C689" s="1020" t="s">
        <v>1035</v>
      </c>
      <c r="D689" s="1020" t="s">
        <v>1041</v>
      </c>
      <c r="E689" s="1020" t="s">
        <v>660</v>
      </c>
      <c r="F689" s="1020">
        <v>2021.0</v>
      </c>
      <c r="G689" s="1021">
        <v>5.1E-6</v>
      </c>
      <c r="H689" s="1021">
        <v>2.19E-6</v>
      </c>
      <c r="I689" s="1022">
        <v>9.12E-6</v>
      </c>
      <c r="K689" s="1031" t="s">
        <v>140</v>
      </c>
      <c r="L689" s="1032" t="s">
        <v>581</v>
      </c>
      <c r="M689" s="1032" t="s">
        <v>1035</v>
      </c>
      <c r="N689" s="1032" t="s">
        <v>1038</v>
      </c>
      <c r="O689" s="1032">
        <v>2021.0</v>
      </c>
      <c r="P689" s="1032" t="s">
        <v>1039</v>
      </c>
      <c r="Q689" s="1033" t="s">
        <v>63</v>
      </c>
      <c r="R689" s="1034">
        <v>138.5896109</v>
      </c>
      <c r="S689" s="1034">
        <v>65.53513241</v>
      </c>
      <c r="T689" s="1035">
        <v>233.4286298</v>
      </c>
      <c r="AB689" s="1045"/>
      <c r="AF689" s="225"/>
    </row>
    <row r="690">
      <c r="A690" s="1013"/>
      <c r="B690" s="1019" t="s">
        <v>118</v>
      </c>
      <c r="C690" s="1020" t="s">
        <v>1035</v>
      </c>
      <c r="D690" s="1020" t="s">
        <v>1043</v>
      </c>
      <c r="E690" s="1020" t="s">
        <v>660</v>
      </c>
      <c r="F690" s="1020">
        <v>2021.0</v>
      </c>
      <c r="G690" s="1021">
        <v>1.02012E-4</v>
      </c>
      <c r="H690" s="1021">
        <v>1.67E-5</v>
      </c>
      <c r="I690" s="1022">
        <v>2.05589E-4</v>
      </c>
      <c r="K690" s="1031" t="s">
        <v>140</v>
      </c>
      <c r="L690" s="1032" t="s">
        <v>581</v>
      </c>
      <c r="M690" s="1032" t="s">
        <v>1035</v>
      </c>
      <c r="N690" s="1032" t="s">
        <v>1042</v>
      </c>
      <c r="O690" s="1032">
        <v>2021.0</v>
      </c>
      <c r="P690" s="1032" t="s">
        <v>1039</v>
      </c>
      <c r="Q690" s="1033" t="s">
        <v>63</v>
      </c>
      <c r="R690" s="1034">
        <v>143.4555733</v>
      </c>
      <c r="S690" s="1034">
        <v>91.63333359</v>
      </c>
      <c r="T690" s="1035">
        <v>211.5381933</v>
      </c>
      <c r="AB690" s="1045"/>
      <c r="AF690" s="225"/>
    </row>
    <row r="691">
      <c r="A691" s="1013"/>
      <c r="B691" s="1019" t="s">
        <v>118</v>
      </c>
      <c r="C691" s="1020" t="s">
        <v>1035</v>
      </c>
      <c r="D691" s="1020" t="s">
        <v>1045</v>
      </c>
      <c r="E691" s="1020" t="s">
        <v>660</v>
      </c>
      <c r="F691" s="1020">
        <v>2021.0</v>
      </c>
      <c r="G691" s="1021">
        <v>6.37374E-4</v>
      </c>
      <c r="H691" s="1021">
        <v>2.72784E-4</v>
      </c>
      <c r="I691" s="1022">
        <v>0.001142237</v>
      </c>
      <c r="K691" s="1031" t="s">
        <v>140</v>
      </c>
      <c r="L691" s="1032" t="s">
        <v>581</v>
      </c>
      <c r="M691" s="1032" t="s">
        <v>1035</v>
      </c>
      <c r="N691" s="1032" t="s">
        <v>1044</v>
      </c>
      <c r="O691" s="1032">
        <v>2021.0</v>
      </c>
      <c r="P691" s="1032" t="s">
        <v>1039</v>
      </c>
      <c r="Q691" s="1033" t="s">
        <v>63</v>
      </c>
      <c r="R691" s="1034">
        <v>85.92015055</v>
      </c>
      <c r="S691" s="1034">
        <v>55.24052337</v>
      </c>
      <c r="T691" s="1035">
        <v>125.5604731</v>
      </c>
      <c r="AB691" s="1045"/>
      <c r="AF691" s="225"/>
    </row>
    <row r="692">
      <c r="A692" s="1013"/>
      <c r="B692" s="1019" t="s">
        <v>119</v>
      </c>
      <c r="C692" s="1020" t="s">
        <v>1035</v>
      </c>
      <c r="D692" s="1020" t="s">
        <v>1036</v>
      </c>
      <c r="E692" s="1020" t="s">
        <v>660</v>
      </c>
      <c r="F692" s="1020">
        <v>2021.0</v>
      </c>
      <c r="G692" s="1021">
        <v>5.92E-5</v>
      </c>
      <c r="H692" s="1021">
        <v>1.95E-5</v>
      </c>
      <c r="I692" s="1022">
        <v>1.11931E-4</v>
      </c>
      <c r="K692" s="1031" t="s">
        <v>140</v>
      </c>
      <c r="L692" s="1032" t="s">
        <v>581</v>
      </c>
      <c r="M692" s="1032" t="s">
        <v>1035</v>
      </c>
      <c r="N692" s="1032" t="s">
        <v>1046</v>
      </c>
      <c r="O692" s="1032">
        <v>2021.0</v>
      </c>
      <c r="P692" s="1032" t="s">
        <v>1039</v>
      </c>
      <c r="Q692" s="1033" t="s">
        <v>63</v>
      </c>
      <c r="R692" s="1034">
        <v>125.7854169</v>
      </c>
      <c r="S692" s="1034">
        <v>69.66832878</v>
      </c>
      <c r="T692" s="1035">
        <v>191.439081</v>
      </c>
      <c r="AB692" s="1045"/>
      <c r="AF692" s="225"/>
    </row>
    <row r="693">
      <c r="A693" s="1013"/>
      <c r="B693" s="1019" t="s">
        <v>119</v>
      </c>
      <c r="C693" s="1020" t="s">
        <v>1035</v>
      </c>
      <c r="D693" s="1020" t="s">
        <v>1041</v>
      </c>
      <c r="E693" s="1020" t="s">
        <v>660</v>
      </c>
      <c r="F693" s="1020">
        <v>2021.0</v>
      </c>
      <c r="G693" s="1021">
        <v>1.35E-5</v>
      </c>
      <c r="H693" s="1021">
        <v>5.88E-6</v>
      </c>
      <c r="I693" s="1022">
        <v>2.43E-5</v>
      </c>
      <c r="K693" s="1031" t="s">
        <v>140</v>
      </c>
      <c r="L693" s="1032" t="s">
        <v>581</v>
      </c>
      <c r="M693" s="1032" t="s">
        <v>1035</v>
      </c>
      <c r="N693" s="1032" t="s">
        <v>1045</v>
      </c>
      <c r="O693" s="1032">
        <v>2021.0</v>
      </c>
      <c r="P693" s="1032" t="s">
        <v>1039</v>
      </c>
      <c r="Q693" s="1033" t="s">
        <v>63</v>
      </c>
      <c r="R693" s="1034">
        <v>493.7507516</v>
      </c>
      <c r="S693" s="1034">
        <v>316.7098815</v>
      </c>
      <c r="T693" s="1035">
        <v>701.7047861</v>
      </c>
      <c r="AB693" s="1045"/>
      <c r="AF693" s="225"/>
    </row>
    <row r="694">
      <c r="A694" s="1013"/>
      <c r="B694" s="1019" t="s">
        <v>119</v>
      </c>
      <c r="C694" s="1020" t="s">
        <v>1035</v>
      </c>
      <c r="D694" s="1020" t="s">
        <v>1043</v>
      </c>
      <c r="E694" s="1020" t="s">
        <v>660</v>
      </c>
      <c r="F694" s="1020">
        <v>2021.0</v>
      </c>
      <c r="G694" s="1021">
        <v>2.59127E-4</v>
      </c>
      <c r="H694" s="1021">
        <v>8.71E-5</v>
      </c>
      <c r="I694" s="1022">
        <v>4.84576E-4</v>
      </c>
      <c r="K694" s="1031" t="s">
        <v>141</v>
      </c>
      <c r="L694" s="1032" t="s">
        <v>581</v>
      </c>
      <c r="M694" s="1032" t="s">
        <v>1035</v>
      </c>
      <c r="N694" s="1032" t="s">
        <v>1038</v>
      </c>
      <c r="O694" s="1032">
        <v>2021.0</v>
      </c>
      <c r="P694" s="1032" t="s">
        <v>1039</v>
      </c>
      <c r="Q694" s="1033" t="s">
        <v>63</v>
      </c>
      <c r="R694" s="1034">
        <v>155.3376533</v>
      </c>
      <c r="S694" s="1034">
        <v>65.22670438</v>
      </c>
      <c r="T694" s="1035">
        <v>262.4180444</v>
      </c>
      <c r="AB694" s="1045"/>
      <c r="AF694" s="225"/>
    </row>
    <row r="695">
      <c r="A695" s="1013"/>
      <c r="B695" s="1019" t="s">
        <v>119</v>
      </c>
      <c r="C695" s="1020" t="s">
        <v>1035</v>
      </c>
      <c r="D695" s="1020" t="s">
        <v>1045</v>
      </c>
      <c r="E695" s="1020" t="s">
        <v>660</v>
      </c>
      <c r="F695" s="1020">
        <v>2021.0</v>
      </c>
      <c r="G695" s="1021">
        <v>0.001680384</v>
      </c>
      <c r="H695" s="1021">
        <v>7.75834E-4</v>
      </c>
      <c r="I695" s="1022">
        <v>0.00303605</v>
      </c>
      <c r="K695" s="1031" t="s">
        <v>141</v>
      </c>
      <c r="L695" s="1032" t="s">
        <v>581</v>
      </c>
      <c r="M695" s="1032" t="s">
        <v>1035</v>
      </c>
      <c r="N695" s="1032" t="s">
        <v>1042</v>
      </c>
      <c r="O695" s="1032">
        <v>2021.0</v>
      </c>
      <c r="P695" s="1032" t="s">
        <v>1039</v>
      </c>
      <c r="Q695" s="1033" t="s">
        <v>63</v>
      </c>
      <c r="R695" s="1034">
        <v>307.9391204</v>
      </c>
      <c r="S695" s="1034">
        <v>192.0174164</v>
      </c>
      <c r="T695" s="1035">
        <v>471.9268933</v>
      </c>
      <c r="AB695" s="1045"/>
      <c r="AF695" s="225"/>
    </row>
    <row r="696">
      <c r="A696" s="1013"/>
      <c r="B696" s="1019" t="s">
        <v>120</v>
      </c>
      <c r="C696" s="1020" t="s">
        <v>1035</v>
      </c>
      <c r="D696" s="1020" t="s">
        <v>1036</v>
      </c>
      <c r="E696" s="1020" t="s">
        <v>660</v>
      </c>
      <c r="F696" s="1020">
        <v>2021.0</v>
      </c>
      <c r="G696" s="1021">
        <v>5.1E-5</v>
      </c>
      <c r="H696" s="1021">
        <v>1.62E-5</v>
      </c>
      <c r="I696" s="1022">
        <v>9.62E-5</v>
      </c>
      <c r="K696" s="1031" t="s">
        <v>141</v>
      </c>
      <c r="L696" s="1032" t="s">
        <v>581</v>
      </c>
      <c r="M696" s="1032" t="s">
        <v>1035</v>
      </c>
      <c r="N696" s="1032" t="s">
        <v>1044</v>
      </c>
      <c r="O696" s="1032">
        <v>2021.0</v>
      </c>
      <c r="P696" s="1032" t="s">
        <v>1039</v>
      </c>
      <c r="Q696" s="1033" t="s">
        <v>63</v>
      </c>
      <c r="R696" s="1034">
        <v>119.6056327</v>
      </c>
      <c r="S696" s="1034">
        <v>71.23766238</v>
      </c>
      <c r="T696" s="1035">
        <v>183.142637</v>
      </c>
      <c r="AB696" s="1045"/>
      <c r="AF696" s="225"/>
    </row>
    <row r="697">
      <c r="A697" s="1013"/>
      <c r="B697" s="1019" t="s">
        <v>120</v>
      </c>
      <c r="C697" s="1020" t="s">
        <v>1035</v>
      </c>
      <c r="D697" s="1020" t="s">
        <v>1041</v>
      </c>
      <c r="E697" s="1020" t="s">
        <v>660</v>
      </c>
      <c r="F697" s="1020">
        <v>2021.0</v>
      </c>
      <c r="G697" s="1021">
        <v>1.28E-5</v>
      </c>
      <c r="H697" s="1021">
        <v>5.48E-6</v>
      </c>
      <c r="I697" s="1022">
        <v>2.26E-5</v>
      </c>
      <c r="K697" s="1031" t="s">
        <v>141</v>
      </c>
      <c r="L697" s="1032" t="s">
        <v>581</v>
      </c>
      <c r="M697" s="1032" t="s">
        <v>1035</v>
      </c>
      <c r="N697" s="1032" t="s">
        <v>1046</v>
      </c>
      <c r="O697" s="1032">
        <v>2021.0</v>
      </c>
      <c r="P697" s="1032" t="s">
        <v>1039</v>
      </c>
      <c r="Q697" s="1033" t="s">
        <v>63</v>
      </c>
      <c r="R697" s="1034">
        <v>175.8942843</v>
      </c>
      <c r="S697" s="1034">
        <v>87.20384873</v>
      </c>
      <c r="T697" s="1035">
        <v>277.5767585</v>
      </c>
      <c r="AB697" s="1045"/>
      <c r="AF697" s="225"/>
    </row>
    <row r="698">
      <c r="A698" s="1013"/>
      <c r="B698" s="1019" t="s">
        <v>120</v>
      </c>
      <c r="C698" s="1020" t="s">
        <v>1035</v>
      </c>
      <c r="D698" s="1020" t="s">
        <v>1043</v>
      </c>
      <c r="E698" s="1020" t="s">
        <v>660</v>
      </c>
      <c r="F698" s="1020">
        <v>2021.0</v>
      </c>
      <c r="G698" s="1021">
        <v>2.46282E-4</v>
      </c>
      <c r="H698" s="1021">
        <v>7.56E-5</v>
      </c>
      <c r="I698" s="1022">
        <v>4.50125E-4</v>
      </c>
      <c r="K698" s="1031" t="s">
        <v>141</v>
      </c>
      <c r="L698" s="1032" t="s">
        <v>581</v>
      </c>
      <c r="M698" s="1032" t="s">
        <v>1035</v>
      </c>
      <c r="N698" s="1032" t="s">
        <v>1045</v>
      </c>
      <c r="O698" s="1032">
        <v>2021.0</v>
      </c>
      <c r="P698" s="1032" t="s">
        <v>1039</v>
      </c>
      <c r="Q698" s="1033" t="s">
        <v>63</v>
      </c>
      <c r="R698" s="1034">
        <v>758.7766907</v>
      </c>
      <c r="S698" s="1034">
        <v>475.6321595</v>
      </c>
      <c r="T698" s="1035">
        <v>1103.311565</v>
      </c>
      <c r="AB698" s="1045"/>
      <c r="AF698" s="225"/>
    </row>
    <row r="699">
      <c r="A699" s="1013"/>
      <c r="B699" s="1019" t="s">
        <v>120</v>
      </c>
      <c r="C699" s="1020" t="s">
        <v>1035</v>
      </c>
      <c r="D699" s="1020" t="s">
        <v>1045</v>
      </c>
      <c r="E699" s="1020" t="s">
        <v>660</v>
      </c>
      <c r="F699" s="1020">
        <v>2021.0</v>
      </c>
      <c r="G699" s="1021">
        <v>0.001550532</v>
      </c>
      <c r="H699" s="1021">
        <v>7.70872E-4</v>
      </c>
      <c r="I699" s="1022">
        <v>0.002702741</v>
      </c>
      <c r="K699" s="1031" t="s">
        <v>142</v>
      </c>
      <c r="L699" s="1032" t="s">
        <v>581</v>
      </c>
      <c r="M699" s="1032" t="s">
        <v>1035</v>
      </c>
      <c r="N699" s="1032" t="s">
        <v>1038</v>
      </c>
      <c r="O699" s="1032">
        <v>2021.0</v>
      </c>
      <c r="P699" s="1032" t="s">
        <v>1039</v>
      </c>
      <c r="Q699" s="1033" t="s">
        <v>63</v>
      </c>
      <c r="R699" s="1034">
        <v>639.2030806</v>
      </c>
      <c r="S699" s="1034">
        <v>327.2909036</v>
      </c>
      <c r="T699" s="1035">
        <v>1030.613355</v>
      </c>
      <c r="AB699" s="1045"/>
      <c r="AF699" s="225"/>
    </row>
    <row r="700">
      <c r="A700" s="1013"/>
      <c r="B700" s="1019" t="s">
        <v>139</v>
      </c>
      <c r="C700" s="1020" t="s">
        <v>1035</v>
      </c>
      <c r="D700" s="1020" t="s">
        <v>1036</v>
      </c>
      <c r="E700" s="1020" t="s">
        <v>660</v>
      </c>
      <c r="F700" s="1020">
        <v>2021.0</v>
      </c>
      <c r="G700" s="1021">
        <v>1.17E-5</v>
      </c>
      <c r="H700" s="1021">
        <v>2.84E-6</v>
      </c>
      <c r="I700" s="1022">
        <v>3.23E-5</v>
      </c>
      <c r="K700" s="1031" t="s">
        <v>142</v>
      </c>
      <c r="L700" s="1032" t="s">
        <v>581</v>
      </c>
      <c r="M700" s="1032" t="s">
        <v>1035</v>
      </c>
      <c r="N700" s="1032" t="s">
        <v>1042</v>
      </c>
      <c r="O700" s="1032">
        <v>2021.0</v>
      </c>
      <c r="P700" s="1032" t="s">
        <v>1039</v>
      </c>
      <c r="Q700" s="1033" t="s">
        <v>63</v>
      </c>
      <c r="R700" s="1034">
        <v>498.6291859</v>
      </c>
      <c r="S700" s="1034">
        <v>331.8579517</v>
      </c>
      <c r="T700" s="1035">
        <v>736.7782361</v>
      </c>
      <c r="AB700" s="1045"/>
      <c r="AF700" s="225"/>
    </row>
    <row r="701">
      <c r="A701" s="1013"/>
      <c r="B701" s="1019" t="s">
        <v>139</v>
      </c>
      <c r="C701" s="1020" t="s">
        <v>1035</v>
      </c>
      <c r="D701" s="1020" t="s">
        <v>1041</v>
      </c>
      <c r="E701" s="1020" t="s">
        <v>660</v>
      </c>
      <c r="F701" s="1020">
        <v>2021.0</v>
      </c>
      <c r="G701" s="1021">
        <v>2.43E-6</v>
      </c>
      <c r="H701" s="1021">
        <v>6.98E-7</v>
      </c>
      <c r="I701" s="1022">
        <v>6.15E-6</v>
      </c>
      <c r="K701" s="1031" t="s">
        <v>142</v>
      </c>
      <c r="L701" s="1032" t="s">
        <v>581</v>
      </c>
      <c r="M701" s="1032" t="s">
        <v>1035</v>
      </c>
      <c r="N701" s="1032" t="s">
        <v>1044</v>
      </c>
      <c r="O701" s="1032">
        <v>2021.0</v>
      </c>
      <c r="P701" s="1032" t="s">
        <v>1039</v>
      </c>
      <c r="Q701" s="1033" t="s">
        <v>63</v>
      </c>
      <c r="R701" s="1034">
        <v>245.6423763</v>
      </c>
      <c r="S701" s="1034">
        <v>158.3354799</v>
      </c>
      <c r="T701" s="1035">
        <v>352.6637997</v>
      </c>
      <c r="AB701" s="1045"/>
      <c r="AF701" s="225"/>
    </row>
    <row r="702">
      <c r="A702" s="1013"/>
      <c r="B702" s="1019" t="s">
        <v>139</v>
      </c>
      <c r="C702" s="1020" t="s">
        <v>1035</v>
      </c>
      <c r="D702" s="1020" t="s">
        <v>1043</v>
      </c>
      <c r="E702" s="1020" t="s">
        <v>660</v>
      </c>
      <c r="F702" s="1020">
        <v>2021.0</v>
      </c>
      <c r="G702" s="1021">
        <v>4.42E-5</v>
      </c>
      <c r="H702" s="1021">
        <v>1.15E-5</v>
      </c>
      <c r="I702" s="1022">
        <v>1.15541E-4</v>
      </c>
      <c r="K702" s="1031" t="s">
        <v>142</v>
      </c>
      <c r="L702" s="1032" t="s">
        <v>581</v>
      </c>
      <c r="M702" s="1032" t="s">
        <v>1035</v>
      </c>
      <c r="N702" s="1032" t="s">
        <v>1046</v>
      </c>
      <c r="O702" s="1032">
        <v>2021.0</v>
      </c>
      <c r="P702" s="1032" t="s">
        <v>1039</v>
      </c>
      <c r="Q702" s="1033" t="s">
        <v>63</v>
      </c>
      <c r="R702" s="1034">
        <v>580.0256367</v>
      </c>
      <c r="S702" s="1034">
        <v>344.8630076</v>
      </c>
      <c r="T702" s="1035">
        <v>864.4365634</v>
      </c>
      <c r="AB702" s="1045"/>
      <c r="AF702" s="225"/>
    </row>
    <row r="703">
      <c r="A703" s="1013"/>
      <c r="B703" s="1019" t="s">
        <v>139</v>
      </c>
      <c r="C703" s="1020" t="s">
        <v>1035</v>
      </c>
      <c r="D703" s="1020" t="s">
        <v>1045</v>
      </c>
      <c r="E703" s="1020" t="s">
        <v>660</v>
      </c>
      <c r="F703" s="1020">
        <v>2021.0</v>
      </c>
      <c r="G703" s="1021">
        <v>2.45612E-4</v>
      </c>
      <c r="H703" s="1021">
        <v>6.7E-5</v>
      </c>
      <c r="I703" s="1022">
        <v>6.28379E-4</v>
      </c>
      <c r="K703" s="1031" t="s">
        <v>142</v>
      </c>
      <c r="L703" s="1032" t="s">
        <v>581</v>
      </c>
      <c r="M703" s="1032" t="s">
        <v>1035</v>
      </c>
      <c r="N703" s="1032" t="s">
        <v>1045</v>
      </c>
      <c r="O703" s="1032">
        <v>2021.0</v>
      </c>
      <c r="P703" s="1032" t="s">
        <v>1039</v>
      </c>
      <c r="Q703" s="1033" t="s">
        <v>63</v>
      </c>
      <c r="R703" s="1034">
        <v>1963.50028</v>
      </c>
      <c r="S703" s="1034">
        <v>1279.568411</v>
      </c>
      <c r="T703" s="1035">
        <v>2730.681391</v>
      </c>
      <c r="AB703" s="1045"/>
      <c r="AF703" s="225"/>
    </row>
    <row r="704">
      <c r="A704" s="1013"/>
      <c r="B704" s="1019" t="s">
        <v>140</v>
      </c>
      <c r="C704" s="1020" t="s">
        <v>1035</v>
      </c>
      <c r="D704" s="1020" t="s">
        <v>1036</v>
      </c>
      <c r="E704" s="1020" t="s">
        <v>660</v>
      </c>
      <c r="F704" s="1020">
        <v>2021.0</v>
      </c>
      <c r="G704" s="1021">
        <v>1.24E-5</v>
      </c>
      <c r="H704" s="1021">
        <v>4.25E-6</v>
      </c>
      <c r="I704" s="1022">
        <v>2.37E-5</v>
      </c>
      <c r="K704" s="1031" t="s">
        <v>143</v>
      </c>
      <c r="L704" s="1032" t="s">
        <v>581</v>
      </c>
      <c r="M704" s="1032" t="s">
        <v>1035</v>
      </c>
      <c r="N704" s="1032" t="s">
        <v>1038</v>
      </c>
      <c r="O704" s="1032">
        <v>2021.0</v>
      </c>
      <c r="P704" s="1032" t="s">
        <v>1039</v>
      </c>
      <c r="Q704" s="1033" t="s">
        <v>63</v>
      </c>
      <c r="R704" s="1034">
        <v>1990.91547</v>
      </c>
      <c r="S704" s="1034">
        <v>1036.141049</v>
      </c>
      <c r="T704" s="1035">
        <v>2997.005681</v>
      </c>
      <c r="AB704" s="1045"/>
      <c r="AF704" s="225"/>
    </row>
    <row r="705">
      <c r="A705" s="1013"/>
      <c r="B705" s="1019" t="s">
        <v>140</v>
      </c>
      <c r="C705" s="1020" t="s">
        <v>1035</v>
      </c>
      <c r="D705" s="1020" t="s">
        <v>1041</v>
      </c>
      <c r="E705" s="1020" t="s">
        <v>660</v>
      </c>
      <c r="F705" s="1020">
        <v>2021.0</v>
      </c>
      <c r="G705" s="1021">
        <v>3.1E-6</v>
      </c>
      <c r="H705" s="1021">
        <v>1.39E-6</v>
      </c>
      <c r="I705" s="1022">
        <v>5.3E-6</v>
      </c>
      <c r="K705" s="1031" t="s">
        <v>143</v>
      </c>
      <c r="L705" s="1032" t="s">
        <v>581</v>
      </c>
      <c r="M705" s="1032" t="s">
        <v>1035</v>
      </c>
      <c r="N705" s="1032" t="s">
        <v>1042</v>
      </c>
      <c r="O705" s="1032">
        <v>2021.0</v>
      </c>
      <c r="P705" s="1032" t="s">
        <v>1039</v>
      </c>
      <c r="Q705" s="1033" t="s">
        <v>63</v>
      </c>
      <c r="R705" s="1034">
        <v>960.6172552</v>
      </c>
      <c r="S705" s="1034">
        <v>629.0367074</v>
      </c>
      <c r="T705" s="1035">
        <v>1377.077019</v>
      </c>
      <c r="AB705" s="1045"/>
      <c r="AF705" s="225"/>
    </row>
    <row r="706">
      <c r="A706" s="1013"/>
      <c r="B706" s="1019" t="s">
        <v>140</v>
      </c>
      <c r="C706" s="1020" t="s">
        <v>1035</v>
      </c>
      <c r="D706" s="1020" t="s">
        <v>1043</v>
      </c>
      <c r="E706" s="1020" t="s">
        <v>660</v>
      </c>
      <c r="F706" s="1020">
        <v>2021.0</v>
      </c>
      <c r="G706" s="1021">
        <v>4.89E-5</v>
      </c>
      <c r="H706" s="1021">
        <v>2.17E-5</v>
      </c>
      <c r="I706" s="1022">
        <v>8.79E-5</v>
      </c>
      <c r="K706" s="1031" t="s">
        <v>143</v>
      </c>
      <c r="L706" s="1032" t="s">
        <v>581</v>
      </c>
      <c r="M706" s="1032" t="s">
        <v>1035</v>
      </c>
      <c r="N706" s="1032" t="s">
        <v>1044</v>
      </c>
      <c r="O706" s="1032">
        <v>2021.0</v>
      </c>
      <c r="P706" s="1032" t="s">
        <v>1039</v>
      </c>
      <c r="Q706" s="1033" t="s">
        <v>63</v>
      </c>
      <c r="R706" s="1034">
        <v>692.8217128</v>
      </c>
      <c r="S706" s="1034">
        <v>461.2071448</v>
      </c>
      <c r="T706" s="1035">
        <v>997.248135</v>
      </c>
      <c r="AB706" s="1045"/>
      <c r="AF706" s="225"/>
    </row>
    <row r="707">
      <c r="A707" s="1013"/>
      <c r="B707" s="1019" t="s">
        <v>140</v>
      </c>
      <c r="C707" s="1020" t="s">
        <v>1035</v>
      </c>
      <c r="D707" s="1020" t="s">
        <v>1045</v>
      </c>
      <c r="E707" s="1020" t="s">
        <v>660</v>
      </c>
      <c r="F707" s="1020">
        <v>2021.0</v>
      </c>
      <c r="G707" s="1021">
        <v>2.51249E-4</v>
      </c>
      <c r="H707" s="1021">
        <v>1.04782E-4</v>
      </c>
      <c r="I707" s="1022">
        <v>4.74749E-4</v>
      </c>
      <c r="K707" s="1031" t="s">
        <v>143</v>
      </c>
      <c r="L707" s="1032" t="s">
        <v>581</v>
      </c>
      <c r="M707" s="1032" t="s">
        <v>1035</v>
      </c>
      <c r="N707" s="1032" t="s">
        <v>1046</v>
      </c>
      <c r="O707" s="1032">
        <v>2021.0</v>
      </c>
      <c r="P707" s="1032" t="s">
        <v>1039</v>
      </c>
      <c r="Q707" s="1033" t="s">
        <v>63</v>
      </c>
      <c r="R707" s="1034">
        <v>1737.551437</v>
      </c>
      <c r="S707" s="1034">
        <v>1098.712768</v>
      </c>
      <c r="T707" s="1035">
        <v>2490.461834</v>
      </c>
      <c r="AB707" s="1045"/>
      <c r="AF707" s="225"/>
    </row>
    <row r="708">
      <c r="A708" s="1013"/>
      <c r="B708" s="1019" t="s">
        <v>141</v>
      </c>
      <c r="C708" s="1020" t="s">
        <v>1035</v>
      </c>
      <c r="D708" s="1020" t="s">
        <v>1036</v>
      </c>
      <c r="E708" s="1020" t="s">
        <v>660</v>
      </c>
      <c r="F708" s="1020">
        <v>2021.0</v>
      </c>
      <c r="G708" s="1021">
        <v>4.67E-6</v>
      </c>
      <c r="H708" s="1021">
        <v>1.54E-6</v>
      </c>
      <c r="I708" s="1022">
        <v>9.98E-6</v>
      </c>
      <c r="K708" s="1031" t="s">
        <v>143</v>
      </c>
      <c r="L708" s="1032" t="s">
        <v>581</v>
      </c>
      <c r="M708" s="1032" t="s">
        <v>1035</v>
      </c>
      <c r="N708" s="1032" t="s">
        <v>1045</v>
      </c>
      <c r="O708" s="1032">
        <v>2021.0</v>
      </c>
      <c r="P708" s="1032" t="s">
        <v>1039</v>
      </c>
      <c r="Q708" s="1033" t="s">
        <v>63</v>
      </c>
      <c r="R708" s="1034">
        <v>5381.905875</v>
      </c>
      <c r="S708" s="1034">
        <v>3620.401917</v>
      </c>
      <c r="T708" s="1035">
        <v>7413.485133</v>
      </c>
      <c r="AB708" s="1045"/>
      <c r="AF708" s="225"/>
    </row>
    <row r="709">
      <c r="A709" s="1013"/>
      <c r="B709" s="1019" t="s">
        <v>141</v>
      </c>
      <c r="C709" s="1020" t="s">
        <v>1035</v>
      </c>
      <c r="D709" s="1020" t="s">
        <v>1041</v>
      </c>
      <c r="E709" s="1020" t="s">
        <v>660</v>
      </c>
      <c r="F709" s="1020">
        <v>2021.0</v>
      </c>
      <c r="G709" s="1021">
        <v>1.08E-6</v>
      </c>
      <c r="H709" s="1021">
        <v>4.48E-7</v>
      </c>
      <c r="I709" s="1022">
        <v>2.04E-6</v>
      </c>
      <c r="K709" s="1031" t="s">
        <v>109</v>
      </c>
      <c r="L709" s="1032" t="s">
        <v>581</v>
      </c>
      <c r="M709" s="1032" t="s">
        <v>1035</v>
      </c>
      <c r="N709" s="1032" t="s">
        <v>1038</v>
      </c>
      <c r="O709" s="1032">
        <v>2021.0</v>
      </c>
      <c r="P709" s="1032" t="s">
        <v>1039</v>
      </c>
      <c r="Q709" s="1033" t="s">
        <v>63</v>
      </c>
      <c r="R709" s="1034">
        <v>44082.64044</v>
      </c>
      <c r="S709" s="1034">
        <v>25381.23526</v>
      </c>
      <c r="T709" s="1035">
        <v>67289.34703</v>
      </c>
      <c r="AB709" s="1045"/>
      <c r="AF709" s="225"/>
    </row>
    <row r="710">
      <c r="A710" s="1013"/>
      <c r="B710" s="1019" t="s">
        <v>141</v>
      </c>
      <c r="C710" s="1020" t="s">
        <v>1035</v>
      </c>
      <c r="D710" s="1020" t="s">
        <v>1043</v>
      </c>
      <c r="E710" s="1020" t="s">
        <v>660</v>
      </c>
      <c r="F710" s="1020">
        <v>2021.0</v>
      </c>
      <c r="G710" s="1021">
        <v>1.83E-5</v>
      </c>
      <c r="H710" s="1021">
        <v>6.36E-6</v>
      </c>
      <c r="I710" s="1022">
        <v>3.78E-5</v>
      </c>
      <c r="K710" s="1031" t="s">
        <v>109</v>
      </c>
      <c r="L710" s="1032" t="s">
        <v>581</v>
      </c>
      <c r="M710" s="1032" t="s">
        <v>1035</v>
      </c>
      <c r="N710" s="1032" t="s">
        <v>1042</v>
      </c>
      <c r="O710" s="1032">
        <v>2021.0</v>
      </c>
      <c r="P710" s="1032" t="s">
        <v>1039</v>
      </c>
      <c r="Q710" s="1033" t="s">
        <v>63</v>
      </c>
      <c r="R710" s="1034">
        <v>19392.2334</v>
      </c>
      <c r="S710" s="1034">
        <v>15533.11096</v>
      </c>
      <c r="T710" s="1035">
        <v>24395.813</v>
      </c>
      <c r="AB710" s="1045"/>
      <c r="AF710" s="225"/>
    </row>
    <row r="711">
      <c r="A711" s="1013"/>
      <c r="B711" s="1019" t="s">
        <v>141</v>
      </c>
      <c r="C711" s="1020" t="s">
        <v>1035</v>
      </c>
      <c r="D711" s="1020" t="s">
        <v>1045</v>
      </c>
      <c r="E711" s="1020" t="s">
        <v>660</v>
      </c>
      <c r="F711" s="1020">
        <v>2021.0</v>
      </c>
      <c r="G711" s="1021">
        <v>8.71E-5</v>
      </c>
      <c r="H711" s="1021">
        <v>3.22E-5</v>
      </c>
      <c r="I711" s="1022">
        <v>1.69226E-4</v>
      </c>
      <c r="K711" s="1031" t="s">
        <v>109</v>
      </c>
      <c r="L711" s="1032" t="s">
        <v>581</v>
      </c>
      <c r="M711" s="1032" t="s">
        <v>1035</v>
      </c>
      <c r="N711" s="1032" t="s">
        <v>1044</v>
      </c>
      <c r="O711" s="1032">
        <v>2021.0</v>
      </c>
      <c r="P711" s="1032" t="s">
        <v>1039</v>
      </c>
      <c r="Q711" s="1033" t="s">
        <v>63</v>
      </c>
      <c r="R711" s="1034">
        <v>9913.113528</v>
      </c>
      <c r="S711" s="1034">
        <v>7441.393307</v>
      </c>
      <c r="T711" s="1035">
        <v>12462.20115</v>
      </c>
      <c r="AB711" s="1045"/>
      <c r="AF711" s="225"/>
    </row>
    <row r="712">
      <c r="A712" s="1013"/>
      <c r="B712" s="1019" t="s">
        <v>142</v>
      </c>
      <c r="C712" s="1020" t="s">
        <v>1035</v>
      </c>
      <c r="D712" s="1020" t="s">
        <v>1036</v>
      </c>
      <c r="E712" s="1020" t="s">
        <v>660</v>
      </c>
      <c r="F712" s="1020">
        <v>2021.0</v>
      </c>
      <c r="G712" s="1021">
        <v>1.51E-5</v>
      </c>
      <c r="H712" s="1021">
        <v>4.6E-6</v>
      </c>
      <c r="I712" s="1022">
        <v>2.95E-5</v>
      </c>
      <c r="K712" s="1031" t="s">
        <v>109</v>
      </c>
      <c r="L712" s="1032" t="s">
        <v>581</v>
      </c>
      <c r="M712" s="1032" t="s">
        <v>1035</v>
      </c>
      <c r="N712" s="1032" t="s">
        <v>1046</v>
      </c>
      <c r="O712" s="1032">
        <v>2021.0</v>
      </c>
      <c r="P712" s="1032" t="s">
        <v>1039</v>
      </c>
      <c r="Q712" s="1033" t="s">
        <v>63</v>
      </c>
      <c r="R712" s="1034">
        <v>26836.21128</v>
      </c>
      <c r="S712" s="1034">
        <v>18790.07729</v>
      </c>
      <c r="T712" s="1035">
        <v>36086.61491</v>
      </c>
      <c r="AB712" s="1045"/>
      <c r="AF712" s="225"/>
    </row>
    <row r="713">
      <c r="A713" s="1013"/>
      <c r="B713" s="1019" t="s">
        <v>142</v>
      </c>
      <c r="C713" s="1020" t="s">
        <v>1035</v>
      </c>
      <c r="D713" s="1020" t="s">
        <v>1041</v>
      </c>
      <c r="E713" s="1020" t="s">
        <v>660</v>
      </c>
      <c r="F713" s="1020">
        <v>2021.0</v>
      </c>
      <c r="G713" s="1021">
        <v>3.03E-6</v>
      </c>
      <c r="H713" s="1021">
        <v>1.38E-6</v>
      </c>
      <c r="I713" s="1022">
        <v>5.46E-6</v>
      </c>
      <c r="K713" s="1031" t="s">
        <v>109</v>
      </c>
      <c r="L713" s="1032" t="s">
        <v>581</v>
      </c>
      <c r="M713" s="1032" t="s">
        <v>1035</v>
      </c>
      <c r="N713" s="1032" t="s">
        <v>1045</v>
      </c>
      <c r="O713" s="1032">
        <v>2021.0</v>
      </c>
      <c r="P713" s="1032" t="s">
        <v>1039</v>
      </c>
      <c r="Q713" s="1033" t="s">
        <v>63</v>
      </c>
      <c r="R713" s="1034">
        <v>100224.1986</v>
      </c>
      <c r="S713" s="1034">
        <v>69616.45813</v>
      </c>
      <c r="T713" s="1035">
        <v>139233.6029</v>
      </c>
      <c r="AB713" s="1045"/>
      <c r="AF713" s="225"/>
    </row>
    <row r="714">
      <c r="A714" s="1013"/>
      <c r="B714" s="1019" t="s">
        <v>142</v>
      </c>
      <c r="C714" s="1020" t="s">
        <v>1035</v>
      </c>
      <c r="D714" s="1020" t="s">
        <v>1043</v>
      </c>
      <c r="E714" s="1020" t="s">
        <v>660</v>
      </c>
      <c r="F714" s="1020">
        <v>2021.0</v>
      </c>
      <c r="G714" s="1021">
        <v>5.95E-5</v>
      </c>
      <c r="H714" s="1021">
        <v>2.27E-5</v>
      </c>
      <c r="I714" s="1022">
        <v>1.07191E-4</v>
      </c>
      <c r="K714" s="1031" t="s">
        <v>146</v>
      </c>
      <c r="L714" s="1032" t="s">
        <v>581</v>
      </c>
      <c r="M714" s="1032" t="s">
        <v>1035</v>
      </c>
      <c r="N714" s="1032" t="s">
        <v>1038</v>
      </c>
      <c r="O714" s="1032">
        <v>2021.0</v>
      </c>
      <c r="P714" s="1032" t="s">
        <v>1039</v>
      </c>
      <c r="Q714" s="1033" t="s">
        <v>63</v>
      </c>
      <c r="R714" s="1034">
        <v>721.1467663</v>
      </c>
      <c r="S714" s="1034">
        <v>353.8907649</v>
      </c>
      <c r="T714" s="1035">
        <v>1162.150503</v>
      </c>
      <c r="AB714" s="1045"/>
      <c r="AF714" s="225"/>
    </row>
    <row r="715">
      <c r="A715" s="1013"/>
      <c r="B715" s="1019" t="s">
        <v>142</v>
      </c>
      <c r="C715" s="1020" t="s">
        <v>1035</v>
      </c>
      <c r="D715" s="1020" t="s">
        <v>1045</v>
      </c>
      <c r="E715" s="1020" t="s">
        <v>660</v>
      </c>
      <c r="F715" s="1020">
        <v>2021.0</v>
      </c>
      <c r="G715" s="1021">
        <v>3.46226E-4</v>
      </c>
      <c r="H715" s="1021">
        <v>1.49329E-4</v>
      </c>
      <c r="I715" s="1022">
        <v>6.10795E-4</v>
      </c>
      <c r="K715" s="1031" t="s">
        <v>146</v>
      </c>
      <c r="L715" s="1032" t="s">
        <v>581</v>
      </c>
      <c r="M715" s="1032" t="s">
        <v>1035</v>
      </c>
      <c r="N715" s="1032" t="s">
        <v>1042</v>
      </c>
      <c r="O715" s="1032">
        <v>2021.0</v>
      </c>
      <c r="P715" s="1032" t="s">
        <v>1039</v>
      </c>
      <c r="Q715" s="1033" t="s">
        <v>63</v>
      </c>
      <c r="R715" s="1034">
        <v>703.5287218</v>
      </c>
      <c r="S715" s="1034">
        <v>447.5643044</v>
      </c>
      <c r="T715" s="1035">
        <v>1068.462686</v>
      </c>
      <c r="AB715" s="1045"/>
      <c r="AF715" s="225"/>
    </row>
    <row r="716">
      <c r="A716" s="1013"/>
      <c r="B716" s="1019" t="s">
        <v>143</v>
      </c>
      <c r="C716" s="1020" t="s">
        <v>1035</v>
      </c>
      <c r="D716" s="1020" t="s">
        <v>1036</v>
      </c>
      <c r="E716" s="1020" t="s">
        <v>660</v>
      </c>
      <c r="F716" s="1020">
        <v>2021.0</v>
      </c>
      <c r="G716" s="1021">
        <v>2.22E-5</v>
      </c>
      <c r="H716" s="1021">
        <v>4.65E-6</v>
      </c>
      <c r="I716" s="1022">
        <v>4.73E-5</v>
      </c>
      <c r="K716" s="1031" t="s">
        <v>146</v>
      </c>
      <c r="L716" s="1032" t="s">
        <v>581</v>
      </c>
      <c r="M716" s="1032" t="s">
        <v>1035</v>
      </c>
      <c r="N716" s="1032" t="s">
        <v>1044</v>
      </c>
      <c r="O716" s="1032">
        <v>2021.0</v>
      </c>
      <c r="P716" s="1032" t="s">
        <v>1039</v>
      </c>
      <c r="Q716" s="1033" t="s">
        <v>63</v>
      </c>
      <c r="R716" s="1034">
        <v>453.9959429</v>
      </c>
      <c r="S716" s="1034">
        <v>294.8334153</v>
      </c>
      <c r="T716" s="1035">
        <v>644.1959578</v>
      </c>
      <c r="AB716" s="1045"/>
      <c r="AF716" s="225"/>
    </row>
    <row r="717">
      <c r="A717" s="1013"/>
      <c r="B717" s="1019" t="s">
        <v>143</v>
      </c>
      <c r="C717" s="1020" t="s">
        <v>1035</v>
      </c>
      <c r="D717" s="1020" t="s">
        <v>1041</v>
      </c>
      <c r="E717" s="1020" t="s">
        <v>660</v>
      </c>
      <c r="F717" s="1020">
        <v>2021.0</v>
      </c>
      <c r="G717" s="1021">
        <v>5.11E-6</v>
      </c>
      <c r="H717" s="1021">
        <v>2.05E-6</v>
      </c>
      <c r="I717" s="1022">
        <v>9.75E-6</v>
      </c>
      <c r="K717" s="1031" t="s">
        <v>146</v>
      </c>
      <c r="L717" s="1032" t="s">
        <v>581</v>
      </c>
      <c r="M717" s="1032" t="s">
        <v>1035</v>
      </c>
      <c r="N717" s="1032" t="s">
        <v>1046</v>
      </c>
      <c r="O717" s="1032">
        <v>2021.0</v>
      </c>
      <c r="P717" s="1032" t="s">
        <v>1039</v>
      </c>
      <c r="Q717" s="1033" t="s">
        <v>63</v>
      </c>
      <c r="R717" s="1034">
        <v>640.9356212</v>
      </c>
      <c r="S717" s="1034">
        <v>351.53506</v>
      </c>
      <c r="T717" s="1035">
        <v>980.8891286</v>
      </c>
      <c r="AB717" s="1045"/>
      <c r="AF717" s="225"/>
    </row>
    <row r="718">
      <c r="A718" s="1013"/>
      <c r="B718" s="1019" t="s">
        <v>143</v>
      </c>
      <c r="C718" s="1020" t="s">
        <v>1035</v>
      </c>
      <c r="D718" s="1020" t="s">
        <v>1043</v>
      </c>
      <c r="E718" s="1020" t="s">
        <v>660</v>
      </c>
      <c r="F718" s="1020">
        <v>2021.0</v>
      </c>
      <c r="G718" s="1021">
        <v>8.68E-5</v>
      </c>
      <c r="H718" s="1021">
        <v>1.18E-5</v>
      </c>
      <c r="I718" s="1022">
        <v>1.77007E-4</v>
      </c>
      <c r="K718" s="1031" t="s">
        <v>146</v>
      </c>
      <c r="L718" s="1032" t="s">
        <v>581</v>
      </c>
      <c r="M718" s="1032" t="s">
        <v>1035</v>
      </c>
      <c r="N718" s="1032" t="s">
        <v>1045</v>
      </c>
      <c r="O718" s="1032">
        <v>2021.0</v>
      </c>
      <c r="P718" s="1032" t="s">
        <v>1039</v>
      </c>
      <c r="Q718" s="1033" t="s">
        <v>63</v>
      </c>
      <c r="R718" s="1034">
        <v>2519.607052</v>
      </c>
      <c r="S718" s="1034">
        <v>1653.068915</v>
      </c>
      <c r="T718" s="1035">
        <v>3574.921406</v>
      </c>
      <c r="AB718" s="1045"/>
      <c r="AF718" s="225"/>
    </row>
    <row r="719">
      <c r="A719" s="1013"/>
      <c r="B719" s="1019" t="s">
        <v>143</v>
      </c>
      <c r="C719" s="1020" t="s">
        <v>1035</v>
      </c>
      <c r="D719" s="1020" t="s">
        <v>1045</v>
      </c>
      <c r="E719" s="1020" t="s">
        <v>660</v>
      </c>
      <c r="F719" s="1020">
        <v>2021.0</v>
      </c>
      <c r="G719" s="1021">
        <v>5.47186E-4</v>
      </c>
      <c r="H719" s="1021">
        <v>2.42686E-4</v>
      </c>
      <c r="I719" s="1022">
        <v>9.75746E-4</v>
      </c>
      <c r="K719" s="1031" t="s">
        <v>147</v>
      </c>
      <c r="L719" s="1032" t="s">
        <v>581</v>
      </c>
      <c r="M719" s="1032" t="s">
        <v>1035</v>
      </c>
      <c r="N719" s="1032" t="s">
        <v>1038</v>
      </c>
      <c r="O719" s="1032">
        <v>2021.0</v>
      </c>
      <c r="P719" s="1032" t="s">
        <v>1039</v>
      </c>
      <c r="Q719" s="1033" t="s">
        <v>63</v>
      </c>
      <c r="R719" s="1034">
        <v>340.267832</v>
      </c>
      <c r="S719" s="1034">
        <v>154.9306642</v>
      </c>
      <c r="T719" s="1035">
        <v>549.9490737</v>
      </c>
      <c r="AB719" s="1045"/>
      <c r="AF719" s="225"/>
    </row>
    <row r="720">
      <c r="A720" s="1013"/>
      <c r="B720" s="1019" t="s">
        <v>109</v>
      </c>
      <c r="C720" s="1020" t="s">
        <v>1035</v>
      </c>
      <c r="D720" s="1020" t="s">
        <v>1036</v>
      </c>
      <c r="E720" s="1020" t="s">
        <v>660</v>
      </c>
      <c r="F720" s="1020">
        <v>2021.0</v>
      </c>
      <c r="G720" s="1021">
        <v>2.04E-5</v>
      </c>
      <c r="H720" s="1021">
        <v>7.87E-6</v>
      </c>
      <c r="I720" s="1022">
        <v>3.62E-5</v>
      </c>
      <c r="K720" s="1031" t="s">
        <v>147</v>
      </c>
      <c r="L720" s="1032" t="s">
        <v>581</v>
      </c>
      <c r="M720" s="1032" t="s">
        <v>1035</v>
      </c>
      <c r="N720" s="1032" t="s">
        <v>1042</v>
      </c>
      <c r="O720" s="1032">
        <v>2021.0</v>
      </c>
      <c r="P720" s="1032" t="s">
        <v>1039</v>
      </c>
      <c r="Q720" s="1033" t="s">
        <v>63</v>
      </c>
      <c r="R720" s="1034">
        <v>215.1188228</v>
      </c>
      <c r="S720" s="1034">
        <v>138.8202042</v>
      </c>
      <c r="T720" s="1035">
        <v>313.1029681</v>
      </c>
      <c r="AB720" s="1045"/>
      <c r="AF720" s="225"/>
    </row>
    <row r="721">
      <c r="A721" s="1013"/>
      <c r="B721" s="1019" t="s">
        <v>109</v>
      </c>
      <c r="C721" s="1020" t="s">
        <v>1035</v>
      </c>
      <c r="D721" s="1020" t="s">
        <v>1041</v>
      </c>
      <c r="E721" s="1020" t="s">
        <v>660</v>
      </c>
      <c r="F721" s="1020">
        <v>2021.0</v>
      </c>
      <c r="G721" s="1021">
        <v>4.15E-6</v>
      </c>
      <c r="H721" s="1021">
        <v>2.06E-6</v>
      </c>
      <c r="I721" s="1022">
        <v>6.93E-6</v>
      </c>
      <c r="K721" s="1031" t="s">
        <v>147</v>
      </c>
      <c r="L721" s="1032" t="s">
        <v>581</v>
      </c>
      <c r="M721" s="1032" t="s">
        <v>1035</v>
      </c>
      <c r="N721" s="1032" t="s">
        <v>1044</v>
      </c>
      <c r="O721" s="1032">
        <v>2021.0</v>
      </c>
      <c r="P721" s="1032" t="s">
        <v>1039</v>
      </c>
      <c r="Q721" s="1033" t="s">
        <v>63</v>
      </c>
      <c r="R721" s="1034">
        <v>84.24543346</v>
      </c>
      <c r="S721" s="1034">
        <v>49.29689933</v>
      </c>
      <c r="T721" s="1035">
        <v>125.1167222</v>
      </c>
      <c r="AB721" s="1045"/>
      <c r="AF721" s="225"/>
    </row>
    <row r="722">
      <c r="A722" s="1013"/>
      <c r="B722" s="1019" t="s">
        <v>109</v>
      </c>
      <c r="C722" s="1020" t="s">
        <v>1035</v>
      </c>
      <c r="D722" s="1020" t="s">
        <v>1043</v>
      </c>
      <c r="E722" s="1020" t="s">
        <v>660</v>
      </c>
      <c r="F722" s="1020">
        <v>2021.0</v>
      </c>
      <c r="G722" s="1021">
        <v>1.04401E-4</v>
      </c>
      <c r="H722" s="1021">
        <v>3.51E-5</v>
      </c>
      <c r="I722" s="1022">
        <v>1.89642E-4</v>
      </c>
      <c r="K722" s="1031" t="s">
        <v>147</v>
      </c>
      <c r="L722" s="1032" t="s">
        <v>581</v>
      </c>
      <c r="M722" s="1032" t="s">
        <v>1035</v>
      </c>
      <c r="N722" s="1032" t="s">
        <v>1046</v>
      </c>
      <c r="O722" s="1032">
        <v>2021.0</v>
      </c>
      <c r="P722" s="1032" t="s">
        <v>1039</v>
      </c>
      <c r="Q722" s="1033" t="s">
        <v>63</v>
      </c>
      <c r="R722" s="1034">
        <v>148.8935229</v>
      </c>
      <c r="S722" s="1034">
        <v>74.76641715</v>
      </c>
      <c r="T722" s="1035">
        <v>231.4321231</v>
      </c>
      <c r="AB722" s="1045"/>
      <c r="AF722" s="225"/>
    </row>
    <row r="723">
      <c r="A723" s="1013"/>
      <c r="B723" s="1019" t="s">
        <v>109</v>
      </c>
      <c r="C723" s="1020" t="s">
        <v>1035</v>
      </c>
      <c r="D723" s="1020" t="s">
        <v>1045</v>
      </c>
      <c r="E723" s="1020" t="s">
        <v>660</v>
      </c>
      <c r="F723" s="1020">
        <v>2021.0</v>
      </c>
      <c r="G723" s="1021">
        <v>6.99372E-4</v>
      </c>
      <c r="H723" s="1021">
        <v>3.3937E-4</v>
      </c>
      <c r="I723" s="1022">
        <v>0.001211875</v>
      </c>
      <c r="K723" s="1031" t="s">
        <v>147</v>
      </c>
      <c r="L723" s="1032" t="s">
        <v>581</v>
      </c>
      <c r="M723" s="1032" t="s">
        <v>1035</v>
      </c>
      <c r="N723" s="1032" t="s">
        <v>1045</v>
      </c>
      <c r="O723" s="1032">
        <v>2021.0</v>
      </c>
      <c r="P723" s="1032" t="s">
        <v>1039</v>
      </c>
      <c r="Q723" s="1033" t="s">
        <v>63</v>
      </c>
      <c r="R723" s="1034">
        <v>788.5256111</v>
      </c>
      <c r="S723" s="1034">
        <v>484.2352291</v>
      </c>
      <c r="T723" s="1035">
        <v>1130.833017</v>
      </c>
      <c r="AB723" s="1045"/>
      <c r="AF723" s="225"/>
    </row>
    <row r="724">
      <c r="A724" s="1013"/>
      <c r="B724" s="1019" t="s">
        <v>146</v>
      </c>
      <c r="C724" s="1020" t="s">
        <v>1035</v>
      </c>
      <c r="D724" s="1020" t="s">
        <v>1036</v>
      </c>
      <c r="E724" s="1020" t="s">
        <v>660</v>
      </c>
      <c r="F724" s="1020">
        <v>2021.0</v>
      </c>
      <c r="G724" s="1021">
        <v>9.41E-6</v>
      </c>
      <c r="H724" s="1021">
        <v>2.23E-6</v>
      </c>
      <c r="I724" s="1022">
        <v>2.03E-5</v>
      </c>
      <c r="K724" s="1031" t="s">
        <v>148</v>
      </c>
      <c r="L724" s="1032" t="s">
        <v>581</v>
      </c>
      <c r="M724" s="1032" t="s">
        <v>1035</v>
      </c>
      <c r="N724" s="1032" t="s">
        <v>1038</v>
      </c>
      <c r="O724" s="1032">
        <v>2021.0</v>
      </c>
      <c r="P724" s="1032" t="s">
        <v>1039</v>
      </c>
      <c r="Q724" s="1033" t="s">
        <v>63</v>
      </c>
      <c r="R724" s="1034">
        <v>125.9831121</v>
      </c>
      <c r="S724" s="1034">
        <v>51.13419901</v>
      </c>
      <c r="T724" s="1035">
        <v>220.2992649</v>
      </c>
      <c r="AB724" s="1045"/>
      <c r="AF724" s="225"/>
    </row>
    <row r="725">
      <c r="A725" s="1013"/>
      <c r="B725" s="1019" t="s">
        <v>146</v>
      </c>
      <c r="C725" s="1020" t="s">
        <v>1035</v>
      </c>
      <c r="D725" s="1020" t="s">
        <v>1041</v>
      </c>
      <c r="E725" s="1020" t="s">
        <v>660</v>
      </c>
      <c r="F725" s="1020">
        <v>2021.0</v>
      </c>
      <c r="G725" s="1021">
        <v>1.99E-6</v>
      </c>
      <c r="H725" s="1021">
        <v>7.85E-7</v>
      </c>
      <c r="I725" s="1022">
        <v>3.68E-6</v>
      </c>
      <c r="K725" s="1031" t="s">
        <v>148</v>
      </c>
      <c r="L725" s="1032" t="s">
        <v>581</v>
      </c>
      <c r="M725" s="1032" t="s">
        <v>1035</v>
      </c>
      <c r="N725" s="1032" t="s">
        <v>1042</v>
      </c>
      <c r="O725" s="1032">
        <v>2021.0</v>
      </c>
      <c r="P725" s="1032" t="s">
        <v>1039</v>
      </c>
      <c r="Q725" s="1033" t="s">
        <v>63</v>
      </c>
      <c r="R725" s="1034">
        <v>185.6929629</v>
      </c>
      <c r="S725" s="1034">
        <v>119.9727998</v>
      </c>
      <c r="T725" s="1035">
        <v>270.5552524</v>
      </c>
      <c r="AB725" s="1045"/>
      <c r="AF725" s="225"/>
    </row>
    <row r="726">
      <c r="A726" s="1013"/>
      <c r="B726" s="1019" t="s">
        <v>146</v>
      </c>
      <c r="C726" s="1020" t="s">
        <v>1035</v>
      </c>
      <c r="D726" s="1020" t="s">
        <v>1043</v>
      </c>
      <c r="E726" s="1020" t="s">
        <v>660</v>
      </c>
      <c r="F726" s="1020">
        <v>2021.0</v>
      </c>
      <c r="G726" s="1021">
        <v>3.22E-5</v>
      </c>
      <c r="H726" s="1021">
        <v>9.48E-6</v>
      </c>
      <c r="I726" s="1022">
        <v>6.32E-5</v>
      </c>
      <c r="K726" s="1031" t="s">
        <v>148</v>
      </c>
      <c r="L726" s="1032" t="s">
        <v>581</v>
      </c>
      <c r="M726" s="1032" t="s">
        <v>1035</v>
      </c>
      <c r="N726" s="1032" t="s">
        <v>1044</v>
      </c>
      <c r="O726" s="1032">
        <v>2021.0</v>
      </c>
      <c r="P726" s="1032" t="s">
        <v>1039</v>
      </c>
      <c r="Q726" s="1033" t="s">
        <v>63</v>
      </c>
      <c r="R726" s="1034">
        <v>98.76779349</v>
      </c>
      <c r="S726" s="1034">
        <v>56.0217903</v>
      </c>
      <c r="T726" s="1035">
        <v>143.5341922</v>
      </c>
      <c r="AB726" s="1045"/>
      <c r="AF726" s="225"/>
    </row>
    <row r="727">
      <c r="A727" s="1013"/>
      <c r="B727" s="1019" t="s">
        <v>146</v>
      </c>
      <c r="C727" s="1020" t="s">
        <v>1035</v>
      </c>
      <c r="D727" s="1020" t="s">
        <v>1045</v>
      </c>
      <c r="E727" s="1020" t="s">
        <v>660</v>
      </c>
      <c r="F727" s="1020">
        <v>2021.0</v>
      </c>
      <c r="G727" s="1021">
        <v>1.83463E-4</v>
      </c>
      <c r="H727" s="1021">
        <v>8.09E-5</v>
      </c>
      <c r="I727" s="1022">
        <v>3.35432E-4</v>
      </c>
      <c r="K727" s="1031" t="s">
        <v>148</v>
      </c>
      <c r="L727" s="1032" t="s">
        <v>581</v>
      </c>
      <c r="M727" s="1032" t="s">
        <v>1035</v>
      </c>
      <c r="N727" s="1032" t="s">
        <v>1046</v>
      </c>
      <c r="O727" s="1032">
        <v>2021.0</v>
      </c>
      <c r="P727" s="1032" t="s">
        <v>1039</v>
      </c>
      <c r="Q727" s="1033" t="s">
        <v>63</v>
      </c>
      <c r="R727" s="1034">
        <v>111.8002535</v>
      </c>
      <c r="S727" s="1034">
        <v>53.69480848</v>
      </c>
      <c r="T727" s="1035">
        <v>176.6348267</v>
      </c>
      <c r="AB727" s="1045"/>
      <c r="AF727" s="225"/>
    </row>
    <row r="728">
      <c r="A728" s="1013"/>
      <c r="B728" s="1019" t="s">
        <v>147</v>
      </c>
      <c r="C728" s="1020" t="s">
        <v>1035</v>
      </c>
      <c r="D728" s="1020" t="s">
        <v>1036</v>
      </c>
      <c r="E728" s="1020" t="s">
        <v>660</v>
      </c>
      <c r="F728" s="1020">
        <v>2021.0</v>
      </c>
      <c r="G728" s="1021">
        <v>8.05E-6</v>
      </c>
      <c r="H728" s="1021">
        <v>2.63E-6</v>
      </c>
      <c r="I728" s="1022">
        <v>1.69E-5</v>
      </c>
      <c r="K728" s="1031" t="s">
        <v>148</v>
      </c>
      <c r="L728" s="1032" t="s">
        <v>581</v>
      </c>
      <c r="M728" s="1032" t="s">
        <v>1035</v>
      </c>
      <c r="N728" s="1032" t="s">
        <v>1045</v>
      </c>
      <c r="O728" s="1032">
        <v>2021.0</v>
      </c>
      <c r="P728" s="1032" t="s">
        <v>1039</v>
      </c>
      <c r="Q728" s="1033" t="s">
        <v>63</v>
      </c>
      <c r="R728" s="1034">
        <v>522.2441219</v>
      </c>
      <c r="S728" s="1034">
        <v>327.0295807</v>
      </c>
      <c r="T728" s="1035">
        <v>742.2558607</v>
      </c>
      <c r="AB728" s="1045"/>
      <c r="AF728" s="225"/>
    </row>
    <row r="729">
      <c r="A729" s="1013"/>
      <c r="B729" s="1019" t="s">
        <v>147</v>
      </c>
      <c r="C729" s="1020" t="s">
        <v>1035</v>
      </c>
      <c r="D729" s="1020" t="s">
        <v>1041</v>
      </c>
      <c r="E729" s="1020" t="s">
        <v>660</v>
      </c>
      <c r="F729" s="1020">
        <v>2021.0</v>
      </c>
      <c r="G729" s="1021">
        <v>1.67E-6</v>
      </c>
      <c r="H729" s="1021">
        <v>7.24E-7</v>
      </c>
      <c r="I729" s="1022">
        <v>3.08E-6</v>
      </c>
      <c r="K729" s="1031" t="s">
        <v>149</v>
      </c>
      <c r="L729" s="1032" t="s">
        <v>581</v>
      </c>
      <c r="M729" s="1032" t="s">
        <v>1035</v>
      </c>
      <c r="N729" s="1032" t="s">
        <v>1038</v>
      </c>
      <c r="O729" s="1032">
        <v>2021.0</v>
      </c>
      <c r="P729" s="1032" t="s">
        <v>1039</v>
      </c>
      <c r="Q729" s="1033" t="s">
        <v>63</v>
      </c>
      <c r="R729" s="1034">
        <v>281.1669875</v>
      </c>
      <c r="S729" s="1034">
        <v>135.6683561</v>
      </c>
      <c r="T729" s="1035">
        <v>471.7757712</v>
      </c>
      <c r="AB729" s="1045"/>
      <c r="AF729" s="225"/>
    </row>
    <row r="730">
      <c r="A730" s="1013"/>
      <c r="B730" s="1019" t="s">
        <v>147</v>
      </c>
      <c r="C730" s="1020" t="s">
        <v>1035</v>
      </c>
      <c r="D730" s="1020" t="s">
        <v>1043</v>
      </c>
      <c r="E730" s="1020" t="s">
        <v>660</v>
      </c>
      <c r="F730" s="1020">
        <v>2021.0</v>
      </c>
      <c r="G730" s="1021">
        <v>3.34E-5</v>
      </c>
      <c r="H730" s="1021">
        <v>1.38E-5</v>
      </c>
      <c r="I730" s="1022">
        <v>6.36E-5</v>
      </c>
      <c r="K730" s="1031" t="s">
        <v>149</v>
      </c>
      <c r="L730" s="1032" t="s">
        <v>581</v>
      </c>
      <c r="M730" s="1032" t="s">
        <v>1035</v>
      </c>
      <c r="N730" s="1032" t="s">
        <v>1042</v>
      </c>
      <c r="O730" s="1032">
        <v>2021.0</v>
      </c>
      <c r="P730" s="1032" t="s">
        <v>1039</v>
      </c>
      <c r="Q730" s="1033" t="s">
        <v>63</v>
      </c>
      <c r="R730" s="1034">
        <v>254.4659791</v>
      </c>
      <c r="S730" s="1034">
        <v>158.7022707</v>
      </c>
      <c r="T730" s="1035">
        <v>394.3692964</v>
      </c>
      <c r="AB730" s="1045"/>
      <c r="AF730" s="225"/>
    </row>
    <row r="731">
      <c r="A731" s="1013"/>
      <c r="B731" s="1019" t="s">
        <v>147</v>
      </c>
      <c r="C731" s="1020" t="s">
        <v>1035</v>
      </c>
      <c r="D731" s="1020" t="s">
        <v>1045</v>
      </c>
      <c r="E731" s="1020" t="s">
        <v>660</v>
      </c>
      <c r="F731" s="1020">
        <v>2021.0</v>
      </c>
      <c r="G731" s="1021">
        <v>1.7625E-4</v>
      </c>
      <c r="H731" s="1021">
        <v>6.9E-5</v>
      </c>
      <c r="I731" s="1022">
        <v>3.31673E-4</v>
      </c>
      <c r="K731" s="1031" t="s">
        <v>149</v>
      </c>
      <c r="L731" s="1032" t="s">
        <v>581</v>
      </c>
      <c r="M731" s="1032" t="s">
        <v>1035</v>
      </c>
      <c r="N731" s="1032" t="s">
        <v>1044</v>
      </c>
      <c r="O731" s="1032">
        <v>2021.0</v>
      </c>
      <c r="P731" s="1032" t="s">
        <v>1039</v>
      </c>
      <c r="Q731" s="1033" t="s">
        <v>63</v>
      </c>
      <c r="R731" s="1034">
        <v>35.58003873</v>
      </c>
      <c r="S731" s="1034">
        <v>17.06211312</v>
      </c>
      <c r="T731" s="1035">
        <v>55.92825723</v>
      </c>
      <c r="AB731" s="1045"/>
      <c r="AF731" s="225"/>
    </row>
    <row r="732">
      <c r="A732" s="1013"/>
      <c r="B732" s="1019" t="s">
        <v>148</v>
      </c>
      <c r="C732" s="1020" t="s">
        <v>1035</v>
      </c>
      <c r="D732" s="1020" t="s">
        <v>1036</v>
      </c>
      <c r="E732" s="1020" t="s">
        <v>660</v>
      </c>
      <c r="F732" s="1020">
        <v>2021.0</v>
      </c>
      <c r="G732" s="1021">
        <v>5.0E-6</v>
      </c>
      <c r="H732" s="1021">
        <v>1.42E-6</v>
      </c>
      <c r="I732" s="1022">
        <v>1.07E-5</v>
      </c>
      <c r="K732" s="1031" t="s">
        <v>149</v>
      </c>
      <c r="L732" s="1032" t="s">
        <v>581</v>
      </c>
      <c r="M732" s="1032" t="s">
        <v>1035</v>
      </c>
      <c r="N732" s="1032" t="s">
        <v>1046</v>
      </c>
      <c r="O732" s="1032">
        <v>2021.0</v>
      </c>
      <c r="P732" s="1032" t="s">
        <v>1039</v>
      </c>
      <c r="Q732" s="1033" t="s">
        <v>63</v>
      </c>
      <c r="R732" s="1034">
        <v>159.0905601</v>
      </c>
      <c r="S732" s="1034">
        <v>82.671383</v>
      </c>
      <c r="T732" s="1035">
        <v>251.9712335</v>
      </c>
      <c r="AB732" s="1045"/>
      <c r="AF732" s="225"/>
    </row>
    <row r="733">
      <c r="A733" s="1013"/>
      <c r="B733" s="1019" t="s">
        <v>148</v>
      </c>
      <c r="C733" s="1020" t="s">
        <v>1035</v>
      </c>
      <c r="D733" s="1020" t="s">
        <v>1041</v>
      </c>
      <c r="E733" s="1020" t="s">
        <v>660</v>
      </c>
      <c r="F733" s="1020">
        <v>2021.0</v>
      </c>
      <c r="G733" s="1021">
        <v>1.2E-6</v>
      </c>
      <c r="H733" s="1021">
        <v>4.6E-7</v>
      </c>
      <c r="I733" s="1022">
        <v>2.21E-6</v>
      </c>
      <c r="K733" s="1031" t="s">
        <v>149</v>
      </c>
      <c r="L733" s="1032" t="s">
        <v>581</v>
      </c>
      <c r="M733" s="1032" t="s">
        <v>1035</v>
      </c>
      <c r="N733" s="1032" t="s">
        <v>1045</v>
      </c>
      <c r="O733" s="1032">
        <v>2021.0</v>
      </c>
      <c r="P733" s="1032" t="s">
        <v>1039</v>
      </c>
      <c r="Q733" s="1033" t="s">
        <v>63</v>
      </c>
      <c r="R733" s="1034">
        <v>730.3035654</v>
      </c>
      <c r="S733" s="1034">
        <v>462.8605936</v>
      </c>
      <c r="T733" s="1035">
        <v>1116.403879</v>
      </c>
      <c r="AB733" s="1045"/>
      <c r="AF733" s="225"/>
    </row>
    <row r="734">
      <c r="A734" s="1013"/>
      <c r="B734" s="1019" t="s">
        <v>148</v>
      </c>
      <c r="C734" s="1020" t="s">
        <v>1035</v>
      </c>
      <c r="D734" s="1020" t="s">
        <v>1043</v>
      </c>
      <c r="E734" s="1020" t="s">
        <v>660</v>
      </c>
      <c r="F734" s="1020">
        <v>2021.0</v>
      </c>
      <c r="G734" s="1021">
        <v>1.93E-5</v>
      </c>
      <c r="H734" s="1021">
        <v>6.41E-6</v>
      </c>
      <c r="I734" s="1022">
        <v>3.95E-5</v>
      </c>
      <c r="K734" s="1031" t="s">
        <v>150</v>
      </c>
      <c r="L734" s="1032" t="s">
        <v>581</v>
      </c>
      <c r="M734" s="1032" t="s">
        <v>1035</v>
      </c>
      <c r="N734" s="1032" t="s">
        <v>1038</v>
      </c>
      <c r="O734" s="1032">
        <v>2021.0</v>
      </c>
      <c r="P734" s="1032" t="s">
        <v>1039</v>
      </c>
      <c r="Q734" s="1033" t="s">
        <v>63</v>
      </c>
      <c r="R734" s="1034">
        <v>773.1823195</v>
      </c>
      <c r="S734" s="1034">
        <v>337.470437</v>
      </c>
      <c r="T734" s="1035">
        <v>1277.385711</v>
      </c>
      <c r="AB734" s="1045"/>
      <c r="AF734" s="225"/>
    </row>
    <row r="735">
      <c r="A735" s="1013"/>
      <c r="B735" s="1019" t="s">
        <v>148</v>
      </c>
      <c r="C735" s="1020" t="s">
        <v>1035</v>
      </c>
      <c r="D735" s="1020" t="s">
        <v>1045</v>
      </c>
      <c r="E735" s="1020" t="s">
        <v>660</v>
      </c>
      <c r="F735" s="1020">
        <v>2021.0</v>
      </c>
      <c r="G735" s="1021">
        <v>1.0284E-4</v>
      </c>
      <c r="H735" s="1021">
        <v>3.77E-5</v>
      </c>
      <c r="I735" s="1022">
        <v>1.99422E-4</v>
      </c>
      <c r="K735" s="1031" t="s">
        <v>150</v>
      </c>
      <c r="L735" s="1032" t="s">
        <v>581</v>
      </c>
      <c r="M735" s="1032" t="s">
        <v>1035</v>
      </c>
      <c r="N735" s="1032" t="s">
        <v>1042</v>
      </c>
      <c r="O735" s="1032">
        <v>2021.0</v>
      </c>
      <c r="P735" s="1032" t="s">
        <v>1039</v>
      </c>
      <c r="Q735" s="1033" t="s">
        <v>63</v>
      </c>
      <c r="R735" s="1034">
        <v>803.0921082</v>
      </c>
      <c r="S735" s="1034">
        <v>512.1940674</v>
      </c>
      <c r="T735" s="1035">
        <v>1162.259319</v>
      </c>
      <c r="AB735" s="1045"/>
      <c r="AF735" s="225"/>
    </row>
    <row r="736">
      <c r="A736" s="1013"/>
      <c r="B736" s="1019" t="s">
        <v>149</v>
      </c>
      <c r="C736" s="1020" t="s">
        <v>1035</v>
      </c>
      <c r="D736" s="1020" t="s">
        <v>1036</v>
      </c>
      <c r="E736" s="1020" t="s">
        <v>660</v>
      </c>
      <c r="F736" s="1020">
        <v>2021.0</v>
      </c>
      <c r="G736" s="1021">
        <v>7.49E-6</v>
      </c>
      <c r="H736" s="1021">
        <v>2.34E-6</v>
      </c>
      <c r="I736" s="1022">
        <v>1.53E-5</v>
      </c>
      <c r="K736" s="1031" t="s">
        <v>150</v>
      </c>
      <c r="L736" s="1032" t="s">
        <v>581</v>
      </c>
      <c r="M736" s="1032" t="s">
        <v>1035</v>
      </c>
      <c r="N736" s="1032" t="s">
        <v>1044</v>
      </c>
      <c r="O736" s="1032">
        <v>2021.0</v>
      </c>
      <c r="P736" s="1032" t="s">
        <v>1039</v>
      </c>
      <c r="Q736" s="1033" t="s">
        <v>63</v>
      </c>
      <c r="R736" s="1034">
        <v>449.0839803</v>
      </c>
      <c r="S736" s="1034">
        <v>275.6223338</v>
      </c>
      <c r="T736" s="1035">
        <v>661.6264568</v>
      </c>
      <c r="AB736" s="1045"/>
      <c r="AF736" s="225"/>
    </row>
    <row r="737">
      <c r="A737" s="1013"/>
      <c r="B737" s="1019" t="s">
        <v>149</v>
      </c>
      <c r="C737" s="1020" t="s">
        <v>1035</v>
      </c>
      <c r="D737" s="1020" t="s">
        <v>1041</v>
      </c>
      <c r="E737" s="1020" t="s">
        <v>660</v>
      </c>
      <c r="F737" s="1020">
        <v>2021.0</v>
      </c>
      <c r="G737" s="1021">
        <v>1.74E-6</v>
      </c>
      <c r="H737" s="1021">
        <v>7.67E-7</v>
      </c>
      <c r="I737" s="1022">
        <v>3.12E-6</v>
      </c>
      <c r="K737" s="1031" t="s">
        <v>150</v>
      </c>
      <c r="L737" s="1032" t="s">
        <v>581</v>
      </c>
      <c r="M737" s="1032" t="s">
        <v>1035</v>
      </c>
      <c r="N737" s="1032" t="s">
        <v>1046</v>
      </c>
      <c r="O737" s="1032">
        <v>2021.0</v>
      </c>
      <c r="P737" s="1032" t="s">
        <v>1039</v>
      </c>
      <c r="Q737" s="1033" t="s">
        <v>63</v>
      </c>
      <c r="R737" s="1034">
        <v>1100.900828</v>
      </c>
      <c r="S737" s="1034">
        <v>580.6385501</v>
      </c>
      <c r="T737" s="1035">
        <v>1703.453089</v>
      </c>
      <c r="AB737" s="1045"/>
      <c r="AF737" s="225"/>
    </row>
    <row r="738">
      <c r="A738" s="1013"/>
      <c r="B738" s="1019" t="s">
        <v>149</v>
      </c>
      <c r="C738" s="1020" t="s">
        <v>1035</v>
      </c>
      <c r="D738" s="1020" t="s">
        <v>1043</v>
      </c>
      <c r="E738" s="1020" t="s">
        <v>660</v>
      </c>
      <c r="F738" s="1020">
        <v>2021.0</v>
      </c>
      <c r="G738" s="1021">
        <v>2.84E-5</v>
      </c>
      <c r="H738" s="1021">
        <v>1.24E-5</v>
      </c>
      <c r="I738" s="1022">
        <v>5.28E-5</v>
      </c>
      <c r="K738" s="1031" t="s">
        <v>150</v>
      </c>
      <c r="L738" s="1032" t="s">
        <v>581</v>
      </c>
      <c r="M738" s="1032" t="s">
        <v>1035</v>
      </c>
      <c r="N738" s="1032" t="s">
        <v>1045</v>
      </c>
      <c r="O738" s="1032">
        <v>2021.0</v>
      </c>
      <c r="P738" s="1032" t="s">
        <v>1039</v>
      </c>
      <c r="Q738" s="1033" t="s">
        <v>63</v>
      </c>
      <c r="R738" s="1034">
        <v>3126.259236</v>
      </c>
      <c r="S738" s="1034">
        <v>1954.480079</v>
      </c>
      <c r="T738" s="1035">
        <v>4403.091818</v>
      </c>
      <c r="AB738" s="1045"/>
      <c r="AF738" s="225"/>
    </row>
    <row r="739">
      <c r="A739" s="1013"/>
      <c r="B739" s="1019" t="s">
        <v>149</v>
      </c>
      <c r="C739" s="1020" t="s">
        <v>1035</v>
      </c>
      <c r="D739" s="1020" t="s">
        <v>1045</v>
      </c>
      <c r="E739" s="1020" t="s">
        <v>660</v>
      </c>
      <c r="F739" s="1020">
        <v>2021.0</v>
      </c>
      <c r="G739" s="1021">
        <v>1.7111E-4</v>
      </c>
      <c r="H739" s="1021">
        <v>6.93E-5</v>
      </c>
      <c r="I739" s="1022">
        <v>3.21554E-4</v>
      </c>
      <c r="K739" s="1031" t="s">
        <v>151</v>
      </c>
      <c r="L739" s="1032" t="s">
        <v>581</v>
      </c>
      <c r="M739" s="1032" t="s">
        <v>1035</v>
      </c>
      <c r="N739" s="1032" t="s">
        <v>1038</v>
      </c>
      <c r="O739" s="1032">
        <v>2021.0</v>
      </c>
      <c r="P739" s="1032" t="s">
        <v>1039</v>
      </c>
      <c r="Q739" s="1033" t="s">
        <v>63</v>
      </c>
      <c r="R739" s="1034">
        <v>286.18421</v>
      </c>
      <c r="S739" s="1034">
        <v>119.8220617</v>
      </c>
      <c r="T739" s="1035">
        <v>506.7038475</v>
      </c>
      <c r="AB739" s="1045"/>
      <c r="AF739" s="225"/>
    </row>
    <row r="740">
      <c r="A740" s="1013"/>
      <c r="B740" s="1019" t="s">
        <v>150</v>
      </c>
      <c r="C740" s="1020" t="s">
        <v>1035</v>
      </c>
      <c r="D740" s="1020" t="s">
        <v>1036</v>
      </c>
      <c r="E740" s="1020" t="s">
        <v>660</v>
      </c>
      <c r="F740" s="1020">
        <v>2021.0</v>
      </c>
      <c r="G740" s="1021">
        <v>1.34E-5</v>
      </c>
      <c r="H740" s="1021">
        <v>3.71E-6</v>
      </c>
      <c r="I740" s="1022">
        <v>2.77E-5</v>
      </c>
      <c r="K740" s="1031" t="s">
        <v>151</v>
      </c>
      <c r="L740" s="1032" t="s">
        <v>581</v>
      </c>
      <c r="M740" s="1032" t="s">
        <v>1035</v>
      </c>
      <c r="N740" s="1032" t="s">
        <v>1042</v>
      </c>
      <c r="O740" s="1032">
        <v>2021.0</v>
      </c>
      <c r="P740" s="1032" t="s">
        <v>1039</v>
      </c>
      <c r="Q740" s="1033" t="s">
        <v>63</v>
      </c>
      <c r="R740" s="1034">
        <v>215.7573264</v>
      </c>
      <c r="S740" s="1034">
        <v>140.4847642</v>
      </c>
      <c r="T740" s="1035">
        <v>318.7640005</v>
      </c>
      <c r="AB740" s="1045"/>
      <c r="AF740" s="225"/>
    </row>
    <row r="741">
      <c r="A741" s="1013"/>
      <c r="B741" s="1019" t="s">
        <v>150</v>
      </c>
      <c r="C741" s="1020" t="s">
        <v>1035</v>
      </c>
      <c r="D741" s="1020" t="s">
        <v>1041</v>
      </c>
      <c r="E741" s="1020" t="s">
        <v>660</v>
      </c>
      <c r="F741" s="1020">
        <v>2021.0</v>
      </c>
      <c r="G741" s="1021">
        <v>2.55E-6</v>
      </c>
      <c r="H741" s="1021">
        <v>1.06E-6</v>
      </c>
      <c r="I741" s="1022">
        <v>4.7E-6</v>
      </c>
      <c r="K741" s="1031" t="s">
        <v>151</v>
      </c>
      <c r="L741" s="1032" t="s">
        <v>581</v>
      </c>
      <c r="M741" s="1032" t="s">
        <v>1035</v>
      </c>
      <c r="N741" s="1032" t="s">
        <v>1044</v>
      </c>
      <c r="O741" s="1032">
        <v>2021.0</v>
      </c>
      <c r="P741" s="1032" t="s">
        <v>1039</v>
      </c>
      <c r="Q741" s="1033" t="s">
        <v>63</v>
      </c>
      <c r="R741" s="1034">
        <v>77.82999324</v>
      </c>
      <c r="S741" s="1034">
        <v>45.12270364</v>
      </c>
      <c r="T741" s="1035">
        <v>113.4685613</v>
      </c>
      <c r="AB741" s="1045"/>
      <c r="AF741" s="225"/>
    </row>
    <row r="742">
      <c r="A742" s="1013"/>
      <c r="B742" s="1019" t="s">
        <v>150</v>
      </c>
      <c r="C742" s="1020" t="s">
        <v>1035</v>
      </c>
      <c r="D742" s="1020" t="s">
        <v>1043</v>
      </c>
      <c r="E742" s="1020" t="s">
        <v>660</v>
      </c>
      <c r="F742" s="1020">
        <v>2021.0</v>
      </c>
      <c r="G742" s="1021">
        <v>4.82E-5</v>
      </c>
      <c r="H742" s="1021">
        <v>1.62E-5</v>
      </c>
      <c r="I742" s="1022">
        <v>9.26E-5</v>
      </c>
      <c r="K742" s="1031" t="s">
        <v>151</v>
      </c>
      <c r="L742" s="1032" t="s">
        <v>581</v>
      </c>
      <c r="M742" s="1032" t="s">
        <v>1035</v>
      </c>
      <c r="N742" s="1032" t="s">
        <v>1046</v>
      </c>
      <c r="O742" s="1032">
        <v>2021.0</v>
      </c>
      <c r="P742" s="1032" t="s">
        <v>1039</v>
      </c>
      <c r="Q742" s="1033" t="s">
        <v>63</v>
      </c>
      <c r="R742" s="1034">
        <v>209.8720127</v>
      </c>
      <c r="S742" s="1034">
        <v>99.1236208</v>
      </c>
      <c r="T742" s="1035">
        <v>341.3419292</v>
      </c>
      <c r="AB742" s="1045"/>
      <c r="AF742" s="225"/>
    </row>
    <row r="743">
      <c r="A743" s="1013"/>
      <c r="B743" s="1019" t="s">
        <v>150</v>
      </c>
      <c r="C743" s="1020" t="s">
        <v>1035</v>
      </c>
      <c r="D743" s="1020" t="s">
        <v>1045</v>
      </c>
      <c r="E743" s="1020" t="s">
        <v>660</v>
      </c>
      <c r="F743" s="1020">
        <v>2021.0</v>
      </c>
      <c r="G743" s="1021">
        <v>2.3164E-4</v>
      </c>
      <c r="H743" s="1021">
        <v>9.39E-5</v>
      </c>
      <c r="I743" s="1022">
        <v>4.35781E-4</v>
      </c>
      <c r="K743" s="1031" t="s">
        <v>151</v>
      </c>
      <c r="L743" s="1032" t="s">
        <v>581</v>
      </c>
      <c r="M743" s="1032" t="s">
        <v>1035</v>
      </c>
      <c r="N743" s="1032" t="s">
        <v>1045</v>
      </c>
      <c r="O743" s="1032">
        <v>2021.0</v>
      </c>
      <c r="P743" s="1032" t="s">
        <v>1039</v>
      </c>
      <c r="Q743" s="1033" t="s">
        <v>63</v>
      </c>
      <c r="R743" s="1034">
        <v>789.6435423</v>
      </c>
      <c r="S743" s="1034">
        <v>455.9970327</v>
      </c>
      <c r="T743" s="1035">
        <v>1178.786575</v>
      </c>
      <c r="AB743" s="1045"/>
      <c r="AF743" s="225"/>
    </row>
    <row r="744">
      <c r="A744" s="1013"/>
      <c r="B744" s="1019" t="s">
        <v>151</v>
      </c>
      <c r="C744" s="1020" t="s">
        <v>1035</v>
      </c>
      <c r="D744" s="1020" t="s">
        <v>1036</v>
      </c>
      <c r="E744" s="1020" t="s">
        <v>660</v>
      </c>
      <c r="F744" s="1020">
        <v>2021.0</v>
      </c>
      <c r="G744" s="1021">
        <v>6.71E-6</v>
      </c>
      <c r="H744" s="1021">
        <v>2.19E-6</v>
      </c>
      <c r="I744" s="1022">
        <v>1.4E-5</v>
      </c>
      <c r="K744" s="1031" t="s">
        <v>121</v>
      </c>
      <c r="L744" s="1032" t="s">
        <v>581</v>
      </c>
      <c r="M744" s="1032" t="s">
        <v>1035</v>
      </c>
      <c r="N744" s="1032" t="s">
        <v>1038</v>
      </c>
      <c r="O744" s="1032">
        <v>2021.0</v>
      </c>
      <c r="P744" s="1032" t="s">
        <v>1039</v>
      </c>
      <c r="Q744" s="1033" t="s">
        <v>63</v>
      </c>
      <c r="R744" s="1034">
        <v>4503.269507</v>
      </c>
      <c r="S744" s="1034">
        <v>2821.666747</v>
      </c>
      <c r="T744" s="1035">
        <v>6964.217844</v>
      </c>
      <c r="AB744" s="1045"/>
      <c r="AF744" s="225"/>
    </row>
    <row r="745">
      <c r="A745" s="1013"/>
      <c r="B745" s="1019" t="s">
        <v>151</v>
      </c>
      <c r="C745" s="1020" t="s">
        <v>1035</v>
      </c>
      <c r="D745" s="1020" t="s">
        <v>1041</v>
      </c>
      <c r="E745" s="1020" t="s">
        <v>660</v>
      </c>
      <c r="F745" s="1020">
        <v>2021.0</v>
      </c>
      <c r="G745" s="1021">
        <v>1.61E-6</v>
      </c>
      <c r="H745" s="1021">
        <v>6.99E-7</v>
      </c>
      <c r="I745" s="1022">
        <v>2.98E-6</v>
      </c>
      <c r="K745" s="1031" t="s">
        <v>121</v>
      </c>
      <c r="L745" s="1032" t="s">
        <v>581</v>
      </c>
      <c r="M745" s="1032" t="s">
        <v>1035</v>
      </c>
      <c r="N745" s="1032" t="s">
        <v>1042</v>
      </c>
      <c r="O745" s="1032">
        <v>2021.0</v>
      </c>
      <c r="P745" s="1032" t="s">
        <v>1039</v>
      </c>
      <c r="Q745" s="1033" t="s">
        <v>63</v>
      </c>
      <c r="R745" s="1034">
        <v>1055.148578</v>
      </c>
      <c r="S745" s="1034">
        <v>695.7004208</v>
      </c>
      <c r="T745" s="1035">
        <v>1537.15128</v>
      </c>
      <c r="AB745" s="1045"/>
      <c r="AF745" s="225"/>
    </row>
    <row r="746">
      <c r="A746" s="1013"/>
      <c r="B746" s="1019" t="s">
        <v>151</v>
      </c>
      <c r="C746" s="1020" t="s">
        <v>1035</v>
      </c>
      <c r="D746" s="1020" t="s">
        <v>1043</v>
      </c>
      <c r="E746" s="1020" t="s">
        <v>660</v>
      </c>
      <c r="F746" s="1020">
        <v>2021.0</v>
      </c>
      <c r="G746" s="1021">
        <v>2.97E-5</v>
      </c>
      <c r="H746" s="1021">
        <v>1.1E-5</v>
      </c>
      <c r="I746" s="1022">
        <v>5.9E-5</v>
      </c>
      <c r="K746" s="1031" t="s">
        <v>121</v>
      </c>
      <c r="L746" s="1032" t="s">
        <v>581</v>
      </c>
      <c r="M746" s="1032" t="s">
        <v>1035</v>
      </c>
      <c r="N746" s="1032" t="s">
        <v>1044</v>
      </c>
      <c r="O746" s="1032">
        <v>2021.0</v>
      </c>
      <c r="P746" s="1032" t="s">
        <v>1039</v>
      </c>
      <c r="Q746" s="1033" t="s">
        <v>63</v>
      </c>
      <c r="R746" s="1034">
        <v>756.141429</v>
      </c>
      <c r="S746" s="1034">
        <v>518.1044968</v>
      </c>
      <c r="T746" s="1035">
        <v>1043.028373</v>
      </c>
      <c r="AB746" s="1045"/>
      <c r="AF746" s="225"/>
    </row>
    <row r="747">
      <c r="A747" s="1013"/>
      <c r="B747" s="1019" t="s">
        <v>151</v>
      </c>
      <c r="C747" s="1020" t="s">
        <v>1035</v>
      </c>
      <c r="D747" s="1020" t="s">
        <v>1045</v>
      </c>
      <c r="E747" s="1020" t="s">
        <v>660</v>
      </c>
      <c r="F747" s="1020">
        <v>2021.0</v>
      </c>
      <c r="G747" s="1021">
        <v>1.74496E-4</v>
      </c>
      <c r="H747" s="1021">
        <v>6.34E-5</v>
      </c>
      <c r="I747" s="1022">
        <v>3.47012E-4</v>
      </c>
      <c r="K747" s="1031" t="s">
        <v>121</v>
      </c>
      <c r="L747" s="1032" t="s">
        <v>581</v>
      </c>
      <c r="M747" s="1032" t="s">
        <v>1035</v>
      </c>
      <c r="N747" s="1032" t="s">
        <v>1046</v>
      </c>
      <c r="O747" s="1032">
        <v>2021.0</v>
      </c>
      <c r="P747" s="1032" t="s">
        <v>1039</v>
      </c>
      <c r="Q747" s="1033" t="s">
        <v>63</v>
      </c>
      <c r="R747" s="1034">
        <v>1840.731621</v>
      </c>
      <c r="S747" s="1034">
        <v>1246.719664</v>
      </c>
      <c r="T747" s="1035">
        <v>2653.415287</v>
      </c>
      <c r="AB747" s="1045"/>
      <c r="AF747" s="225"/>
    </row>
    <row r="748">
      <c r="A748" s="1013"/>
      <c r="B748" s="1019" t="s">
        <v>121</v>
      </c>
      <c r="C748" s="1020" t="s">
        <v>1035</v>
      </c>
      <c r="D748" s="1020" t="s">
        <v>1036</v>
      </c>
      <c r="E748" s="1020" t="s">
        <v>660</v>
      </c>
      <c r="F748" s="1020">
        <v>2021.0</v>
      </c>
      <c r="G748" s="1021">
        <v>8.11E-5</v>
      </c>
      <c r="H748" s="1021">
        <v>2.54E-5</v>
      </c>
      <c r="I748" s="1022">
        <v>1.51265E-4</v>
      </c>
      <c r="K748" s="1031" t="s">
        <v>121</v>
      </c>
      <c r="L748" s="1032" t="s">
        <v>581</v>
      </c>
      <c r="M748" s="1032" t="s">
        <v>1035</v>
      </c>
      <c r="N748" s="1032" t="s">
        <v>1045</v>
      </c>
      <c r="O748" s="1032">
        <v>2021.0</v>
      </c>
      <c r="P748" s="1032" t="s">
        <v>1039</v>
      </c>
      <c r="Q748" s="1033" t="s">
        <v>63</v>
      </c>
      <c r="R748" s="1034">
        <v>8155.291135</v>
      </c>
      <c r="S748" s="1034">
        <v>5788.003488</v>
      </c>
      <c r="T748" s="1035">
        <v>11520.71647</v>
      </c>
      <c r="AB748" s="1045"/>
      <c r="AF748" s="225"/>
    </row>
    <row r="749">
      <c r="A749" s="1013"/>
      <c r="B749" s="1019" t="s">
        <v>121</v>
      </c>
      <c r="C749" s="1020" t="s">
        <v>1035</v>
      </c>
      <c r="D749" s="1020" t="s">
        <v>1041</v>
      </c>
      <c r="E749" s="1020" t="s">
        <v>660</v>
      </c>
      <c r="F749" s="1020">
        <v>2021.0</v>
      </c>
      <c r="G749" s="1021">
        <v>1.72E-5</v>
      </c>
      <c r="H749" s="1021">
        <v>7.12E-6</v>
      </c>
      <c r="I749" s="1022">
        <v>3.05E-5</v>
      </c>
      <c r="K749" s="1031" t="s">
        <v>152</v>
      </c>
      <c r="L749" s="1032" t="s">
        <v>581</v>
      </c>
      <c r="M749" s="1032" t="s">
        <v>1035</v>
      </c>
      <c r="N749" s="1032" t="s">
        <v>1038</v>
      </c>
      <c r="O749" s="1032">
        <v>2021.0</v>
      </c>
      <c r="P749" s="1032" t="s">
        <v>1039</v>
      </c>
      <c r="Q749" s="1033" t="s">
        <v>63</v>
      </c>
      <c r="R749" s="1034">
        <v>2193.829651</v>
      </c>
      <c r="S749" s="1034">
        <v>1266.637816</v>
      </c>
      <c r="T749" s="1035">
        <v>3374.146323</v>
      </c>
      <c r="AB749" s="1045"/>
      <c r="AF749" s="225"/>
    </row>
    <row r="750">
      <c r="A750" s="1013"/>
      <c r="B750" s="1019" t="s">
        <v>121</v>
      </c>
      <c r="C750" s="1020" t="s">
        <v>1035</v>
      </c>
      <c r="D750" s="1020" t="s">
        <v>1043</v>
      </c>
      <c r="E750" s="1020" t="s">
        <v>660</v>
      </c>
      <c r="F750" s="1020">
        <v>2021.0</v>
      </c>
      <c r="G750" s="1021">
        <v>3.44136E-4</v>
      </c>
      <c r="H750" s="1021">
        <v>1.17662E-4</v>
      </c>
      <c r="I750" s="1022">
        <v>6.34375E-4</v>
      </c>
      <c r="K750" s="1031" t="s">
        <v>152</v>
      </c>
      <c r="L750" s="1032" t="s">
        <v>581</v>
      </c>
      <c r="M750" s="1032" t="s">
        <v>1035</v>
      </c>
      <c r="N750" s="1032" t="s">
        <v>1042</v>
      </c>
      <c r="O750" s="1032">
        <v>2021.0</v>
      </c>
      <c r="P750" s="1032" t="s">
        <v>1039</v>
      </c>
      <c r="Q750" s="1033" t="s">
        <v>63</v>
      </c>
      <c r="R750" s="1034">
        <v>833.7026331</v>
      </c>
      <c r="S750" s="1034">
        <v>542.2616722</v>
      </c>
      <c r="T750" s="1035">
        <v>1237.198566</v>
      </c>
      <c r="AB750" s="1045"/>
      <c r="AF750" s="225"/>
    </row>
    <row r="751">
      <c r="A751" s="1013"/>
      <c r="B751" s="1019" t="s">
        <v>121</v>
      </c>
      <c r="C751" s="1020" t="s">
        <v>1035</v>
      </c>
      <c r="D751" s="1020" t="s">
        <v>1045</v>
      </c>
      <c r="E751" s="1020" t="s">
        <v>660</v>
      </c>
      <c r="F751" s="1020">
        <v>2021.0</v>
      </c>
      <c r="G751" s="1021">
        <v>0.002217853</v>
      </c>
      <c r="H751" s="1021">
        <v>0.00105951</v>
      </c>
      <c r="I751" s="1022">
        <v>0.003875998</v>
      </c>
      <c r="K751" s="1031" t="s">
        <v>152</v>
      </c>
      <c r="L751" s="1032" t="s">
        <v>581</v>
      </c>
      <c r="M751" s="1032" t="s">
        <v>1035</v>
      </c>
      <c r="N751" s="1032" t="s">
        <v>1044</v>
      </c>
      <c r="O751" s="1032">
        <v>2021.0</v>
      </c>
      <c r="P751" s="1032" t="s">
        <v>1039</v>
      </c>
      <c r="Q751" s="1033" t="s">
        <v>63</v>
      </c>
      <c r="R751" s="1034">
        <v>372.0457279</v>
      </c>
      <c r="S751" s="1034">
        <v>245.1044883</v>
      </c>
      <c r="T751" s="1035">
        <v>525.8405393</v>
      </c>
      <c r="AB751" s="1045"/>
      <c r="AF751" s="225"/>
    </row>
    <row r="752">
      <c r="A752" s="1013"/>
      <c r="B752" s="1019" t="s">
        <v>152</v>
      </c>
      <c r="C752" s="1020" t="s">
        <v>1035</v>
      </c>
      <c r="D752" s="1020" t="s">
        <v>1036</v>
      </c>
      <c r="E752" s="1020" t="s">
        <v>660</v>
      </c>
      <c r="F752" s="1020">
        <v>2021.0</v>
      </c>
      <c r="G752" s="1021">
        <v>2.0E-5</v>
      </c>
      <c r="H752" s="1021">
        <v>4.65E-6</v>
      </c>
      <c r="I752" s="1022">
        <v>3.84E-5</v>
      </c>
      <c r="K752" s="1031" t="s">
        <v>152</v>
      </c>
      <c r="L752" s="1032" t="s">
        <v>581</v>
      </c>
      <c r="M752" s="1032" t="s">
        <v>1035</v>
      </c>
      <c r="N752" s="1032" t="s">
        <v>1046</v>
      </c>
      <c r="O752" s="1032">
        <v>2021.0</v>
      </c>
      <c r="P752" s="1032" t="s">
        <v>1039</v>
      </c>
      <c r="Q752" s="1033" t="s">
        <v>63</v>
      </c>
      <c r="R752" s="1034">
        <v>2142.469612</v>
      </c>
      <c r="S752" s="1034">
        <v>1389.999345</v>
      </c>
      <c r="T752" s="1035">
        <v>3281.60388</v>
      </c>
      <c r="AB752" s="1045"/>
      <c r="AF752" s="225"/>
    </row>
    <row r="753">
      <c r="A753" s="1013"/>
      <c r="B753" s="1019" t="s">
        <v>152</v>
      </c>
      <c r="C753" s="1020" t="s">
        <v>1035</v>
      </c>
      <c r="D753" s="1020" t="s">
        <v>1041</v>
      </c>
      <c r="E753" s="1020" t="s">
        <v>660</v>
      </c>
      <c r="F753" s="1020">
        <v>2021.0</v>
      </c>
      <c r="G753" s="1021">
        <v>4.87E-6</v>
      </c>
      <c r="H753" s="1021">
        <v>1.51E-6</v>
      </c>
      <c r="I753" s="1022">
        <v>8.72E-6</v>
      </c>
      <c r="K753" s="1031" t="s">
        <v>152</v>
      </c>
      <c r="L753" s="1032" t="s">
        <v>581</v>
      </c>
      <c r="M753" s="1032" t="s">
        <v>1035</v>
      </c>
      <c r="N753" s="1032" t="s">
        <v>1045</v>
      </c>
      <c r="O753" s="1032">
        <v>2021.0</v>
      </c>
      <c r="P753" s="1032" t="s">
        <v>1039</v>
      </c>
      <c r="Q753" s="1033" t="s">
        <v>63</v>
      </c>
      <c r="R753" s="1034">
        <v>5542.047624</v>
      </c>
      <c r="S753" s="1034">
        <v>3739.90653</v>
      </c>
      <c r="T753" s="1035">
        <v>7973.034023</v>
      </c>
      <c r="AB753" s="1045"/>
      <c r="AF753" s="225"/>
    </row>
    <row r="754">
      <c r="A754" s="1013"/>
      <c r="B754" s="1019" t="s">
        <v>152</v>
      </c>
      <c r="C754" s="1020" t="s">
        <v>1035</v>
      </c>
      <c r="D754" s="1020" t="s">
        <v>1043</v>
      </c>
      <c r="E754" s="1020" t="s">
        <v>660</v>
      </c>
      <c r="F754" s="1020">
        <v>2021.0</v>
      </c>
      <c r="G754" s="1021">
        <v>9.21E-5</v>
      </c>
      <c r="H754" s="1021">
        <v>2.1E-5</v>
      </c>
      <c r="I754" s="1022">
        <v>1.79108E-4</v>
      </c>
      <c r="K754" s="1031" t="s">
        <v>153</v>
      </c>
      <c r="L754" s="1032" t="s">
        <v>581</v>
      </c>
      <c r="M754" s="1032" t="s">
        <v>1035</v>
      </c>
      <c r="N754" s="1032" t="s">
        <v>1038</v>
      </c>
      <c r="O754" s="1032">
        <v>2021.0</v>
      </c>
      <c r="P754" s="1032" t="s">
        <v>1039</v>
      </c>
      <c r="Q754" s="1033" t="s">
        <v>63</v>
      </c>
      <c r="R754" s="1034">
        <v>1045.63106</v>
      </c>
      <c r="S754" s="1034">
        <v>581.0730567</v>
      </c>
      <c r="T754" s="1035">
        <v>1614.436251</v>
      </c>
      <c r="AB754" s="1045"/>
      <c r="AF754" s="225"/>
    </row>
    <row r="755">
      <c r="A755" s="1013"/>
      <c r="B755" s="1019" t="s">
        <v>152</v>
      </c>
      <c r="C755" s="1020" t="s">
        <v>1035</v>
      </c>
      <c r="D755" s="1020" t="s">
        <v>1045</v>
      </c>
      <c r="E755" s="1020" t="s">
        <v>660</v>
      </c>
      <c r="F755" s="1020">
        <v>2021.0</v>
      </c>
      <c r="G755" s="1021">
        <v>5.64633E-4</v>
      </c>
      <c r="H755" s="1021">
        <v>2.67519E-4</v>
      </c>
      <c r="I755" s="1022">
        <v>0.001037922</v>
      </c>
      <c r="K755" s="1031" t="s">
        <v>153</v>
      </c>
      <c r="L755" s="1032" t="s">
        <v>581</v>
      </c>
      <c r="M755" s="1032" t="s">
        <v>1035</v>
      </c>
      <c r="N755" s="1032" t="s">
        <v>1042</v>
      </c>
      <c r="O755" s="1032">
        <v>2021.0</v>
      </c>
      <c r="P755" s="1032" t="s">
        <v>1039</v>
      </c>
      <c r="Q755" s="1033" t="s">
        <v>63</v>
      </c>
      <c r="R755" s="1034">
        <v>517.0937589</v>
      </c>
      <c r="S755" s="1034">
        <v>335.6172135</v>
      </c>
      <c r="T755" s="1035">
        <v>776.2969449</v>
      </c>
      <c r="AB755" s="1045"/>
      <c r="AF755" s="225"/>
    </row>
    <row r="756">
      <c r="A756" s="1013"/>
      <c r="B756" s="1019" t="s">
        <v>153</v>
      </c>
      <c r="C756" s="1020" t="s">
        <v>1035</v>
      </c>
      <c r="D756" s="1020" t="s">
        <v>1036</v>
      </c>
      <c r="E756" s="1020" t="s">
        <v>660</v>
      </c>
      <c r="F756" s="1020">
        <v>2021.0</v>
      </c>
      <c r="G756" s="1021">
        <v>4.79E-5</v>
      </c>
      <c r="H756" s="1021">
        <v>1.48E-5</v>
      </c>
      <c r="I756" s="1022">
        <v>8.99E-5</v>
      </c>
      <c r="K756" s="1031" t="s">
        <v>153</v>
      </c>
      <c r="L756" s="1032" t="s">
        <v>581</v>
      </c>
      <c r="M756" s="1032" t="s">
        <v>1035</v>
      </c>
      <c r="N756" s="1032" t="s">
        <v>1044</v>
      </c>
      <c r="O756" s="1032">
        <v>2021.0</v>
      </c>
      <c r="P756" s="1032" t="s">
        <v>1039</v>
      </c>
      <c r="Q756" s="1033" t="s">
        <v>63</v>
      </c>
      <c r="R756" s="1034">
        <v>188.4149133</v>
      </c>
      <c r="S756" s="1034">
        <v>122.0588681</v>
      </c>
      <c r="T756" s="1035">
        <v>266.4604296</v>
      </c>
      <c r="AB756" s="1045"/>
      <c r="AF756" s="225"/>
    </row>
    <row r="757">
      <c r="A757" s="1013"/>
      <c r="B757" s="1019" t="s">
        <v>153</v>
      </c>
      <c r="C757" s="1020" t="s">
        <v>1035</v>
      </c>
      <c r="D757" s="1020" t="s">
        <v>1041</v>
      </c>
      <c r="E757" s="1020" t="s">
        <v>660</v>
      </c>
      <c r="F757" s="1020">
        <v>2021.0</v>
      </c>
      <c r="G757" s="1021">
        <v>9.88E-6</v>
      </c>
      <c r="H757" s="1021">
        <v>4.03E-6</v>
      </c>
      <c r="I757" s="1022">
        <v>1.75E-5</v>
      </c>
      <c r="K757" s="1031" t="s">
        <v>153</v>
      </c>
      <c r="L757" s="1032" t="s">
        <v>581</v>
      </c>
      <c r="M757" s="1032" t="s">
        <v>1035</v>
      </c>
      <c r="N757" s="1032" t="s">
        <v>1046</v>
      </c>
      <c r="O757" s="1032">
        <v>2021.0</v>
      </c>
      <c r="P757" s="1032" t="s">
        <v>1039</v>
      </c>
      <c r="Q757" s="1033" t="s">
        <v>63</v>
      </c>
      <c r="R757" s="1034">
        <v>559.452791</v>
      </c>
      <c r="S757" s="1034">
        <v>377.6584554</v>
      </c>
      <c r="T757" s="1035">
        <v>816.4571849</v>
      </c>
      <c r="AB757" s="1045"/>
      <c r="AF757" s="225"/>
    </row>
    <row r="758">
      <c r="A758" s="1013"/>
      <c r="B758" s="1019" t="s">
        <v>153</v>
      </c>
      <c r="C758" s="1020" t="s">
        <v>1035</v>
      </c>
      <c r="D758" s="1020" t="s">
        <v>1043</v>
      </c>
      <c r="E758" s="1020" t="s">
        <v>660</v>
      </c>
      <c r="F758" s="1020">
        <v>2021.0</v>
      </c>
      <c r="G758" s="1021">
        <v>1.72181E-4</v>
      </c>
      <c r="H758" s="1021">
        <v>3.01E-5</v>
      </c>
      <c r="I758" s="1022">
        <v>3.21119E-4</v>
      </c>
      <c r="K758" s="1031" t="s">
        <v>153</v>
      </c>
      <c r="L758" s="1032" t="s">
        <v>581</v>
      </c>
      <c r="M758" s="1032" t="s">
        <v>1035</v>
      </c>
      <c r="N758" s="1032" t="s">
        <v>1045</v>
      </c>
      <c r="O758" s="1032">
        <v>2021.0</v>
      </c>
      <c r="P758" s="1032" t="s">
        <v>1039</v>
      </c>
      <c r="Q758" s="1033" t="s">
        <v>63</v>
      </c>
      <c r="R758" s="1034">
        <v>2310.592523</v>
      </c>
      <c r="S758" s="1034">
        <v>1592.37098</v>
      </c>
      <c r="T758" s="1035">
        <v>3206.468655</v>
      </c>
      <c r="AB758" s="1045"/>
      <c r="AF758" s="225"/>
    </row>
    <row r="759">
      <c r="A759" s="1013"/>
      <c r="B759" s="1019" t="s">
        <v>153</v>
      </c>
      <c r="C759" s="1020" t="s">
        <v>1035</v>
      </c>
      <c r="D759" s="1020" t="s">
        <v>1045</v>
      </c>
      <c r="E759" s="1020" t="s">
        <v>660</v>
      </c>
      <c r="F759" s="1020">
        <v>2021.0</v>
      </c>
      <c r="G759" s="1021">
        <v>0.001123738</v>
      </c>
      <c r="H759" s="1021">
        <v>5.27228E-4</v>
      </c>
      <c r="I759" s="1022">
        <v>0.00192811</v>
      </c>
      <c r="K759" s="1031" t="s">
        <v>122</v>
      </c>
      <c r="L759" s="1032" t="s">
        <v>581</v>
      </c>
      <c r="M759" s="1032" t="s">
        <v>1035</v>
      </c>
      <c r="N759" s="1032" t="s">
        <v>1038</v>
      </c>
      <c r="O759" s="1032">
        <v>2021.0</v>
      </c>
      <c r="P759" s="1032" t="s">
        <v>1039</v>
      </c>
      <c r="Q759" s="1033" t="s">
        <v>63</v>
      </c>
      <c r="R759" s="1034">
        <v>2001.967545</v>
      </c>
      <c r="S759" s="1034">
        <v>1292.204449</v>
      </c>
      <c r="T759" s="1035">
        <v>3122.858414</v>
      </c>
      <c r="AB759" s="1045"/>
      <c r="AF759" s="225"/>
    </row>
    <row r="760">
      <c r="A760" s="1013"/>
      <c r="B760" s="1019" t="s">
        <v>122</v>
      </c>
      <c r="C760" s="1020" t="s">
        <v>1035</v>
      </c>
      <c r="D760" s="1020" t="s">
        <v>1036</v>
      </c>
      <c r="E760" s="1020" t="s">
        <v>660</v>
      </c>
      <c r="F760" s="1020">
        <v>2021.0</v>
      </c>
      <c r="G760" s="1021">
        <v>7.78E-5</v>
      </c>
      <c r="H760" s="1021">
        <v>2.43E-5</v>
      </c>
      <c r="I760" s="1022">
        <v>1.4615E-4</v>
      </c>
      <c r="K760" s="1031" t="s">
        <v>122</v>
      </c>
      <c r="L760" s="1032" t="s">
        <v>581</v>
      </c>
      <c r="M760" s="1032" t="s">
        <v>1035</v>
      </c>
      <c r="N760" s="1032" t="s">
        <v>1042</v>
      </c>
      <c r="O760" s="1032">
        <v>2021.0</v>
      </c>
      <c r="P760" s="1032" t="s">
        <v>1039</v>
      </c>
      <c r="Q760" s="1033" t="s">
        <v>63</v>
      </c>
      <c r="R760" s="1034">
        <v>335.622534</v>
      </c>
      <c r="S760" s="1034">
        <v>221.3223716</v>
      </c>
      <c r="T760" s="1035">
        <v>476.4015483</v>
      </c>
      <c r="AB760" s="1045"/>
      <c r="AF760" s="225"/>
    </row>
    <row r="761">
      <c r="A761" s="1013"/>
      <c r="B761" s="1019" t="s">
        <v>122</v>
      </c>
      <c r="C761" s="1020" t="s">
        <v>1035</v>
      </c>
      <c r="D761" s="1020" t="s">
        <v>1041</v>
      </c>
      <c r="E761" s="1020" t="s">
        <v>660</v>
      </c>
      <c r="F761" s="1020">
        <v>2021.0</v>
      </c>
      <c r="G761" s="1021">
        <v>1.78E-5</v>
      </c>
      <c r="H761" s="1021">
        <v>7.36E-6</v>
      </c>
      <c r="I761" s="1022">
        <v>3.14E-5</v>
      </c>
      <c r="K761" s="1031" t="s">
        <v>122</v>
      </c>
      <c r="L761" s="1032" t="s">
        <v>581</v>
      </c>
      <c r="M761" s="1032" t="s">
        <v>1035</v>
      </c>
      <c r="N761" s="1032" t="s">
        <v>1044</v>
      </c>
      <c r="O761" s="1032">
        <v>2021.0</v>
      </c>
      <c r="P761" s="1032" t="s">
        <v>1039</v>
      </c>
      <c r="Q761" s="1033" t="s">
        <v>63</v>
      </c>
      <c r="R761" s="1034">
        <v>290.4911702</v>
      </c>
      <c r="S761" s="1034">
        <v>196.5894487</v>
      </c>
      <c r="T761" s="1035">
        <v>412.0931929</v>
      </c>
      <c r="AB761" s="1045"/>
      <c r="AF761" s="225"/>
    </row>
    <row r="762">
      <c r="A762" s="1013"/>
      <c r="B762" s="1019" t="s">
        <v>122</v>
      </c>
      <c r="C762" s="1020" t="s">
        <v>1035</v>
      </c>
      <c r="D762" s="1020" t="s">
        <v>1043</v>
      </c>
      <c r="E762" s="1020" t="s">
        <v>660</v>
      </c>
      <c r="F762" s="1020">
        <v>2021.0</v>
      </c>
      <c r="G762" s="1021">
        <v>3.60388E-4</v>
      </c>
      <c r="H762" s="1021">
        <v>8.86E-5</v>
      </c>
      <c r="I762" s="1022">
        <v>6.82937E-4</v>
      </c>
      <c r="K762" s="1031" t="s">
        <v>122</v>
      </c>
      <c r="L762" s="1032" t="s">
        <v>581</v>
      </c>
      <c r="M762" s="1032" t="s">
        <v>1035</v>
      </c>
      <c r="N762" s="1032" t="s">
        <v>1046</v>
      </c>
      <c r="O762" s="1032">
        <v>2021.0</v>
      </c>
      <c r="P762" s="1032" t="s">
        <v>1039</v>
      </c>
      <c r="Q762" s="1033" t="s">
        <v>63</v>
      </c>
      <c r="R762" s="1034">
        <v>883.3842446</v>
      </c>
      <c r="S762" s="1034">
        <v>618.7534089</v>
      </c>
      <c r="T762" s="1035">
        <v>1287.805839</v>
      </c>
      <c r="AB762" s="1045"/>
      <c r="AF762" s="225"/>
    </row>
    <row r="763">
      <c r="A763" s="1013"/>
      <c r="B763" s="1019" t="s">
        <v>122</v>
      </c>
      <c r="C763" s="1020" t="s">
        <v>1035</v>
      </c>
      <c r="D763" s="1020" t="s">
        <v>1045</v>
      </c>
      <c r="E763" s="1020" t="s">
        <v>660</v>
      </c>
      <c r="F763" s="1020">
        <v>2021.0</v>
      </c>
      <c r="G763" s="1021">
        <v>0.00256188</v>
      </c>
      <c r="H763" s="1021">
        <v>0.001244304</v>
      </c>
      <c r="I763" s="1022">
        <v>0.004505387</v>
      </c>
      <c r="K763" s="1031" t="s">
        <v>122</v>
      </c>
      <c r="L763" s="1032" t="s">
        <v>581</v>
      </c>
      <c r="M763" s="1032" t="s">
        <v>1035</v>
      </c>
      <c r="N763" s="1032" t="s">
        <v>1045</v>
      </c>
      <c r="O763" s="1032">
        <v>2021.0</v>
      </c>
      <c r="P763" s="1032" t="s">
        <v>1039</v>
      </c>
      <c r="Q763" s="1033" t="s">
        <v>63</v>
      </c>
      <c r="R763" s="1034">
        <v>3511.465494</v>
      </c>
      <c r="S763" s="1034">
        <v>2561.852056</v>
      </c>
      <c r="T763" s="1035">
        <v>5055.250175</v>
      </c>
      <c r="AB763" s="1045"/>
      <c r="AF763" s="225"/>
    </row>
    <row r="764">
      <c r="A764" s="1013"/>
      <c r="B764" s="1019" t="s">
        <v>123</v>
      </c>
      <c r="C764" s="1020" t="s">
        <v>1035</v>
      </c>
      <c r="D764" s="1020" t="s">
        <v>1036</v>
      </c>
      <c r="E764" s="1020" t="s">
        <v>608</v>
      </c>
      <c r="F764" s="1020">
        <v>2021.0</v>
      </c>
      <c r="G764" s="1021">
        <v>8.14486E-4</v>
      </c>
      <c r="H764" s="1021">
        <v>4.06754E-4</v>
      </c>
      <c r="I764" s="1022">
        <v>0.001462973</v>
      </c>
      <c r="K764" s="1031" t="s">
        <v>123</v>
      </c>
      <c r="L764" s="1032" t="s">
        <v>660</v>
      </c>
      <c r="M764" s="1032" t="s">
        <v>1035</v>
      </c>
      <c r="N764" s="1032" t="s">
        <v>1038</v>
      </c>
      <c r="O764" s="1032">
        <v>2021.0</v>
      </c>
      <c r="P764" s="1032" t="s">
        <v>1039</v>
      </c>
      <c r="Q764" s="1033" t="s">
        <v>63</v>
      </c>
      <c r="R764" s="1034">
        <v>13.40410939</v>
      </c>
      <c r="S764" s="1034">
        <v>5.24852794</v>
      </c>
      <c r="T764" s="1035">
        <v>25.81317502</v>
      </c>
      <c r="AB764" s="1045"/>
      <c r="AF764" s="225"/>
    </row>
    <row r="765">
      <c r="A765" s="1013"/>
      <c r="B765" s="1019" t="s">
        <v>123</v>
      </c>
      <c r="C765" s="1020" t="s">
        <v>1035</v>
      </c>
      <c r="D765" s="1020" t="s">
        <v>1041</v>
      </c>
      <c r="E765" s="1020" t="s">
        <v>608</v>
      </c>
      <c r="F765" s="1020">
        <v>2021.0</v>
      </c>
      <c r="G765" s="1021">
        <v>0.002308496</v>
      </c>
      <c r="H765" s="1021">
        <v>0.001382371</v>
      </c>
      <c r="I765" s="1022">
        <v>0.00381105</v>
      </c>
      <c r="K765" s="1031" t="s">
        <v>123</v>
      </c>
      <c r="L765" s="1032" t="s">
        <v>660</v>
      </c>
      <c r="M765" s="1032" t="s">
        <v>1035</v>
      </c>
      <c r="N765" s="1032" t="s">
        <v>1042</v>
      </c>
      <c r="O765" s="1032">
        <v>2021.0</v>
      </c>
      <c r="P765" s="1032" t="s">
        <v>1039</v>
      </c>
      <c r="Q765" s="1033" t="s">
        <v>63</v>
      </c>
      <c r="R765" s="1034">
        <v>0.0</v>
      </c>
      <c r="S765" s="1034">
        <v>0.0</v>
      </c>
      <c r="T765" s="1035">
        <v>0.0</v>
      </c>
      <c r="AB765" s="1045"/>
      <c r="AF765" s="225"/>
    </row>
    <row r="766">
      <c r="A766" s="1013"/>
      <c r="B766" s="1019" t="s">
        <v>123</v>
      </c>
      <c r="C766" s="1020" t="s">
        <v>1035</v>
      </c>
      <c r="D766" s="1020" t="s">
        <v>1043</v>
      </c>
      <c r="E766" s="1020" t="s">
        <v>608</v>
      </c>
      <c r="F766" s="1020">
        <v>2021.0</v>
      </c>
      <c r="G766" s="1021">
        <v>2.83224E-4</v>
      </c>
      <c r="H766" s="1021">
        <v>1.28129E-4</v>
      </c>
      <c r="I766" s="1022">
        <v>5.48094E-4</v>
      </c>
      <c r="K766" s="1031" t="s">
        <v>123</v>
      </c>
      <c r="L766" s="1032" t="s">
        <v>660</v>
      </c>
      <c r="M766" s="1032" t="s">
        <v>1035</v>
      </c>
      <c r="N766" s="1032" t="s">
        <v>1044</v>
      </c>
      <c r="O766" s="1032">
        <v>2021.0</v>
      </c>
      <c r="P766" s="1032" t="s">
        <v>1039</v>
      </c>
      <c r="Q766" s="1033" t="s">
        <v>63</v>
      </c>
      <c r="R766" s="1034">
        <v>0.0</v>
      </c>
      <c r="S766" s="1034">
        <v>0.0</v>
      </c>
      <c r="T766" s="1035">
        <v>0.0</v>
      </c>
      <c r="AB766" s="1045"/>
      <c r="AF766" s="225"/>
    </row>
    <row r="767">
      <c r="A767" s="1013"/>
      <c r="B767" s="1019" t="s">
        <v>123</v>
      </c>
      <c r="C767" s="1020" t="s">
        <v>1035</v>
      </c>
      <c r="D767" s="1020" t="s">
        <v>1045</v>
      </c>
      <c r="E767" s="1020" t="s">
        <v>608</v>
      </c>
      <c r="F767" s="1020">
        <v>2021.0</v>
      </c>
      <c r="G767" s="1021">
        <v>0.001617762</v>
      </c>
      <c r="H767" s="1021">
        <v>6.74704E-4</v>
      </c>
      <c r="I767" s="1022">
        <v>0.003223018</v>
      </c>
      <c r="K767" s="1031" t="s">
        <v>123</v>
      </c>
      <c r="L767" s="1032" t="s">
        <v>660</v>
      </c>
      <c r="M767" s="1032" t="s">
        <v>1035</v>
      </c>
      <c r="N767" s="1032" t="s">
        <v>1046</v>
      </c>
      <c r="O767" s="1032">
        <v>2021.0</v>
      </c>
      <c r="P767" s="1032" t="s">
        <v>1039</v>
      </c>
      <c r="Q767" s="1033" t="s">
        <v>63</v>
      </c>
      <c r="R767" s="1034">
        <v>6.245814071</v>
      </c>
      <c r="S767" s="1034">
        <v>2.437604002</v>
      </c>
      <c r="T767" s="1035">
        <v>12.18790326</v>
      </c>
      <c r="AB767" s="1045"/>
      <c r="AF767" s="225"/>
    </row>
    <row r="768">
      <c r="A768" s="1013"/>
      <c r="B768" s="1019" t="s">
        <v>124</v>
      </c>
      <c r="C768" s="1020" t="s">
        <v>1035</v>
      </c>
      <c r="D768" s="1020" t="s">
        <v>1036</v>
      </c>
      <c r="E768" s="1020" t="s">
        <v>608</v>
      </c>
      <c r="F768" s="1020">
        <v>2021.0</v>
      </c>
      <c r="G768" s="1021">
        <v>0.001486466</v>
      </c>
      <c r="H768" s="1021">
        <v>7.34759E-4</v>
      </c>
      <c r="I768" s="1022">
        <v>0.003537946</v>
      </c>
      <c r="K768" s="1031" t="s">
        <v>123</v>
      </c>
      <c r="L768" s="1032" t="s">
        <v>660</v>
      </c>
      <c r="M768" s="1032" t="s">
        <v>1035</v>
      </c>
      <c r="N768" s="1032" t="s">
        <v>1045</v>
      </c>
      <c r="O768" s="1032">
        <v>2021.0</v>
      </c>
      <c r="P768" s="1032" t="s">
        <v>1039</v>
      </c>
      <c r="Q768" s="1033" t="s">
        <v>63</v>
      </c>
      <c r="R768" s="1034">
        <v>19.64992346</v>
      </c>
      <c r="S768" s="1034">
        <v>7.777854883</v>
      </c>
      <c r="T768" s="1035">
        <v>38.47081383</v>
      </c>
      <c r="AB768" s="1045"/>
      <c r="AF768" s="225"/>
    </row>
    <row r="769">
      <c r="A769" s="1013"/>
      <c r="B769" s="1019" t="s">
        <v>124</v>
      </c>
      <c r="C769" s="1020" t="s">
        <v>1035</v>
      </c>
      <c r="D769" s="1020" t="s">
        <v>1041</v>
      </c>
      <c r="E769" s="1020" t="s">
        <v>608</v>
      </c>
      <c r="F769" s="1020">
        <v>2021.0</v>
      </c>
      <c r="G769" s="1021">
        <v>0.00386879</v>
      </c>
      <c r="H769" s="1021">
        <v>0.002375177</v>
      </c>
      <c r="I769" s="1022">
        <v>0.008132345</v>
      </c>
      <c r="K769" s="1031" t="s">
        <v>124</v>
      </c>
      <c r="L769" s="1032" t="s">
        <v>660</v>
      </c>
      <c r="M769" s="1032" t="s">
        <v>1035</v>
      </c>
      <c r="N769" s="1032" t="s">
        <v>1038</v>
      </c>
      <c r="O769" s="1032">
        <v>2021.0</v>
      </c>
      <c r="P769" s="1032" t="s">
        <v>1039</v>
      </c>
      <c r="Q769" s="1033" t="s">
        <v>63</v>
      </c>
      <c r="R769" s="1034">
        <v>40.39619461</v>
      </c>
      <c r="S769" s="1034">
        <v>18.95047296</v>
      </c>
      <c r="T769" s="1035">
        <v>71.3807267</v>
      </c>
      <c r="AB769" s="1045"/>
      <c r="AF769" s="225"/>
    </row>
    <row r="770">
      <c r="A770" s="1013"/>
      <c r="B770" s="1019" t="s">
        <v>124</v>
      </c>
      <c r="C770" s="1020" t="s">
        <v>1035</v>
      </c>
      <c r="D770" s="1020" t="s">
        <v>1043</v>
      </c>
      <c r="E770" s="1020" t="s">
        <v>608</v>
      </c>
      <c r="F770" s="1020">
        <v>2021.0</v>
      </c>
      <c r="G770" s="1021">
        <v>6.9414E-4</v>
      </c>
      <c r="H770" s="1021">
        <v>3.75224E-4</v>
      </c>
      <c r="I770" s="1022">
        <v>0.001512891</v>
      </c>
      <c r="K770" s="1031" t="s">
        <v>124</v>
      </c>
      <c r="L770" s="1032" t="s">
        <v>660</v>
      </c>
      <c r="M770" s="1032" t="s">
        <v>1035</v>
      </c>
      <c r="N770" s="1032" t="s">
        <v>1042</v>
      </c>
      <c r="O770" s="1032">
        <v>2021.0</v>
      </c>
      <c r="P770" s="1032" t="s">
        <v>1039</v>
      </c>
      <c r="Q770" s="1033" t="s">
        <v>63</v>
      </c>
      <c r="R770" s="1034">
        <v>0.0</v>
      </c>
      <c r="S770" s="1034">
        <v>0.0</v>
      </c>
      <c r="T770" s="1035">
        <v>0.0</v>
      </c>
      <c r="AB770" s="1045"/>
      <c r="AF770" s="225"/>
    </row>
    <row r="771">
      <c r="A771" s="1013"/>
      <c r="B771" s="1019" t="s">
        <v>124</v>
      </c>
      <c r="C771" s="1020" t="s">
        <v>1035</v>
      </c>
      <c r="D771" s="1020" t="s">
        <v>1045</v>
      </c>
      <c r="E771" s="1020" t="s">
        <v>608</v>
      </c>
      <c r="F771" s="1020">
        <v>2021.0</v>
      </c>
      <c r="G771" s="1021">
        <v>0.004193349</v>
      </c>
      <c r="H771" s="1021">
        <v>0.002213548</v>
      </c>
      <c r="I771" s="1022">
        <v>0.007186379</v>
      </c>
      <c r="K771" s="1031" t="s">
        <v>124</v>
      </c>
      <c r="L771" s="1032" t="s">
        <v>660</v>
      </c>
      <c r="M771" s="1032" t="s">
        <v>1035</v>
      </c>
      <c r="N771" s="1032" t="s">
        <v>1044</v>
      </c>
      <c r="O771" s="1032">
        <v>2021.0</v>
      </c>
      <c r="P771" s="1032" t="s">
        <v>1039</v>
      </c>
      <c r="Q771" s="1033" t="s">
        <v>63</v>
      </c>
      <c r="R771" s="1034">
        <v>0.0</v>
      </c>
      <c r="S771" s="1034">
        <v>0.0</v>
      </c>
      <c r="T771" s="1035">
        <v>0.0</v>
      </c>
      <c r="AB771" s="1045"/>
      <c r="AF771" s="225"/>
    </row>
    <row r="772">
      <c r="A772" s="1013"/>
      <c r="B772" s="1019" t="s">
        <v>125</v>
      </c>
      <c r="C772" s="1020" t="s">
        <v>1035</v>
      </c>
      <c r="D772" s="1020" t="s">
        <v>1036</v>
      </c>
      <c r="E772" s="1020" t="s">
        <v>608</v>
      </c>
      <c r="F772" s="1020">
        <v>2021.0</v>
      </c>
      <c r="G772" s="1021">
        <v>8.58825E-4</v>
      </c>
      <c r="H772" s="1021">
        <v>4.37113E-4</v>
      </c>
      <c r="I772" s="1022">
        <v>0.001535087</v>
      </c>
      <c r="K772" s="1031" t="s">
        <v>124</v>
      </c>
      <c r="L772" s="1032" t="s">
        <v>660</v>
      </c>
      <c r="M772" s="1032" t="s">
        <v>1035</v>
      </c>
      <c r="N772" s="1032" t="s">
        <v>1046</v>
      </c>
      <c r="O772" s="1032">
        <v>2021.0</v>
      </c>
      <c r="P772" s="1032" t="s">
        <v>1039</v>
      </c>
      <c r="Q772" s="1033" t="s">
        <v>63</v>
      </c>
      <c r="R772" s="1034">
        <v>16.75551183</v>
      </c>
      <c r="S772" s="1034">
        <v>7.500600732</v>
      </c>
      <c r="T772" s="1035">
        <v>31.30824972</v>
      </c>
      <c r="AB772" s="1045"/>
      <c r="AF772" s="225"/>
    </row>
    <row r="773">
      <c r="A773" s="1013"/>
      <c r="B773" s="1019" t="s">
        <v>125</v>
      </c>
      <c r="C773" s="1020" t="s">
        <v>1035</v>
      </c>
      <c r="D773" s="1020" t="s">
        <v>1041</v>
      </c>
      <c r="E773" s="1020" t="s">
        <v>608</v>
      </c>
      <c r="F773" s="1020">
        <v>2021.0</v>
      </c>
      <c r="G773" s="1021">
        <v>0.002610774</v>
      </c>
      <c r="H773" s="1021">
        <v>0.00159419</v>
      </c>
      <c r="I773" s="1022">
        <v>0.004243522</v>
      </c>
      <c r="K773" s="1031" t="s">
        <v>124</v>
      </c>
      <c r="L773" s="1032" t="s">
        <v>660</v>
      </c>
      <c r="M773" s="1032" t="s">
        <v>1035</v>
      </c>
      <c r="N773" s="1032" t="s">
        <v>1045</v>
      </c>
      <c r="O773" s="1032">
        <v>2021.0</v>
      </c>
      <c r="P773" s="1032" t="s">
        <v>1039</v>
      </c>
      <c r="Q773" s="1033" t="s">
        <v>63</v>
      </c>
      <c r="R773" s="1034">
        <v>57.15170644</v>
      </c>
      <c r="S773" s="1034">
        <v>26.84495242</v>
      </c>
      <c r="T773" s="1035">
        <v>101.4494738</v>
      </c>
      <c r="AB773" s="1045"/>
      <c r="AF773" s="225"/>
    </row>
    <row r="774">
      <c r="A774" s="1013"/>
      <c r="B774" s="1019" t="s">
        <v>125</v>
      </c>
      <c r="C774" s="1020" t="s">
        <v>1035</v>
      </c>
      <c r="D774" s="1020" t="s">
        <v>1043</v>
      </c>
      <c r="E774" s="1020" t="s">
        <v>608</v>
      </c>
      <c r="F774" s="1020">
        <v>2021.0</v>
      </c>
      <c r="G774" s="1021">
        <v>2.40103E-4</v>
      </c>
      <c r="H774" s="1021">
        <v>1.13123E-4</v>
      </c>
      <c r="I774" s="1022">
        <v>4.93999E-4</v>
      </c>
      <c r="K774" s="1031" t="s">
        <v>125</v>
      </c>
      <c r="L774" s="1032" t="s">
        <v>660</v>
      </c>
      <c r="M774" s="1032" t="s">
        <v>1035</v>
      </c>
      <c r="N774" s="1032" t="s">
        <v>1038</v>
      </c>
      <c r="O774" s="1032">
        <v>2021.0</v>
      </c>
      <c r="P774" s="1032" t="s">
        <v>1039</v>
      </c>
      <c r="Q774" s="1033" t="s">
        <v>63</v>
      </c>
      <c r="R774" s="1034">
        <v>8.222352671</v>
      </c>
      <c r="S774" s="1034">
        <v>3.084490964</v>
      </c>
      <c r="T774" s="1035">
        <v>16.36708175</v>
      </c>
      <c r="AB774" s="1045"/>
      <c r="AF774" s="225"/>
    </row>
    <row r="775">
      <c r="A775" s="1013"/>
      <c r="B775" s="1019" t="s">
        <v>125</v>
      </c>
      <c r="C775" s="1020" t="s">
        <v>1035</v>
      </c>
      <c r="D775" s="1020" t="s">
        <v>1045</v>
      </c>
      <c r="E775" s="1020" t="s">
        <v>608</v>
      </c>
      <c r="F775" s="1020">
        <v>2021.0</v>
      </c>
      <c r="G775" s="1021">
        <v>0.001212024</v>
      </c>
      <c r="H775" s="1021">
        <v>5.13298E-4</v>
      </c>
      <c r="I775" s="1022">
        <v>0.002374573</v>
      </c>
      <c r="K775" s="1031" t="s">
        <v>125</v>
      </c>
      <c r="L775" s="1032" t="s">
        <v>660</v>
      </c>
      <c r="M775" s="1032" t="s">
        <v>1035</v>
      </c>
      <c r="N775" s="1032" t="s">
        <v>1042</v>
      </c>
      <c r="O775" s="1032">
        <v>2021.0</v>
      </c>
      <c r="P775" s="1032" t="s">
        <v>1039</v>
      </c>
      <c r="Q775" s="1033" t="s">
        <v>63</v>
      </c>
      <c r="R775" s="1034">
        <v>0.0</v>
      </c>
      <c r="S775" s="1034">
        <v>0.0</v>
      </c>
      <c r="T775" s="1035">
        <v>0.0</v>
      </c>
      <c r="AB775" s="1045"/>
      <c r="AF775" s="225"/>
    </row>
    <row r="776">
      <c r="A776" s="1013"/>
      <c r="B776" s="1019" t="s">
        <v>126</v>
      </c>
      <c r="C776" s="1020" t="s">
        <v>1035</v>
      </c>
      <c r="D776" s="1020" t="s">
        <v>1036</v>
      </c>
      <c r="E776" s="1020" t="s">
        <v>608</v>
      </c>
      <c r="F776" s="1020">
        <v>2021.0</v>
      </c>
      <c r="G776" s="1021">
        <v>8.52011E-4</v>
      </c>
      <c r="H776" s="1021">
        <v>4.21151E-4</v>
      </c>
      <c r="I776" s="1022">
        <v>0.001492546</v>
      </c>
      <c r="K776" s="1031" t="s">
        <v>125</v>
      </c>
      <c r="L776" s="1032" t="s">
        <v>660</v>
      </c>
      <c r="M776" s="1032" t="s">
        <v>1035</v>
      </c>
      <c r="N776" s="1032" t="s">
        <v>1044</v>
      </c>
      <c r="O776" s="1032">
        <v>2021.0</v>
      </c>
      <c r="P776" s="1032" t="s">
        <v>1039</v>
      </c>
      <c r="Q776" s="1033" t="s">
        <v>63</v>
      </c>
      <c r="R776" s="1034">
        <v>0.0</v>
      </c>
      <c r="S776" s="1034">
        <v>0.0</v>
      </c>
      <c r="T776" s="1035">
        <v>0.0</v>
      </c>
      <c r="AB776" s="1045"/>
      <c r="AF776" s="225"/>
    </row>
    <row r="777">
      <c r="A777" s="1013"/>
      <c r="B777" s="1019" t="s">
        <v>126</v>
      </c>
      <c r="C777" s="1020" t="s">
        <v>1035</v>
      </c>
      <c r="D777" s="1020" t="s">
        <v>1041</v>
      </c>
      <c r="E777" s="1020" t="s">
        <v>608</v>
      </c>
      <c r="F777" s="1020">
        <v>2021.0</v>
      </c>
      <c r="G777" s="1021">
        <v>0.002211325</v>
      </c>
      <c r="H777" s="1021">
        <v>0.001296847</v>
      </c>
      <c r="I777" s="1022">
        <v>0.003515184</v>
      </c>
      <c r="K777" s="1031" t="s">
        <v>125</v>
      </c>
      <c r="L777" s="1032" t="s">
        <v>660</v>
      </c>
      <c r="M777" s="1032" t="s">
        <v>1035</v>
      </c>
      <c r="N777" s="1032" t="s">
        <v>1046</v>
      </c>
      <c r="O777" s="1032">
        <v>2021.0</v>
      </c>
      <c r="P777" s="1032" t="s">
        <v>1039</v>
      </c>
      <c r="Q777" s="1033" t="s">
        <v>63</v>
      </c>
      <c r="R777" s="1034">
        <v>3.128830425</v>
      </c>
      <c r="S777" s="1034">
        <v>1.154540265</v>
      </c>
      <c r="T777" s="1035">
        <v>6.316306509</v>
      </c>
      <c r="AB777" s="1045"/>
      <c r="AF777" s="225"/>
    </row>
    <row r="778">
      <c r="A778" s="1013"/>
      <c r="B778" s="1019" t="s">
        <v>126</v>
      </c>
      <c r="C778" s="1020" t="s">
        <v>1035</v>
      </c>
      <c r="D778" s="1020" t="s">
        <v>1043</v>
      </c>
      <c r="E778" s="1020" t="s">
        <v>608</v>
      </c>
      <c r="F778" s="1020">
        <v>2021.0</v>
      </c>
      <c r="G778" s="1021">
        <v>2.43766E-4</v>
      </c>
      <c r="H778" s="1021">
        <v>1.03204E-4</v>
      </c>
      <c r="I778" s="1022">
        <v>4.93822E-4</v>
      </c>
      <c r="K778" s="1031" t="s">
        <v>125</v>
      </c>
      <c r="L778" s="1032" t="s">
        <v>660</v>
      </c>
      <c r="M778" s="1032" t="s">
        <v>1035</v>
      </c>
      <c r="N778" s="1032" t="s">
        <v>1045</v>
      </c>
      <c r="O778" s="1032">
        <v>2021.0</v>
      </c>
      <c r="P778" s="1032" t="s">
        <v>1039</v>
      </c>
      <c r="Q778" s="1033" t="s">
        <v>63</v>
      </c>
      <c r="R778" s="1034">
        <v>11.3511831</v>
      </c>
      <c r="S778" s="1034">
        <v>4.294924083</v>
      </c>
      <c r="T778" s="1035">
        <v>22.56512877</v>
      </c>
      <c r="AB778" s="1045"/>
      <c r="AF778" s="225"/>
    </row>
    <row r="779">
      <c r="A779" s="1013"/>
      <c r="B779" s="1019" t="s">
        <v>126</v>
      </c>
      <c r="C779" s="1020" t="s">
        <v>1035</v>
      </c>
      <c r="D779" s="1020" t="s">
        <v>1045</v>
      </c>
      <c r="E779" s="1020" t="s">
        <v>608</v>
      </c>
      <c r="F779" s="1020">
        <v>2021.0</v>
      </c>
      <c r="G779" s="1021">
        <v>0.00107499</v>
      </c>
      <c r="H779" s="1021">
        <v>4.21617E-4</v>
      </c>
      <c r="I779" s="1022">
        <v>0.002075155</v>
      </c>
      <c r="K779" s="1031" t="s">
        <v>126</v>
      </c>
      <c r="L779" s="1032" t="s">
        <v>660</v>
      </c>
      <c r="M779" s="1032" t="s">
        <v>1035</v>
      </c>
      <c r="N779" s="1032" t="s">
        <v>1038</v>
      </c>
      <c r="O779" s="1032">
        <v>2021.0</v>
      </c>
      <c r="P779" s="1032" t="s">
        <v>1039</v>
      </c>
      <c r="Q779" s="1033" t="s">
        <v>63</v>
      </c>
      <c r="R779" s="1034">
        <v>19.19981132</v>
      </c>
      <c r="S779" s="1034">
        <v>4.448361095</v>
      </c>
      <c r="T779" s="1035">
        <v>50.25020027</v>
      </c>
      <c r="AB779" s="1045"/>
      <c r="AF779" s="225"/>
    </row>
    <row r="780">
      <c r="A780" s="1013"/>
      <c r="B780" s="1019" t="s">
        <v>114</v>
      </c>
      <c r="C780" s="1020" t="s">
        <v>1035</v>
      </c>
      <c r="D780" s="1020" t="s">
        <v>1036</v>
      </c>
      <c r="E780" s="1020" t="s">
        <v>608</v>
      </c>
      <c r="F780" s="1020">
        <v>2021.0</v>
      </c>
      <c r="G780" s="1021">
        <v>0.001870641</v>
      </c>
      <c r="H780" s="1021">
        <v>0.001032321</v>
      </c>
      <c r="I780" s="1022">
        <v>0.004519196</v>
      </c>
      <c r="K780" s="1031" t="s">
        <v>126</v>
      </c>
      <c r="L780" s="1032" t="s">
        <v>660</v>
      </c>
      <c r="M780" s="1032" t="s">
        <v>1035</v>
      </c>
      <c r="N780" s="1032" t="s">
        <v>1042</v>
      </c>
      <c r="O780" s="1032">
        <v>2021.0</v>
      </c>
      <c r="P780" s="1032" t="s">
        <v>1039</v>
      </c>
      <c r="Q780" s="1033" t="s">
        <v>63</v>
      </c>
      <c r="R780" s="1034">
        <v>0.0</v>
      </c>
      <c r="S780" s="1034">
        <v>0.0</v>
      </c>
      <c r="T780" s="1035">
        <v>0.0</v>
      </c>
      <c r="AB780" s="1045"/>
      <c r="AF780" s="225"/>
    </row>
    <row r="781">
      <c r="A781" s="1013"/>
      <c r="B781" s="1019" t="s">
        <v>114</v>
      </c>
      <c r="C781" s="1020" t="s">
        <v>1035</v>
      </c>
      <c r="D781" s="1020" t="s">
        <v>1041</v>
      </c>
      <c r="E781" s="1020" t="s">
        <v>608</v>
      </c>
      <c r="F781" s="1020">
        <v>2021.0</v>
      </c>
      <c r="G781" s="1021">
        <v>0.004939422</v>
      </c>
      <c r="H781" s="1021">
        <v>0.002950533</v>
      </c>
      <c r="I781" s="1022">
        <v>0.010842141</v>
      </c>
      <c r="K781" s="1031" t="s">
        <v>126</v>
      </c>
      <c r="L781" s="1032" t="s">
        <v>660</v>
      </c>
      <c r="M781" s="1032" t="s">
        <v>1035</v>
      </c>
      <c r="N781" s="1032" t="s">
        <v>1044</v>
      </c>
      <c r="O781" s="1032">
        <v>2021.0</v>
      </c>
      <c r="P781" s="1032" t="s">
        <v>1039</v>
      </c>
      <c r="Q781" s="1033" t="s">
        <v>63</v>
      </c>
      <c r="R781" s="1034">
        <v>0.0</v>
      </c>
      <c r="S781" s="1034">
        <v>0.0</v>
      </c>
      <c r="T781" s="1035">
        <v>0.0</v>
      </c>
      <c r="AB781" s="1045"/>
      <c r="AF781" s="225"/>
    </row>
    <row r="782">
      <c r="A782" s="1013"/>
      <c r="B782" s="1019" t="s">
        <v>114</v>
      </c>
      <c r="C782" s="1020" t="s">
        <v>1035</v>
      </c>
      <c r="D782" s="1020" t="s">
        <v>1043</v>
      </c>
      <c r="E782" s="1020" t="s">
        <v>608</v>
      </c>
      <c r="F782" s="1020">
        <v>2021.0</v>
      </c>
      <c r="G782" s="1021">
        <v>9.20251E-4</v>
      </c>
      <c r="H782" s="1021">
        <v>5.47749E-4</v>
      </c>
      <c r="I782" s="1022">
        <v>0.001801795</v>
      </c>
      <c r="K782" s="1031" t="s">
        <v>126</v>
      </c>
      <c r="L782" s="1032" t="s">
        <v>660</v>
      </c>
      <c r="M782" s="1032" t="s">
        <v>1035</v>
      </c>
      <c r="N782" s="1032" t="s">
        <v>1046</v>
      </c>
      <c r="O782" s="1032">
        <v>2021.0</v>
      </c>
      <c r="P782" s="1032" t="s">
        <v>1039</v>
      </c>
      <c r="Q782" s="1033" t="s">
        <v>63</v>
      </c>
      <c r="R782" s="1034">
        <v>8.324464269</v>
      </c>
      <c r="S782" s="1034">
        <v>1.916677761</v>
      </c>
      <c r="T782" s="1035">
        <v>20.75336308</v>
      </c>
      <c r="AB782" s="1045"/>
      <c r="AF782" s="225"/>
    </row>
    <row r="783">
      <c r="A783" s="1013"/>
      <c r="B783" s="1019" t="s">
        <v>114</v>
      </c>
      <c r="C783" s="1020" t="s">
        <v>1035</v>
      </c>
      <c r="D783" s="1020" t="s">
        <v>1045</v>
      </c>
      <c r="E783" s="1020" t="s">
        <v>608</v>
      </c>
      <c r="F783" s="1020">
        <v>2021.0</v>
      </c>
      <c r="G783" s="1021">
        <v>0.006177361</v>
      </c>
      <c r="H783" s="1021">
        <v>0.00367087</v>
      </c>
      <c r="I783" s="1022">
        <v>0.010085628</v>
      </c>
      <c r="K783" s="1031" t="s">
        <v>126</v>
      </c>
      <c r="L783" s="1032" t="s">
        <v>660</v>
      </c>
      <c r="M783" s="1032" t="s">
        <v>1035</v>
      </c>
      <c r="N783" s="1032" t="s">
        <v>1045</v>
      </c>
      <c r="O783" s="1032">
        <v>2021.0</v>
      </c>
      <c r="P783" s="1032" t="s">
        <v>1039</v>
      </c>
      <c r="Q783" s="1033" t="s">
        <v>63</v>
      </c>
      <c r="R783" s="1034">
        <v>27.52427559</v>
      </c>
      <c r="S783" s="1034">
        <v>6.363410699</v>
      </c>
      <c r="T783" s="1035">
        <v>72.47329002</v>
      </c>
      <c r="AB783" s="1045"/>
      <c r="AF783" s="225"/>
    </row>
    <row r="784">
      <c r="A784" s="1013"/>
      <c r="B784" s="1019" t="s">
        <v>127</v>
      </c>
      <c r="C784" s="1020" t="s">
        <v>1035</v>
      </c>
      <c r="D784" s="1020" t="s">
        <v>1036</v>
      </c>
      <c r="E784" s="1020" t="s">
        <v>608</v>
      </c>
      <c r="F784" s="1020">
        <v>2021.0</v>
      </c>
      <c r="G784" s="1021">
        <v>0.001031929</v>
      </c>
      <c r="H784" s="1021">
        <v>5.48097E-4</v>
      </c>
      <c r="I784" s="1022">
        <v>0.001829657</v>
      </c>
      <c r="K784" s="1031" t="s">
        <v>114</v>
      </c>
      <c r="L784" s="1032" t="s">
        <v>660</v>
      </c>
      <c r="M784" s="1032" t="s">
        <v>1035</v>
      </c>
      <c r="N784" s="1032" t="s">
        <v>1038</v>
      </c>
      <c r="O784" s="1032">
        <v>2021.0</v>
      </c>
      <c r="P784" s="1032" t="s">
        <v>1039</v>
      </c>
      <c r="Q784" s="1033" t="s">
        <v>63</v>
      </c>
      <c r="R784" s="1034">
        <v>349.0641597</v>
      </c>
      <c r="S784" s="1034">
        <v>158.4624703</v>
      </c>
      <c r="T784" s="1035">
        <v>611.4142249</v>
      </c>
      <c r="AB784" s="1045"/>
      <c r="AF784" s="225"/>
    </row>
    <row r="785">
      <c r="A785" s="1013"/>
      <c r="B785" s="1019" t="s">
        <v>127</v>
      </c>
      <c r="C785" s="1020" t="s">
        <v>1035</v>
      </c>
      <c r="D785" s="1020" t="s">
        <v>1041</v>
      </c>
      <c r="E785" s="1020" t="s">
        <v>608</v>
      </c>
      <c r="F785" s="1020">
        <v>2021.0</v>
      </c>
      <c r="G785" s="1021">
        <v>0.003107491</v>
      </c>
      <c r="H785" s="1021">
        <v>0.001901623</v>
      </c>
      <c r="I785" s="1022">
        <v>0.004918686</v>
      </c>
      <c r="K785" s="1031" t="s">
        <v>114</v>
      </c>
      <c r="L785" s="1032" t="s">
        <v>660</v>
      </c>
      <c r="M785" s="1032" t="s">
        <v>1035</v>
      </c>
      <c r="N785" s="1032" t="s">
        <v>1042</v>
      </c>
      <c r="O785" s="1032">
        <v>2021.0</v>
      </c>
      <c r="P785" s="1032" t="s">
        <v>1039</v>
      </c>
      <c r="Q785" s="1033" t="s">
        <v>63</v>
      </c>
      <c r="R785" s="1034">
        <v>0.0</v>
      </c>
      <c r="S785" s="1034">
        <v>0.0</v>
      </c>
      <c r="T785" s="1035">
        <v>0.0</v>
      </c>
      <c r="AB785" s="1045"/>
      <c r="AF785" s="225"/>
    </row>
    <row r="786">
      <c r="A786" s="1013"/>
      <c r="B786" s="1019" t="s">
        <v>127</v>
      </c>
      <c r="C786" s="1020" t="s">
        <v>1035</v>
      </c>
      <c r="D786" s="1020" t="s">
        <v>1043</v>
      </c>
      <c r="E786" s="1020" t="s">
        <v>608</v>
      </c>
      <c r="F786" s="1020">
        <v>2021.0</v>
      </c>
      <c r="G786" s="1021">
        <v>2.70451E-4</v>
      </c>
      <c r="H786" s="1021">
        <v>1.36109E-4</v>
      </c>
      <c r="I786" s="1022">
        <v>5.15841E-4</v>
      </c>
      <c r="K786" s="1031" t="s">
        <v>114</v>
      </c>
      <c r="L786" s="1032" t="s">
        <v>660</v>
      </c>
      <c r="M786" s="1032" t="s">
        <v>1035</v>
      </c>
      <c r="N786" s="1032" t="s">
        <v>1044</v>
      </c>
      <c r="O786" s="1032">
        <v>2021.0</v>
      </c>
      <c r="P786" s="1032" t="s">
        <v>1039</v>
      </c>
      <c r="Q786" s="1033" t="s">
        <v>63</v>
      </c>
      <c r="R786" s="1034">
        <v>0.0</v>
      </c>
      <c r="S786" s="1034">
        <v>0.0</v>
      </c>
      <c r="T786" s="1035">
        <v>0.0</v>
      </c>
      <c r="AB786" s="1045"/>
      <c r="AF786" s="225"/>
    </row>
    <row r="787">
      <c r="A787" s="1013"/>
      <c r="B787" s="1019" t="s">
        <v>127</v>
      </c>
      <c r="C787" s="1020" t="s">
        <v>1035</v>
      </c>
      <c r="D787" s="1020" t="s">
        <v>1045</v>
      </c>
      <c r="E787" s="1020" t="s">
        <v>608</v>
      </c>
      <c r="F787" s="1020">
        <v>2021.0</v>
      </c>
      <c r="G787" s="1021">
        <v>0.00161615</v>
      </c>
      <c r="H787" s="1021">
        <v>7.26625E-4</v>
      </c>
      <c r="I787" s="1022">
        <v>0.003011659</v>
      </c>
      <c r="K787" s="1031" t="s">
        <v>114</v>
      </c>
      <c r="L787" s="1032" t="s">
        <v>660</v>
      </c>
      <c r="M787" s="1032" t="s">
        <v>1035</v>
      </c>
      <c r="N787" s="1032" t="s">
        <v>1046</v>
      </c>
      <c r="O787" s="1032">
        <v>2021.0</v>
      </c>
      <c r="P787" s="1032" t="s">
        <v>1039</v>
      </c>
      <c r="Q787" s="1033" t="s">
        <v>63</v>
      </c>
      <c r="R787" s="1034">
        <v>123.6158501</v>
      </c>
      <c r="S787" s="1034">
        <v>46.74860118</v>
      </c>
      <c r="T787" s="1035">
        <v>229.1734299</v>
      </c>
      <c r="AB787" s="1045"/>
      <c r="AF787" s="225"/>
    </row>
    <row r="788">
      <c r="A788" s="1013"/>
      <c r="B788" s="1019" t="s">
        <v>128</v>
      </c>
      <c r="C788" s="1020" t="s">
        <v>1035</v>
      </c>
      <c r="D788" s="1020" t="s">
        <v>1036</v>
      </c>
      <c r="E788" s="1020" t="s">
        <v>608</v>
      </c>
      <c r="F788" s="1020">
        <v>2021.0</v>
      </c>
      <c r="G788" s="1021">
        <v>0.001314864</v>
      </c>
      <c r="H788" s="1021">
        <v>6.90619E-4</v>
      </c>
      <c r="I788" s="1022">
        <v>0.002364719</v>
      </c>
      <c r="K788" s="1031" t="s">
        <v>114</v>
      </c>
      <c r="L788" s="1032" t="s">
        <v>660</v>
      </c>
      <c r="M788" s="1032" t="s">
        <v>1035</v>
      </c>
      <c r="N788" s="1032" t="s">
        <v>1045</v>
      </c>
      <c r="O788" s="1032">
        <v>2021.0</v>
      </c>
      <c r="P788" s="1032" t="s">
        <v>1039</v>
      </c>
      <c r="Q788" s="1033" t="s">
        <v>63</v>
      </c>
      <c r="R788" s="1034">
        <v>472.6800099</v>
      </c>
      <c r="S788" s="1034">
        <v>213.2548657</v>
      </c>
      <c r="T788" s="1035">
        <v>827.5711587</v>
      </c>
      <c r="AB788" s="1045"/>
      <c r="AF788" s="225"/>
    </row>
    <row r="789">
      <c r="A789" s="1013"/>
      <c r="B789" s="1019" t="s">
        <v>128</v>
      </c>
      <c r="C789" s="1020" t="s">
        <v>1035</v>
      </c>
      <c r="D789" s="1020" t="s">
        <v>1041</v>
      </c>
      <c r="E789" s="1020" t="s">
        <v>608</v>
      </c>
      <c r="F789" s="1020">
        <v>2021.0</v>
      </c>
      <c r="G789" s="1021">
        <v>0.003376875</v>
      </c>
      <c r="H789" s="1021">
        <v>0.00209365</v>
      </c>
      <c r="I789" s="1022">
        <v>0.005599037</v>
      </c>
      <c r="K789" s="1031" t="s">
        <v>127</v>
      </c>
      <c r="L789" s="1032" t="s">
        <v>660</v>
      </c>
      <c r="M789" s="1032" t="s">
        <v>1035</v>
      </c>
      <c r="N789" s="1032" t="s">
        <v>1038</v>
      </c>
      <c r="O789" s="1032">
        <v>2021.0</v>
      </c>
      <c r="P789" s="1032" t="s">
        <v>1039</v>
      </c>
      <c r="Q789" s="1033" t="s">
        <v>63</v>
      </c>
      <c r="R789" s="1034">
        <v>5.626400767</v>
      </c>
      <c r="S789" s="1034">
        <v>2.311864815</v>
      </c>
      <c r="T789" s="1035">
        <v>10.18650183</v>
      </c>
      <c r="AB789" s="1045"/>
      <c r="AF789" s="225"/>
    </row>
    <row r="790">
      <c r="A790" s="1013"/>
      <c r="B790" s="1019" t="s">
        <v>128</v>
      </c>
      <c r="C790" s="1020" t="s">
        <v>1035</v>
      </c>
      <c r="D790" s="1020" t="s">
        <v>1043</v>
      </c>
      <c r="E790" s="1020" t="s">
        <v>608</v>
      </c>
      <c r="F790" s="1020">
        <v>2021.0</v>
      </c>
      <c r="G790" s="1021">
        <v>4.73177E-4</v>
      </c>
      <c r="H790" s="1021">
        <v>2.74355E-4</v>
      </c>
      <c r="I790" s="1022">
        <v>8.05737E-4</v>
      </c>
      <c r="K790" s="1031" t="s">
        <v>127</v>
      </c>
      <c r="L790" s="1032" t="s">
        <v>660</v>
      </c>
      <c r="M790" s="1032" t="s">
        <v>1035</v>
      </c>
      <c r="N790" s="1032" t="s">
        <v>1042</v>
      </c>
      <c r="O790" s="1032">
        <v>2021.0</v>
      </c>
      <c r="P790" s="1032" t="s">
        <v>1039</v>
      </c>
      <c r="Q790" s="1033" t="s">
        <v>63</v>
      </c>
      <c r="R790" s="1034">
        <v>0.0</v>
      </c>
      <c r="S790" s="1034">
        <v>0.0</v>
      </c>
      <c r="T790" s="1035">
        <v>0.0</v>
      </c>
      <c r="AB790" s="1045"/>
      <c r="AF790" s="225"/>
    </row>
    <row r="791">
      <c r="A791" s="1013"/>
      <c r="B791" s="1019" t="s">
        <v>128</v>
      </c>
      <c r="C791" s="1020" t="s">
        <v>1035</v>
      </c>
      <c r="D791" s="1020" t="s">
        <v>1045</v>
      </c>
      <c r="E791" s="1020" t="s">
        <v>608</v>
      </c>
      <c r="F791" s="1020">
        <v>2021.0</v>
      </c>
      <c r="G791" s="1021">
        <v>0.002073541</v>
      </c>
      <c r="H791" s="1021">
        <v>0.001105244</v>
      </c>
      <c r="I791" s="1022">
        <v>0.003746888</v>
      </c>
      <c r="K791" s="1031" t="s">
        <v>127</v>
      </c>
      <c r="L791" s="1032" t="s">
        <v>660</v>
      </c>
      <c r="M791" s="1032" t="s">
        <v>1035</v>
      </c>
      <c r="N791" s="1032" t="s">
        <v>1044</v>
      </c>
      <c r="O791" s="1032">
        <v>2021.0</v>
      </c>
      <c r="P791" s="1032" t="s">
        <v>1039</v>
      </c>
      <c r="Q791" s="1033" t="s">
        <v>63</v>
      </c>
      <c r="R791" s="1034">
        <v>0.0</v>
      </c>
      <c r="S791" s="1034">
        <v>0.0</v>
      </c>
      <c r="T791" s="1035">
        <v>0.0</v>
      </c>
      <c r="AB791" s="1045"/>
      <c r="AF791" s="225"/>
    </row>
    <row r="792">
      <c r="A792" s="1013"/>
      <c r="B792" s="1019" t="s">
        <v>129</v>
      </c>
      <c r="C792" s="1020" t="s">
        <v>1035</v>
      </c>
      <c r="D792" s="1020" t="s">
        <v>1036</v>
      </c>
      <c r="E792" s="1020" t="s">
        <v>608</v>
      </c>
      <c r="F792" s="1020">
        <v>2021.0</v>
      </c>
      <c r="G792" s="1021">
        <v>0.001184471</v>
      </c>
      <c r="H792" s="1021">
        <v>5.67153E-4</v>
      </c>
      <c r="I792" s="1022">
        <v>0.002856122</v>
      </c>
      <c r="K792" s="1031" t="s">
        <v>127</v>
      </c>
      <c r="L792" s="1032" t="s">
        <v>660</v>
      </c>
      <c r="M792" s="1032" t="s">
        <v>1035</v>
      </c>
      <c r="N792" s="1032" t="s">
        <v>1046</v>
      </c>
      <c r="O792" s="1032">
        <v>2021.0</v>
      </c>
      <c r="P792" s="1032" t="s">
        <v>1039</v>
      </c>
      <c r="Q792" s="1033" t="s">
        <v>63</v>
      </c>
      <c r="R792" s="1034">
        <v>2.099747283</v>
      </c>
      <c r="S792" s="1034">
        <v>0.823712758</v>
      </c>
      <c r="T792" s="1035">
        <v>3.994740204</v>
      </c>
      <c r="AB792" s="1045"/>
      <c r="AF792" s="225"/>
    </row>
    <row r="793">
      <c r="A793" s="1013"/>
      <c r="B793" s="1019" t="s">
        <v>129</v>
      </c>
      <c r="C793" s="1020" t="s">
        <v>1035</v>
      </c>
      <c r="D793" s="1020" t="s">
        <v>1041</v>
      </c>
      <c r="E793" s="1020" t="s">
        <v>608</v>
      </c>
      <c r="F793" s="1020">
        <v>2021.0</v>
      </c>
      <c r="G793" s="1021">
        <v>0.003468907</v>
      </c>
      <c r="H793" s="1021">
        <v>0.001867189</v>
      </c>
      <c r="I793" s="1022">
        <v>0.008222579</v>
      </c>
      <c r="K793" s="1031" t="s">
        <v>127</v>
      </c>
      <c r="L793" s="1032" t="s">
        <v>660</v>
      </c>
      <c r="M793" s="1032" t="s">
        <v>1035</v>
      </c>
      <c r="N793" s="1032" t="s">
        <v>1045</v>
      </c>
      <c r="O793" s="1032">
        <v>2021.0</v>
      </c>
      <c r="P793" s="1032" t="s">
        <v>1039</v>
      </c>
      <c r="Q793" s="1033" t="s">
        <v>63</v>
      </c>
      <c r="R793" s="1034">
        <v>7.726148051</v>
      </c>
      <c r="S793" s="1034">
        <v>3.132881883</v>
      </c>
      <c r="T793" s="1035">
        <v>14.07578248</v>
      </c>
      <c r="AB793" s="1045"/>
      <c r="AF793" s="225"/>
    </row>
    <row r="794">
      <c r="A794" s="1013"/>
      <c r="B794" s="1019" t="s">
        <v>129</v>
      </c>
      <c r="C794" s="1020" t="s">
        <v>1035</v>
      </c>
      <c r="D794" s="1020" t="s">
        <v>1043</v>
      </c>
      <c r="E794" s="1020" t="s">
        <v>608</v>
      </c>
      <c r="F794" s="1020">
        <v>2021.0</v>
      </c>
      <c r="G794" s="1021">
        <v>4.0184E-4</v>
      </c>
      <c r="H794" s="1021">
        <v>2.19057E-4</v>
      </c>
      <c r="I794" s="1022">
        <v>9.31221E-4</v>
      </c>
      <c r="K794" s="1031" t="s">
        <v>128</v>
      </c>
      <c r="L794" s="1032" t="s">
        <v>660</v>
      </c>
      <c r="M794" s="1032" t="s">
        <v>1035</v>
      </c>
      <c r="N794" s="1032" t="s">
        <v>1038</v>
      </c>
      <c r="O794" s="1032">
        <v>2021.0</v>
      </c>
      <c r="P794" s="1032" t="s">
        <v>1039</v>
      </c>
      <c r="Q794" s="1033" t="s">
        <v>63</v>
      </c>
      <c r="R794" s="1034">
        <v>57.66645865</v>
      </c>
      <c r="S794" s="1034">
        <v>24.62629606</v>
      </c>
      <c r="T794" s="1035">
        <v>101.3639728</v>
      </c>
      <c r="AB794" s="1045"/>
      <c r="AF794" s="225"/>
    </row>
    <row r="795">
      <c r="A795" s="1013"/>
      <c r="B795" s="1019" t="s">
        <v>129</v>
      </c>
      <c r="C795" s="1020" t="s">
        <v>1035</v>
      </c>
      <c r="D795" s="1020" t="s">
        <v>1045</v>
      </c>
      <c r="E795" s="1020" t="s">
        <v>608</v>
      </c>
      <c r="F795" s="1020">
        <v>2021.0</v>
      </c>
      <c r="G795" s="1021">
        <v>0.001666184</v>
      </c>
      <c r="H795" s="1021">
        <v>8.81942E-4</v>
      </c>
      <c r="I795" s="1022">
        <v>0.002851275</v>
      </c>
      <c r="K795" s="1031" t="s">
        <v>128</v>
      </c>
      <c r="L795" s="1032" t="s">
        <v>660</v>
      </c>
      <c r="M795" s="1032" t="s">
        <v>1035</v>
      </c>
      <c r="N795" s="1032" t="s">
        <v>1042</v>
      </c>
      <c r="O795" s="1032">
        <v>2021.0</v>
      </c>
      <c r="P795" s="1032" t="s">
        <v>1039</v>
      </c>
      <c r="Q795" s="1033" t="s">
        <v>63</v>
      </c>
      <c r="R795" s="1034">
        <v>0.0</v>
      </c>
      <c r="S795" s="1034">
        <v>0.0</v>
      </c>
      <c r="T795" s="1035">
        <v>0.0</v>
      </c>
      <c r="AB795" s="1045"/>
      <c r="AF795" s="225"/>
    </row>
    <row r="796">
      <c r="A796" s="1013"/>
      <c r="B796" s="1019" t="s">
        <v>130</v>
      </c>
      <c r="C796" s="1020" t="s">
        <v>1035</v>
      </c>
      <c r="D796" s="1020" t="s">
        <v>1036</v>
      </c>
      <c r="E796" s="1020" t="s">
        <v>608</v>
      </c>
      <c r="F796" s="1020">
        <v>2021.0</v>
      </c>
      <c r="G796" s="1021">
        <v>8.96409E-4</v>
      </c>
      <c r="H796" s="1021">
        <v>5.03504E-4</v>
      </c>
      <c r="I796" s="1022">
        <v>0.001480301</v>
      </c>
      <c r="K796" s="1031" t="s">
        <v>128</v>
      </c>
      <c r="L796" s="1032" t="s">
        <v>660</v>
      </c>
      <c r="M796" s="1032" t="s">
        <v>1035</v>
      </c>
      <c r="N796" s="1032" t="s">
        <v>1044</v>
      </c>
      <c r="O796" s="1032">
        <v>2021.0</v>
      </c>
      <c r="P796" s="1032" t="s">
        <v>1039</v>
      </c>
      <c r="Q796" s="1033" t="s">
        <v>63</v>
      </c>
      <c r="R796" s="1034">
        <v>0.0</v>
      </c>
      <c r="S796" s="1034">
        <v>0.0</v>
      </c>
      <c r="T796" s="1035">
        <v>0.0</v>
      </c>
      <c r="AB796" s="1045"/>
      <c r="AF796" s="225"/>
    </row>
    <row r="797">
      <c r="A797" s="1013"/>
      <c r="B797" s="1019" t="s">
        <v>130</v>
      </c>
      <c r="C797" s="1020" t="s">
        <v>1035</v>
      </c>
      <c r="D797" s="1020" t="s">
        <v>1041</v>
      </c>
      <c r="E797" s="1020" t="s">
        <v>608</v>
      </c>
      <c r="F797" s="1020">
        <v>2021.0</v>
      </c>
      <c r="G797" s="1021">
        <v>0.002667023</v>
      </c>
      <c r="H797" s="1021">
        <v>0.001743645</v>
      </c>
      <c r="I797" s="1022">
        <v>0.004043818</v>
      </c>
      <c r="K797" s="1031" t="s">
        <v>128</v>
      </c>
      <c r="L797" s="1032" t="s">
        <v>660</v>
      </c>
      <c r="M797" s="1032" t="s">
        <v>1035</v>
      </c>
      <c r="N797" s="1032" t="s">
        <v>1046</v>
      </c>
      <c r="O797" s="1032">
        <v>2021.0</v>
      </c>
      <c r="P797" s="1032" t="s">
        <v>1039</v>
      </c>
      <c r="Q797" s="1033" t="s">
        <v>63</v>
      </c>
      <c r="R797" s="1034">
        <v>28.50790177</v>
      </c>
      <c r="S797" s="1034">
        <v>11.49726333</v>
      </c>
      <c r="T797" s="1035">
        <v>52.10321734</v>
      </c>
      <c r="AB797" s="1045"/>
      <c r="AF797" s="225"/>
    </row>
    <row r="798">
      <c r="A798" s="1013"/>
      <c r="B798" s="1019" t="s">
        <v>130</v>
      </c>
      <c r="C798" s="1020" t="s">
        <v>1035</v>
      </c>
      <c r="D798" s="1020" t="s">
        <v>1043</v>
      </c>
      <c r="E798" s="1020" t="s">
        <v>608</v>
      </c>
      <c r="F798" s="1020">
        <v>2021.0</v>
      </c>
      <c r="G798" s="1021">
        <v>2.49085E-4</v>
      </c>
      <c r="H798" s="1021">
        <v>1.39718E-4</v>
      </c>
      <c r="I798" s="1022">
        <v>4.73334E-4</v>
      </c>
      <c r="K798" s="1031" t="s">
        <v>128</v>
      </c>
      <c r="L798" s="1032" t="s">
        <v>660</v>
      </c>
      <c r="M798" s="1032" t="s">
        <v>1035</v>
      </c>
      <c r="N798" s="1032" t="s">
        <v>1045</v>
      </c>
      <c r="O798" s="1032">
        <v>2021.0</v>
      </c>
      <c r="P798" s="1032" t="s">
        <v>1039</v>
      </c>
      <c r="Q798" s="1033" t="s">
        <v>63</v>
      </c>
      <c r="R798" s="1034">
        <v>86.17436042</v>
      </c>
      <c r="S798" s="1034">
        <v>36.73377603</v>
      </c>
      <c r="T798" s="1035">
        <v>151.3481514</v>
      </c>
      <c r="AB798" s="1045"/>
      <c r="AF798" s="225"/>
    </row>
    <row r="799">
      <c r="A799" s="1013"/>
      <c r="B799" s="1019" t="s">
        <v>130</v>
      </c>
      <c r="C799" s="1020" t="s">
        <v>1035</v>
      </c>
      <c r="D799" s="1020" t="s">
        <v>1045</v>
      </c>
      <c r="E799" s="1020" t="s">
        <v>608</v>
      </c>
      <c r="F799" s="1020">
        <v>2021.0</v>
      </c>
      <c r="G799" s="1021">
        <v>0.001242412</v>
      </c>
      <c r="H799" s="1021">
        <v>5.49226E-4</v>
      </c>
      <c r="I799" s="1022">
        <v>0.002347666</v>
      </c>
      <c r="K799" s="1031" t="s">
        <v>129</v>
      </c>
      <c r="L799" s="1032" t="s">
        <v>660</v>
      </c>
      <c r="M799" s="1032" t="s">
        <v>1035</v>
      </c>
      <c r="N799" s="1032" t="s">
        <v>1038</v>
      </c>
      <c r="O799" s="1032">
        <v>2021.0</v>
      </c>
      <c r="P799" s="1032" t="s">
        <v>1039</v>
      </c>
      <c r="Q799" s="1033" t="s">
        <v>63</v>
      </c>
      <c r="R799" s="1034">
        <v>67.86497675</v>
      </c>
      <c r="S799" s="1034">
        <v>28.8759374</v>
      </c>
      <c r="T799" s="1035">
        <v>120.3632788</v>
      </c>
      <c r="AB799" s="1045"/>
      <c r="AF799" s="225"/>
    </row>
    <row r="800">
      <c r="A800" s="1013"/>
      <c r="B800" s="1019" t="s">
        <v>131</v>
      </c>
      <c r="C800" s="1020" t="s">
        <v>1035</v>
      </c>
      <c r="D800" s="1020" t="s">
        <v>1036</v>
      </c>
      <c r="E800" s="1020" t="s">
        <v>608</v>
      </c>
      <c r="F800" s="1020">
        <v>2021.0</v>
      </c>
      <c r="G800" s="1021">
        <v>9.84157E-4</v>
      </c>
      <c r="H800" s="1021">
        <v>5.0098E-4</v>
      </c>
      <c r="I800" s="1022">
        <v>0.001781762</v>
      </c>
      <c r="K800" s="1031" t="s">
        <v>129</v>
      </c>
      <c r="L800" s="1032" t="s">
        <v>660</v>
      </c>
      <c r="M800" s="1032" t="s">
        <v>1035</v>
      </c>
      <c r="N800" s="1032" t="s">
        <v>1042</v>
      </c>
      <c r="O800" s="1032">
        <v>2021.0</v>
      </c>
      <c r="P800" s="1032" t="s">
        <v>1039</v>
      </c>
      <c r="Q800" s="1033" t="s">
        <v>63</v>
      </c>
      <c r="R800" s="1034">
        <v>0.0</v>
      </c>
      <c r="S800" s="1034">
        <v>0.0</v>
      </c>
      <c r="T800" s="1035">
        <v>0.0</v>
      </c>
      <c r="AB800" s="1045"/>
      <c r="AF800" s="225"/>
    </row>
    <row r="801">
      <c r="A801" s="1013"/>
      <c r="B801" s="1019" t="s">
        <v>131</v>
      </c>
      <c r="C801" s="1020" t="s">
        <v>1035</v>
      </c>
      <c r="D801" s="1020" t="s">
        <v>1041</v>
      </c>
      <c r="E801" s="1020" t="s">
        <v>608</v>
      </c>
      <c r="F801" s="1020">
        <v>2021.0</v>
      </c>
      <c r="G801" s="1021">
        <v>0.002366756</v>
      </c>
      <c r="H801" s="1021">
        <v>0.001424883</v>
      </c>
      <c r="I801" s="1022">
        <v>0.00379388</v>
      </c>
      <c r="K801" s="1031" t="s">
        <v>129</v>
      </c>
      <c r="L801" s="1032" t="s">
        <v>660</v>
      </c>
      <c r="M801" s="1032" t="s">
        <v>1035</v>
      </c>
      <c r="N801" s="1032" t="s">
        <v>1044</v>
      </c>
      <c r="O801" s="1032">
        <v>2021.0</v>
      </c>
      <c r="P801" s="1032" t="s">
        <v>1039</v>
      </c>
      <c r="Q801" s="1033" t="s">
        <v>63</v>
      </c>
      <c r="R801" s="1034">
        <v>0.0</v>
      </c>
      <c r="S801" s="1034">
        <v>0.0</v>
      </c>
      <c r="T801" s="1035">
        <v>0.0</v>
      </c>
      <c r="AB801" s="1045"/>
      <c r="AF801" s="225"/>
    </row>
    <row r="802">
      <c r="A802" s="1013"/>
      <c r="B802" s="1019" t="s">
        <v>131</v>
      </c>
      <c r="C802" s="1020" t="s">
        <v>1035</v>
      </c>
      <c r="D802" s="1020" t="s">
        <v>1043</v>
      </c>
      <c r="E802" s="1020" t="s">
        <v>608</v>
      </c>
      <c r="F802" s="1020">
        <v>2021.0</v>
      </c>
      <c r="G802" s="1021">
        <v>3.25336E-4</v>
      </c>
      <c r="H802" s="1021">
        <v>1.47905E-4</v>
      </c>
      <c r="I802" s="1022">
        <v>6.24503E-4</v>
      </c>
      <c r="K802" s="1031" t="s">
        <v>129</v>
      </c>
      <c r="L802" s="1032" t="s">
        <v>660</v>
      </c>
      <c r="M802" s="1032" t="s">
        <v>1035</v>
      </c>
      <c r="N802" s="1032" t="s">
        <v>1046</v>
      </c>
      <c r="O802" s="1032">
        <v>2021.0</v>
      </c>
      <c r="P802" s="1032" t="s">
        <v>1039</v>
      </c>
      <c r="Q802" s="1033" t="s">
        <v>63</v>
      </c>
      <c r="R802" s="1034">
        <v>29.56511455</v>
      </c>
      <c r="S802" s="1034">
        <v>11.76702672</v>
      </c>
      <c r="T802" s="1035">
        <v>53.60877778</v>
      </c>
      <c r="AB802" s="1045"/>
      <c r="AF802" s="225"/>
    </row>
    <row r="803">
      <c r="A803" s="1013"/>
      <c r="B803" s="1019" t="s">
        <v>131</v>
      </c>
      <c r="C803" s="1020" t="s">
        <v>1035</v>
      </c>
      <c r="D803" s="1020" t="s">
        <v>1045</v>
      </c>
      <c r="E803" s="1020" t="s">
        <v>608</v>
      </c>
      <c r="F803" s="1020">
        <v>2021.0</v>
      </c>
      <c r="G803" s="1021">
        <v>0.001657807</v>
      </c>
      <c r="H803" s="1021">
        <v>7.08112E-4</v>
      </c>
      <c r="I803" s="1022">
        <v>0.003110497</v>
      </c>
      <c r="K803" s="1031" t="s">
        <v>129</v>
      </c>
      <c r="L803" s="1032" t="s">
        <v>660</v>
      </c>
      <c r="M803" s="1032" t="s">
        <v>1035</v>
      </c>
      <c r="N803" s="1032" t="s">
        <v>1045</v>
      </c>
      <c r="O803" s="1032">
        <v>2021.0</v>
      </c>
      <c r="P803" s="1032" t="s">
        <v>1039</v>
      </c>
      <c r="Q803" s="1033" t="s">
        <v>63</v>
      </c>
      <c r="R803" s="1034">
        <v>97.4300913</v>
      </c>
      <c r="S803" s="1034">
        <v>42.86867365</v>
      </c>
      <c r="T803" s="1035">
        <v>170.8403692</v>
      </c>
      <c r="AB803" s="1045"/>
      <c r="AF803" s="225"/>
    </row>
    <row r="804">
      <c r="A804" s="1013"/>
      <c r="B804" s="1019" t="s">
        <v>132</v>
      </c>
      <c r="C804" s="1020" t="s">
        <v>1035</v>
      </c>
      <c r="D804" s="1020" t="s">
        <v>1036</v>
      </c>
      <c r="E804" s="1020" t="s">
        <v>608</v>
      </c>
      <c r="F804" s="1020">
        <v>2021.0</v>
      </c>
      <c r="G804" s="1021">
        <v>0.001159156</v>
      </c>
      <c r="H804" s="1021">
        <v>5.9798E-4</v>
      </c>
      <c r="I804" s="1022">
        <v>0.002041158</v>
      </c>
      <c r="K804" s="1031" t="s">
        <v>130</v>
      </c>
      <c r="L804" s="1032" t="s">
        <v>660</v>
      </c>
      <c r="M804" s="1032" t="s">
        <v>1035</v>
      </c>
      <c r="N804" s="1032" t="s">
        <v>1038</v>
      </c>
      <c r="O804" s="1032">
        <v>2021.0</v>
      </c>
      <c r="P804" s="1032" t="s">
        <v>1039</v>
      </c>
      <c r="Q804" s="1033" t="s">
        <v>63</v>
      </c>
      <c r="R804" s="1034">
        <v>10.74708848</v>
      </c>
      <c r="S804" s="1034">
        <v>4.569104629</v>
      </c>
      <c r="T804" s="1035">
        <v>19.43991915</v>
      </c>
      <c r="AB804" s="1045"/>
      <c r="AF804" s="225"/>
    </row>
    <row r="805">
      <c r="A805" s="1013"/>
      <c r="B805" s="1019" t="s">
        <v>132</v>
      </c>
      <c r="C805" s="1020" t="s">
        <v>1035</v>
      </c>
      <c r="D805" s="1020" t="s">
        <v>1041</v>
      </c>
      <c r="E805" s="1020" t="s">
        <v>608</v>
      </c>
      <c r="F805" s="1020">
        <v>2021.0</v>
      </c>
      <c r="G805" s="1021">
        <v>0.002996523</v>
      </c>
      <c r="H805" s="1021">
        <v>0.001869657</v>
      </c>
      <c r="I805" s="1022">
        <v>0.004568965</v>
      </c>
      <c r="K805" s="1031" t="s">
        <v>130</v>
      </c>
      <c r="L805" s="1032" t="s">
        <v>660</v>
      </c>
      <c r="M805" s="1032" t="s">
        <v>1035</v>
      </c>
      <c r="N805" s="1032" t="s">
        <v>1042</v>
      </c>
      <c r="O805" s="1032">
        <v>2021.0</v>
      </c>
      <c r="P805" s="1032" t="s">
        <v>1039</v>
      </c>
      <c r="Q805" s="1033" t="s">
        <v>63</v>
      </c>
      <c r="R805" s="1034">
        <v>0.0</v>
      </c>
      <c r="S805" s="1034">
        <v>0.0</v>
      </c>
      <c r="T805" s="1035">
        <v>0.0</v>
      </c>
      <c r="AB805" s="1045"/>
      <c r="AF805" s="225"/>
    </row>
    <row r="806">
      <c r="A806" s="1013"/>
      <c r="B806" s="1019" t="s">
        <v>132</v>
      </c>
      <c r="C806" s="1020" t="s">
        <v>1035</v>
      </c>
      <c r="D806" s="1020" t="s">
        <v>1043</v>
      </c>
      <c r="E806" s="1020" t="s">
        <v>608</v>
      </c>
      <c r="F806" s="1020">
        <v>2021.0</v>
      </c>
      <c r="G806" s="1021">
        <v>4.45482E-4</v>
      </c>
      <c r="H806" s="1021">
        <v>2.1893E-4</v>
      </c>
      <c r="I806" s="1022">
        <v>8.0997E-4</v>
      </c>
      <c r="K806" s="1031" t="s">
        <v>130</v>
      </c>
      <c r="L806" s="1032" t="s">
        <v>660</v>
      </c>
      <c r="M806" s="1032" t="s">
        <v>1035</v>
      </c>
      <c r="N806" s="1032" t="s">
        <v>1044</v>
      </c>
      <c r="O806" s="1032">
        <v>2021.0</v>
      </c>
      <c r="P806" s="1032" t="s">
        <v>1039</v>
      </c>
      <c r="Q806" s="1033" t="s">
        <v>63</v>
      </c>
      <c r="R806" s="1034">
        <v>0.0</v>
      </c>
      <c r="S806" s="1034">
        <v>0.0</v>
      </c>
      <c r="T806" s="1035">
        <v>0.0</v>
      </c>
      <c r="AB806" s="1045"/>
      <c r="AF806" s="225"/>
    </row>
    <row r="807">
      <c r="A807" s="1013"/>
      <c r="B807" s="1019" t="s">
        <v>132</v>
      </c>
      <c r="C807" s="1020" t="s">
        <v>1035</v>
      </c>
      <c r="D807" s="1020" t="s">
        <v>1045</v>
      </c>
      <c r="E807" s="1020" t="s">
        <v>608</v>
      </c>
      <c r="F807" s="1020">
        <v>2021.0</v>
      </c>
      <c r="G807" s="1021">
        <v>0.002014104</v>
      </c>
      <c r="H807" s="1021">
        <v>9.49286E-4</v>
      </c>
      <c r="I807" s="1022">
        <v>0.00358495</v>
      </c>
      <c r="K807" s="1031" t="s">
        <v>130</v>
      </c>
      <c r="L807" s="1032" t="s">
        <v>660</v>
      </c>
      <c r="M807" s="1032" t="s">
        <v>1035</v>
      </c>
      <c r="N807" s="1032" t="s">
        <v>1046</v>
      </c>
      <c r="O807" s="1032">
        <v>2021.0</v>
      </c>
      <c r="P807" s="1032" t="s">
        <v>1039</v>
      </c>
      <c r="Q807" s="1033" t="s">
        <v>63</v>
      </c>
      <c r="R807" s="1034">
        <v>3.708497067</v>
      </c>
      <c r="S807" s="1034">
        <v>1.405826123</v>
      </c>
      <c r="T807" s="1035">
        <v>7.127972935</v>
      </c>
      <c r="AB807" s="1045"/>
      <c r="AF807" s="225"/>
    </row>
    <row r="808">
      <c r="A808" s="1013"/>
      <c r="B808" s="1019" t="s">
        <v>133</v>
      </c>
      <c r="C808" s="1020" t="s">
        <v>1035</v>
      </c>
      <c r="D808" s="1020" t="s">
        <v>1036</v>
      </c>
      <c r="E808" s="1020" t="s">
        <v>608</v>
      </c>
      <c r="F808" s="1020">
        <v>2021.0</v>
      </c>
      <c r="G808" s="1021">
        <v>8.78335E-4</v>
      </c>
      <c r="H808" s="1021">
        <v>4.51066E-4</v>
      </c>
      <c r="I808" s="1022">
        <v>0.001528327</v>
      </c>
      <c r="K808" s="1031" t="s">
        <v>130</v>
      </c>
      <c r="L808" s="1032" t="s">
        <v>660</v>
      </c>
      <c r="M808" s="1032" t="s">
        <v>1035</v>
      </c>
      <c r="N808" s="1032" t="s">
        <v>1045</v>
      </c>
      <c r="O808" s="1032">
        <v>2021.0</v>
      </c>
      <c r="P808" s="1032" t="s">
        <v>1039</v>
      </c>
      <c r="Q808" s="1033" t="s">
        <v>63</v>
      </c>
      <c r="R808" s="1034">
        <v>14.45558554</v>
      </c>
      <c r="S808" s="1034">
        <v>6.094066351</v>
      </c>
      <c r="T808" s="1035">
        <v>26.28919557</v>
      </c>
      <c r="AB808" s="1045"/>
      <c r="AF808" s="225"/>
    </row>
    <row r="809">
      <c r="A809" s="1013"/>
      <c r="B809" s="1019" t="s">
        <v>133</v>
      </c>
      <c r="C809" s="1020" t="s">
        <v>1035</v>
      </c>
      <c r="D809" s="1020" t="s">
        <v>1041</v>
      </c>
      <c r="E809" s="1020" t="s">
        <v>608</v>
      </c>
      <c r="F809" s="1020">
        <v>2021.0</v>
      </c>
      <c r="G809" s="1021">
        <v>0.002092001</v>
      </c>
      <c r="H809" s="1021">
        <v>0.001250356</v>
      </c>
      <c r="I809" s="1022">
        <v>0.003375203</v>
      </c>
      <c r="K809" s="1031" t="s">
        <v>131</v>
      </c>
      <c r="L809" s="1032" t="s">
        <v>660</v>
      </c>
      <c r="M809" s="1032" t="s">
        <v>1035</v>
      </c>
      <c r="N809" s="1032" t="s">
        <v>1038</v>
      </c>
      <c r="O809" s="1032">
        <v>2021.0</v>
      </c>
      <c r="P809" s="1032" t="s">
        <v>1039</v>
      </c>
      <c r="Q809" s="1033" t="s">
        <v>63</v>
      </c>
      <c r="R809" s="1034">
        <v>17.17700296</v>
      </c>
      <c r="S809" s="1034">
        <v>5.939272457</v>
      </c>
      <c r="T809" s="1035">
        <v>33.50432277</v>
      </c>
      <c r="AB809" s="1045"/>
      <c r="AF809" s="225"/>
    </row>
    <row r="810">
      <c r="A810" s="1013"/>
      <c r="B810" s="1019" t="s">
        <v>133</v>
      </c>
      <c r="C810" s="1020" t="s">
        <v>1035</v>
      </c>
      <c r="D810" s="1020" t="s">
        <v>1043</v>
      </c>
      <c r="E810" s="1020" t="s">
        <v>608</v>
      </c>
      <c r="F810" s="1020">
        <v>2021.0</v>
      </c>
      <c r="G810" s="1021">
        <v>2.59059E-4</v>
      </c>
      <c r="H810" s="1021">
        <v>1.18343E-4</v>
      </c>
      <c r="I810" s="1022">
        <v>5.25391E-4</v>
      </c>
      <c r="K810" s="1031" t="s">
        <v>131</v>
      </c>
      <c r="L810" s="1032" t="s">
        <v>660</v>
      </c>
      <c r="M810" s="1032" t="s">
        <v>1035</v>
      </c>
      <c r="N810" s="1032" t="s">
        <v>1042</v>
      </c>
      <c r="O810" s="1032">
        <v>2021.0</v>
      </c>
      <c r="P810" s="1032" t="s">
        <v>1039</v>
      </c>
      <c r="Q810" s="1033" t="s">
        <v>63</v>
      </c>
      <c r="R810" s="1034">
        <v>0.0</v>
      </c>
      <c r="S810" s="1034">
        <v>0.0</v>
      </c>
      <c r="T810" s="1035">
        <v>0.0</v>
      </c>
      <c r="AB810" s="1045"/>
      <c r="AF810" s="225"/>
    </row>
    <row r="811">
      <c r="A811" s="1013"/>
      <c r="B811" s="1019" t="s">
        <v>133</v>
      </c>
      <c r="C811" s="1020" t="s">
        <v>1035</v>
      </c>
      <c r="D811" s="1020" t="s">
        <v>1045</v>
      </c>
      <c r="E811" s="1020" t="s">
        <v>608</v>
      </c>
      <c r="F811" s="1020">
        <v>2021.0</v>
      </c>
      <c r="G811" s="1021">
        <v>0.0015937</v>
      </c>
      <c r="H811" s="1021">
        <v>6.03704E-4</v>
      </c>
      <c r="I811" s="1022">
        <v>0.003234175</v>
      </c>
      <c r="K811" s="1031" t="s">
        <v>131</v>
      </c>
      <c r="L811" s="1032" t="s">
        <v>660</v>
      </c>
      <c r="M811" s="1032" t="s">
        <v>1035</v>
      </c>
      <c r="N811" s="1032" t="s">
        <v>1044</v>
      </c>
      <c r="O811" s="1032">
        <v>2021.0</v>
      </c>
      <c r="P811" s="1032" t="s">
        <v>1039</v>
      </c>
      <c r="Q811" s="1033" t="s">
        <v>63</v>
      </c>
      <c r="R811" s="1034">
        <v>0.0</v>
      </c>
      <c r="S811" s="1034">
        <v>0.0</v>
      </c>
      <c r="T811" s="1035">
        <v>0.0</v>
      </c>
      <c r="AB811" s="1045"/>
      <c r="AF811" s="225"/>
    </row>
    <row r="812">
      <c r="A812" s="1013"/>
      <c r="B812" s="1019" t="s">
        <v>134</v>
      </c>
      <c r="C812" s="1020" t="s">
        <v>1035</v>
      </c>
      <c r="D812" s="1020" t="s">
        <v>1036</v>
      </c>
      <c r="E812" s="1020" t="s">
        <v>608</v>
      </c>
      <c r="F812" s="1020">
        <v>2021.0</v>
      </c>
      <c r="G812" s="1021">
        <v>7.71143E-4</v>
      </c>
      <c r="H812" s="1021">
        <v>3.64979E-4</v>
      </c>
      <c r="I812" s="1022">
        <v>0.001376917</v>
      </c>
      <c r="K812" s="1031" t="s">
        <v>131</v>
      </c>
      <c r="L812" s="1032" t="s">
        <v>660</v>
      </c>
      <c r="M812" s="1032" t="s">
        <v>1035</v>
      </c>
      <c r="N812" s="1032" t="s">
        <v>1046</v>
      </c>
      <c r="O812" s="1032">
        <v>2021.0</v>
      </c>
      <c r="P812" s="1032" t="s">
        <v>1039</v>
      </c>
      <c r="Q812" s="1033" t="s">
        <v>63</v>
      </c>
      <c r="R812" s="1034">
        <v>7.372635941</v>
      </c>
      <c r="S812" s="1034">
        <v>2.674582209</v>
      </c>
      <c r="T812" s="1035">
        <v>14.44473175</v>
      </c>
      <c r="AB812" s="1045"/>
      <c r="AF812" s="225"/>
    </row>
    <row r="813">
      <c r="A813" s="1013"/>
      <c r="B813" s="1019" t="s">
        <v>134</v>
      </c>
      <c r="C813" s="1020" t="s">
        <v>1035</v>
      </c>
      <c r="D813" s="1020" t="s">
        <v>1041</v>
      </c>
      <c r="E813" s="1020" t="s">
        <v>608</v>
      </c>
      <c r="F813" s="1020">
        <v>2021.0</v>
      </c>
      <c r="G813" s="1021">
        <v>0.002224215</v>
      </c>
      <c r="H813" s="1021">
        <v>0.001305011</v>
      </c>
      <c r="I813" s="1022">
        <v>0.003416608</v>
      </c>
      <c r="K813" s="1031" t="s">
        <v>131</v>
      </c>
      <c r="L813" s="1032" t="s">
        <v>660</v>
      </c>
      <c r="M813" s="1032" t="s">
        <v>1035</v>
      </c>
      <c r="N813" s="1032" t="s">
        <v>1045</v>
      </c>
      <c r="O813" s="1032">
        <v>2021.0</v>
      </c>
      <c r="P813" s="1032" t="s">
        <v>1039</v>
      </c>
      <c r="Q813" s="1033" t="s">
        <v>63</v>
      </c>
      <c r="R813" s="1034">
        <v>24.5496389</v>
      </c>
      <c r="S813" s="1034">
        <v>8.744909624</v>
      </c>
      <c r="T813" s="1035">
        <v>48.05266419</v>
      </c>
      <c r="AB813" s="1045"/>
      <c r="AF813" s="225"/>
    </row>
    <row r="814">
      <c r="A814" s="1013"/>
      <c r="B814" s="1019" t="s">
        <v>134</v>
      </c>
      <c r="C814" s="1020" t="s">
        <v>1035</v>
      </c>
      <c r="D814" s="1020" t="s">
        <v>1043</v>
      </c>
      <c r="E814" s="1020" t="s">
        <v>608</v>
      </c>
      <c r="F814" s="1020">
        <v>2021.0</v>
      </c>
      <c r="G814" s="1021">
        <v>2.37977E-4</v>
      </c>
      <c r="H814" s="1021">
        <v>9.74E-5</v>
      </c>
      <c r="I814" s="1022">
        <v>4.73832E-4</v>
      </c>
      <c r="K814" s="1031" t="s">
        <v>132</v>
      </c>
      <c r="L814" s="1032" t="s">
        <v>660</v>
      </c>
      <c r="M814" s="1032" t="s">
        <v>1035</v>
      </c>
      <c r="N814" s="1032" t="s">
        <v>1038</v>
      </c>
      <c r="O814" s="1032">
        <v>2021.0</v>
      </c>
      <c r="P814" s="1032" t="s">
        <v>1039</v>
      </c>
      <c r="Q814" s="1033" t="s">
        <v>63</v>
      </c>
      <c r="R814" s="1034">
        <v>17.68490601</v>
      </c>
      <c r="S814" s="1034">
        <v>6.85517995</v>
      </c>
      <c r="T814" s="1035">
        <v>32.92450003</v>
      </c>
      <c r="AB814" s="1045"/>
      <c r="AF814" s="225"/>
    </row>
    <row r="815">
      <c r="A815" s="1013"/>
      <c r="B815" s="1019" t="s">
        <v>134</v>
      </c>
      <c r="C815" s="1020" t="s">
        <v>1035</v>
      </c>
      <c r="D815" s="1020" t="s">
        <v>1045</v>
      </c>
      <c r="E815" s="1020" t="s">
        <v>608</v>
      </c>
      <c r="F815" s="1020">
        <v>2021.0</v>
      </c>
      <c r="G815" s="1021">
        <v>0.001259148</v>
      </c>
      <c r="H815" s="1021">
        <v>5.14515E-4</v>
      </c>
      <c r="I815" s="1022">
        <v>0.002612716</v>
      </c>
      <c r="K815" s="1031" t="s">
        <v>132</v>
      </c>
      <c r="L815" s="1032" t="s">
        <v>660</v>
      </c>
      <c r="M815" s="1032" t="s">
        <v>1035</v>
      </c>
      <c r="N815" s="1032" t="s">
        <v>1042</v>
      </c>
      <c r="O815" s="1032">
        <v>2021.0</v>
      </c>
      <c r="P815" s="1032" t="s">
        <v>1039</v>
      </c>
      <c r="Q815" s="1033" t="s">
        <v>63</v>
      </c>
      <c r="R815" s="1034">
        <v>0.0</v>
      </c>
      <c r="S815" s="1034">
        <v>0.0</v>
      </c>
      <c r="T815" s="1035">
        <v>0.0</v>
      </c>
      <c r="AB815" s="1045"/>
      <c r="AF815" s="225"/>
    </row>
    <row r="816">
      <c r="A816" s="1013"/>
      <c r="B816" s="1019" t="s">
        <v>135</v>
      </c>
      <c r="C816" s="1020" t="s">
        <v>1035</v>
      </c>
      <c r="D816" s="1020" t="s">
        <v>1036</v>
      </c>
      <c r="E816" s="1020" t="s">
        <v>608</v>
      </c>
      <c r="F816" s="1020">
        <v>2021.0</v>
      </c>
      <c r="G816" s="1021">
        <v>8.67108E-4</v>
      </c>
      <c r="H816" s="1021">
        <v>4.00059E-4</v>
      </c>
      <c r="I816" s="1022">
        <v>0.001563303</v>
      </c>
      <c r="K816" s="1031" t="s">
        <v>132</v>
      </c>
      <c r="L816" s="1032" t="s">
        <v>660</v>
      </c>
      <c r="M816" s="1032" t="s">
        <v>1035</v>
      </c>
      <c r="N816" s="1032" t="s">
        <v>1044</v>
      </c>
      <c r="O816" s="1032">
        <v>2021.0</v>
      </c>
      <c r="P816" s="1032" t="s">
        <v>1039</v>
      </c>
      <c r="Q816" s="1033" t="s">
        <v>63</v>
      </c>
      <c r="R816" s="1034">
        <v>0.0</v>
      </c>
      <c r="S816" s="1034">
        <v>0.0</v>
      </c>
      <c r="T816" s="1035">
        <v>0.0</v>
      </c>
      <c r="AB816" s="1045"/>
      <c r="AF816" s="225"/>
    </row>
    <row r="817">
      <c r="A817" s="1013"/>
      <c r="B817" s="1019" t="s">
        <v>135</v>
      </c>
      <c r="C817" s="1020" t="s">
        <v>1035</v>
      </c>
      <c r="D817" s="1020" t="s">
        <v>1041</v>
      </c>
      <c r="E817" s="1020" t="s">
        <v>608</v>
      </c>
      <c r="F817" s="1020">
        <v>2021.0</v>
      </c>
      <c r="G817" s="1021">
        <v>0.002484024</v>
      </c>
      <c r="H817" s="1021">
        <v>0.001384868</v>
      </c>
      <c r="I817" s="1022">
        <v>0.003875339</v>
      </c>
      <c r="K817" s="1031" t="s">
        <v>132</v>
      </c>
      <c r="L817" s="1032" t="s">
        <v>660</v>
      </c>
      <c r="M817" s="1032" t="s">
        <v>1035</v>
      </c>
      <c r="N817" s="1032" t="s">
        <v>1046</v>
      </c>
      <c r="O817" s="1032">
        <v>2021.0</v>
      </c>
      <c r="P817" s="1032" t="s">
        <v>1039</v>
      </c>
      <c r="Q817" s="1033" t="s">
        <v>63</v>
      </c>
      <c r="R817" s="1034">
        <v>9.30597901</v>
      </c>
      <c r="S817" s="1034">
        <v>3.797433901</v>
      </c>
      <c r="T817" s="1035">
        <v>17.61696441</v>
      </c>
      <c r="AB817" s="1045"/>
      <c r="AF817" s="225"/>
    </row>
    <row r="818">
      <c r="A818" s="1013"/>
      <c r="B818" s="1019" t="s">
        <v>135</v>
      </c>
      <c r="C818" s="1020" t="s">
        <v>1035</v>
      </c>
      <c r="D818" s="1020" t="s">
        <v>1043</v>
      </c>
      <c r="E818" s="1020" t="s">
        <v>608</v>
      </c>
      <c r="F818" s="1020">
        <v>2021.0</v>
      </c>
      <c r="G818" s="1021">
        <v>2.24853E-4</v>
      </c>
      <c r="H818" s="1021">
        <v>1.02048E-4</v>
      </c>
      <c r="I818" s="1022">
        <v>4.3896E-4</v>
      </c>
      <c r="K818" s="1031" t="s">
        <v>132</v>
      </c>
      <c r="L818" s="1032" t="s">
        <v>660</v>
      </c>
      <c r="M818" s="1032" t="s">
        <v>1035</v>
      </c>
      <c r="N818" s="1032" t="s">
        <v>1045</v>
      </c>
      <c r="O818" s="1032">
        <v>2021.0</v>
      </c>
      <c r="P818" s="1032" t="s">
        <v>1039</v>
      </c>
      <c r="Q818" s="1033" t="s">
        <v>63</v>
      </c>
      <c r="R818" s="1034">
        <v>26.99088502</v>
      </c>
      <c r="S818" s="1034">
        <v>10.80421917</v>
      </c>
      <c r="T818" s="1035">
        <v>50.14908031</v>
      </c>
      <c r="AB818" s="1045"/>
      <c r="AF818" s="225"/>
    </row>
    <row r="819">
      <c r="A819" s="1013"/>
      <c r="B819" s="1019" t="s">
        <v>135</v>
      </c>
      <c r="C819" s="1020" t="s">
        <v>1035</v>
      </c>
      <c r="D819" s="1020" t="s">
        <v>1045</v>
      </c>
      <c r="E819" s="1020" t="s">
        <v>608</v>
      </c>
      <c r="F819" s="1020">
        <v>2021.0</v>
      </c>
      <c r="G819" s="1021">
        <v>8.55174E-4</v>
      </c>
      <c r="H819" s="1021">
        <v>3.48307E-4</v>
      </c>
      <c r="I819" s="1022">
        <v>0.001582021</v>
      </c>
      <c r="K819" s="1031" t="s">
        <v>133</v>
      </c>
      <c r="L819" s="1032" t="s">
        <v>660</v>
      </c>
      <c r="M819" s="1032" t="s">
        <v>1035</v>
      </c>
      <c r="N819" s="1032" t="s">
        <v>1038</v>
      </c>
      <c r="O819" s="1032">
        <v>2021.0</v>
      </c>
      <c r="P819" s="1032" t="s">
        <v>1039</v>
      </c>
      <c r="Q819" s="1033" t="s">
        <v>63</v>
      </c>
      <c r="R819" s="1034">
        <v>13.58086711</v>
      </c>
      <c r="S819" s="1034">
        <v>5.359290903</v>
      </c>
      <c r="T819" s="1035">
        <v>26.0302366</v>
      </c>
      <c r="AB819" s="1045"/>
      <c r="AF819" s="225"/>
    </row>
    <row r="820">
      <c r="A820" s="1013"/>
      <c r="B820" s="1019" t="s">
        <v>136</v>
      </c>
      <c r="C820" s="1020" t="s">
        <v>1035</v>
      </c>
      <c r="D820" s="1020" t="s">
        <v>1036</v>
      </c>
      <c r="E820" s="1020" t="s">
        <v>608</v>
      </c>
      <c r="F820" s="1020">
        <v>2021.0</v>
      </c>
      <c r="G820" s="1021">
        <v>8.86405E-4</v>
      </c>
      <c r="H820" s="1021">
        <v>3.83415E-4</v>
      </c>
      <c r="I820" s="1022">
        <v>0.001689027</v>
      </c>
      <c r="K820" s="1031" t="s">
        <v>133</v>
      </c>
      <c r="L820" s="1032" t="s">
        <v>660</v>
      </c>
      <c r="M820" s="1032" t="s">
        <v>1035</v>
      </c>
      <c r="N820" s="1032" t="s">
        <v>1042</v>
      </c>
      <c r="O820" s="1032">
        <v>2021.0</v>
      </c>
      <c r="P820" s="1032" t="s">
        <v>1039</v>
      </c>
      <c r="Q820" s="1033" t="s">
        <v>63</v>
      </c>
      <c r="R820" s="1034">
        <v>0.0</v>
      </c>
      <c r="S820" s="1034">
        <v>0.0</v>
      </c>
      <c r="T820" s="1035">
        <v>0.0</v>
      </c>
      <c r="AB820" s="1045"/>
      <c r="AF820" s="225"/>
    </row>
    <row r="821">
      <c r="A821" s="1013"/>
      <c r="B821" s="1019" t="s">
        <v>136</v>
      </c>
      <c r="C821" s="1020" t="s">
        <v>1035</v>
      </c>
      <c r="D821" s="1020" t="s">
        <v>1041</v>
      </c>
      <c r="E821" s="1020" t="s">
        <v>608</v>
      </c>
      <c r="F821" s="1020">
        <v>2021.0</v>
      </c>
      <c r="G821" s="1021">
        <v>0.00176615</v>
      </c>
      <c r="H821" s="1021">
        <v>9.75928E-4</v>
      </c>
      <c r="I821" s="1022">
        <v>0.002909595</v>
      </c>
      <c r="K821" s="1031" t="s">
        <v>133</v>
      </c>
      <c r="L821" s="1032" t="s">
        <v>660</v>
      </c>
      <c r="M821" s="1032" t="s">
        <v>1035</v>
      </c>
      <c r="N821" s="1032" t="s">
        <v>1044</v>
      </c>
      <c r="O821" s="1032">
        <v>2021.0</v>
      </c>
      <c r="P821" s="1032" t="s">
        <v>1039</v>
      </c>
      <c r="Q821" s="1033" t="s">
        <v>63</v>
      </c>
      <c r="R821" s="1034">
        <v>0.0</v>
      </c>
      <c r="S821" s="1034">
        <v>0.0</v>
      </c>
      <c r="T821" s="1035">
        <v>0.0</v>
      </c>
      <c r="AB821" s="1045"/>
      <c r="AF821" s="225"/>
    </row>
    <row r="822">
      <c r="A822" s="1013"/>
      <c r="B822" s="1019" t="s">
        <v>136</v>
      </c>
      <c r="C822" s="1020" t="s">
        <v>1035</v>
      </c>
      <c r="D822" s="1020" t="s">
        <v>1043</v>
      </c>
      <c r="E822" s="1020" t="s">
        <v>608</v>
      </c>
      <c r="F822" s="1020">
        <v>2021.0</v>
      </c>
      <c r="G822" s="1021">
        <v>3.22448E-4</v>
      </c>
      <c r="H822" s="1021">
        <v>1.35508E-4</v>
      </c>
      <c r="I822" s="1022">
        <v>5.98746E-4</v>
      </c>
      <c r="K822" s="1031" t="s">
        <v>133</v>
      </c>
      <c r="L822" s="1032" t="s">
        <v>660</v>
      </c>
      <c r="M822" s="1032" t="s">
        <v>1035</v>
      </c>
      <c r="N822" s="1032" t="s">
        <v>1046</v>
      </c>
      <c r="O822" s="1032">
        <v>2021.0</v>
      </c>
      <c r="P822" s="1032" t="s">
        <v>1039</v>
      </c>
      <c r="Q822" s="1033" t="s">
        <v>63</v>
      </c>
      <c r="R822" s="1034">
        <v>4.691736835</v>
      </c>
      <c r="S822" s="1034">
        <v>1.770233061</v>
      </c>
      <c r="T822" s="1035">
        <v>9.334662993</v>
      </c>
      <c r="AB822" s="1045"/>
      <c r="AF822" s="225"/>
    </row>
    <row r="823">
      <c r="A823" s="1013"/>
      <c r="B823" s="1019" t="s">
        <v>136</v>
      </c>
      <c r="C823" s="1020" t="s">
        <v>1035</v>
      </c>
      <c r="D823" s="1020" t="s">
        <v>1045</v>
      </c>
      <c r="E823" s="1020" t="s">
        <v>608</v>
      </c>
      <c r="F823" s="1020">
        <v>2021.0</v>
      </c>
      <c r="G823" s="1021">
        <v>0.001555766</v>
      </c>
      <c r="H823" s="1021">
        <v>6.6646E-4</v>
      </c>
      <c r="I823" s="1022">
        <v>0.002937239</v>
      </c>
      <c r="K823" s="1031" t="s">
        <v>133</v>
      </c>
      <c r="L823" s="1032" t="s">
        <v>660</v>
      </c>
      <c r="M823" s="1032" t="s">
        <v>1035</v>
      </c>
      <c r="N823" s="1032" t="s">
        <v>1045</v>
      </c>
      <c r="O823" s="1032">
        <v>2021.0</v>
      </c>
      <c r="P823" s="1032" t="s">
        <v>1039</v>
      </c>
      <c r="Q823" s="1033" t="s">
        <v>63</v>
      </c>
      <c r="R823" s="1034">
        <v>18.27260394</v>
      </c>
      <c r="S823" s="1034">
        <v>7.188256625</v>
      </c>
      <c r="T823" s="1035">
        <v>35.54816721</v>
      </c>
      <c r="AB823" s="1045"/>
      <c r="AF823" s="225"/>
    </row>
    <row r="824">
      <c r="A824" s="1013"/>
      <c r="B824" s="1019" t="s">
        <v>115</v>
      </c>
      <c r="C824" s="1020" t="s">
        <v>1035</v>
      </c>
      <c r="D824" s="1020" t="s">
        <v>1036</v>
      </c>
      <c r="E824" s="1020" t="s">
        <v>608</v>
      </c>
      <c r="F824" s="1020">
        <v>2021.0</v>
      </c>
      <c r="G824" s="1021">
        <v>0.001396704</v>
      </c>
      <c r="H824" s="1021">
        <v>7.12914E-4</v>
      </c>
      <c r="I824" s="1022">
        <v>0.003581456</v>
      </c>
      <c r="K824" s="1031" t="s">
        <v>134</v>
      </c>
      <c r="L824" s="1032" t="s">
        <v>660</v>
      </c>
      <c r="M824" s="1032" t="s">
        <v>1035</v>
      </c>
      <c r="N824" s="1032" t="s">
        <v>1038</v>
      </c>
      <c r="O824" s="1032">
        <v>2021.0</v>
      </c>
      <c r="P824" s="1032" t="s">
        <v>1039</v>
      </c>
      <c r="Q824" s="1033" t="s">
        <v>63</v>
      </c>
      <c r="R824" s="1034">
        <v>5.6736075</v>
      </c>
      <c r="S824" s="1034">
        <v>2.096566673</v>
      </c>
      <c r="T824" s="1035">
        <v>11.26496512</v>
      </c>
      <c r="AB824" s="1045"/>
      <c r="AF824" s="225"/>
    </row>
    <row r="825">
      <c r="A825" s="1013"/>
      <c r="B825" s="1019" t="s">
        <v>115</v>
      </c>
      <c r="C825" s="1020" t="s">
        <v>1035</v>
      </c>
      <c r="D825" s="1020" t="s">
        <v>1041</v>
      </c>
      <c r="E825" s="1020" t="s">
        <v>608</v>
      </c>
      <c r="F825" s="1020">
        <v>2021.0</v>
      </c>
      <c r="G825" s="1021">
        <v>0.00469284</v>
      </c>
      <c r="H825" s="1021">
        <v>0.002869026</v>
      </c>
      <c r="I825" s="1022">
        <v>0.010173583</v>
      </c>
      <c r="K825" s="1031" t="s">
        <v>134</v>
      </c>
      <c r="L825" s="1032" t="s">
        <v>660</v>
      </c>
      <c r="M825" s="1032" t="s">
        <v>1035</v>
      </c>
      <c r="N825" s="1032" t="s">
        <v>1042</v>
      </c>
      <c r="O825" s="1032">
        <v>2021.0</v>
      </c>
      <c r="P825" s="1032" t="s">
        <v>1039</v>
      </c>
      <c r="Q825" s="1033" t="s">
        <v>63</v>
      </c>
      <c r="R825" s="1034">
        <v>0.0</v>
      </c>
      <c r="S825" s="1034">
        <v>0.0</v>
      </c>
      <c r="T825" s="1035">
        <v>0.0</v>
      </c>
      <c r="AB825" s="1045"/>
      <c r="AF825" s="225"/>
    </row>
    <row r="826">
      <c r="A826" s="1013"/>
      <c r="B826" s="1019" t="s">
        <v>115</v>
      </c>
      <c r="C826" s="1020" t="s">
        <v>1035</v>
      </c>
      <c r="D826" s="1020" t="s">
        <v>1043</v>
      </c>
      <c r="E826" s="1020" t="s">
        <v>608</v>
      </c>
      <c r="F826" s="1020">
        <v>2021.0</v>
      </c>
      <c r="G826" s="1021">
        <v>7.8274E-4</v>
      </c>
      <c r="H826" s="1021">
        <v>4.53133E-4</v>
      </c>
      <c r="I826" s="1022">
        <v>0.001616005</v>
      </c>
      <c r="K826" s="1031" t="s">
        <v>134</v>
      </c>
      <c r="L826" s="1032" t="s">
        <v>660</v>
      </c>
      <c r="M826" s="1032" t="s">
        <v>1035</v>
      </c>
      <c r="N826" s="1032" t="s">
        <v>1044</v>
      </c>
      <c r="O826" s="1032">
        <v>2021.0</v>
      </c>
      <c r="P826" s="1032" t="s">
        <v>1039</v>
      </c>
      <c r="Q826" s="1033" t="s">
        <v>63</v>
      </c>
      <c r="R826" s="1034">
        <v>0.0</v>
      </c>
      <c r="S826" s="1034">
        <v>0.0</v>
      </c>
      <c r="T826" s="1035">
        <v>0.0</v>
      </c>
      <c r="AB826" s="1045"/>
      <c r="AF826" s="225"/>
    </row>
    <row r="827">
      <c r="A827" s="1013"/>
      <c r="B827" s="1019" t="s">
        <v>115</v>
      </c>
      <c r="C827" s="1020" t="s">
        <v>1035</v>
      </c>
      <c r="D827" s="1020" t="s">
        <v>1045</v>
      </c>
      <c r="E827" s="1020" t="s">
        <v>608</v>
      </c>
      <c r="F827" s="1020">
        <v>2021.0</v>
      </c>
      <c r="G827" s="1021">
        <v>0.005211418</v>
      </c>
      <c r="H827" s="1021">
        <v>0.003132506</v>
      </c>
      <c r="I827" s="1022">
        <v>0.008852702</v>
      </c>
      <c r="K827" s="1031" t="s">
        <v>134</v>
      </c>
      <c r="L827" s="1032" t="s">
        <v>660</v>
      </c>
      <c r="M827" s="1032" t="s">
        <v>1035</v>
      </c>
      <c r="N827" s="1032" t="s">
        <v>1046</v>
      </c>
      <c r="O827" s="1032">
        <v>2021.0</v>
      </c>
      <c r="P827" s="1032" t="s">
        <v>1039</v>
      </c>
      <c r="Q827" s="1033" t="s">
        <v>63</v>
      </c>
      <c r="R827" s="1034">
        <v>2.190584213</v>
      </c>
      <c r="S827" s="1034">
        <v>0.796147583</v>
      </c>
      <c r="T827" s="1035">
        <v>4.40802333</v>
      </c>
      <c r="AB827" s="1045"/>
      <c r="AF827" s="225"/>
    </row>
    <row r="828">
      <c r="A828" s="1013"/>
      <c r="B828" s="1019" t="s">
        <v>137</v>
      </c>
      <c r="C828" s="1020" t="s">
        <v>1035</v>
      </c>
      <c r="D828" s="1020" t="s">
        <v>1036</v>
      </c>
      <c r="E828" s="1020" t="s">
        <v>608</v>
      </c>
      <c r="F828" s="1020">
        <v>2021.0</v>
      </c>
      <c r="G828" s="1021">
        <v>7.65457E-4</v>
      </c>
      <c r="H828" s="1021">
        <v>3.67864E-4</v>
      </c>
      <c r="I828" s="1022">
        <v>0.001364599</v>
      </c>
      <c r="K828" s="1031" t="s">
        <v>134</v>
      </c>
      <c r="L828" s="1032" t="s">
        <v>660</v>
      </c>
      <c r="M828" s="1032" t="s">
        <v>1035</v>
      </c>
      <c r="N828" s="1032" t="s">
        <v>1045</v>
      </c>
      <c r="O828" s="1032">
        <v>2021.0</v>
      </c>
      <c r="P828" s="1032" t="s">
        <v>1039</v>
      </c>
      <c r="Q828" s="1033" t="s">
        <v>63</v>
      </c>
      <c r="R828" s="1034">
        <v>7.864191713</v>
      </c>
      <c r="S828" s="1034">
        <v>2.893233709</v>
      </c>
      <c r="T828" s="1035">
        <v>15.500701</v>
      </c>
      <c r="AB828" s="1045"/>
      <c r="AF828" s="225"/>
    </row>
    <row r="829">
      <c r="A829" s="1013"/>
      <c r="B829" s="1019" t="s">
        <v>137</v>
      </c>
      <c r="C829" s="1020" t="s">
        <v>1035</v>
      </c>
      <c r="D829" s="1020" t="s">
        <v>1041</v>
      </c>
      <c r="E829" s="1020" t="s">
        <v>608</v>
      </c>
      <c r="F829" s="1020">
        <v>2021.0</v>
      </c>
      <c r="G829" s="1021">
        <v>0.002058023</v>
      </c>
      <c r="H829" s="1021">
        <v>0.001188186</v>
      </c>
      <c r="I829" s="1022">
        <v>0.003352564</v>
      </c>
      <c r="K829" s="1031" t="s">
        <v>135</v>
      </c>
      <c r="L829" s="1032" t="s">
        <v>660</v>
      </c>
      <c r="M829" s="1032" t="s">
        <v>1035</v>
      </c>
      <c r="N829" s="1032" t="s">
        <v>1038</v>
      </c>
      <c r="O829" s="1032">
        <v>2021.0</v>
      </c>
      <c r="P829" s="1032" t="s">
        <v>1039</v>
      </c>
      <c r="Q829" s="1033" t="s">
        <v>63</v>
      </c>
      <c r="R829" s="1034">
        <v>10.78963986</v>
      </c>
      <c r="S829" s="1034">
        <v>3.382108288</v>
      </c>
      <c r="T829" s="1035">
        <v>20.77447668</v>
      </c>
      <c r="AB829" s="1045"/>
      <c r="AF829" s="225"/>
    </row>
    <row r="830">
      <c r="A830" s="1013"/>
      <c r="B830" s="1019" t="s">
        <v>137</v>
      </c>
      <c r="C830" s="1020" t="s">
        <v>1035</v>
      </c>
      <c r="D830" s="1020" t="s">
        <v>1043</v>
      </c>
      <c r="E830" s="1020" t="s">
        <v>608</v>
      </c>
      <c r="F830" s="1020">
        <v>2021.0</v>
      </c>
      <c r="G830" s="1021">
        <v>2.24958E-4</v>
      </c>
      <c r="H830" s="1021">
        <v>1.02531E-4</v>
      </c>
      <c r="I830" s="1022">
        <v>4.45311E-4</v>
      </c>
      <c r="K830" s="1031" t="s">
        <v>135</v>
      </c>
      <c r="L830" s="1032" t="s">
        <v>660</v>
      </c>
      <c r="M830" s="1032" t="s">
        <v>1035</v>
      </c>
      <c r="N830" s="1032" t="s">
        <v>1042</v>
      </c>
      <c r="O830" s="1032">
        <v>2021.0</v>
      </c>
      <c r="P830" s="1032" t="s">
        <v>1039</v>
      </c>
      <c r="Q830" s="1033" t="s">
        <v>63</v>
      </c>
      <c r="R830" s="1034">
        <v>0.0</v>
      </c>
      <c r="S830" s="1034">
        <v>0.0</v>
      </c>
      <c r="T830" s="1035">
        <v>0.0</v>
      </c>
      <c r="AB830" s="1045"/>
      <c r="AF830" s="225"/>
    </row>
    <row r="831">
      <c r="A831" s="1013"/>
      <c r="B831" s="1019" t="s">
        <v>137</v>
      </c>
      <c r="C831" s="1020" t="s">
        <v>1035</v>
      </c>
      <c r="D831" s="1020" t="s">
        <v>1045</v>
      </c>
      <c r="E831" s="1020" t="s">
        <v>608</v>
      </c>
      <c r="F831" s="1020">
        <v>2021.0</v>
      </c>
      <c r="G831" s="1021">
        <v>9.41128E-4</v>
      </c>
      <c r="H831" s="1021">
        <v>3.75466E-4</v>
      </c>
      <c r="I831" s="1022">
        <v>0.001841579</v>
      </c>
      <c r="K831" s="1031" t="s">
        <v>135</v>
      </c>
      <c r="L831" s="1032" t="s">
        <v>660</v>
      </c>
      <c r="M831" s="1032" t="s">
        <v>1035</v>
      </c>
      <c r="N831" s="1032" t="s">
        <v>1044</v>
      </c>
      <c r="O831" s="1032">
        <v>2021.0</v>
      </c>
      <c r="P831" s="1032" t="s">
        <v>1039</v>
      </c>
      <c r="Q831" s="1033" t="s">
        <v>63</v>
      </c>
      <c r="R831" s="1034">
        <v>0.0</v>
      </c>
      <c r="S831" s="1034">
        <v>0.0</v>
      </c>
      <c r="T831" s="1035">
        <v>0.0</v>
      </c>
      <c r="AB831" s="1045"/>
      <c r="AF831" s="225"/>
    </row>
    <row r="832">
      <c r="A832" s="1013"/>
      <c r="B832" s="1019" t="s">
        <v>116</v>
      </c>
      <c r="C832" s="1020" t="s">
        <v>1035</v>
      </c>
      <c r="D832" s="1020" t="s">
        <v>1036</v>
      </c>
      <c r="E832" s="1020" t="s">
        <v>608</v>
      </c>
      <c r="F832" s="1020">
        <v>2021.0</v>
      </c>
      <c r="G832" s="1021">
        <v>0.002364602</v>
      </c>
      <c r="H832" s="1021">
        <v>0.001291803</v>
      </c>
      <c r="I832" s="1022">
        <v>0.005112179</v>
      </c>
      <c r="K832" s="1031" t="s">
        <v>135</v>
      </c>
      <c r="L832" s="1032" t="s">
        <v>660</v>
      </c>
      <c r="M832" s="1032" t="s">
        <v>1035</v>
      </c>
      <c r="N832" s="1032" t="s">
        <v>1046</v>
      </c>
      <c r="O832" s="1032">
        <v>2021.0</v>
      </c>
      <c r="P832" s="1032" t="s">
        <v>1039</v>
      </c>
      <c r="Q832" s="1033" t="s">
        <v>63</v>
      </c>
      <c r="R832" s="1034">
        <v>4.65032017</v>
      </c>
      <c r="S832" s="1034">
        <v>1.505057052</v>
      </c>
      <c r="T832" s="1035">
        <v>9.028228685</v>
      </c>
      <c r="AB832" s="1045"/>
      <c r="AF832" s="225"/>
    </row>
    <row r="833">
      <c r="A833" s="1013"/>
      <c r="B833" s="1019" t="s">
        <v>116</v>
      </c>
      <c r="C833" s="1020" t="s">
        <v>1035</v>
      </c>
      <c r="D833" s="1020" t="s">
        <v>1041</v>
      </c>
      <c r="E833" s="1020" t="s">
        <v>608</v>
      </c>
      <c r="F833" s="1020">
        <v>2021.0</v>
      </c>
      <c r="G833" s="1021">
        <v>0.005174821</v>
      </c>
      <c r="H833" s="1021">
        <v>0.002965528</v>
      </c>
      <c r="I833" s="1022">
        <v>0.012201561</v>
      </c>
      <c r="K833" s="1031" t="s">
        <v>135</v>
      </c>
      <c r="L833" s="1032" t="s">
        <v>660</v>
      </c>
      <c r="M833" s="1032" t="s">
        <v>1035</v>
      </c>
      <c r="N833" s="1032" t="s">
        <v>1045</v>
      </c>
      <c r="O833" s="1032">
        <v>2021.0</v>
      </c>
      <c r="P833" s="1032" t="s">
        <v>1039</v>
      </c>
      <c r="Q833" s="1033" t="s">
        <v>63</v>
      </c>
      <c r="R833" s="1034">
        <v>15.43996003</v>
      </c>
      <c r="S833" s="1034">
        <v>5.013550681</v>
      </c>
      <c r="T833" s="1035">
        <v>29.34130333</v>
      </c>
      <c r="AB833" s="1045"/>
      <c r="AF833" s="225"/>
    </row>
    <row r="834">
      <c r="A834" s="1013"/>
      <c r="B834" s="1019" t="s">
        <v>116</v>
      </c>
      <c r="C834" s="1020" t="s">
        <v>1035</v>
      </c>
      <c r="D834" s="1020" t="s">
        <v>1043</v>
      </c>
      <c r="E834" s="1020" t="s">
        <v>608</v>
      </c>
      <c r="F834" s="1020">
        <v>2021.0</v>
      </c>
      <c r="G834" s="1021">
        <v>9.75938E-4</v>
      </c>
      <c r="H834" s="1021">
        <v>5.55687E-4</v>
      </c>
      <c r="I834" s="1022">
        <v>0.001955732</v>
      </c>
      <c r="K834" s="1031" t="s">
        <v>136</v>
      </c>
      <c r="L834" s="1032" t="s">
        <v>660</v>
      </c>
      <c r="M834" s="1032" t="s">
        <v>1035</v>
      </c>
      <c r="N834" s="1032" t="s">
        <v>1038</v>
      </c>
      <c r="O834" s="1032">
        <v>2021.0</v>
      </c>
      <c r="P834" s="1032" t="s">
        <v>1039</v>
      </c>
      <c r="Q834" s="1033" t="s">
        <v>63</v>
      </c>
      <c r="R834" s="1034">
        <v>16.86250803</v>
      </c>
      <c r="S834" s="1034">
        <v>5.680108906</v>
      </c>
      <c r="T834" s="1035">
        <v>31.56232476</v>
      </c>
      <c r="AB834" s="1045"/>
      <c r="AF834" s="225"/>
    </row>
    <row r="835">
      <c r="A835" s="1013"/>
      <c r="B835" s="1019" t="s">
        <v>116</v>
      </c>
      <c r="C835" s="1020" t="s">
        <v>1035</v>
      </c>
      <c r="D835" s="1020" t="s">
        <v>1045</v>
      </c>
      <c r="E835" s="1020" t="s">
        <v>608</v>
      </c>
      <c r="F835" s="1020">
        <v>2021.0</v>
      </c>
      <c r="G835" s="1021">
        <v>0.006472392</v>
      </c>
      <c r="H835" s="1021">
        <v>0.003830254</v>
      </c>
      <c r="I835" s="1022">
        <v>0.010407169</v>
      </c>
      <c r="K835" s="1031" t="s">
        <v>136</v>
      </c>
      <c r="L835" s="1032" t="s">
        <v>660</v>
      </c>
      <c r="M835" s="1032" t="s">
        <v>1035</v>
      </c>
      <c r="N835" s="1032" t="s">
        <v>1042</v>
      </c>
      <c r="O835" s="1032">
        <v>2021.0</v>
      </c>
      <c r="P835" s="1032" t="s">
        <v>1039</v>
      </c>
      <c r="Q835" s="1033" t="s">
        <v>63</v>
      </c>
      <c r="R835" s="1034">
        <v>0.0</v>
      </c>
      <c r="S835" s="1034">
        <v>0.0</v>
      </c>
      <c r="T835" s="1035">
        <v>0.0</v>
      </c>
      <c r="AB835" s="1045"/>
      <c r="AF835" s="225"/>
    </row>
    <row r="836">
      <c r="A836" s="1013"/>
      <c r="B836" s="1019" t="s">
        <v>138</v>
      </c>
      <c r="C836" s="1020" t="s">
        <v>1035</v>
      </c>
      <c r="D836" s="1020" t="s">
        <v>1036</v>
      </c>
      <c r="E836" s="1020" t="s">
        <v>608</v>
      </c>
      <c r="F836" s="1020">
        <v>2021.0</v>
      </c>
      <c r="G836" s="1021">
        <v>0.001256075</v>
      </c>
      <c r="H836" s="1021">
        <v>5.94337E-4</v>
      </c>
      <c r="I836" s="1022">
        <v>0.003123105</v>
      </c>
      <c r="K836" s="1031" t="s">
        <v>136</v>
      </c>
      <c r="L836" s="1032" t="s">
        <v>660</v>
      </c>
      <c r="M836" s="1032" t="s">
        <v>1035</v>
      </c>
      <c r="N836" s="1032" t="s">
        <v>1044</v>
      </c>
      <c r="O836" s="1032">
        <v>2021.0</v>
      </c>
      <c r="P836" s="1032" t="s">
        <v>1039</v>
      </c>
      <c r="Q836" s="1033" t="s">
        <v>63</v>
      </c>
      <c r="R836" s="1034">
        <v>0.0</v>
      </c>
      <c r="S836" s="1034">
        <v>0.0</v>
      </c>
      <c r="T836" s="1035">
        <v>0.0</v>
      </c>
      <c r="AB836" s="1045"/>
      <c r="AF836" s="225"/>
    </row>
    <row r="837">
      <c r="A837" s="1013"/>
      <c r="B837" s="1019" t="s">
        <v>138</v>
      </c>
      <c r="C837" s="1020" t="s">
        <v>1035</v>
      </c>
      <c r="D837" s="1020" t="s">
        <v>1041</v>
      </c>
      <c r="E837" s="1020" t="s">
        <v>608</v>
      </c>
      <c r="F837" s="1020">
        <v>2021.0</v>
      </c>
      <c r="G837" s="1021">
        <v>0.003177413</v>
      </c>
      <c r="H837" s="1021">
        <v>0.00175273</v>
      </c>
      <c r="I837" s="1022">
        <v>0.007008487</v>
      </c>
      <c r="K837" s="1031" t="s">
        <v>136</v>
      </c>
      <c r="L837" s="1032" t="s">
        <v>660</v>
      </c>
      <c r="M837" s="1032" t="s">
        <v>1035</v>
      </c>
      <c r="N837" s="1032" t="s">
        <v>1046</v>
      </c>
      <c r="O837" s="1032">
        <v>2021.0</v>
      </c>
      <c r="P837" s="1032" t="s">
        <v>1039</v>
      </c>
      <c r="Q837" s="1033" t="s">
        <v>63</v>
      </c>
      <c r="R837" s="1034">
        <v>8.222003395</v>
      </c>
      <c r="S837" s="1034">
        <v>2.8221665</v>
      </c>
      <c r="T837" s="1035">
        <v>16.09944125</v>
      </c>
      <c r="AB837" s="1045"/>
      <c r="AF837" s="225"/>
    </row>
    <row r="838">
      <c r="A838" s="1013"/>
      <c r="B838" s="1019" t="s">
        <v>138</v>
      </c>
      <c r="C838" s="1020" t="s">
        <v>1035</v>
      </c>
      <c r="D838" s="1020" t="s">
        <v>1043</v>
      </c>
      <c r="E838" s="1020" t="s">
        <v>608</v>
      </c>
      <c r="F838" s="1020">
        <v>2021.0</v>
      </c>
      <c r="G838" s="1021">
        <v>5.43254E-4</v>
      </c>
      <c r="H838" s="1021">
        <v>2.77071E-4</v>
      </c>
      <c r="I838" s="1022">
        <v>0.001235208</v>
      </c>
      <c r="K838" s="1031" t="s">
        <v>136</v>
      </c>
      <c r="L838" s="1032" t="s">
        <v>660</v>
      </c>
      <c r="M838" s="1032" t="s">
        <v>1035</v>
      </c>
      <c r="N838" s="1032" t="s">
        <v>1045</v>
      </c>
      <c r="O838" s="1032">
        <v>2021.0</v>
      </c>
      <c r="P838" s="1032" t="s">
        <v>1039</v>
      </c>
      <c r="Q838" s="1033" t="s">
        <v>63</v>
      </c>
      <c r="R838" s="1034">
        <v>25.08451142</v>
      </c>
      <c r="S838" s="1034">
        <v>8.564536221</v>
      </c>
      <c r="T838" s="1035">
        <v>47.68755625</v>
      </c>
      <c r="AB838" s="1045"/>
      <c r="AF838" s="225"/>
    </row>
    <row r="839">
      <c r="A839" s="1013"/>
      <c r="B839" s="1019" t="s">
        <v>138</v>
      </c>
      <c r="C839" s="1020" t="s">
        <v>1035</v>
      </c>
      <c r="D839" s="1020" t="s">
        <v>1045</v>
      </c>
      <c r="E839" s="1020" t="s">
        <v>608</v>
      </c>
      <c r="F839" s="1020">
        <v>2021.0</v>
      </c>
      <c r="G839" s="1021">
        <v>0.003542222</v>
      </c>
      <c r="H839" s="1021">
        <v>0.001962154</v>
      </c>
      <c r="I839" s="1022">
        <v>0.006114898</v>
      </c>
      <c r="K839" s="1031" t="s">
        <v>115</v>
      </c>
      <c r="L839" s="1032" t="s">
        <v>660</v>
      </c>
      <c r="M839" s="1032" t="s">
        <v>1035</v>
      </c>
      <c r="N839" s="1032" t="s">
        <v>1038</v>
      </c>
      <c r="O839" s="1032">
        <v>2021.0</v>
      </c>
      <c r="P839" s="1032" t="s">
        <v>1039</v>
      </c>
      <c r="Q839" s="1033" t="s">
        <v>63</v>
      </c>
      <c r="R839" s="1034">
        <v>87.66950339</v>
      </c>
      <c r="S839" s="1034">
        <v>41.3768271</v>
      </c>
      <c r="T839" s="1035">
        <v>151.2885025</v>
      </c>
      <c r="AB839" s="1045"/>
      <c r="AF839" s="225"/>
    </row>
    <row r="840">
      <c r="A840" s="1013"/>
      <c r="B840" s="1019" t="s">
        <v>118</v>
      </c>
      <c r="C840" s="1020" t="s">
        <v>1035</v>
      </c>
      <c r="D840" s="1020" t="s">
        <v>1036</v>
      </c>
      <c r="E840" s="1020" t="s">
        <v>608</v>
      </c>
      <c r="F840" s="1020">
        <v>2021.0</v>
      </c>
      <c r="G840" s="1021">
        <v>0.001435015</v>
      </c>
      <c r="H840" s="1021">
        <v>6.53896E-4</v>
      </c>
      <c r="I840" s="1022">
        <v>0.00374778</v>
      </c>
      <c r="K840" s="1031" t="s">
        <v>115</v>
      </c>
      <c r="L840" s="1032" t="s">
        <v>660</v>
      </c>
      <c r="M840" s="1032" t="s">
        <v>1035</v>
      </c>
      <c r="N840" s="1032" t="s">
        <v>1042</v>
      </c>
      <c r="O840" s="1032">
        <v>2021.0</v>
      </c>
      <c r="P840" s="1032" t="s">
        <v>1039</v>
      </c>
      <c r="Q840" s="1033" t="s">
        <v>63</v>
      </c>
      <c r="R840" s="1034">
        <v>0.0</v>
      </c>
      <c r="S840" s="1034">
        <v>0.0</v>
      </c>
      <c r="T840" s="1035">
        <v>0.0</v>
      </c>
      <c r="AB840" s="1045"/>
      <c r="AF840" s="225"/>
    </row>
    <row r="841">
      <c r="A841" s="1013"/>
      <c r="B841" s="1019" t="s">
        <v>118</v>
      </c>
      <c r="C841" s="1020" t="s">
        <v>1035</v>
      </c>
      <c r="D841" s="1020" t="s">
        <v>1041</v>
      </c>
      <c r="E841" s="1020" t="s">
        <v>608</v>
      </c>
      <c r="F841" s="1020">
        <v>2021.0</v>
      </c>
      <c r="G841" s="1021">
        <v>0.003663199</v>
      </c>
      <c r="H841" s="1021">
        <v>0.001933721</v>
      </c>
      <c r="I841" s="1022">
        <v>0.00923473</v>
      </c>
      <c r="K841" s="1031" t="s">
        <v>115</v>
      </c>
      <c r="L841" s="1032" t="s">
        <v>660</v>
      </c>
      <c r="M841" s="1032" t="s">
        <v>1035</v>
      </c>
      <c r="N841" s="1032" t="s">
        <v>1044</v>
      </c>
      <c r="O841" s="1032">
        <v>2021.0</v>
      </c>
      <c r="P841" s="1032" t="s">
        <v>1039</v>
      </c>
      <c r="Q841" s="1033" t="s">
        <v>63</v>
      </c>
      <c r="R841" s="1034">
        <v>0.0</v>
      </c>
      <c r="S841" s="1034">
        <v>0.0</v>
      </c>
      <c r="T841" s="1035">
        <v>0.0</v>
      </c>
      <c r="AB841" s="1045"/>
      <c r="AF841" s="225"/>
    </row>
    <row r="842">
      <c r="A842" s="1013"/>
      <c r="B842" s="1019" t="s">
        <v>118</v>
      </c>
      <c r="C842" s="1020" t="s">
        <v>1035</v>
      </c>
      <c r="D842" s="1020" t="s">
        <v>1043</v>
      </c>
      <c r="E842" s="1020" t="s">
        <v>608</v>
      </c>
      <c r="F842" s="1020">
        <v>2021.0</v>
      </c>
      <c r="G842" s="1021">
        <v>8.5293E-4</v>
      </c>
      <c r="H842" s="1021">
        <v>4.20467E-4</v>
      </c>
      <c r="I842" s="1022">
        <v>0.001855596</v>
      </c>
      <c r="K842" s="1031" t="s">
        <v>115</v>
      </c>
      <c r="L842" s="1032" t="s">
        <v>660</v>
      </c>
      <c r="M842" s="1032" t="s">
        <v>1035</v>
      </c>
      <c r="N842" s="1032" t="s">
        <v>1046</v>
      </c>
      <c r="O842" s="1032">
        <v>2021.0</v>
      </c>
      <c r="P842" s="1032" t="s">
        <v>1039</v>
      </c>
      <c r="Q842" s="1033" t="s">
        <v>63</v>
      </c>
      <c r="R842" s="1034">
        <v>32.77345624</v>
      </c>
      <c r="S842" s="1034">
        <v>13.79701703</v>
      </c>
      <c r="T842" s="1035">
        <v>59.45860209</v>
      </c>
      <c r="AB842" s="1045"/>
      <c r="AF842" s="225"/>
    </row>
    <row r="843">
      <c r="A843" s="1013"/>
      <c r="B843" s="1019" t="s">
        <v>118</v>
      </c>
      <c r="C843" s="1020" t="s">
        <v>1035</v>
      </c>
      <c r="D843" s="1020" t="s">
        <v>1045</v>
      </c>
      <c r="E843" s="1020" t="s">
        <v>608</v>
      </c>
      <c r="F843" s="1020">
        <v>2021.0</v>
      </c>
      <c r="G843" s="1021">
        <v>0.005411087</v>
      </c>
      <c r="H843" s="1021">
        <v>0.002660737</v>
      </c>
      <c r="I843" s="1022">
        <v>0.009751815</v>
      </c>
      <c r="K843" s="1031" t="s">
        <v>115</v>
      </c>
      <c r="L843" s="1032" t="s">
        <v>660</v>
      </c>
      <c r="M843" s="1032" t="s">
        <v>1035</v>
      </c>
      <c r="N843" s="1032" t="s">
        <v>1045</v>
      </c>
      <c r="O843" s="1032">
        <v>2021.0</v>
      </c>
      <c r="P843" s="1032" t="s">
        <v>1039</v>
      </c>
      <c r="Q843" s="1033" t="s">
        <v>63</v>
      </c>
      <c r="R843" s="1034">
        <v>120.4429596</v>
      </c>
      <c r="S843" s="1034">
        <v>57.13634385</v>
      </c>
      <c r="T843" s="1035">
        <v>213.1386859</v>
      </c>
      <c r="AB843" s="1045"/>
      <c r="AF843" s="225"/>
    </row>
    <row r="844">
      <c r="A844" s="1013"/>
      <c r="B844" s="1019" t="s">
        <v>119</v>
      </c>
      <c r="C844" s="1020" t="s">
        <v>1035</v>
      </c>
      <c r="D844" s="1020" t="s">
        <v>1036</v>
      </c>
      <c r="E844" s="1020" t="s">
        <v>608</v>
      </c>
      <c r="F844" s="1020">
        <v>2021.0</v>
      </c>
      <c r="G844" s="1021">
        <v>0.001813177</v>
      </c>
      <c r="H844" s="1021">
        <v>9.79286E-4</v>
      </c>
      <c r="I844" s="1022">
        <v>0.004213488</v>
      </c>
      <c r="K844" s="1031" t="s">
        <v>137</v>
      </c>
      <c r="L844" s="1032" t="s">
        <v>660</v>
      </c>
      <c r="M844" s="1032" t="s">
        <v>1035</v>
      </c>
      <c r="N844" s="1032" t="s">
        <v>1038</v>
      </c>
      <c r="O844" s="1032">
        <v>2021.0</v>
      </c>
      <c r="P844" s="1032" t="s">
        <v>1039</v>
      </c>
      <c r="Q844" s="1033" t="s">
        <v>63</v>
      </c>
      <c r="R844" s="1034">
        <v>21.91119614</v>
      </c>
      <c r="S844" s="1034">
        <v>7.87432466</v>
      </c>
      <c r="T844" s="1035">
        <v>43.38985999</v>
      </c>
      <c r="AB844" s="1045"/>
      <c r="AF844" s="225"/>
    </row>
    <row r="845">
      <c r="A845" s="1013"/>
      <c r="B845" s="1019" t="s">
        <v>119</v>
      </c>
      <c r="C845" s="1020" t="s">
        <v>1035</v>
      </c>
      <c r="D845" s="1020" t="s">
        <v>1041</v>
      </c>
      <c r="E845" s="1020" t="s">
        <v>608</v>
      </c>
      <c r="F845" s="1020">
        <v>2021.0</v>
      </c>
      <c r="G845" s="1021">
        <v>0.004443934</v>
      </c>
      <c r="H845" s="1021">
        <v>0.00254009</v>
      </c>
      <c r="I845" s="1022">
        <v>0.010260633</v>
      </c>
      <c r="K845" s="1031" t="s">
        <v>137</v>
      </c>
      <c r="L845" s="1032" t="s">
        <v>660</v>
      </c>
      <c r="M845" s="1032" t="s">
        <v>1035</v>
      </c>
      <c r="N845" s="1032" t="s">
        <v>1042</v>
      </c>
      <c r="O845" s="1032">
        <v>2021.0</v>
      </c>
      <c r="P845" s="1032" t="s">
        <v>1039</v>
      </c>
      <c r="Q845" s="1033" t="s">
        <v>63</v>
      </c>
      <c r="R845" s="1034">
        <v>0.0</v>
      </c>
      <c r="S845" s="1034">
        <v>0.0</v>
      </c>
      <c r="T845" s="1035">
        <v>0.0</v>
      </c>
      <c r="AB845" s="1045"/>
      <c r="AF845" s="225"/>
    </row>
    <row r="846">
      <c r="A846" s="1013"/>
      <c r="B846" s="1019" t="s">
        <v>119</v>
      </c>
      <c r="C846" s="1020" t="s">
        <v>1035</v>
      </c>
      <c r="D846" s="1020" t="s">
        <v>1043</v>
      </c>
      <c r="E846" s="1020" t="s">
        <v>608</v>
      </c>
      <c r="F846" s="1020">
        <v>2021.0</v>
      </c>
      <c r="G846" s="1021">
        <v>7.44263E-4</v>
      </c>
      <c r="H846" s="1021">
        <v>4.22801E-4</v>
      </c>
      <c r="I846" s="1022">
        <v>0.001578866</v>
      </c>
      <c r="K846" s="1031" t="s">
        <v>137</v>
      </c>
      <c r="L846" s="1032" t="s">
        <v>660</v>
      </c>
      <c r="M846" s="1032" t="s">
        <v>1035</v>
      </c>
      <c r="N846" s="1032" t="s">
        <v>1044</v>
      </c>
      <c r="O846" s="1032">
        <v>2021.0</v>
      </c>
      <c r="P846" s="1032" t="s">
        <v>1039</v>
      </c>
      <c r="Q846" s="1033" t="s">
        <v>63</v>
      </c>
      <c r="R846" s="1034">
        <v>0.0</v>
      </c>
      <c r="S846" s="1034">
        <v>0.0</v>
      </c>
      <c r="T846" s="1035">
        <v>0.0</v>
      </c>
      <c r="AB846" s="1045"/>
      <c r="AF846" s="225"/>
    </row>
    <row r="847">
      <c r="A847" s="1013"/>
      <c r="B847" s="1019" t="s">
        <v>119</v>
      </c>
      <c r="C847" s="1020" t="s">
        <v>1035</v>
      </c>
      <c r="D847" s="1020" t="s">
        <v>1045</v>
      </c>
      <c r="E847" s="1020" t="s">
        <v>608</v>
      </c>
      <c r="F847" s="1020">
        <v>2021.0</v>
      </c>
      <c r="G847" s="1021">
        <v>0.004841311</v>
      </c>
      <c r="H847" s="1021">
        <v>0.00273167</v>
      </c>
      <c r="I847" s="1022">
        <v>0.008176765</v>
      </c>
      <c r="K847" s="1031" t="s">
        <v>137</v>
      </c>
      <c r="L847" s="1032" t="s">
        <v>660</v>
      </c>
      <c r="M847" s="1032" t="s">
        <v>1035</v>
      </c>
      <c r="N847" s="1032" t="s">
        <v>1046</v>
      </c>
      <c r="O847" s="1032">
        <v>2021.0</v>
      </c>
      <c r="P847" s="1032" t="s">
        <v>1039</v>
      </c>
      <c r="Q847" s="1033" t="s">
        <v>63</v>
      </c>
      <c r="R847" s="1034">
        <v>9.336035784</v>
      </c>
      <c r="S847" s="1034">
        <v>3.139972729</v>
      </c>
      <c r="T847" s="1035">
        <v>19.4870343</v>
      </c>
      <c r="AB847" s="1045"/>
      <c r="AF847" s="225"/>
    </row>
    <row r="848">
      <c r="A848" s="1013"/>
      <c r="B848" s="1019" t="s">
        <v>120</v>
      </c>
      <c r="C848" s="1020" t="s">
        <v>1035</v>
      </c>
      <c r="D848" s="1020" t="s">
        <v>1036</v>
      </c>
      <c r="E848" s="1020" t="s">
        <v>608</v>
      </c>
      <c r="F848" s="1020">
        <v>2021.0</v>
      </c>
      <c r="G848" s="1021">
        <v>0.001952634</v>
      </c>
      <c r="H848" s="1021">
        <v>0.00106048</v>
      </c>
      <c r="I848" s="1022">
        <v>0.004756511</v>
      </c>
      <c r="K848" s="1031" t="s">
        <v>137</v>
      </c>
      <c r="L848" s="1032" t="s">
        <v>660</v>
      </c>
      <c r="M848" s="1032" t="s">
        <v>1035</v>
      </c>
      <c r="N848" s="1032" t="s">
        <v>1045</v>
      </c>
      <c r="O848" s="1032">
        <v>2021.0</v>
      </c>
      <c r="P848" s="1032" t="s">
        <v>1039</v>
      </c>
      <c r="Q848" s="1033" t="s">
        <v>63</v>
      </c>
      <c r="R848" s="1034">
        <v>31.24723193</v>
      </c>
      <c r="S848" s="1034">
        <v>11.21754682</v>
      </c>
      <c r="T848" s="1035">
        <v>63.01043628</v>
      </c>
      <c r="AB848" s="1045"/>
      <c r="AF848" s="225"/>
    </row>
    <row r="849">
      <c r="A849" s="1013"/>
      <c r="B849" s="1019" t="s">
        <v>120</v>
      </c>
      <c r="C849" s="1020" t="s">
        <v>1035</v>
      </c>
      <c r="D849" s="1020" t="s">
        <v>1041</v>
      </c>
      <c r="E849" s="1020" t="s">
        <v>608</v>
      </c>
      <c r="F849" s="1020">
        <v>2021.0</v>
      </c>
      <c r="G849" s="1021">
        <v>0.005659515</v>
      </c>
      <c r="H849" s="1021">
        <v>0.003515337</v>
      </c>
      <c r="I849" s="1022">
        <v>0.012013276</v>
      </c>
      <c r="K849" s="1031" t="s">
        <v>116</v>
      </c>
      <c r="L849" s="1032" t="s">
        <v>660</v>
      </c>
      <c r="M849" s="1032" t="s">
        <v>1035</v>
      </c>
      <c r="N849" s="1032" t="s">
        <v>1038</v>
      </c>
      <c r="O849" s="1032">
        <v>2021.0</v>
      </c>
      <c r="P849" s="1032" t="s">
        <v>1039</v>
      </c>
      <c r="Q849" s="1033" t="s">
        <v>63</v>
      </c>
      <c r="R849" s="1034">
        <v>311.0806112</v>
      </c>
      <c r="S849" s="1034">
        <v>147.2719656</v>
      </c>
      <c r="T849" s="1035">
        <v>550.7877505</v>
      </c>
      <c r="AB849" s="1045"/>
      <c r="AF849" s="225"/>
    </row>
    <row r="850">
      <c r="A850" s="1013"/>
      <c r="B850" s="1019" t="s">
        <v>120</v>
      </c>
      <c r="C850" s="1020" t="s">
        <v>1035</v>
      </c>
      <c r="D850" s="1020" t="s">
        <v>1043</v>
      </c>
      <c r="E850" s="1020" t="s">
        <v>608</v>
      </c>
      <c r="F850" s="1020">
        <v>2021.0</v>
      </c>
      <c r="G850" s="1021">
        <v>8.48212E-4</v>
      </c>
      <c r="H850" s="1021">
        <v>4.9485E-4</v>
      </c>
      <c r="I850" s="1022">
        <v>0.00168888</v>
      </c>
      <c r="K850" s="1031" t="s">
        <v>116</v>
      </c>
      <c r="L850" s="1032" t="s">
        <v>660</v>
      </c>
      <c r="M850" s="1032" t="s">
        <v>1035</v>
      </c>
      <c r="N850" s="1032" t="s">
        <v>1042</v>
      </c>
      <c r="O850" s="1032">
        <v>2021.0</v>
      </c>
      <c r="P850" s="1032" t="s">
        <v>1039</v>
      </c>
      <c r="Q850" s="1033" t="s">
        <v>63</v>
      </c>
      <c r="R850" s="1034">
        <v>0.0</v>
      </c>
      <c r="S850" s="1034">
        <v>0.0</v>
      </c>
      <c r="T850" s="1035">
        <v>0.0</v>
      </c>
      <c r="AB850" s="1045"/>
      <c r="AF850" s="225"/>
    </row>
    <row r="851">
      <c r="A851" s="1013"/>
      <c r="B851" s="1019" t="s">
        <v>120</v>
      </c>
      <c r="C851" s="1020" t="s">
        <v>1035</v>
      </c>
      <c r="D851" s="1020" t="s">
        <v>1045</v>
      </c>
      <c r="E851" s="1020" t="s">
        <v>608</v>
      </c>
      <c r="F851" s="1020">
        <v>2021.0</v>
      </c>
      <c r="G851" s="1021">
        <v>0.005304934</v>
      </c>
      <c r="H851" s="1021">
        <v>0.003409226</v>
      </c>
      <c r="I851" s="1022">
        <v>0.008247144</v>
      </c>
      <c r="K851" s="1031" t="s">
        <v>116</v>
      </c>
      <c r="L851" s="1032" t="s">
        <v>660</v>
      </c>
      <c r="M851" s="1032" t="s">
        <v>1035</v>
      </c>
      <c r="N851" s="1032" t="s">
        <v>1044</v>
      </c>
      <c r="O851" s="1032">
        <v>2021.0</v>
      </c>
      <c r="P851" s="1032" t="s">
        <v>1039</v>
      </c>
      <c r="Q851" s="1033" t="s">
        <v>63</v>
      </c>
      <c r="R851" s="1034">
        <v>0.0</v>
      </c>
      <c r="S851" s="1034">
        <v>0.0</v>
      </c>
      <c r="T851" s="1035">
        <v>0.0</v>
      </c>
      <c r="AB851" s="1045"/>
      <c r="AF851" s="225"/>
    </row>
    <row r="852">
      <c r="A852" s="1013"/>
      <c r="B852" s="1019" t="s">
        <v>139</v>
      </c>
      <c r="C852" s="1020" t="s">
        <v>1035</v>
      </c>
      <c r="D852" s="1020" t="s">
        <v>1036</v>
      </c>
      <c r="E852" s="1020" t="s">
        <v>608</v>
      </c>
      <c r="F852" s="1020">
        <v>2021.0</v>
      </c>
      <c r="G852" s="1021">
        <v>9.00864E-4</v>
      </c>
      <c r="H852" s="1021">
        <v>4.20453E-4</v>
      </c>
      <c r="I852" s="1022">
        <v>0.001671403</v>
      </c>
      <c r="K852" s="1031" t="s">
        <v>116</v>
      </c>
      <c r="L852" s="1032" t="s">
        <v>660</v>
      </c>
      <c r="M852" s="1032" t="s">
        <v>1035</v>
      </c>
      <c r="N852" s="1032" t="s">
        <v>1046</v>
      </c>
      <c r="O852" s="1032">
        <v>2021.0</v>
      </c>
      <c r="P852" s="1032" t="s">
        <v>1039</v>
      </c>
      <c r="Q852" s="1033" t="s">
        <v>63</v>
      </c>
      <c r="R852" s="1034">
        <v>116.0566233</v>
      </c>
      <c r="S852" s="1034">
        <v>52.76297667</v>
      </c>
      <c r="T852" s="1035">
        <v>203.115907</v>
      </c>
      <c r="AB852" s="1045"/>
      <c r="AF852" s="225"/>
    </row>
    <row r="853">
      <c r="A853" s="1013"/>
      <c r="B853" s="1019" t="s">
        <v>139</v>
      </c>
      <c r="C853" s="1020" t="s">
        <v>1035</v>
      </c>
      <c r="D853" s="1020" t="s">
        <v>1041</v>
      </c>
      <c r="E853" s="1020" t="s">
        <v>608</v>
      </c>
      <c r="F853" s="1020">
        <v>2021.0</v>
      </c>
      <c r="G853" s="1021">
        <v>0.002707385</v>
      </c>
      <c r="H853" s="1021">
        <v>0.001684964</v>
      </c>
      <c r="I853" s="1022">
        <v>0.00415952</v>
      </c>
      <c r="K853" s="1031" t="s">
        <v>116</v>
      </c>
      <c r="L853" s="1032" t="s">
        <v>660</v>
      </c>
      <c r="M853" s="1032" t="s">
        <v>1035</v>
      </c>
      <c r="N853" s="1032" t="s">
        <v>1045</v>
      </c>
      <c r="O853" s="1032">
        <v>2021.0</v>
      </c>
      <c r="P853" s="1032" t="s">
        <v>1039</v>
      </c>
      <c r="Q853" s="1033" t="s">
        <v>63</v>
      </c>
      <c r="R853" s="1034">
        <v>427.1372344</v>
      </c>
      <c r="S853" s="1034">
        <v>206.6276464</v>
      </c>
      <c r="T853" s="1035">
        <v>762.4986844</v>
      </c>
      <c r="AB853" s="1045"/>
      <c r="AF853" s="225"/>
    </row>
    <row r="854">
      <c r="A854" s="1013"/>
      <c r="B854" s="1019" t="s">
        <v>139</v>
      </c>
      <c r="C854" s="1020" t="s">
        <v>1035</v>
      </c>
      <c r="D854" s="1020" t="s">
        <v>1043</v>
      </c>
      <c r="E854" s="1020" t="s">
        <v>608</v>
      </c>
      <c r="F854" s="1020">
        <v>2021.0</v>
      </c>
      <c r="G854" s="1021">
        <v>2.38644E-4</v>
      </c>
      <c r="H854" s="1021">
        <v>1.04118E-4</v>
      </c>
      <c r="I854" s="1022">
        <v>5.22386E-4</v>
      </c>
      <c r="K854" s="1031" t="s">
        <v>138</v>
      </c>
      <c r="L854" s="1032" t="s">
        <v>660</v>
      </c>
      <c r="M854" s="1032" t="s">
        <v>1035</v>
      </c>
      <c r="N854" s="1032" t="s">
        <v>1038</v>
      </c>
      <c r="O854" s="1032">
        <v>2021.0</v>
      </c>
      <c r="P854" s="1032" t="s">
        <v>1039</v>
      </c>
      <c r="Q854" s="1033" t="s">
        <v>63</v>
      </c>
      <c r="R854" s="1034">
        <v>167.9492933</v>
      </c>
      <c r="S854" s="1034">
        <v>75.24302326</v>
      </c>
      <c r="T854" s="1035">
        <v>308.5680408</v>
      </c>
      <c r="AB854" s="1045"/>
      <c r="AF854" s="225"/>
    </row>
    <row r="855">
      <c r="A855" s="1013"/>
      <c r="B855" s="1019" t="s">
        <v>139</v>
      </c>
      <c r="C855" s="1020" t="s">
        <v>1035</v>
      </c>
      <c r="D855" s="1020" t="s">
        <v>1045</v>
      </c>
      <c r="E855" s="1020" t="s">
        <v>608</v>
      </c>
      <c r="F855" s="1020">
        <v>2021.0</v>
      </c>
      <c r="G855" s="1021">
        <v>0.001190984</v>
      </c>
      <c r="H855" s="1021">
        <v>5.57452E-4</v>
      </c>
      <c r="I855" s="1022">
        <v>0.002220064</v>
      </c>
      <c r="K855" s="1031" t="s">
        <v>138</v>
      </c>
      <c r="L855" s="1032" t="s">
        <v>660</v>
      </c>
      <c r="M855" s="1032" t="s">
        <v>1035</v>
      </c>
      <c r="N855" s="1032" t="s">
        <v>1042</v>
      </c>
      <c r="O855" s="1032">
        <v>2021.0</v>
      </c>
      <c r="P855" s="1032" t="s">
        <v>1039</v>
      </c>
      <c r="Q855" s="1033" t="s">
        <v>63</v>
      </c>
      <c r="R855" s="1034">
        <v>0.0</v>
      </c>
      <c r="S855" s="1034">
        <v>0.0</v>
      </c>
      <c r="T855" s="1035">
        <v>0.0</v>
      </c>
      <c r="AB855" s="1045"/>
      <c r="AF855" s="225"/>
    </row>
    <row r="856">
      <c r="A856" s="1013"/>
      <c r="B856" s="1019" t="s">
        <v>140</v>
      </c>
      <c r="C856" s="1020" t="s">
        <v>1035</v>
      </c>
      <c r="D856" s="1020" t="s">
        <v>1036</v>
      </c>
      <c r="E856" s="1020" t="s">
        <v>608</v>
      </c>
      <c r="F856" s="1020">
        <v>2021.0</v>
      </c>
      <c r="G856" s="1021">
        <v>9.97862E-4</v>
      </c>
      <c r="H856" s="1021">
        <v>5.10014E-4</v>
      </c>
      <c r="I856" s="1022">
        <v>0.00222415</v>
      </c>
      <c r="K856" s="1031" t="s">
        <v>138</v>
      </c>
      <c r="L856" s="1032" t="s">
        <v>660</v>
      </c>
      <c r="M856" s="1032" t="s">
        <v>1035</v>
      </c>
      <c r="N856" s="1032" t="s">
        <v>1044</v>
      </c>
      <c r="O856" s="1032">
        <v>2021.0</v>
      </c>
      <c r="P856" s="1032" t="s">
        <v>1039</v>
      </c>
      <c r="Q856" s="1033" t="s">
        <v>63</v>
      </c>
      <c r="R856" s="1034">
        <v>0.0</v>
      </c>
      <c r="S856" s="1034">
        <v>0.0</v>
      </c>
      <c r="T856" s="1035">
        <v>0.0</v>
      </c>
      <c r="AB856" s="1045"/>
      <c r="AF856" s="225"/>
    </row>
    <row r="857">
      <c r="A857" s="1013"/>
      <c r="B857" s="1019" t="s">
        <v>140</v>
      </c>
      <c r="C857" s="1020" t="s">
        <v>1035</v>
      </c>
      <c r="D857" s="1020" t="s">
        <v>1041</v>
      </c>
      <c r="E857" s="1020" t="s">
        <v>608</v>
      </c>
      <c r="F857" s="1020">
        <v>2021.0</v>
      </c>
      <c r="G857" s="1021">
        <v>0.00262762</v>
      </c>
      <c r="H857" s="1021">
        <v>0.001604274</v>
      </c>
      <c r="I857" s="1022">
        <v>0.004873625</v>
      </c>
      <c r="K857" s="1031" t="s">
        <v>138</v>
      </c>
      <c r="L857" s="1032" t="s">
        <v>660</v>
      </c>
      <c r="M857" s="1032" t="s">
        <v>1035</v>
      </c>
      <c r="N857" s="1032" t="s">
        <v>1046</v>
      </c>
      <c r="O857" s="1032">
        <v>2021.0</v>
      </c>
      <c r="P857" s="1032" t="s">
        <v>1039</v>
      </c>
      <c r="Q857" s="1033" t="s">
        <v>63</v>
      </c>
      <c r="R857" s="1034">
        <v>74.96143679</v>
      </c>
      <c r="S857" s="1034">
        <v>33.16152757</v>
      </c>
      <c r="T857" s="1035">
        <v>135.5603003</v>
      </c>
      <c r="AB857" s="1045"/>
      <c r="AF857" s="225"/>
    </row>
    <row r="858">
      <c r="A858" s="1013"/>
      <c r="B858" s="1019" t="s">
        <v>140</v>
      </c>
      <c r="C858" s="1020" t="s">
        <v>1035</v>
      </c>
      <c r="D858" s="1020" t="s">
        <v>1043</v>
      </c>
      <c r="E858" s="1020" t="s">
        <v>608</v>
      </c>
      <c r="F858" s="1020">
        <v>2021.0</v>
      </c>
      <c r="G858" s="1021">
        <v>2.27058E-4</v>
      </c>
      <c r="H858" s="1021">
        <v>1.08699E-4</v>
      </c>
      <c r="I858" s="1022">
        <v>5.98052E-4</v>
      </c>
      <c r="K858" s="1031" t="s">
        <v>138</v>
      </c>
      <c r="L858" s="1032" t="s">
        <v>660</v>
      </c>
      <c r="M858" s="1032" t="s">
        <v>1035</v>
      </c>
      <c r="N858" s="1032" t="s">
        <v>1045</v>
      </c>
      <c r="O858" s="1032">
        <v>2021.0</v>
      </c>
      <c r="P858" s="1032" t="s">
        <v>1039</v>
      </c>
      <c r="Q858" s="1033" t="s">
        <v>63</v>
      </c>
      <c r="R858" s="1034">
        <v>242.91073</v>
      </c>
      <c r="S858" s="1034">
        <v>110.1588661</v>
      </c>
      <c r="T858" s="1035">
        <v>443.9856913</v>
      </c>
      <c r="AB858" s="1045"/>
      <c r="AF858" s="225"/>
    </row>
    <row r="859">
      <c r="A859" s="1013"/>
      <c r="B859" s="1019" t="s">
        <v>140</v>
      </c>
      <c r="C859" s="1020" t="s">
        <v>1035</v>
      </c>
      <c r="D859" s="1020" t="s">
        <v>1045</v>
      </c>
      <c r="E859" s="1020" t="s">
        <v>608</v>
      </c>
      <c r="F859" s="1020">
        <v>2021.0</v>
      </c>
      <c r="G859" s="1021">
        <v>9.5864E-4</v>
      </c>
      <c r="H859" s="1021">
        <v>4.78765E-4</v>
      </c>
      <c r="I859" s="1022">
        <v>0.001693626</v>
      </c>
      <c r="K859" s="1031" t="s">
        <v>118</v>
      </c>
      <c r="L859" s="1032" t="s">
        <v>660</v>
      </c>
      <c r="M859" s="1032" t="s">
        <v>1035</v>
      </c>
      <c r="N859" s="1032" t="s">
        <v>1038</v>
      </c>
      <c r="O859" s="1032">
        <v>2021.0</v>
      </c>
      <c r="P859" s="1032" t="s">
        <v>1039</v>
      </c>
      <c r="Q859" s="1033" t="s">
        <v>63</v>
      </c>
      <c r="R859" s="1034">
        <v>319.0606192</v>
      </c>
      <c r="S859" s="1034">
        <v>133.3932661</v>
      </c>
      <c r="T859" s="1035">
        <v>598.7688825</v>
      </c>
      <c r="AB859" s="1045"/>
      <c r="AF859" s="225"/>
    </row>
    <row r="860">
      <c r="A860" s="1013"/>
      <c r="B860" s="1019" t="s">
        <v>141</v>
      </c>
      <c r="C860" s="1020" t="s">
        <v>1035</v>
      </c>
      <c r="D860" s="1020" t="s">
        <v>1036</v>
      </c>
      <c r="E860" s="1020" t="s">
        <v>608</v>
      </c>
      <c r="F860" s="1020">
        <v>2021.0</v>
      </c>
      <c r="G860" s="1021">
        <v>6.90807E-4</v>
      </c>
      <c r="H860" s="1021">
        <v>3.19198E-4</v>
      </c>
      <c r="I860" s="1022">
        <v>0.001702343</v>
      </c>
      <c r="K860" s="1031" t="s">
        <v>118</v>
      </c>
      <c r="L860" s="1032" t="s">
        <v>660</v>
      </c>
      <c r="M860" s="1032" t="s">
        <v>1035</v>
      </c>
      <c r="N860" s="1032" t="s">
        <v>1042</v>
      </c>
      <c r="O860" s="1032">
        <v>2021.0</v>
      </c>
      <c r="P860" s="1032" t="s">
        <v>1039</v>
      </c>
      <c r="Q860" s="1033" t="s">
        <v>63</v>
      </c>
      <c r="R860" s="1034">
        <v>0.0</v>
      </c>
      <c r="S860" s="1034">
        <v>0.0</v>
      </c>
      <c r="T860" s="1035">
        <v>0.0</v>
      </c>
      <c r="AB860" s="1045"/>
      <c r="AF860" s="225"/>
    </row>
    <row r="861">
      <c r="A861" s="1013"/>
      <c r="B861" s="1019" t="s">
        <v>141</v>
      </c>
      <c r="C861" s="1020" t="s">
        <v>1035</v>
      </c>
      <c r="D861" s="1020" t="s">
        <v>1041</v>
      </c>
      <c r="E861" s="1020" t="s">
        <v>608</v>
      </c>
      <c r="F861" s="1020">
        <v>2021.0</v>
      </c>
      <c r="G861" s="1021">
        <v>0.001698962</v>
      </c>
      <c r="H861" s="1021">
        <v>9.21695E-4</v>
      </c>
      <c r="I861" s="1022">
        <v>0.003601795</v>
      </c>
      <c r="K861" s="1031" t="s">
        <v>118</v>
      </c>
      <c r="L861" s="1032" t="s">
        <v>660</v>
      </c>
      <c r="M861" s="1032" t="s">
        <v>1035</v>
      </c>
      <c r="N861" s="1032" t="s">
        <v>1044</v>
      </c>
      <c r="O861" s="1032">
        <v>2021.0</v>
      </c>
      <c r="P861" s="1032" t="s">
        <v>1039</v>
      </c>
      <c r="Q861" s="1033" t="s">
        <v>63</v>
      </c>
      <c r="R861" s="1034">
        <v>0.0</v>
      </c>
      <c r="S861" s="1034">
        <v>0.0</v>
      </c>
      <c r="T861" s="1035">
        <v>0.0</v>
      </c>
      <c r="AB861" s="1045"/>
      <c r="AF861" s="225"/>
    </row>
    <row r="862">
      <c r="A862" s="1013"/>
      <c r="B862" s="1019" t="s">
        <v>141</v>
      </c>
      <c r="C862" s="1020" t="s">
        <v>1035</v>
      </c>
      <c r="D862" s="1020" t="s">
        <v>1043</v>
      </c>
      <c r="E862" s="1020" t="s">
        <v>608</v>
      </c>
      <c r="F862" s="1020">
        <v>2021.0</v>
      </c>
      <c r="G862" s="1021">
        <v>2.25853E-4</v>
      </c>
      <c r="H862" s="1021">
        <v>9.61E-5</v>
      </c>
      <c r="I862" s="1022">
        <v>5.88328E-4</v>
      </c>
      <c r="K862" s="1031" t="s">
        <v>118</v>
      </c>
      <c r="L862" s="1032" t="s">
        <v>660</v>
      </c>
      <c r="M862" s="1032" t="s">
        <v>1035</v>
      </c>
      <c r="N862" s="1032" t="s">
        <v>1046</v>
      </c>
      <c r="O862" s="1032">
        <v>2021.0</v>
      </c>
      <c r="P862" s="1032" t="s">
        <v>1039</v>
      </c>
      <c r="Q862" s="1033" t="s">
        <v>63</v>
      </c>
      <c r="R862" s="1034">
        <v>116.1328452</v>
      </c>
      <c r="S862" s="1034">
        <v>45.29366175</v>
      </c>
      <c r="T862" s="1035">
        <v>205.630118</v>
      </c>
      <c r="AB862" s="1045"/>
      <c r="AF862" s="225"/>
    </row>
    <row r="863">
      <c r="A863" s="1013"/>
      <c r="B863" s="1019" t="s">
        <v>141</v>
      </c>
      <c r="C863" s="1020" t="s">
        <v>1035</v>
      </c>
      <c r="D863" s="1020" t="s">
        <v>1045</v>
      </c>
      <c r="E863" s="1020" t="s">
        <v>608</v>
      </c>
      <c r="F863" s="1020">
        <v>2021.0</v>
      </c>
      <c r="G863" s="1021">
        <v>8.18202E-4</v>
      </c>
      <c r="H863" s="1021">
        <v>3.68046E-4</v>
      </c>
      <c r="I863" s="1022">
        <v>0.001585394</v>
      </c>
      <c r="K863" s="1031" t="s">
        <v>118</v>
      </c>
      <c r="L863" s="1032" t="s">
        <v>660</v>
      </c>
      <c r="M863" s="1032" t="s">
        <v>1035</v>
      </c>
      <c r="N863" s="1032" t="s">
        <v>1045</v>
      </c>
      <c r="O863" s="1032">
        <v>2021.0</v>
      </c>
      <c r="P863" s="1032" t="s">
        <v>1039</v>
      </c>
      <c r="Q863" s="1033" t="s">
        <v>63</v>
      </c>
      <c r="R863" s="1034">
        <v>435.1934643</v>
      </c>
      <c r="S863" s="1034">
        <v>186.2073866</v>
      </c>
      <c r="T863" s="1035">
        <v>780.1861626</v>
      </c>
      <c r="AB863" s="1045"/>
      <c r="AF863" s="225"/>
    </row>
    <row r="864">
      <c r="A864" s="1013"/>
      <c r="B864" s="1019" t="s">
        <v>142</v>
      </c>
      <c r="C864" s="1020" t="s">
        <v>1035</v>
      </c>
      <c r="D864" s="1020" t="s">
        <v>1036</v>
      </c>
      <c r="E864" s="1020" t="s">
        <v>608</v>
      </c>
      <c r="F864" s="1020">
        <v>2021.0</v>
      </c>
      <c r="G864" s="1021">
        <v>0.001291432</v>
      </c>
      <c r="H864" s="1021">
        <v>7.16365E-4</v>
      </c>
      <c r="I864" s="1022">
        <v>0.002321259</v>
      </c>
      <c r="K864" s="1031" t="s">
        <v>119</v>
      </c>
      <c r="L864" s="1032" t="s">
        <v>660</v>
      </c>
      <c r="M864" s="1032" t="s">
        <v>1035</v>
      </c>
      <c r="N864" s="1032" t="s">
        <v>1038</v>
      </c>
      <c r="O864" s="1032">
        <v>2021.0</v>
      </c>
      <c r="P864" s="1032" t="s">
        <v>1039</v>
      </c>
      <c r="Q864" s="1033" t="s">
        <v>63</v>
      </c>
      <c r="R864" s="1034">
        <v>498.5857322</v>
      </c>
      <c r="S864" s="1034">
        <v>221.4723689</v>
      </c>
      <c r="T864" s="1035">
        <v>875.6046978</v>
      </c>
      <c r="AB864" s="1045"/>
      <c r="AF864" s="225"/>
    </row>
    <row r="865">
      <c r="A865" s="1013"/>
      <c r="B865" s="1019" t="s">
        <v>142</v>
      </c>
      <c r="C865" s="1020" t="s">
        <v>1035</v>
      </c>
      <c r="D865" s="1020" t="s">
        <v>1041</v>
      </c>
      <c r="E865" s="1020" t="s">
        <v>608</v>
      </c>
      <c r="F865" s="1020">
        <v>2021.0</v>
      </c>
      <c r="G865" s="1021">
        <v>0.002590713</v>
      </c>
      <c r="H865" s="1021">
        <v>0.001584786</v>
      </c>
      <c r="I865" s="1022">
        <v>0.004119761</v>
      </c>
      <c r="K865" s="1031" t="s">
        <v>119</v>
      </c>
      <c r="L865" s="1032" t="s">
        <v>660</v>
      </c>
      <c r="M865" s="1032" t="s">
        <v>1035</v>
      </c>
      <c r="N865" s="1032" t="s">
        <v>1042</v>
      </c>
      <c r="O865" s="1032">
        <v>2021.0</v>
      </c>
      <c r="P865" s="1032" t="s">
        <v>1039</v>
      </c>
      <c r="Q865" s="1033" t="s">
        <v>63</v>
      </c>
      <c r="R865" s="1034">
        <v>0.0</v>
      </c>
      <c r="S865" s="1034">
        <v>0.0</v>
      </c>
      <c r="T865" s="1035">
        <v>0.0</v>
      </c>
      <c r="AB865" s="1045"/>
      <c r="AF865" s="225"/>
    </row>
    <row r="866">
      <c r="A866" s="1013"/>
      <c r="B866" s="1019" t="s">
        <v>142</v>
      </c>
      <c r="C866" s="1020" t="s">
        <v>1035</v>
      </c>
      <c r="D866" s="1020" t="s">
        <v>1043</v>
      </c>
      <c r="E866" s="1020" t="s">
        <v>608</v>
      </c>
      <c r="F866" s="1020">
        <v>2021.0</v>
      </c>
      <c r="G866" s="1021">
        <v>4.28339E-4</v>
      </c>
      <c r="H866" s="1021">
        <v>2.38673E-4</v>
      </c>
      <c r="I866" s="1022">
        <v>8.25145E-4</v>
      </c>
      <c r="K866" s="1031" t="s">
        <v>119</v>
      </c>
      <c r="L866" s="1032" t="s">
        <v>660</v>
      </c>
      <c r="M866" s="1032" t="s">
        <v>1035</v>
      </c>
      <c r="N866" s="1032" t="s">
        <v>1044</v>
      </c>
      <c r="O866" s="1032">
        <v>2021.0</v>
      </c>
      <c r="P866" s="1032" t="s">
        <v>1039</v>
      </c>
      <c r="Q866" s="1033" t="s">
        <v>63</v>
      </c>
      <c r="R866" s="1034">
        <v>0.0</v>
      </c>
      <c r="S866" s="1034">
        <v>0.0</v>
      </c>
      <c r="T866" s="1035">
        <v>0.0</v>
      </c>
      <c r="AB866" s="1045"/>
      <c r="AF866" s="225"/>
    </row>
    <row r="867">
      <c r="A867" s="1013"/>
      <c r="B867" s="1019" t="s">
        <v>142</v>
      </c>
      <c r="C867" s="1020" t="s">
        <v>1035</v>
      </c>
      <c r="D867" s="1020" t="s">
        <v>1045</v>
      </c>
      <c r="E867" s="1020" t="s">
        <v>608</v>
      </c>
      <c r="F867" s="1020">
        <v>2021.0</v>
      </c>
      <c r="G867" s="1021">
        <v>0.002113785</v>
      </c>
      <c r="H867" s="1021">
        <v>0.001150328</v>
      </c>
      <c r="I867" s="1022">
        <v>0.003421748</v>
      </c>
      <c r="K867" s="1031" t="s">
        <v>119</v>
      </c>
      <c r="L867" s="1032" t="s">
        <v>660</v>
      </c>
      <c r="M867" s="1032" t="s">
        <v>1035</v>
      </c>
      <c r="N867" s="1032" t="s">
        <v>1046</v>
      </c>
      <c r="O867" s="1032">
        <v>2021.0</v>
      </c>
      <c r="P867" s="1032" t="s">
        <v>1039</v>
      </c>
      <c r="Q867" s="1033" t="s">
        <v>63</v>
      </c>
      <c r="R867" s="1034">
        <v>209.1222026</v>
      </c>
      <c r="S867" s="1034">
        <v>87.70695355</v>
      </c>
      <c r="T867" s="1035">
        <v>380.2240558</v>
      </c>
      <c r="AB867" s="1045"/>
      <c r="AF867" s="225"/>
    </row>
    <row r="868">
      <c r="A868" s="1013"/>
      <c r="B868" s="1019" t="s">
        <v>143</v>
      </c>
      <c r="C868" s="1020" t="s">
        <v>1035</v>
      </c>
      <c r="D868" s="1020" t="s">
        <v>1036</v>
      </c>
      <c r="E868" s="1020" t="s">
        <v>608</v>
      </c>
      <c r="F868" s="1020">
        <v>2021.0</v>
      </c>
      <c r="G868" s="1021">
        <v>0.001618747</v>
      </c>
      <c r="H868" s="1021">
        <v>8.18086E-4</v>
      </c>
      <c r="I868" s="1022">
        <v>0.00348241</v>
      </c>
      <c r="K868" s="1031" t="s">
        <v>119</v>
      </c>
      <c r="L868" s="1032" t="s">
        <v>660</v>
      </c>
      <c r="M868" s="1032" t="s">
        <v>1035</v>
      </c>
      <c r="N868" s="1032" t="s">
        <v>1045</v>
      </c>
      <c r="O868" s="1032">
        <v>2021.0</v>
      </c>
      <c r="P868" s="1032" t="s">
        <v>1039</v>
      </c>
      <c r="Q868" s="1033" t="s">
        <v>63</v>
      </c>
      <c r="R868" s="1034">
        <v>707.7079348</v>
      </c>
      <c r="S868" s="1034">
        <v>326.542156</v>
      </c>
      <c r="T868" s="1035">
        <v>1279.874086</v>
      </c>
      <c r="AB868" s="1045"/>
      <c r="AF868" s="225"/>
    </row>
    <row r="869">
      <c r="A869" s="1013"/>
      <c r="B869" s="1019" t="s">
        <v>143</v>
      </c>
      <c r="C869" s="1020" t="s">
        <v>1035</v>
      </c>
      <c r="D869" s="1020" t="s">
        <v>1041</v>
      </c>
      <c r="E869" s="1020" t="s">
        <v>608</v>
      </c>
      <c r="F869" s="1020">
        <v>2021.0</v>
      </c>
      <c r="G869" s="1021">
        <v>0.003865714</v>
      </c>
      <c r="H869" s="1021">
        <v>0.002325781</v>
      </c>
      <c r="I869" s="1022">
        <v>0.007953214</v>
      </c>
      <c r="K869" s="1031" t="s">
        <v>120</v>
      </c>
      <c r="L869" s="1032" t="s">
        <v>660</v>
      </c>
      <c r="M869" s="1032" t="s">
        <v>1035</v>
      </c>
      <c r="N869" s="1032" t="s">
        <v>1038</v>
      </c>
      <c r="O869" s="1032">
        <v>2021.0</v>
      </c>
      <c r="P869" s="1032" t="s">
        <v>1039</v>
      </c>
      <c r="Q869" s="1033" t="s">
        <v>63</v>
      </c>
      <c r="R869" s="1034">
        <v>223.246138</v>
      </c>
      <c r="S869" s="1034">
        <v>114.1744161</v>
      </c>
      <c r="T869" s="1035">
        <v>399.7737654</v>
      </c>
      <c r="AB869" s="1045"/>
      <c r="AF869" s="225"/>
    </row>
    <row r="870">
      <c r="A870" s="1013"/>
      <c r="B870" s="1019" t="s">
        <v>143</v>
      </c>
      <c r="C870" s="1020" t="s">
        <v>1035</v>
      </c>
      <c r="D870" s="1020" t="s">
        <v>1043</v>
      </c>
      <c r="E870" s="1020" t="s">
        <v>608</v>
      </c>
      <c r="F870" s="1020">
        <v>2021.0</v>
      </c>
      <c r="G870" s="1021">
        <v>5.69156E-4</v>
      </c>
      <c r="H870" s="1021">
        <v>3.04588E-4</v>
      </c>
      <c r="I870" s="1022">
        <v>0.00123282</v>
      </c>
      <c r="K870" s="1031" t="s">
        <v>120</v>
      </c>
      <c r="L870" s="1032" t="s">
        <v>660</v>
      </c>
      <c r="M870" s="1032" t="s">
        <v>1035</v>
      </c>
      <c r="N870" s="1032" t="s">
        <v>1042</v>
      </c>
      <c r="O870" s="1032">
        <v>2021.0</v>
      </c>
      <c r="P870" s="1032" t="s">
        <v>1039</v>
      </c>
      <c r="Q870" s="1033" t="s">
        <v>63</v>
      </c>
      <c r="R870" s="1034">
        <v>0.0</v>
      </c>
      <c r="S870" s="1034">
        <v>0.0</v>
      </c>
      <c r="T870" s="1035">
        <v>0.0</v>
      </c>
      <c r="AB870" s="1045"/>
      <c r="AF870" s="225"/>
    </row>
    <row r="871">
      <c r="A871" s="1013"/>
      <c r="B871" s="1019" t="s">
        <v>143</v>
      </c>
      <c r="C871" s="1020" t="s">
        <v>1035</v>
      </c>
      <c r="D871" s="1020" t="s">
        <v>1045</v>
      </c>
      <c r="E871" s="1020" t="s">
        <v>608</v>
      </c>
      <c r="F871" s="1020">
        <v>2021.0</v>
      </c>
      <c r="G871" s="1021">
        <v>0.003041217</v>
      </c>
      <c r="H871" s="1021">
        <v>0.001740841</v>
      </c>
      <c r="I871" s="1022">
        <v>0.004784336</v>
      </c>
      <c r="K871" s="1031" t="s">
        <v>120</v>
      </c>
      <c r="L871" s="1032" t="s">
        <v>660</v>
      </c>
      <c r="M871" s="1032" t="s">
        <v>1035</v>
      </c>
      <c r="N871" s="1032" t="s">
        <v>1044</v>
      </c>
      <c r="O871" s="1032">
        <v>2021.0</v>
      </c>
      <c r="P871" s="1032" t="s">
        <v>1039</v>
      </c>
      <c r="Q871" s="1033" t="s">
        <v>63</v>
      </c>
      <c r="R871" s="1034">
        <v>0.0</v>
      </c>
      <c r="S871" s="1034">
        <v>0.0</v>
      </c>
      <c r="T871" s="1035">
        <v>0.0</v>
      </c>
      <c r="AB871" s="1045"/>
      <c r="AF871" s="225"/>
    </row>
    <row r="872">
      <c r="A872" s="1013"/>
      <c r="B872" s="1019" t="s">
        <v>109</v>
      </c>
      <c r="C872" s="1020" t="s">
        <v>1035</v>
      </c>
      <c r="D872" s="1020" t="s">
        <v>1036</v>
      </c>
      <c r="E872" s="1020" t="s">
        <v>608</v>
      </c>
      <c r="F872" s="1020">
        <v>2021.0</v>
      </c>
      <c r="G872" s="1021">
        <v>0.001270909</v>
      </c>
      <c r="H872" s="1021">
        <v>7.09344E-4</v>
      </c>
      <c r="I872" s="1022">
        <v>0.002588419</v>
      </c>
      <c r="K872" s="1031" t="s">
        <v>120</v>
      </c>
      <c r="L872" s="1032" t="s">
        <v>660</v>
      </c>
      <c r="M872" s="1032" t="s">
        <v>1035</v>
      </c>
      <c r="N872" s="1032" t="s">
        <v>1046</v>
      </c>
      <c r="O872" s="1032">
        <v>2021.0</v>
      </c>
      <c r="P872" s="1032" t="s">
        <v>1039</v>
      </c>
      <c r="Q872" s="1033" t="s">
        <v>63</v>
      </c>
      <c r="R872" s="1034">
        <v>86.07944075</v>
      </c>
      <c r="S872" s="1034">
        <v>36.47693625</v>
      </c>
      <c r="T872" s="1035">
        <v>151.0281195</v>
      </c>
      <c r="AB872" s="1045"/>
      <c r="AF872" s="225"/>
    </row>
    <row r="873">
      <c r="A873" s="1013"/>
      <c r="B873" s="1019" t="s">
        <v>109</v>
      </c>
      <c r="C873" s="1020" t="s">
        <v>1035</v>
      </c>
      <c r="D873" s="1020" t="s">
        <v>1041</v>
      </c>
      <c r="E873" s="1020" t="s">
        <v>608</v>
      </c>
      <c r="F873" s="1020">
        <v>2021.0</v>
      </c>
      <c r="G873" s="1021">
        <v>0.003102428</v>
      </c>
      <c r="H873" s="1021">
        <v>0.002031412</v>
      </c>
      <c r="I873" s="1022">
        <v>0.00583729</v>
      </c>
      <c r="K873" s="1031" t="s">
        <v>120</v>
      </c>
      <c r="L873" s="1032" t="s">
        <v>660</v>
      </c>
      <c r="M873" s="1032" t="s">
        <v>1035</v>
      </c>
      <c r="N873" s="1032" t="s">
        <v>1045</v>
      </c>
      <c r="O873" s="1032">
        <v>2021.0</v>
      </c>
      <c r="P873" s="1032" t="s">
        <v>1039</v>
      </c>
      <c r="Q873" s="1033" t="s">
        <v>63</v>
      </c>
      <c r="R873" s="1034">
        <v>309.3255788</v>
      </c>
      <c r="S873" s="1034">
        <v>153.7022503</v>
      </c>
      <c r="T873" s="1035">
        <v>539.6226497</v>
      </c>
      <c r="AB873" s="1045"/>
      <c r="AF873" s="225"/>
    </row>
    <row r="874">
      <c r="A874" s="1013"/>
      <c r="B874" s="1019" t="s">
        <v>109</v>
      </c>
      <c r="C874" s="1020" t="s">
        <v>1035</v>
      </c>
      <c r="D874" s="1020" t="s">
        <v>1043</v>
      </c>
      <c r="E874" s="1020" t="s">
        <v>608</v>
      </c>
      <c r="F874" s="1020">
        <v>2021.0</v>
      </c>
      <c r="G874" s="1021">
        <v>5.42643E-4</v>
      </c>
      <c r="H874" s="1021">
        <v>3.21393E-4</v>
      </c>
      <c r="I874" s="1022">
        <v>0.001076691</v>
      </c>
      <c r="K874" s="1031" t="s">
        <v>139</v>
      </c>
      <c r="L874" s="1032" t="s">
        <v>660</v>
      </c>
      <c r="M874" s="1032" t="s">
        <v>1035</v>
      </c>
      <c r="N874" s="1032" t="s">
        <v>1038</v>
      </c>
      <c r="O874" s="1032">
        <v>2021.0</v>
      </c>
      <c r="P874" s="1032" t="s">
        <v>1039</v>
      </c>
      <c r="Q874" s="1033" t="s">
        <v>63</v>
      </c>
      <c r="R874" s="1034">
        <v>15.37070768</v>
      </c>
      <c r="S874" s="1034">
        <v>4.186919471</v>
      </c>
      <c r="T874" s="1035">
        <v>38.98495226</v>
      </c>
      <c r="AB874" s="1045"/>
      <c r="AF874" s="225"/>
    </row>
    <row r="875">
      <c r="A875" s="1013"/>
      <c r="B875" s="1019" t="s">
        <v>109</v>
      </c>
      <c r="C875" s="1020" t="s">
        <v>1035</v>
      </c>
      <c r="D875" s="1020" t="s">
        <v>1045</v>
      </c>
      <c r="E875" s="1020" t="s">
        <v>608</v>
      </c>
      <c r="F875" s="1020">
        <v>2021.0</v>
      </c>
      <c r="G875" s="1021">
        <v>0.003332935</v>
      </c>
      <c r="H875" s="1021">
        <v>0.001969185</v>
      </c>
      <c r="I875" s="1022">
        <v>0.005443018</v>
      </c>
      <c r="K875" s="1031" t="s">
        <v>139</v>
      </c>
      <c r="L875" s="1032" t="s">
        <v>660</v>
      </c>
      <c r="M875" s="1032" t="s">
        <v>1035</v>
      </c>
      <c r="N875" s="1032" t="s">
        <v>1042</v>
      </c>
      <c r="O875" s="1032">
        <v>2021.0</v>
      </c>
      <c r="P875" s="1032" t="s">
        <v>1039</v>
      </c>
      <c r="Q875" s="1033" t="s">
        <v>63</v>
      </c>
      <c r="R875" s="1034">
        <v>0.0</v>
      </c>
      <c r="S875" s="1034">
        <v>0.0</v>
      </c>
      <c r="T875" s="1035">
        <v>0.0</v>
      </c>
      <c r="AB875" s="1045"/>
      <c r="AF875" s="225"/>
    </row>
    <row r="876">
      <c r="A876" s="1013"/>
      <c r="B876" s="1019" t="s">
        <v>146</v>
      </c>
      <c r="C876" s="1020" t="s">
        <v>1035</v>
      </c>
      <c r="D876" s="1020" t="s">
        <v>1036</v>
      </c>
      <c r="E876" s="1020" t="s">
        <v>608</v>
      </c>
      <c r="F876" s="1020">
        <v>2021.0</v>
      </c>
      <c r="G876" s="1021">
        <v>0.001119381</v>
      </c>
      <c r="H876" s="1021">
        <v>5.69653E-4</v>
      </c>
      <c r="I876" s="1022">
        <v>0.002613293</v>
      </c>
      <c r="K876" s="1031" t="s">
        <v>139</v>
      </c>
      <c r="L876" s="1032" t="s">
        <v>660</v>
      </c>
      <c r="M876" s="1032" t="s">
        <v>1035</v>
      </c>
      <c r="N876" s="1032" t="s">
        <v>1044</v>
      </c>
      <c r="O876" s="1032">
        <v>2021.0</v>
      </c>
      <c r="P876" s="1032" t="s">
        <v>1039</v>
      </c>
      <c r="Q876" s="1033" t="s">
        <v>63</v>
      </c>
      <c r="R876" s="1034">
        <v>0.0</v>
      </c>
      <c r="S876" s="1034">
        <v>0.0</v>
      </c>
      <c r="T876" s="1035">
        <v>0.0</v>
      </c>
      <c r="AB876" s="1045"/>
      <c r="AF876" s="225"/>
    </row>
    <row r="877">
      <c r="A877" s="1013"/>
      <c r="B877" s="1019" t="s">
        <v>146</v>
      </c>
      <c r="C877" s="1020" t="s">
        <v>1035</v>
      </c>
      <c r="D877" s="1020" t="s">
        <v>1041</v>
      </c>
      <c r="E877" s="1020" t="s">
        <v>608</v>
      </c>
      <c r="F877" s="1020">
        <v>2021.0</v>
      </c>
      <c r="G877" s="1021">
        <v>0.002996476</v>
      </c>
      <c r="H877" s="1021">
        <v>0.001722553</v>
      </c>
      <c r="I877" s="1022">
        <v>0.005552699</v>
      </c>
      <c r="K877" s="1031" t="s">
        <v>139</v>
      </c>
      <c r="L877" s="1032" t="s">
        <v>660</v>
      </c>
      <c r="M877" s="1032" t="s">
        <v>1035</v>
      </c>
      <c r="N877" s="1032" t="s">
        <v>1046</v>
      </c>
      <c r="O877" s="1032">
        <v>2021.0</v>
      </c>
      <c r="P877" s="1032" t="s">
        <v>1039</v>
      </c>
      <c r="Q877" s="1033" t="s">
        <v>63</v>
      </c>
      <c r="R877" s="1034">
        <v>5.181093854</v>
      </c>
      <c r="S877" s="1034">
        <v>1.379414841</v>
      </c>
      <c r="T877" s="1035">
        <v>13.60802314</v>
      </c>
      <c r="AB877" s="1045"/>
      <c r="AF877" s="225"/>
    </row>
    <row r="878">
      <c r="A878" s="1013"/>
      <c r="B878" s="1019" t="s">
        <v>146</v>
      </c>
      <c r="C878" s="1020" t="s">
        <v>1035</v>
      </c>
      <c r="D878" s="1020" t="s">
        <v>1043</v>
      </c>
      <c r="E878" s="1020" t="s">
        <v>608</v>
      </c>
      <c r="F878" s="1020">
        <v>2021.0</v>
      </c>
      <c r="G878" s="1021">
        <v>3.09691E-4</v>
      </c>
      <c r="H878" s="1021">
        <v>1.48313E-4</v>
      </c>
      <c r="I878" s="1022">
        <v>7.94598E-4</v>
      </c>
      <c r="K878" s="1031" t="s">
        <v>139</v>
      </c>
      <c r="L878" s="1032" t="s">
        <v>660</v>
      </c>
      <c r="M878" s="1032" t="s">
        <v>1035</v>
      </c>
      <c r="N878" s="1032" t="s">
        <v>1045</v>
      </c>
      <c r="O878" s="1032">
        <v>2021.0</v>
      </c>
      <c r="P878" s="1032" t="s">
        <v>1039</v>
      </c>
      <c r="Q878" s="1033" t="s">
        <v>63</v>
      </c>
      <c r="R878" s="1034">
        <v>20.55180154</v>
      </c>
      <c r="S878" s="1034">
        <v>5.60327095</v>
      </c>
      <c r="T878" s="1035">
        <v>52.59435601</v>
      </c>
      <c r="AB878" s="1045"/>
      <c r="AF878" s="225"/>
    </row>
    <row r="879">
      <c r="A879" s="1013"/>
      <c r="B879" s="1019" t="s">
        <v>146</v>
      </c>
      <c r="C879" s="1020" t="s">
        <v>1035</v>
      </c>
      <c r="D879" s="1020" t="s">
        <v>1045</v>
      </c>
      <c r="E879" s="1020" t="s">
        <v>608</v>
      </c>
      <c r="F879" s="1020">
        <v>2021.0</v>
      </c>
      <c r="G879" s="1021">
        <v>0.001363403</v>
      </c>
      <c r="H879" s="1021">
        <v>7.29551E-4</v>
      </c>
      <c r="I879" s="1022">
        <v>0.002315115</v>
      </c>
      <c r="K879" s="1031" t="s">
        <v>140</v>
      </c>
      <c r="L879" s="1032" t="s">
        <v>660</v>
      </c>
      <c r="M879" s="1032" t="s">
        <v>1035</v>
      </c>
      <c r="N879" s="1032" t="s">
        <v>1038</v>
      </c>
      <c r="O879" s="1032">
        <v>2021.0</v>
      </c>
      <c r="P879" s="1032" t="s">
        <v>1039</v>
      </c>
      <c r="Q879" s="1033" t="s">
        <v>63</v>
      </c>
      <c r="R879" s="1034">
        <v>16.05667254</v>
      </c>
      <c r="S879" s="1034">
        <v>6.659513365</v>
      </c>
      <c r="T879" s="1035">
        <v>30.012919</v>
      </c>
      <c r="AB879" s="1045"/>
      <c r="AF879" s="225"/>
    </row>
    <row r="880">
      <c r="A880" s="1013"/>
      <c r="B880" s="1019" t="s">
        <v>147</v>
      </c>
      <c r="C880" s="1020" t="s">
        <v>1035</v>
      </c>
      <c r="D880" s="1020" t="s">
        <v>1036</v>
      </c>
      <c r="E880" s="1020" t="s">
        <v>608</v>
      </c>
      <c r="F880" s="1020">
        <v>2021.0</v>
      </c>
      <c r="G880" s="1021">
        <v>9.15458E-4</v>
      </c>
      <c r="H880" s="1021">
        <v>4.81818E-4</v>
      </c>
      <c r="I880" s="1022">
        <v>0.001637481</v>
      </c>
      <c r="K880" s="1031" t="s">
        <v>140</v>
      </c>
      <c r="L880" s="1032" t="s">
        <v>660</v>
      </c>
      <c r="M880" s="1032" t="s">
        <v>1035</v>
      </c>
      <c r="N880" s="1032" t="s">
        <v>1042</v>
      </c>
      <c r="O880" s="1032">
        <v>2021.0</v>
      </c>
      <c r="P880" s="1032" t="s">
        <v>1039</v>
      </c>
      <c r="Q880" s="1033" t="s">
        <v>63</v>
      </c>
      <c r="R880" s="1034">
        <v>0.0</v>
      </c>
      <c r="S880" s="1034">
        <v>0.0</v>
      </c>
      <c r="T880" s="1035">
        <v>0.0</v>
      </c>
      <c r="AB880" s="1045"/>
      <c r="AF880" s="225"/>
    </row>
    <row r="881">
      <c r="A881" s="1013"/>
      <c r="B881" s="1019" t="s">
        <v>147</v>
      </c>
      <c r="C881" s="1020" t="s">
        <v>1035</v>
      </c>
      <c r="D881" s="1020" t="s">
        <v>1041</v>
      </c>
      <c r="E881" s="1020" t="s">
        <v>608</v>
      </c>
      <c r="F881" s="1020">
        <v>2021.0</v>
      </c>
      <c r="G881" s="1021">
        <v>0.00260227</v>
      </c>
      <c r="H881" s="1021">
        <v>0.001657859</v>
      </c>
      <c r="I881" s="1022">
        <v>0.004024312</v>
      </c>
      <c r="K881" s="1031" t="s">
        <v>140</v>
      </c>
      <c r="L881" s="1032" t="s">
        <v>660</v>
      </c>
      <c r="M881" s="1032" t="s">
        <v>1035</v>
      </c>
      <c r="N881" s="1032" t="s">
        <v>1044</v>
      </c>
      <c r="O881" s="1032">
        <v>2021.0</v>
      </c>
      <c r="P881" s="1032" t="s">
        <v>1039</v>
      </c>
      <c r="Q881" s="1033" t="s">
        <v>63</v>
      </c>
      <c r="R881" s="1034">
        <v>0.0</v>
      </c>
      <c r="S881" s="1034">
        <v>0.0</v>
      </c>
      <c r="T881" s="1035">
        <v>0.0</v>
      </c>
      <c r="AB881" s="1045"/>
      <c r="AF881" s="225"/>
    </row>
    <row r="882">
      <c r="A882" s="1013"/>
      <c r="B882" s="1019" t="s">
        <v>147</v>
      </c>
      <c r="C882" s="1020" t="s">
        <v>1035</v>
      </c>
      <c r="D882" s="1020" t="s">
        <v>1043</v>
      </c>
      <c r="E882" s="1020" t="s">
        <v>608</v>
      </c>
      <c r="F882" s="1020">
        <v>2021.0</v>
      </c>
      <c r="G882" s="1021">
        <v>3.05717E-4</v>
      </c>
      <c r="H882" s="1021">
        <v>1.55714E-4</v>
      </c>
      <c r="I882" s="1022">
        <v>5.50093E-4</v>
      </c>
      <c r="K882" s="1031" t="s">
        <v>140</v>
      </c>
      <c r="L882" s="1032" t="s">
        <v>660</v>
      </c>
      <c r="M882" s="1032" t="s">
        <v>1035</v>
      </c>
      <c r="N882" s="1032" t="s">
        <v>1046</v>
      </c>
      <c r="O882" s="1032">
        <v>2021.0</v>
      </c>
      <c r="P882" s="1032" t="s">
        <v>1039</v>
      </c>
      <c r="Q882" s="1033" t="s">
        <v>63</v>
      </c>
      <c r="R882" s="1034">
        <v>6.943144129</v>
      </c>
      <c r="S882" s="1034">
        <v>2.868683742</v>
      </c>
      <c r="T882" s="1035">
        <v>13.39801338</v>
      </c>
      <c r="AB882" s="1045"/>
      <c r="AF882" s="225"/>
    </row>
    <row r="883">
      <c r="A883" s="1013"/>
      <c r="B883" s="1019" t="s">
        <v>147</v>
      </c>
      <c r="C883" s="1020" t="s">
        <v>1035</v>
      </c>
      <c r="D883" s="1020" t="s">
        <v>1045</v>
      </c>
      <c r="E883" s="1020" t="s">
        <v>608</v>
      </c>
      <c r="F883" s="1020">
        <v>2021.0</v>
      </c>
      <c r="G883" s="1021">
        <v>0.00133794</v>
      </c>
      <c r="H883" s="1021">
        <v>5.75576E-4</v>
      </c>
      <c r="I883" s="1022">
        <v>0.002457593</v>
      </c>
      <c r="K883" s="1031" t="s">
        <v>140</v>
      </c>
      <c r="L883" s="1032" t="s">
        <v>660</v>
      </c>
      <c r="M883" s="1032" t="s">
        <v>1035</v>
      </c>
      <c r="N883" s="1032" t="s">
        <v>1045</v>
      </c>
      <c r="O883" s="1032">
        <v>2021.0</v>
      </c>
      <c r="P883" s="1032" t="s">
        <v>1039</v>
      </c>
      <c r="Q883" s="1033" t="s">
        <v>63</v>
      </c>
      <c r="R883" s="1034">
        <v>22.99981667</v>
      </c>
      <c r="S883" s="1034">
        <v>9.590935763</v>
      </c>
      <c r="T883" s="1035">
        <v>43.46615724</v>
      </c>
      <c r="AB883" s="1045"/>
      <c r="AF883" s="225"/>
    </row>
    <row r="884">
      <c r="A884" s="1013"/>
      <c r="B884" s="1019" t="s">
        <v>148</v>
      </c>
      <c r="C884" s="1020" t="s">
        <v>1035</v>
      </c>
      <c r="D884" s="1020" t="s">
        <v>1036</v>
      </c>
      <c r="E884" s="1020" t="s">
        <v>608</v>
      </c>
      <c r="F884" s="1020">
        <v>2021.0</v>
      </c>
      <c r="G884" s="1021">
        <v>6.10898E-4</v>
      </c>
      <c r="H884" s="1021">
        <v>2.60021E-4</v>
      </c>
      <c r="I884" s="1022">
        <v>0.001254823</v>
      </c>
      <c r="K884" s="1031" t="s">
        <v>141</v>
      </c>
      <c r="L884" s="1032" t="s">
        <v>660</v>
      </c>
      <c r="M884" s="1032" t="s">
        <v>1035</v>
      </c>
      <c r="N884" s="1032" t="s">
        <v>1038</v>
      </c>
      <c r="O884" s="1032">
        <v>2021.0</v>
      </c>
      <c r="P884" s="1032" t="s">
        <v>1039</v>
      </c>
      <c r="Q884" s="1033" t="s">
        <v>63</v>
      </c>
      <c r="R884" s="1034">
        <v>7.848417244</v>
      </c>
      <c r="S884" s="1034">
        <v>2.89370589</v>
      </c>
      <c r="T884" s="1035">
        <v>15.41917534</v>
      </c>
      <c r="AB884" s="1045"/>
      <c r="AF884" s="225"/>
    </row>
    <row r="885">
      <c r="A885" s="1013"/>
      <c r="B885" s="1019" t="s">
        <v>148</v>
      </c>
      <c r="C885" s="1020" t="s">
        <v>1035</v>
      </c>
      <c r="D885" s="1020" t="s">
        <v>1041</v>
      </c>
      <c r="E885" s="1020" t="s">
        <v>608</v>
      </c>
      <c r="F885" s="1020">
        <v>2021.0</v>
      </c>
      <c r="G885" s="1021">
        <v>0.002077918</v>
      </c>
      <c r="H885" s="1021">
        <v>0.001106866</v>
      </c>
      <c r="I885" s="1022">
        <v>0.003566144</v>
      </c>
      <c r="K885" s="1031" t="s">
        <v>141</v>
      </c>
      <c r="L885" s="1032" t="s">
        <v>660</v>
      </c>
      <c r="M885" s="1032" t="s">
        <v>1035</v>
      </c>
      <c r="N885" s="1032" t="s">
        <v>1042</v>
      </c>
      <c r="O885" s="1032">
        <v>2021.0</v>
      </c>
      <c r="P885" s="1032" t="s">
        <v>1039</v>
      </c>
      <c r="Q885" s="1033" t="s">
        <v>63</v>
      </c>
      <c r="R885" s="1034">
        <v>0.0</v>
      </c>
      <c r="S885" s="1034">
        <v>0.0</v>
      </c>
      <c r="T885" s="1035">
        <v>0.0</v>
      </c>
      <c r="AB885" s="1045"/>
      <c r="AF885" s="225"/>
    </row>
    <row r="886">
      <c r="A886" s="1013"/>
      <c r="B886" s="1019" t="s">
        <v>148</v>
      </c>
      <c r="C886" s="1020" t="s">
        <v>1035</v>
      </c>
      <c r="D886" s="1020" t="s">
        <v>1043</v>
      </c>
      <c r="E886" s="1020" t="s">
        <v>608</v>
      </c>
      <c r="F886" s="1020">
        <v>2021.0</v>
      </c>
      <c r="G886" s="1021">
        <v>1.65232E-4</v>
      </c>
      <c r="H886" s="1021">
        <v>6.2E-5</v>
      </c>
      <c r="I886" s="1022">
        <v>3.87595E-4</v>
      </c>
      <c r="K886" s="1031" t="s">
        <v>141</v>
      </c>
      <c r="L886" s="1032" t="s">
        <v>660</v>
      </c>
      <c r="M886" s="1032" t="s">
        <v>1035</v>
      </c>
      <c r="N886" s="1032" t="s">
        <v>1044</v>
      </c>
      <c r="O886" s="1032">
        <v>2021.0</v>
      </c>
      <c r="P886" s="1032" t="s">
        <v>1039</v>
      </c>
      <c r="Q886" s="1033" t="s">
        <v>63</v>
      </c>
      <c r="R886" s="1034">
        <v>0.0</v>
      </c>
      <c r="S886" s="1034">
        <v>0.0</v>
      </c>
      <c r="T886" s="1035">
        <v>0.0</v>
      </c>
      <c r="AB886" s="1045"/>
      <c r="AF886" s="225"/>
    </row>
    <row r="887">
      <c r="A887" s="1013"/>
      <c r="B887" s="1019" t="s">
        <v>148</v>
      </c>
      <c r="C887" s="1020" t="s">
        <v>1035</v>
      </c>
      <c r="D887" s="1020" t="s">
        <v>1045</v>
      </c>
      <c r="E887" s="1020" t="s">
        <v>608</v>
      </c>
      <c r="F887" s="1020">
        <v>2021.0</v>
      </c>
      <c r="G887" s="1021">
        <v>6.78927E-4</v>
      </c>
      <c r="H887" s="1021">
        <v>3.09401E-4</v>
      </c>
      <c r="I887" s="1022">
        <v>0.001298161</v>
      </c>
      <c r="K887" s="1031" t="s">
        <v>141</v>
      </c>
      <c r="L887" s="1032" t="s">
        <v>660</v>
      </c>
      <c r="M887" s="1032" t="s">
        <v>1035</v>
      </c>
      <c r="N887" s="1032" t="s">
        <v>1046</v>
      </c>
      <c r="O887" s="1032">
        <v>2021.0</v>
      </c>
      <c r="P887" s="1032" t="s">
        <v>1039</v>
      </c>
      <c r="Q887" s="1033" t="s">
        <v>63</v>
      </c>
      <c r="R887" s="1034">
        <v>3.804454448</v>
      </c>
      <c r="S887" s="1034">
        <v>1.399272176</v>
      </c>
      <c r="T887" s="1035">
        <v>7.688674471</v>
      </c>
      <c r="AB887" s="1045"/>
      <c r="AF887" s="225"/>
    </row>
    <row r="888">
      <c r="A888" s="1013"/>
      <c r="B888" s="1019" t="s">
        <v>149</v>
      </c>
      <c r="C888" s="1020" t="s">
        <v>1035</v>
      </c>
      <c r="D888" s="1020" t="s">
        <v>1036</v>
      </c>
      <c r="E888" s="1020" t="s">
        <v>608</v>
      </c>
      <c r="F888" s="1020">
        <v>2021.0</v>
      </c>
      <c r="G888" s="1021">
        <v>7.76371E-4</v>
      </c>
      <c r="H888" s="1021">
        <v>3.87133E-4</v>
      </c>
      <c r="I888" s="1022">
        <v>0.001918002</v>
      </c>
      <c r="K888" s="1031" t="s">
        <v>141</v>
      </c>
      <c r="L888" s="1032" t="s">
        <v>660</v>
      </c>
      <c r="M888" s="1032" t="s">
        <v>1035</v>
      </c>
      <c r="N888" s="1032" t="s">
        <v>1045</v>
      </c>
      <c r="O888" s="1032">
        <v>2021.0</v>
      </c>
      <c r="P888" s="1032" t="s">
        <v>1039</v>
      </c>
      <c r="Q888" s="1033" t="s">
        <v>63</v>
      </c>
      <c r="R888" s="1034">
        <v>11.65287169</v>
      </c>
      <c r="S888" s="1034">
        <v>4.302223358</v>
      </c>
      <c r="T888" s="1035">
        <v>22.64642487</v>
      </c>
      <c r="AB888" s="1045"/>
      <c r="AF888" s="225"/>
    </row>
    <row r="889">
      <c r="A889" s="1013"/>
      <c r="B889" s="1019" t="s">
        <v>149</v>
      </c>
      <c r="C889" s="1020" t="s">
        <v>1035</v>
      </c>
      <c r="D889" s="1020" t="s">
        <v>1041</v>
      </c>
      <c r="E889" s="1020" t="s">
        <v>608</v>
      </c>
      <c r="F889" s="1020">
        <v>2021.0</v>
      </c>
      <c r="G889" s="1021">
        <v>0.002241338</v>
      </c>
      <c r="H889" s="1021">
        <v>0.001369945</v>
      </c>
      <c r="I889" s="1022">
        <v>0.00427064</v>
      </c>
      <c r="K889" s="1031" t="s">
        <v>142</v>
      </c>
      <c r="L889" s="1032" t="s">
        <v>660</v>
      </c>
      <c r="M889" s="1032" t="s">
        <v>1035</v>
      </c>
      <c r="N889" s="1032" t="s">
        <v>1038</v>
      </c>
      <c r="O889" s="1032">
        <v>2021.0</v>
      </c>
      <c r="P889" s="1032" t="s">
        <v>1039</v>
      </c>
      <c r="Q889" s="1033" t="s">
        <v>63</v>
      </c>
      <c r="R889" s="1034">
        <v>46.55128538</v>
      </c>
      <c r="S889" s="1034">
        <v>20.00031414</v>
      </c>
      <c r="T889" s="1035">
        <v>84.02090407</v>
      </c>
      <c r="AB889" s="1045"/>
      <c r="AF889" s="225"/>
    </row>
    <row r="890">
      <c r="A890" s="1013"/>
      <c r="B890" s="1019" t="s">
        <v>149</v>
      </c>
      <c r="C890" s="1020" t="s">
        <v>1035</v>
      </c>
      <c r="D890" s="1020" t="s">
        <v>1043</v>
      </c>
      <c r="E890" s="1020" t="s">
        <v>608</v>
      </c>
      <c r="F890" s="1020">
        <v>2021.0</v>
      </c>
      <c r="G890" s="1021">
        <v>1.78382E-4</v>
      </c>
      <c r="H890" s="1021">
        <v>8.27E-5</v>
      </c>
      <c r="I890" s="1022">
        <v>4.86584E-4</v>
      </c>
      <c r="K890" s="1031" t="s">
        <v>142</v>
      </c>
      <c r="L890" s="1032" t="s">
        <v>660</v>
      </c>
      <c r="M890" s="1032" t="s">
        <v>1035</v>
      </c>
      <c r="N890" s="1032" t="s">
        <v>1042</v>
      </c>
      <c r="O890" s="1032">
        <v>2021.0</v>
      </c>
      <c r="P890" s="1032" t="s">
        <v>1039</v>
      </c>
      <c r="Q890" s="1033" t="s">
        <v>63</v>
      </c>
      <c r="R890" s="1034">
        <v>0.0</v>
      </c>
      <c r="S890" s="1034">
        <v>0.0</v>
      </c>
      <c r="T890" s="1035">
        <v>0.0</v>
      </c>
      <c r="AB890" s="1045"/>
      <c r="AF890" s="225"/>
    </row>
    <row r="891">
      <c r="A891" s="1013"/>
      <c r="B891" s="1019" t="s">
        <v>149</v>
      </c>
      <c r="C891" s="1020" t="s">
        <v>1035</v>
      </c>
      <c r="D891" s="1020" t="s">
        <v>1045</v>
      </c>
      <c r="E891" s="1020" t="s">
        <v>608</v>
      </c>
      <c r="F891" s="1020">
        <v>2021.0</v>
      </c>
      <c r="G891" s="1021">
        <v>8.86172E-4</v>
      </c>
      <c r="H891" s="1021">
        <v>4.17516E-4</v>
      </c>
      <c r="I891" s="1022">
        <v>0.00162511</v>
      </c>
      <c r="K891" s="1031" t="s">
        <v>142</v>
      </c>
      <c r="L891" s="1032" t="s">
        <v>660</v>
      </c>
      <c r="M891" s="1032" t="s">
        <v>1035</v>
      </c>
      <c r="N891" s="1032" t="s">
        <v>1044</v>
      </c>
      <c r="O891" s="1032">
        <v>2021.0</v>
      </c>
      <c r="P891" s="1032" t="s">
        <v>1039</v>
      </c>
      <c r="Q891" s="1033" t="s">
        <v>63</v>
      </c>
      <c r="R891" s="1034">
        <v>0.0</v>
      </c>
      <c r="S891" s="1034">
        <v>0.0</v>
      </c>
      <c r="T891" s="1035">
        <v>0.0</v>
      </c>
      <c r="AB891" s="1045"/>
      <c r="AF891" s="225"/>
    </row>
    <row r="892">
      <c r="A892" s="1013"/>
      <c r="B892" s="1019" t="s">
        <v>150</v>
      </c>
      <c r="C892" s="1020" t="s">
        <v>1035</v>
      </c>
      <c r="D892" s="1020" t="s">
        <v>1036</v>
      </c>
      <c r="E892" s="1020" t="s">
        <v>608</v>
      </c>
      <c r="F892" s="1020">
        <v>2021.0</v>
      </c>
      <c r="G892" s="1021">
        <v>0.001314524</v>
      </c>
      <c r="H892" s="1021">
        <v>6.81643E-4</v>
      </c>
      <c r="I892" s="1022">
        <v>0.002508143</v>
      </c>
      <c r="K892" s="1031" t="s">
        <v>142</v>
      </c>
      <c r="L892" s="1032" t="s">
        <v>660</v>
      </c>
      <c r="M892" s="1032" t="s">
        <v>1035</v>
      </c>
      <c r="N892" s="1032" t="s">
        <v>1046</v>
      </c>
      <c r="O892" s="1032">
        <v>2021.0</v>
      </c>
      <c r="P892" s="1032" t="s">
        <v>1039</v>
      </c>
      <c r="Q892" s="1033" t="s">
        <v>63</v>
      </c>
      <c r="R892" s="1034">
        <v>21.01233846</v>
      </c>
      <c r="S892" s="1034">
        <v>9.265804866</v>
      </c>
      <c r="T892" s="1035">
        <v>37.45024282</v>
      </c>
      <c r="AB892" s="1045"/>
      <c r="AF892" s="225"/>
    </row>
    <row r="893">
      <c r="A893" s="1013"/>
      <c r="B893" s="1019" t="s">
        <v>150</v>
      </c>
      <c r="C893" s="1020" t="s">
        <v>1035</v>
      </c>
      <c r="D893" s="1020" t="s">
        <v>1041</v>
      </c>
      <c r="E893" s="1020" t="s">
        <v>608</v>
      </c>
      <c r="F893" s="1020">
        <v>2021.0</v>
      </c>
      <c r="G893" s="1021">
        <v>0.002582749</v>
      </c>
      <c r="H893" s="1021">
        <v>0.001479813</v>
      </c>
      <c r="I893" s="1022">
        <v>0.004674017</v>
      </c>
      <c r="K893" s="1031" t="s">
        <v>142</v>
      </c>
      <c r="L893" s="1032" t="s">
        <v>660</v>
      </c>
      <c r="M893" s="1032" t="s">
        <v>1035</v>
      </c>
      <c r="N893" s="1032" t="s">
        <v>1045</v>
      </c>
      <c r="O893" s="1032">
        <v>2021.0</v>
      </c>
      <c r="P893" s="1032" t="s">
        <v>1039</v>
      </c>
      <c r="Q893" s="1033" t="s">
        <v>63</v>
      </c>
      <c r="R893" s="1034">
        <v>67.56362384</v>
      </c>
      <c r="S893" s="1034">
        <v>29.13648211</v>
      </c>
      <c r="T893" s="1035">
        <v>119.2146596</v>
      </c>
      <c r="AB893" s="1045"/>
      <c r="AF893" s="225"/>
    </row>
    <row r="894">
      <c r="A894" s="1013"/>
      <c r="B894" s="1019" t="s">
        <v>150</v>
      </c>
      <c r="C894" s="1020" t="s">
        <v>1035</v>
      </c>
      <c r="D894" s="1020" t="s">
        <v>1043</v>
      </c>
      <c r="E894" s="1020" t="s">
        <v>608</v>
      </c>
      <c r="F894" s="1020">
        <v>2021.0</v>
      </c>
      <c r="G894" s="1021">
        <v>3.98961E-4</v>
      </c>
      <c r="H894" s="1021">
        <v>2.03535E-4</v>
      </c>
      <c r="I894" s="1022">
        <v>7.91216E-4</v>
      </c>
      <c r="K894" s="1031" t="s">
        <v>143</v>
      </c>
      <c r="L894" s="1032" t="s">
        <v>660</v>
      </c>
      <c r="M894" s="1032" t="s">
        <v>1035</v>
      </c>
      <c r="N894" s="1032" t="s">
        <v>1038</v>
      </c>
      <c r="O894" s="1032">
        <v>2021.0</v>
      </c>
      <c r="P894" s="1032" t="s">
        <v>1039</v>
      </c>
      <c r="Q894" s="1033" t="s">
        <v>63</v>
      </c>
      <c r="R894" s="1034">
        <v>161.6857187</v>
      </c>
      <c r="S894" s="1034">
        <v>71.3638599</v>
      </c>
      <c r="T894" s="1035">
        <v>293.9419567</v>
      </c>
      <c r="AB894" s="1045"/>
      <c r="AF894" s="225"/>
    </row>
    <row r="895">
      <c r="A895" s="1013"/>
      <c r="B895" s="1019" t="s">
        <v>150</v>
      </c>
      <c r="C895" s="1020" t="s">
        <v>1035</v>
      </c>
      <c r="D895" s="1020" t="s">
        <v>1045</v>
      </c>
      <c r="E895" s="1020" t="s">
        <v>608</v>
      </c>
      <c r="F895" s="1020">
        <v>2021.0</v>
      </c>
      <c r="G895" s="1021">
        <v>0.001575413</v>
      </c>
      <c r="H895" s="1021">
        <v>7.65209E-4</v>
      </c>
      <c r="I895" s="1022">
        <v>0.002861262</v>
      </c>
      <c r="K895" s="1031" t="s">
        <v>143</v>
      </c>
      <c r="L895" s="1032" t="s">
        <v>660</v>
      </c>
      <c r="M895" s="1032" t="s">
        <v>1035</v>
      </c>
      <c r="N895" s="1032" t="s">
        <v>1042</v>
      </c>
      <c r="O895" s="1032">
        <v>2021.0</v>
      </c>
      <c r="P895" s="1032" t="s">
        <v>1039</v>
      </c>
      <c r="Q895" s="1033" t="s">
        <v>63</v>
      </c>
      <c r="R895" s="1034">
        <v>0.0</v>
      </c>
      <c r="S895" s="1034">
        <v>0.0</v>
      </c>
      <c r="T895" s="1035">
        <v>0.0</v>
      </c>
      <c r="AB895" s="1045"/>
      <c r="AF895" s="225"/>
    </row>
    <row r="896">
      <c r="A896" s="1013"/>
      <c r="B896" s="1019" t="s">
        <v>151</v>
      </c>
      <c r="C896" s="1020" t="s">
        <v>1035</v>
      </c>
      <c r="D896" s="1020" t="s">
        <v>1036</v>
      </c>
      <c r="E896" s="1020" t="s">
        <v>608</v>
      </c>
      <c r="F896" s="1020">
        <v>2021.0</v>
      </c>
      <c r="G896" s="1021">
        <v>8.77491E-4</v>
      </c>
      <c r="H896" s="1021">
        <v>4.53863E-4</v>
      </c>
      <c r="I896" s="1022">
        <v>0.001600354</v>
      </c>
      <c r="K896" s="1031" t="s">
        <v>143</v>
      </c>
      <c r="L896" s="1032" t="s">
        <v>660</v>
      </c>
      <c r="M896" s="1032" t="s">
        <v>1035</v>
      </c>
      <c r="N896" s="1032" t="s">
        <v>1044</v>
      </c>
      <c r="O896" s="1032">
        <v>2021.0</v>
      </c>
      <c r="P896" s="1032" t="s">
        <v>1039</v>
      </c>
      <c r="Q896" s="1033" t="s">
        <v>63</v>
      </c>
      <c r="R896" s="1034">
        <v>0.0</v>
      </c>
      <c r="S896" s="1034">
        <v>0.0</v>
      </c>
      <c r="T896" s="1035">
        <v>0.0</v>
      </c>
      <c r="AB896" s="1045"/>
      <c r="AF896" s="225"/>
    </row>
    <row r="897">
      <c r="A897" s="1013"/>
      <c r="B897" s="1019" t="s">
        <v>151</v>
      </c>
      <c r="C897" s="1020" t="s">
        <v>1035</v>
      </c>
      <c r="D897" s="1020" t="s">
        <v>1041</v>
      </c>
      <c r="E897" s="1020" t="s">
        <v>608</v>
      </c>
      <c r="F897" s="1020">
        <v>2021.0</v>
      </c>
      <c r="G897" s="1021">
        <v>0.002348981</v>
      </c>
      <c r="H897" s="1021">
        <v>0.001354585</v>
      </c>
      <c r="I897" s="1022">
        <v>0.003727339</v>
      </c>
      <c r="K897" s="1031" t="s">
        <v>143</v>
      </c>
      <c r="L897" s="1032" t="s">
        <v>660</v>
      </c>
      <c r="M897" s="1032" t="s">
        <v>1035</v>
      </c>
      <c r="N897" s="1032" t="s">
        <v>1046</v>
      </c>
      <c r="O897" s="1032">
        <v>2021.0</v>
      </c>
      <c r="P897" s="1032" t="s">
        <v>1039</v>
      </c>
      <c r="Q897" s="1033" t="s">
        <v>63</v>
      </c>
      <c r="R897" s="1034">
        <v>69.09166579</v>
      </c>
      <c r="S897" s="1034">
        <v>26.39217576</v>
      </c>
      <c r="T897" s="1035">
        <v>123.3897728</v>
      </c>
      <c r="AB897" s="1045"/>
      <c r="AF897" s="225"/>
    </row>
    <row r="898">
      <c r="A898" s="1013"/>
      <c r="B898" s="1019" t="s">
        <v>151</v>
      </c>
      <c r="C898" s="1020" t="s">
        <v>1035</v>
      </c>
      <c r="D898" s="1020" t="s">
        <v>1043</v>
      </c>
      <c r="E898" s="1020" t="s">
        <v>608</v>
      </c>
      <c r="F898" s="1020">
        <v>2021.0</v>
      </c>
      <c r="G898" s="1021">
        <v>2.79489E-4</v>
      </c>
      <c r="H898" s="1021">
        <v>1.25858E-4</v>
      </c>
      <c r="I898" s="1022">
        <v>5.45634E-4</v>
      </c>
      <c r="K898" s="1031" t="s">
        <v>143</v>
      </c>
      <c r="L898" s="1032" t="s">
        <v>660</v>
      </c>
      <c r="M898" s="1032" t="s">
        <v>1035</v>
      </c>
      <c r="N898" s="1032" t="s">
        <v>1045</v>
      </c>
      <c r="O898" s="1032">
        <v>2021.0</v>
      </c>
      <c r="P898" s="1032" t="s">
        <v>1039</v>
      </c>
      <c r="Q898" s="1033" t="s">
        <v>63</v>
      </c>
      <c r="R898" s="1034">
        <v>230.7773845</v>
      </c>
      <c r="S898" s="1034">
        <v>102.3316443</v>
      </c>
      <c r="T898" s="1035">
        <v>411.6476139</v>
      </c>
      <c r="AB898" s="1045"/>
      <c r="AF898" s="225"/>
    </row>
    <row r="899">
      <c r="A899" s="1013"/>
      <c r="B899" s="1019" t="s">
        <v>151</v>
      </c>
      <c r="C899" s="1020" t="s">
        <v>1035</v>
      </c>
      <c r="D899" s="1020" t="s">
        <v>1045</v>
      </c>
      <c r="E899" s="1020" t="s">
        <v>608</v>
      </c>
      <c r="F899" s="1020">
        <v>2021.0</v>
      </c>
      <c r="G899" s="1021">
        <v>0.001552693</v>
      </c>
      <c r="H899" s="1021">
        <v>6.36132E-4</v>
      </c>
      <c r="I899" s="1022">
        <v>0.003046952</v>
      </c>
      <c r="K899" s="1031" t="s">
        <v>109</v>
      </c>
      <c r="L899" s="1032" t="s">
        <v>660</v>
      </c>
      <c r="M899" s="1032" t="s">
        <v>1035</v>
      </c>
      <c r="N899" s="1032" t="s">
        <v>1038</v>
      </c>
      <c r="O899" s="1032">
        <v>2021.0</v>
      </c>
      <c r="P899" s="1032" t="s">
        <v>1039</v>
      </c>
      <c r="Q899" s="1033" t="s">
        <v>63</v>
      </c>
      <c r="R899" s="1034">
        <v>3729.316425</v>
      </c>
      <c r="S899" s="1034">
        <v>1790.661433</v>
      </c>
      <c r="T899" s="1035">
        <v>6487.03218</v>
      </c>
      <c r="AB899" s="1045"/>
      <c r="AF899" s="225"/>
    </row>
    <row r="900">
      <c r="A900" s="1013"/>
      <c r="B900" s="1019" t="s">
        <v>121</v>
      </c>
      <c r="C900" s="1020" t="s">
        <v>1035</v>
      </c>
      <c r="D900" s="1020" t="s">
        <v>1036</v>
      </c>
      <c r="E900" s="1020" t="s">
        <v>608</v>
      </c>
      <c r="F900" s="1020">
        <v>2021.0</v>
      </c>
      <c r="G900" s="1021">
        <v>0.002694076</v>
      </c>
      <c r="H900" s="1021">
        <v>0.001632</v>
      </c>
      <c r="I900" s="1022">
        <v>0.005569473</v>
      </c>
      <c r="K900" s="1031" t="s">
        <v>109</v>
      </c>
      <c r="L900" s="1032" t="s">
        <v>660</v>
      </c>
      <c r="M900" s="1032" t="s">
        <v>1035</v>
      </c>
      <c r="N900" s="1032" t="s">
        <v>1042</v>
      </c>
      <c r="O900" s="1032">
        <v>2021.0</v>
      </c>
      <c r="P900" s="1032" t="s">
        <v>1039</v>
      </c>
      <c r="Q900" s="1033" t="s">
        <v>63</v>
      </c>
      <c r="R900" s="1034">
        <v>0.0</v>
      </c>
      <c r="S900" s="1034">
        <v>0.0</v>
      </c>
      <c r="T900" s="1035">
        <v>0.0</v>
      </c>
      <c r="AB900" s="1045"/>
      <c r="AF900" s="225"/>
    </row>
    <row r="901">
      <c r="A901" s="1013"/>
      <c r="B901" s="1019" t="s">
        <v>121</v>
      </c>
      <c r="C901" s="1020" t="s">
        <v>1035</v>
      </c>
      <c r="D901" s="1020" t="s">
        <v>1041</v>
      </c>
      <c r="E901" s="1020" t="s">
        <v>608</v>
      </c>
      <c r="F901" s="1020">
        <v>2021.0</v>
      </c>
      <c r="G901" s="1021">
        <v>0.005851887</v>
      </c>
      <c r="H901" s="1021">
        <v>0.003580672</v>
      </c>
      <c r="I901" s="1022">
        <v>0.0124525</v>
      </c>
      <c r="K901" s="1031" t="s">
        <v>109</v>
      </c>
      <c r="L901" s="1032" t="s">
        <v>660</v>
      </c>
      <c r="M901" s="1032" t="s">
        <v>1035</v>
      </c>
      <c r="N901" s="1032" t="s">
        <v>1044</v>
      </c>
      <c r="O901" s="1032">
        <v>2021.0</v>
      </c>
      <c r="P901" s="1032" t="s">
        <v>1039</v>
      </c>
      <c r="Q901" s="1033" t="s">
        <v>63</v>
      </c>
      <c r="R901" s="1034">
        <v>0.0</v>
      </c>
      <c r="S901" s="1034">
        <v>0.0</v>
      </c>
      <c r="T901" s="1035">
        <v>0.0</v>
      </c>
      <c r="AB901" s="1045"/>
      <c r="AF901" s="225"/>
    </row>
    <row r="902">
      <c r="A902" s="1013"/>
      <c r="B902" s="1019" t="s">
        <v>121</v>
      </c>
      <c r="C902" s="1020" t="s">
        <v>1035</v>
      </c>
      <c r="D902" s="1020" t="s">
        <v>1043</v>
      </c>
      <c r="E902" s="1020" t="s">
        <v>608</v>
      </c>
      <c r="F902" s="1020">
        <v>2021.0</v>
      </c>
      <c r="G902" s="1021">
        <v>0.001182199</v>
      </c>
      <c r="H902" s="1021">
        <v>7.26015E-4</v>
      </c>
      <c r="I902" s="1022">
        <v>0.002299943</v>
      </c>
      <c r="K902" s="1031" t="s">
        <v>109</v>
      </c>
      <c r="L902" s="1032" t="s">
        <v>660</v>
      </c>
      <c r="M902" s="1032" t="s">
        <v>1035</v>
      </c>
      <c r="N902" s="1032" t="s">
        <v>1046</v>
      </c>
      <c r="O902" s="1032">
        <v>2021.0</v>
      </c>
      <c r="P902" s="1032" t="s">
        <v>1039</v>
      </c>
      <c r="Q902" s="1033" t="s">
        <v>63</v>
      </c>
      <c r="R902" s="1034">
        <v>1465.059379</v>
      </c>
      <c r="S902" s="1034">
        <v>696.5621102</v>
      </c>
      <c r="T902" s="1035">
        <v>2506.101937</v>
      </c>
      <c r="AB902" s="1045"/>
      <c r="AF902" s="225"/>
    </row>
    <row r="903">
      <c r="A903" s="1013"/>
      <c r="B903" s="1019" t="s">
        <v>121</v>
      </c>
      <c r="C903" s="1020" t="s">
        <v>1035</v>
      </c>
      <c r="D903" s="1020" t="s">
        <v>1045</v>
      </c>
      <c r="E903" s="1020" t="s">
        <v>608</v>
      </c>
      <c r="F903" s="1020">
        <v>2021.0</v>
      </c>
      <c r="G903" s="1021">
        <v>0.008024852</v>
      </c>
      <c r="H903" s="1021">
        <v>0.005232202</v>
      </c>
      <c r="I903" s="1022">
        <v>0.012545163</v>
      </c>
      <c r="K903" s="1031" t="s">
        <v>109</v>
      </c>
      <c r="L903" s="1032" t="s">
        <v>660</v>
      </c>
      <c r="M903" s="1032" t="s">
        <v>1035</v>
      </c>
      <c r="N903" s="1032" t="s">
        <v>1045</v>
      </c>
      <c r="O903" s="1032">
        <v>2021.0</v>
      </c>
      <c r="P903" s="1032" t="s">
        <v>1039</v>
      </c>
      <c r="Q903" s="1033" t="s">
        <v>63</v>
      </c>
      <c r="R903" s="1034">
        <v>5194.375804</v>
      </c>
      <c r="S903" s="1034">
        <v>2519.936575</v>
      </c>
      <c r="T903" s="1035">
        <v>9004.076655</v>
      </c>
      <c r="AB903" s="1045"/>
      <c r="AF903" s="225"/>
    </row>
    <row r="904">
      <c r="A904" s="1013"/>
      <c r="B904" s="1019" t="s">
        <v>152</v>
      </c>
      <c r="C904" s="1020" t="s">
        <v>1035</v>
      </c>
      <c r="D904" s="1020" t="s">
        <v>1036</v>
      </c>
      <c r="E904" s="1020" t="s">
        <v>608</v>
      </c>
      <c r="F904" s="1020">
        <v>2021.0</v>
      </c>
      <c r="G904" s="1021">
        <v>0.001651731</v>
      </c>
      <c r="H904" s="1021">
        <v>9.61454E-4</v>
      </c>
      <c r="I904" s="1022">
        <v>0.002912191</v>
      </c>
      <c r="K904" s="1031" t="s">
        <v>146</v>
      </c>
      <c r="L904" s="1032" t="s">
        <v>660</v>
      </c>
      <c r="M904" s="1032" t="s">
        <v>1035</v>
      </c>
      <c r="N904" s="1032" t="s">
        <v>1038</v>
      </c>
      <c r="O904" s="1032">
        <v>2021.0</v>
      </c>
      <c r="P904" s="1032" t="s">
        <v>1039</v>
      </c>
      <c r="Q904" s="1033" t="s">
        <v>63</v>
      </c>
      <c r="R904" s="1034">
        <v>44.66372656</v>
      </c>
      <c r="S904" s="1034">
        <v>19.5811735</v>
      </c>
      <c r="T904" s="1035">
        <v>81.42111096</v>
      </c>
      <c r="AB904" s="1045"/>
      <c r="AF904" s="225"/>
    </row>
    <row r="905">
      <c r="A905" s="1013"/>
      <c r="B905" s="1019" t="s">
        <v>152</v>
      </c>
      <c r="C905" s="1020" t="s">
        <v>1035</v>
      </c>
      <c r="D905" s="1020" t="s">
        <v>1041</v>
      </c>
      <c r="E905" s="1020" t="s">
        <v>608</v>
      </c>
      <c r="F905" s="1020">
        <v>2021.0</v>
      </c>
      <c r="G905" s="1021">
        <v>0.003337364</v>
      </c>
      <c r="H905" s="1021">
        <v>0.00207012</v>
      </c>
      <c r="I905" s="1022">
        <v>0.005485895</v>
      </c>
      <c r="K905" s="1031" t="s">
        <v>146</v>
      </c>
      <c r="L905" s="1032" t="s">
        <v>660</v>
      </c>
      <c r="M905" s="1032" t="s">
        <v>1035</v>
      </c>
      <c r="N905" s="1032" t="s">
        <v>1042</v>
      </c>
      <c r="O905" s="1032">
        <v>2021.0</v>
      </c>
      <c r="P905" s="1032" t="s">
        <v>1039</v>
      </c>
      <c r="Q905" s="1033" t="s">
        <v>63</v>
      </c>
      <c r="R905" s="1034">
        <v>0.0</v>
      </c>
      <c r="S905" s="1034">
        <v>0.0</v>
      </c>
      <c r="T905" s="1035">
        <v>0.0</v>
      </c>
      <c r="AB905" s="1045"/>
      <c r="AF905" s="225"/>
    </row>
    <row r="906">
      <c r="A906" s="1013"/>
      <c r="B906" s="1019" t="s">
        <v>152</v>
      </c>
      <c r="C906" s="1020" t="s">
        <v>1035</v>
      </c>
      <c r="D906" s="1020" t="s">
        <v>1043</v>
      </c>
      <c r="E906" s="1020" t="s">
        <v>608</v>
      </c>
      <c r="F906" s="1020">
        <v>2021.0</v>
      </c>
      <c r="G906" s="1021">
        <v>7.44871E-4</v>
      </c>
      <c r="H906" s="1021">
        <v>4.57578E-4</v>
      </c>
      <c r="I906" s="1022">
        <v>0.001312502</v>
      </c>
      <c r="K906" s="1031" t="s">
        <v>146</v>
      </c>
      <c r="L906" s="1032" t="s">
        <v>660</v>
      </c>
      <c r="M906" s="1032" t="s">
        <v>1035</v>
      </c>
      <c r="N906" s="1032" t="s">
        <v>1044</v>
      </c>
      <c r="O906" s="1032">
        <v>2021.0</v>
      </c>
      <c r="P906" s="1032" t="s">
        <v>1039</v>
      </c>
      <c r="Q906" s="1033" t="s">
        <v>63</v>
      </c>
      <c r="R906" s="1034">
        <v>0.0</v>
      </c>
      <c r="S906" s="1034">
        <v>0.0</v>
      </c>
      <c r="T906" s="1035">
        <v>0.0</v>
      </c>
      <c r="AB906" s="1045"/>
      <c r="AF906" s="225"/>
    </row>
    <row r="907">
      <c r="A907" s="1013"/>
      <c r="B907" s="1019" t="s">
        <v>152</v>
      </c>
      <c r="C907" s="1020" t="s">
        <v>1035</v>
      </c>
      <c r="D907" s="1020" t="s">
        <v>1045</v>
      </c>
      <c r="E907" s="1020" t="s">
        <v>608</v>
      </c>
      <c r="F907" s="1020">
        <v>2021.0</v>
      </c>
      <c r="G907" s="1021">
        <v>0.004512629</v>
      </c>
      <c r="H907" s="1021">
        <v>0.002760527</v>
      </c>
      <c r="I907" s="1022">
        <v>0.007359472</v>
      </c>
      <c r="K907" s="1031" t="s">
        <v>146</v>
      </c>
      <c r="L907" s="1032" t="s">
        <v>660</v>
      </c>
      <c r="M907" s="1032" t="s">
        <v>1035</v>
      </c>
      <c r="N907" s="1032" t="s">
        <v>1046</v>
      </c>
      <c r="O907" s="1032">
        <v>2021.0</v>
      </c>
      <c r="P907" s="1032" t="s">
        <v>1039</v>
      </c>
      <c r="Q907" s="1033" t="s">
        <v>63</v>
      </c>
      <c r="R907" s="1034">
        <v>18.58617067</v>
      </c>
      <c r="S907" s="1034">
        <v>8.109575126</v>
      </c>
      <c r="T907" s="1035">
        <v>35.18977836</v>
      </c>
      <c r="AB907" s="1045"/>
      <c r="AF907" s="225"/>
    </row>
    <row r="908">
      <c r="A908" s="1013"/>
      <c r="B908" s="1019" t="s">
        <v>153</v>
      </c>
      <c r="C908" s="1020" t="s">
        <v>1035</v>
      </c>
      <c r="D908" s="1020" t="s">
        <v>1036</v>
      </c>
      <c r="E908" s="1020" t="s">
        <v>608</v>
      </c>
      <c r="F908" s="1020">
        <v>2021.0</v>
      </c>
      <c r="G908" s="1021">
        <v>0.001933221</v>
      </c>
      <c r="H908" s="1021">
        <v>0.001115043</v>
      </c>
      <c r="I908" s="1022">
        <v>0.004283273</v>
      </c>
      <c r="K908" s="1031" t="s">
        <v>146</v>
      </c>
      <c r="L908" s="1032" t="s">
        <v>660</v>
      </c>
      <c r="M908" s="1032" t="s">
        <v>1035</v>
      </c>
      <c r="N908" s="1032" t="s">
        <v>1045</v>
      </c>
      <c r="O908" s="1032">
        <v>2021.0</v>
      </c>
      <c r="P908" s="1032" t="s">
        <v>1039</v>
      </c>
      <c r="Q908" s="1033" t="s">
        <v>63</v>
      </c>
      <c r="R908" s="1034">
        <v>63.24989724</v>
      </c>
      <c r="S908" s="1034">
        <v>27.90136831</v>
      </c>
      <c r="T908" s="1035">
        <v>115.6542605</v>
      </c>
      <c r="AB908" s="1045"/>
      <c r="AF908" s="225"/>
    </row>
    <row r="909">
      <c r="A909" s="1013"/>
      <c r="B909" s="1019" t="s">
        <v>153</v>
      </c>
      <c r="C909" s="1020" t="s">
        <v>1035</v>
      </c>
      <c r="D909" s="1020" t="s">
        <v>1041</v>
      </c>
      <c r="E909" s="1020" t="s">
        <v>608</v>
      </c>
      <c r="F909" s="1020">
        <v>2021.0</v>
      </c>
      <c r="G909" s="1021">
        <v>0.004682851</v>
      </c>
      <c r="H909" s="1021">
        <v>0.002795324</v>
      </c>
      <c r="I909" s="1022">
        <v>0.010645587</v>
      </c>
      <c r="K909" s="1031" t="s">
        <v>147</v>
      </c>
      <c r="L909" s="1032" t="s">
        <v>660</v>
      </c>
      <c r="M909" s="1032" t="s">
        <v>1035</v>
      </c>
      <c r="N909" s="1032" t="s">
        <v>1038</v>
      </c>
      <c r="O909" s="1032">
        <v>2021.0</v>
      </c>
      <c r="P909" s="1032" t="s">
        <v>1039</v>
      </c>
      <c r="Q909" s="1033" t="s">
        <v>63</v>
      </c>
      <c r="R909" s="1034">
        <v>13.61827802</v>
      </c>
      <c r="S909" s="1034">
        <v>5.376209146</v>
      </c>
      <c r="T909" s="1035">
        <v>25.49348239</v>
      </c>
      <c r="AB909" s="1045"/>
      <c r="AF909" s="225"/>
    </row>
    <row r="910">
      <c r="A910" s="1013"/>
      <c r="B910" s="1019" t="s">
        <v>153</v>
      </c>
      <c r="C910" s="1020" t="s">
        <v>1035</v>
      </c>
      <c r="D910" s="1020" t="s">
        <v>1043</v>
      </c>
      <c r="E910" s="1020" t="s">
        <v>608</v>
      </c>
      <c r="F910" s="1020">
        <v>2021.0</v>
      </c>
      <c r="G910" s="1021">
        <v>6.78181E-4</v>
      </c>
      <c r="H910" s="1021">
        <v>4.21921E-4</v>
      </c>
      <c r="I910" s="1022">
        <v>0.001416309</v>
      </c>
      <c r="K910" s="1031" t="s">
        <v>147</v>
      </c>
      <c r="L910" s="1032" t="s">
        <v>660</v>
      </c>
      <c r="M910" s="1032" t="s">
        <v>1035</v>
      </c>
      <c r="N910" s="1032" t="s">
        <v>1042</v>
      </c>
      <c r="O910" s="1032">
        <v>2021.0</v>
      </c>
      <c r="P910" s="1032" t="s">
        <v>1039</v>
      </c>
      <c r="Q910" s="1033" t="s">
        <v>63</v>
      </c>
      <c r="R910" s="1034">
        <v>0.0</v>
      </c>
      <c r="S910" s="1034">
        <v>0.0</v>
      </c>
      <c r="T910" s="1035">
        <v>0.0</v>
      </c>
      <c r="AB910" s="1045"/>
      <c r="AF910" s="225"/>
    </row>
    <row r="911">
      <c r="A911" s="1013"/>
      <c r="B911" s="1019" t="s">
        <v>153</v>
      </c>
      <c r="C911" s="1020" t="s">
        <v>1035</v>
      </c>
      <c r="D911" s="1020" t="s">
        <v>1045</v>
      </c>
      <c r="E911" s="1020" t="s">
        <v>608</v>
      </c>
      <c r="F911" s="1020">
        <v>2021.0</v>
      </c>
      <c r="G911" s="1021">
        <v>0.003392061</v>
      </c>
      <c r="H911" s="1021">
        <v>0.002070711</v>
      </c>
      <c r="I911" s="1022">
        <v>0.005399568</v>
      </c>
      <c r="K911" s="1031" t="s">
        <v>147</v>
      </c>
      <c r="L911" s="1032" t="s">
        <v>660</v>
      </c>
      <c r="M911" s="1032" t="s">
        <v>1035</v>
      </c>
      <c r="N911" s="1032" t="s">
        <v>1044</v>
      </c>
      <c r="O911" s="1032">
        <v>2021.0</v>
      </c>
      <c r="P911" s="1032" t="s">
        <v>1039</v>
      </c>
      <c r="Q911" s="1033" t="s">
        <v>63</v>
      </c>
      <c r="R911" s="1034">
        <v>0.0</v>
      </c>
      <c r="S911" s="1034">
        <v>0.0</v>
      </c>
      <c r="T911" s="1035">
        <v>0.0</v>
      </c>
      <c r="AB911" s="1045"/>
      <c r="AF911" s="225"/>
    </row>
    <row r="912">
      <c r="A912" s="1013"/>
      <c r="B912" s="1019" t="s">
        <v>122</v>
      </c>
      <c r="C912" s="1020" t="s">
        <v>1035</v>
      </c>
      <c r="D912" s="1020" t="s">
        <v>1036</v>
      </c>
      <c r="E912" s="1020" t="s">
        <v>608</v>
      </c>
      <c r="F912" s="1020">
        <v>2021.0</v>
      </c>
      <c r="G912" s="1021">
        <v>0.002407406</v>
      </c>
      <c r="H912" s="1021">
        <v>0.001395887</v>
      </c>
      <c r="I912" s="1022">
        <v>0.005098932</v>
      </c>
      <c r="K912" s="1031" t="s">
        <v>147</v>
      </c>
      <c r="L912" s="1032" t="s">
        <v>660</v>
      </c>
      <c r="M912" s="1032" t="s">
        <v>1035</v>
      </c>
      <c r="N912" s="1032" t="s">
        <v>1046</v>
      </c>
      <c r="O912" s="1032">
        <v>2021.0</v>
      </c>
      <c r="P912" s="1032" t="s">
        <v>1039</v>
      </c>
      <c r="Q912" s="1033" t="s">
        <v>63</v>
      </c>
      <c r="R912" s="1034">
        <v>3.664630471</v>
      </c>
      <c r="S912" s="1034">
        <v>1.347620979</v>
      </c>
      <c r="T912" s="1035">
        <v>7.093750804</v>
      </c>
      <c r="AB912" s="1045"/>
      <c r="AF912" s="225"/>
    </row>
    <row r="913">
      <c r="A913" s="1013"/>
      <c r="B913" s="1019" t="s">
        <v>122</v>
      </c>
      <c r="C913" s="1020" t="s">
        <v>1035</v>
      </c>
      <c r="D913" s="1020" t="s">
        <v>1041</v>
      </c>
      <c r="E913" s="1020" t="s">
        <v>608</v>
      </c>
      <c r="F913" s="1020">
        <v>2021.0</v>
      </c>
      <c r="G913" s="1021">
        <v>0.006685653</v>
      </c>
      <c r="H913" s="1021">
        <v>0.004132747</v>
      </c>
      <c r="I913" s="1022">
        <v>0.014185956</v>
      </c>
      <c r="K913" s="1031" t="s">
        <v>147</v>
      </c>
      <c r="L913" s="1032" t="s">
        <v>660</v>
      </c>
      <c r="M913" s="1032" t="s">
        <v>1035</v>
      </c>
      <c r="N913" s="1032" t="s">
        <v>1045</v>
      </c>
      <c r="O913" s="1032">
        <v>2021.0</v>
      </c>
      <c r="P913" s="1032" t="s">
        <v>1039</v>
      </c>
      <c r="Q913" s="1033" t="s">
        <v>63</v>
      </c>
      <c r="R913" s="1034">
        <v>17.2829085</v>
      </c>
      <c r="S913" s="1034">
        <v>6.764051303</v>
      </c>
      <c r="T913" s="1035">
        <v>32.52705062</v>
      </c>
      <c r="AB913" s="1045"/>
      <c r="AF913" s="225"/>
    </row>
    <row r="914">
      <c r="A914" s="1013"/>
      <c r="B914" s="1019" t="s">
        <v>122</v>
      </c>
      <c r="C914" s="1020" t="s">
        <v>1035</v>
      </c>
      <c r="D914" s="1020" t="s">
        <v>1043</v>
      </c>
      <c r="E914" s="1020" t="s">
        <v>608</v>
      </c>
      <c r="F914" s="1020">
        <v>2021.0</v>
      </c>
      <c r="G914" s="1021">
        <v>0.001216374</v>
      </c>
      <c r="H914" s="1021">
        <v>7.49442E-4</v>
      </c>
      <c r="I914" s="1022">
        <v>0.00232772</v>
      </c>
      <c r="K914" s="1031" t="s">
        <v>148</v>
      </c>
      <c r="L914" s="1032" t="s">
        <v>660</v>
      </c>
      <c r="M914" s="1032" t="s">
        <v>1035</v>
      </c>
      <c r="N914" s="1032" t="s">
        <v>1038</v>
      </c>
      <c r="O914" s="1032">
        <v>2021.0</v>
      </c>
      <c r="P914" s="1032" t="s">
        <v>1039</v>
      </c>
      <c r="Q914" s="1033" t="s">
        <v>63</v>
      </c>
      <c r="R914" s="1034">
        <v>8.215923849</v>
      </c>
      <c r="S914" s="1034">
        <v>3.02751558</v>
      </c>
      <c r="T914" s="1035">
        <v>15.97970474</v>
      </c>
      <c r="AB914" s="1045"/>
      <c r="AF914" s="225"/>
    </row>
    <row r="915">
      <c r="A915" s="1013"/>
      <c r="B915" s="1019" t="s">
        <v>122</v>
      </c>
      <c r="C915" s="1020" t="s">
        <v>1035</v>
      </c>
      <c r="D915" s="1020" t="s">
        <v>1045</v>
      </c>
      <c r="E915" s="1020" t="s">
        <v>608</v>
      </c>
      <c r="F915" s="1020">
        <v>2021.0</v>
      </c>
      <c r="G915" s="1021">
        <v>0.009255404</v>
      </c>
      <c r="H915" s="1021">
        <v>0.006387743</v>
      </c>
      <c r="I915" s="1022">
        <v>0.01418953</v>
      </c>
      <c r="K915" s="1031" t="s">
        <v>148</v>
      </c>
      <c r="L915" s="1032" t="s">
        <v>660</v>
      </c>
      <c r="M915" s="1032" t="s">
        <v>1035</v>
      </c>
      <c r="N915" s="1032" t="s">
        <v>1042</v>
      </c>
      <c r="O915" s="1032">
        <v>2021.0</v>
      </c>
      <c r="P915" s="1032" t="s">
        <v>1039</v>
      </c>
      <c r="Q915" s="1033" t="s">
        <v>63</v>
      </c>
      <c r="R915" s="1034">
        <v>0.0</v>
      </c>
      <c r="S915" s="1034">
        <v>0.0</v>
      </c>
      <c r="T915" s="1035">
        <v>0.0</v>
      </c>
      <c r="AB915" s="1045"/>
      <c r="AF915" s="225"/>
    </row>
    <row r="916">
      <c r="A916" s="1013"/>
      <c r="B916" s="1019" t="s">
        <v>123</v>
      </c>
      <c r="C916" s="1020" t="s">
        <v>1035</v>
      </c>
      <c r="D916" s="1020" t="s">
        <v>1036</v>
      </c>
      <c r="E916" s="1020" t="s">
        <v>552</v>
      </c>
      <c r="F916" s="1020">
        <v>2021.0</v>
      </c>
      <c r="G916" s="1021">
        <v>1.07E-5</v>
      </c>
      <c r="H916" s="1021">
        <v>1.65E-7</v>
      </c>
      <c r="I916" s="1022">
        <v>6.01E-5</v>
      </c>
      <c r="K916" s="1031" t="s">
        <v>148</v>
      </c>
      <c r="L916" s="1032" t="s">
        <v>660</v>
      </c>
      <c r="M916" s="1032" t="s">
        <v>1035</v>
      </c>
      <c r="N916" s="1032" t="s">
        <v>1044</v>
      </c>
      <c r="O916" s="1032">
        <v>2021.0</v>
      </c>
      <c r="P916" s="1032" t="s">
        <v>1039</v>
      </c>
      <c r="Q916" s="1033" t="s">
        <v>63</v>
      </c>
      <c r="R916" s="1034">
        <v>0.0</v>
      </c>
      <c r="S916" s="1034">
        <v>0.0</v>
      </c>
      <c r="T916" s="1035">
        <v>0.0</v>
      </c>
      <c r="AB916" s="1045"/>
      <c r="AF916" s="225"/>
    </row>
    <row r="917">
      <c r="A917" s="1013"/>
      <c r="B917" s="1019" t="s">
        <v>123</v>
      </c>
      <c r="C917" s="1020" t="s">
        <v>1035</v>
      </c>
      <c r="D917" s="1020" t="s">
        <v>1041</v>
      </c>
      <c r="E917" s="1020" t="s">
        <v>552</v>
      </c>
      <c r="F917" s="1020">
        <v>2021.0</v>
      </c>
      <c r="G917" s="1021">
        <v>7.78E-6</v>
      </c>
      <c r="H917" s="1021">
        <v>1.62E-7</v>
      </c>
      <c r="I917" s="1022">
        <v>4.32E-5</v>
      </c>
      <c r="K917" s="1031" t="s">
        <v>148</v>
      </c>
      <c r="L917" s="1032" t="s">
        <v>660</v>
      </c>
      <c r="M917" s="1032" t="s">
        <v>1035</v>
      </c>
      <c r="N917" s="1032" t="s">
        <v>1046</v>
      </c>
      <c r="O917" s="1032">
        <v>2021.0</v>
      </c>
      <c r="P917" s="1032" t="s">
        <v>1039</v>
      </c>
      <c r="Q917" s="1033" t="s">
        <v>63</v>
      </c>
      <c r="R917" s="1034">
        <v>3.407159141</v>
      </c>
      <c r="S917" s="1034">
        <v>1.165703515</v>
      </c>
      <c r="T917" s="1035">
        <v>6.870510468</v>
      </c>
      <c r="AB917" s="1045"/>
      <c r="AF917" s="225"/>
    </row>
    <row r="918">
      <c r="A918" s="1013"/>
      <c r="B918" s="1019" t="s">
        <v>123</v>
      </c>
      <c r="C918" s="1020" t="s">
        <v>1035</v>
      </c>
      <c r="D918" s="1020" t="s">
        <v>1043</v>
      </c>
      <c r="E918" s="1020" t="s">
        <v>552</v>
      </c>
      <c r="F918" s="1020">
        <v>2021.0</v>
      </c>
      <c r="G918" s="1021">
        <v>5.06E-5</v>
      </c>
      <c r="H918" s="1021">
        <v>1.12E-6</v>
      </c>
      <c r="I918" s="1022">
        <v>2.7735E-4</v>
      </c>
      <c r="K918" s="1031" t="s">
        <v>148</v>
      </c>
      <c r="L918" s="1032" t="s">
        <v>660</v>
      </c>
      <c r="M918" s="1032" t="s">
        <v>1035</v>
      </c>
      <c r="N918" s="1032" t="s">
        <v>1045</v>
      </c>
      <c r="O918" s="1032">
        <v>2021.0</v>
      </c>
      <c r="P918" s="1032" t="s">
        <v>1039</v>
      </c>
      <c r="Q918" s="1033" t="s">
        <v>63</v>
      </c>
      <c r="R918" s="1034">
        <v>11.62308299</v>
      </c>
      <c r="S918" s="1034">
        <v>4.261897639</v>
      </c>
      <c r="T918" s="1035">
        <v>22.54047991</v>
      </c>
      <c r="AB918" s="1045"/>
      <c r="AF918" s="225"/>
    </row>
    <row r="919">
      <c r="A919" s="1013"/>
      <c r="B919" s="1019" t="s">
        <v>123</v>
      </c>
      <c r="C919" s="1020" t="s">
        <v>1035</v>
      </c>
      <c r="D919" s="1020" t="s">
        <v>1045</v>
      </c>
      <c r="E919" s="1020" t="s">
        <v>552</v>
      </c>
      <c r="F919" s="1020">
        <v>2021.0</v>
      </c>
      <c r="G919" s="1021">
        <v>3.28459E-4</v>
      </c>
      <c r="H919" s="1021">
        <v>8.15E-6</v>
      </c>
      <c r="I919" s="1022">
        <v>0.001551752</v>
      </c>
      <c r="K919" s="1031" t="s">
        <v>149</v>
      </c>
      <c r="L919" s="1032" t="s">
        <v>660</v>
      </c>
      <c r="M919" s="1032" t="s">
        <v>1035</v>
      </c>
      <c r="N919" s="1032" t="s">
        <v>1038</v>
      </c>
      <c r="O919" s="1032">
        <v>2021.0</v>
      </c>
      <c r="P919" s="1032" t="s">
        <v>1039</v>
      </c>
      <c r="Q919" s="1033" t="s">
        <v>63</v>
      </c>
      <c r="R919" s="1034">
        <v>19.79908428</v>
      </c>
      <c r="S919" s="1034">
        <v>8.08611971</v>
      </c>
      <c r="T919" s="1035">
        <v>37.04101778</v>
      </c>
      <c r="AB919" s="1045"/>
      <c r="AF919" s="225"/>
    </row>
    <row r="920">
      <c r="A920" s="1013"/>
      <c r="B920" s="1019" t="s">
        <v>124</v>
      </c>
      <c r="C920" s="1020" t="s">
        <v>1035</v>
      </c>
      <c r="D920" s="1020" t="s">
        <v>1036</v>
      </c>
      <c r="E920" s="1020" t="s">
        <v>552</v>
      </c>
      <c r="F920" s="1020">
        <v>2021.0</v>
      </c>
      <c r="G920" s="1021">
        <v>2.92E-5</v>
      </c>
      <c r="H920" s="1021">
        <v>5.29E-7</v>
      </c>
      <c r="I920" s="1022">
        <v>1.61472E-4</v>
      </c>
      <c r="K920" s="1031" t="s">
        <v>149</v>
      </c>
      <c r="L920" s="1032" t="s">
        <v>660</v>
      </c>
      <c r="M920" s="1032" t="s">
        <v>1035</v>
      </c>
      <c r="N920" s="1032" t="s">
        <v>1042</v>
      </c>
      <c r="O920" s="1032">
        <v>2021.0</v>
      </c>
      <c r="P920" s="1032" t="s">
        <v>1039</v>
      </c>
      <c r="Q920" s="1033" t="s">
        <v>63</v>
      </c>
      <c r="R920" s="1034">
        <v>0.0</v>
      </c>
      <c r="S920" s="1034">
        <v>0.0</v>
      </c>
      <c r="T920" s="1035">
        <v>0.0</v>
      </c>
      <c r="AB920" s="1045"/>
      <c r="AF920" s="225"/>
    </row>
    <row r="921">
      <c r="A921" s="1013"/>
      <c r="B921" s="1019" t="s">
        <v>124</v>
      </c>
      <c r="C921" s="1020" t="s">
        <v>1035</v>
      </c>
      <c r="D921" s="1020" t="s">
        <v>1041</v>
      </c>
      <c r="E921" s="1020" t="s">
        <v>552</v>
      </c>
      <c r="F921" s="1020">
        <v>2021.0</v>
      </c>
      <c r="G921" s="1021">
        <v>2.21E-5</v>
      </c>
      <c r="H921" s="1021">
        <v>4.77E-7</v>
      </c>
      <c r="I921" s="1022">
        <v>1.23293E-4</v>
      </c>
      <c r="K921" s="1031" t="s">
        <v>149</v>
      </c>
      <c r="L921" s="1032" t="s">
        <v>660</v>
      </c>
      <c r="M921" s="1032" t="s">
        <v>1035</v>
      </c>
      <c r="N921" s="1032" t="s">
        <v>1044</v>
      </c>
      <c r="O921" s="1032">
        <v>2021.0</v>
      </c>
      <c r="P921" s="1032" t="s">
        <v>1039</v>
      </c>
      <c r="Q921" s="1033" t="s">
        <v>63</v>
      </c>
      <c r="R921" s="1034">
        <v>0.0</v>
      </c>
      <c r="S921" s="1034">
        <v>0.0</v>
      </c>
      <c r="T921" s="1035">
        <v>0.0</v>
      </c>
      <c r="AB921" s="1045"/>
      <c r="AF921" s="225"/>
    </row>
    <row r="922">
      <c r="A922" s="1013"/>
      <c r="B922" s="1019" t="s">
        <v>124</v>
      </c>
      <c r="C922" s="1020" t="s">
        <v>1035</v>
      </c>
      <c r="D922" s="1020" t="s">
        <v>1043</v>
      </c>
      <c r="E922" s="1020" t="s">
        <v>552</v>
      </c>
      <c r="F922" s="1020">
        <v>2021.0</v>
      </c>
      <c r="G922" s="1021">
        <v>1.28866E-4</v>
      </c>
      <c r="H922" s="1021">
        <v>2.27E-6</v>
      </c>
      <c r="I922" s="1022">
        <v>6.60902E-4</v>
      </c>
      <c r="K922" s="1031" t="s">
        <v>149</v>
      </c>
      <c r="L922" s="1032" t="s">
        <v>660</v>
      </c>
      <c r="M922" s="1032" t="s">
        <v>1035</v>
      </c>
      <c r="N922" s="1032" t="s">
        <v>1046</v>
      </c>
      <c r="O922" s="1032">
        <v>2021.0</v>
      </c>
      <c r="P922" s="1032" t="s">
        <v>1039</v>
      </c>
      <c r="Q922" s="1033" t="s">
        <v>63</v>
      </c>
      <c r="R922" s="1034">
        <v>7.295412577</v>
      </c>
      <c r="S922" s="1034">
        <v>2.89200918</v>
      </c>
      <c r="T922" s="1035">
        <v>14.08328211</v>
      </c>
      <c r="AB922" s="1045"/>
      <c r="AF922" s="225"/>
    </row>
    <row r="923">
      <c r="A923" s="1013"/>
      <c r="B923" s="1019" t="s">
        <v>124</v>
      </c>
      <c r="C923" s="1020" t="s">
        <v>1035</v>
      </c>
      <c r="D923" s="1020" t="s">
        <v>1045</v>
      </c>
      <c r="E923" s="1020" t="s">
        <v>552</v>
      </c>
      <c r="F923" s="1020">
        <v>2021.0</v>
      </c>
      <c r="G923" s="1021">
        <v>0.001064752</v>
      </c>
      <c r="H923" s="1021">
        <v>4.19E-5</v>
      </c>
      <c r="I923" s="1022">
        <v>0.004988349</v>
      </c>
      <c r="K923" s="1031" t="s">
        <v>149</v>
      </c>
      <c r="L923" s="1032" t="s">
        <v>660</v>
      </c>
      <c r="M923" s="1032" t="s">
        <v>1035</v>
      </c>
      <c r="N923" s="1032" t="s">
        <v>1045</v>
      </c>
      <c r="O923" s="1032">
        <v>2021.0</v>
      </c>
      <c r="P923" s="1032" t="s">
        <v>1039</v>
      </c>
      <c r="Q923" s="1033" t="s">
        <v>63</v>
      </c>
      <c r="R923" s="1034">
        <v>27.09449686</v>
      </c>
      <c r="S923" s="1034">
        <v>10.96803512</v>
      </c>
      <c r="T923" s="1035">
        <v>50.9219819</v>
      </c>
      <c r="AB923" s="1045"/>
      <c r="AF923" s="225"/>
    </row>
    <row r="924">
      <c r="A924" s="1013"/>
      <c r="B924" s="1019" t="s">
        <v>125</v>
      </c>
      <c r="C924" s="1020" t="s">
        <v>1035</v>
      </c>
      <c r="D924" s="1020" t="s">
        <v>1036</v>
      </c>
      <c r="E924" s="1020" t="s">
        <v>552</v>
      </c>
      <c r="F924" s="1020">
        <v>2021.0</v>
      </c>
      <c r="G924" s="1021">
        <v>1.4E-5</v>
      </c>
      <c r="H924" s="1021">
        <v>2.64E-7</v>
      </c>
      <c r="I924" s="1022">
        <v>7.21E-5</v>
      </c>
      <c r="K924" s="1031" t="s">
        <v>150</v>
      </c>
      <c r="L924" s="1032" t="s">
        <v>660</v>
      </c>
      <c r="M924" s="1032" t="s">
        <v>1035</v>
      </c>
      <c r="N924" s="1032" t="s">
        <v>1038</v>
      </c>
      <c r="O924" s="1032">
        <v>2021.0</v>
      </c>
      <c r="P924" s="1032" t="s">
        <v>1039</v>
      </c>
      <c r="Q924" s="1033" t="s">
        <v>63</v>
      </c>
      <c r="R924" s="1034">
        <v>60.02247951</v>
      </c>
      <c r="S924" s="1034">
        <v>23.37111245</v>
      </c>
      <c r="T924" s="1035">
        <v>113.2885715</v>
      </c>
      <c r="AB924" s="1045"/>
      <c r="AF924" s="225"/>
    </row>
    <row r="925">
      <c r="A925" s="1013"/>
      <c r="B925" s="1019" t="s">
        <v>125</v>
      </c>
      <c r="C925" s="1020" t="s">
        <v>1035</v>
      </c>
      <c r="D925" s="1020" t="s">
        <v>1041</v>
      </c>
      <c r="E925" s="1020" t="s">
        <v>552</v>
      </c>
      <c r="F925" s="1020">
        <v>2021.0</v>
      </c>
      <c r="G925" s="1021">
        <v>9.84E-6</v>
      </c>
      <c r="H925" s="1021">
        <v>2.38E-7</v>
      </c>
      <c r="I925" s="1022">
        <v>5.17E-5</v>
      </c>
      <c r="K925" s="1031" t="s">
        <v>150</v>
      </c>
      <c r="L925" s="1032" t="s">
        <v>660</v>
      </c>
      <c r="M925" s="1032" t="s">
        <v>1035</v>
      </c>
      <c r="N925" s="1032" t="s">
        <v>1042</v>
      </c>
      <c r="O925" s="1032">
        <v>2021.0</v>
      </c>
      <c r="P925" s="1032" t="s">
        <v>1039</v>
      </c>
      <c r="Q925" s="1033" t="s">
        <v>63</v>
      </c>
      <c r="R925" s="1034">
        <v>0.0</v>
      </c>
      <c r="S925" s="1034">
        <v>0.0</v>
      </c>
      <c r="T925" s="1035">
        <v>0.0</v>
      </c>
      <c r="AB925" s="1045"/>
      <c r="AF925" s="225"/>
    </row>
    <row r="926">
      <c r="A926" s="1013"/>
      <c r="B926" s="1019" t="s">
        <v>125</v>
      </c>
      <c r="C926" s="1020" t="s">
        <v>1035</v>
      </c>
      <c r="D926" s="1020" t="s">
        <v>1043</v>
      </c>
      <c r="E926" s="1020" t="s">
        <v>552</v>
      </c>
      <c r="F926" s="1020">
        <v>2021.0</v>
      </c>
      <c r="G926" s="1021">
        <v>5.64E-5</v>
      </c>
      <c r="H926" s="1021">
        <v>1.72E-6</v>
      </c>
      <c r="I926" s="1022">
        <v>2.79485E-4</v>
      </c>
      <c r="K926" s="1031" t="s">
        <v>150</v>
      </c>
      <c r="L926" s="1032" t="s">
        <v>660</v>
      </c>
      <c r="M926" s="1032" t="s">
        <v>1035</v>
      </c>
      <c r="N926" s="1032" t="s">
        <v>1044</v>
      </c>
      <c r="O926" s="1032">
        <v>2021.0</v>
      </c>
      <c r="P926" s="1032" t="s">
        <v>1039</v>
      </c>
      <c r="Q926" s="1033" t="s">
        <v>63</v>
      </c>
      <c r="R926" s="1034">
        <v>0.0</v>
      </c>
      <c r="S926" s="1034">
        <v>0.0</v>
      </c>
      <c r="T926" s="1035">
        <v>0.0</v>
      </c>
      <c r="AB926" s="1045"/>
      <c r="AF926" s="225"/>
    </row>
    <row r="927">
      <c r="A927" s="1013"/>
      <c r="B927" s="1019" t="s">
        <v>125</v>
      </c>
      <c r="C927" s="1020" t="s">
        <v>1035</v>
      </c>
      <c r="D927" s="1020" t="s">
        <v>1045</v>
      </c>
      <c r="E927" s="1020" t="s">
        <v>552</v>
      </c>
      <c r="F927" s="1020">
        <v>2021.0</v>
      </c>
      <c r="G927" s="1021">
        <v>3.57013E-4</v>
      </c>
      <c r="H927" s="1021">
        <v>1.35E-5</v>
      </c>
      <c r="I927" s="1022">
        <v>0.001677756</v>
      </c>
      <c r="K927" s="1031" t="s">
        <v>150</v>
      </c>
      <c r="L927" s="1032" t="s">
        <v>660</v>
      </c>
      <c r="M927" s="1032" t="s">
        <v>1035</v>
      </c>
      <c r="N927" s="1032" t="s">
        <v>1046</v>
      </c>
      <c r="O927" s="1032">
        <v>2021.0</v>
      </c>
      <c r="P927" s="1032" t="s">
        <v>1039</v>
      </c>
      <c r="Q927" s="1033" t="s">
        <v>63</v>
      </c>
      <c r="R927" s="1034">
        <v>29.76393726</v>
      </c>
      <c r="S927" s="1034">
        <v>11.82587733</v>
      </c>
      <c r="T927" s="1035">
        <v>55.14470072</v>
      </c>
      <c r="AB927" s="1045"/>
      <c r="AF927" s="225"/>
    </row>
    <row r="928">
      <c r="A928" s="1013"/>
      <c r="B928" s="1019" t="s">
        <v>126</v>
      </c>
      <c r="C928" s="1020" t="s">
        <v>1035</v>
      </c>
      <c r="D928" s="1020" t="s">
        <v>1036</v>
      </c>
      <c r="E928" s="1020" t="s">
        <v>552</v>
      </c>
      <c r="F928" s="1020">
        <v>2021.0</v>
      </c>
      <c r="G928" s="1021">
        <v>2.08E-5</v>
      </c>
      <c r="H928" s="1021">
        <v>7.58E-7</v>
      </c>
      <c r="I928" s="1022">
        <v>9.74E-5</v>
      </c>
      <c r="K928" s="1031" t="s">
        <v>150</v>
      </c>
      <c r="L928" s="1032" t="s">
        <v>660</v>
      </c>
      <c r="M928" s="1032" t="s">
        <v>1035</v>
      </c>
      <c r="N928" s="1032" t="s">
        <v>1045</v>
      </c>
      <c r="O928" s="1032">
        <v>2021.0</v>
      </c>
      <c r="P928" s="1032" t="s">
        <v>1039</v>
      </c>
      <c r="Q928" s="1033" t="s">
        <v>63</v>
      </c>
      <c r="R928" s="1034">
        <v>89.78641677</v>
      </c>
      <c r="S928" s="1034">
        <v>36.39380073</v>
      </c>
      <c r="T928" s="1035">
        <v>168.9378462</v>
      </c>
      <c r="AB928" s="1045"/>
      <c r="AF928" s="225"/>
    </row>
    <row r="929">
      <c r="A929" s="1013"/>
      <c r="B929" s="1019" t="s">
        <v>126</v>
      </c>
      <c r="C929" s="1020" t="s">
        <v>1035</v>
      </c>
      <c r="D929" s="1020" t="s">
        <v>1041</v>
      </c>
      <c r="E929" s="1020" t="s">
        <v>552</v>
      </c>
      <c r="F929" s="1020">
        <v>2021.0</v>
      </c>
      <c r="G929" s="1021">
        <v>1.33E-5</v>
      </c>
      <c r="H929" s="1021">
        <v>5.06E-7</v>
      </c>
      <c r="I929" s="1022">
        <v>6.08E-5</v>
      </c>
      <c r="K929" s="1031" t="s">
        <v>151</v>
      </c>
      <c r="L929" s="1032" t="s">
        <v>660</v>
      </c>
      <c r="M929" s="1032" t="s">
        <v>1035</v>
      </c>
      <c r="N929" s="1032" t="s">
        <v>1038</v>
      </c>
      <c r="O929" s="1032">
        <v>2021.0</v>
      </c>
      <c r="P929" s="1032" t="s">
        <v>1039</v>
      </c>
      <c r="Q929" s="1033" t="s">
        <v>63</v>
      </c>
      <c r="R929" s="1034">
        <v>11.87107952</v>
      </c>
      <c r="S929" s="1034">
        <v>4.308137772</v>
      </c>
      <c r="T929" s="1035">
        <v>23.95014229</v>
      </c>
      <c r="AB929" s="1045"/>
      <c r="AF929" s="225"/>
    </row>
    <row r="930">
      <c r="A930" s="1013"/>
      <c r="B930" s="1019" t="s">
        <v>126</v>
      </c>
      <c r="C930" s="1020" t="s">
        <v>1035</v>
      </c>
      <c r="D930" s="1020" t="s">
        <v>1043</v>
      </c>
      <c r="E930" s="1020" t="s">
        <v>552</v>
      </c>
      <c r="F930" s="1020">
        <v>2021.0</v>
      </c>
      <c r="G930" s="1021">
        <v>9.33E-5</v>
      </c>
      <c r="H930" s="1021">
        <v>3.36E-6</v>
      </c>
      <c r="I930" s="1022">
        <v>4.03029E-4</v>
      </c>
      <c r="K930" s="1031" t="s">
        <v>151</v>
      </c>
      <c r="L930" s="1032" t="s">
        <v>660</v>
      </c>
      <c r="M930" s="1032" t="s">
        <v>1035</v>
      </c>
      <c r="N930" s="1032" t="s">
        <v>1042</v>
      </c>
      <c r="O930" s="1032">
        <v>2021.0</v>
      </c>
      <c r="P930" s="1032" t="s">
        <v>1039</v>
      </c>
      <c r="Q930" s="1033" t="s">
        <v>63</v>
      </c>
      <c r="R930" s="1034">
        <v>0.0</v>
      </c>
      <c r="S930" s="1034">
        <v>0.0</v>
      </c>
      <c r="T930" s="1035">
        <v>0.0</v>
      </c>
      <c r="AB930" s="1045"/>
      <c r="AF930" s="225"/>
    </row>
    <row r="931">
      <c r="A931" s="1013"/>
      <c r="B931" s="1019" t="s">
        <v>126</v>
      </c>
      <c r="C931" s="1020" t="s">
        <v>1035</v>
      </c>
      <c r="D931" s="1020" t="s">
        <v>1045</v>
      </c>
      <c r="E931" s="1020" t="s">
        <v>552</v>
      </c>
      <c r="F931" s="1020">
        <v>2021.0</v>
      </c>
      <c r="G931" s="1021">
        <v>4.76822E-4</v>
      </c>
      <c r="H931" s="1021">
        <v>1.6E-5</v>
      </c>
      <c r="I931" s="1022">
        <v>0.00211427</v>
      </c>
      <c r="K931" s="1031" t="s">
        <v>151</v>
      </c>
      <c r="L931" s="1032" t="s">
        <v>660</v>
      </c>
      <c r="M931" s="1032" t="s">
        <v>1035</v>
      </c>
      <c r="N931" s="1032" t="s">
        <v>1044</v>
      </c>
      <c r="O931" s="1032">
        <v>2021.0</v>
      </c>
      <c r="P931" s="1032" t="s">
        <v>1039</v>
      </c>
      <c r="Q931" s="1033" t="s">
        <v>63</v>
      </c>
      <c r="R931" s="1034">
        <v>0.0</v>
      </c>
      <c r="S931" s="1034">
        <v>0.0</v>
      </c>
      <c r="T931" s="1035">
        <v>0.0</v>
      </c>
      <c r="AB931" s="1045"/>
      <c r="AF931" s="225"/>
    </row>
    <row r="932">
      <c r="A932" s="1013"/>
      <c r="B932" s="1019" t="s">
        <v>114</v>
      </c>
      <c r="C932" s="1020" t="s">
        <v>1035</v>
      </c>
      <c r="D932" s="1020" t="s">
        <v>1036</v>
      </c>
      <c r="E932" s="1020" t="s">
        <v>552</v>
      </c>
      <c r="F932" s="1020">
        <v>2021.0</v>
      </c>
      <c r="G932" s="1021">
        <v>4.74E-5</v>
      </c>
      <c r="H932" s="1021">
        <v>1.01E-6</v>
      </c>
      <c r="I932" s="1022">
        <v>2.25138E-4</v>
      </c>
      <c r="K932" s="1031" t="s">
        <v>151</v>
      </c>
      <c r="L932" s="1032" t="s">
        <v>660</v>
      </c>
      <c r="M932" s="1032" t="s">
        <v>1035</v>
      </c>
      <c r="N932" s="1032" t="s">
        <v>1046</v>
      </c>
      <c r="O932" s="1032">
        <v>2021.0</v>
      </c>
      <c r="P932" s="1032" t="s">
        <v>1039</v>
      </c>
      <c r="Q932" s="1033" t="s">
        <v>63</v>
      </c>
      <c r="R932" s="1034">
        <v>4.950529953</v>
      </c>
      <c r="S932" s="1034">
        <v>1.868171081</v>
      </c>
      <c r="T932" s="1035">
        <v>9.819440885</v>
      </c>
      <c r="AB932" s="1045"/>
      <c r="AF932" s="225"/>
    </row>
    <row r="933">
      <c r="A933" s="1013"/>
      <c r="B933" s="1019" t="s">
        <v>114</v>
      </c>
      <c r="C933" s="1020" t="s">
        <v>1035</v>
      </c>
      <c r="D933" s="1020" t="s">
        <v>1041</v>
      </c>
      <c r="E933" s="1020" t="s">
        <v>552</v>
      </c>
      <c r="F933" s="1020">
        <v>2021.0</v>
      </c>
      <c r="G933" s="1021">
        <v>4.66E-5</v>
      </c>
      <c r="H933" s="1021">
        <v>9.79E-7</v>
      </c>
      <c r="I933" s="1022">
        <v>2.2059E-4</v>
      </c>
      <c r="K933" s="1031" t="s">
        <v>151</v>
      </c>
      <c r="L933" s="1032" t="s">
        <v>660</v>
      </c>
      <c r="M933" s="1032" t="s">
        <v>1035</v>
      </c>
      <c r="N933" s="1032" t="s">
        <v>1045</v>
      </c>
      <c r="O933" s="1032">
        <v>2021.0</v>
      </c>
      <c r="P933" s="1032" t="s">
        <v>1039</v>
      </c>
      <c r="Q933" s="1033" t="s">
        <v>63</v>
      </c>
      <c r="R933" s="1034">
        <v>16.82160947</v>
      </c>
      <c r="S933" s="1034">
        <v>6.106554132</v>
      </c>
      <c r="T933" s="1035">
        <v>33.4563693</v>
      </c>
      <c r="AB933" s="1045"/>
      <c r="AF933" s="225"/>
    </row>
    <row r="934">
      <c r="A934" s="1013"/>
      <c r="B934" s="1019" t="s">
        <v>114</v>
      </c>
      <c r="C934" s="1020" t="s">
        <v>1035</v>
      </c>
      <c r="D934" s="1020" t="s">
        <v>1043</v>
      </c>
      <c r="E934" s="1020" t="s">
        <v>552</v>
      </c>
      <c r="F934" s="1020">
        <v>2021.0</v>
      </c>
      <c r="G934" s="1021">
        <v>2.30744E-4</v>
      </c>
      <c r="H934" s="1021">
        <v>3.93E-6</v>
      </c>
      <c r="I934" s="1022">
        <v>0.001028367</v>
      </c>
      <c r="K934" s="1031" t="s">
        <v>121</v>
      </c>
      <c r="L934" s="1032" t="s">
        <v>660</v>
      </c>
      <c r="M934" s="1032" t="s">
        <v>1035</v>
      </c>
      <c r="N934" s="1032" t="s">
        <v>1038</v>
      </c>
      <c r="O934" s="1032">
        <v>2021.0</v>
      </c>
      <c r="P934" s="1032" t="s">
        <v>1039</v>
      </c>
      <c r="Q934" s="1033" t="s">
        <v>63</v>
      </c>
      <c r="R934" s="1034">
        <v>483.5080801</v>
      </c>
      <c r="S934" s="1034">
        <v>229.8524431</v>
      </c>
      <c r="T934" s="1035">
        <v>849.695612</v>
      </c>
      <c r="AB934" s="1045"/>
      <c r="AF934" s="225"/>
    </row>
    <row r="935">
      <c r="A935" s="1013"/>
      <c r="B935" s="1019" t="s">
        <v>114</v>
      </c>
      <c r="C935" s="1020" t="s">
        <v>1035</v>
      </c>
      <c r="D935" s="1020" t="s">
        <v>1045</v>
      </c>
      <c r="E935" s="1020" t="s">
        <v>552</v>
      </c>
      <c r="F935" s="1020">
        <v>2021.0</v>
      </c>
      <c r="G935" s="1021">
        <v>0.001926586</v>
      </c>
      <c r="H935" s="1021">
        <v>5.74E-5</v>
      </c>
      <c r="I935" s="1022">
        <v>0.008291138</v>
      </c>
      <c r="K935" s="1031" t="s">
        <v>121</v>
      </c>
      <c r="L935" s="1032" t="s">
        <v>660</v>
      </c>
      <c r="M935" s="1032" t="s">
        <v>1035</v>
      </c>
      <c r="N935" s="1032" t="s">
        <v>1042</v>
      </c>
      <c r="O935" s="1032">
        <v>2021.0</v>
      </c>
      <c r="P935" s="1032" t="s">
        <v>1039</v>
      </c>
      <c r="Q935" s="1033" t="s">
        <v>63</v>
      </c>
      <c r="R935" s="1034">
        <v>0.0</v>
      </c>
      <c r="S935" s="1034">
        <v>0.0</v>
      </c>
      <c r="T935" s="1035">
        <v>0.0</v>
      </c>
      <c r="AB935" s="1045"/>
      <c r="AF935" s="225"/>
    </row>
    <row r="936">
      <c r="A936" s="1013"/>
      <c r="B936" s="1019" t="s">
        <v>127</v>
      </c>
      <c r="C936" s="1020" t="s">
        <v>1035</v>
      </c>
      <c r="D936" s="1020" t="s">
        <v>1036</v>
      </c>
      <c r="E936" s="1020" t="s">
        <v>552</v>
      </c>
      <c r="F936" s="1020">
        <v>2021.0</v>
      </c>
      <c r="G936" s="1021">
        <v>3.01E-5</v>
      </c>
      <c r="H936" s="1021">
        <v>5.94E-7</v>
      </c>
      <c r="I936" s="1022">
        <v>1.50225E-4</v>
      </c>
      <c r="K936" s="1031" t="s">
        <v>121</v>
      </c>
      <c r="L936" s="1032" t="s">
        <v>660</v>
      </c>
      <c r="M936" s="1032" t="s">
        <v>1035</v>
      </c>
      <c r="N936" s="1032" t="s">
        <v>1044</v>
      </c>
      <c r="O936" s="1032">
        <v>2021.0</v>
      </c>
      <c r="P936" s="1032" t="s">
        <v>1039</v>
      </c>
      <c r="Q936" s="1033" t="s">
        <v>63</v>
      </c>
      <c r="R936" s="1034">
        <v>0.0</v>
      </c>
      <c r="S936" s="1034">
        <v>0.0</v>
      </c>
      <c r="T936" s="1035">
        <v>0.0</v>
      </c>
      <c r="AB936" s="1045"/>
      <c r="AF936" s="225"/>
    </row>
    <row r="937">
      <c r="A937" s="1013"/>
      <c r="B937" s="1019" t="s">
        <v>127</v>
      </c>
      <c r="C937" s="1020" t="s">
        <v>1035</v>
      </c>
      <c r="D937" s="1020" t="s">
        <v>1041</v>
      </c>
      <c r="E937" s="1020" t="s">
        <v>552</v>
      </c>
      <c r="F937" s="1020">
        <v>2021.0</v>
      </c>
      <c r="G937" s="1021">
        <v>1.89E-5</v>
      </c>
      <c r="H937" s="1021">
        <v>4.46E-7</v>
      </c>
      <c r="I937" s="1022">
        <v>9.37E-5</v>
      </c>
      <c r="K937" s="1031" t="s">
        <v>121</v>
      </c>
      <c r="L937" s="1032" t="s">
        <v>660</v>
      </c>
      <c r="M937" s="1032" t="s">
        <v>1035</v>
      </c>
      <c r="N937" s="1032" t="s">
        <v>1046</v>
      </c>
      <c r="O937" s="1032">
        <v>2021.0</v>
      </c>
      <c r="P937" s="1032" t="s">
        <v>1039</v>
      </c>
      <c r="Q937" s="1033" t="s">
        <v>63</v>
      </c>
      <c r="R937" s="1034">
        <v>175.7971347</v>
      </c>
      <c r="S937" s="1034">
        <v>78.82968313</v>
      </c>
      <c r="T937" s="1035">
        <v>310.1071488</v>
      </c>
      <c r="AB937" s="1045"/>
      <c r="AF937" s="225"/>
    </row>
    <row r="938">
      <c r="A938" s="1013"/>
      <c r="B938" s="1019" t="s">
        <v>127</v>
      </c>
      <c r="C938" s="1020" t="s">
        <v>1035</v>
      </c>
      <c r="D938" s="1020" t="s">
        <v>1043</v>
      </c>
      <c r="E938" s="1020" t="s">
        <v>552</v>
      </c>
      <c r="F938" s="1020">
        <v>2021.0</v>
      </c>
      <c r="G938" s="1021">
        <v>1.16541E-4</v>
      </c>
      <c r="H938" s="1021">
        <v>3.56E-6</v>
      </c>
      <c r="I938" s="1022">
        <v>5.10516E-4</v>
      </c>
      <c r="K938" s="1031" t="s">
        <v>121</v>
      </c>
      <c r="L938" s="1032" t="s">
        <v>660</v>
      </c>
      <c r="M938" s="1032" t="s">
        <v>1035</v>
      </c>
      <c r="N938" s="1032" t="s">
        <v>1045</v>
      </c>
      <c r="O938" s="1032">
        <v>2021.0</v>
      </c>
      <c r="P938" s="1032" t="s">
        <v>1039</v>
      </c>
      <c r="Q938" s="1033" t="s">
        <v>63</v>
      </c>
      <c r="R938" s="1034">
        <v>659.3052148</v>
      </c>
      <c r="S938" s="1034">
        <v>314.7067519</v>
      </c>
      <c r="T938" s="1035">
        <v>1153.566012</v>
      </c>
      <c r="AB938" s="1045"/>
      <c r="AF938" s="225"/>
    </row>
    <row r="939">
      <c r="A939" s="1013"/>
      <c r="B939" s="1019" t="s">
        <v>127</v>
      </c>
      <c r="C939" s="1020" t="s">
        <v>1035</v>
      </c>
      <c r="D939" s="1020" t="s">
        <v>1045</v>
      </c>
      <c r="E939" s="1020" t="s">
        <v>552</v>
      </c>
      <c r="F939" s="1020">
        <v>2021.0</v>
      </c>
      <c r="G939" s="1021">
        <v>7.91876E-4</v>
      </c>
      <c r="H939" s="1021">
        <v>3.41E-5</v>
      </c>
      <c r="I939" s="1022">
        <v>0.003321763</v>
      </c>
      <c r="K939" s="1031" t="s">
        <v>152</v>
      </c>
      <c r="L939" s="1032" t="s">
        <v>660</v>
      </c>
      <c r="M939" s="1032" t="s">
        <v>1035</v>
      </c>
      <c r="N939" s="1032" t="s">
        <v>1038</v>
      </c>
      <c r="O939" s="1032">
        <v>2021.0</v>
      </c>
      <c r="P939" s="1032" t="s">
        <v>1039</v>
      </c>
      <c r="Q939" s="1033" t="s">
        <v>63</v>
      </c>
      <c r="R939" s="1034">
        <v>118.5869858</v>
      </c>
      <c r="S939" s="1034">
        <v>55.77901695</v>
      </c>
      <c r="T939" s="1035">
        <v>218.0064197</v>
      </c>
      <c r="AB939" s="1045"/>
      <c r="AF939" s="225"/>
    </row>
    <row r="940">
      <c r="A940" s="1013"/>
      <c r="B940" s="1019" t="s">
        <v>128</v>
      </c>
      <c r="C940" s="1020" t="s">
        <v>1035</v>
      </c>
      <c r="D940" s="1020" t="s">
        <v>1036</v>
      </c>
      <c r="E940" s="1020" t="s">
        <v>552</v>
      </c>
      <c r="F940" s="1020">
        <v>2021.0</v>
      </c>
      <c r="G940" s="1021">
        <v>2.31E-5</v>
      </c>
      <c r="H940" s="1021">
        <v>4.44E-7</v>
      </c>
      <c r="I940" s="1022">
        <v>1.19939E-4</v>
      </c>
      <c r="K940" s="1031" t="s">
        <v>152</v>
      </c>
      <c r="L940" s="1032" t="s">
        <v>660</v>
      </c>
      <c r="M940" s="1032" t="s">
        <v>1035</v>
      </c>
      <c r="N940" s="1032" t="s">
        <v>1042</v>
      </c>
      <c r="O940" s="1032">
        <v>2021.0</v>
      </c>
      <c r="P940" s="1032" t="s">
        <v>1039</v>
      </c>
      <c r="Q940" s="1033" t="s">
        <v>63</v>
      </c>
      <c r="R940" s="1034">
        <v>0.0</v>
      </c>
      <c r="S940" s="1034">
        <v>0.0</v>
      </c>
      <c r="T940" s="1035">
        <v>0.0</v>
      </c>
      <c r="AB940" s="1045"/>
      <c r="AF940" s="225"/>
    </row>
    <row r="941">
      <c r="A941" s="1013"/>
      <c r="B941" s="1019" t="s">
        <v>128</v>
      </c>
      <c r="C941" s="1020" t="s">
        <v>1035</v>
      </c>
      <c r="D941" s="1020" t="s">
        <v>1041</v>
      </c>
      <c r="E941" s="1020" t="s">
        <v>552</v>
      </c>
      <c r="F941" s="1020">
        <v>2021.0</v>
      </c>
      <c r="G941" s="1021">
        <v>1.42E-5</v>
      </c>
      <c r="H941" s="1021">
        <v>3.3E-7</v>
      </c>
      <c r="I941" s="1022">
        <v>7.21E-5</v>
      </c>
      <c r="K941" s="1031" t="s">
        <v>152</v>
      </c>
      <c r="L941" s="1032" t="s">
        <v>660</v>
      </c>
      <c r="M941" s="1032" t="s">
        <v>1035</v>
      </c>
      <c r="N941" s="1032" t="s">
        <v>1044</v>
      </c>
      <c r="O941" s="1032">
        <v>2021.0</v>
      </c>
      <c r="P941" s="1032" t="s">
        <v>1039</v>
      </c>
      <c r="Q941" s="1033" t="s">
        <v>63</v>
      </c>
      <c r="R941" s="1034">
        <v>0.0</v>
      </c>
      <c r="S941" s="1034">
        <v>0.0</v>
      </c>
      <c r="T941" s="1035">
        <v>0.0</v>
      </c>
      <c r="AB941" s="1045"/>
      <c r="AF941" s="225"/>
    </row>
    <row r="942">
      <c r="A942" s="1013"/>
      <c r="B942" s="1019" t="s">
        <v>128</v>
      </c>
      <c r="C942" s="1020" t="s">
        <v>1035</v>
      </c>
      <c r="D942" s="1020" t="s">
        <v>1043</v>
      </c>
      <c r="E942" s="1020" t="s">
        <v>552</v>
      </c>
      <c r="F942" s="1020">
        <v>2021.0</v>
      </c>
      <c r="G942" s="1021">
        <v>8.28E-5</v>
      </c>
      <c r="H942" s="1021">
        <v>1.55E-6</v>
      </c>
      <c r="I942" s="1022">
        <v>4.27786E-4</v>
      </c>
      <c r="K942" s="1031" t="s">
        <v>152</v>
      </c>
      <c r="L942" s="1032" t="s">
        <v>660</v>
      </c>
      <c r="M942" s="1032" t="s">
        <v>1035</v>
      </c>
      <c r="N942" s="1032" t="s">
        <v>1046</v>
      </c>
      <c r="O942" s="1032">
        <v>2021.0</v>
      </c>
      <c r="P942" s="1032" t="s">
        <v>1039</v>
      </c>
      <c r="Q942" s="1033" t="s">
        <v>63</v>
      </c>
      <c r="R942" s="1034">
        <v>48.29191406</v>
      </c>
      <c r="S942" s="1034">
        <v>20.15764239</v>
      </c>
      <c r="T942" s="1035">
        <v>86.67427416</v>
      </c>
      <c r="AB942" s="1045"/>
      <c r="AF942" s="225"/>
    </row>
    <row r="943">
      <c r="A943" s="1013"/>
      <c r="B943" s="1019" t="s">
        <v>128</v>
      </c>
      <c r="C943" s="1020" t="s">
        <v>1035</v>
      </c>
      <c r="D943" s="1020" t="s">
        <v>1045</v>
      </c>
      <c r="E943" s="1020" t="s">
        <v>552</v>
      </c>
      <c r="F943" s="1020">
        <v>2021.0</v>
      </c>
      <c r="G943" s="1021">
        <v>6.26519E-4</v>
      </c>
      <c r="H943" s="1021">
        <v>2.25E-5</v>
      </c>
      <c r="I943" s="1022">
        <v>0.002757359</v>
      </c>
      <c r="K943" s="1031" t="s">
        <v>152</v>
      </c>
      <c r="L943" s="1032" t="s">
        <v>660</v>
      </c>
      <c r="M943" s="1032" t="s">
        <v>1035</v>
      </c>
      <c r="N943" s="1032" t="s">
        <v>1045</v>
      </c>
      <c r="O943" s="1032">
        <v>2021.0</v>
      </c>
      <c r="P943" s="1032" t="s">
        <v>1039</v>
      </c>
      <c r="Q943" s="1033" t="s">
        <v>63</v>
      </c>
      <c r="R943" s="1034">
        <v>166.8788999</v>
      </c>
      <c r="S943" s="1034">
        <v>79.04959567</v>
      </c>
      <c r="T943" s="1035">
        <v>306.8627055</v>
      </c>
      <c r="AB943" s="1045"/>
      <c r="AF943" s="225"/>
    </row>
    <row r="944">
      <c r="A944" s="1013"/>
      <c r="B944" s="1019" t="s">
        <v>129</v>
      </c>
      <c r="C944" s="1020" t="s">
        <v>1035</v>
      </c>
      <c r="D944" s="1020" t="s">
        <v>1036</v>
      </c>
      <c r="E944" s="1020" t="s">
        <v>552</v>
      </c>
      <c r="F944" s="1020">
        <v>2021.0</v>
      </c>
      <c r="G944" s="1021">
        <v>3.33E-5</v>
      </c>
      <c r="H944" s="1021">
        <v>6.99E-7</v>
      </c>
      <c r="I944" s="1022">
        <v>1.69321E-4</v>
      </c>
      <c r="K944" s="1031" t="s">
        <v>153</v>
      </c>
      <c r="L944" s="1032" t="s">
        <v>660</v>
      </c>
      <c r="M944" s="1032" t="s">
        <v>1035</v>
      </c>
      <c r="N944" s="1032" t="s">
        <v>1038</v>
      </c>
      <c r="O944" s="1032">
        <v>2021.0</v>
      </c>
      <c r="P944" s="1032" t="s">
        <v>1039</v>
      </c>
      <c r="Q944" s="1033" t="s">
        <v>63</v>
      </c>
      <c r="R944" s="1034">
        <v>137.5245888</v>
      </c>
      <c r="S944" s="1034">
        <v>65.96012983</v>
      </c>
      <c r="T944" s="1035">
        <v>242.2647736</v>
      </c>
      <c r="AB944" s="1045"/>
      <c r="AF944" s="225"/>
    </row>
    <row r="945">
      <c r="A945" s="1013"/>
      <c r="B945" s="1019" t="s">
        <v>129</v>
      </c>
      <c r="C945" s="1020" t="s">
        <v>1035</v>
      </c>
      <c r="D945" s="1020" t="s">
        <v>1041</v>
      </c>
      <c r="E945" s="1020" t="s">
        <v>552</v>
      </c>
      <c r="F945" s="1020">
        <v>2021.0</v>
      </c>
      <c r="G945" s="1021">
        <v>2.91E-5</v>
      </c>
      <c r="H945" s="1021">
        <v>6.19E-7</v>
      </c>
      <c r="I945" s="1022">
        <v>1.44524E-4</v>
      </c>
      <c r="K945" s="1031" t="s">
        <v>153</v>
      </c>
      <c r="L945" s="1032" t="s">
        <v>660</v>
      </c>
      <c r="M945" s="1032" t="s">
        <v>1035</v>
      </c>
      <c r="N945" s="1032" t="s">
        <v>1042</v>
      </c>
      <c r="O945" s="1032">
        <v>2021.0</v>
      </c>
      <c r="P945" s="1032" t="s">
        <v>1039</v>
      </c>
      <c r="Q945" s="1033" t="s">
        <v>63</v>
      </c>
      <c r="R945" s="1034">
        <v>0.0</v>
      </c>
      <c r="S945" s="1034">
        <v>0.0</v>
      </c>
      <c r="T945" s="1035">
        <v>0.0</v>
      </c>
      <c r="AB945" s="1045"/>
      <c r="AF945" s="225"/>
    </row>
    <row r="946">
      <c r="A946" s="1013"/>
      <c r="B946" s="1019" t="s">
        <v>129</v>
      </c>
      <c r="C946" s="1020" t="s">
        <v>1035</v>
      </c>
      <c r="D946" s="1020" t="s">
        <v>1043</v>
      </c>
      <c r="E946" s="1020" t="s">
        <v>552</v>
      </c>
      <c r="F946" s="1020">
        <v>2021.0</v>
      </c>
      <c r="G946" s="1021">
        <v>1.25805E-4</v>
      </c>
      <c r="H946" s="1021">
        <v>2.32E-6</v>
      </c>
      <c r="I946" s="1022">
        <v>5.9063E-4</v>
      </c>
      <c r="K946" s="1031" t="s">
        <v>153</v>
      </c>
      <c r="L946" s="1032" t="s">
        <v>660</v>
      </c>
      <c r="M946" s="1032" t="s">
        <v>1035</v>
      </c>
      <c r="N946" s="1032" t="s">
        <v>1044</v>
      </c>
      <c r="O946" s="1032">
        <v>2021.0</v>
      </c>
      <c r="P946" s="1032" t="s">
        <v>1039</v>
      </c>
      <c r="Q946" s="1033" t="s">
        <v>63</v>
      </c>
      <c r="R946" s="1034">
        <v>0.0</v>
      </c>
      <c r="S946" s="1034">
        <v>0.0</v>
      </c>
      <c r="T946" s="1035">
        <v>0.0</v>
      </c>
      <c r="AB946" s="1045"/>
      <c r="AF946" s="225"/>
    </row>
    <row r="947">
      <c r="A947" s="1013"/>
      <c r="B947" s="1019" t="s">
        <v>129</v>
      </c>
      <c r="C947" s="1020" t="s">
        <v>1035</v>
      </c>
      <c r="D947" s="1020" t="s">
        <v>1045</v>
      </c>
      <c r="E947" s="1020" t="s">
        <v>552</v>
      </c>
      <c r="F947" s="1020">
        <v>2021.0</v>
      </c>
      <c r="G947" s="1021">
        <v>9.96955E-4</v>
      </c>
      <c r="H947" s="1021">
        <v>3.47E-5</v>
      </c>
      <c r="I947" s="1022">
        <v>0.004301531</v>
      </c>
      <c r="K947" s="1031" t="s">
        <v>153</v>
      </c>
      <c r="L947" s="1032" t="s">
        <v>660</v>
      </c>
      <c r="M947" s="1032" t="s">
        <v>1035</v>
      </c>
      <c r="N947" s="1032" t="s">
        <v>1046</v>
      </c>
      <c r="O947" s="1032">
        <v>2021.0</v>
      </c>
      <c r="P947" s="1032" t="s">
        <v>1039</v>
      </c>
      <c r="Q947" s="1033" t="s">
        <v>63</v>
      </c>
      <c r="R947" s="1034">
        <v>53.76490975</v>
      </c>
      <c r="S947" s="1034">
        <v>24.79146164</v>
      </c>
      <c r="T947" s="1035">
        <v>91.10914471</v>
      </c>
      <c r="AB947" s="1045"/>
      <c r="AF947" s="225"/>
    </row>
    <row r="948">
      <c r="A948" s="1013"/>
      <c r="B948" s="1019" t="s">
        <v>130</v>
      </c>
      <c r="C948" s="1020" t="s">
        <v>1035</v>
      </c>
      <c r="D948" s="1020" t="s">
        <v>1036</v>
      </c>
      <c r="E948" s="1020" t="s">
        <v>552</v>
      </c>
      <c r="F948" s="1020">
        <v>2021.0</v>
      </c>
      <c r="G948" s="1021">
        <v>1.53E-5</v>
      </c>
      <c r="H948" s="1021">
        <v>3.12E-7</v>
      </c>
      <c r="I948" s="1022">
        <v>8.13E-5</v>
      </c>
      <c r="K948" s="1031" t="s">
        <v>153</v>
      </c>
      <c r="L948" s="1032" t="s">
        <v>660</v>
      </c>
      <c r="M948" s="1032" t="s">
        <v>1035</v>
      </c>
      <c r="N948" s="1032" t="s">
        <v>1045</v>
      </c>
      <c r="O948" s="1032">
        <v>2021.0</v>
      </c>
      <c r="P948" s="1032" t="s">
        <v>1039</v>
      </c>
      <c r="Q948" s="1033" t="s">
        <v>63</v>
      </c>
      <c r="R948" s="1034">
        <v>191.2894986</v>
      </c>
      <c r="S948" s="1034">
        <v>89.71047304</v>
      </c>
      <c r="T948" s="1035">
        <v>328.3995312</v>
      </c>
      <c r="AB948" s="1045"/>
      <c r="AF948" s="225"/>
    </row>
    <row r="949">
      <c r="A949" s="1013"/>
      <c r="B949" s="1019" t="s">
        <v>130</v>
      </c>
      <c r="C949" s="1020" t="s">
        <v>1035</v>
      </c>
      <c r="D949" s="1020" t="s">
        <v>1041</v>
      </c>
      <c r="E949" s="1020" t="s">
        <v>552</v>
      </c>
      <c r="F949" s="1020">
        <v>2021.0</v>
      </c>
      <c r="G949" s="1021">
        <v>1.0E-5</v>
      </c>
      <c r="H949" s="1021">
        <v>2.56E-7</v>
      </c>
      <c r="I949" s="1022">
        <v>5.08E-5</v>
      </c>
      <c r="K949" s="1031" t="s">
        <v>122</v>
      </c>
      <c r="L949" s="1032" t="s">
        <v>660</v>
      </c>
      <c r="M949" s="1032" t="s">
        <v>1035</v>
      </c>
      <c r="N949" s="1032" t="s">
        <v>1038</v>
      </c>
      <c r="O949" s="1032">
        <v>2021.0</v>
      </c>
      <c r="P949" s="1032" t="s">
        <v>1039</v>
      </c>
      <c r="Q949" s="1033" t="s">
        <v>63</v>
      </c>
      <c r="R949" s="1034">
        <v>300.5302202</v>
      </c>
      <c r="S949" s="1034">
        <v>148.7333041</v>
      </c>
      <c r="T949" s="1035">
        <v>551.7549476</v>
      </c>
      <c r="AB949" s="1045"/>
      <c r="AF949" s="225"/>
    </row>
    <row r="950">
      <c r="A950" s="1013"/>
      <c r="B950" s="1019" t="s">
        <v>130</v>
      </c>
      <c r="C950" s="1020" t="s">
        <v>1035</v>
      </c>
      <c r="D950" s="1020" t="s">
        <v>1043</v>
      </c>
      <c r="E950" s="1020" t="s">
        <v>552</v>
      </c>
      <c r="F950" s="1020">
        <v>2021.0</v>
      </c>
      <c r="G950" s="1021">
        <v>5.94E-5</v>
      </c>
      <c r="H950" s="1021">
        <v>1.6E-6</v>
      </c>
      <c r="I950" s="1022">
        <v>3.00279E-4</v>
      </c>
      <c r="K950" s="1031" t="s">
        <v>122</v>
      </c>
      <c r="L950" s="1032" t="s">
        <v>660</v>
      </c>
      <c r="M950" s="1032" t="s">
        <v>1035</v>
      </c>
      <c r="N950" s="1032" t="s">
        <v>1042</v>
      </c>
      <c r="O950" s="1032">
        <v>2021.0</v>
      </c>
      <c r="P950" s="1032" t="s">
        <v>1039</v>
      </c>
      <c r="Q950" s="1033" t="s">
        <v>63</v>
      </c>
      <c r="R950" s="1034">
        <v>0.0</v>
      </c>
      <c r="S950" s="1034">
        <v>0.0</v>
      </c>
      <c r="T950" s="1035">
        <v>0.0</v>
      </c>
      <c r="AB950" s="1045"/>
      <c r="AF950" s="225"/>
    </row>
    <row r="951">
      <c r="A951" s="1013"/>
      <c r="B951" s="1019" t="s">
        <v>130</v>
      </c>
      <c r="C951" s="1020" t="s">
        <v>1035</v>
      </c>
      <c r="D951" s="1020" t="s">
        <v>1045</v>
      </c>
      <c r="E951" s="1020" t="s">
        <v>552</v>
      </c>
      <c r="F951" s="1020">
        <v>2021.0</v>
      </c>
      <c r="G951" s="1021">
        <v>4.32579E-4</v>
      </c>
      <c r="H951" s="1021">
        <v>1.38E-5</v>
      </c>
      <c r="I951" s="1022">
        <v>0.001981361</v>
      </c>
      <c r="K951" s="1031" t="s">
        <v>122</v>
      </c>
      <c r="L951" s="1032" t="s">
        <v>660</v>
      </c>
      <c r="M951" s="1032" t="s">
        <v>1035</v>
      </c>
      <c r="N951" s="1032" t="s">
        <v>1044</v>
      </c>
      <c r="O951" s="1032">
        <v>2021.0</v>
      </c>
      <c r="P951" s="1032" t="s">
        <v>1039</v>
      </c>
      <c r="Q951" s="1033" t="s">
        <v>63</v>
      </c>
      <c r="R951" s="1034">
        <v>0.0</v>
      </c>
      <c r="S951" s="1034">
        <v>0.0</v>
      </c>
      <c r="T951" s="1035">
        <v>0.0</v>
      </c>
      <c r="AB951" s="1045"/>
      <c r="AF951" s="225"/>
    </row>
    <row r="952">
      <c r="A952" s="1013"/>
      <c r="B952" s="1019" t="s">
        <v>131</v>
      </c>
      <c r="C952" s="1020" t="s">
        <v>1035</v>
      </c>
      <c r="D952" s="1020" t="s">
        <v>1036</v>
      </c>
      <c r="E952" s="1020" t="s">
        <v>552</v>
      </c>
      <c r="F952" s="1020">
        <v>2021.0</v>
      </c>
      <c r="G952" s="1021">
        <v>1.7E-5</v>
      </c>
      <c r="H952" s="1021">
        <v>2.69E-7</v>
      </c>
      <c r="I952" s="1022">
        <v>9.74E-5</v>
      </c>
      <c r="K952" s="1031" t="s">
        <v>122</v>
      </c>
      <c r="L952" s="1032" t="s">
        <v>660</v>
      </c>
      <c r="M952" s="1032" t="s">
        <v>1035</v>
      </c>
      <c r="N952" s="1032" t="s">
        <v>1046</v>
      </c>
      <c r="O952" s="1032">
        <v>2021.0</v>
      </c>
      <c r="P952" s="1032" t="s">
        <v>1039</v>
      </c>
      <c r="Q952" s="1033" t="s">
        <v>63</v>
      </c>
      <c r="R952" s="1034">
        <v>110.6578518</v>
      </c>
      <c r="S952" s="1034">
        <v>39.71414781</v>
      </c>
      <c r="T952" s="1035">
        <v>198.5149915</v>
      </c>
      <c r="AB952" s="1045"/>
      <c r="AF952" s="225"/>
    </row>
    <row r="953">
      <c r="A953" s="1013"/>
      <c r="B953" s="1019" t="s">
        <v>131</v>
      </c>
      <c r="C953" s="1020" t="s">
        <v>1035</v>
      </c>
      <c r="D953" s="1020" t="s">
        <v>1041</v>
      </c>
      <c r="E953" s="1020" t="s">
        <v>552</v>
      </c>
      <c r="F953" s="1020">
        <v>2021.0</v>
      </c>
      <c r="G953" s="1021">
        <v>1.16E-5</v>
      </c>
      <c r="H953" s="1021">
        <v>2.79E-7</v>
      </c>
      <c r="I953" s="1022">
        <v>6.33E-5</v>
      </c>
      <c r="K953" s="1031" t="s">
        <v>122</v>
      </c>
      <c r="L953" s="1032" t="s">
        <v>660</v>
      </c>
      <c r="M953" s="1032" t="s">
        <v>1035</v>
      </c>
      <c r="N953" s="1032" t="s">
        <v>1045</v>
      </c>
      <c r="O953" s="1032">
        <v>2021.0</v>
      </c>
      <c r="P953" s="1032" t="s">
        <v>1039</v>
      </c>
      <c r="Q953" s="1033" t="s">
        <v>63</v>
      </c>
      <c r="R953" s="1034">
        <v>411.1880719</v>
      </c>
      <c r="S953" s="1034">
        <v>199.5295957</v>
      </c>
      <c r="T953" s="1035">
        <v>724.1127405</v>
      </c>
      <c r="AB953" s="1045"/>
      <c r="AF953" s="225"/>
    </row>
    <row r="954">
      <c r="A954" s="1013"/>
      <c r="B954" s="1019" t="s">
        <v>131</v>
      </c>
      <c r="C954" s="1020" t="s">
        <v>1035</v>
      </c>
      <c r="D954" s="1020" t="s">
        <v>1043</v>
      </c>
      <c r="E954" s="1020" t="s">
        <v>552</v>
      </c>
      <c r="F954" s="1020">
        <v>2021.0</v>
      </c>
      <c r="G954" s="1021">
        <v>7.84E-5</v>
      </c>
      <c r="H954" s="1021">
        <v>2.3E-6</v>
      </c>
      <c r="I954" s="1022">
        <v>3.78562E-4</v>
      </c>
      <c r="K954" s="1031" t="s">
        <v>123</v>
      </c>
      <c r="L954" s="1032" t="s">
        <v>608</v>
      </c>
      <c r="M954" s="1032" t="s">
        <v>1035</v>
      </c>
      <c r="N954" s="1032" t="s">
        <v>1038</v>
      </c>
      <c r="O954" s="1032">
        <v>2021.0</v>
      </c>
      <c r="P954" s="1032" t="s">
        <v>1039</v>
      </c>
      <c r="Q954" s="1033" t="s">
        <v>63</v>
      </c>
      <c r="R954" s="1034">
        <v>95.94480252</v>
      </c>
      <c r="S954" s="1034">
        <v>31.26085393</v>
      </c>
      <c r="T954" s="1035">
        <v>211.4544619</v>
      </c>
      <c r="AB954" s="1045"/>
      <c r="AF954" s="225"/>
    </row>
    <row r="955">
      <c r="A955" s="1013"/>
      <c r="B955" s="1019" t="s">
        <v>131</v>
      </c>
      <c r="C955" s="1020" t="s">
        <v>1035</v>
      </c>
      <c r="D955" s="1020" t="s">
        <v>1045</v>
      </c>
      <c r="E955" s="1020" t="s">
        <v>552</v>
      </c>
      <c r="F955" s="1020">
        <v>2021.0</v>
      </c>
      <c r="G955" s="1021">
        <v>4.63026E-4</v>
      </c>
      <c r="H955" s="1021">
        <v>1.32E-5</v>
      </c>
      <c r="I955" s="1022">
        <v>0.002162361</v>
      </c>
      <c r="K955" s="1031" t="s">
        <v>123</v>
      </c>
      <c r="L955" s="1032" t="s">
        <v>608</v>
      </c>
      <c r="M955" s="1032" t="s">
        <v>1035</v>
      </c>
      <c r="N955" s="1032" t="s">
        <v>1042</v>
      </c>
      <c r="O955" s="1032">
        <v>2021.0</v>
      </c>
      <c r="P955" s="1032" t="s">
        <v>1039</v>
      </c>
      <c r="Q955" s="1033" t="s">
        <v>63</v>
      </c>
      <c r="R955" s="1034">
        <v>20.82072545</v>
      </c>
      <c r="S955" s="1034">
        <v>9.776329311</v>
      </c>
      <c r="T955" s="1035">
        <v>36.63015241</v>
      </c>
      <c r="AB955" s="1045"/>
      <c r="AF955" s="225"/>
    </row>
    <row r="956">
      <c r="A956" s="1013"/>
      <c r="B956" s="1019" t="s">
        <v>132</v>
      </c>
      <c r="C956" s="1020" t="s">
        <v>1035</v>
      </c>
      <c r="D956" s="1020" t="s">
        <v>1036</v>
      </c>
      <c r="E956" s="1020" t="s">
        <v>552</v>
      </c>
      <c r="F956" s="1020">
        <v>2021.0</v>
      </c>
      <c r="G956" s="1021">
        <v>1.64E-5</v>
      </c>
      <c r="H956" s="1021">
        <v>3.36E-7</v>
      </c>
      <c r="I956" s="1022">
        <v>7.77E-5</v>
      </c>
      <c r="K956" s="1031" t="s">
        <v>123</v>
      </c>
      <c r="L956" s="1032" t="s">
        <v>608</v>
      </c>
      <c r="M956" s="1032" t="s">
        <v>1035</v>
      </c>
      <c r="N956" s="1032" t="s">
        <v>1044</v>
      </c>
      <c r="O956" s="1032">
        <v>2021.0</v>
      </c>
      <c r="P956" s="1032" t="s">
        <v>1039</v>
      </c>
      <c r="Q956" s="1033" t="s">
        <v>63</v>
      </c>
      <c r="R956" s="1034">
        <v>9.239309279</v>
      </c>
      <c r="S956" s="1034">
        <v>4.867212422</v>
      </c>
      <c r="T956" s="1035">
        <v>17.74975566</v>
      </c>
      <c r="AB956" s="1045"/>
      <c r="AF956" s="225"/>
    </row>
    <row r="957">
      <c r="A957" s="1013"/>
      <c r="B957" s="1019" t="s">
        <v>132</v>
      </c>
      <c r="C957" s="1020" t="s">
        <v>1035</v>
      </c>
      <c r="D957" s="1020" t="s">
        <v>1041</v>
      </c>
      <c r="E957" s="1020" t="s">
        <v>552</v>
      </c>
      <c r="F957" s="1020">
        <v>2021.0</v>
      </c>
      <c r="G957" s="1021">
        <v>1.1E-5</v>
      </c>
      <c r="H957" s="1021">
        <v>2.53E-7</v>
      </c>
      <c r="I957" s="1022">
        <v>4.87E-5</v>
      </c>
      <c r="K957" s="1031" t="s">
        <v>123</v>
      </c>
      <c r="L957" s="1032" t="s">
        <v>608</v>
      </c>
      <c r="M957" s="1032" t="s">
        <v>1035</v>
      </c>
      <c r="N957" s="1032" t="s">
        <v>1046</v>
      </c>
      <c r="O957" s="1032">
        <v>2021.0</v>
      </c>
      <c r="P957" s="1032" t="s">
        <v>1039</v>
      </c>
      <c r="Q957" s="1033" t="s">
        <v>63</v>
      </c>
      <c r="R957" s="1034">
        <v>98.35840594</v>
      </c>
      <c r="S957" s="1034">
        <v>38.35758997</v>
      </c>
      <c r="T957" s="1035">
        <v>199.949858</v>
      </c>
      <c r="AB957" s="1045"/>
      <c r="AF957" s="225"/>
    </row>
    <row r="958">
      <c r="A958" s="1013"/>
      <c r="B958" s="1019" t="s">
        <v>132</v>
      </c>
      <c r="C958" s="1020" t="s">
        <v>1035</v>
      </c>
      <c r="D958" s="1020" t="s">
        <v>1043</v>
      </c>
      <c r="E958" s="1020" t="s">
        <v>552</v>
      </c>
      <c r="F958" s="1020">
        <v>2021.0</v>
      </c>
      <c r="G958" s="1021">
        <v>7.19E-5</v>
      </c>
      <c r="H958" s="1021">
        <v>1.83E-6</v>
      </c>
      <c r="I958" s="1022">
        <v>3.68463E-4</v>
      </c>
      <c r="K958" s="1031" t="s">
        <v>123</v>
      </c>
      <c r="L958" s="1032" t="s">
        <v>608</v>
      </c>
      <c r="M958" s="1032" t="s">
        <v>1035</v>
      </c>
      <c r="N958" s="1032" t="s">
        <v>1045</v>
      </c>
      <c r="O958" s="1032">
        <v>2021.0</v>
      </c>
      <c r="P958" s="1032" t="s">
        <v>1039</v>
      </c>
      <c r="Q958" s="1033" t="s">
        <v>63</v>
      </c>
      <c r="R958" s="1034">
        <v>224.3632432</v>
      </c>
      <c r="S958" s="1034">
        <v>93.51110808</v>
      </c>
      <c r="T958" s="1035">
        <v>447.4954838</v>
      </c>
      <c r="AB958" s="1045"/>
      <c r="AF958" s="225"/>
    </row>
    <row r="959">
      <c r="A959" s="1013"/>
      <c r="B959" s="1019" t="s">
        <v>132</v>
      </c>
      <c r="C959" s="1020" t="s">
        <v>1035</v>
      </c>
      <c r="D959" s="1020" t="s">
        <v>1045</v>
      </c>
      <c r="E959" s="1020" t="s">
        <v>552</v>
      </c>
      <c r="F959" s="1020">
        <v>2021.0</v>
      </c>
      <c r="G959" s="1021">
        <v>4.63607E-4</v>
      </c>
      <c r="H959" s="1021">
        <v>1.61E-5</v>
      </c>
      <c r="I959" s="1022">
        <v>0.002137611</v>
      </c>
      <c r="K959" s="1031" t="s">
        <v>124</v>
      </c>
      <c r="L959" s="1032" t="s">
        <v>608</v>
      </c>
      <c r="M959" s="1032" t="s">
        <v>1035</v>
      </c>
      <c r="N959" s="1032" t="s">
        <v>1038</v>
      </c>
      <c r="O959" s="1032">
        <v>2021.0</v>
      </c>
      <c r="P959" s="1032" t="s">
        <v>1039</v>
      </c>
      <c r="Q959" s="1033" t="s">
        <v>63</v>
      </c>
      <c r="R959" s="1034">
        <v>233.2014271</v>
      </c>
      <c r="S959" s="1034">
        <v>100.0216844</v>
      </c>
      <c r="T959" s="1035">
        <v>440.5508883</v>
      </c>
      <c r="AB959" s="1045"/>
      <c r="AF959" s="225"/>
    </row>
    <row r="960">
      <c r="A960" s="1013"/>
      <c r="B960" s="1019" t="s">
        <v>133</v>
      </c>
      <c r="C960" s="1020" t="s">
        <v>1035</v>
      </c>
      <c r="D960" s="1020" t="s">
        <v>1036</v>
      </c>
      <c r="E960" s="1020" t="s">
        <v>552</v>
      </c>
      <c r="F960" s="1020">
        <v>2021.0</v>
      </c>
      <c r="G960" s="1021">
        <v>1.04E-5</v>
      </c>
      <c r="H960" s="1021">
        <v>2.63E-7</v>
      </c>
      <c r="I960" s="1022">
        <v>5.28E-5</v>
      </c>
      <c r="K960" s="1031" t="s">
        <v>124</v>
      </c>
      <c r="L960" s="1032" t="s">
        <v>608</v>
      </c>
      <c r="M960" s="1032" t="s">
        <v>1035</v>
      </c>
      <c r="N960" s="1032" t="s">
        <v>1042</v>
      </c>
      <c r="O960" s="1032">
        <v>2021.0</v>
      </c>
      <c r="P960" s="1032" t="s">
        <v>1039</v>
      </c>
      <c r="Q960" s="1033" t="s">
        <v>63</v>
      </c>
      <c r="R960" s="1034">
        <v>28.76934075</v>
      </c>
      <c r="S960" s="1034">
        <v>14.40555293</v>
      </c>
      <c r="T960" s="1035">
        <v>50.24500561</v>
      </c>
      <c r="AB960" s="1045"/>
      <c r="AF960" s="225"/>
    </row>
    <row r="961">
      <c r="A961" s="1013"/>
      <c r="B961" s="1019" t="s">
        <v>133</v>
      </c>
      <c r="C961" s="1020" t="s">
        <v>1035</v>
      </c>
      <c r="D961" s="1020" t="s">
        <v>1041</v>
      </c>
      <c r="E961" s="1020" t="s">
        <v>552</v>
      </c>
      <c r="F961" s="1020">
        <v>2021.0</v>
      </c>
      <c r="G961" s="1021">
        <v>8.02E-6</v>
      </c>
      <c r="H961" s="1021">
        <v>2.49E-7</v>
      </c>
      <c r="I961" s="1022">
        <v>3.85E-5</v>
      </c>
      <c r="K961" s="1031" t="s">
        <v>124</v>
      </c>
      <c r="L961" s="1032" t="s">
        <v>608</v>
      </c>
      <c r="M961" s="1032" t="s">
        <v>1035</v>
      </c>
      <c r="N961" s="1032" t="s">
        <v>1044</v>
      </c>
      <c r="O961" s="1032">
        <v>2021.0</v>
      </c>
      <c r="P961" s="1032" t="s">
        <v>1039</v>
      </c>
      <c r="Q961" s="1033" t="s">
        <v>63</v>
      </c>
      <c r="R961" s="1034">
        <v>17.47134003</v>
      </c>
      <c r="S961" s="1034">
        <v>9.272537123</v>
      </c>
      <c r="T961" s="1035">
        <v>30.85609929</v>
      </c>
      <c r="AB961" s="1045"/>
      <c r="AF961" s="225"/>
    </row>
    <row r="962">
      <c r="A962" s="1013"/>
      <c r="B962" s="1019" t="s">
        <v>133</v>
      </c>
      <c r="C962" s="1020" t="s">
        <v>1035</v>
      </c>
      <c r="D962" s="1020" t="s">
        <v>1043</v>
      </c>
      <c r="E962" s="1020" t="s">
        <v>552</v>
      </c>
      <c r="F962" s="1020">
        <v>2021.0</v>
      </c>
      <c r="G962" s="1021">
        <v>4.67E-5</v>
      </c>
      <c r="H962" s="1021">
        <v>1.62E-6</v>
      </c>
      <c r="I962" s="1022">
        <v>2.08361E-4</v>
      </c>
      <c r="K962" s="1031" t="s">
        <v>124</v>
      </c>
      <c r="L962" s="1032" t="s">
        <v>608</v>
      </c>
      <c r="M962" s="1032" t="s">
        <v>1035</v>
      </c>
      <c r="N962" s="1032" t="s">
        <v>1046</v>
      </c>
      <c r="O962" s="1032">
        <v>2021.0</v>
      </c>
      <c r="P962" s="1032" t="s">
        <v>1039</v>
      </c>
      <c r="Q962" s="1033" t="s">
        <v>63</v>
      </c>
      <c r="R962" s="1034">
        <v>192.9513074</v>
      </c>
      <c r="S962" s="1034">
        <v>105.3211293</v>
      </c>
      <c r="T962" s="1035">
        <v>341.3667926</v>
      </c>
      <c r="AB962" s="1045"/>
      <c r="AF962" s="225"/>
    </row>
    <row r="963">
      <c r="A963" s="1013"/>
      <c r="B963" s="1019" t="s">
        <v>133</v>
      </c>
      <c r="C963" s="1020" t="s">
        <v>1035</v>
      </c>
      <c r="D963" s="1020" t="s">
        <v>1045</v>
      </c>
      <c r="E963" s="1020" t="s">
        <v>552</v>
      </c>
      <c r="F963" s="1020">
        <v>2021.0</v>
      </c>
      <c r="G963" s="1021">
        <v>3.29156E-4</v>
      </c>
      <c r="H963" s="1021">
        <v>1.22E-5</v>
      </c>
      <c r="I963" s="1022">
        <v>0.001433181</v>
      </c>
      <c r="K963" s="1031" t="s">
        <v>124</v>
      </c>
      <c r="L963" s="1032" t="s">
        <v>608</v>
      </c>
      <c r="M963" s="1032" t="s">
        <v>1035</v>
      </c>
      <c r="N963" s="1032" t="s">
        <v>1045</v>
      </c>
      <c r="O963" s="1032">
        <v>2021.0</v>
      </c>
      <c r="P963" s="1032" t="s">
        <v>1039</v>
      </c>
      <c r="Q963" s="1033" t="s">
        <v>63</v>
      </c>
      <c r="R963" s="1034">
        <v>472.3934152</v>
      </c>
      <c r="S963" s="1034">
        <v>249.0167253</v>
      </c>
      <c r="T963" s="1035">
        <v>811.2719422</v>
      </c>
      <c r="AB963" s="1045"/>
      <c r="AF963" s="225"/>
    </row>
    <row r="964">
      <c r="A964" s="1013"/>
      <c r="B964" s="1019" t="s">
        <v>134</v>
      </c>
      <c r="C964" s="1020" t="s">
        <v>1035</v>
      </c>
      <c r="D964" s="1020" t="s">
        <v>1036</v>
      </c>
      <c r="E964" s="1020" t="s">
        <v>552</v>
      </c>
      <c r="F964" s="1020">
        <v>2021.0</v>
      </c>
      <c r="G964" s="1021">
        <v>7.72E-6</v>
      </c>
      <c r="H964" s="1021">
        <v>1.68E-7</v>
      </c>
      <c r="I964" s="1022">
        <v>3.87E-5</v>
      </c>
      <c r="K964" s="1031" t="s">
        <v>125</v>
      </c>
      <c r="L964" s="1032" t="s">
        <v>608</v>
      </c>
      <c r="M964" s="1032" t="s">
        <v>1035</v>
      </c>
      <c r="N964" s="1032" t="s">
        <v>1038</v>
      </c>
      <c r="O964" s="1032">
        <v>2021.0</v>
      </c>
      <c r="P964" s="1032" t="s">
        <v>1039</v>
      </c>
      <c r="Q964" s="1033" t="s">
        <v>63</v>
      </c>
      <c r="R964" s="1034">
        <v>31.00244225</v>
      </c>
      <c r="S964" s="1034">
        <v>9.495810016</v>
      </c>
      <c r="T964" s="1035">
        <v>70.29412513</v>
      </c>
      <c r="AB964" s="1045"/>
      <c r="AF964" s="225"/>
    </row>
    <row r="965">
      <c r="A965" s="1013"/>
      <c r="B965" s="1019" t="s">
        <v>134</v>
      </c>
      <c r="C965" s="1020" t="s">
        <v>1035</v>
      </c>
      <c r="D965" s="1020" t="s">
        <v>1041</v>
      </c>
      <c r="E965" s="1020" t="s">
        <v>552</v>
      </c>
      <c r="F965" s="1020">
        <v>2021.0</v>
      </c>
      <c r="G965" s="1021">
        <v>5.39E-6</v>
      </c>
      <c r="H965" s="1021">
        <v>1.5E-7</v>
      </c>
      <c r="I965" s="1022">
        <v>2.88E-5</v>
      </c>
      <c r="K965" s="1031" t="s">
        <v>125</v>
      </c>
      <c r="L965" s="1032" t="s">
        <v>608</v>
      </c>
      <c r="M965" s="1032" t="s">
        <v>1035</v>
      </c>
      <c r="N965" s="1032" t="s">
        <v>1042</v>
      </c>
      <c r="O965" s="1032">
        <v>2021.0</v>
      </c>
      <c r="P965" s="1032" t="s">
        <v>1039</v>
      </c>
      <c r="Q965" s="1033" t="s">
        <v>63</v>
      </c>
      <c r="R965" s="1034">
        <v>8.364610002</v>
      </c>
      <c r="S965" s="1034">
        <v>4.139294622</v>
      </c>
      <c r="T965" s="1035">
        <v>15.43574048</v>
      </c>
      <c r="AB965" s="1045"/>
      <c r="AF965" s="225"/>
    </row>
    <row r="966">
      <c r="A966" s="1013"/>
      <c r="B966" s="1019" t="s">
        <v>134</v>
      </c>
      <c r="C966" s="1020" t="s">
        <v>1035</v>
      </c>
      <c r="D966" s="1020" t="s">
        <v>1043</v>
      </c>
      <c r="E966" s="1020" t="s">
        <v>552</v>
      </c>
      <c r="F966" s="1020">
        <v>2021.0</v>
      </c>
      <c r="G966" s="1021">
        <v>3.46E-5</v>
      </c>
      <c r="H966" s="1021">
        <v>1.05E-6</v>
      </c>
      <c r="I966" s="1022">
        <v>1.5557E-4</v>
      </c>
      <c r="K966" s="1031" t="s">
        <v>125</v>
      </c>
      <c r="L966" s="1032" t="s">
        <v>608</v>
      </c>
      <c r="M966" s="1032" t="s">
        <v>1035</v>
      </c>
      <c r="N966" s="1032" t="s">
        <v>1044</v>
      </c>
      <c r="O966" s="1032">
        <v>2021.0</v>
      </c>
      <c r="P966" s="1032" t="s">
        <v>1039</v>
      </c>
      <c r="Q966" s="1033" t="s">
        <v>63</v>
      </c>
      <c r="R966" s="1034">
        <v>4.712088948</v>
      </c>
      <c r="S966" s="1034">
        <v>2.517156341</v>
      </c>
      <c r="T966" s="1035">
        <v>9.277818651</v>
      </c>
      <c r="AB966" s="1045"/>
      <c r="AF966" s="225"/>
    </row>
    <row r="967">
      <c r="A967" s="1013"/>
      <c r="B967" s="1019" t="s">
        <v>134</v>
      </c>
      <c r="C967" s="1020" t="s">
        <v>1035</v>
      </c>
      <c r="D967" s="1020" t="s">
        <v>1045</v>
      </c>
      <c r="E967" s="1020" t="s">
        <v>552</v>
      </c>
      <c r="F967" s="1020">
        <v>2021.0</v>
      </c>
      <c r="G967" s="1021">
        <v>2.15045E-4</v>
      </c>
      <c r="H967" s="1021">
        <v>7.35E-6</v>
      </c>
      <c r="I967" s="1022">
        <v>9.95868E-4</v>
      </c>
      <c r="K967" s="1031" t="s">
        <v>125</v>
      </c>
      <c r="L967" s="1032" t="s">
        <v>608</v>
      </c>
      <c r="M967" s="1032" t="s">
        <v>1035</v>
      </c>
      <c r="N967" s="1032" t="s">
        <v>1046</v>
      </c>
      <c r="O967" s="1032">
        <v>2021.0</v>
      </c>
      <c r="P967" s="1032" t="s">
        <v>1039</v>
      </c>
      <c r="Q967" s="1033" t="s">
        <v>63</v>
      </c>
      <c r="R967" s="1034">
        <v>28.64841125</v>
      </c>
      <c r="S967" s="1034">
        <v>11.51035976</v>
      </c>
      <c r="T967" s="1035">
        <v>57.61061943</v>
      </c>
      <c r="AB967" s="1045"/>
      <c r="AF967" s="225"/>
    </row>
    <row r="968">
      <c r="A968" s="1013"/>
      <c r="B968" s="1019" t="s">
        <v>135</v>
      </c>
      <c r="C968" s="1020" t="s">
        <v>1035</v>
      </c>
      <c r="D968" s="1020" t="s">
        <v>1036</v>
      </c>
      <c r="E968" s="1020" t="s">
        <v>552</v>
      </c>
      <c r="F968" s="1020">
        <v>2021.0</v>
      </c>
      <c r="G968" s="1021">
        <v>1.11E-5</v>
      </c>
      <c r="H968" s="1021">
        <v>2.23E-7</v>
      </c>
      <c r="I968" s="1022">
        <v>5.81E-5</v>
      </c>
      <c r="K968" s="1031" t="s">
        <v>125</v>
      </c>
      <c r="L968" s="1032" t="s">
        <v>608</v>
      </c>
      <c r="M968" s="1032" t="s">
        <v>1035</v>
      </c>
      <c r="N968" s="1032" t="s">
        <v>1045</v>
      </c>
      <c r="O968" s="1032">
        <v>2021.0</v>
      </c>
      <c r="P968" s="1032" t="s">
        <v>1039</v>
      </c>
      <c r="Q968" s="1033" t="s">
        <v>63</v>
      </c>
      <c r="R968" s="1034">
        <v>72.72755246</v>
      </c>
      <c r="S968" s="1034">
        <v>30.78541186</v>
      </c>
      <c r="T968" s="1035">
        <v>142.6024587</v>
      </c>
      <c r="AB968" s="1045"/>
      <c r="AF968" s="225"/>
    </row>
    <row r="969">
      <c r="A969" s="1013"/>
      <c r="B969" s="1019" t="s">
        <v>135</v>
      </c>
      <c r="C969" s="1020" t="s">
        <v>1035</v>
      </c>
      <c r="D969" s="1020" t="s">
        <v>1041</v>
      </c>
      <c r="E969" s="1020" t="s">
        <v>552</v>
      </c>
      <c r="F969" s="1020">
        <v>2021.0</v>
      </c>
      <c r="G969" s="1021">
        <v>7.3E-6</v>
      </c>
      <c r="H969" s="1021">
        <v>2.09E-7</v>
      </c>
      <c r="I969" s="1022">
        <v>3.74E-5</v>
      </c>
      <c r="K969" s="1031" t="s">
        <v>126</v>
      </c>
      <c r="L969" s="1032" t="s">
        <v>608</v>
      </c>
      <c r="M969" s="1032" t="s">
        <v>1035</v>
      </c>
      <c r="N969" s="1032" t="s">
        <v>1038</v>
      </c>
      <c r="O969" s="1032">
        <v>2021.0</v>
      </c>
      <c r="P969" s="1032" t="s">
        <v>1039</v>
      </c>
      <c r="Q969" s="1033" t="s">
        <v>63</v>
      </c>
      <c r="R969" s="1034">
        <v>78.31187822</v>
      </c>
      <c r="S969" s="1034">
        <v>21.21962138</v>
      </c>
      <c r="T969" s="1035">
        <v>178.1547934</v>
      </c>
      <c r="AB969" s="1045"/>
      <c r="AF969" s="225"/>
    </row>
    <row r="970">
      <c r="A970" s="1013"/>
      <c r="B970" s="1019" t="s">
        <v>135</v>
      </c>
      <c r="C970" s="1020" t="s">
        <v>1035</v>
      </c>
      <c r="D970" s="1020" t="s">
        <v>1043</v>
      </c>
      <c r="E970" s="1020" t="s">
        <v>552</v>
      </c>
      <c r="F970" s="1020">
        <v>2021.0</v>
      </c>
      <c r="G970" s="1021">
        <v>4.08E-5</v>
      </c>
      <c r="H970" s="1021">
        <v>1.17E-6</v>
      </c>
      <c r="I970" s="1022">
        <v>2.1294E-4</v>
      </c>
      <c r="K970" s="1031" t="s">
        <v>126</v>
      </c>
      <c r="L970" s="1032" t="s">
        <v>608</v>
      </c>
      <c r="M970" s="1032" t="s">
        <v>1035</v>
      </c>
      <c r="N970" s="1032" t="s">
        <v>1042</v>
      </c>
      <c r="O970" s="1032">
        <v>2021.0</v>
      </c>
      <c r="P970" s="1032" t="s">
        <v>1039</v>
      </c>
      <c r="Q970" s="1033" t="s">
        <v>63</v>
      </c>
      <c r="R970" s="1034">
        <v>22.41188221</v>
      </c>
      <c r="S970" s="1034">
        <v>11.14754624</v>
      </c>
      <c r="T970" s="1035">
        <v>39.87403561</v>
      </c>
      <c r="AB970" s="1045"/>
      <c r="AF970" s="225"/>
    </row>
    <row r="971">
      <c r="A971" s="1013"/>
      <c r="B971" s="1019" t="s">
        <v>135</v>
      </c>
      <c r="C971" s="1020" t="s">
        <v>1035</v>
      </c>
      <c r="D971" s="1020" t="s">
        <v>1045</v>
      </c>
      <c r="E971" s="1020" t="s">
        <v>552</v>
      </c>
      <c r="F971" s="1020">
        <v>2021.0</v>
      </c>
      <c r="G971" s="1021">
        <v>2.6046E-4</v>
      </c>
      <c r="H971" s="1021">
        <v>8.38E-6</v>
      </c>
      <c r="I971" s="1022">
        <v>0.001334723</v>
      </c>
      <c r="K971" s="1031" t="s">
        <v>126</v>
      </c>
      <c r="L971" s="1032" t="s">
        <v>608</v>
      </c>
      <c r="M971" s="1032" t="s">
        <v>1035</v>
      </c>
      <c r="N971" s="1032" t="s">
        <v>1044</v>
      </c>
      <c r="O971" s="1032">
        <v>2021.0</v>
      </c>
      <c r="P971" s="1032" t="s">
        <v>1039</v>
      </c>
      <c r="Q971" s="1033" t="s">
        <v>63</v>
      </c>
      <c r="R971" s="1034">
        <v>11.73715441</v>
      </c>
      <c r="S971" s="1034">
        <v>5.958708525</v>
      </c>
      <c r="T971" s="1035">
        <v>22.05674526</v>
      </c>
      <c r="AB971" s="1045"/>
      <c r="AF971" s="225"/>
    </row>
    <row r="972">
      <c r="A972" s="1013"/>
      <c r="B972" s="1019" t="s">
        <v>136</v>
      </c>
      <c r="C972" s="1020" t="s">
        <v>1035</v>
      </c>
      <c r="D972" s="1020" t="s">
        <v>1036</v>
      </c>
      <c r="E972" s="1020" t="s">
        <v>552</v>
      </c>
      <c r="F972" s="1020">
        <v>2021.0</v>
      </c>
      <c r="G972" s="1021">
        <v>1.12E-5</v>
      </c>
      <c r="H972" s="1021">
        <v>1.64E-7</v>
      </c>
      <c r="I972" s="1022">
        <v>5.51E-5</v>
      </c>
      <c r="K972" s="1031" t="s">
        <v>126</v>
      </c>
      <c r="L972" s="1032" t="s">
        <v>608</v>
      </c>
      <c r="M972" s="1032" t="s">
        <v>1035</v>
      </c>
      <c r="N972" s="1032" t="s">
        <v>1046</v>
      </c>
      <c r="O972" s="1032">
        <v>2021.0</v>
      </c>
      <c r="P972" s="1032" t="s">
        <v>1039</v>
      </c>
      <c r="Q972" s="1033" t="s">
        <v>63</v>
      </c>
      <c r="R972" s="1034">
        <v>90.56929471</v>
      </c>
      <c r="S972" s="1034">
        <v>31.49899169</v>
      </c>
      <c r="T972" s="1035">
        <v>182.519852</v>
      </c>
      <c r="AB972" s="1045"/>
      <c r="AF972" s="225"/>
    </row>
    <row r="973">
      <c r="A973" s="1013"/>
      <c r="B973" s="1019" t="s">
        <v>136</v>
      </c>
      <c r="C973" s="1020" t="s">
        <v>1035</v>
      </c>
      <c r="D973" s="1020" t="s">
        <v>1041</v>
      </c>
      <c r="E973" s="1020" t="s">
        <v>552</v>
      </c>
      <c r="F973" s="1020">
        <v>2021.0</v>
      </c>
      <c r="G973" s="1021">
        <v>8.41E-6</v>
      </c>
      <c r="H973" s="1021">
        <v>1.55E-7</v>
      </c>
      <c r="I973" s="1022">
        <v>3.89E-5</v>
      </c>
      <c r="K973" s="1031" t="s">
        <v>126</v>
      </c>
      <c r="L973" s="1032" t="s">
        <v>608</v>
      </c>
      <c r="M973" s="1032" t="s">
        <v>1035</v>
      </c>
      <c r="N973" s="1032" t="s">
        <v>1045</v>
      </c>
      <c r="O973" s="1032">
        <v>2021.0</v>
      </c>
      <c r="P973" s="1032" t="s">
        <v>1039</v>
      </c>
      <c r="Q973" s="1033" t="s">
        <v>63</v>
      </c>
      <c r="R973" s="1034">
        <v>203.0302095</v>
      </c>
      <c r="S973" s="1034">
        <v>79.59303529</v>
      </c>
      <c r="T973" s="1035">
        <v>392.2031487</v>
      </c>
      <c r="AB973" s="1045"/>
      <c r="AF973" s="225"/>
    </row>
    <row r="974">
      <c r="A974" s="1013"/>
      <c r="B974" s="1019" t="s">
        <v>136</v>
      </c>
      <c r="C974" s="1020" t="s">
        <v>1035</v>
      </c>
      <c r="D974" s="1020" t="s">
        <v>1043</v>
      </c>
      <c r="E974" s="1020" t="s">
        <v>552</v>
      </c>
      <c r="F974" s="1020">
        <v>2021.0</v>
      </c>
      <c r="G974" s="1021">
        <v>5.01E-5</v>
      </c>
      <c r="H974" s="1021">
        <v>1.07E-6</v>
      </c>
      <c r="I974" s="1022">
        <v>2.33384E-4</v>
      </c>
      <c r="K974" s="1031" t="s">
        <v>114</v>
      </c>
      <c r="L974" s="1032" t="s">
        <v>608</v>
      </c>
      <c r="M974" s="1032" t="s">
        <v>1035</v>
      </c>
      <c r="N974" s="1032" t="s">
        <v>1038</v>
      </c>
      <c r="O974" s="1032">
        <v>2021.0</v>
      </c>
      <c r="P974" s="1032" t="s">
        <v>1039</v>
      </c>
      <c r="Q974" s="1033" t="s">
        <v>63</v>
      </c>
      <c r="R974" s="1034">
        <v>1137.456056</v>
      </c>
      <c r="S974" s="1034">
        <v>582.704782</v>
      </c>
      <c r="T974" s="1035">
        <v>2062.751678</v>
      </c>
      <c r="AB974" s="1045"/>
      <c r="AF974" s="225"/>
    </row>
    <row r="975">
      <c r="A975" s="1013"/>
      <c r="B975" s="1019" t="s">
        <v>136</v>
      </c>
      <c r="C975" s="1020" t="s">
        <v>1035</v>
      </c>
      <c r="D975" s="1020" t="s">
        <v>1045</v>
      </c>
      <c r="E975" s="1020" t="s">
        <v>552</v>
      </c>
      <c r="F975" s="1020">
        <v>2021.0</v>
      </c>
      <c r="G975" s="1021">
        <v>3.33012E-4</v>
      </c>
      <c r="H975" s="1021">
        <v>8.95E-6</v>
      </c>
      <c r="I975" s="1022">
        <v>0.001480281</v>
      </c>
      <c r="K975" s="1031" t="s">
        <v>114</v>
      </c>
      <c r="L975" s="1032" t="s">
        <v>608</v>
      </c>
      <c r="M975" s="1032" t="s">
        <v>1035</v>
      </c>
      <c r="N975" s="1032" t="s">
        <v>1042</v>
      </c>
      <c r="O975" s="1032">
        <v>2021.0</v>
      </c>
      <c r="P975" s="1032" t="s">
        <v>1039</v>
      </c>
      <c r="Q975" s="1033" t="s">
        <v>63</v>
      </c>
      <c r="R975" s="1034">
        <v>106.4141194</v>
      </c>
      <c r="S975" s="1034">
        <v>56.26824209</v>
      </c>
      <c r="T975" s="1035">
        <v>173.5054566</v>
      </c>
      <c r="AB975" s="1045"/>
      <c r="AF975" s="225"/>
    </row>
    <row r="976">
      <c r="A976" s="1013"/>
      <c r="B976" s="1019" t="s">
        <v>115</v>
      </c>
      <c r="C976" s="1020" t="s">
        <v>1035</v>
      </c>
      <c r="D976" s="1020" t="s">
        <v>1036</v>
      </c>
      <c r="E976" s="1020" t="s">
        <v>552</v>
      </c>
      <c r="F976" s="1020">
        <v>2021.0</v>
      </c>
      <c r="G976" s="1021">
        <v>3.78E-5</v>
      </c>
      <c r="H976" s="1021">
        <v>6.23E-7</v>
      </c>
      <c r="I976" s="1022">
        <v>2.00176E-4</v>
      </c>
      <c r="K976" s="1031" t="s">
        <v>114</v>
      </c>
      <c r="L976" s="1032" t="s">
        <v>608</v>
      </c>
      <c r="M976" s="1032" t="s">
        <v>1035</v>
      </c>
      <c r="N976" s="1032" t="s">
        <v>1044</v>
      </c>
      <c r="O976" s="1032">
        <v>2021.0</v>
      </c>
      <c r="P976" s="1032" t="s">
        <v>1039</v>
      </c>
      <c r="Q976" s="1033" t="s">
        <v>63</v>
      </c>
      <c r="R976" s="1034">
        <v>52.03234816</v>
      </c>
      <c r="S976" s="1034">
        <v>27.81238107</v>
      </c>
      <c r="T976" s="1035">
        <v>87.18304828</v>
      </c>
      <c r="AB976" s="1045"/>
      <c r="AF976" s="225"/>
    </row>
    <row r="977">
      <c r="A977" s="1013"/>
      <c r="B977" s="1019" t="s">
        <v>115</v>
      </c>
      <c r="C977" s="1020" t="s">
        <v>1035</v>
      </c>
      <c r="D977" s="1020" t="s">
        <v>1041</v>
      </c>
      <c r="E977" s="1020" t="s">
        <v>552</v>
      </c>
      <c r="F977" s="1020">
        <v>2021.0</v>
      </c>
      <c r="G977" s="1021">
        <v>3.85E-5</v>
      </c>
      <c r="H977" s="1021">
        <v>8.26E-7</v>
      </c>
      <c r="I977" s="1022">
        <v>1.86135E-4</v>
      </c>
      <c r="K977" s="1031" t="s">
        <v>114</v>
      </c>
      <c r="L977" s="1032" t="s">
        <v>608</v>
      </c>
      <c r="M977" s="1032" t="s">
        <v>1035</v>
      </c>
      <c r="N977" s="1032" t="s">
        <v>1046</v>
      </c>
      <c r="O977" s="1032">
        <v>2021.0</v>
      </c>
      <c r="P977" s="1032" t="s">
        <v>1039</v>
      </c>
      <c r="Q977" s="1033" t="s">
        <v>63</v>
      </c>
      <c r="R977" s="1034">
        <v>443.2916408</v>
      </c>
      <c r="S977" s="1034">
        <v>269.1088989</v>
      </c>
      <c r="T977" s="1035">
        <v>731.3323922</v>
      </c>
      <c r="AB977" s="1045"/>
      <c r="AF977" s="225"/>
    </row>
    <row r="978">
      <c r="A978" s="1013"/>
      <c r="B978" s="1019" t="s">
        <v>115</v>
      </c>
      <c r="C978" s="1020" t="s">
        <v>1035</v>
      </c>
      <c r="D978" s="1020" t="s">
        <v>1043</v>
      </c>
      <c r="E978" s="1020" t="s">
        <v>552</v>
      </c>
      <c r="F978" s="1020">
        <v>2021.0</v>
      </c>
      <c r="G978" s="1021">
        <v>2.06465E-4</v>
      </c>
      <c r="H978" s="1021">
        <v>4.1E-6</v>
      </c>
      <c r="I978" s="1022">
        <v>0.001030301</v>
      </c>
      <c r="K978" s="1031" t="s">
        <v>114</v>
      </c>
      <c r="L978" s="1032" t="s">
        <v>608</v>
      </c>
      <c r="M978" s="1032" t="s">
        <v>1035</v>
      </c>
      <c r="N978" s="1032" t="s">
        <v>1045</v>
      </c>
      <c r="O978" s="1032">
        <v>2021.0</v>
      </c>
      <c r="P978" s="1032" t="s">
        <v>1039</v>
      </c>
      <c r="Q978" s="1033" t="s">
        <v>63</v>
      </c>
      <c r="R978" s="1034">
        <v>1739.194164</v>
      </c>
      <c r="S978" s="1034">
        <v>1031.69068</v>
      </c>
      <c r="T978" s="1035">
        <v>2847.363852</v>
      </c>
      <c r="AB978" s="1045"/>
      <c r="AF978" s="225"/>
    </row>
    <row r="979">
      <c r="A979" s="1013"/>
      <c r="B979" s="1019" t="s">
        <v>115</v>
      </c>
      <c r="C979" s="1020" t="s">
        <v>1035</v>
      </c>
      <c r="D979" s="1020" t="s">
        <v>1045</v>
      </c>
      <c r="E979" s="1020" t="s">
        <v>552</v>
      </c>
      <c r="F979" s="1020">
        <v>2021.0</v>
      </c>
      <c r="G979" s="1021">
        <v>0.001715755</v>
      </c>
      <c r="H979" s="1021">
        <v>6.57E-5</v>
      </c>
      <c r="I979" s="1022">
        <v>0.00746687</v>
      </c>
      <c r="K979" s="1031" t="s">
        <v>127</v>
      </c>
      <c r="L979" s="1032" t="s">
        <v>608</v>
      </c>
      <c r="M979" s="1032" t="s">
        <v>1035</v>
      </c>
      <c r="N979" s="1032" t="s">
        <v>1038</v>
      </c>
      <c r="O979" s="1032">
        <v>2021.0</v>
      </c>
      <c r="P979" s="1032" t="s">
        <v>1039</v>
      </c>
      <c r="Q979" s="1033" t="s">
        <v>63</v>
      </c>
      <c r="R979" s="1034">
        <v>18.81237994</v>
      </c>
      <c r="S979" s="1034">
        <v>6.696107927</v>
      </c>
      <c r="T979" s="1035">
        <v>38.33232252</v>
      </c>
      <c r="AB979" s="1045"/>
      <c r="AF979" s="225"/>
    </row>
    <row r="980">
      <c r="A980" s="1013"/>
      <c r="B980" s="1019" t="s">
        <v>137</v>
      </c>
      <c r="C980" s="1020" t="s">
        <v>1035</v>
      </c>
      <c r="D980" s="1020" t="s">
        <v>1036</v>
      </c>
      <c r="E980" s="1020" t="s">
        <v>552</v>
      </c>
      <c r="F980" s="1020">
        <v>2021.0</v>
      </c>
      <c r="G980" s="1021">
        <v>7.78E-6</v>
      </c>
      <c r="H980" s="1021">
        <v>1.3E-7</v>
      </c>
      <c r="I980" s="1022">
        <v>4.01E-5</v>
      </c>
      <c r="K980" s="1031" t="s">
        <v>127</v>
      </c>
      <c r="L980" s="1032" t="s">
        <v>608</v>
      </c>
      <c r="M980" s="1032" t="s">
        <v>1035</v>
      </c>
      <c r="N980" s="1032" t="s">
        <v>1042</v>
      </c>
      <c r="O980" s="1032">
        <v>2021.0</v>
      </c>
      <c r="P980" s="1032" t="s">
        <v>1039</v>
      </c>
      <c r="Q980" s="1033" t="s">
        <v>63</v>
      </c>
      <c r="R980" s="1034">
        <v>2.930334988</v>
      </c>
      <c r="S980" s="1034">
        <v>1.541250352</v>
      </c>
      <c r="T980" s="1035">
        <v>4.848987663</v>
      </c>
      <c r="AB980" s="1045"/>
      <c r="AF980" s="225"/>
    </row>
    <row r="981">
      <c r="A981" s="1013"/>
      <c r="B981" s="1019" t="s">
        <v>137</v>
      </c>
      <c r="C981" s="1020" t="s">
        <v>1035</v>
      </c>
      <c r="D981" s="1020" t="s">
        <v>1041</v>
      </c>
      <c r="E981" s="1020" t="s">
        <v>552</v>
      </c>
      <c r="F981" s="1020">
        <v>2021.0</v>
      </c>
      <c r="G981" s="1021">
        <v>5.45E-6</v>
      </c>
      <c r="H981" s="1021">
        <v>1.11E-7</v>
      </c>
      <c r="I981" s="1022">
        <v>2.73E-5</v>
      </c>
      <c r="K981" s="1031" t="s">
        <v>127</v>
      </c>
      <c r="L981" s="1032" t="s">
        <v>608</v>
      </c>
      <c r="M981" s="1032" t="s">
        <v>1035</v>
      </c>
      <c r="N981" s="1032" t="s">
        <v>1044</v>
      </c>
      <c r="O981" s="1032">
        <v>2021.0</v>
      </c>
      <c r="P981" s="1032" t="s">
        <v>1039</v>
      </c>
      <c r="Q981" s="1033" t="s">
        <v>63</v>
      </c>
      <c r="R981" s="1034">
        <v>1.616658064</v>
      </c>
      <c r="S981" s="1034">
        <v>0.860511752</v>
      </c>
      <c r="T981" s="1035">
        <v>2.939568458</v>
      </c>
      <c r="AB981" s="1045"/>
      <c r="AF981" s="225"/>
    </row>
    <row r="982">
      <c r="A982" s="1013"/>
      <c r="B982" s="1019" t="s">
        <v>137</v>
      </c>
      <c r="C982" s="1020" t="s">
        <v>1035</v>
      </c>
      <c r="D982" s="1020" t="s">
        <v>1043</v>
      </c>
      <c r="E982" s="1020" t="s">
        <v>552</v>
      </c>
      <c r="F982" s="1020">
        <v>2021.0</v>
      </c>
      <c r="G982" s="1021">
        <v>3.0E-5</v>
      </c>
      <c r="H982" s="1021">
        <v>7.28E-7</v>
      </c>
      <c r="I982" s="1022">
        <v>1.3572E-4</v>
      </c>
      <c r="K982" s="1031" t="s">
        <v>127</v>
      </c>
      <c r="L982" s="1032" t="s">
        <v>608</v>
      </c>
      <c r="M982" s="1032" t="s">
        <v>1035</v>
      </c>
      <c r="N982" s="1032" t="s">
        <v>1046</v>
      </c>
      <c r="O982" s="1032">
        <v>2021.0</v>
      </c>
      <c r="P982" s="1032" t="s">
        <v>1039</v>
      </c>
      <c r="Q982" s="1033" t="s">
        <v>63</v>
      </c>
      <c r="R982" s="1034">
        <v>11.71438266</v>
      </c>
      <c r="S982" s="1034">
        <v>5.25577306</v>
      </c>
      <c r="T982" s="1035">
        <v>21.21690255</v>
      </c>
      <c r="AB982" s="1045"/>
      <c r="AF982" s="225"/>
    </row>
    <row r="983">
      <c r="A983" s="1013"/>
      <c r="B983" s="1019" t="s">
        <v>137</v>
      </c>
      <c r="C983" s="1020" t="s">
        <v>1035</v>
      </c>
      <c r="D983" s="1020" t="s">
        <v>1045</v>
      </c>
      <c r="E983" s="1020" t="s">
        <v>552</v>
      </c>
      <c r="F983" s="1020">
        <v>2021.0</v>
      </c>
      <c r="G983" s="1021">
        <v>1.86305E-4</v>
      </c>
      <c r="H983" s="1021">
        <v>5.17E-6</v>
      </c>
      <c r="I983" s="1022">
        <v>8.07224E-4</v>
      </c>
      <c r="K983" s="1031" t="s">
        <v>127</v>
      </c>
      <c r="L983" s="1032" t="s">
        <v>608</v>
      </c>
      <c r="M983" s="1032" t="s">
        <v>1035</v>
      </c>
      <c r="N983" s="1032" t="s">
        <v>1045</v>
      </c>
      <c r="O983" s="1032">
        <v>2021.0</v>
      </c>
      <c r="P983" s="1032" t="s">
        <v>1039</v>
      </c>
      <c r="Q983" s="1033" t="s">
        <v>63</v>
      </c>
      <c r="R983" s="1034">
        <v>35.07375564</v>
      </c>
      <c r="S983" s="1034">
        <v>15.75941655</v>
      </c>
      <c r="T983" s="1035">
        <v>65.42312365</v>
      </c>
      <c r="AB983" s="1045"/>
      <c r="AF983" s="225"/>
    </row>
    <row r="984">
      <c r="A984" s="1013"/>
      <c r="B984" s="1019" t="s">
        <v>116</v>
      </c>
      <c r="C984" s="1020" t="s">
        <v>1035</v>
      </c>
      <c r="D984" s="1020" t="s">
        <v>1036</v>
      </c>
      <c r="E984" s="1020" t="s">
        <v>552</v>
      </c>
      <c r="F984" s="1020">
        <v>2021.0</v>
      </c>
      <c r="G984" s="1021">
        <v>6.91E-5</v>
      </c>
      <c r="H984" s="1021">
        <v>1.39E-6</v>
      </c>
      <c r="I984" s="1022">
        <v>3.71038E-4</v>
      </c>
      <c r="K984" s="1031" t="s">
        <v>128</v>
      </c>
      <c r="L984" s="1032" t="s">
        <v>608</v>
      </c>
      <c r="M984" s="1032" t="s">
        <v>1035</v>
      </c>
      <c r="N984" s="1032" t="s">
        <v>1038</v>
      </c>
      <c r="O984" s="1032">
        <v>2021.0</v>
      </c>
      <c r="P984" s="1032" t="s">
        <v>1039</v>
      </c>
      <c r="Q984" s="1033" t="s">
        <v>63</v>
      </c>
      <c r="R984" s="1034">
        <v>206.0629385</v>
      </c>
      <c r="S984" s="1034">
        <v>76.74994462</v>
      </c>
      <c r="T984" s="1035">
        <v>437.9252465</v>
      </c>
      <c r="AB984" s="1045"/>
      <c r="AF984" s="225"/>
    </row>
    <row r="985">
      <c r="A985" s="1013"/>
      <c r="B985" s="1019" t="s">
        <v>116</v>
      </c>
      <c r="C985" s="1020" t="s">
        <v>1035</v>
      </c>
      <c r="D985" s="1020" t="s">
        <v>1041</v>
      </c>
      <c r="E985" s="1020" t="s">
        <v>552</v>
      </c>
      <c r="F985" s="1020">
        <v>2021.0</v>
      </c>
      <c r="G985" s="1021">
        <v>5.41E-5</v>
      </c>
      <c r="H985" s="1021">
        <v>1.21E-6</v>
      </c>
      <c r="I985" s="1022">
        <v>3.04852E-4</v>
      </c>
      <c r="K985" s="1031" t="s">
        <v>128</v>
      </c>
      <c r="L985" s="1032" t="s">
        <v>608</v>
      </c>
      <c r="M985" s="1032" t="s">
        <v>1035</v>
      </c>
      <c r="N985" s="1032" t="s">
        <v>1042</v>
      </c>
      <c r="O985" s="1032">
        <v>2021.0</v>
      </c>
      <c r="P985" s="1032" t="s">
        <v>1039</v>
      </c>
      <c r="Q985" s="1033" t="s">
        <v>63</v>
      </c>
      <c r="R985" s="1034">
        <v>68.72042112</v>
      </c>
      <c r="S985" s="1034">
        <v>34.05654105</v>
      </c>
      <c r="T985" s="1035">
        <v>121.0454746</v>
      </c>
      <c r="AB985" s="1045"/>
      <c r="AF985" s="225"/>
    </row>
    <row r="986">
      <c r="A986" s="1013"/>
      <c r="B986" s="1019" t="s">
        <v>116</v>
      </c>
      <c r="C986" s="1020" t="s">
        <v>1035</v>
      </c>
      <c r="D986" s="1020" t="s">
        <v>1043</v>
      </c>
      <c r="E986" s="1020" t="s">
        <v>552</v>
      </c>
      <c r="F986" s="1020">
        <v>2021.0</v>
      </c>
      <c r="G986" s="1021">
        <v>2.90793E-4</v>
      </c>
      <c r="H986" s="1021">
        <v>6.29E-6</v>
      </c>
      <c r="I986" s="1022">
        <v>0.001369895</v>
      </c>
      <c r="K986" s="1031" t="s">
        <v>128</v>
      </c>
      <c r="L986" s="1032" t="s">
        <v>608</v>
      </c>
      <c r="M986" s="1032" t="s">
        <v>1035</v>
      </c>
      <c r="N986" s="1032" t="s">
        <v>1044</v>
      </c>
      <c r="O986" s="1032">
        <v>2021.0</v>
      </c>
      <c r="P986" s="1032" t="s">
        <v>1039</v>
      </c>
      <c r="Q986" s="1033" t="s">
        <v>63</v>
      </c>
      <c r="R986" s="1034">
        <v>37.0440206</v>
      </c>
      <c r="S986" s="1034">
        <v>18.72965213</v>
      </c>
      <c r="T986" s="1035">
        <v>66.94239386</v>
      </c>
      <c r="AB986" s="1045"/>
      <c r="AF986" s="225"/>
    </row>
    <row r="987">
      <c r="A987" s="1013"/>
      <c r="B987" s="1019" t="s">
        <v>116</v>
      </c>
      <c r="C987" s="1020" t="s">
        <v>1035</v>
      </c>
      <c r="D987" s="1020" t="s">
        <v>1045</v>
      </c>
      <c r="E987" s="1020" t="s">
        <v>552</v>
      </c>
      <c r="F987" s="1020">
        <v>2021.0</v>
      </c>
      <c r="G987" s="1021">
        <v>0.002305103</v>
      </c>
      <c r="H987" s="1021">
        <v>8.01E-5</v>
      </c>
      <c r="I987" s="1022">
        <v>0.009312211</v>
      </c>
      <c r="K987" s="1031" t="s">
        <v>128</v>
      </c>
      <c r="L987" s="1032" t="s">
        <v>608</v>
      </c>
      <c r="M987" s="1032" t="s">
        <v>1035</v>
      </c>
      <c r="N987" s="1032" t="s">
        <v>1046</v>
      </c>
      <c r="O987" s="1032">
        <v>2021.0</v>
      </c>
      <c r="P987" s="1032" t="s">
        <v>1039</v>
      </c>
      <c r="Q987" s="1033" t="s">
        <v>63</v>
      </c>
      <c r="R987" s="1034">
        <v>317.0557522</v>
      </c>
      <c r="S987" s="1034">
        <v>161.4128011</v>
      </c>
      <c r="T987" s="1035">
        <v>573.2317454</v>
      </c>
      <c r="AB987" s="1045"/>
      <c r="AF987" s="225"/>
    </row>
    <row r="988">
      <c r="A988" s="1013"/>
      <c r="B988" s="1019" t="s">
        <v>138</v>
      </c>
      <c r="C988" s="1020" t="s">
        <v>1035</v>
      </c>
      <c r="D988" s="1020" t="s">
        <v>1036</v>
      </c>
      <c r="E988" s="1020" t="s">
        <v>552</v>
      </c>
      <c r="F988" s="1020">
        <v>2021.0</v>
      </c>
      <c r="G988" s="1021">
        <v>3.12E-5</v>
      </c>
      <c r="H988" s="1021">
        <v>6.02E-7</v>
      </c>
      <c r="I988" s="1022">
        <v>1.53684E-4</v>
      </c>
      <c r="K988" s="1031" t="s">
        <v>128</v>
      </c>
      <c r="L988" s="1032" t="s">
        <v>608</v>
      </c>
      <c r="M988" s="1032" t="s">
        <v>1035</v>
      </c>
      <c r="N988" s="1032" t="s">
        <v>1045</v>
      </c>
      <c r="O988" s="1032">
        <v>2021.0</v>
      </c>
      <c r="P988" s="1032" t="s">
        <v>1039</v>
      </c>
      <c r="Q988" s="1033" t="s">
        <v>63</v>
      </c>
      <c r="R988" s="1034">
        <v>628.8831324</v>
      </c>
      <c r="S988" s="1034">
        <v>334.9813735</v>
      </c>
      <c r="T988" s="1035">
        <v>1137.726237</v>
      </c>
      <c r="AB988" s="1045"/>
      <c r="AF988" s="225"/>
    </row>
    <row r="989">
      <c r="A989" s="294"/>
      <c r="B989" s="1019" t="s">
        <v>138</v>
      </c>
      <c r="C989" s="1020" t="s">
        <v>1035</v>
      </c>
      <c r="D989" s="1020" t="s">
        <v>1041</v>
      </c>
      <c r="E989" s="1020" t="s">
        <v>552</v>
      </c>
      <c r="F989" s="1020">
        <v>2021.0</v>
      </c>
      <c r="G989" s="1021">
        <v>2.93E-5</v>
      </c>
      <c r="H989" s="1021">
        <v>6.42E-7</v>
      </c>
      <c r="I989" s="1022">
        <v>1.4508E-4</v>
      </c>
      <c r="K989" s="1031" t="s">
        <v>129</v>
      </c>
      <c r="L989" s="1032" t="s">
        <v>608</v>
      </c>
      <c r="M989" s="1032" t="s">
        <v>1035</v>
      </c>
      <c r="N989" s="1032" t="s">
        <v>1038</v>
      </c>
      <c r="O989" s="1032">
        <v>2021.0</v>
      </c>
      <c r="P989" s="1032" t="s">
        <v>1039</v>
      </c>
      <c r="Q989" s="1033" t="s">
        <v>63</v>
      </c>
      <c r="R989" s="1034">
        <v>123.2562075</v>
      </c>
      <c r="S989" s="1034">
        <v>47.59283259</v>
      </c>
      <c r="T989" s="1035">
        <v>251.3061121</v>
      </c>
      <c r="AB989" s="1045"/>
      <c r="AF989" s="225"/>
    </row>
    <row r="990">
      <c r="A990" s="294"/>
      <c r="B990" s="1019" t="s">
        <v>138</v>
      </c>
      <c r="C990" s="1020" t="s">
        <v>1035</v>
      </c>
      <c r="D990" s="1020" t="s">
        <v>1043</v>
      </c>
      <c r="E990" s="1020" t="s">
        <v>552</v>
      </c>
      <c r="F990" s="1020">
        <v>2021.0</v>
      </c>
      <c r="G990" s="1021">
        <v>1.72137E-4</v>
      </c>
      <c r="H990" s="1021">
        <v>4.83E-6</v>
      </c>
      <c r="I990" s="1022">
        <v>7.73166E-4</v>
      </c>
      <c r="K990" s="1031" t="s">
        <v>129</v>
      </c>
      <c r="L990" s="1032" t="s">
        <v>608</v>
      </c>
      <c r="M990" s="1032" t="s">
        <v>1035</v>
      </c>
      <c r="N990" s="1032" t="s">
        <v>1042</v>
      </c>
      <c r="O990" s="1032">
        <v>2021.0</v>
      </c>
      <c r="P990" s="1032" t="s">
        <v>1039</v>
      </c>
      <c r="Q990" s="1033" t="s">
        <v>63</v>
      </c>
      <c r="R990" s="1034">
        <v>29.149782</v>
      </c>
      <c r="S990" s="1034">
        <v>14.94781615</v>
      </c>
      <c r="T990" s="1035">
        <v>48.57647989</v>
      </c>
      <c r="AB990" s="1045"/>
    </row>
    <row r="991">
      <c r="A991" s="294"/>
      <c r="B991" s="1019" t="s">
        <v>138</v>
      </c>
      <c r="C991" s="1020" t="s">
        <v>1035</v>
      </c>
      <c r="D991" s="1020" t="s">
        <v>1045</v>
      </c>
      <c r="E991" s="1020" t="s">
        <v>552</v>
      </c>
      <c r="F991" s="1020">
        <v>2021.0</v>
      </c>
      <c r="G991" s="1021">
        <v>0.001196296</v>
      </c>
      <c r="H991" s="1021">
        <v>4.3E-5</v>
      </c>
      <c r="I991" s="1022">
        <v>0.005604784</v>
      </c>
      <c r="K991" s="1031" t="s">
        <v>129</v>
      </c>
      <c r="L991" s="1032" t="s">
        <v>608</v>
      </c>
      <c r="M991" s="1032" t="s">
        <v>1035</v>
      </c>
      <c r="N991" s="1032" t="s">
        <v>1044</v>
      </c>
      <c r="O991" s="1032">
        <v>2021.0</v>
      </c>
      <c r="P991" s="1032" t="s">
        <v>1039</v>
      </c>
      <c r="Q991" s="1033" t="s">
        <v>63</v>
      </c>
      <c r="R991" s="1034">
        <v>17.84102987</v>
      </c>
      <c r="S991" s="1034">
        <v>9.608764311</v>
      </c>
      <c r="T991" s="1035">
        <v>30.34158756</v>
      </c>
      <c r="AB991" s="1045"/>
    </row>
    <row r="992">
      <c r="A992" s="294"/>
      <c r="B992" s="1019" t="s">
        <v>118</v>
      </c>
      <c r="C992" s="1020" t="s">
        <v>1035</v>
      </c>
      <c r="D992" s="1020" t="s">
        <v>1036</v>
      </c>
      <c r="E992" s="1020" t="s">
        <v>552</v>
      </c>
      <c r="F992" s="1020">
        <v>2021.0</v>
      </c>
      <c r="G992" s="1021">
        <v>3.37E-5</v>
      </c>
      <c r="H992" s="1021">
        <v>7.43E-7</v>
      </c>
      <c r="I992" s="1022">
        <v>1.54572E-4</v>
      </c>
      <c r="K992" s="1031" t="s">
        <v>129</v>
      </c>
      <c r="L992" s="1032" t="s">
        <v>608</v>
      </c>
      <c r="M992" s="1032" t="s">
        <v>1035</v>
      </c>
      <c r="N992" s="1032" t="s">
        <v>1046</v>
      </c>
      <c r="O992" s="1032">
        <v>2021.0</v>
      </c>
      <c r="P992" s="1032" t="s">
        <v>1039</v>
      </c>
      <c r="Q992" s="1033" t="s">
        <v>63</v>
      </c>
      <c r="R992" s="1034">
        <v>107.2171156</v>
      </c>
      <c r="S992" s="1034">
        <v>55.77617324</v>
      </c>
      <c r="T992" s="1035">
        <v>180.7969388</v>
      </c>
      <c r="AB992" s="1045"/>
    </row>
    <row r="993">
      <c r="A993" s="294"/>
      <c r="B993" s="1019" t="s">
        <v>118</v>
      </c>
      <c r="C993" s="1020" t="s">
        <v>1035</v>
      </c>
      <c r="D993" s="1020" t="s">
        <v>1041</v>
      </c>
      <c r="E993" s="1020" t="s">
        <v>552</v>
      </c>
      <c r="F993" s="1020">
        <v>2021.0</v>
      </c>
      <c r="G993" s="1021">
        <v>3.67E-5</v>
      </c>
      <c r="H993" s="1021">
        <v>9.73E-7</v>
      </c>
      <c r="I993" s="1022">
        <v>1.65155E-4</v>
      </c>
      <c r="K993" s="1031" t="s">
        <v>129</v>
      </c>
      <c r="L993" s="1032" t="s">
        <v>608</v>
      </c>
      <c r="M993" s="1032" t="s">
        <v>1035</v>
      </c>
      <c r="N993" s="1032" t="s">
        <v>1045</v>
      </c>
      <c r="O993" s="1032">
        <v>2021.0</v>
      </c>
      <c r="P993" s="1032" t="s">
        <v>1039</v>
      </c>
      <c r="Q993" s="1033" t="s">
        <v>63</v>
      </c>
      <c r="R993" s="1034">
        <v>277.464135</v>
      </c>
      <c r="S993" s="1034">
        <v>146.7862429</v>
      </c>
      <c r="T993" s="1035">
        <v>475.2081569</v>
      </c>
      <c r="AB993" s="1045"/>
    </row>
    <row r="994">
      <c r="A994" s="294"/>
      <c r="B994" s="1019" t="s">
        <v>118</v>
      </c>
      <c r="C994" s="1020" t="s">
        <v>1035</v>
      </c>
      <c r="D994" s="1020" t="s">
        <v>1043</v>
      </c>
      <c r="E994" s="1020" t="s">
        <v>552</v>
      </c>
      <c r="F994" s="1020">
        <v>2021.0</v>
      </c>
      <c r="G994" s="1021">
        <v>1.77755E-4</v>
      </c>
      <c r="H994" s="1021">
        <v>3.27E-6</v>
      </c>
      <c r="I994" s="1022">
        <v>8.46603E-4</v>
      </c>
      <c r="K994" s="1031" t="s">
        <v>130</v>
      </c>
      <c r="L994" s="1032" t="s">
        <v>608</v>
      </c>
      <c r="M994" s="1032" t="s">
        <v>1035</v>
      </c>
      <c r="N994" s="1032" t="s">
        <v>1038</v>
      </c>
      <c r="O994" s="1032">
        <v>2021.0</v>
      </c>
      <c r="P994" s="1032" t="s">
        <v>1039</v>
      </c>
      <c r="Q994" s="1033" t="s">
        <v>63</v>
      </c>
      <c r="R994" s="1034">
        <v>31.84175625</v>
      </c>
      <c r="S994" s="1034">
        <v>11.05020284</v>
      </c>
      <c r="T994" s="1035">
        <v>66.78193536</v>
      </c>
      <c r="AB994" s="1045"/>
    </row>
    <row r="995">
      <c r="A995" s="294"/>
      <c r="B995" s="1019" t="s">
        <v>118</v>
      </c>
      <c r="C995" s="1020" t="s">
        <v>1035</v>
      </c>
      <c r="D995" s="1020" t="s">
        <v>1045</v>
      </c>
      <c r="E995" s="1020" t="s">
        <v>552</v>
      </c>
      <c r="F995" s="1020">
        <v>2021.0</v>
      </c>
      <c r="G995" s="1021">
        <v>0.001434608</v>
      </c>
      <c r="H995" s="1021">
        <v>4.77E-5</v>
      </c>
      <c r="I995" s="1022">
        <v>0.006059157</v>
      </c>
      <c r="K995" s="1031" t="s">
        <v>130</v>
      </c>
      <c r="L995" s="1032" t="s">
        <v>608</v>
      </c>
      <c r="M995" s="1032" t="s">
        <v>1035</v>
      </c>
      <c r="N995" s="1032" t="s">
        <v>1042</v>
      </c>
      <c r="O995" s="1032">
        <v>2021.0</v>
      </c>
      <c r="P995" s="1032" t="s">
        <v>1039</v>
      </c>
      <c r="Q995" s="1033" t="s">
        <v>63</v>
      </c>
      <c r="R995" s="1034">
        <v>7.597028806</v>
      </c>
      <c r="S995" s="1034">
        <v>4.010516272</v>
      </c>
      <c r="T995" s="1035">
        <v>13.58432716</v>
      </c>
      <c r="AB995" s="1045"/>
    </row>
    <row r="996">
      <c r="A996" s="294"/>
      <c r="B996" s="1019" t="s">
        <v>119</v>
      </c>
      <c r="C996" s="1020" t="s">
        <v>1035</v>
      </c>
      <c r="D996" s="1020" t="s">
        <v>1036</v>
      </c>
      <c r="E996" s="1020" t="s">
        <v>552</v>
      </c>
      <c r="F996" s="1020">
        <v>2021.0</v>
      </c>
      <c r="G996" s="1021">
        <v>5.12E-5</v>
      </c>
      <c r="H996" s="1021">
        <v>1.15E-6</v>
      </c>
      <c r="I996" s="1022">
        <v>2.56665E-4</v>
      </c>
      <c r="K996" s="1031" t="s">
        <v>130</v>
      </c>
      <c r="L996" s="1032" t="s">
        <v>608</v>
      </c>
      <c r="M996" s="1032" t="s">
        <v>1035</v>
      </c>
      <c r="N996" s="1032" t="s">
        <v>1044</v>
      </c>
      <c r="O996" s="1032">
        <v>2021.0</v>
      </c>
      <c r="P996" s="1032" t="s">
        <v>1039</v>
      </c>
      <c r="Q996" s="1033" t="s">
        <v>63</v>
      </c>
      <c r="R996" s="1034">
        <v>4.592414057</v>
      </c>
      <c r="S996" s="1034">
        <v>2.395804352</v>
      </c>
      <c r="T996" s="1035">
        <v>8.15565514</v>
      </c>
      <c r="AB996" s="1045"/>
    </row>
    <row r="997">
      <c r="A997" s="294"/>
      <c r="B997" s="1019" t="s">
        <v>119</v>
      </c>
      <c r="C997" s="1020" t="s">
        <v>1035</v>
      </c>
      <c r="D997" s="1020" t="s">
        <v>1041</v>
      </c>
      <c r="E997" s="1020" t="s">
        <v>552</v>
      </c>
      <c r="F997" s="1020">
        <v>2021.0</v>
      </c>
      <c r="G997" s="1021">
        <v>4.68E-5</v>
      </c>
      <c r="H997" s="1021">
        <v>1.32E-6</v>
      </c>
      <c r="I997" s="1022">
        <v>2.24941E-4</v>
      </c>
      <c r="K997" s="1031" t="s">
        <v>130</v>
      </c>
      <c r="L997" s="1032" t="s">
        <v>608</v>
      </c>
      <c r="M997" s="1032" t="s">
        <v>1035</v>
      </c>
      <c r="N997" s="1032" t="s">
        <v>1046</v>
      </c>
      <c r="O997" s="1032">
        <v>2021.0</v>
      </c>
      <c r="P997" s="1032" t="s">
        <v>1039</v>
      </c>
      <c r="Q997" s="1033" t="s">
        <v>63</v>
      </c>
      <c r="R997" s="1034">
        <v>34.79645029</v>
      </c>
      <c r="S997" s="1034">
        <v>15.05420602</v>
      </c>
      <c r="T997" s="1035">
        <v>69.28337246</v>
      </c>
      <c r="AB997" s="1045"/>
    </row>
    <row r="998">
      <c r="A998" s="294"/>
      <c r="B998" s="1019" t="s">
        <v>119</v>
      </c>
      <c r="C998" s="1020" t="s">
        <v>1035</v>
      </c>
      <c r="D998" s="1020" t="s">
        <v>1043</v>
      </c>
      <c r="E998" s="1020" t="s">
        <v>552</v>
      </c>
      <c r="F998" s="1020">
        <v>2021.0</v>
      </c>
      <c r="G998" s="1021">
        <v>2.45196E-4</v>
      </c>
      <c r="H998" s="1021">
        <v>8.88E-6</v>
      </c>
      <c r="I998" s="1022">
        <v>0.001079646</v>
      </c>
      <c r="K998" s="1031" t="s">
        <v>130</v>
      </c>
      <c r="L998" s="1032" t="s">
        <v>608</v>
      </c>
      <c r="M998" s="1032" t="s">
        <v>1035</v>
      </c>
      <c r="N998" s="1032" t="s">
        <v>1045</v>
      </c>
      <c r="O998" s="1032">
        <v>2021.0</v>
      </c>
      <c r="P998" s="1032" t="s">
        <v>1039</v>
      </c>
      <c r="Q998" s="1033" t="s">
        <v>63</v>
      </c>
      <c r="R998" s="1034">
        <v>78.8276494</v>
      </c>
      <c r="S998" s="1034">
        <v>34.82998637</v>
      </c>
      <c r="T998" s="1035">
        <v>149.0683888</v>
      </c>
      <c r="AB998" s="1045"/>
    </row>
    <row r="999">
      <c r="A999" s="294"/>
      <c r="B999" s="1019" t="s">
        <v>119</v>
      </c>
      <c r="C999" s="1020" t="s">
        <v>1035</v>
      </c>
      <c r="D999" s="1020" t="s">
        <v>1045</v>
      </c>
      <c r="E999" s="1020" t="s">
        <v>552</v>
      </c>
      <c r="F999" s="1020">
        <v>2021.0</v>
      </c>
      <c r="G999" s="1021">
        <v>0.001871217</v>
      </c>
      <c r="H999" s="1021">
        <v>8.18E-5</v>
      </c>
      <c r="I999" s="1022">
        <v>0.008240088</v>
      </c>
      <c r="K999" s="1031" t="s">
        <v>131</v>
      </c>
      <c r="L999" s="1032" t="s">
        <v>608</v>
      </c>
      <c r="M999" s="1032" t="s">
        <v>1035</v>
      </c>
      <c r="N999" s="1032" t="s">
        <v>1038</v>
      </c>
      <c r="O999" s="1032">
        <v>2021.0</v>
      </c>
      <c r="P999" s="1032" t="s">
        <v>1039</v>
      </c>
      <c r="Q999" s="1033" t="s">
        <v>63</v>
      </c>
      <c r="R999" s="1034">
        <v>77.66442187</v>
      </c>
      <c r="S999" s="1034">
        <v>22.03024821</v>
      </c>
      <c r="T999" s="1035">
        <v>173.6780433</v>
      </c>
      <c r="AB999" s="1045"/>
    </row>
    <row r="1000">
      <c r="A1000" s="294"/>
      <c r="B1000" s="1019" t="s">
        <v>120</v>
      </c>
      <c r="C1000" s="1020" t="s">
        <v>1035</v>
      </c>
      <c r="D1000" s="1020" t="s">
        <v>1036</v>
      </c>
      <c r="E1000" s="1020" t="s">
        <v>552</v>
      </c>
      <c r="F1000" s="1020">
        <v>2021.0</v>
      </c>
      <c r="G1000" s="1021">
        <v>5.8E-5</v>
      </c>
      <c r="H1000" s="1021">
        <v>1.04E-6</v>
      </c>
      <c r="I1000" s="1022">
        <v>3.00391E-4</v>
      </c>
      <c r="K1000" s="1031" t="s">
        <v>131</v>
      </c>
      <c r="L1000" s="1032" t="s">
        <v>608</v>
      </c>
      <c r="M1000" s="1032" t="s">
        <v>1035</v>
      </c>
      <c r="N1000" s="1032" t="s">
        <v>1042</v>
      </c>
      <c r="O1000" s="1032">
        <v>2021.0</v>
      </c>
      <c r="P1000" s="1032" t="s">
        <v>1039</v>
      </c>
      <c r="Q1000" s="1033" t="s">
        <v>63</v>
      </c>
      <c r="R1000" s="1034">
        <v>22.0691039</v>
      </c>
      <c r="S1000" s="1034">
        <v>11.01387952</v>
      </c>
      <c r="T1000" s="1035">
        <v>37.56426389</v>
      </c>
      <c r="AB1000" s="1045"/>
    </row>
    <row r="1001">
      <c r="A1001" s="294"/>
      <c r="B1001" s="1019" t="s">
        <v>120</v>
      </c>
      <c r="C1001" s="1020" t="s">
        <v>1035</v>
      </c>
      <c r="D1001" s="1020" t="s">
        <v>1041</v>
      </c>
      <c r="E1001" s="1020" t="s">
        <v>552</v>
      </c>
      <c r="F1001" s="1020">
        <v>2021.0</v>
      </c>
      <c r="G1001" s="1021">
        <v>5.17E-5</v>
      </c>
      <c r="H1001" s="1021">
        <v>1.08E-6</v>
      </c>
      <c r="I1001" s="1022">
        <v>2.54713E-4</v>
      </c>
      <c r="K1001" s="1031" t="s">
        <v>131</v>
      </c>
      <c r="L1001" s="1032" t="s">
        <v>608</v>
      </c>
      <c r="M1001" s="1032" t="s">
        <v>1035</v>
      </c>
      <c r="N1001" s="1032" t="s">
        <v>1044</v>
      </c>
      <c r="O1001" s="1032">
        <v>2021.0</v>
      </c>
      <c r="P1001" s="1032" t="s">
        <v>1039</v>
      </c>
      <c r="Q1001" s="1033" t="s">
        <v>63</v>
      </c>
      <c r="R1001" s="1034">
        <v>14.38200631</v>
      </c>
      <c r="S1001" s="1034">
        <v>7.275692132</v>
      </c>
      <c r="T1001" s="1035">
        <v>26.61095295</v>
      </c>
      <c r="AB1001" s="1045"/>
    </row>
    <row r="1002">
      <c r="A1002" s="294"/>
      <c r="B1002" s="1019" t="s">
        <v>120</v>
      </c>
      <c r="C1002" s="1020" t="s">
        <v>1035</v>
      </c>
      <c r="D1002" s="1020" t="s">
        <v>1043</v>
      </c>
      <c r="E1002" s="1020" t="s">
        <v>552</v>
      </c>
      <c r="F1002" s="1020">
        <v>2021.0</v>
      </c>
      <c r="G1002" s="1021">
        <v>2.7482E-4</v>
      </c>
      <c r="H1002" s="1021">
        <v>6.47E-6</v>
      </c>
      <c r="I1002" s="1022">
        <v>0.001247195</v>
      </c>
      <c r="K1002" s="1031" t="s">
        <v>131</v>
      </c>
      <c r="L1002" s="1032" t="s">
        <v>608</v>
      </c>
      <c r="M1002" s="1032" t="s">
        <v>1035</v>
      </c>
      <c r="N1002" s="1032" t="s">
        <v>1046</v>
      </c>
      <c r="O1002" s="1032">
        <v>2021.0</v>
      </c>
      <c r="P1002" s="1032" t="s">
        <v>1039</v>
      </c>
      <c r="Q1002" s="1033" t="s">
        <v>63</v>
      </c>
      <c r="R1002" s="1034">
        <v>84.73219435</v>
      </c>
      <c r="S1002" s="1034">
        <v>34.64760036</v>
      </c>
      <c r="T1002" s="1035">
        <v>164.0475405</v>
      </c>
      <c r="AB1002" s="1045"/>
    </row>
    <row r="1003">
      <c r="A1003" s="294"/>
      <c r="B1003" s="1019" t="s">
        <v>120</v>
      </c>
      <c r="C1003" s="1020" t="s">
        <v>1035</v>
      </c>
      <c r="D1003" s="1020" t="s">
        <v>1045</v>
      </c>
      <c r="E1003" s="1020" t="s">
        <v>552</v>
      </c>
      <c r="F1003" s="1020">
        <v>2021.0</v>
      </c>
      <c r="G1003" s="1021">
        <v>0.002022091</v>
      </c>
      <c r="H1003" s="1021">
        <v>7.29E-5</v>
      </c>
      <c r="I1003" s="1022">
        <v>0.008512251</v>
      </c>
      <c r="K1003" s="1031" t="s">
        <v>131</v>
      </c>
      <c r="L1003" s="1032" t="s">
        <v>608</v>
      </c>
      <c r="M1003" s="1032" t="s">
        <v>1035</v>
      </c>
      <c r="N1003" s="1032" t="s">
        <v>1045</v>
      </c>
      <c r="O1003" s="1032">
        <v>2021.0</v>
      </c>
      <c r="P1003" s="1032" t="s">
        <v>1039</v>
      </c>
      <c r="Q1003" s="1033" t="s">
        <v>63</v>
      </c>
      <c r="R1003" s="1034">
        <v>198.8477264</v>
      </c>
      <c r="S1003" s="1034">
        <v>84.87890045</v>
      </c>
      <c r="T1003" s="1035">
        <v>373.4726524</v>
      </c>
      <c r="AB1003" s="1045"/>
    </row>
    <row r="1004">
      <c r="A1004" s="294"/>
      <c r="B1004" s="1019" t="s">
        <v>139</v>
      </c>
      <c r="C1004" s="1020" t="s">
        <v>1035</v>
      </c>
      <c r="D1004" s="1020" t="s">
        <v>1036</v>
      </c>
      <c r="E1004" s="1020" t="s">
        <v>552</v>
      </c>
      <c r="F1004" s="1020">
        <v>2021.0</v>
      </c>
      <c r="G1004" s="1021">
        <v>4.61E-5</v>
      </c>
      <c r="H1004" s="1021">
        <v>1.19E-6</v>
      </c>
      <c r="I1004" s="1022">
        <v>2.11118E-4</v>
      </c>
      <c r="K1004" s="1031" t="s">
        <v>132</v>
      </c>
      <c r="L1004" s="1032" t="s">
        <v>608</v>
      </c>
      <c r="M1004" s="1032" t="s">
        <v>1035</v>
      </c>
      <c r="N1004" s="1032" t="s">
        <v>1038</v>
      </c>
      <c r="O1004" s="1032">
        <v>2021.0</v>
      </c>
      <c r="P1004" s="1032" t="s">
        <v>1039</v>
      </c>
      <c r="Q1004" s="1033" t="s">
        <v>63</v>
      </c>
      <c r="R1004" s="1034">
        <v>64.08416195</v>
      </c>
      <c r="S1004" s="1034">
        <v>20.09797927</v>
      </c>
      <c r="T1004" s="1035">
        <v>147.3230688</v>
      </c>
      <c r="AB1004" s="1045"/>
    </row>
    <row r="1005">
      <c r="A1005" s="294"/>
      <c r="B1005" s="1019" t="s">
        <v>139</v>
      </c>
      <c r="C1005" s="1020" t="s">
        <v>1035</v>
      </c>
      <c r="D1005" s="1020" t="s">
        <v>1041</v>
      </c>
      <c r="E1005" s="1020" t="s">
        <v>552</v>
      </c>
      <c r="F1005" s="1020">
        <v>2021.0</v>
      </c>
      <c r="G1005" s="1021">
        <v>2.71E-5</v>
      </c>
      <c r="H1005" s="1021">
        <v>7.74E-7</v>
      </c>
      <c r="I1005" s="1022">
        <v>1.16753E-4</v>
      </c>
      <c r="K1005" s="1031" t="s">
        <v>132</v>
      </c>
      <c r="L1005" s="1032" t="s">
        <v>608</v>
      </c>
      <c r="M1005" s="1032" t="s">
        <v>1035</v>
      </c>
      <c r="N1005" s="1032" t="s">
        <v>1042</v>
      </c>
      <c r="O1005" s="1032">
        <v>2021.0</v>
      </c>
      <c r="P1005" s="1032" t="s">
        <v>1039</v>
      </c>
      <c r="Q1005" s="1033" t="s">
        <v>63</v>
      </c>
      <c r="R1005" s="1034">
        <v>26.03058789</v>
      </c>
      <c r="S1005" s="1034">
        <v>13.275333</v>
      </c>
      <c r="T1005" s="1035">
        <v>44.91491251</v>
      </c>
      <c r="AB1005" s="1045"/>
    </row>
    <row r="1006">
      <c r="A1006" s="294"/>
      <c r="B1006" s="1019" t="s">
        <v>139</v>
      </c>
      <c r="C1006" s="1020" t="s">
        <v>1035</v>
      </c>
      <c r="D1006" s="1020" t="s">
        <v>1043</v>
      </c>
      <c r="E1006" s="1020" t="s">
        <v>552</v>
      </c>
      <c r="F1006" s="1020">
        <v>2021.0</v>
      </c>
      <c r="G1006" s="1021">
        <v>2.07429E-4</v>
      </c>
      <c r="H1006" s="1021">
        <v>6.2E-6</v>
      </c>
      <c r="I1006" s="1022">
        <v>8.94611E-4</v>
      </c>
      <c r="K1006" s="1031" t="s">
        <v>132</v>
      </c>
      <c r="L1006" s="1032" t="s">
        <v>608</v>
      </c>
      <c r="M1006" s="1032" t="s">
        <v>1035</v>
      </c>
      <c r="N1006" s="1032" t="s">
        <v>1044</v>
      </c>
      <c r="O1006" s="1032">
        <v>2021.0</v>
      </c>
      <c r="P1006" s="1032" t="s">
        <v>1039</v>
      </c>
      <c r="Q1006" s="1033" t="s">
        <v>63</v>
      </c>
      <c r="R1006" s="1034">
        <v>13.62012144</v>
      </c>
      <c r="S1006" s="1034">
        <v>7.06352586</v>
      </c>
      <c r="T1006" s="1035">
        <v>25.05118845</v>
      </c>
      <c r="AB1006" s="1045"/>
    </row>
    <row r="1007">
      <c r="A1007" s="294"/>
      <c r="B1007" s="1019" t="s">
        <v>139</v>
      </c>
      <c r="C1007" s="1020" t="s">
        <v>1035</v>
      </c>
      <c r="D1007" s="1020" t="s">
        <v>1045</v>
      </c>
      <c r="E1007" s="1020" t="s">
        <v>552</v>
      </c>
      <c r="F1007" s="1020">
        <v>2021.0</v>
      </c>
      <c r="G1007" s="1021">
        <v>0.001066403</v>
      </c>
      <c r="H1007" s="1021">
        <v>3.15E-5</v>
      </c>
      <c r="I1007" s="1022">
        <v>0.004678982</v>
      </c>
      <c r="K1007" s="1031" t="s">
        <v>132</v>
      </c>
      <c r="L1007" s="1032" t="s">
        <v>608</v>
      </c>
      <c r="M1007" s="1032" t="s">
        <v>1035</v>
      </c>
      <c r="N1007" s="1032" t="s">
        <v>1046</v>
      </c>
      <c r="O1007" s="1032">
        <v>2021.0</v>
      </c>
      <c r="P1007" s="1032" t="s">
        <v>1039</v>
      </c>
      <c r="Q1007" s="1033" t="s">
        <v>63</v>
      </c>
      <c r="R1007" s="1034">
        <v>105.8537607</v>
      </c>
      <c r="S1007" s="1034">
        <v>46.31398862</v>
      </c>
      <c r="T1007" s="1035">
        <v>193.8677655</v>
      </c>
      <c r="AB1007" s="1045"/>
    </row>
    <row r="1008">
      <c r="A1008" s="294"/>
      <c r="B1008" s="1019" t="s">
        <v>140</v>
      </c>
      <c r="C1008" s="1020" t="s">
        <v>1035</v>
      </c>
      <c r="D1008" s="1020" t="s">
        <v>1036</v>
      </c>
      <c r="E1008" s="1020" t="s">
        <v>552</v>
      </c>
      <c r="F1008" s="1020">
        <v>2021.0</v>
      </c>
      <c r="G1008" s="1021">
        <v>1.74E-5</v>
      </c>
      <c r="H1008" s="1021">
        <v>3.39E-7</v>
      </c>
      <c r="I1008" s="1022">
        <v>8.04E-5</v>
      </c>
      <c r="K1008" s="1031" t="s">
        <v>132</v>
      </c>
      <c r="L1008" s="1032" t="s">
        <v>608</v>
      </c>
      <c r="M1008" s="1032" t="s">
        <v>1035</v>
      </c>
      <c r="N1008" s="1032" t="s">
        <v>1045</v>
      </c>
      <c r="O1008" s="1032">
        <v>2021.0</v>
      </c>
      <c r="P1008" s="1032" t="s">
        <v>1039</v>
      </c>
      <c r="Q1008" s="1033" t="s">
        <v>63</v>
      </c>
      <c r="R1008" s="1034">
        <v>209.588632</v>
      </c>
      <c r="S1008" s="1034">
        <v>98.70953437</v>
      </c>
      <c r="T1008" s="1035">
        <v>373.4629598</v>
      </c>
      <c r="AB1008" s="1045"/>
    </row>
    <row r="1009">
      <c r="A1009" s="294"/>
      <c r="B1009" s="1019" t="s">
        <v>140</v>
      </c>
      <c r="C1009" s="1020" t="s">
        <v>1035</v>
      </c>
      <c r="D1009" s="1020" t="s">
        <v>1041</v>
      </c>
      <c r="E1009" s="1020" t="s">
        <v>552</v>
      </c>
      <c r="F1009" s="1020">
        <v>2021.0</v>
      </c>
      <c r="G1009" s="1021">
        <v>1.29E-5</v>
      </c>
      <c r="H1009" s="1021">
        <v>3.14E-7</v>
      </c>
      <c r="I1009" s="1022">
        <v>5.72E-5</v>
      </c>
      <c r="K1009" s="1031" t="s">
        <v>133</v>
      </c>
      <c r="L1009" s="1032" t="s">
        <v>608</v>
      </c>
      <c r="M1009" s="1032" t="s">
        <v>1035</v>
      </c>
      <c r="N1009" s="1032" t="s">
        <v>1038</v>
      </c>
      <c r="O1009" s="1032">
        <v>2021.0</v>
      </c>
      <c r="P1009" s="1032" t="s">
        <v>1039</v>
      </c>
      <c r="Q1009" s="1033" t="s">
        <v>63</v>
      </c>
      <c r="R1009" s="1034">
        <v>96.0476413</v>
      </c>
      <c r="S1009" s="1034">
        <v>29.64496442</v>
      </c>
      <c r="T1009" s="1035">
        <v>206.1731206</v>
      </c>
      <c r="AB1009" s="1045"/>
    </row>
    <row r="1010">
      <c r="A1010" s="294"/>
      <c r="B1010" s="1019" t="s">
        <v>140</v>
      </c>
      <c r="C1010" s="1020" t="s">
        <v>1035</v>
      </c>
      <c r="D1010" s="1020" t="s">
        <v>1043</v>
      </c>
      <c r="E1010" s="1020" t="s">
        <v>552</v>
      </c>
      <c r="F1010" s="1020">
        <v>2021.0</v>
      </c>
      <c r="G1010" s="1021">
        <v>7.59E-5</v>
      </c>
      <c r="H1010" s="1021">
        <v>2.33E-6</v>
      </c>
      <c r="I1010" s="1022">
        <v>3.14592E-4</v>
      </c>
      <c r="K1010" s="1031" t="s">
        <v>133</v>
      </c>
      <c r="L1010" s="1032" t="s">
        <v>608</v>
      </c>
      <c r="M1010" s="1032" t="s">
        <v>1035</v>
      </c>
      <c r="N1010" s="1032" t="s">
        <v>1042</v>
      </c>
      <c r="O1010" s="1032">
        <v>2021.0</v>
      </c>
      <c r="P1010" s="1032" t="s">
        <v>1039</v>
      </c>
      <c r="Q1010" s="1033" t="s">
        <v>63</v>
      </c>
      <c r="R1010" s="1034">
        <v>15.21239842</v>
      </c>
      <c r="S1010" s="1034">
        <v>7.696800348</v>
      </c>
      <c r="T1010" s="1035">
        <v>27.3165271</v>
      </c>
      <c r="AB1010" s="1045"/>
    </row>
    <row r="1011">
      <c r="A1011" s="294"/>
      <c r="B1011" s="1019" t="s">
        <v>140</v>
      </c>
      <c r="C1011" s="1020" t="s">
        <v>1035</v>
      </c>
      <c r="D1011" s="1020" t="s">
        <v>1045</v>
      </c>
      <c r="E1011" s="1020" t="s">
        <v>552</v>
      </c>
      <c r="F1011" s="1020">
        <v>2021.0</v>
      </c>
      <c r="G1011" s="1021">
        <v>3.9724E-4</v>
      </c>
      <c r="H1011" s="1021">
        <v>1.26E-5</v>
      </c>
      <c r="I1011" s="1022">
        <v>0.001553051</v>
      </c>
      <c r="K1011" s="1031" t="s">
        <v>133</v>
      </c>
      <c r="L1011" s="1032" t="s">
        <v>608</v>
      </c>
      <c r="M1011" s="1032" t="s">
        <v>1035</v>
      </c>
      <c r="N1011" s="1032" t="s">
        <v>1044</v>
      </c>
      <c r="O1011" s="1032">
        <v>2021.0</v>
      </c>
      <c r="P1011" s="1032" t="s">
        <v>1039</v>
      </c>
      <c r="Q1011" s="1033" t="s">
        <v>63</v>
      </c>
      <c r="R1011" s="1034">
        <v>8.540034917</v>
      </c>
      <c r="S1011" s="1034">
        <v>4.396993332</v>
      </c>
      <c r="T1011" s="1035">
        <v>16.35396871</v>
      </c>
      <c r="AB1011" s="1045"/>
    </row>
    <row r="1012">
      <c r="A1012" s="294"/>
      <c r="B1012" s="1019" t="s">
        <v>141</v>
      </c>
      <c r="C1012" s="1020" t="s">
        <v>1035</v>
      </c>
      <c r="D1012" s="1020" t="s">
        <v>1036</v>
      </c>
      <c r="E1012" s="1020" t="s">
        <v>552</v>
      </c>
      <c r="F1012" s="1020">
        <v>2021.0</v>
      </c>
      <c r="G1012" s="1021">
        <v>6.99E-6</v>
      </c>
      <c r="H1012" s="1021">
        <v>1.62E-7</v>
      </c>
      <c r="I1012" s="1022">
        <v>3.34E-5</v>
      </c>
      <c r="K1012" s="1031" t="s">
        <v>133</v>
      </c>
      <c r="L1012" s="1032" t="s">
        <v>608</v>
      </c>
      <c r="M1012" s="1032" t="s">
        <v>1035</v>
      </c>
      <c r="N1012" s="1032" t="s">
        <v>1046</v>
      </c>
      <c r="O1012" s="1032">
        <v>2021.0</v>
      </c>
      <c r="P1012" s="1032" t="s">
        <v>1039</v>
      </c>
      <c r="Q1012" s="1033" t="s">
        <v>63</v>
      </c>
      <c r="R1012" s="1034">
        <v>41.76798604</v>
      </c>
      <c r="S1012" s="1034">
        <v>13.96552169</v>
      </c>
      <c r="T1012" s="1035">
        <v>90.82448429</v>
      </c>
      <c r="AB1012" s="1045"/>
    </row>
    <row r="1013">
      <c r="A1013" s="294"/>
      <c r="B1013" s="1019" t="s">
        <v>141</v>
      </c>
      <c r="C1013" s="1020" t="s">
        <v>1035</v>
      </c>
      <c r="D1013" s="1020" t="s">
        <v>1041</v>
      </c>
      <c r="E1013" s="1020" t="s">
        <v>552</v>
      </c>
      <c r="F1013" s="1020">
        <v>2021.0</v>
      </c>
      <c r="G1013" s="1021">
        <v>5.48E-6</v>
      </c>
      <c r="H1013" s="1021">
        <v>1.36E-7</v>
      </c>
      <c r="I1013" s="1022">
        <v>2.41E-5</v>
      </c>
      <c r="K1013" s="1031" t="s">
        <v>133</v>
      </c>
      <c r="L1013" s="1032" t="s">
        <v>608</v>
      </c>
      <c r="M1013" s="1032" t="s">
        <v>1035</v>
      </c>
      <c r="N1013" s="1032" t="s">
        <v>1045</v>
      </c>
      <c r="O1013" s="1032">
        <v>2021.0</v>
      </c>
      <c r="P1013" s="1032" t="s">
        <v>1039</v>
      </c>
      <c r="Q1013" s="1033" t="s">
        <v>63</v>
      </c>
      <c r="R1013" s="1034">
        <v>161.5680607</v>
      </c>
      <c r="S1013" s="1034">
        <v>61.16066383</v>
      </c>
      <c r="T1013" s="1035">
        <v>328.2555215</v>
      </c>
      <c r="AB1013" s="1045"/>
    </row>
    <row r="1014">
      <c r="A1014" s="294"/>
      <c r="B1014" s="1019" t="s">
        <v>141</v>
      </c>
      <c r="C1014" s="1020" t="s">
        <v>1035</v>
      </c>
      <c r="D1014" s="1020" t="s">
        <v>1043</v>
      </c>
      <c r="E1014" s="1020" t="s">
        <v>552</v>
      </c>
      <c r="F1014" s="1020">
        <v>2021.0</v>
      </c>
      <c r="G1014" s="1021">
        <v>2.91E-5</v>
      </c>
      <c r="H1014" s="1021">
        <v>7.98E-7</v>
      </c>
      <c r="I1014" s="1022">
        <v>1.33131E-4</v>
      </c>
      <c r="K1014" s="1031" t="s">
        <v>134</v>
      </c>
      <c r="L1014" s="1032" t="s">
        <v>608</v>
      </c>
      <c r="M1014" s="1032" t="s">
        <v>1035</v>
      </c>
      <c r="N1014" s="1032" t="s">
        <v>1038</v>
      </c>
      <c r="O1014" s="1032">
        <v>2021.0</v>
      </c>
      <c r="P1014" s="1032" t="s">
        <v>1039</v>
      </c>
      <c r="Q1014" s="1033" t="s">
        <v>63</v>
      </c>
      <c r="R1014" s="1034">
        <v>25.26827486</v>
      </c>
      <c r="S1014" s="1034">
        <v>6.890631154</v>
      </c>
      <c r="T1014" s="1035">
        <v>60.37738945</v>
      </c>
      <c r="AB1014" s="1045"/>
    </row>
    <row r="1015">
      <c r="A1015" s="294"/>
      <c r="B1015" s="1019" t="s">
        <v>141</v>
      </c>
      <c r="C1015" s="1020" t="s">
        <v>1035</v>
      </c>
      <c r="D1015" s="1020" t="s">
        <v>1045</v>
      </c>
      <c r="E1015" s="1020" t="s">
        <v>552</v>
      </c>
      <c r="F1015" s="1020">
        <v>2021.0</v>
      </c>
      <c r="G1015" s="1021">
        <v>1.58837E-4</v>
      </c>
      <c r="H1015" s="1021">
        <v>5.01E-6</v>
      </c>
      <c r="I1015" s="1022">
        <v>6.94361E-4</v>
      </c>
      <c r="K1015" s="1031" t="s">
        <v>134</v>
      </c>
      <c r="L1015" s="1032" t="s">
        <v>608</v>
      </c>
      <c r="M1015" s="1032" t="s">
        <v>1035</v>
      </c>
      <c r="N1015" s="1032" t="s">
        <v>1042</v>
      </c>
      <c r="O1015" s="1032">
        <v>2021.0</v>
      </c>
      <c r="P1015" s="1032" t="s">
        <v>1039</v>
      </c>
      <c r="Q1015" s="1033" t="s">
        <v>63</v>
      </c>
      <c r="R1015" s="1034">
        <v>8.398213867</v>
      </c>
      <c r="S1015" s="1034">
        <v>4.108081559</v>
      </c>
      <c r="T1015" s="1035">
        <v>15.03965787</v>
      </c>
      <c r="AB1015" s="1045"/>
    </row>
    <row r="1016">
      <c r="A1016" s="294"/>
      <c r="B1016" s="1019" t="s">
        <v>142</v>
      </c>
      <c r="C1016" s="1020" t="s">
        <v>1035</v>
      </c>
      <c r="D1016" s="1020" t="s">
        <v>1036</v>
      </c>
      <c r="E1016" s="1020" t="s">
        <v>552</v>
      </c>
      <c r="F1016" s="1020">
        <v>2021.0</v>
      </c>
      <c r="G1016" s="1021">
        <v>2.56E-5</v>
      </c>
      <c r="H1016" s="1021">
        <v>4.78E-7</v>
      </c>
      <c r="I1016" s="1022">
        <v>1.29796E-4</v>
      </c>
      <c r="K1016" s="1031" t="s">
        <v>134</v>
      </c>
      <c r="L1016" s="1032" t="s">
        <v>608</v>
      </c>
      <c r="M1016" s="1032" t="s">
        <v>1035</v>
      </c>
      <c r="N1016" s="1032" t="s">
        <v>1044</v>
      </c>
      <c r="O1016" s="1032">
        <v>2021.0</v>
      </c>
      <c r="P1016" s="1032" t="s">
        <v>1039</v>
      </c>
      <c r="Q1016" s="1033" t="s">
        <v>63</v>
      </c>
      <c r="R1016" s="1034">
        <v>3.405789601</v>
      </c>
      <c r="S1016" s="1034">
        <v>1.674908191</v>
      </c>
      <c r="T1016" s="1035">
        <v>6.689315142</v>
      </c>
      <c r="AB1016" s="1045"/>
    </row>
    <row r="1017">
      <c r="A1017" s="294"/>
      <c r="B1017" s="1019" t="s">
        <v>142</v>
      </c>
      <c r="C1017" s="1020" t="s">
        <v>1035</v>
      </c>
      <c r="D1017" s="1020" t="s">
        <v>1041</v>
      </c>
      <c r="E1017" s="1020" t="s">
        <v>552</v>
      </c>
      <c r="F1017" s="1020">
        <v>2021.0</v>
      </c>
      <c r="G1017" s="1021">
        <v>1.87E-5</v>
      </c>
      <c r="H1017" s="1021">
        <v>4.57E-7</v>
      </c>
      <c r="I1017" s="1022">
        <v>9.73E-5</v>
      </c>
      <c r="K1017" s="1031" t="s">
        <v>134</v>
      </c>
      <c r="L1017" s="1032" t="s">
        <v>608</v>
      </c>
      <c r="M1017" s="1032" t="s">
        <v>1035</v>
      </c>
      <c r="N1017" s="1032" t="s">
        <v>1046</v>
      </c>
      <c r="O1017" s="1032">
        <v>2021.0</v>
      </c>
      <c r="P1017" s="1032" t="s">
        <v>1039</v>
      </c>
      <c r="Q1017" s="1033" t="s">
        <v>63</v>
      </c>
      <c r="R1017" s="1034">
        <v>19.97349853</v>
      </c>
      <c r="S1017" s="1034">
        <v>7.167972612</v>
      </c>
      <c r="T1017" s="1035">
        <v>43.68362384</v>
      </c>
      <c r="AB1017" s="1045"/>
    </row>
    <row r="1018">
      <c r="A1018" s="294"/>
      <c r="B1018" s="1019" t="s">
        <v>142</v>
      </c>
      <c r="C1018" s="1020" t="s">
        <v>1035</v>
      </c>
      <c r="D1018" s="1020" t="s">
        <v>1043</v>
      </c>
      <c r="E1018" s="1020" t="s">
        <v>552</v>
      </c>
      <c r="F1018" s="1020">
        <v>2021.0</v>
      </c>
      <c r="G1018" s="1021">
        <v>1.08955E-4</v>
      </c>
      <c r="H1018" s="1021">
        <v>2.75E-6</v>
      </c>
      <c r="I1018" s="1022">
        <v>5.03806E-4</v>
      </c>
      <c r="K1018" s="1031" t="s">
        <v>134</v>
      </c>
      <c r="L1018" s="1032" t="s">
        <v>608</v>
      </c>
      <c r="M1018" s="1032" t="s">
        <v>1035</v>
      </c>
      <c r="N1018" s="1032" t="s">
        <v>1045</v>
      </c>
      <c r="O1018" s="1032">
        <v>2021.0</v>
      </c>
      <c r="P1018" s="1032" t="s">
        <v>1039</v>
      </c>
      <c r="Q1018" s="1033" t="s">
        <v>63</v>
      </c>
      <c r="R1018" s="1034">
        <v>57.04577686</v>
      </c>
      <c r="S1018" s="1034">
        <v>23.29795721</v>
      </c>
      <c r="T1018" s="1035">
        <v>118.4815961</v>
      </c>
      <c r="AB1018" s="1045"/>
    </row>
    <row r="1019">
      <c r="A1019" s="294"/>
      <c r="B1019" s="1019" t="s">
        <v>142</v>
      </c>
      <c r="C1019" s="1020" t="s">
        <v>1035</v>
      </c>
      <c r="D1019" s="1020" t="s">
        <v>1045</v>
      </c>
      <c r="E1019" s="1020" t="s">
        <v>552</v>
      </c>
      <c r="F1019" s="1020">
        <v>2021.0</v>
      </c>
      <c r="G1019" s="1021">
        <v>7.53801E-4</v>
      </c>
      <c r="H1019" s="1021">
        <v>2.41E-5</v>
      </c>
      <c r="I1019" s="1022">
        <v>0.003350553</v>
      </c>
      <c r="K1019" s="1031" t="s">
        <v>135</v>
      </c>
      <c r="L1019" s="1032" t="s">
        <v>608</v>
      </c>
      <c r="M1019" s="1032" t="s">
        <v>1035</v>
      </c>
      <c r="N1019" s="1032" t="s">
        <v>1038</v>
      </c>
      <c r="O1019" s="1032">
        <v>2021.0</v>
      </c>
      <c r="P1019" s="1032" t="s">
        <v>1039</v>
      </c>
      <c r="Q1019" s="1033" t="s">
        <v>63</v>
      </c>
      <c r="R1019" s="1034">
        <v>39.88085658</v>
      </c>
      <c r="S1019" s="1034">
        <v>10.66101203</v>
      </c>
      <c r="T1019" s="1035">
        <v>86.53762012</v>
      </c>
      <c r="AB1019" s="1045"/>
    </row>
    <row r="1020">
      <c r="A1020" s="294"/>
      <c r="B1020" s="1019" t="s">
        <v>143</v>
      </c>
      <c r="C1020" s="1020" t="s">
        <v>1035</v>
      </c>
      <c r="D1020" s="1020" t="s">
        <v>1036</v>
      </c>
      <c r="E1020" s="1020" t="s">
        <v>552</v>
      </c>
      <c r="F1020" s="1020">
        <v>2021.0</v>
      </c>
      <c r="G1020" s="1021">
        <v>3.68E-5</v>
      </c>
      <c r="H1020" s="1021">
        <v>7.9E-7</v>
      </c>
      <c r="I1020" s="1022">
        <v>1.92883E-4</v>
      </c>
      <c r="K1020" s="1031" t="s">
        <v>135</v>
      </c>
      <c r="L1020" s="1032" t="s">
        <v>608</v>
      </c>
      <c r="M1020" s="1032" t="s">
        <v>1035</v>
      </c>
      <c r="N1020" s="1032" t="s">
        <v>1042</v>
      </c>
      <c r="O1020" s="1032">
        <v>2021.0</v>
      </c>
      <c r="P1020" s="1032" t="s">
        <v>1039</v>
      </c>
      <c r="Q1020" s="1033" t="s">
        <v>63</v>
      </c>
      <c r="R1020" s="1034">
        <v>12.76307736</v>
      </c>
      <c r="S1020" s="1034">
        <v>6.745031284</v>
      </c>
      <c r="T1020" s="1035">
        <v>22.1647256</v>
      </c>
      <c r="AB1020" s="1045"/>
    </row>
    <row r="1021">
      <c r="A1021" s="294"/>
      <c r="B1021" s="1019" t="s">
        <v>143</v>
      </c>
      <c r="C1021" s="1020" t="s">
        <v>1035</v>
      </c>
      <c r="D1021" s="1020" t="s">
        <v>1041</v>
      </c>
      <c r="E1021" s="1020" t="s">
        <v>552</v>
      </c>
      <c r="F1021" s="1020">
        <v>2021.0</v>
      </c>
      <c r="G1021" s="1021">
        <v>2.96E-5</v>
      </c>
      <c r="H1021" s="1021">
        <v>7.05E-7</v>
      </c>
      <c r="I1021" s="1022">
        <v>1.52142E-4</v>
      </c>
      <c r="K1021" s="1031" t="s">
        <v>135</v>
      </c>
      <c r="L1021" s="1032" t="s">
        <v>608</v>
      </c>
      <c r="M1021" s="1032" t="s">
        <v>1035</v>
      </c>
      <c r="N1021" s="1032" t="s">
        <v>1044</v>
      </c>
      <c r="O1021" s="1032">
        <v>2021.0</v>
      </c>
      <c r="P1021" s="1032" t="s">
        <v>1039</v>
      </c>
      <c r="Q1021" s="1033" t="s">
        <v>63</v>
      </c>
      <c r="R1021" s="1034">
        <v>10.89327711</v>
      </c>
      <c r="S1021" s="1034">
        <v>5.52204163</v>
      </c>
      <c r="T1021" s="1035">
        <v>20.30002004</v>
      </c>
      <c r="AB1021" s="1045"/>
    </row>
    <row r="1022">
      <c r="A1022" s="294"/>
      <c r="B1022" s="1019" t="s">
        <v>143</v>
      </c>
      <c r="C1022" s="1020" t="s">
        <v>1035</v>
      </c>
      <c r="D1022" s="1020" t="s">
        <v>1043</v>
      </c>
      <c r="E1022" s="1020" t="s">
        <v>552</v>
      </c>
      <c r="F1022" s="1020">
        <v>2021.0</v>
      </c>
      <c r="G1022" s="1021">
        <v>1.39744E-4</v>
      </c>
      <c r="H1022" s="1021">
        <v>2.6E-6</v>
      </c>
      <c r="I1022" s="1022">
        <v>7.37228E-4</v>
      </c>
      <c r="K1022" s="1031" t="s">
        <v>135</v>
      </c>
      <c r="L1022" s="1032" t="s">
        <v>608</v>
      </c>
      <c r="M1022" s="1032" t="s">
        <v>1035</v>
      </c>
      <c r="N1022" s="1032" t="s">
        <v>1046</v>
      </c>
      <c r="O1022" s="1032">
        <v>2021.0</v>
      </c>
      <c r="P1022" s="1032" t="s">
        <v>1039</v>
      </c>
      <c r="Q1022" s="1033" t="s">
        <v>63</v>
      </c>
      <c r="R1022" s="1034">
        <v>44.37622933</v>
      </c>
      <c r="S1022" s="1034">
        <v>15.01112367</v>
      </c>
      <c r="T1022" s="1035">
        <v>85.37184535</v>
      </c>
      <c r="AB1022" s="1045"/>
    </row>
    <row r="1023">
      <c r="A1023" s="294"/>
      <c r="B1023" s="1019" t="s">
        <v>143</v>
      </c>
      <c r="C1023" s="1020" t="s">
        <v>1035</v>
      </c>
      <c r="D1023" s="1020" t="s">
        <v>1045</v>
      </c>
      <c r="E1023" s="1020" t="s">
        <v>552</v>
      </c>
      <c r="F1023" s="1020">
        <v>2021.0</v>
      </c>
      <c r="G1023" s="1021">
        <v>0.001116255</v>
      </c>
      <c r="H1023" s="1021">
        <v>5.4E-5</v>
      </c>
      <c r="I1023" s="1022">
        <v>0.004868115</v>
      </c>
      <c r="K1023" s="1031" t="s">
        <v>135</v>
      </c>
      <c r="L1023" s="1032" t="s">
        <v>608</v>
      </c>
      <c r="M1023" s="1032" t="s">
        <v>1035</v>
      </c>
      <c r="N1023" s="1032" t="s">
        <v>1045</v>
      </c>
      <c r="O1023" s="1032">
        <v>2021.0</v>
      </c>
      <c r="P1023" s="1032" t="s">
        <v>1039</v>
      </c>
      <c r="Q1023" s="1033" t="s">
        <v>63</v>
      </c>
      <c r="R1023" s="1034">
        <v>107.9134404</v>
      </c>
      <c r="S1023" s="1034">
        <v>43.93687877</v>
      </c>
      <c r="T1023" s="1035">
        <v>199.7351547</v>
      </c>
      <c r="AB1023" s="1045"/>
    </row>
    <row r="1024">
      <c r="A1024" s="294"/>
      <c r="B1024" s="1019" t="s">
        <v>109</v>
      </c>
      <c r="C1024" s="1020" t="s">
        <v>1035</v>
      </c>
      <c r="D1024" s="1020" t="s">
        <v>1036</v>
      </c>
      <c r="E1024" s="1020" t="s">
        <v>552</v>
      </c>
      <c r="F1024" s="1020">
        <v>2021.0</v>
      </c>
      <c r="G1024" s="1021">
        <v>2.68E-5</v>
      </c>
      <c r="H1024" s="1021">
        <v>1.8E-6</v>
      </c>
      <c r="I1024" s="1022">
        <v>9.71E-5</v>
      </c>
      <c r="K1024" s="1031" t="s">
        <v>136</v>
      </c>
      <c r="L1024" s="1032" t="s">
        <v>608</v>
      </c>
      <c r="M1024" s="1032" t="s">
        <v>1035</v>
      </c>
      <c r="N1024" s="1032" t="s">
        <v>1038</v>
      </c>
      <c r="O1024" s="1032">
        <v>2021.0</v>
      </c>
      <c r="P1024" s="1032" t="s">
        <v>1039</v>
      </c>
      <c r="Q1024" s="1033" t="s">
        <v>63</v>
      </c>
      <c r="R1024" s="1034">
        <v>108.3700229</v>
      </c>
      <c r="S1024" s="1034">
        <v>28.93448607</v>
      </c>
      <c r="T1024" s="1035">
        <v>242.0436143</v>
      </c>
      <c r="AB1024" s="1045"/>
    </row>
    <row r="1025">
      <c r="A1025" s="294"/>
      <c r="B1025" s="1019" t="s">
        <v>109</v>
      </c>
      <c r="C1025" s="1020" t="s">
        <v>1035</v>
      </c>
      <c r="D1025" s="1020" t="s">
        <v>1041</v>
      </c>
      <c r="E1025" s="1020" t="s">
        <v>552</v>
      </c>
      <c r="F1025" s="1020">
        <v>2021.0</v>
      </c>
      <c r="G1025" s="1021">
        <v>2.07E-5</v>
      </c>
      <c r="H1025" s="1021">
        <v>1.66E-6</v>
      </c>
      <c r="I1025" s="1022">
        <v>7.33E-5</v>
      </c>
      <c r="K1025" s="1031" t="s">
        <v>136</v>
      </c>
      <c r="L1025" s="1032" t="s">
        <v>608</v>
      </c>
      <c r="M1025" s="1032" t="s">
        <v>1035</v>
      </c>
      <c r="N1025" s="1032" t="s">
        <v>1042</v>
      </c>
      <c r="O1025" s="1032">
        <v>2021.0</v>
      </c>
      <c r="P1025" s="1032" t="s">
        <v>1039</v>
      </c>
      <c r="Q1025" s="1033" t="s">
        <v>63</v>
      </c>
      <c r="R1025" s="1034">
        <v>36.68629771</v>
      </c>
      <c r="S1025" s="1034">
        <v>18.06342969</v>
      </c>
      <c r="T1025" s="1035">
        <v>67.00489395</v>
      </c>
      <c r="AB1025" s="1045"/>
    </row>
    <row r="1026">
      <c r="A1026" s="294"/>
      <c r="B1026" s="1019" t="s">
        <v>109</v>
      </c>
      <c r="C1026" s="1020" t="s">
        <v>1035</v>
      </c>
      <c r="D1026" s="1020" t="s">
        <v>1043</v>
      </c>
      <c r="E1026" s="1020" t="s">
        <v>552</v>
      </c>
      <c r="F1026" s="1020">
        <v>2021.0</v>
      </c>
      <c r="G1026" s="1021">
        <v>1.34069E-4</v>
      </c>
      <c r="H1026" s="1021">
        <v>8.75E-6</v>
      </c>
      <c r="I1026" s="1022">
        <v>4.78134E-4</v>
      </c>
      <c r="K1026" s="1031" t="s">
        <v>136</v>
      </c>
      <c r="L1026" s="1032" t="s">
        <v>608</v>
      </c>
      <c r="M1026" s="1032" t="s">
        <v>1035</v>
      </c>
      <c r="N1026" s="1032" t="s">
        <v>1044</v>
      </c>
      <c r="O1026" s="1032">
        <v>2021.0</v>
      </c>
      <c r="P1026" s="1032" t="s">
        <v>1039</v>
      </c>
      <c r="Q1026" s="1033" t="s">
        <v>63</v>
      </c>
      <c r="R1026" s="1034">
        <v>16.43220052</v>
      </c>
      <c r="S1026" s="1034">
        <v>8.680544115</v>
      </c>
      <c r="T1026" s="1035">
        <v>28.99566654</v>
      </c>
      <c r="AB1026" s="1045"/>
    </row>
    <row r="1027">
      <c r="A1027" s="294"/>
      <c r="B1027" s="1019" t="s">
        <v>109</v>
      </c>
      <c r="C1027" s="1020" t="s">
        <v>1035</v>
      </c>
      <c r="D1027" s="1020" t="s">
        <v>1045</v>
      </c>
      <c r="E1027" s="1020" t="s">
        <v>552</v>
      </c>
      <c r="F1027" s="1020">
        <v>2021.0</v>
      </c>
      <c r="G1027" s="1021">
        <v>0.001064748</v>
      </c>
      <c r="H1027" s="1021">
        <v>1.04282E-4</v>
      </c>
      <c r="I1027" s="1022">
        <v>0.003498023</v>
      </c>
      <c r="K1027" s="1031" t="s">
        <v>136</v>
      </c>
      <c r="L1027" s="1032" t="s">
        <v>608</v>
      </c>
      <c r="M1027" s="1032" t="s">
        <v>1035</v>
      </c>
      <c r="N1027" s="1032" t="s">
        <v>1046</v>
      </c>
      <c r="O1027" s="1032">
        <v>2021.0</v>
      </c>
      <c r="P1027" s="1032" t="s">
        <v>1039</v>
      </c>
      <c r="Q1027" s="1033" t="s">
        <v>63</v>
      </c>
      <c r="R1027" s="1034">
        <v>126.9672838</v>
      </c>
      <c r="S1027" s="1034">
        <v>48.82656848</v>
      </c>
      <c r="T1027" s="1035">
        <v>246.9583422</v>
      </c>
      <c r="AB1027" s="1045"/>
    </row>
    <row r="1028">
      <c r="A1028" s="294"/>
      <c r="B1028" s="1019" t="s">
        <v>146</v>
      </c>
      <c r="C1028" s="1020" t="s">
        <v>1035</v>
      </c>
      <c r="D1028" s="1020" t="s">
        <v>1036</v>
      </c>
      <c r="E1028" s="1020" t="s">
        <v>552</v>
      </c>
      <c r="F1028" s="1020">
        <v>2021.0</v>
      </c>
      <c r="G1028" s="1021">
        <v>1.91E-5</v>
      </c>
      <c r="H1028" s="1021">
        <v>3.71E-7</v>
      </c>
      <c r="I1028" s="1022">
        <v>9.04E-5</v>
      </c>
      <c r="K1028" s="1031" t="s">
        <v>136</v>
      </c>
      <c r="L1028" s="1032" t="s">
        <v>608</v>
      </c>
      <c r="M1028" s="1032" t="s">
        <v>1035</v>
      </c>
      <c r="N1028" s="1032" t="s">
        <v>1045</v>
      </c>
      <c r="O1028" s="1032">
        <v>2021.0</v>
      </c>
      <c r="P1028" s="1032" t="s">
        <v>1039</v>
      </c>
      <c r="Q1028" s="1033" t="s">
        <v>63</v>
      </c>
      <c r="R1028" s="1034">
        <v>288.455805</v>
      </c>
      <c r="S1028" s="1034">
        <v>123.4919208</v>
      </c>
      <c r="T1028" s="1035">
        <v>545.1236175</v>
      </c>
      <c r="AB1028" s="1045"/>
    </row>
    <row r="1029">
      <c r="A1029" s="294"/>
      <c r="B1029" s="1019" t="s">
        <v>146</v>
      </c>
      <c r="C1029" s="1020" t="s">
        <v>1035</v>
      </c>
      <c r="D1029" s="1020" t="s">
        <v>1041</v>
      </c>
      <c r="E1029" s="1020" t="s">
        <v>552</v>
      </c>
      <c r="F1029" s="1020">
        <v>2021.0</v>
      </c>
      <c r="G1029" s="1021">
        <v>1.28E-5</v>
      </c>
      <c r="H1029" s="1021">
        <v>3.88E-7</v>
      </c>
      <c r="I1029" s="1022">
        <v>5.82E-5</v>
      </c>
      <c r="K1029" s="1031" t="s">
        <v>115</v>
      </c>
      <c r="L1029" s="1032" t="s">
        <v>608</v>
      </c>
      <c r="M1029" s="1032" t="s">
        <v>1035</v>
      </c>
      <c r="N1029" s="1032" t="s">
        <v>1038</v>
      </c>
      <c r="O1029" s="1032">
        <v>2021.0</v>
      </c>
      <c r="P1029" s="1032" t="s">
        <v>1039</v>
      </c>
      <c r="Q1029" s="1033" t="s">
        <v>63</v>
      </c>
      <c r="R1029" s="1034">
        <v>408.6623103</v>
      </c>
      <c r="S1029" s="1034">
        <v>199.4392332</v>
      </c>
      <c r="T1029" s="1035">
        <v>775.9961881</v>
      </c>
      <c r="AB1029" s="1045"/>
    </row>
    <row r="1030">
      <c r="A1030" s="294"/>
      <c r="B1030" s="1019" t="s">
        <v>146</v>
      </c>
      <c r="C1030" s="1020" t="s">
        <v>1035</v>
      </c>
      <c r="D1030" s="1020" t="s">
        <v>1043</v>
      </c>
      <c r="E1030" s="1020" t="s">
        <v>552</v>
      </c>
      <c r="F1030" s="1020">
        <v>2021.0</v>
      </c>
      <c r="G1030" s="1021">
        <v>6.64E-5</v>
      </c>
      <c r="H1030" s="1021">
        <v>1.93E-6</v>
      </c>
      <c r="I1030" s="1022">
        <v>3.32198E-4</v>
      </c>
      <c r="K1030" s="1031" t="s">
        <v>115</v>
      </c>
      <c r="L1030" s="1032" t="s">
        <v>608</v>
      </c>
      <c r="M1030" s="1032" t="s">
        <v>1035</v>
      </c>
      <c r="N1030" s="1032" t="s">
        <v>1042</v>
      </c>
      <c r="O1030" s="1032">
        <v>2021.0</v>
      </c>
      <c r="P1030" s="1032" t="s">
        <v>1039</v>
      </c>
      <c r="Q1030" s="1033" t="s">
        <v>63</v>
      </c>
      <c r="R1030" s="1034">
        <v>39.26907751</v>
      </c>
      <c r="S1030" s="1034">
        <v>21.25683122</v>
      </c>
      <c r="T1030" s="1035">
        <v>61.70822835</v>
      </c>
      <c r="AB1030" s="1045"/>
    </row>
    <row r="1031">
      <c r="A1031" s="294"/>
      <c r="B1031" s="1019" t="s">
        <v>146</v>
      </c>
      <c r="C1031" s="1020" t="s">
        <v>1035</v>
      </c>
      <c r="D1031" s="1020" t="s">
        <v>1045</v>
      </c>
      <c r="E1031" s="1020" t="s">
        <v>552</v>
      </c>
      <c r="F1031" s="1020">
        <v>2021.0</v>
      </c>
      <c r="G1031" s="1021">
        <v>4.71182E-4</v>
      </c>
      <c r="H1031" s="1021">
        <v>1.59E-5</v>
      </c>
      <c r="I1031" s="1022">
        <v>0.002040692</v>
      </c>
      <c r="K1031" s="1031" t="s">
        <v>115</v>
      </c>
      <c r="L1031" s="1032" t="s">
        <v>608</v>
      </c>
      <c r="M1031" s="1032" t="s">
        <v>1035</v>
      </c>
      <c r="N1031" s="1032" t="s">
        <v>1044</v>
      </c>
      <c r="O1031" s="1032">
        <v>2021.0</v>
      </c>
      <c r="P1031" s="1032" t="s">
        <v>1039</v>
      </c>
      <c r="Q1031" s="1033" t="s">
        <v>63</v>
      </c>
      <c r="R1031" s="1034">
        <v>22.47834852</v>
      </c>
      <c r="S1031" s="1034">
        <v>12.07279991</v>
      </c>
      <c r="T1031" s="1035">
        <v>36.7390897</v>
      </c>
      <c r="AB1031" s="1045"/>
    </row>
    <row r="1032">
      <c r="A1032" s="294"/>
      <c r="B1032" s="1019" t="s">
        <v>147</v>
      </c>
      <c r="C1032" s="1020" t="s">
        <v>1035</v>
      </c>
      <c r="D1032" s="1020" t="s">
        <v>1036</v>
      </c>
      <c r="E1032" s="1020" t="s">
        <v>552</v>
      </c>
      <c r="F1032" s="1020">
        <v>2021.0</v>
      </c>
      <c r="G1032" s="1021">
        <v>1.23E-5</v>
      </c>
      <c r="H1032" s="1021">
        <v>2.62E-7</v>
      </c>
      <c r="I1032" s="1022">
        <v>5.39E-5</v>
      </c>
      <c r="K1032" s="1031" t="s">
        <v>115</v>
      </c>
      <c r="L1032" s="1032" t="s">
        <v>608</v>
      </c>
      <c r="M1032" s="1032" t="s">
        <v>1035</v>
      </c>
      <c r="N1032" s="1032" t="s">
        <v>1046</v>
      </c>
      <c r="O1032" s="1032">
        <v>2021.0</v>
      </c>
      <c r="P1032" s="1032" t="s">
        <v>1039</v>
      </c>
      <c r="Q1032" s="1033" t="s">
        <v>63</v>
      </c>
      <c r="R1032" s="1034">
        <v>212.6875603</v>
      </c>
      <c r="S1032" s="1034">
        <v>131.5569693</v>
      </c>
      <c r="T1032" s="1035">
        <v>341.701216</v>
      </c>
      <c r="AB1032" s="1045"/>
    </row>
    <row r="1033">
      <c r="A1033" s="294"/>
      <c r="B1033" s="1019" t="s">
        <v>147</v>
      </c>
      <c r="C1033" s="1020" t="s">
        <v>1035</v>
      </c>
      <c r="D1033" s="1020" t="s">
        <v>1041</v>
      </c>
      <c r="E1033" s="1020" t="s">
        <v>552</v>
      </c>
      <c r="F1033" s="1020">
        <v>2021.0</v>
      </c>
      <c r="G1033" s="1021">
        <v>7.79E-6</v>
      </c>
      <c r="H1033" s="1021">
        <v>2.03E-7</v>
      </c>
      <c r="I1033" s="1022">
        <v>3.49E-5</v>
      </c>
      <c r="K1033" s="1031" t="s">
        <v>115</v>
      </c>
      <c r="L1033" s="1032" t="s">
        <v>608</v>
      </c>
      <c r="M1033" s="1032" t="s">
        <v>1035</v>
      </c>
      <c r="N1033" s="1032" t="s">
        <v>1045</v>
      </c>
      <c r="O1033" s="1032">
        <v>2021.0</v>
      </c>
      <c r="P1033" s="1032" t="s">
        <v>1039</v>
      </c>
      <c r="Q1033" s="1033" t="s">
        <v>63</v>
      </c>
      <c r="R1033" s="1034">
        <v>683.0972966</v>
      </c>
      <c r="S1033" s="1034">
        <v>410.0007152</v>
      </c>
      <c r="T1033" s="1035">
        <v>1163.36216</v>
      </c>
      <c r="AB1033" s="1045"/>
    </row>
    <row r="1034">
      <c r="A1034" s="294"/>
      <c r="B1034" s="1019" t="s">
        <v>147</v>
      </c>
      <c r="C1034" s="1020" t="s">
        <v>1035</v>
      </c>
      <c r="D1034" s="1020" t="s">
        <v>1043</v>
      </c>
      <c r="E1034" s="1020" t="s">
        <v>552</v>
      </c>
      <c r="F1034" s="1020">
        <v>2021.0</v>
      </c>
      <c r="G1034" s="1021">
        <v>5.5E-5</v>
      </c>
      <c r="H1034" s="1021">
        <v>1.73E-6</v>
      </c>
      <c r="I1034" s="1022">
        <v>2.44036E-4</v>
      </c>
      <c r="K1034" s="1031" t="s">
        <v>137</v>
      </c>
      <c r="L1034" s="1032" t="s">
        <v>608</v>
      </c>
      <c r="M1034" s="1032" t="s">
        <v>1035</v>
      </c>
      <c r="N1034" s="1032" t="s">
        <v>1038</v>
      </c>
      <c r="O1034" s="1032">
        <v>2021.0</v>
      </c>
      <c r="P1034" s="1032" t="s">
        <v>1039</v>
      </c>
      <c r="Q1034" s="1033" t="s">
        <v>63</v>
      </c>
      <c r="R1034" s="1034">
        <v>116.0909899</v>
      </c>
      <c r="S1034" s="1034">
        <v>31.85456063</v>
      </c>
      <c r="T1034" s="1035">
        <v>267.0150713</v>
      </c>
      <c r="AB1034" s="1045"/>
    </row>
    <row r="1035">
      <c r="A1035" s="294"/>
      <c r="B1035" s="1019" t="s">
        <v>147</v>
      </c>
      <c r="C1035" s="1020" t="s">
        <v>1035</v>
      </c>
      <c r="D1035" s="1020" t="s">
        <v>1045</v>
      </c>
      <c r="E1035" s="1020" t="s">
        <v>552</v>
      </c>
      <c r="F1035" s="1020">
        <v>2021.0</v>
      </c>
      <c r="G1035" s="1021">
        <v>3.23322E-4</v>
      </c>
      <c r="H1035" s="1021">
        <v>1.2E-5</v>
      </c>
      <c r="I1035" s="1022">
        <v>0.001472383</v>
      </c>
      <c r="K1035" s="1031" t="s">
        <v>137</v>
      </c>
      <c r="L1035" s="1032" t="s">
        <v>608</v>
      </c>
      <c r="M1035" s="1032" t="s">
        <v>1035</v>
      </c>
      <c r="N1035" s="1032" t="s">
        <v>1042</v>
      </c>
      <c r="O1035" s="1032">
        <v>2021.0</v>
      </c>
      <c r="P1035" s="1032" t="s">
        <v>1039</v>
      </c>
      <c r="Q1035" s="1033" t="s">
        <v>63</v>
      </c>
      <c r="R1035" s="1034">
        <v>43.57592011</v>
      </c>
      <c r="S1035" s="1034">
        <v>20.66773701</v>
      </c>
      <c r="T1035" s="1035">
        <v>80.66633264</v>
      </c>
      <c r="AB1035" s="1045"/>
    </row>
    <row r="1036">
      <c r="A1036" s="294"/>
      <c r="B1036" s="1019" t="s">
        <v>148</v>
      </c>
      <c r="C1036" s="1020" t="s">
        <v>1035</v>
      </c>
      <c r="D1036" s="1020" t="s">
        <v>1036</v>
      </c>
      <c r="E1036" s="1020" t="s">
        <v>552</v>
      </c>
      <c r="F1036" s="1020">
        <v>2021.0</v>
      </c>
      <c r="G1036" s="1021">
        <v>7.68E-6</v>
      </c>
      <c r="H1036" s="1021">
        <v>1.91E-7</v>
      </c>
      <c r="I1036" s="1022">
        <v>3.87E-5</v>
      </c>
      <c r="K1036" s="1031" t="s">
        <v>137</v>
      </c>
      <c r="L1036" s="1032" t="s">
        <v>608</v>
      </c>
      <c r="M1036" s="1032" t="s">
        <v>1035</v>
      </c>
      <c r="N1036" s="1032" t="s">
        <v>1044</v>
      </c>
      <c r="O1036" s="1032">
        <v>2021.0</v>
      </c>
      <c r="P1036" s="1032" t="s">
        <v>1039</v>
      </c>
      <c r="Q1036" s="1033" t="s">
        <v>63</v>
      </c>
      <c r="R1036" s="1034">
        <v>13.26588654</v>
      </c>
      <c r="S1036" s="1034">
        <v>6.258870109</v>
      </c>
      <c r="T1036" s="1035">
        <v>26.97551581</v>
      </c>
      <c r="AB1036" s="1045"/>
    </row>
    <row r="1037">
      <c r="A1037" s="294"/>
      <c r="B1037" s="1019" t="s">
        <v>148</v>
      </c>
      <c r="C1037" s="1020" t="s">
        <v>1035</v>
      </c>
      <c r="D1037" s="1020" t="s">
        <v>1041</v>
      </c>
      <c r="E1037" s="1020" t="s">
        <v>552</v>
      </c>
      <c r="F1037" s="1020">
        <v>2021.0</v>
      </c>
      <c r="G1037" s="1021">
        <v>5.38E-6</v>
      </c>
      <c r="H1037" s="1021">
        <v>1.43E-7</v>
      </c>
      <c r="I1037" s="1022">
        <v>2.62E-5</v>
      </c>
      <c r="K1037" s="1031" t="s">
        <v>137</v>
      </c>
      <c r="L1037" s="1032" t="s">
        <v>608</v>
      </c>
      <c r="M1037" s="1032" t="s">
        <v>1035</v>
      </c>
      <c r="N1037" s="1032" t="s">
        <v>1046</v>
      </c>
      <c r="O1037" s="1032">
        <v>2021.0</v>
      </c>
      <c r="P1037" s="1032" t="s">
        <v>1039</v>
      </c>
      <c r="Q1037" s="1033" t="s">
        <v>63</v>
      </c>
      <c r="R1037" s="1034">
        <v>117.3939666</v>
      </c>
      <c r="S1037" s="1034">
        <v>42.05498114</v>
      </c>
      <c r="T1037" s="1035">
        <v>236.7084776</v>
      </c>
      <c r="AB1037" s="1045"/>
    </row>
    <row r="1038">
      <c r="A1038" s="294"/>
      <c r="B1038" s="1019" t="s">
        <v>148</v>
      </c>
      <c r="C1038" s="1020" t="s">
        <v>1035</v>
      </c>
      <c r="D1038" s="1020" t="s">
        <v>1043</v>
      </c>
      <c r="E1038" s="1020" t="s">
        <v>552</v>
      </c>
      <c r="F1038" s="1020">
        <v>2021.0</v>
      </c>
      <c r="G1038" s="1021">
        <v>2.99E-5</v>
      </c>
      <c r="H1038" s="1021">
        <v>6.73E-7</v>
      </c>
      <c r="I1038" s="1022">
        <v>1.55071E-4</v>
      </c>
      <c r="K1038" s="1031" t="s">
        <v>137</v>
      </c>
      <c r="L1038" s="1032" t="s">
        <v>608</v>
      </c>
      <c r="M1038" s="1032" t="s">
        <v>1035</v>
      </c>
      <c r="N1038" s="1032" t="s">
        <v>1045</v>
      </c>
      <c r="O1038" s="1032">
        <v>2021.0</v>
      </c>
      <c r="P1038" s="1032" t="s">
        <v>1039</v>
      </c>
      <c r="Q1038" s="1033" t="s">
        <v>63</v>
      </c>
      <c r="R1038" s="1034">
        <v>290.3267632</v>
      </c>
      <c r="S1038" s="1034">
        <v>115.780808</v>
      </c>
      <c r="T1038" s="1035">
        <v>568.4634568</v>
      </c>
      <c r="AB1038" s="1045"/>
    </row>
    <row r="1039">
      <c r="A1039" s="294"/>
      <c r="B1039" s="1019" t="s">
        <v>148</v>
      </c>
      <c r="C1039" s="1020" t="s">
        <v>1035</v>
      </c>
      <c r="D1039" s="1020" t="s">
        <v>1045</v>
      </c>
      <c r="E1039" s="1020" t="s">
        <v>552</v>
      </c>
      <c r="F1039" s="1020">
        <v>2021.0</v>
      </c>
      <c r="G1039" s="1021">
        <v>1.85004E-4</v>
      </c>
      <c r="H1039" s="1021">
        <v>4.85E-6</v>
      </c>
      <c r="I1039" s="1022">
        <v>8.16261E-4</v>
      </c>
      <c r="K1039" s="1031" t="s">
        <v>116</v>
      </c>
      <c r="L1039" s="1032" t="s">
        <v>608</v>
      </c>
      <c r="M1039" s="1032" t="s">
        <v>1035</v>
      </c>
      <c r="N1039" s="1032" t="s">
        <v>1038</v>
      </c>
      <c r="O1039" s="1032">
        <v>2021.0</v>
      </c>
      <c r="P1039" s="1032" t="s">
        <v>1039</v>
      </c>
      <c r="Q1039" s="1033" t="s">
        <v>63</v>
      </c>
      <c r="R1039" s="1034">
        <v>969.8431739</v>
      </c>
      <c r="S1039" s="1034">
        <v>463.7628705</v>
      </c>
      <c r="T1039" s="1035">
        <v>1763.491945</v>
      </c>
      <c r="AB1039" s="1045"/>
    </row>
    <row r="1040">
      <c r="A1040" s="294"/>
      <c r="B1040" s="1019" t="s">
        <v>149</v>
      </c>
      <c r="C1040" s="1020" t="s">
        <v>1035</v>
      </c>
      <c r="D1040" s="1020" t="s">
        <v>1036</v>
      </c>
      <c r="E1040" s="1020" t="s">
        <v>552</v>
      </c>
      <c r="F1040" s="1020">
        <v>2021.0</v>
      </c>
      <c r="G1040" s="1021">
        <v>1.7E-5</v>
      </c>
      <c r="H1040" s="1021">
        <v>4.04E-7</v>
      </c>
      <c r="I1040" s="1022">
        <v>8.45E-5</v>
      </c>
      <c r="K1040" s="1031" t="s">
        <v>116</v>
      </c>
      <c r="L1040" s="1032" t="s">
        <v>608</v>
      </c>
      <c r="M1040" s="1032" t="s">
        <v>1035</v>
      </c>
      <c r="N1040" s="1032" t="s">
        <v>1042</v>
      </c>
      <c r="O1040" s="1032">
        <v>2021.0</v>
      </c>
      <c r="P1040" s="1032" t="s">
        <v>1039</v>
      </c>
      <c r="Q1040" s="1033" t="s">
        <v>63</v>
      </c>
      <c r="R1040" s="1034">
        <v>72.15888587</v>
      </c>
      <c r="S1040" s="1034">
        <v>37.96715831</v>
      </c>
      <c r="T1040" s="1035">
        <v>116.7740302</v>
      </c>
      <c r="AB1040" s="1045"/>
    </row>
    <row r="1041">
      <c r="A1041" s="294"/>
      <c r="B1041" s="1019" t="s">
        <v>149</v>
      </c>
      <c r="C1041" s="1020" t="s">
        <v>1035</v>
      </c>
      <c r="D1041" s="1020" t="s">
        <v>1041</v>
      </c>
      <c r="E1041" s="1020" t="s">
        <v>552</v>
      </c>
      <c r="F1041" s="1020">
        <v>2021.0</v>
      </c>
      <c r="G1041" s="1021">
        <v>1.23E-5</v>
      </c>
      <c r="H1041" s="1021">
        <v>3.15E-7</v>
      </c>
      <c r="I1041" s="1022">
        <v>5.88E-5</v>
      </c>
      <c r="K1041" s="1031" t="s">
        <v>116</v>
      </c>
      <c r="L1041" s="1032" t="s">
        <v>608</v>
      </c>
      <c r="M1041" s="1032" t="s">
        <v>1035</v>
      </c>
      <c r="N1041" s="1032" t="s">
        <v>1044</v>
      </c>
      <c r="O1041" s="1032">
        <v>2021.0</v>
      </c>
      <c r="P1041" s="1032" t="s">
        <v>1039</v>
      </c>
      <c r="Q1041" s="1033" t="s">
        <v>63</v>
      </c>
      <c r="R1041" s="1034">
        <v>40.57253079</v>
      </c>
      <c r="S1041" s="1034">
        <v>21.87130607</v>
      </c>
      <c r="T1041" s="1035">
        <v>70.06887378</v>
      </c>
      <c r="AB1041" s="1045"/>
    </row>
    <row r="1042">
      <c r="A1042" s="294"/>
      <c r="B1042" s="1019" t="s">
        <v>149</v>
      </c>
      <c r="C1042" s="1020" t="s">
        <v>1035</v>
      </c>
      <c r="D1042" s="1020" t="s">
        <v>1043</v>
      </c>
      <c r="E1042" s="1020" t="s">
        <v>552</v>
      </c>
      <c r="F1042" s="1020">
        <v>2021.0</v>
      </c>
      <c r="G1042" s="1021">
        <v>7.09E-5</v>
      </c>
      <c r="H1042" s="1021">
        <v>1.95E-6</v>
      </c>
      <c r="I1042" s="1022">
        <v>3.44669E-4</v>
      </c>
      <c r="K1042" s="1031" t="s">
        <v>116</v>
      </c>
      <c r="L1042" s="1032" t="s">
        <v>608</v>
      </c>
      <c r="M1042" s="1032" t="s">
        <v>1035</v>
      </c>
      <c r="N1042" s="1032" t="s">
        <v>1046</v>
      </c>
      <c r="O1042" s="1032">
        <v>2021.0</v>
      </c>
      <c r="P1042" s="1032" t="s">
        <v>1039</v>
      </c>
      <c r="Q1042" s="1033" t="s">
        <v>63</v>
      </c>
      <c r="R1042" s="1034">
        <v>412.4566612</v>
      </c>
      <c r="S1042" s="1034">
        <v>260.6608602</v>
      </c>
      <c r="T1042" s="1035">
        <v>614.8415894</v>
      </c>
      <c r="AB1042" s="1045"/>
    </row>
    <row r="1043">
      <c r="A1043" s="294"/>
      <c r="B1043" s="1019" t="s">
        <v>149</v>
      </c>
      <c r="C1043" s="1020" t="s">
        <v>1035</v>
      </c>
      <c r="D1043" s="1020" t="s">
        <v>1045</v>
      </c>
      <c r="E1043" s="1020" t="s">
        <v>552</v>
      </c>
      <c r="F1043" s="1020">
        <v>2021.0</v>
      </c>
      <c r="G1043" s="1021">
        <v>4.30089E-4</v>
      </c>
      <c r="H1043" s="1021">
        <v>1.32E-5</v>
      </c>
      <c r="I1043" s="1022">
        <v>0.002038145</v>
      </c>
      <c r="K1043" s="1031" t="s">
        <v>116</v>
      </c>
      <c r="L1043" s="1032" t="s">
        <v>608</v>
      </c>
      <c r="M1043" s="1032" t="s">
        <v>1035</v>
      </c>
      <c r="N1043" s="1032" t="s">
        <v>1045</v>
      </c>
      <c r="O1043" s="1032">
        <v>2021.0</v>
      </c>
      <c r="P1043" s="1032" t="s">
        <v>1039</v>
      </c>
      <c r="Q1043" s="1033" t="s">
        <v>63</v>
      </c>
      <c r="R1043" s="1034">
        <v>1495.031252</v>
      </c>
      <c r="S1043" s="1034">
        <v>883.0938147</v>
      </c>
      <c r="T1043" s="1035">
        <v>2410.578853</v>
      </c>
      <c r="AB1043" s="1045"/>
    </row>
    <row r="1044">
      <c r="A1044" s="294"/>
      <c r="B1044" s="1019" t="s">
        <v>150</v>
      </c>
      <c r="C1044" s="1020" t="s">
        <v>1035</v>
      </c>
      <c r="D1044" s="1020" t="s">
        <v>1036</v>
      </c>
      <c r="E1044" s="1020" t="s">
        <v>552</v>
      </c>
      <c r="F1044" s="1020">
        <v>2021.0</v>
      </c>
      <c r="G1044" s="1021">
        <v>1.81E-5</v>
      </c>
      <c r="H1044" s="1021">
        <v>3.56E-7</v>
      </c>
      <c r="I1044" s="1022">
        <v>9.24E-5</v>
      </c>
      <c r="K1044" s="1031" t="s">
        <v>138</v>
      </c>
      <c r="L1044" s="1032" t="s">
        <v>608</v>
      </c>
      <c r="M1044" s="1032" t="s">
        <v>1035</v>
      </c>
      <c r="N1044" s="1032" t="s">
        <v>1038</v>
      </c>
      <c r="O1044" s="1032">
        <v>2021.0</v>
      </c>
      <c r="P1044" s="1032" t="s">
        <v>1039</v>
      </c>
      <c r="Q1044" s="1033" t="s">
        <v>63</v>
      </c>
      <c r="R1044" s="1034">
        <v>584.198329</v>
      </c>
      <c r="S1044" s="1034">
        <v>234.0951829</v>
      </c>
      <c r="T1044" s="1035">
        <v>1220.344404</v>
      </c>
      <c r="AB1044" s="1045"/>
    </row>
    <row r="1045">
      <c r="A1045" s="294"/>
      <c r="B1045" s="1019" t="s">
        <v>150</v>
      </c>
      <c r="C1045" s="1020" t="s">
        <v>1035</v>
      </c>
      <c r="D1045" s="1020" t="s">
        <v>1041</v>
      </c>
      <c r="E1045" s="1020" t="s">
        <v>552</v>
      </c>
      <c r="F1045" s="1020">
        <v>2021.0</v>
      </c>
      <c r="G1045" s="1021">
        <v>1.31E-5</v>
      </c>
      <c r="H1045" s="1021">
        <v>3.92E-7</v>
      </c>
      <c r="I1045" s="1022">
        <v>6.55E-5</v>
      </c>
      <c r="K1045" s="1031" t="s">
        <v>138</v>
      </c>
      <c r="L1045" s="1032" t="s">
        <v>608</v>
      </c>
      <c r="M1045" s="1032" t="s">
        <v>1035</v>
      </c>
      <c r="N1045" s="1032" t="s">
        <v>1042</v>
      </c>
      <c r="O1045" s="1032">
        <v>2021.0</v>
      </c>
      <c r="P1045" s="1032" t="s">
        <v>1039</v>
      </c>
      <c r="Q1045" s="1033" t="s">
        <v>63</v>
      </c>
      <c r="R1045" s="1034">
        <v>94.85391153</v>
      </c>
      <c r="S1045" s="1034">
        <v>50.12041593</v>
      </c>
      <c r="T1045" s="1035">
        <v>150.4023564</v>
      </c>
      <c r="AB1045" s="1045"/>
    </row>
    <row r="1046">
      <c r="A1046" s="294"/>
      <c r="B1046" s="1019" t="s">
        <v>150</v>
      </c>
      <c r="C1046" s="1020" t="s">
        <v>1035</v>
      </c>
      <c r="D1046" s="1020" t="s">
        <v>1043</v>
      </c>
      <c r="E1046" s="1020" t="s">
        <v>552</v>
      </c>
      <c r="F1046" s="1020">
        <v>2021.0</v>
      </c>
      <c r="G1046" s="1021">
        <v>7.02E-5</v>
      </c>
      <c r="H1046" s="1021">
        <v>1.96E-6</v>
      </c>
      <c r="I1046" s="1022">
        <v>3.43081E-4</v>
      </c>
      <c r="K1046" s="1031" t="s">
        <v>138</v>
      </c>
      <c r="L1046" s="1032" t="s">
        <v>608</v>
      </c>
      <c r="M1046" s="1032" t="s">
        <v>1035</v>
      </c>
      <c r="N1046" s="1032" t="s">
        <v>1044</v>
      </c>
      <c r="O1046" s="1032">
        <v>2021.0</v>
      </c>
      <c r="P1046" s="1032" t="s">
        <v>1039</v>
      </c>
      <c r="Q1046" s="1033" t="s">
        <v>63</v>
      </c>
      <c r="R1046" s="1034">
        <v>68.29007617</v>
      </c>
      <c r="S1046" s="1034">
        <v>38.0204114</v>
      </c>
      <c r="T1046" s="1035">
        <v>114.4186204</v>
      </c>
      <c r="AB1046" s="1045"/>
    </row>
    <row r="1047">
      <c r="A1047" s="294"/>
      <c r="B1047" s="1019" t="s">
        <v>150</v>
      </c>
      <c r="C1047" s="1020" t="s">
        <v>1035</v>
      </c>
      <c r="D1047" s="1020" t="s">
        <v>1045</v>
      </c>
      <c r="E1047" s="1020" t="s">
        <v>552</v>
      </c>
      <c r="F1047" s="1020">
        <v>2021.0</v>
      </c>
      <c r="G1047" s="1021">
        <v>4.1336E-4</v>
      </c>
      <c r="H1047" s="1021">
        <v>1.76E-5</v>
      </c>
      <c r="I1047" s="1022">
        <v>0.001878152</v>
      </c>
      <c r="K1047" s="1031" t="s">
        <v>138</v>
      </c>
      <c r="L1047" s="1032" t="s">
        <v>608</v>
      </c>
      <c r="M1047" s="1032" t="s">
        <v>1035</v>
      </c>
      <c r="N1047" s="1032" t="s">
        <v>1046</v>
      </c>
      <c r="O1047" s="1032">
        <v>2021.0</v>
      </c>
      <c r="P1047" s="1032" t="s">
        <v>1039</v>
      </c>
      <c r="Q1047" s="1033" t="s">
        <v>63</v>
      </c>
      <c r="R1047" s="1034">
        <v>638.838318</v>
      </c>
      <c r="S1047" s="1034">
        <v>370.4030477</v>
      </c>
      <c r="T1047" s="1035">
        <v>1078.510038</v>
      </c>
      <c r="AB1047" s="1045"/>
    </row>
    <row r="1048">
      <c r="A1048" s="294"/>
      <c r="B1048" s="1019" t="s">
        <v>151</v>
      </c>
      <c r="C1048" s="1020" t="s">
        <v>1035</v>
      </c>
      <c r="D1048" s="1020" t="s">
        <v>1036</v>
      </c>
      <c r="E1048" s="1020" t="s">
        <v>552</v>
      </c>
      <c r="F1048" s="1020">
        <v>2021.0</v>
      </c>
      <c r="G1048" s="1021">
        <v>1.23E-5</v>
      </c>
      <c r="H1048" s="1021">
        <v>2.71E-7</v>
      </c>
      <c r="I1048" s="1022">
        <v>5.94E-5</v>
      </c>
      <c r="K1048" s="1031" t="s">
        <v>138</v>
      </c>
      <c r="L1048" s="1032" t="s">
        <v>608</v>
      </c>
      <c r="M1048" s="1032" t="s">
        <v>1035</v>
      </c>
      <c r="N1048" s="1032" t="s">
        <v>1045</v>
      </c>
      <c r="O1048" s="1032">
        <v>2021.0</v>
      </c>
      <c r="P1048" s="1032" t="s">
        <v>1039</v>
      </c>
      <c r="Q1048" s="1033" t="s">
        <v>63</v>
      </c>
      <c r="R1048" s="1034">
        <v>1386.180635</v>
      </c>
      <c r="S1048" s="1034">
        <v>767.0009504</v>
      </c>
      <c r="T1048" s="1035">
        <v>2397.275897</v>
      </c>
      <c r="AB1048" s="1045"/>
    </row>
    <row r="1049">
      <c r="A1049" s="294"/>
      <c r="B1049" s="1019" t="s">
        <v>151</v>
      </c>
      <c r="C1049" s="1020" t="s">
        <v>1035</v>
      </c>
      <c r="D1049" s="1020" t="s">
        <v>1041</v>
      </c>
      <c r="E1049" s="1020" t="s">
        <v>552</v>
      </c>
      <c r="F1049" s="1020">
        <v>2021.0</v>
      </c>
      <c r="G1049" s="1021">
        <v>9.29E-6</v>
      </c>
      <c r="H1049" s="1021">
        <v>2.47E-7</v>
      </c>
      <c r="I1049" s="1022">
        <v>4.48E-5</v>
      </c>
      <c r="K1049" s="1031" t="s">
        <v>118</v>
      </c>
      <c r="L1049" s="1032" t="s">
        <v>608</v>
      </c>
      <c r="M1049" s="1032" t="s">
        <v>1035</v>
      </c>
      <c r="N1049" s="1032" t="s">
        <v>1038</v>
      </c>
      <c r="O1049" s="1032">
        <v>2021.0</v>
      </c>
      <c r="P1049" s="1032" t="s">
        <v>1039</v>
      </c>
      <c r="Q1049" s="1033" t="s">
        <v>63</v>
      </c>
      <c r="R1049" s="1034">
        <v>2289.93348</v>
      </c>
      <c r="S1049" s="1034">
        <v>878.501433</v>
      </c>
      <c r="T1049" s="1035">
        <v>4696.602879</v>
      </c>
      <c r="AB1049" s="1045"/>
    </row>
    <row r="1050">
      <c r="A1050" s="294"/>
      <c r="B1050" s="1019" t="s">
        <v>151</v>
      </c>
      <c r="C1050" s="1020" t="s">
        <v>1035</v>
      </c>
      <c r="D1050" s="1020" t="s">
        <v>1043</v>
      </c>
      <c r="E1050" s="1020" t="s">
        <v>552</v>
      </c>
      <c r="F1050" s="1020">
        <v>2021.0</v>
      </c>
      <c r="G1050" s="1021">
        <v>5.5E-5</v>
      </c>
      <c r="H1050" s="1021">
        <v>1.59E-6</v>
      </c>
      <c r="I1050" s="1022">
        <v>2.33065E-4</v>
      </c>
      <c r="K1050" s="1031" t="s">
        <v>118</v>
      </c>
      <c r="L1050" s="1032" t="s">
        <v>608</v>
      </c>
      <c r="M1050" s="1032" t="s">
        <v>1035</v>
      </c>
      <c r="N1050" s="1032" t="s">
        <v>1042</v>
      </c>
      <c r="O1050" s="1032">
        <v>2021.0</v>
      </c>
      <c r="P1050" s="1032" t="s">
        <v>1039</v>
      </c>
      <c r="Q1050" s="1033" t="s">
        <v>63</v>
      </c>
      <c r="R1050" s="1034">
        <v>232.5389148</v>
      </c>
      <c r="S1050" s="1034">
        <v>120.4660642</v>
      </c>
      <c r="T1050" s="1035">
        <v>393.8386664</v>
      </c>
      <c r="AB1050" s="1045"/>
    </row>
    <row r="1051">
      <c r="A1051" s="294"/>
      <c r="B1051" s="1019" t="s">
        <v>151</v>
      </c>
      <c r="C1051" s="1020" t="s">
        <v>1035</v>
      </c>
      <c r="D1051" s="1020" t="s">
        <v>1045</v>
      </c>
      <c r="E1051" s="1020" t="s">
        <v>552</v>
      </c>
      <c r="F1051" s="1020">
        <v>2021.0</v>
      </c>
      <c r="G1051" s="1021">
        <v>3.57551E-4</v>
      </c>
      <c r="H1051" s="1021">
        <v>1.08E-5</v>
      </c>
      <c r="I1051" s="1022">
        <v>0.001500751</v>
      </c>
      <c r="K1051" s="1031" t="s">
        <v>118</v>
      </c>
      <c r="L1051" s="1032" t="s">
        <v>608</v>
      </c>
      <c r="M1051" s="1032" t="s">
        <v>1035</v>
      </c>
      <c r="N1051" s="1032" t="s">
        <v>1044</v>
      </c>
      <c r="O1051" s="1032">
        <v>2021.0</v>
      </c>
      <c r="P1051" s="1032" t="s">
        <v>1039</v>
      </c>
      <c r="Q1051" s="1033" t="s">
        <v>63</v>
      </c>
      <c r="R1051" s="1034">
        <v>157.4103247</v>
      </c>
      <c r="S1051" s="1034">
        <v>82.16005911</v>
      </c>
      <c r="T1051" s="1035">
        <v>268.8625113</v>
      </c>
      <c r="AB1051" s="1045"/>
    </row>
    <row r="1052">
      <c r="A1052" s="294"/>
      <c r="B1052" s="1019" t="s">
        <v>121</v>
      </c>
      <c r="C1052" s="1020" t="s">
        <v>1035</v>
      </c>
      <c r="D1052" s="1020" t="s">
        <v>1036</v>
      </c>
      <c r="E1052" s="1020" t="s">
        <v>552</v>
      </c>
      <c r="F1052" s="1020">
        <v>2021.0</v>
      </c>
      <c r="G1052" s="1021">
        <v>6.76E-5</v>
      </c>
      <c r="H1052" s="1021">
        <v>2.01E-6</v>
      </c>
      <c r="I1052" s="1022">
        <v>3.31764E-4</v>
      </c>
      <c r="K1052" s="1031" t="s">
        <v>118</v>
      </c>
      <c r="L1052" s="1032" t="s">
        <v>608</v>
      </c>
      <c r="M1052" s="1032" t="s">
        <v>1035</v>
      </c>
      <c r="N1052" s="1032" t="s">
        <v>1046</v>
      </c>
      <c r="O1052" s="1032">
        <v>2021.0</v>
      </c>
      <c r="P1052" s="1032" t="s">
        <v>1039</v>
      </c>
      <c r="Q1052" s="1033" t="s">
        <v>63</v>
      </c>
      <c r="R1052" s="1034">
        <v>1027.156114</v>
      </c>
      <c r="S1052" s="1034">
        <v>562.9950934</v>
      </c>
      <c r="T1052" s="1035">
        <v>1702.646108</v>
      </c>
      <c r="AB1052" s="1045"/>
    </row>
    <row r="1053">
      <c r="A1053" s="294"/>
      <c r="B1053" s="1019" t="s">
        <v>121</v>
      </c>
      <c r="C1053" s="1020" t="s">
        <v>1035</v>
      </c>
      <c r="D1053" s="1020" t="s">
        <v>1041</v>
      </c>
      <c r="E1053" s="1020" t="s">
        <v>552</v>
      </c>
      <c r="F1053" s="1020">
        <v>2021.0</v>
      </c>
      <c r="G1053" s="1021">
        <v>6.07E-5</v>
      </c>
      <c r="H1053" s="1021">
        <v>1.77E-6</v>
      </c>
      <c r="I1053" s="1022">
        <v>2.82204E-4</v>
      </c>
      <c r="K1053" s="1031" t="s">
        <v>118</v>
      </c>
      <c r="L1053" s="1032" t="s">
        <v>608</v>
      </c>
      <c r="M1053" s="1032" t="s">
        <v>1035</v>
      </c>
      <c r="N1053" s="1032" t="s">
        <v>1045</v>
      </c>
      <c r="O1053" s="1032">
        <v>2021.0</v>
      </c>
      <c r="P1053" s="1032" t="s">
        <v>1039</v>
      </c>
      <c r="Q1053" s="1033" t="s">
        <v>63</v>
      </c>
      <c r="R1053" s="1034">
        <v>3707.038833</v>
      </c>
      <c r="S1053" s="1034">
        <v>1819.307232</v>
      </c>
      <c r="T1053" s="1035">
        <v>6701.233112</v>
      </c>
      <c r="AB1053" s="1045"/>
    </row>
    <row r="1054">
      <c r="A1054" s="294"/>
      <c r="B1054" s="1019" t="s">
        <v>121</v>
      </c>
      <c r="C1054" s="1020" t="s">
        <v>1035</v>
      </c>
      <c r="D1054" s="1020" t="s">
        <v>1043</v>
      </c>
      <c r="E1054" s="1020" t="s">
        <v>552</v>
      </c>
      <c r="F1054" s="1020">
        <v>2021.0</v>
      </c>
      <c r="G1054" s="1021">
        <v>2.97079E-4</v>
      </c>
      <c r="H1054" s="1021">
        <v>8.4E-6</v>
      </c>
      <c r="I1054" s="1022">
        <v>0.001318967</v>
      </c>
      <c r="K1054" s="1031" t="s">
        <v>119</v>
      </c>
      <c r="L1054" s="1032" t="s">
        <v>608</v>
      </c>
      <c r="M1054" s="1032" t="s">
        <v>1035</v>
      </c>
      <c r="N1054" s="1032" t="s">
        <v>1038</v>
      </c>
      <c r="O1054" s="1032">
        <v>2021.0</v>
      </c>
      <c r="P1054" s="1032" t="s">
        <v>1039</v>
      </c>
      <c r="Q1054" s="1033" t="s">
        <v>63</v>
      </c>
      <c r="R1054" s="1034">
        <v>1196.75548</v>
      </c>
      <c r="S1054" s="1034">
        <v>548.7715479</v>
      </c>
      <c r="T1054" s="1035">
        <v>2308.188758</v>
      </c>
      <c r="AB1054" s="1045"/>
    </row>
    <row r="1055">
      <c r="A1055" s="294"/>
      <c r="B1055" s="1019" t="s">
        <v>121</v>
      </c>
      <c r="C1055" s="1020" t="s">
        <v>1035</v>
      </c>
      <c r="D1055" s="1020" t="s">
        <v>1045</v>
      </c>
      <c r="E1055" s="1020" t="s">
        <v>552</v>
      </c>
      <c r="F1055" s="1020">
        <v>2021.0</v>
      </c>
      <c r="G1055" s="1021">
        <v>0.002327154</v>
      </c>
      <c r="H1055" s="1021">
        <v>9.6E-5</v>
      </c>
      <c r="I1055" s="1022">
        <v>0.009209081</v>
      </c>
      <c r="K1055" s="1031" t="s">
        <v>119</v>
      </c>
      <c r="L1055" s="1032" t="s">
        <v>608</v>
      </c>
      <c r="M1055" s="1032" t="s">
        <v>1035</v>
      </c>
      <c r="N1055" s="1032" t="s">
        <v>1042</v>
      </c>
      <c r="O1055" s="1032">
        <v>2021.0</v>
      </c>
      <c r="P1055" s="1032" t="s">
        <v>1039</v>
      </c>
      <c r="Q1055" s="1033" t="s">
        <v>63</v>
      </c>
      <c r="R1055" s="1034">
        <v>108.2306589</v>
      </c>
      <c r="S1055" s="1034">
        <v>56.22820364</v>
      </c>
      <c r="T1055" s="1035">
        <v>175.57636</v>
      </c>
      <c r="AB1055" s="1045"/>
    </row>
    <row r="1056">
      <c r="A1056" s="294"/>
      <c r="B1056" s="1019" t="s">
        <v>152</v>
      </c>
      <c r="C1056" s="1020" t="s">
        <v>1035</v>
      </c>
      <c r="D1056" s="1020" t="s">
        <v>1036</v>
      </c>
      <c r="E1056" s="1020" t="s">
        <v>552</v>
      </c>
      <c r="F1056" s="1020">
        <v>2021.0</v>
      </c>
      <c r="G1056" s="1021">
        <v>3.29E-5</v>
      </c>
      <c r="H1056" s="1021">
        <v>3.76E-7</v>
      </c>
      <c r="I1056" s="1022">
        <v>1.69952E-4</v>
      </c>
      <c r="K1056" s="1031" t="s">
        <v>119</v>
      </c>
      <c r="L1056" s="1032" t="s">
        <v>608</v>
      </c>
      <c r="M1056" s="1032" t="s">
        <v>1035</v>
      </c>
      <c r="N1056" s="1032" t="s">
        <v>1044</v>
      </c>
      <c r="O1056" s="1032">
        <v>2021.0</v>
      </c>
      <c r="P1056" s="1032" t="s">
        <v>1039</v>
      </c>
      <c r="Q1056" s="1033" t="s">
        <v>63</v>
      </c>
      <c r="R1056" s="1034">
        <v>105.1597916</v>
      </c>
      <c r="S1056" s="1034">
        <v>53.90464914</v>
      </c>
      <c r="T1056" s="1035">
        <v>168.3006721</v>
      </c>
      <c r="AB1056" s="1045"/>
    </row>
    <row r="1057">
      <c r="A1057" s="294"/>
      <c r="B1057" s="1019" t="s">
        <v>152</v>
      </c>
      <c r="C1057" s="1020" t="s">
        <v>1035</v>
      </c>
      <c r="D1057" s="1020" t="s">
        <v>1041</v>
      </c>
      <c r="E1057" s="1020" t="s">
        <v>552</v>
      </c>
      <c r="F1057" s="1020">
        <v>2021.0</v>
      </c>
      <c r="G1057" s="1021">
        <v>3.27E-5</v>
      </c>
      <c r="H1057" s="1021">
        <v>6.32E-7</v>
      </c>
      <c r="I1057" s="1022">
        <v>1.66202E-4</v>
      </c>
      <c r="K1057" s="1031" t="s">
        <v>119</v>
      </c>
      <c r="L1057" s="1032" t="s">
        <v>608</v>
      </c>
      <c r="M1057" s="1032" t="s">
        <v>1035</v>
      </c>
      <c r="N1057" s="1032" t="s">
        <v>1046</v>
      </c>
      <c r="O1057" s="1032">
        <v>2021.0</v>
      </c>
      <c r="P1057" s="1032" t="s">
        <v>1039</v>
      </c>
      <c r="Q1057" s="1033" t="s">
        <v>63</v>
      </c>
      <c r="R1057" s="1034">
        <v>633.3396625</v>
      </c>
      <c r="S1057" s="1034">
        <v>376.3508388</v>
      </c>
      <c r="T1057" s="1035">
        <v>1022.19056</v>
      </c>
      <c r="AB1057" s="1045"/>
    </row>
    <row r="1058">
      <c r="A1058" s="294"/>
      <c r="B1058" s="1019" t="s">
        <v>152</v>
      </c>
      <c r="C1058" s="1020" t="s">
        <v>1035</v>
      </c>
      <c r="D1058" s="1020" t="s">
        <v>1043</v>
      </c>
      <c r="E1058" s="1020" t="s">
        <v>552</v>
      </c>
      <c r="F1058" s="1020">
        <v>2021.0</v>
      </c>
      <c r="G1058" s="1021">
        <v>1.46813E-4</v>
      </c>
      <c r="H1058" s="1021">
        <v>2.23E-6</v>
      </c>
      <c r="I1058" s="1022">
        <v>7.43736E-4</v>
      </c>
      <c r="K1058" s="1031" t="s">
        <v>119</v>
      </c>
      <c r="L1058" s="1032" t="s">
        <v>608</v>
      </c>
      <c r="M1058" s="1032" t="s">
        <v>1035</v>
      </c>
      <c r="N1058" s="1032" t="s">
        <v>1045</v>
      </c>
      <c r="O1058" s="1032">
        <v>2021.0</v>
      </c>
      <c r="P1058" s="1032" t="s">
        <v>1039</v>
      </c>
      <c r="Q1058" s="1033" t="s">
        <v>63</v>
      </c>
      <c r="R1058" s="1034">
        <v>2043.485593</v>
      </c>
      <c r="S1058" s="1034">
        <v>1151.314152</v>
      </c>
      <c r="T1058" s="1035">
        <v>3459.463472</v>
      </c>
      <c r="AB1058" s="1045"/>
    </row>
    <row r="1059">
      <c r="A1059" s="294"/>
      <c r="B1059" s="1019" t="s">
        <v>152</v>
      </c>
      <c r="C1059" s="1020" t="s">
        <v>1035</v>
      </c>
      <c r="D1059" s="1020" t="s">
        <v>1045</v>
      </c>
      <c r="E1059" s="1020" t="s">
        <v>552</v>
      </c>
      <c r="F1059" s="1020">
        <v>2021.0</v>
      </c>
      <c r="G1059" s="1021">
        <v>0.001203361</v>
      </c>
      <c r="H1059" s="1021">
        <v>3.66E-5</v>
      </c>
      <c r="I1059" s="1022">
        <v>0.005398075</v>
      </c>
      <c r="K1059" s="1031" t="s">
        <v>120</v>
      </c>
      <c r="L1059" s="1032" t="s">
        <v>608</v>
      </c>
      <c r="M1059" s="1032" t="s">
        <v>1035</v>
      </c>
      <c r="N1059" s="1032" t="s">
        <v>1038</v>
      </c>
      <c r="O1059" s="1032">
        <v>2021.0</v>
      </c>
      <c r="P1059" s="1032" t="s">
        <v>1039</v>
      </c>
      <c r="Q1059" s="1033" t="s">
        <v>63</v>
      </c>
      <c r="R1059" s="1034">
        <v>584.957982</v>
      </c>
      <c r="S1059" s="1034">
        <v>319.8962969</v>
      </c>
      <c r="T1059" s="1035">
        <v>1041.721875</v>
      </c>
      <c r="AB1059" s="1045"/>
    </row>
    <row r="1060">
      <c r="A1060" s="294"/>
      <c r="B1060" s="1019" t="s">
        <v>153</v>
      </c>
      <c r="C1060" s="1020" t="s">
        <v>1035</v>
      </c>
      <c r="D1060" s="1020" t="s">
        <v>1036</v>
      </c>
      <c r="E1060" s="1020" t="s">
        <v>552</v>
      </c>
      <c r="F1060" s="1020">
        <v>2021.0</v>
      </c>
      <c r="G1060" s="1021">
        <v>5.25E-5</v>
      </c>
      <c r="H1060" s="1021">
        <v>1.06E-6</v>
      </c>
      <c r="I1060" s="1022">
        <v>2.74698E-4</v>
      </c>
      <c r="K1060" s="1031" t="s">
        <v>120</v>
      </c>
      <c r="L1060" s="1032" t="s">
        <v>608</v>
      </c>
      <c r="M1060" s="1032" t="s">
        <v>1035</v>
      </c>
      <c r="N1060" s="1032" t="s">
        <v>1042</v>
      </c>
      <c r="O1060" s="1032">
        <v>2021.0</v>
      </c>
      <c r="P1060" s="1032" t="s">
        <v>1039</v>
      </c>
      <c r="Q1060" s="1033" t="s">
        <v>63</v>
      </c>
      <c r="R1060" s="1034">
        <v>74.78046252</v>
      </c>
      <c r="S1060" s="1034">
        <v>39.07927885</v>
      </c>
      <c r="T1060" s="1035">
        <v>120.4795977</v>
      </c>
      <c r="AB1060" s="1045"/>
    </row>
    <row r="1061">
      <c r="A1061" s="294"/>
      <c r="B1061" s="1019" t="s">
        <v>153</v>
      </c>
      <c r="C1061" s="1020" t="s">
        <v>1035</v>
      </c>
      <c r="D1061" s="1020" t="s">
        <v>1041</v>
      </c>
      <c r="E1061" s="1020" t="s">
        <v>552</v>
      </c>
      <c r="F1061" s="1020">
        <v>2021.0</v>
      </c>
      <c r="G1061" s="1021">
        <v>4.43E-5</v>
      </c>
      <c r="H1061" s="1021">
        <v>9.15E-7</v>
      </c>
      <c r="I1061" s="1022">
        <v>2.0995E-4</v>
      </c>
      <c r="K1061" s="1031" t="s">
        <v>120</v>
      </c>
      <c r="L1061" s="1032" t="s">
        <v>608</v>
      </c>
      <c r="M1061" s="1032" t="s">
        <v>1035</v>
      </c>
      <c r="N1061" s="1032" t="s">
        <v>1044</v>
      </c>
      <c r="O1061" s="1032">
        <v>2021.0</v>
      </c>
      <c r="P1061" s="1032" t="s">
        <v>1039</v>
      </c>
      <c r="Q1061" s="1033" t="s">
        <v>63</v>
      </c>
      <c r="R1061" s="1034">
        <v>44.52235959</v>
      </c>
      <c r="S1061" s="1034">
        <v>24.03568886</v>
      </c>
      <c r="T1061" s="1035">
        <v>73.13210345</v>
      </c>
      <c r="AB1061" s="1045"/>
    </row>
    <row r="1062">
      <c r="A1062" s="294"/>
      <c r="B1062" s="1019" t="s">
        <v>153</v>
      </c>
      <c r="C1062" s="1020" t="s">
        <v>1035</v>
      </c>
      <c r="D1062" s="1020" t="s">
        <v>1043</v>
      </c>
      <c r="E1062" s="1020" t="s">
        <v>552</v>
      </c>
      <c r="F1062" s="1020">
        <v>2021.0</v>
      </c>
      <c r="G1062" s="1021">
        <v>1.87811E-4</v>
      </c>
      <c r="H1062" s="1021">
        <v>4.11E-6</v>
      </c>
      <c r="I1062" s="1022">
        <v>8.62937E-4</v>
      </c>
      <c r="K1062" s="1031" t="s">
        <v>120</v>
      </c>
      <c r="L1062" s="1032" t="s">
        <v>608</v>
      </c>
      <c r="M1062" s="1032" t="s">
        <v>1035</v>
      </c>
      <c r="N1062" s="1032" t="s">
        <v>1046</v>
      </c>
      <c r="O1062" s="1032">
        <v>2021.0</v>
      </c>
      <c r="P1062" s="1032" t="s">
        <v>1039</v>
      </c>
      <c r="Q1062" s="1033" t="s">
        <v>63</v>
      </c>
      <c r="R1062" s="1034">
        <v>356.8458763</v>
      </c>
      <c r="S1062" s="1034">
        <v>236.661665</v>
      </c>
      <c r="T1062" s="1035">
        <v>575.8100872</v>
      </c>
      <c r="AB1062" s="1045"/>
    </row>
    <row r="1063">
      <c r="A1063" s="294"/>
      <c r="B1063" s="1019" t="s">
        <v>153</v>
      </c>
      <c r="C1063" s="1020" t="s">
        <v>1035</v>
      </c>
      <c r="D1063" s="1020" t="s">
        <v>1045</v>
      </c>
      <c r="E1063" s="1020" t="s">
        <v>552</v>
      </c>
      <c r="F1063" s="1020">
        <v>2021.0</v>
      </c>
      <c r="G1063" s="1021">
        <v>0.001569238</v>
      </c>
      <c r="H1063" s="1021">
        <v>4.95E-5</v>
      </c>
      <c r="I1063" s="1022">
        <v>0.006566276</v>
      </c>
      <c r="K1063" s="1031" t="s">
        <v>120</v>
      </c>
      <c r="L1063" s="1032" t="s">
        <v>608</v>
      </c>
      <c r="M1063" s="1032" t="s">
        <v>1035</v>
      </c>
      <c r="N1063" s="1032" t="s">
        <v>1045</v>
      </c>
      <c r="O1063" s="1032">
        <v>2021.0</v>
      </c>
      <c r="P1063" s="1032" t="s">
        <v>1039</v>
      </c>
      <c r="Q1063" s="1033" t="s">
        <v>63</v>
      </c>
      <c r="R1063" s="1034">
        <v>1061.10668</v>
      </c>
      <c r="S1063" s="1034">
        <v>681.0151519</v>
      </c>
      <c r="T1063" s="1035">
        <v>1653.032415</v>
      </c>
      <c r="AB1063" s="1045"/>
    </row>
    <row r="1064">
      <c r="A1064" s="294"/>
      <c r="B1064" s="1019" t="s">
        <v>122</v>
      </c>
      <c r="C1064" s="1020" t="s">
        <v>1035</v>
      </c>
      <c r="D1064" s="1020" t="s">
        <v>1036</v>
      </c>
      <c r="E1064" s="1020" t="s">
        <v>552</v>
      </c>
      <c r="F1064" s="1020">
        <v>2021.0</v>
      </c>
      <c r="G1064" s="1021">
        <v>6.69E-5</v>
      </c>
      <c r="H1064" s="1021">
        <v>1.33E-6</v>
      </c>
      <c r="I1064" s="1022">
        <v>3.0202E-4</v>
      </c>
      <c r="K1064" s="1031" t="s">
        <v>139</v>
      </c>
      <c r="L1064" s="1032" t="s">
        <v>608</v>
      </c>
      <c r="M1064" s="1032" t="s">
        <v>1035</v>
      </c>
      <c r="N1064" s="1032" t="s">
        <v>1038</v>
      </c>
      <c r="O1064" s="1032">
        <v>2021.0</v>
      </c>
      <c r="P1064" s="1032" t="s">
        <v>1039</v>
      </c>
      <c r="Q1064" s="1033" t="s">
        <v>63</v>
      </c>
      <c r="R1064" s="1034">
        <v>51.55574471</v>
      </c>
      <c r="S1064" s="1034">
        <v>17.78027294</v>
      </c>
      <c r="T1064" s="1035">
        <v>107.609093</v>
      </c>
      <c r="AB1064" s="1045"/>
    </row>
    <row r="1065">
      <c r="A1065" s="294"/>
      <c r="B1065" s="1019" t="s">
        <v>122</v>
      </c>
      <c r="C1065" s="1020" t="s">
        <v>1035</v>
      </c>
      <c r="D1065" s="1020" t="s">
        <v>1041</v>
      </c>
      <c r="E1065" s="1020" t="s">
        <v>552</v>
      </c>
      <c r="F1065" s="1020">
        <v>2021.0</v>
      </c>
      <c r="G1065" s="1021">
        <v>5.99E-5</v>
      </c>
      <c r="H1065" s="1021">
        <v>1.47E-6</v>
      </c>
      <c r="I1065" s="1022">
        <v>2.62083E-4</v>
      </c>
      <c r="K1065" s="1031" t="s">
        <v>139</v>
      </c>
      <c r="L1065" s="1032" t="s">
        <v>608</v>
      </c>
      <c r="M1065" s="1032" t="s">
        <v>1035</v>
      </c>
      <c r="N1065" s="1032" t="s">
        <v>1042</v>
      </c>
      <c r="O1065" s="1032">
        <v>2021.0</v>
      </c>
      <c r="P1065" s="1032" t="s">
        <v>1039</v>
      </c>
      <c r="Q1065" s="1033" t="s">
        <v>63</v>
      </c>
      <c r="R1065" s="1034">
        <v>11.45004907</v>
      </c>
      <c r="S1065" s="1034">
        <v>6.12483878</v>
      </c>
      <c r="T1065" s="1035">
        <v>19.56997686</v>
      </c>
      <c r="AB1065" s="1045"/>
    </row>
    <row r="1066">
      <c r="A1066" s="294"/>
      <c r="B1066" s="1019" t="s">
        <v>122</v>
      </c>
      <c r="C1066" s="1020" t="s">
        <v>1035</v>
      </c>
      <c r="D1066" s="1020" t="s">
        <v>1043</v>
      </c>
      <c r="E1066" s="1020" t="s">
        <v>552</v>
      </c>
      <c r="F1066" s="1020">
        <v>2021.0</v>
      </c>
      <c r="G1066" s="1021">
        <v>3.15217E-4</v>
      </c>
      <c r="H1066" s="1021">
        <v>6.34E-6</v>
      </c>
      <c r="I1066" s="1022">
        <v>0.001322299</v>
      </c>
      <c r="K1066" s="1031" t="s">
        <v>139</v>
      </c>
      <c r="L1066" s="1032" t="s">
        <v>608</v>
      </c>
      <c r="M1066" s="1032" t="s">
        <v>1035</v>
      </c>
      <c r="N1066" s="1032" t="s">
        <v>1044</v>
      </c>
      <c r="O1066" s="1032">
        <v>2021.0</v>
      </c>
      <c r="P1066" s="1032" t="s">
        <v>1039</v>
      </c>
      <c r="Q1066" s="1033" t="s">
        <v>63</v>
      </c>
      <c r="R1066" s="1034">
        <v>6.007446286</v>
      </c>
      <c r="S1066" s="1034">
        <v>3.202254841</v>
      </c>
      <c r="T1066" s="1035">
        <v>10.82487011</v>
      </c>
      <c r="AB1066" s="1045"/>
    </row>
    <row r="1067">
      <c r="A1067" s="294"/>
      <c r="B1067" s="1019" t="s">
        <v>122</v>
      </c>
      <c r="C1067" s="1020" t="s">
        <v>1035</v>
      </c>
      <c r="D1067" s="1020" t="s">
        <v>1045</v>
      </c>
      <c r="E1067" s="1020" t="s">
        <v>552</v>
      </c>
      <c r="F1067" s="1020">
        <v>2021.0</v>
      </c>
      <c r="G1067" s="1021">
        <v>0.002749402</v>
      </c>
      <c r="H1067" s="1021">
        <v>8.08E-5</v>
      </c>
      <c r="I1067" s="1022">
        <v>0.011266615</v>
      </c>
      <c r="K1067" s="1031" t="s">
        <v>139</v>
      </c>
      <c r="L1067" s="1032" t="s">
        <v>608</v>
      </c>
      <c r="M1067" s="1032" t="s">
        <v>1035</v>
      </c>
      <c r="N1067" s="1032" t="s">
        <v>1046</v>
      </c>
      <c r="O1067" s="1032">
        <v>2021.0</v>
      </c>
      <c r="P1067" s="1032" t="s">
        <v>1039</v>
      </c>
      <c r="Q1067" s="1033" t="s">
        <v>63</v>
      </c>
      <c r="R1067" s="1034">
        <v>30.70955212</v>
      </c>
      <c r="S1067" s="1034">
        <v>13.47760639</v>
      </c>
      <c r="T1067" s="1035">
        <v>58.07455807</v>
      </c>
      <c r="AB1067" s="1045"/>
    </row>
    <row r="1068">
      <c r="A1068" s="294"/>
      <c r="B1068" s="1019" t="s">
        <v>123</v>
      </c>
      <c r="C1068" s="1020" t="s">
        <v>1035</v>
      </c>
      <c r="D1068" s="1020" t="s">
        <v>1036</v>
      </c>
      <c r="E1068" s="1020" t="s">
        <v>565</v>
      </c>
      <c r="F1068" s="1020">
        <v>2021.0</v>
      </c>
      <c r="G1068" s="1021">
        <v>2.93E-5</v>
      </c>
      <c r="H1068" s="1021">
        <v>6.17E-7</v>
      </c>
      <c r="I1068" s="1022">
        <v>8.76E-5</v>
      </c>
      <c r="K1068" s="1031" t="s">
        <v>139</v>
      </c>
      <c r="L1068" s="1032" t="s">
        <v>608</v>
      </c>
      <c r="M1068" s="1032" t="s">
        <v>1035</v>
      </c>
      <c r="N1068" s="1032" t="s">
        <v>1045</v>
      </c>
      <c r="O1068" s="1032">
        <v>2021.0</v>
      </c>
      <c r="P1068" s="1032" t="s">
        <v>1039</v>
      </c>
      <c r="Q1068" s="1033" t="s">
        <v>63</v>
      </c>
      <c r="R1068" s="1034">
        <v>99.72279218</v>
      </c>
      <c r="S1068" s="1034">
        <v>46.65550314</v>
      </c>
      <c r="T1068" s="1035">
        <v>186.0231996</v>
      </c>
      <c r="AB1068" s="1045"/>
    </row>
    <row r="1069">
      <c r="A1069" s="294"/>
      <c r="B1069" s="1019" t="s">
        <v>123</v>
      </c>
      <c r="C1069" s="1020" t="s">
        <v>1035</v>
      </c>
      <c r="D1069" s="1020" t="s">
        <v>1041</v>
      </c>
      <c r="E1069" s="1020" t="s">
        <v>565</v>
      </c>
      <c r="F1069" s="1020">
        <v>2021.0</v>
      </c>
      <c r="G1069" s="1021">
        <v>1.00875E-4</v>
      </c>
      <c r="H1069" s="1021">
        <v>3.34E-6</v>
      </c>
      <c r="I1069" s="1022">
        <v>2.90992E-4</v>
      </c>
      <c r="K1069" s="1031" t="s">
        <v>140</v>
      </c>
      <c r="L1069" s="1032" t="s">
        <v>608</v>
      </c>
      <c r="M1069" s="1032" t="s">
        <v>1035</v>
      </c>
      <c r="N1069" s="1032" t="s">
        <v>1038</v>
      </c>
      <c r="O1069" s="1032">
        <v>2021.0</v>
      </c>
      <c r="P1069" s="1032" t="s">
        <v>1039</v>
      </c>
      <c r="Q1069" s="1033" t="s">
        <v>63</v>
      </c>
      <c r="R1069" s="1034">
        <v>33.96796835</v>
      </c>
      <c r="S1069" s="1034">
        <v>11.60958156</v>
      </c>
      <c r="T1069" s="1035">
        <v>74.64667163</v>
      </c>
      <c r="AB1069" s="1045"/>
    </row>
    <row r="1070">
      <c r="A1070" s="294"/>
      <c r="B1070" s="1019" t="s">
        <v>123</v>
      </c>
      <c r="C1070" s="1020" t="s">
        <v>1035</v>
      </c>
      <c r="D1070" s="1020" t="s">
        <v>1043</v>
      </c>
      <c r="E1070" s="1020" t="s">
        <v>565</v>
      </c>
      <c r="F1070" s="1020">
        <v>2021.0</v>
      </c>
      <c r="G1070" s="1021">
        <v>9.49E-6</v>
      </c>
      <c r="H1070" s="1021">
        <v>2.21E-7</v>
      </c>
      <c r="I1070" s="1022">
        <v>2.81E-5</v>
      </c>
      <c r="K1070" s="1031" t="s">
        <v>140</v>
      </c>
      <c r="L1070" s="1032" t="s">
        <v>608</v>
      </c>
      <c r="M1070" s="1032" t="s">
        <v>1035</v>
      </c>
      <c r="N1070" s="1032" t="s">
        <v>1042</v>
      </c>
      <c r="O1070" s="1032">
        <v>2021.0</v>
      </c>
      <c r="P1070" s="1032" t="s">
        <v>1039</v>
      </c>
      <c r="Q1070" s="1033" t="s">
        <v>63</v>
      </c>
      <c r="R1070" s="1034">
        <v>11.61158209</v>
      </c>
      <c r="S1070" s="1034">
        <v>6.14314663</v>
      </c>
      <c r="T1070" s="1035">
        <v>19.60366055</v>
      </c>
      <c r="AB1070" s="1045"/>
    </row>
    <row r="1071">
      <c r="A1071" s="294"/>
      <c r="B1071" s="1019" t="s">
        <v>123</v>
      </c>
      <c r="C1071" s="1020" t="s">
        <v>1035</v>
      </c>
      <c r="D1071" s="1020" t="s">
        <v>1045</v>
      </c>
      <c r="E1071" s="1020" t="s">
        <v>565</v>
      </c>
      <c r="F1071" s="1020">
        <v>2021.0</v>
      </c>
      <c r="G1071" s="1021">
        <v>6.91E-5</v>
      </c>
      <c r="H1071" s="1021">
        <v>1.89E-6</v>
      </c>
      <c r="I1071" s="1022">
        <v>1.63097E-4</v>
      </c>
      <c r="K1071" s="1031" t="s">
        <v>140</v>
      </c>
      <c r="L1071" s="1032" t="s">
        <v>608</v>
      </c>
      <c r="M1071" s="1032" t="s">
        <v>1035</v>
      </c>
      <c r="N1071" s="1032" t="s">
        <v>1044</v>
      </c>
      <c r="O1071" s="1032">
        <v>2021.0</v>
      </c>
      <c r="P1071" s="1032" t="s">
        <v>1039</v>
      </c>
      <c r="Q1071" s="1033" t="s">
        <v>63</v>
      </c>
      <c r="R1071" s="1034">
        <v>8.6705455</v>
      </c>
      <c r="S1071" s="1034">
        <v>4.70386357</v>
      </c>
      <c r="T1071" s="1035">
        <v>15.1163305</v>
      </c>
      <c r="AB1071" s="1045"/>
    </row>
    <row r="1072">
      <c r="A1072" s="294"/>
      <c r="B1072" s="1019" t="s">
        <v>124</v>
      </c>
      <c r="C1072" s="1020" t="s">
        <v>1035</v>
      </c>
      <c r="D1072" s="1020" t="s">
        <v>1036</v>
      </c>
      <c r="E1072" s="1020" t="s">
        <v>565</v>
      </c>
      <c r="F1072" s="1020">
        <v>2021.0</v>
      </c>
      <c r="G1072" s="1021">
        <v>5.09E-5</v>
      </c>
      <c r="H1072" s="1021">
        <v>1.04E-5</v>
      </c>
      <c r="I1072" s="1022">
        <v>1.21968E-4</v>
      </c>
      <c r="K1072" s="1031" t="s">
        <v>140</v>
      </c>
      <c r="L1072" s="1032" t="s">
        <v>608</v>
      </c>
      <c r="M1072" s="1032" t="s">
        <v>1035</v>
      </c>
      <c r="N1072" s="1032" t="s">
        <v>1046</v>
      </c>
      <c r="O1072" s="1032">
        <v>2021.0</v>
      </c>
      <c r="P1072" s="1032" t="s">
        <v>1039</v>
      </c>
      <c r="Q1072" s="1033" t="s">
        <v>63</v>
      </c>
      <c r="R1072" s="1034">
        <v>33.54906563</v>
      </c>
      <c r="S1072" s="1034">
        <v>14.93921961</v>
      </c>
      <c r="T1072" s="1035">
        <v>61.10008863</v>
      </c>
      <c r="AB1072" s="1045"/>
    </row>
    <row r="1073">
      <c r="A1073" s="294"/>
      <c r="B1073" s="1019" t="s">
        <v>124</v>
      </c>
      <c r="C1073" s="1020" t="s">
        <v>1035</v>
      </c>
      <c r="D1073" s="1020" t="s">
        <v>1041</v>
      </c>
      <c r="E1073" s="1020" t="s">
        <v>565</v>
      </c>
      <c r="F1073" s="1020">
        <v>2021.0</v>
      </c>
      <c r="G1073" s="1021">
        <v>1.74205E-4</v>
      </c>
      <c r="H1073" s="1021">
        <v>4.38E-5</v>
      </c>
      <c r="I1073" s="1022">
        <v>4.10436E-4</v>
      </c>
      <c r="K1073" s="1031" t="s">
        <v>140</v>
      </c>
      <c r="L1073" s="1032" t="s">
        <v>608</v>
      </c>
      <c r="M1073" s="1032" t="s">
        <v>1035</v>
      </c>
      <c r="N1073" s="1032" t="s">
        <v>1045</v>
      </c>
      <c r="O1073" s="1032">
        <v>2021.0</v>
      </c>
      <c r="P1073" s="1032" t="s">
        <v>1039</v>
      </c>
      <c r="Q1073" s="1033" t="s">
        <v>63</v>
      </c>
      <c r="R1073" s="1034">
        <v>87.79916158</v>
      </c>
      <c r="S1073" s="1034">
        <v>43.8339885</v>
      </c>
      <c r="T1073" s="1035">
        <v>155.1943744</v>
      </c>
      <c r="AB1073" s="1045"/>
    </row>
    <row r="1074">
      <c r="A1074" s="294"/>
      <c r="B1074" s="1019" t="s">
        <v>124</v>
      </c>
      <c r="C1074" s="1020" t="s">
        <v>1035</v>
      </c>
      <c r="D1074" s="1020" t="s">
        <v>1043</v>
      </c>
      <c r="E1074" s="1020" t="s">
        <v>565</v>
      </c>
      <c r="F1074" s="1020">
        <v>2021.0</v>
      </c>
      <c r="G1074" s="1021">
        <v>2.35E-5</v>
      </c>
      <c r="H1074" s="1021">
        <v>6.2E-6</v>
      </c>
      <c r="I1074" s="1022">
        <v>6.04E-5</v>
      </c>
      <c r="K1074" s="1031" t="s">
        <v>141</v>
      </c>
      <c r="L1074" s="1032" t="s">
        <v>608</v>
      </c>
      <c r="M1074" s="1032" t="s">
        <v>1035</v>
      </c>
      <c r="N1074" s="1032" t="s">
        <v>1038</v>
      </c>
      <c r="O1074" s="1032">
        <v>2021.0</v>
      </c>
      <c r="P1074" s="1032" t="s">
        <v>1039</v>
      </c>
      <c r="Q1074" s="1033" t="s">
        <v>63</v>
      </c>
      <c r="R1074" s="1034">
        <v>34.55691719</v>
      </c>
      <c r="S1074" s="1034">
        <v>9.598777351</v>
      </c>
      <c r="T1074" s="1035">
        <v>84.53973661</v>
      </c>
      <c r="AB1074" s="1045"/>
    </row>
    <row r="1075">
      <c r="A1075" s="294"/>
      <c r="B1075" s="1019" t="s">
        <v>124</v>
      </c>
      <c r="C1075" s="1020" t="s">
        <v>1035</v>
      </c>
      <c r="D1075" s="1020" t="s">
        <v>1045</v>
      </c>
      <c r="E1075" s="1020" t="s">
        <v>565</v>
      </c>
      <c r="F1075" s="1020">
        <v>2021.0</v>
      </c>
      <c r="G1075" s="1021">
        <v>1.07375E-4</v>
      </c>
      <c r="H1075" s="1021">
        <v>2.59E-5</v>
      </c>
      <c r="I1075" s="1022">
        <v>2.74544E-4</v>
      </c>
      <c r="K1075" s="1031" t="s">
        <v>141</v>
      </c>
      <c r="L1075" s="1032" t="s">
        <v>608</v>
      </c>
      <c r="M1075" s="1032" t="s">
        <v>1035</v>
      </c>
      <c r="N1075" s="1032" t="s">
        <v>1042</v>
      </c>
      <c r="O1075" s="1032">
        <v>2021.0</v>
      </c>
      <c r="P1075" s="1032" t="s">
        <v>1039</v>
      </c>
      <c r="Q1075" s="1033" t="s">
        <v>63</v>
      </c>
      <c r="R1075" s="1034">
        <v>21.65063764</v>
      </c>
      <c r="S1075" s="1034">
        <v>9.648264944</v>
      </c>
      <c r="T1075" s="1035">
        <v>40.64485346</v>
      </c>
      <c r="AB1075" s="1045"/>
    </row>
    <row r="1076">
      <c r="A1076" s="294"/>
      <c r="B1076" s="1019" t="s">
        <v>125</v>
      </c>
      <c r="C1076" s="1020" t="s">
        <v>1035</v>
      </c>
      <c r="D1076" s="1020" t="s">
        <v>1036</v>
      </c>
      <c r="E1076" s="1020" t="s">
        <v>565</v>
      </c>
      <c r="F1076" s="1020">
        <v>2021.0</v>
      </c>
      <c r="G1076" s="1021">
        <v>2.8E-5</v>
      </c>
      <c r="H1076" s="1021">
        <v>1.45E-6</v>
      </c>
      <c r="I1076" s="1022">
        <v>7.67E-5</v>
      </c>
      <c r="K1076" s="1031" t="s">
        <v>141</v>
      </c>
      <c r="L1076" s="1032" t="s">
        <v>608</v>
      </c>
      <c r="M1076" s="1032" t="s">
        <v>1035</v>
      </c>
      <c r="N1076" s="1032" t="s">
        <v>1044</v>
      </c>
      <c r="O1076" s="1032">
        <v>2021.0</v>
      </c>
      <c r="P1076" s="1032" t="s">
        <v>1039</v>
      </c>
      <c r="Q1076" s="1033" t="s">
        <v>63</v>
      </c>
      <c r="R1076" s="1034">
        <v>10.25538763</v>
      </c>
      <c r="S1076" s="1034">
        <v>4.791130762</v>
      </c>
      <c r="T1076" s="1035">
        <v>21.20026</v>
      </c>
      <c r="AB1076" s="1045"/>
    </row>
    <row r="1077">
      <c r="A1077" s="294"/>
      <c r="B1077" s="1019" t="s">
        <v>125</v>
      </c>
      <c r="C1077" s="1020" t="s">
        <v>1035</v>
      </c>
      <c r="D1077" s="1020" t="s">
        <v>1041</v>
      </c>
      <c r="E1077" s="1020" t="s">
        <v>565</v>
      </c>
      <c r="F1077" s="1020">
        <v>2021.0</v>
      </c>
      <c r="G1077" s="1021">
        <v>9.71E-5</v>
      </c>
      <c r="H1077" s="1021">
        <v>7.3E-6</v>
      </c>
      <c r="I1077" s="1022">
        <v>2.39874E-4</v>
      </c>
      <c r="K1077" s="1031" t="s">
        <v>141</v>
      </c>
      <c r="L1077" s="1032" t="s">
        <v>608</v>
      </c>
      <c r="M1077" s="1032" t="s">
        <v>1035</v>
      </c>
      <c r="N1077" s="1032" t="s">
        <v>1046</v>
      </c>
      <c r="O1077" s="1032">
        <v>2021.0</v>
      </c>
      <c r="P1077" s="1032" t="s">
        <v>1039</v>
      </c>
      <c r="Q1077" s="1033" t="s">
        <v>63</v>
      </c>
      <c r="R1077" s="1034">
        <v>43.08177887</v>
      </c>
      <c r="S1077" s="1034">
        <v>16.18038334</v>
      </c>
      <c r="T1077" s="1035">
        <v>87.27185399</v>
      </c>
      <c r="AB1077" s="1045"/>
    </row>
    <row r="1078">
      <c r="A1078" s="294"/>
      <c r="B1078" s="1019" t="s">
        <v>125</v>
      </c>
      <c r="C1078" s="1020" t="s">
        <v>1035</v>
      </c>
      <c r="D1078" s="1020" t="s">
        <v>1043</v>
      </c>
      <c r="E1078" s="1020" t="s">
        <v>565</v>
      </c>
      <c r="F1078" s="1020">
        <v>2021.0</v>
      </c>
      <c r="G1078" s="1021">
        <v>7.33E-6</v>
      </c>
      <c r="H1078" s="1021">
        <v>3.72E-7</v>
      </c>
      <c r="I1078" s="1022">
        <v>1.95E-5</v>
      </c>
      <c r="K1078" s="1031" t="s">
        <v>141</v>
      </c>
      <c r="L1078" s="1032" t="s">
        <v>608</v>
      </c>
      <c r="M1078" s="1032" t="s">
        <v>1035</v>
      </c>
      <c r="N1078" s="1032" t="s">
        <v>1045</v>
      </c>
      <c r="O1078" s="1032">
        <v>2021.0</v>
      </c>
      <c r="P1078" s="1032" t="s">
        <v>1039</v>
      </c>
      <c r="Q1078" s="1033" t="s">
        <v>63</v>
      </c>
      <c r="R1078" s="1034">
        <v>109.5447213</v>
      </c>
      <c r="S1078" s="1034">
        <v>49.26017112</v>
      </c>
      <c r="T1078" s="1035">
        <v>212.3741341</v>
      </c>
      <c r="AB1078" s="1045"/>
    </row>
    <row r="1079">
      <c r="A1079" s="294"/>
      <c r="B1079" s="1019" t="s">
        <v>125</v>
      </c>
      <c r="C1079" s="1020" t="s">
        <v>1035</v>
      </c>
      <c r="D1079" s="1020" t="s">
        <v>1045</v>
      </c>
      <c r="E1079" s="1020" t="s">
        <v>565</v>
      </c>
      <c r="F1079" s="1020">
        <v>2021.0</v>
      </c>
      <c r="G1079" s="1021">
        <v>6.96E-5</v>
      </c>
      <c r="H1079" s="1021">
        <v>2.99E-6</v>
      </c>
      <c r="I1079" s="1022">
        <v>1.90082E-4</v>
      </c>
      <c r="K1079" s="1031" t="s">
        <v>142</v>
      </c>
      <c r="L1079" s="1032" t="s">
        <v>608</v>
      </c>
      <c r="M1079" s="1032" t="s">
        <v>1035</v>
      </c>
      <c r="N1079" s="1032" t="s">
        <v>1038</v>
      </c>
      <c r="O1079" s="1032">
        <v>2021.0</v>
      </c>
      <c r="P1079" s="1032" t="s">
        <v>1039</v>
      </c>
      <c r="Q1079" s="1033" t="s">
        <v>63</v>
      </c>
      <c r="R1079" s="1034">
        <v>172.4206043</v>
      </c>
      <c r="S1079" s="1034">
        <v>69.27930533</v>
      </c>
      <c r="T1079" s="1035">
        <v>344.2788318</v>
      </c>
      <c r="AB1079" s="1045"/>
    </row>
    <row r="1080">
      <c r="A1080" s="294"/>
      <c r="B1080" s="1019" t="s">
        <v>126</v>
      </c>
      <c r="C1080" s="1020" t="s">
        <v>1035</v>
      </c>
      <c r="D1080" s="1020" t="s">
        <v>1036</v>
      </c>
      <c r="E1080" s="1020" t="s">
        <v>565</v>
      </c>
      <c r="F1080" s="1020">
        <v>2021.0</v>
      </c>
      <c r="G1080" s="1021">
        <v>2.31E-5</v>
      </c>
      <c r="H1080" s="1021">
        <v>7.6E-7</v>
      </c>
      <c r="I1080" s="1022">
        <v>5.7E-5</v>
      </c>
      <c r="K1080" s="1031" t="s">
        <v>142</v>
      </c>
      <c r="L1080" s="1032" t="s">
        <v>608</v>
      </c>
      <c r="M1080" s="1032" t="s">
        <v>1035</v>
      </c>
      <c r="N1080" s="1032" t="s">
        <v>1042</v>
      </c>
      <c r="O1080" s="1032">
        <v>2021.0</v>
      </c>
      <c r="P1080" s="1032" t="s">
        <v>1039</v>
      </c>
      <c r="Q1080" s="1033" t="s">
        <v>63</v>
      </c>
      <c r="R1080" s="1034">
        <v>43.50322354</v>
      </c>
      <c r="S1080" s="1034">
        <v>23.27901881</v>
      </c>
      <c r="T1080" s="1035">
        <v>69.58699723</v>
      </c>
      <c r="AB1080" s="1045"/>
    </row>
    <row r="1081">
      <c r="A1081" s="294"/>
      <c r="B1081" s="1019" t="s">
        <v>126</v>
      </c>
      <c r="C1081" s="1020" t="s">
        <v>1035</v>
      </c>
      <c r="D1081" s="1020" t="s">
        <v>1041</v>
      </c>
      <c r="E1081" s="1020" t="s">
        <v>565</v>
      </c>
      <c r="F1081" s="1020">
        <v>2021.0</v>
      </c>
      <c r="G1081" s="1021">
        <v>7.32E-5</v>
      </c>
      <c r="H1081" s="1021">
        <v>3.29E-6</v>
      </c>
      <c r="I1081" s="1022">
        <v>1.86767E-4</v>
      </c>
      <c r="K1081" s="1031" t="s">
        <v>142</v>
      </c>
      <c r="L1081" s="1032" t="s">
        <v>608</v>
      </c>
      <c r="M1081" s="1032" t="s">
        <v>1035</v>
      </c>
      <c r="N1081" s="1032" t="s">
        <v>1044</v>
      </c>
      <c r="O1081" s="1032">
        <v>2021.0</v>
      </c>
      <c r="P1081" s="1032" t="s">
        <v>1039</v>
      </c>
      <c r="Q1081" s="1033" t="s">
        <v>63</v>
      </c>
      <c r="R1081" s="1034">
        <v>27.30440462</v>
      </c>
      <c r="S1081" s="1034">
        <v>14.6963471</v>
      </c>
      <c r="T1081" s="1035">
        <v>46.12688872</v>
      </c>
      <c r="AB1081" s="1045"/>
    </row>
    <row r="1082">
      <c r="A1082" s="294"/>
      <c r="B1082" s="1019" t="s">
        <v>126</v>
      </c>
      <c r="C1082" s="1020" t="s">
        <v>1035</v>
      </c>
      <c r="D1082" s="1020" t="s">
        <v>1043</v>
      </c>
      <c r="E1082" s="1020" t="s">
        <v>565</v>
      </c>
      <c r="F1082" s="1020">
        <v>2021.0</v>
      </c>
      <c r="G1082" s="1021">
        <v>6.22E-6</v>
      </c>
      <c r="H1082" s="1021">
        <v>2.05E-7</v>
      </c>
      <c r="I1082" s="1022">
        <v>1.4E-5</v>
      </c>
      <c r="K1082" s="1031" t="s">
        <v>142</v>
      </c>
      <c r="L1082" s="1032" t="s">
        <v>608</v>
      </c>
      <c r="M1082" s="1032" t="s">
        <v>1035</v>
      </c>
      <c r="N1082" s="1032" t="s">
        <v>1046</v>
      </c>
      <c r="O1082" s="1032">
        <v>2021.0</v>
      </c>
      <c r="P1082" s="1032" t="s">
        <v>1039</v>
      </c>
      <c r="Q1082" s="1033" t="s">
        <v>63</v>
      </c>
      <c r="R1082" s="1034">
        <v>169.7740494</v>
      </c>
      <c r="S1082" s="1034">
        <v>89.95510185</v>
      </c>
      <c r="T1082" s="1035">
        <v>292.393227</v>
      </c>
      <c r="AB1082" s="1045"/>
    </row>
    <row r="1083">
      <c r="A1083" s="294"/>
      <c r="B1083" s="1019" t="s">
        <v>126</v>
      </c>
      <c r="C1083" s="1020" t="s">
        <v>1035</v>
      </c>
      <c r="D1083" s="1020" t="s">
        <v>1045</v>
      </c>
      <c r="E1083" s="1020" t="s">
        <v>565</v>
      </c>
      <c r="F1083" s="1020">
        <v>2021.0</v>
      </c>
      <c r="G1083" s="1021">
        <v>5.67E-5</v>
      </c>
      <c r="H1083" s="1021">
        <v>1.41E-6</v>
      </c>
      <c r="I1083" s="1022">
        <v>1.32369E-4</v>
      </c>
      <c r="K1083" s="1031" t="s">
        <v>142</v>
      </c>
      <c r="L1083" s="1032" t="s">
        <v>608</v>
      </c>
      <c r="M1083" s="1032" t="s">
        <v>1035</v>
      </c>
      <c r="N1083" s="1032" t="s">
        <v>1045</v>
      </c>
      <c r="O1083" s="1032">
        <v>2021.0</v>
      </c>
      <c r="P1083" s="1032" t="s">
        <v>1039</v>
      </c>
      <c r="Q1083" s="1033" t="s">
        <v>63</v>
      </c>
      <c r="R1083" s="1034">
        <v>413.0022819</v>
      </c>
      <c r="S1083" s="1034">
        <v>224.6053471</v>
      </c>
      <c r="T1083" s="1035">
        <v>669.1725983</v>
      </c>
      <c r="AB1083" s="1045"/>
    </row>
    <row r="1084">
      <c r="A1084" s="294"/>
      <c r="B1084" s="1019" t="s">
        <v>114</v>
      </c>
      <c r="C1084" s="1020" t="s">
        <v>1035</v>
      </c>
      <c r="D1084" s="1020" t="s">
        <v>1036</v>
      </c>
      <c r="E1084" s="1020" t="s">
        <v>565</v>
      </c>
      <c r="F1084" s="1020">
        <v>2021.0</v>
      </c>
      <c r="G1084" s="1021">
        <v>7.96E-5</v>
      </c>
      <c r="H1084" s="1021">
        <v>1.64E-5</v>
      </c>
      <c r="I1084" s="1022">
        <v>2.3849E-4</v>
      </c>
      <c r="K1084" s="1031" t="s">
        <v>143</v>
      </c>
      <c r="L1084" s="1032" t="s">
        <v>608</v>
      </c>
      <c r="M1084" s="1032" t="s">
        <v>1035</v>
      </c>
      <c r="N1084" s="1032" t="s">
        <v>1038</v>
      </c>
      <c r="O1084" s="1032">
        <v>2021.0</v>
      </c>
      <c r="P1084" s="1032" t="s">
        <v>1039</v>
      </c>
      <c r="Q1084" s="1033" t="s">
        <v>63</v>
      </c>
      <c r="R1084" s="1034">
        <v>566.0035329</v>
      </c>
      <c r="S1084" s="1034">
        <v>234.1596615</v>
      </c>
      <c r="T1084" s="1035">
        <v>1078.498313</v>
      </c>
      <c r="AB1084" s="1045"/>
    </row>
    <row r="1085">
      <c r="A1085" s="294"/>
      <c r="B1085" s="1019" t="s">
        <v>114</v>
      </c>
      <c r="C1085" s="1020" t="s">
        <v>1035</v>
      </c>
      <c r="D1085" s="1020" t="s">
        <v>1041</v>
      </c>
      <c r="E1085" s="1020" t="s">
        <v>565</v>
      </c>
      <c r="F1085" s="1020">
        <v>2021.0</v>
      </c>
      <c r="G1085" s="1021">
        <v>2.85466E-4</v>
      </c>
      <c r="H1085" s="1021">
        <v>6.27E-5</v>
      </c>
      <c r="I1085" s="1022">
        <v>8.67989E-4</v>
      </c>
      <c r="K1085" s="1031" t="s">
        <v>143</v>
      </c>
      <c r="L1085" s="1032" t="s">
        <v>608</v>
      </c>
      <c r="M1085" s="1032" t="s">
        <v>1035</v>
      </c>
      <c r="N1085" s="1032" t="s">
        <v>1042</v>
      </c>
      <c r="O1085" s="1032">
        <v>2021.0</v>
      </c>
      <c r="P1085" s="1032" t="s">
        <v>1039</v>
      </c>
      <c r="Q1085" s="1033" t="s">
        <v>63</v>
      </c>
      <c r="R1085" s="1034">
        <v>92.28288516</v>
      </c>
      <c r="S1085" s="1034">
        <v>48.43623285</v>
      </c>
      <c r="T1085" s="1035">
        <v>147.6064734</v>
      </c>
      <c r="AB1085" s="1045"/>
    </row>
    <row r="1086">
      <c r="A1086" s="294"/>
      <c r="B1086" s="1019" t="s">
        <v>114</v>
      </c>
      <c r="C1086" s="1020" t="s">
        <v>1035</v>
      </c>
      <c r="D1086" s="1020" t="s">
        <v>1043</v>
      </c>
      <c r="E1086" s="1020" t="s">
        <v>565</v>
      </c>
      <c r="F1086" s="1020">
        <v>2021.0</v>
      </c>
      <c r="G1086" s="1021">
        <v>4.07E-5</v>
      </c>
      <c r="H1086" s="1021">
        <v>8.1E-6</v>
      </c>
      <c r="I1086" s="1022">
        <v>1.2196E-4</v>
      </c>
      <c r="K1086" s="1031" t="s">
        <v>143</v>
      </c>
      <c r="L1086" s="1032" t="s">
        <v>608</v>
      </c>
      <c r="M1086" s="1032" t="s">
        <v>1035</v>
      </c>
      <c r="N1086" s="1032" t="s">
        <v>1044</v>
      </c>
      <c r="O1086" s="1032">
        <v>2021.0</v>
      </c>
      <c r="P1086" s="1032" t="s">
        <v>1039</v>
      </c>
      <c r="Q1086" s="1033" t="s">
        <v>63</v>
      </c>
      <c r="R1086" s="1034">
        <v>84.11014099</v>
      </c>
      <c r="S1086" s="1034">
        <v>43.41420585</v>
      </c>
      <c r="T1086" s="1035">
        <v>143.038678</v>
      </c>
      <c r="AB1086" s="1045"/>
    </row>
    <row r="1087">
      <c r="A1087" s="294"/>
      <c r="B1087" s="1019" t="s">
        <v>114</v>
      </c>
      <c r="C1087" s="1020" t="s">
        <v>1035</v>
      </c>
      <c r="D1087" s="1020" t="s">
        <v>1045</v>
      </c>
      <c r="E1087" s="1020" t="s">
        <v>565</v>
      </c>
      <c r="F1087" s="1020">
        <v>2021.0</v>
      </c>
      <c r="G1087" s="1021">
        <v>1.94494E-4</v>
      </c>
      <c r="H1087" s="1021">
        <v>6.25E-5</v>
      </c>
      <c r="I1087" s="1022">
        <v>6.65943E-4</v>
      </c>
      <c r="K1087" s="1031" t="s">
        <v>143</v>
      </c>
      <c r="L1087" s="1032" t="s">
        <v>608</v>
      </c>
      <c r="M1087" s="1032" t="s">
        <v>1035</v>
      </c>
      <c r="N1087" s="1032" t="s">
        <v>1046</v>
      </c>
      <c r="O1087" s="1032">
        <v>2021.0</v>
      </c>
      <c r="P1087" s="1032" t="s">
        <v>1039</v>
      </c>
      <c r="Q1087" s="1033" t="s">
        <v>63</v>
      </c>
      <c r="R1087" s="1034">
        <v>542.4909323</v>
      </c>
      <c r="S1087" s="1034">
        <v>317.109267</v>
      </c>
      <c r="T1087" s="1035">
        <v>849.5038668</v>
      </c>
      <c r="AB1087" s="1045"/>
    </row>
    <row r="1088">
      <c r="A1088" s="294"/>
      <c r="B1088" s="1019" t="s">
        <v>127</v>
      </c>
      <c r="C1088" s="1020" t="s">
        <v>1035</v>
      </c>
      <c r="D1088" s="1020" t="s">
        <v>1036</v>
      </c>
      <c r="E1088" s="1020" t="s">
        <v>565</v>
      </c>
      <c r="F1088" s="1020">
        <v>2021.0</v>
      </c>
      <c r="G1088" s="1021">
        <v>3.97E-5</v>
      </c>
      <c r="H1088" s="1021">
        <v>2.6E-6</v>
      </c>
      <c r="I1088" s="1022">
        <v>1.03638E-4</v>
      </c>
      <c r="K1088" s="1031" t="s">
        <v>143</v>
      </c>
      <c r="L1088" s="1032" t="s">
        <v>608</v>
      </c>
      <c r="M1088" s="1032" t="s">
        <v>1035</v>
      </c>
      <c r="N1088" s="1032" t="s">
        <v>1045</v>
      </c>
      <c r="O1088" s="1032">
        <v>2021.0</v>
      </c>
      <c r="P1088" s="1032" t="s">
        <v>1039</v>
      </c>
      <c r="Q1088" s="1033" t="s">
        <v>63</v>
      </c>
      <c r="R1088" s="1034">
        <v>1284.887491</v>
      </c>
      <c r="S1088" s="1034">
        <v>734.819488</v>
      </c>
      <c r="T1088" s="1035">
        <v>2023.81456</v>
      </c>
      <c r="AB1088" s="1045"/>
    </row>
    <row r="1089">
      <c r="A1089" s="294"/>
      <c r="B1089" s="1019" t="s">
        <v>127</v>
      </c>
      <c r="C1089" s="1020" t="s">
        <v>1035</v>
      </c>
      <c r="D1089" s="1020" t="s">
        <v>1041</v>
      </c>
      <c r="E1089" s="1020" t="s">
        <v>565</v>
      </c>
      <c r="F1089" s="1020">
        <v>2021.0</v>
      </c>
      <c r="G1089" s="1021">
        <v>1.38815E-4</v>
      </c>
      <c r="H1089" s="1021">
        <v>1.3E-5</v>
      </c>
      <c r="I1089" s="1022">
        <v>3.56441E-4</v>
      </c>
      <c r="K1089" s="1031" t="s">
        <v>109</v>
      </c>
      <c r="L1089" s="1032" t="s">
        <v>608</v>
      </c>
      <c r="M1089" s="1032" t="s">
        <v>1035</v>
      </c>
      <c r="N1089" s="1032" t="s">
        <v>1038</v>
      </c>
      <c r="O1089" s="1032">
        <v>2021.0</v>
      </c>
      <c r="P1089" s="1032" t="s">
        <v>1039</v>
      </c>
      <c r="Q1089" s="1033" t="s">
        <v>63</v>
      </c>
      <c r="R1089" s="1034">
        <v>13278.21863</v>
      </c>
      <c r="S1089" s="1034">
        <v>6193.446385</v>
      </c>
      <c r="T1089" s="1035">
        <v>23662.42974</v>
      </c>
      <c r="AB1089" s="1045"/>
    </row>
    <row r="1090">
      <c r="A1090" s="294"/>
      <c r="B1090" s="1019" t="s">
        <v>127</v>
      </c>
      <c r="C1090" s="1020" t="s">
        <v>1035</v>
      </c>
      <c r="D1090" s="1020" t="s">
        <v>1043</v>
      </c>
      <c r="E1090" s="1020" t="s">
        <v>565</v>
      </c>
      <c r="F1090" s="1020">
        <v>2021.0</v>
      </c>
      <c r="G1090" s="1021">
        <v>1.07E-5</v>
      </c>
      <c r="H1090" s="1021">
        <v>6.63E-7</v>
      </c>
      <c r="I1090" s="1022">
        <v>2.95E-5</v>
      </c>
      <c r="K1090" s="1031" t="s">
        <v>109</v>
      </c>
      <c r="L1090" s="1032" t="s">
        <v>608</v>
      </c>
      <c r="M1090" s="1032" t="s">
        <v>1035</v>
      </c>
      <c r="N1090" s="1032" t="s">
        <v>1042</v>
      </c>
      <c r="O1090" s="1032">
        <v>2021.0</v>
      </c>
      <c r="P1090" s="1032" t="s">
        <v>1039</v>
      </c>
      <c r="Q1090" s="1033" t="s">
        <v>63</v>
      </c>
      <c r="R1090" s="1034">
        <v>1756.696812</v>
      </c>
      <c r="S1090" s="1034">
        <v>1239.468846</v>
      </c>
      <c r="T1090" s="1035">
        <v>2596.193323</v>
      </c>
      <c r="AB1090" s="1045"/>
    </row>
    <row r="1091">
      <c r="A1091" s="294"/>
      <c r="B1091" s="1019" t="s">
        <v>127</v>
      </c>
      <c r="C1091" s="1020" t="s">
        <v>1035</v>
      </c>
      <c r="D1091" s="1020" t="s">
        <v>1045</v>
      </c>
      <c r="E1091" s="1020" t="s">
        <v>565</v>
      </c>
      <c r="F1091" s="1020">
        <v>2021.0</v>
      </c>
      <c r="G1091" s="1021">
        <v>6.48E-5</v>
      </c>
      <c r="H1091" s="1021">
        <v>4.68E-6</v>
      </c>
      <c r="I1091" s="1022">
        <v>1.7405E-4</v>
      </c>
      <c r="K1091" s="1031" t="s">
        <v>109</v>
      </c>
      <c r="L1091" s="1032" t="s">
        <v>608</v>
      </c>
      <c r="M1091" s="1032" t="s">
        <v>1035</v>
      </c>
      <c r="N1091" s="1032" t="s">
        <v>1044</v>
      </c>
      <c r="O1091" s="1032">
        <v>2021.0</v>
      </c>
      <c r="P1091" s="1032" t="s">
        <v>1039</v>
      </c>
      <c r="Q1091" s="1033" t="s">
        <v>63</v>
      </c>
      <c r="R1091" s="1034">
        <v>1167.155425</v>
      </c>
      <c r="S1091" s="1034">
        <v>846.2895712</v>
      </c>
      <c r="T1091" s="1035">
        <v>1648.795194</v>
      </c>
      <c r="AB1091" s="1045"/>
    </row>
    <row r="1092">
      <c r="A1092" s="294"/>
      <c r="B1092" s="1019" t="s">
        <v>128</v>
      </c>
      <c r="C1092" s="1020" t="s">
        <v>1035</v>
      </c>
      <c r="D1092" s="1020" t="s">
        <v>1036</v>
      </c>
      <c r="E1092" s="1020" t="s">
        <v>565</v>
      </c>
      <c r="F1092" s="1020">
        <v>2021.0</v>
      </c>
      <c r="G1092" s="1021">
        <v>3.32E-5</v>
      </c>
      <c r="H1092" s="1021">
        <v>7.65E-6</v>
      </c>
      <c r="I1092" s="1022">
        <v>6.99E-5</v>
      </c>
      <c r="K1092" s="1031" t="s">
        <v>109</v>
      </c>
      <c r="L1092" s="1032" t="s">
        <v>608</v>
      </c>
      <c r="M1092" s="1032" t="s">
        <v>1035</v>
      </c>
      <c r="N1092" s="1032" t="s">
        <v>1046</v>
      </c>
      <c r="O1092" s="1032">
        <v>2021.0</v>
      </c>
      <c r="P1092" s="1032" t="s">
        <v>1039</v>
      </c>
      <c r="Q1092" s="1033" t="s">
        <v>63</v>
      </c>
      <c r="R1092" s="1034">
        <v>8598.056886</v>
      </c>
      <c r="S1092" s="1034">
        <v>5380.432505</v>
      </c>
      <c r="T1092" s="1035">
        <v>13051.45616</v>
      </c>
      <c r="AB1092" s="1045"/>
    </row>
    <row r="1093">
      <c r="A1093" s="294"/>
      <c r="B1093" s="1019" t="s">
        <v>128</v>
      </c>
      <c r="C1093" s="1020" t="s">
        <v>1035</v>
      </c>
      <c r="D1093" s="1020" t="s">
        <v>1041</v>
      </c>
      <c r="E1093" s="1020" t="s">
        <v>565</v>
      </c>
      <c r="F1093" s="1020">
        <v>2021.0</v>
      </c>
      <c r="G1093" s="1021">
        <v>1.13005E-4</v>
      </c>
      <c r="H1093" s="1021">
        <v>3.62E-5</v>
      </c>
      <c r="I1093" s="1022">
        <v>2.83853E-4</v>
      </c>
      <c r="K1093" s="1031" t="s">
        <v>109</v>
      </c>
      <c r="L1093" s="1032" t="s">
        <v>608</v>
      </c>
      <c r="M1093" s="1032" t="s">
        <v>1035</v>
      </c>
      <c r="N1093" s="1032" t="s">
        <v>1045</v>
      </c>
      <c r="O1093" s="1032">
        <v>2021.0</v>
      </c>
      <c r="P1093" s="1032" t="s">
        <v>1039</v>
      </c>
      <c r="Q1093" s="1033" t="s">
        <v>63</v>
      </c>
      <c r="R1093" s="1034">
        <v>24800.12775</v>
      </c>
      <c r="S1093" s="1034">
        <v>14638.55597</v>
      </c>
      <c r="T1093" s="1035">
        <v>40561.16002</v>
      </c>
      <c r="AB1093" s="1045"/>
    </row>
    <row r="1094">
      <c r="A1094" s="294"/>
      <c r="B1094" s="1019" t="s">
        <v>128</v>
      </c>
      <c r="C1094" s="1020" t="s">
        <v>1035</v>
      </c>
      <c r="D1094" s="1020" t="s">
        <v>1043</v>
      </c>
      <c r="E1094" s="1020" t="s">
        <v>565</v>
      </c>
      <c r="F1094" s="1020">
        <v>2021.0</v>
      </c>
      <c r="G1094" s="1021">
        <v>1.14E-5</v>
      </c>
      <c r="H1094" s="1021">
        <v>3.27E-6</v>
      </c>
      <c r="I1094" s="1022">
        <v>2.67E-5</v>
      </c>
      <c r="K1094" s="1031" t="s">
        <v>146</v>
      </c>
      <c r="L1094" s="1032" t="s">
        <v>608</v>
      </c>
      <c r="M1094" s="1032" t="s">
        <v>1035</v>
      </c>
      <c r="N1094" s="1032" t="s">
        <v>1038</v>
      </c>
      <c r="O1094" s="1032">
        <v>2021.0</v>
      </c>
      <c r="P1094" s="1032" t="s">
        <v>1039</v>
      </c>
      <c r="Q1094" s="1033" t="s">
        <v>63</v>
      </c>
      <c r="R1094" s="1034">
        <v>187.4326909</v>
      </c>
      <c r="S1094" s="1034">
        <v>70.92888586</v>
      </c>
      <c r="T1094" s="1035">
        <v>375.7013573</v>
      </c>
      <c r="AB1094" s="1045"/>
    </row>
    <row r="1095">
      <c r="A1095" s="294"/>
      <c r="B1095" s="1019" t="s">
        <v>128</v>
      </c>
      <c r="C1095" s="1020" t="s">
        <v>1035</v>
      </c>
      <c r="D1095" s="1020" t="s">
        <v>1045</v>
      </c>
      <c r="E1095" s="1020" t="s">
        <v>565</v>
      </c>
      <c r="F1095" s="1020">
        <v>2021.0</v>
      </c>
      <c r="G1095" s="1021">
        <v>7.98E-5</v>
      </c>
      <c r="H1095" s="1021">
        <v>1.45E-5</v>
      </c>
      <c r="I1095" s="1022">
        <v>2.00313E-4</v>
      </c>
      <c r="K1095" s="1031" t="s">
        <v>146</v>
      </c>
      <c r="L1095" s="1032" t="s">
        <v>608</v>
      </c>
      <c r="M1095" s="1032" t="s">
        <v>1035</v>
      </c>
      <c r="N1095" s="1032" t="s">
        <v>1042</v>
      </c>
      <c r="O1095" s="1032">
        <v>2021.0</v>
      </c>
      <c r="P1095" s="1032" t="s">
        <v>1039</v>
      </c>
      <c r="Q1095" s="1033" t="s">
        <v>63</v>
      </c>
      <c r="R1095" s="1034">
        <v>61.83767961</v>
      </c>
      <c r="S1095" s="1034">
        <v>30.74756055</v>
      </c>
      <c r="T1095" s="1035">
        <v>105.6746685</v>
      </c>
      <c r="AB1095" s="1045"/>
    </row>
    <row r="1096">
      <c r="A1096" s="294"/>
      <c r="B1096" s="1019" t="s">
        <v>129</v>
      </c>
      <c r="C1096" s="1020" t="s">
        <v>1035</v>
      </c>
      <c r="D1096" s="1020" t="s">
        <v>1036</v>
      </c>
      <c r="E1096" s="1020" t="s">
        <v>565</v>
      </c>
      <c r="F1096" s="1020">
        <v>2021.0</v>
      </c>
      <c r="G1096" s="1021">
        <v>3.02E-5</v>
      </c>
      <c r="H1096" s="1021">
        <v>1.07E-5</v>
      </c>
      <c r="I1096" s="1022">
        <v>1.02686E-4</v>
      </c>
      <c r="K1096" s="1031" t="s">
        <v>146</v>
      </c>
      <c r="L1096" s="1032" t="s">
        <v>608</v>
      </c>
      <c r="M1096" s="1032" t="s">
        <v>1035</v>
      </c>
      <c r="N1096" s="1032" t="s">
        <v>1044</v>
      </c>
      <c r="O1096" s="1032">
        <v>2021.0</v>
      </c>
      <c r="P1096" s="1032" t="s">
        <v>1039</v>
      </c>
      <c r="Q1096" s="1033" t="s">
        <v>63</v>
      </c>
      <c r="R1096" s="1034">
        <v>47.05543466</v>
      </c>
      <c r="S1096" s="1034">
        <v>25.6232268</v>
      </c>
      <c r="T1096" s="1035">
        <v>81.8142596</v>
      </c>
      <c r="AB1096" s="1045"/>
    </row>
    <row r="1097">
      <c r="A1097" s="294"/>
      <c r="B1097" s="1019" t="s">
        <v>129</v>
      </c>
      <c r="C1097" s="1020" t="s">
        <v>1035</v>
      </c>
      <c r="D1097" s="1020" t="s">
        <v>1041</v>
      </c>
      <c r="E1097" s="1020" t="s">
        <v>565</v>
      </c>
      <c r="F1097" s="1020">
        <v>2021.0</v>
      </c>
      <c r="G1097" s="1021">
        <v>1.20993E-4</v>
      </c>
      <c r="H1097" s="1021">
        <v>4.69E-5</v>
      </c>
      <c r="I1097" s="1022">
        <v>4.11617E-4</v>
      </c>
      <c r="K1097" s="1031" t="s">
        <v>146</v>
      </c>
      <c r="L1097" s="1032" t="s">
        <v>608</v>
      </c>
      <c r="M1097" s="1032" t="s">
        <v>1035</v>
      </c>
      <c r="N1097" s="1032" t="s">
        <v>1046</v>
      </c>
      <c r="O1097" s="1032">
        <v>2021.0</v>
      </c>
      <c r="P1097" s="1032" t="s">
        <v>1039</v>
      </c>
      <c r="Q1097" s="1033" t="s">
        <v>63</v>
      </c>
      <c r="R1097" s="1034">
        <v>174.1030199</v>
      </c>
      <c r="S1097" s="1034">
        <v>86.67591588</v>
      </c>
      <c r="T1097" s="1035">
        <v>303.0978397</v>
      </c>
      <c r="AB1097" s="1045"/>
    </row>
    <row r="1098">
      <c r="A1098" s="294"/>
      <c r="B1098" s="1019" t="s">
        <v>129</v>
      </c>
      <c r="C1098" s="1020" t="s">
        <v>1035</v>
      </c>
      <c r="D1098" s="1020" t="s">
        <v>1043</v>
      </c>
      <c r="E1098" s="1020" t="s">
        <v>565</v>
      </c>
      <c r="F1098" s="1020">
        <v>2021.0</v>
      </c>
      <c r="G1098" s="1021">
        <v>1.16E-5</v>
      </c>
      <c r="H1098" s="1021">
        <v>3.44E-6</v>
      </c>
      <c r="I1098" s="1022">
        <v>3.88E-5</v>
      </c>
      <c r="K1098" s="1031" t="s">
        <v>146</v>
      </c>
      <c r="L1098" s="1032" t="s">
        <v>608</v>
      </c>
      <c r="M1098" s="1032" t="s">
        <v>1035</v>
      </c>
      <c r="N1098" s="1032" t="s">
        <v>1045</v>
      </c>
      <c r="O1098" s="1032">
        <v>2021.0</v>
      </c>
      <c r="P1098" s="1032" t="s">
        <v>1039</v>
      </c>
      <c r="Q1098" s="1033" t="s">
        <v>63</v>
      </c>
      <c r="R1098" s="1034">
        <v>470.4288251</v>
      </c>
      <c r="S1098" s="1034">
        <v>251.6127054</v>
      </c>
      <c r="T1098" s="1035">
        <v>799.3409487</v>
      </c>
      <c r="AB1098" s="1045"/>
    </row>
    <row r="1099">
      <c r="A1099" s="294"/>
      <c r="B1099" s="1019" t="s">
        <v>129</v>
      </c>
      <c r="C1099" s="1020" t="s">
        <v>1035</v>
      </c>
      <c r="D1099" s="1020" t="s">
        <v>1045</v>
      </c>
      <c r="E1099" s="1020" t="s">
        <v>565</v>
      </c>
      <c r="F1099" s="1020">
        <v>2021.0</v>
      </c>
      <c r="G1099" s="1021">
        <v>5.96E-5</v>
      </c>
      <c r="H1099" s="1021">
        <v>2.02E-5</v>
      </c>
      <c r="I1099" s="1022">
        <v>1.65119E-4</v>
      </c>
      <c r="K1099" s="1031" t="s">
        <v>147</v>
      </c>
      <c r="L1099" s="1032" t="s">
        <v>608</v>
      </c>
      <c r="M1099" s="1032" t="s">
        <v>1035</v>
      </c>
      <c r="N1099" s="1032" t="s">
        <v>1038</v>
      </c>
      <c r="O1099" s="1032">
        <v>2021.0</v>
      </c>
      <c r="P1099" s="1032" t="s">
        <v>1039</v>
      </c>
      <c r="Q1099" s="1033" t="s">
        <v>63</v>
      </c>
      <c r="R1099" s="1034">
        <v>72.59145616</v>
      </c>
      <c r="S1099" s="1034">
        <v>23.7666642</v>
      </c>
      <c r="T1099" s="1035">
        <v>153.174387</v>
      </c>
      <c r="AB1099" s="1045"/>
    </row>
    <row r="1100">
      <c r="A1100" s="294"/>
      <c r="B1100" s="1019" t="s">
        <v>130</v>
      </c>
      <c r="C1100" s="1020" t="s">
        <v>1035</v>
      </c>
      <c r="D1100" s="1020" t="s">
        <v>1036</v>
      </c>
      <c r="E1100" s="1020" t="s">
        <v>565</v>
      </c>
      <c r="F1100" s="1020">
        <v>2021.0</v>
      </c>
      <c r="G1100" s="1021">
        <v>2.75E-5</v>
      </c>
      <c r="H1100" s="1021">
        <v>2.23E-6</v>
      </c>
      <c r="I1100" s="1022">
        <v>6.64E-5</v>
      </c>
      <c r="K1100" s="1031" t="s">
        <v>147</v>
      </c>
      <c r="L1100" s="1032" t="s">
        <v>608</v>
      </c>
      <c r="M1100" s="1032" t="s">
        <v>1035</v>
      </c>
      <c r="N1100" s="1032" t="s">
        <v>1042</v>
      </c>
      <c r="O1100" s="1032">
        <v>2021.0</v>
      </c>
      <c r="P1100" s="1032" t="s">
        <v>1039</v>
      </c>
      <c r="Q1100" s="1033" t="s">
        <v>63</v>
      </c>
      <c r="R1100" s="1034">
        <v>16.32538475</v>
      </c>
      <c r="S1100" s="1034">
        <v>7.550384004</v>
      </c>
      <c r="T1100" s="1035">
        <v>28.49303792</v>
      </c>
      <c r="AB1100" s="1045"/>
    </row>
    <row r="1101">
      <c r="A1101" s="294"/>
      <c r="B1101" s="1019" t="s">
        <v>130</v>
      </c>
      <c r="C1101" s="1020" t="s">
        <v>1035</v>
      </c>
      <c r="D1101" s="1020" t="s">
        <v>1041</v>
      </c>
      <c r="E1101" s="1020" t="s">
        <v>565</v>
      </c>
      <c r="F1101" s="1020">
        <v>2021.0</v>
      </c>
      <c r="G1101" s="1021">
        <v>1.00775E-4</v>
      </c>
      <c r="H1101" s="1021">
        <v>1.15E-5</v>
      </c>
      <c r="I1101" s="1022">
        <v>2.662E-4</v>
      </c>
      <c r="K1101" s="1031" t="s">
        <v>147</v>
      </c>
      <c r="L1101" s="1032" t="s">
        <v>608</v>
      </c>
      <c r="M1101" s="1032" t="s">
        <v>1035</v>
      </c>
      <c r="N1101" s="1032" t="s">
        <v>1044</v>
      </c>
      <c r="O1101" s="1032">
        <v>2021.0</v>
      </c>
      <c r="P1101" s="1032" t="s">
        <v>1039</v>
      </c>
      <c r="Q1101" s="1033" t="s">
        <v>63</v>
      </c>
      <c r="R1101" s="1034">
        <v>8.11726436</v>
      </c>
      <c r="S1101" s="1034">
        <v>4.218114662</v>
      </c>
      <c r="T1101" s="1035">
        <v>14.75320302</v>
      </c>
      <c r="AB1101" s="1045"/>
    </row>
    <row r="1102">
      <c r="A1102" s="294"/>
      <c r="B1102" s="1019" t="s">
        <v>130</v>
      </c>
      <c r="C1102" s="1020" t="s">
        <v>1035</v>
      </c>
      <c r="D1102" s="1020" t="s">
        <v>1043</v>
      </c>
      <c r="E1102" s="1020" t="s">
        <v>565</v>
      </c>
      <c r="F1102" s="1020">
        <v>2021.0</v>
      </c>
      <c r="G1102" s="1021">
        <v>7.74E-6</v>
      </c>
      <c r="H1102" s="1021">
        <v>6.42E-7</v>
      </c>
      <c r="I1102" s="1022">
        <v>1.99E-5</v>
      </c>
      <c r="K1102" s="1031" t="s">
        <v>147</v>
      </c>
      <c r="L1102" s="1032" t="s">
        <v>608</v>
      </c>
      <c r="M1102" s="1032" t="s">
        <v>1035</v>
      </c>
      <c r="N1102" s="1032" t="s">
        <v>1046</v>
      </c>
      <c r="O1102" s="1032">
        <v>2021.0</v>
      </c>
      <c r="P1102" s="1032" t="s">
        <v>1039</v>
      </c>
      <c r="Q1102" s="1033" t="s">
        <v>63</v>
      </c>
      <c r="R1102" s="1034">
        <v>34.26969664</v>
      </c>
      <c r="S1102" s="1034">
        <v>13.77206532</v>
      </c>
      <c r="T1102" s="1035">
        <v>67.82554233</v>
      </c>
      <c r="AB1102" s="1045"/>
    </row>
    <row r="1103">
      <c r="A1103" s="294"/>
      <c r="B1103" s="1019" t="s">
        <v>130</v>
      </c>
      <c r="C1103" s="1020" t="s">
        <v>1035</v>
      </c>
      <c r="D1103" s="1020" t="s">
        <v>1045</v>
      </c>
      <c r="E1103" s="1020" t="s">
        <v>565</v>
      </c>
      <c r="F1103" s="1020">
        <v>2021.0</v>
      </c>
      <c r="G1103" s="1021">
        <v>6.6E-5</v>
      </c>
      <c r="H1103" s="1021">
        <v>3.36E-6</v>
      </c>
      <c r="I1103" s="1022">
        <v>1.47189E-4</v>
      </c>
      <c r="K1103" s="1031" t="s">
        <v>147</v>
      </c>
      <c r="L1103" s="1032" t="s">
        <v>608</v>
      </c>
      <c r="M1103" s="1032" t="s">
        <v>1035</v>
      </c>
      <c r="N1103" s="1032" t="s">
        <v>1045</v>
      </c>
      <c r="O1103" s="1032">
        <v>2021.0</v>
      </c>
      <c r="P1103" s="1032" t="s">
        <v>1039</v>
      </c>
      <c r="Q1103" s="1033" t="s">
        <v>63</v>
      </c>
      <c r="R1103" s="1034">
        <v>131.3038019</v>
      </c>
      <c r="S1103" s="1034">
        <v>56.45618864</v>
      </c>
      <c r="T1103" s="1035">
        <v>241.3745808</v>
      </c>
      <c r="AB1103" s="1045"/>
    </row>
    <row r="1104">
      <c r="A1104" s="294"/>
      <c r="B1104" s="1019" t="s">
        <v>131</v>
      </c>
      <c r="C1104" s="1020" t="s">
        <v>1035</v>
      </c>
      <c r="D1104" s="1020" t="s">
        <v>1036</v>
      </c>
      <c r="E1104" s="1020" t="s">
        <v>565</v>
      </c>
      <c r="F1104" s="1020">
        <v>2021.0</v>
      </c>
      <c r="G1104" s="1021">
        <v>2.88E-5</v>
      </c>
      <c r="H1104" s="1021">
        <v>1.23E-6</v>
      </c>
      <c r="I1104" s="1022">
        <v>7.11E-5</v>
      </c>
      <c r="K1104" s="1031" t="s">
        <v>148</v>
      </c>
      <c r="L1104" s="1032" t="s">
        <v>608</v>
      </c>
      <c r="M1104" s="1032" t="s">
        <v>1035</v>
      </c>
      <c r="N1104" s="1032" t="s">
        <v>1038</v>
      </c>
      <c r="O1104" s="1032">
        <v>2021.0</v>
      </c>
      <c r="P1104" s="1032" t="s">
        <v>1039</v>
      </c>
      <c r="Q1104" s="1033" t="s">
        <v>63</v>
      </c>
      <c r="R1104" s="1034">
        <v>27.10370104</v>
      </c>
      <c r="S1104" s="1034">
        <v>7.456140859</v>
      </c>
      <c r="T1104" s="1035">
        <v>60.17487651</v>
      </c>
      <c r="AB1104" s="1045"/>
    </row>
    <row r="1105">
      <c r="A1105" s="294"/>
      <c r="B1105" s="1019" t="s">
        <v>131</v>
      </c>
      <c r="C1105" s="1020" t="s">
        <v>1035</v>
      </c>
      <c r="D1105" s="1020" t="s">
        <v>1041</v>
      </c>
      <c r="E1105" s="1020" t="s">
        <v>565</v>
      </c>
      <c r="F1105" s="1020">
        <v>2021.0</v>
      </c>
      <c r="G1105" s="1021">
        <v>8.46E-5</v>
      </c>
      <c r="H1105" s="1021">
        <v>4.81E-6</v>
      </c>
      <c r="I1105" s="1022">
        <v>1.98656E-4</v>
      </c>
      <c r="K1105" s="1031" t="s">
        <v>148</v>
      </c>
      <c r="L1105" s="1032" t="s">
        <v>608</v>
      </c>
      <c r="M1105" s="1032" t="s">
        <v>1035</v>
      </c>
      <c r="N1105" s="1032" t="s">
        <v>1042</v>
      </c>
      <c r="O1105" s="1032">
        <v>2021.0</v>
      </c>
      <c r="P1105" s="1032" t="s">
        <v>1039</v>
      </c>
      <c r="Q1105" s="1033" t="s">
        <v>63</v>
      </c>
      <c r="R1105" s="1034">
        <v>13.57805059</v>
      </c>
      <c r="S1105" s="1034">
        <v>6.596642615</v>
      </c>
      <c r="T1105" s="1035">
        <v>24.79068029</v>
      </c>
      <c r="AB1105" s="1045"/>
    </row>
    <row r="1106">
      <c r="A1106" s="294"/>
      <c r="B1106" s="1019" t="s">
        <v>131</v>
      </c>
      <c r="C1106" s="1020" t="s">
        <v>1035</v>
      </c>
      <c r="D1106" s="1020" t="s">
        <v>1043</v>
      </c>
      <c r="E1106" s="1020" t="s">
        <v>565</v>
      </c>
      <c r="F1106" s="1020">
        <v>2021.0</v>
      </c>
      <c r="G1106" s="1021">
        <v>9.08E-6</v>
      </c>
      <c r="H1106" s="1021">
        <v>3.71E-7</v>
      </c>
      <c r="I1106" s="1022">
        <v>2.26E-5</v>
      </c>
      <c r="K1106" s="1031" t="s">
        <v>148</v>
      </c>
      <c r="L1106" s="1032" t="s">
        <v>608</v>
      </c>
      <c r="M1106" s="1032" t="s">
        <v>1035</v>
      </c>
      <c r="N1106" s="1032" t="s">
        <v>1044</v>
      </c>
      <c r="O1106" s="1032">
        <v>2021.0</v>
      </c>
      <c r="P1106" s="1032" t="s">
        <v>1039</v>
      </c>
      <c r="Q1106" s="1033" t="s">
        <v>63</v>
      </c>
      <c r="R1106" s="1034">
        <v>9.057157988</v>
      </c>
      <c r="S1106" s="1034">
        <v>4.748389217</v>
      </c>
      <c r="T1106" s="1035">
        <v>17.06942797</v>
      </c>
      <c r="AB1106" s="1045"/>
    </row>
    <row r="1107">
      <c r="A1107" s="294"/>
      <c r="B1107" s="1019" t="s">
        <v>131</v>
      </c>
      <c r="C1107" s="1020" t="s">
        <v>1035</v>
      </c>
      <c r="D1107" s="1020" t="s">
        <v>1045</v>
      </c>
      <c r="E1107" s="1020" t="s">
        <v>565</v>
      </c>
      <c r="F1107" s="1020">
        <v>2021.0</v>
      </c>
      <c r="G1107" s="1021">
        <v>9.39E-5</v>
      </c>
      <c r="H1107" s="1021">
        <v>3.12E-6</v>
      </c>
      <c r="I1107" s="1022">
        <v>2.27678E-4</v>
      </c>
      <c r="K1107" s="1031" t="s">
        <v>148</v>
      </c>
      <c r="L1107" s="1032" t="s">
        <v>608</v>
      </c>
      <c r="M1107" s="1032" t="s">
        <v>1035</v>
      </c>
      <c r="N1107" s="1032" t="s">
        <v>1046</v>
      </c>
      <c r="O1107" s="1032">
        <v>2021.0</v>
      </c>
      <c r="P1107" s="1032" t="s">
        <v>1039</v>
      </c>
      <c r="Q1107" s="1033" t="s">
        <v>63</v>
      </c>
      <c r="R1107" s="1034">
        <v>27.02524727</v>
      </c>
      <c r="S1107" s="1034">
        <v>9.333092233</v>
      </c>
      <c r="T1107" s="1035">
        <v>53.65736472</v>
      </c>
      <c r="AB1107" s="1045"/>
    </row>
    <row r="1108">
      <c r="A1108" s="294"/>
      <c r="B1108" s="1019" t="s">
        <v>132</v>
      </c>
      <c r="C1108" s="1020" t="s">
        <v>1035</v>
      </c>
      <c r="D1108" s="1020" t="s">
        <v>1036</v>
      </c>
      <c r="E1108" s="1020" t="s">
        <v>565</v>
      </c>
      <c r="F1108" s="1020">
        <v>2021.0</v>
      </c>
      <c r="G1108" s="1021">
        <v>3.84E-5</v>
      </c>
      <c r="H1108" s="1021">
        <v>3.37E-6</v>
      </c>
      <c r="I1108" s="1022">
        <v>8.4E-5</v>
      </c>
      <c r="K1108" s="1031" t="s">
        <v>148</v>
      </c>
      <c r="L1108" s="1032" t="s">
        <v>608</v>
      </c>
      <c r="M1108" s="1032" t="s">
        <v>1035</v>
      </c>
      <c r="N1108" s="1032" t="s">
        <v>1045</v>
      </c>
      <c r="O1108" s="1032">
        <v>2021.0</v>
      </c>
      <c r="P1108" s="1032" t="s">
        <v>1039</v>
      </c>
      <c r="Q1108" s="1033" t="s">
        <v>63</v>
      </c>
      <c r="R1108" s="1034">
        <v>76.7641569</v>
      </c>
      <c r="S1108" s="1034">
        <v>34.97393157</v>
      </c>
      <c r="T1108" s="1035">
        <v>146.8425892</v>
      </c>
      <c r="AB1108" s="1045"/>
    </row>
    <row r="1109">
      <c r="A1109" s="294"/>
      <c r="B1109" s="1019" t="s">
        <v>132</v>
      </c>
      <c r="C1109" s="1020" t="s">
        <v>1035</v>
      </c>
      <c r="D1109" s="1020" t="s">
        <v>1041</v>
      </c>
      <c r="E1109" s="1020" t="s">
        <v>565</v>
      </c>
      <c r="F1109" s="1020">
        <v>2021.0</v>
      </c>
      <c r="G1109" s="1021">
        <v>1.37671E-4</v>
      </c>
      <c r="H1109" s="1021">
        <v>1.48E-5</v>
      </c>
      <c r="I1109" s="1022">
        <v>4.20945E-4</v>
      </c>
      <c r="K1109" s="1031" t="s">
        <v>149</v>
      </c>
      <c r="L1109" s="1032" t="s">
        <v>608</v>
      </c>
      <c r="M1109" s="1032" t="s">
        <v>1035</v>
      </c>
      <c r="N1109" s="1032" t="s">
        <v>1038</v>
      </c>
      <c r="O1109" s="1032">
        <v>2021.0</v>
      </c>
      <c r="P1109" s="1032" t="s">
        <v>1039</v>
      </c>
      <c r="Q1109" s="1033" t="s">
        <v>63</v>
      </c>
      <c r="R1109" s="1034">
        <v>71.38907422</v>
      </c>
      <c r="S1109" s="1034">
        <v>25.19304073</v>
      </c>
      <c r="T1109" s="1035">
        <v>151.7204328</v>
      </c>
      <c r="AB1109" s="1045"/>
    </row>
    <row r="1110">
      <c r="A1110" s="294"/>
      <c r="B1110" s="1019" t="s">
        <v>132</v>
      </c>
      <c r="C1110" s="1020" t="s">
        <v>1035</v>
      </c>
      <c r="D1110" s="1020" t="s">
        <v>1043</v>
      </c>
      <c r="E1110" s="1020" t="s">
        <v>565</v>
      </c>
      <c r="F1110" s="1020">
        <v>2021.0</v>
      </c>
      <c r="G1110" s="1021">
        <v>1.38E-5</v>
      </c>
      <c r="H1110" s="1021">
        <v>1.31E-6</v>
      </c>
      <c r="I1110" s="1022">
        <v>3.36E-5</v>
      </c>
      <c r="K1110" s="1031" t="s">
        <v>149</v>
      </c>
      <c r="L1110" s="1032" t="s">
        <v>608</v>
      </c>
      <c r="M1110" s="1032" t="s">
        <v>1035</v>
      </c>
      <c r="N1110" s="1032" t="s">
        <v>1042</v>
      </c>
      <c r="O1110" s="1032">
        <v>2021.0</v>
      </c>
      <c r="P1110" s="1032" t="s">
        <v>1039</v>
      </c>
      <c r="Q1110" s="1033" t="s">
        <v>63</v>
      </c>
      <c r="R1110" s="1034">
        <v>20.95907005</v>
      </c>
      <c r="S1110" s="1034">
        <v>10.53360983</v>
      </c>
      <c r="T1110" s="1035">
        <v>36.18805347</v>
      </c>
      <c r="AB1110" s="1045"/>
    </row>
    <row r="1111">
      <c r="A1111" s="294"/>
      <c r="B1111" s="1019" t="s">
        <v>132</v>
      </c>
      <c r="C1111" s="1020" t="s">
        <v>1035</v>
      </c>
      <c r="D1111" s="1020" t="s">
        <v>1045</v>
      </c>
      <c r="E1111" s="1020" t="s">
        <v>565</v>
      </c>
      <c r="F1111" s="1020">
        <v>2021.0</v>
      </c>
      <c r="G1111" s="1021">
        <v>1.27965E-4</v>
      </c>
      <c r="H1111" s="1021">
        <v>8.56E-6</v>
      </c>
      <c r="I1111" s="1022">
        <v>3.25853E-4</v>
      </c>
      <c r="K1111" s="1031" t="s">
        <v>149</v>
      </c>
      <c r="L1111" s="1032" t="s">
        <v>608</v>
      </c>
      <c r="M1111" s="1032" t="s">
        <v>1035</v>
      </c>
      <c r="N1111" s="1032" t="s">
        <v>1044</v>
      </c>
      <c r="O1111" s="1032">
        <v>2021.0</v>
      </c>
      <c r="P1111" s="1032" t="s">
        <v>1039</v>
      </c>
      <c r="Q1111" s="1033" t="s">
        <v>63</v>
      </c>
      <c r="R1111" s="1034">
        <v>3.908863392</v>
      </c>
      <c r="S1111" s="1034">
        <v>2.010699358</v>
      </c>
      <c r="T1111" s="1035">
        <v>7.437458861</v>
      </c>
      <c r="AB1111" s="1045"/>
    </row>
    <row r="1112">
      <c r="A1112" s="294"/>
      <c r="B1112" s="1019" t="s">
        <v>133</v>
      </c>
      <c r="C1112" s="1020" t="s">
        <v>1035</v>
      </c>
      <c r="D1112" s="1020" t="s">
        <v>1036</v>
      </c>
      <c r="E1112" s="1020" t="s">
        <v>565</v>
      </c>
      <c r="F1112" s="1020">
        <v>2021.0</v>
      </c>
      <c r="G1112" s="1021">
        <v>3.04E-5</v>
      </c>
      <c r="H1112" s="1021">
        <v>8.01E-7</v>
      </c>
      <c r="I1112" s="1022">
        <v>8.57E-5</v>
      </c>
      <c r="K1112" s="1031" t="s">
        <v>149</v>
      </c>
      <c r="L1112" s="1032" t="s">
        <v>608</v>
      </c>
      <c r="M1112" s="1032" t="s">
        <v>1035</v>
      </c>
      <c r="N1112" s="1032" t="s">
        <v>1046</v>
      </c>
      <c r="O1112" s="1032">
        <v>2021.0</v>
      </c>
      <c r="P1112" s="1032" t="s">
        <v>1039</v>
      </c>
      <c r="Q1112" s="1033" t="s">
        <v>63</v>
      </c>
      <c r="R1112" s="1034">
        <v>44.13467855</v>
      </c>
      <c r="S1112" s="1034">
        <v>19.22647085</v>
      </c>
      <c r="T1112" s="1035">
        <v>83.00503641</v>
      </c>
      <c r="AB1112" s="1045"/>
    </row>
    <row r="1113">
      <c r="A1113" s="294"/>
      <c r="B1113" s="1019" t="s">
        <v>133</v>
      </c>
      <c r="C1113" s="1020" t="s">
        <v>1035</v>
      </c>
      <c r="D1113" s="1020" t="s">
        <v>1041</v>
      </c>
      <c r="E1113" s="1020" t="s">
        <v>565</v>
      </c>
      <c r="F1113" s="1020">
        <v>2021.0</v>
      </c>
      <c r="G1113" s="1021">
        <v>8.71E-5</v>
      </c>
      <c r="H1113" s="1021">
        <v>3.19E-6</v>
      </c>
      <c r="I1113" s="1022">
        <v>2.19775E-4</v>
      </c>
      <c r="K1113" s="1031" t="s">
        <v>149</v>
      </c>
      <c r="L1113" s="1032" t="s">
        <v>608</v>
      </c>
      <c r="M1113" s="1032" t="s">
        <v>1035</v>
      </c>
      <c r="N1113" s="1032" t="s">
        <v>1045</v>
      </c>
      <c r="O1113" s="1032">
        <v>2021.0</v>
      </c>
      <c r="P1113" s="1032" t="s">
        <v>1039</v>
      </c>
      <c r="Q1113" s="1033" t="s">
        <v>63</v>
      </c>
      <c r="R1113" s="1034">
        <v>140.3916862</v>
      </c>
      <c r="S1113" s="1034">
        <v>66.12314236</v>
      </c>
      <c r="T1113" s="1035">
        <v>257.5910848</v>
      </c>
      <c r="AB1113" s="1045"/>
    </row>
    <row r="1114">
      <c r="A1114" s="294"/>
      <c r="B1114" s="1019" t="s">
        <v>133</v>
      </c>
      <c r="C1114" s="1020" t="s">
        <v>1035</v>
      </c>
      <c r="D1114" s="1020" t="s">
        <v>1043</v>
      </c>
      <c r="E1114" s="1020" t="s">
        <v>565</v>
      </c>
      <c r="F1114" s="1020">
        <v>2021.0</v>
      </c>
      <c r="G1114" s="1021">
        <v>8.51E-6</v>
      </c>
      <c r="H1114" s="1021">
        <v>2.16E-7</v>
      </c>
      <c r="I1114" s="1022">
        <v>2.67E-5</v>
      </c>
      <c r="K1114" s="1031" t="s">
        <v>150</v>
      </c>
      <c r="L1114" s="1032" t="s">
        <v>608</v>
      </c>
      <c r="M1114" s="1032" t="s">
        <v>1035</v>
      </c>
      <c r="N1114" s="1032" t="s">
        <v>1038</v>
      </c>
      <c r="O1114" s="1032">
        <v>2021.0</v>
      </c>
      <c r="P1114" s="1032" t="s">
        <v>1039</v>
      </c>
      <c r="Q1114" s="1033" t="s">
        <v>63</v>
      </c>
      <c r="R1114" s="1034">
        <v>197.1261642</v>
      </c>
      <c r="S1114" s="1034">
        <v>63.50941165</v>
      </c>
      <c r="T1114" s="1035">
        <v>428.7943151</v>
      </c>
      <c r="AB1114" s="1045"/>
    </row>
    <row r="1115">
      <c r="A1115" s="294"/>
      <c r="B1115" s="1019" t="s">
        <v>133</v>
      </c>
      <c r="C1115" s="1020" t="s">
        <v>1035</v>
      </c>
      <c r="D1115" s="1020" t="s">
        <v>1045</v>
      </c>
      <c r="E1115" s="1020" t="s">
        <v>565</v>
      </c>
      <c r="F1115" s="1020">
        <v>2021.0</v>
      </c>
      <c r="G1115" s="1021">
        <v>7.68E-5</v>
      </c>
      <c r="H1115" s="1021">
        <v>1.97E-6</v>
      </c>
      <c r="I1115" s="1022">
        <v>1.82617E-4</v>
      </c>
      <c r="K1115" s="1031" t="s">
        <v>150</v>
      </c>
      <c r="L1115" s="1032" t="s">
        <v>608</v>
      </c>
      <c r="M1115" s="1032" t="s">
        <v>1035</v>
      </c>
      <c r="N1115" s="1032" t="s">
        <v>1042</v>
      </c>
      <c r="O1115" s="1032">
        <v>2021.0</v>
      </c>
      <c r="P1115" s="1032" t="s">
        <v>1039</v>
      </c>
      <c r="Q1115" s="1033" t="s">
        <v>63</v>
      </c>
      <c r="R1115" s="1034">
        <v>66.10390092</v>
      </c>
      <c r="S1115" s="1034">
        <v>33.56670691</v>
      </c>
      <c r="T1115" s="1035">
        <v>111.858311</v>
      </c>
      <c r="AB1115" s="1045"/>
    </row>
    <row r="1116">
      <c r="A1116" s="294"/>
      <c r="B1116" s="1019" t="s">
        <v>134</v>
      </c>
      <c r="C1116" s="1020" t="s">
        <v>1035</v>
      </c>
      <c r="D1116" s="1020" t="s">
        <v>1036</v>
      </c>
      <c r="E1116" s="1020" t="s">
        <v>565</v>
      </c>
      <c r="F1116" s="1020">
        <v>2021.0</v>
      </c>
      <c r="G1116" s="1021">
        <v>2.61E-5</v>
      </c>
      <c r="H1116" s="1021">
        <v>6.4E-7</v>
      </c>
      <c r="I1116" s="1022">
        <v>6.48E-5</v>
      </c>
      <c r="K1116" s="1031" t="s">
        <v>150</v>
      </c>
      <c r="L1116" s="1032" t="s">
        <v>608</v>
      </c>
      <c r="M1116" s="1032" t="s">
        <v>1035</v>
      </c>
      <c r="N1116" s="1032" t="s">
        <v>1044</v>
      </c>
      <c r="O1116" s="1032">
        <v>2021.0</v>
      </c>
      <c r="P1116" s="1032" t="s">
        <v>1039</v>
      </c>
      <c r="Q1116" s="1033" t="s">
        <v>63</v>
      </c>
      <c r="R1116" s="1034">
        <v>47.21916433</v>
      </c>
      <c r="S1116" s="1034">
        <v>23.76616496</v>
      </c>
      <c r="T1116" s="1035">
        <v>88.79806607</v>
      </c>
      <c r="AB1116" s="1045"/>
    </row>
    <row r="1117">
      <c r="A1117" s="294"/>
      <c r="B1117" s="1019" t="s">
        <v>134</v>
      </c>
      <c r="C1117" s="1020" t="s">
        <v>1035</v>
      </c>
      <c r="D1117" s="1020" t="s">
        <v>1041</v>
      </c>
      <c r="E1117" s="1020" t="s">
        <v>565</v>
      </c>
      <c r="F1117" s="1020">
        <v>2021.0</v>
      </c>
      <c r="G1117" s="1021">
        <v>9.21E-5</v>
      </c>
      <c r="H1117" s="1021">
        <v>3.36E-6</v>
      </c>
      <c r="I1117" s="1022">
        <v>2.64832E-4</v>
      </c>
      <c r="K1117" s="1031" t="s">
        <v>150</v>
      </c>
      <c r="L1117" s="1032" t="s">
        <v>608</v>
      </c>
      <c r="M1117" s="1032" t="s">
        <v>1035</v>
      </c>
      <c r="N1117" s="1032" t="s">
        <v>1046</v>
      </c>
      <c r="O1117" s="1032">
        <v>2021.0</v>
      </c>
      <c r="P1117" s="1032" t="s">
        <v>1039</v>
      </c>
      <c r="Q1117" s="1033" t="s">
        <v>63</v>
      </c>
      <c r="R1117" s="1034">
        <v>300.7739547</v>
      </c>
      <c r="S1117" s="1034">
        <v>141.132949</v>
      </c>
      <c r="T1117" s="1035">
        <v>563.3669416</v>
      </c>
      <c r="AB1117" s="1045"/>
    </row>
    <row r="1118">
      <c r="A1118" s="294"/>
      <c r="B1118" s="1019" t="s">
        <v>134</v>
      </c>
      <c r="C1118" s="1020" t="s">
        <v>1035</v>
      </c>
      <c r="D1118" s="1020" t="s">
        <v>1043</v>
      </c>
      <c r="E1118" s="1020" t="s">
        <v>565</v>
      </c>
      <c r="F1118" s="1020">
        <v>2021.0</v>
      </c>
      <c r="G1118" s="1021">
        <v>7.81E-6</v>
      </c>
      <c r="H1118" s="1021">
        <v>1.76E-7</v>
      </c>
      <c r="I1118" s="1022">
        <v>2.11E-5</v>
      </c>
      <c r="K1118" s="1031" t="s">
        <v>150</v>
      </c>
      <c r="L1118" s="1032" t="s">
        <v>608</v>
      </c>
      <c r="M1118" s="1032" t="s">
        <v>1035</v>
      </c>
      <c r="N1118" s="1032" t="s">
        <v>1045</v>
      </c>
      <c r="O1118" s="1032">
        <v>2021.0</v>
      </c>
      <c r="P1118" s="1032" t="s">
        <v>1039</v>
      </c>
      <c r="Q1118" s="1033" t="s">
        <v>63</v>
      </c>
      <c r="R1118" s="1034">
        <v>611.2231841</v>
      </c>
      <c r="S1118" s="1034">
        <v>296.7146223</v>
      </c>
      <c r="T1118" s="1035">
        <v>1111.103156</v>
      </c>
      <c r="AB1118" s="1045"/>
    </row>
    <row r="1119">
      <c r="A1119" s="294"/>
      <c r="B1119" s="1019" t="s">
        <v>134</v>
      </c>
      <c r="C1119" s="1020" t="s">
        <v>1035</v>
      </c>
      <c r="D1119" s="1020" t="s">
        <v>1045</v>
      </c>
      <c r="E1119" s="1020" t="s">
        <v>565</v>
      </c>
      <c r="F1119" s="1020">
        <v>2021.0</v>
      </c>
      <c r="G1119" s="1021">
        <v>8.61E-5</v>
      </c>
      <c r="H1119" s="1021">
        <v>2.06E-6</v>
      </c>
      <c r="I1119" s="1022">
        <v>1.94652E-4</v>
      </c>
      <c r="K1119" s="1031" t="s">
        <v>151</v>
      </c>
      <c r="L1119" s="1032" t="s">
        <v>608</v>
      </c>
      <c r="M1119" s="1032" t="s">
        <v>1035</v>
      </c>
      <c r="N1119" s="1032" t="s">
        <v>1038</v>
      </c>
      <c r="O1119" s="1032">
        <v>2021.0</v>
      </c>
      <c r="P1119" s="1032" t="s">
        <v>1039</v>
      </c>
      <c r="Q1119" s="1033" t="s">
        <v>63</v>
      </c>
      <c r="R1119" s="1034">
        <v>65.98785435</v>
      </c>
      <c r="S1119" s="1034">
        <v>19.70877476</v>
      </c>
      <c r="T1119" s="1035">
        <v>155.3470523</v>
      </c>
      <c r="AB1119" s="1045"/>
    </row>
    <row r="1120">
      <c r="A1120" s="294"/>
      <c r="B1120" s="1019" t="s">
        <v>135</v>
      </c>
      <c r="C1120" s="1020" t="s">
        <v>1035</v>
      </c>
      <c r="D1120" s="1020" t="s">
        <v>1036</v>
      </c>
      <c r="E1120" s="1020" t="s">
        <v>565</v>
      </c>
      <c r="F1120" s="1020">
        <v>2021.0</v>
      </c>
      <c r="G1120" s="1021">
        <v>2.74E-5</v>
      </c>
      <c r="H1120" s="1021">
        <v>9.31E-7</v>
      </c>
      <c r="I1120" s="1022">
        <v>6.11E-5</v>
      </c>
      <c r="K1120" s="1031" t="s">
        <v>151</v>
      </c>
      <c r="L1120" s="1032" t="s">
        <v>608</v>
      </c>
      <c r="M1120" s="1032" t="s">
        <v>1035</v>
      </c>
      <c r="N1120" s="1032" t="s">
        <v>1042</v>
      </c>
      <c r="O1120" s="1032">
        <v>2021.0</v>
      </c>
      <c r="P1120" s="1032" t="s">
        <v>1039</v>
      </c>
      <c r="Q1120" s="1033" t="s">
        <v>63</v>
      </c>
      <c r="R1120" s="1034">
        <v>17.25377488</v>
      </c>
      <c r="S1120" s="1034">
        <v>9.261061519</v>
      </c>
      <c r="T1120" s="1035">
        <v>29.9486558</v>
      </c>
      <c r="AB1120" s="1045"/>
    </row>
    <row r="1121">
      <c r="A1121" s="294"/>
      <c r="B1121" s="1019" t="s">
        <v>135</v>
      </c>
      <c r="C1121" s="1020" t="s">
        <v>1035</v>
      </c>
      <c r="D1121" s="1020" t="s">
        <v>1041</v>
      </c>
      <c r="E1121" s="1020" t="s">
        <v>565</v>
      </c>
      <c r="F1121" s="1020">
        <v>2021.0</v>
      </c>
      <c r="G1121" s="1021">
        <v>1.01209E-4</v>
      </c>
      <c r="H1121" s="1021">
        <v>4.91E-6</v>
      </c>
      <c r="I1121" s="1022">
        <v>3.63178E-4</v>
      </c>
      <c r="K1121" s="1031" t="s">
        <v>151</v>
      </c>
      <c r="L1121" s="1032" t="s">
        <v>608</v>
      </c>
      <c r="M1121" s="1032" t="s">
        <v>1035</v>
      </c>
      <c r="N1121" s="1032" t="s">
        <v>1044</v>
      </c>
      <c r="O1121" s="1032">
        <v>2021.0</v>
      </c>
      <c r="P1121" s="1032" t="s">
        <v>1039</v>
      </c>
      <c r="Q1121" s="1033" t="s">
        <v>63</v>
      </c>
      <c r="R1121" s="1034">
        <v>7.757917506</v>
      </c>
      <c r="S1121" s="1034">
        <v>4.195146959</v>
      </c>
      <c r="T1121" s="1035">
        <v>14.47666081</v>
      </c>
      <c r="AB1121" s="1045"/>
    </row>
    <row r="1122">
      <c r="A1122" s="294"/>
      <c r="B1122" s="1019" t="s">
        <v>135</v>
      </c>
      <c r="C1122" s="1020" t="s">
        <v>1035</v>
      </c>
      <c r="D1122" s="1020" t="s">
        <v>1043</v>
      </c>
      <c r="E1122" s="1020" t="s">
        <v>565</v>
      </c>
      <c r="F1122" s="1020">
        <v>2021.0</v>
      </c>
      <c r="G1122" s="1021">
        <v>6.88E-6</v>
      </c>
      <c r="H1122" s="1021">
        <v>2.31E-7</v>
      </c>
      <c r="I1122" s="1022">
        <v>1.61E-5</v>
      </c>
      <c r="K1122" s="1031" t="s">
        <v>151</v>
      </c>
      <c r="L1122" s="1032" t="s">
        <v>608</v>
      </c>
      <c r="M1122" s="1032" t="s">
        <v>1035</v>
      </c>
      <c r="N1122" s="1032" t="s">
        <v>1046</v>
      </c>
      <c r="O1122" s="1032">
        <v>2021.0</v>
      </c>
      <c r="P1122" s="1032" t="s">
        <v>1039</v>
      </c>
      <c r="Q1122" s="1033" t="s">
        <v>63</v>
      </c>
      <c r="R1122" s="1034">
        <v>58.82652537</v>
      </c>
      <c r="S1122" s="1034">
        <v>22.25074097</v>
      </c>
      <c r="T1122" s="1035">
        <v>123.1612195</v>
      </c>
      <c r="AB1122" s="1045"/>
    </row>
    <row r="1123">
      <c r="A1123" s="294"/>
      <c r="B1123" s="1019" t="s">
        <v>135</v>
      </c>
      <c r="C1123" s="1020" t="s">
        <v>1035</v>
      </c>
      <c r="D1123" s="1020" t="s">
        <v>1045</v>
      </c>
      <c r="E1123" s="1020" t="s">
        <v>565</v>
      </c>
      <c r="F1123" s="1020">
        <v>2021.0</v>
      </c>
      <c r="G1123" s="1021">
        <v>6.07E-5</v>
      </c>
      <c r="H1123" s="1021">
        <v>1.7E-6</v>
      </c>
      <c r="I1123" s="1022">
        <v>1.46417E-4</v>
      </c>
      <c r="K1123" s="1031" t="s">
        <v>151</v>
      </c>
      <c r="L1123" s="1032" t="s">
        <v>608</v>
      </c>
      <c r="M1123" s="1032" t="s">
        <v>1035</v>
      </c>
      <c r="N1123" s="1032" t="s">
        <v>1045</v>
      </c>
      <c r="O1123" s="1032">
        <v>2021.0</v>
      </c>
      <c r="P1123" s="1032" t="s">
        <v>1039</v>
      </c>
      <c r="Q1123" s="1033" t="s">
        <v>63</v>
      </c>
      <c r="R1123" s="1034">
        <v>149.8260721</v>
      </c>
      <c r="S1123" s="1034">
        <v>61.34370703</v>
      </c>
      <c r="T1123" s="1035">
        <v>294.321748</v>
      </c>
      <c r="AB1123" s="1045"/>
    </row>
    <row r="1124">
      <c r="A1124" s="294"/>
      <c r="B1124" s="1019" t="s">
        <v>136</v>
      </c>
      <c r="C1124" s="1020" t="s">
        <v>1035</v>
      </c>
      <c r="D1124" s="1020" t="s">
        <v>1036</v>
      </c>
      <c r="E1124" s="1020" t="s">
        <v>565</v>
      </c>
      <c r="F1124" s="1020">
        <v>2021.0</v>
      </c>
      <c r="G1124" s="1021">
        <v>2.85E-5</v>
      </c>
      <c r="H1124" s="1021">
        <v>9.3E-7</v>
      </c>
      <c r="I1124" s="1022">
        <v>7.54E-5</v>
      </c>
      <c r="K1124" s="1031" t="s">
        <v>121</v>
      </c>
      <c r="L1124" s="1032" t="s">
        <v>608</v>
      </c>
      <c r="M1124" s="1032" t="s">
        <v>1035</v>
      </c>
      <c r="N1124" s="1032" t="s">
        <v>1038</v>
      </c>
      <c r="O1124" s="1032">
        <v>2021.0</v>
      </c>
      <c r="P1124" s="1032" t="s">
        <v>1039</v>
      </c>
      <c r="Q1124" s="1033" t="s">
        <v>63</v>
      </c>
      <c r="R1124" s="1034">
        <v>1475.042872</v>
      </c>
      <c r="S1124" s="1034">
        <v>825.1109244</v>
      </c>
      <c r="T1124" s="1035">
        <v>2476.132387</v>
      </c>
      <c r="AB1124" s="1045"/>
    </row>
    <row r="1125">
      <c r="A1125" s="294"/>
      <c r="B1125" s="1019" t="s">
        <v>136</v>
      </c>
      <c r="C1125" s="1020" t="s">
        <v>1035</v>
      </c>
      <c r="D1125" s="1020" t="s">
        <v>1041</v>
      </c>
      <c r="E1125" s="1020" t="s">
        <v>565</v>
      </c>
      <c r="F1125" s="1020">
        <v>2021.0</v>
      </c>
      <c r="G1125" s="1021">
        <v>6.95E-5</v>
      </c>
      <c r="H1125" s="1021">
        <v>3.01E-6</v>
      </c>
      <c r="I1125" s="1022">
        <v>1.62215E-4</v>
      </c>
      <c r="K1125" s="1031" t="s">
        <v>121</v>
      </c>
      <c r="L1125" s="1032" t="s">
        <v>608</v>
      </c>
      <c r="M1125" s="1032" t="s">
        <v>1035</v>
      </c>
      <c r="N1125" s="1032" t="s">
        <v>1042</v>
      </c>
      <c r="O1125" s="1032">
        <v>2021.0</v>
      </c>
      <c r="P1125" s="1032" t="s">
        <v>1039</v>
      </c>
      <c r="Q1125" s="1033" t="s">
        <v>63</v>
      </c>
      <c r="R1125" s="1034">
        <v>112.9247982</v>
      </c>
      <c r="S1125" s="1034">
        <v>58.13197952</v>
      </c>
      <c r="T1125" s="1035">
        <v>185.3257646</v>
      </c>
      <c r="AB1125" s="1045"/>
    </row>
    <row r="1126">
      <c r="A1126" s="294"/>
      <c r="B1126" s="1019" t="s">
        <v>136</v>
      </c>
      <c r="C1126" s="1020" t="s">
        <v>1035</v>
      </c>
      <c r="D1126" s="1020" t="s">
        <v>1043</v>
      </c>
      <c r="E1126" s="1020" t="s">
        <v>565</v>
      </c>
      <c r="F1126" s="1020">
        <v>2021.0</v>
      </c>
      <c r="G1126" s="1021">
        <v>1.0E-5</v>
      </c>
      <c r="H1126" s="1021">
        <v>3.25E-7</v>
      </c>
      <c r="I1126" s="1022">
        <v>2.52E-5</v>
      </c>
      <c r="K1126" s="1031" t="s">
        <v>121</v>
      </c>
      <c r="L1126" s="1032" t="s">
        <v>608</v>
      </c>
      <c r="M1126" s="1032" t="s">
        <v>1035</v>
      </c>
      <c r="N1126" s="1032" t="s">
        <v>1044</v>
      </c>
      <c r="O1126" s="1032">
        <v>2021.0</v>
      </c>
      <c r="P1126" s="1032" t="s">
        <v>1039</v>
      </c>
      <c r="Q1126" s="1033" t="s">
        <v>63</v>
      </c>
      <c r="R1126" s="1034">
        <v>105.0810759</v>
      </c>
      <c r="S1126" s="1034">
        <v>54.94938974</v>
      </c>
      <c r="T1126" s="1035">
        <v>163.8368699</v>
      </c>
      <c r="AB1126" s="1045"/>
    </row>
    <row r="1127">
      <c r="A1127" s="294"/>
      <c r="B1127" s="1019" t="s">
        <v>136</v>
      </c>
      <c r="C1127" s="1020" t="s">
        <v>1035</v>
      </c>
      <c r="D1127" s="1020" t="s">
        <v>1045</v>
      </c>
      <c r="E1127" s="1020" t="s">
        <v>565</v>
      </c>
      <c r="F1127" s="1020">
        <v>2021.0</v>
      </c>
      <c r="G1127" s="1021">
        <v>9.34E-5</v>
      </c>
      <c r="H1127" s="1021">
        <v>2.84E-6</v>
      </c>
      <c r="I1127" s="1022">
        <v>2.20178E-4</v>
      </c>
      <c r="K1127" s="1031" t="s">
        <v>121</v>
      </c>
      <c r="L1127" s="1032" t="s">
        <v>608</v>
      </c>
      <c r="M1127" s="1032" t="s">
        <v>1035</v>
      </c>
      <c r="N1127" s="1032" t="s">
        <v>1046</v>
      </c>
      <c r="O1127" s="1032">
        <v>2021.0</v>
      </c>
      <c r="P1127" s="1032" t="s">
        <v>1039</v>
      </c>
      <c r="Q1127" s="1033" t="s">
        <v>63</v>
      </c>
      <c r="R1127" s="1034">
        <v>702.2653476</v>
      </c>
      <c r="S1127" s="1034">
        <v>455.1543489</v>
      </c>
      <c r="T1127" s="1035">
        <v>1071.748405</v>
      </c>
      <c r="AB1127" s="1045"/>
    </row>
    <row r="1128">
      <c r="A1128" s="294"/>
      <c r="B1128" s="1019" t="s">
        <v>115</v>
      </c>
      <c r="C1128" s="1020" t="s">
        <v>1035</v>
      </c>
      <c r="D1128" s="1020" t="s">
        <v>1036</v>
      </c>
      <c r="E1128" s="1020" t="s">
        <v>565</v>
      </c>
      <c r="F1128" s="1020">
        <v>2021.0</v>
      </c>
      <c r="G1128" s="1021">
        <v>7.32E-5</v>
      </c>
      <c r="H1128" s="1021">
        <v>1.61E-5</v>
      </c>
      <c r="I1128" s="1022">
        <v>2.35441E-4</v>
      </c>
      <c r="K1128" s="1031" t="s">
        <v>121</v>
      </c>
      <c r="L1128" s="1032" t="s">
        <v>608</v>
      </c>
      <c r="M1128" s="1032" t="s">
        <v>1035</v>
      </c>
      <c r="N1128" s="1032" t="s">
        <v>1045</v>
      </c>
      <c r="O1128" s="1032">
        <v>2021.0</v>
      </c>
      <c r="P1128" s="1032" t="s">
        <v>1039</v>
      </c>
      <c r="Q1128" s="1033" t="s">
        <v>63</v>
      </c>
      <c r="R1128" s="1034">
        <v>2395.314093</v>
      </c>
      <c r="S1128" s="1034">
        <v>1558.680017</v>
      </c>
      <c r="T1128" s="1035">
        <v>3756.521627</v>
      </c>
      <c r="AB1128" s="1045"/>
    </row>
    <row r="1129">
      <c r="A1129" s="294"/>
      <c r="B1129" s="1019" t="s">
        <v>115</v>
      </c>
      <c r="C1129" s="1020" t="s">
        <v>1035</v>
      </c>
      <c r="D1129" s="1020" t="s">
        <v>1041</v>
      </c>
      <c r="E1129" s="1020" t="s">
        <v>565</v>
      </c>
      <c r="F1129" s="1020">
        <v>2021.0</v>
      </c>
      <c r="G1129" s="1021">
        <v>3.40228E-4</v>
      </c>
      <c r="H1129" s="1021">
        <v>7.87E-5</v>
      </c>
      <c r="I1129" s="1022">
        <v>0.001021298</v>
      </c>
      <c r="K1129" s="1031" t="s">
        <v>152</v>
      </c>
      <c r="L1129" s="1032" t="s">
        <v>608</v>
      </c>
      <c r="M1129" s="1032" t="s">
        <v>1035</v>
      </c>
      <c r="N1129" s="1032" t="s">
        <v>1038</v>
      </c>
      <c r="O1129" s="1032">
        <v>2021.0</v>
      </c>
      <c r="P1129" s="1032" t="s">
        <v>1039</v>
      </c>
      <c r="Q1129" s="1033" t="s">
        <v>63</v>
      </c>
      <c r="R1129" s="1034">
        <v>597.1572489</v>
      </c>
      <c r="S1129" s="1034">
        <v>287.3817314</v>
      </c>
      <c r="T1129" s="1035">
        <v>1100.621632</v>
      </c>
      <c r="AB1129" s="1045"/>
    </row>
    <row r="1130">
      <c r="A1130" s="294"/>
      <c r="B1130" s="1019" t="s">
        <v>115</v>
      </c>
      <c r="C1130" s="1020" t="s">
        <v>1035</v>
      </c>
      <c r="D1130" s="1020" t="s">
        <v>1043</v>
      </c>
      <c r="E1130" s="1020" t="s">
        <v>565</v>
      </c>
      <c r="F1130" s="1020">
        <v>2021.0</v>
      </c>
      <c r="G1130" s="1021">
        <v>4.22E-5</v>
      </c>
      <c r="H1130" s="1021">
        <v>8.62E-6</v>
      </c>
      <c r="I1130" s="1022">
        <v>1.30588E-4</v>
      </c>
      <c r="K1130" s="1031" t="s">
        <v>152</v>
      </c>
      <c r="L1130" s="1032" t="s">
        <v>608</v>
      </c>
      <c r="M1130" s="1032" t="s">
        <v>1035</v>
      </c>
      <c r="N1130" s="1032" t="s">
        <v>1042</v>
      </c>
      <c r="O1130" s="1032">
        <v>2021.0</v>
      </c>
      <c r="P1130" s="1032" t="s">
        <v>1039</v>
      </c>
      <c r="Q1130" s="1033" t="s">
        <v>63</v>
      </c>
      <c r="R1130" s="1034">
        <v>79.06687657</v>
      </c>
      <c r="S1130" s="1034">
        <v>42.24372542</v>
      </c>
      <c r="T1130" s="1035">
        <v>122.9171928</v>
      </c>
      <c r="AB1130" s="1045"/>
    </row>
    <row r="1131">
      <c r="A1131" s="294"/>
      <c r="B1131" s="1019" t="s">
        <v>115</v>
      </c>
      <c r="C1131" s="1020" t="s">
        <v>1035</v>
      </c>
      <c r="D1131" s="1020" t="s">
        <v>1045</v>
      </c>
      <c r="E1131" s="1020" t="s">
        <v>565</v>
      </c>
      <c r="F1131" s="1020">
        <v>2021.0</v>
      </c>
      <c r="G1131" s="1021">
        <v>1.65483E-4</v>
      </c>
      <c r="H1131" s="1021">
        <v>5.85E-5</v>
      </c>
      <c r="I1131" s="1022">
        <v>4.50364E-4</v>
      </c>
      <c r="K1131" s="1031" t="s">
        <v>152</v>
      </c>
      <c r="L1131" s="1032" t="s">
        <v>608</v>
      </c>
      <c r="M1131" s="1032" t="s">
        <v>1035</v>
      </c>
      <c r="N1131" s="1032" t="s">
        <v>1044</v>
      </c>
      <c r="O1131" s="1032">
        <v>2021.0</v>
      </c>
      <c r="P1131" s="1032" t="s">
        <v>1039</v>
      </c>
      <c r="Q1131" s="1033" t="s">
        <v>63</v>
      </c>
      <c r="R1131" s="1034">
        <v>44.60534573</v>
      </c>
      <c r="S1131" s="1034">
        <v>23.82948566</v>
      </c>
      <c r="T1131" s="1035">
        <v>73.67402314</v>
      </c>
      <c r="AB1131" s="1045"/>
    </row>
    <row r="1132">
      <c r="A1132" s="294"/>
      <c r="B1132" s="1019" t="s">
        <v>137</v>
      </c>
      <c r="C1132" s="1020" t="s">
        <v>1035</v>
      </c>
      <c r="D1132" s="1020" t="s">
        <v>1036</v>
      </c>
      <c r="E1132" s="1020" t="s">
        <v>565</v>
      </c>
      <c r="F1132" s="1020">
        <v>2021.0</v>
      </c>
      <c r="G1132" s="1021">
        <v>2.63E-5</v>
      </c>
      <c r="H1132" s="1021">
        <v>5.28E-7</v>
      </c>
      <c r="I1132" s="1022">
        <v>7.5E-5</v>
      </c>
      <c r="K1132" s="1031" t="s">
        <v>152</v>
      </c>
      <c r="L1132" s="1032" t="s">
        <v>608</v>
      </c>
      <c r="M1132" s="1032" t="s">
        <v>1035</v>
      </c>
      <c r="N1132" s="1032" t="s">
        <v>1046</v>
      </c>
      <c r="O1132" s="1032">
        <v>2021.0</v>
      </c>
      <c r="P1132" s="1032" t="s">
        <v>1039</v>
      </c>
      <c r="Q1132" s="1033" t="s">
        <v>63</v>
      </c>
      <c r="R1132" s="1034">
        <v>616.5889199</v>
      </c>
      <c r="S1132" s="1034">
        <v>391.2526096</v>
      </c>
      <c r="T1132" s="1035">
        <v>1006.808787</v>
      </c>
      <c r="AB1132" s="1045"/>
    </row>
    <row r="1133">
      <c r="A1133" s="294"/>
      <c r="B1133" s="1019" t="s">
        <v>137</v>
      </c>
      <c r="C1133" s="1020" t="s">
        <v>1035</v>
      </c>
      <c r="D1133" s="1020" t="s">
        <v>1041</v>
      </c>
      <c r="E1133" s="1020" t="s">
        <v>565</v>
      </c>
      <c r="F1133" s="1020">
        <v>2021.0</v>
      </c>
      <c r="G1133" s="1021">
        <v>8.62E-5</v>
      </c>
      <c r="H1133" s="1021">
        <v>2.53E-6</v>
      </c>
      <c r="I1133" s="1022">
        <v>2.38624E-4</v>
      </c>
      <c r="K1133" s="1031" t="s">
        <v>152</v>
      </c>
      <c r="L1133" s="1032" t="s">
        <v>608</v>
      </c>
      <c r="M1133" s="1032" t="s">
        <v>1035</v>
      </c>
      <c r="N1133" s="1032" t="s">
        <v>1045</v>
      </c>
      <c r="O1133" s="1032">
        <v>2021.0</v>
      </c>
      <c r="P1133" s="1032" t="s">
        <v>1039</v>
      </c>
      <c r="Q1133" s="1033" t="s">
        <v>63</v>
      </c>
      <c r="R1133" s="1034">
        <v>1337.418391</v>
      </c>
      <c r="S1133" s="1034">
        <v>817.1386142</v>
      </c>
      <c r="T1133" s="1035">
        <v>2185.513271</v>
      </c>
      <c r="AB1133" s="1045"/>
    </row>
    <row r="1134">
      <c r="A1134" s="294"/>
      <c r="B1134" s="1019" t="s">
        <v>137</v>
      </c>
      <c r="C1134" s="1020" t="s">
        <v>1035</v>
      </c>
      <c r="D1134" s="1020" t="s">
        <v>1043</v>
      </c>
      <c r="E1134" s="1020" t="s">
        <v>565</v>
      </c>
      <c r="F1134" s="1020">
        <v>2021.0</v>
      </c>
      <c r="G1134" s="1021">
        <v>7.27E-6</v>
      </c>
      <c r="H1134" s="1021">
        <v>1.47E-7</v>
      </c>
      <c r="I1134" s="1022">
        <v>1.9E-5</v>
      </c>
      <c r="K1134" s="1031" t="s">
        <v>153</v>
      </c>
      <c r="L1134" s="1032" t="s">
        <v>608</v>
      </c>
      <c r="M1134" s="1032" t="s">
        <v>1035</v>
      </c>
      <c r="N1134" s="1032" t="s">
        <v>1038</v>
      </c>
      <c r="O1134" s="1032">
        <v>2021.0</v>
      </c>
      <c r="P1134" s="1032" t="s">
        <v>1039</v>
      </c>
      <c r="Q1134" s="1033" t="s">
        <v>63</v>
      </c>
      <c r="R1134" s="1034">
        <v>315.85676</v>
      </c>
      <c r="S1134" s="1034">
        <v>153.171201</v>
      </c>
      <c r="T1134" s="1035">
        <v>570.5853597</v>
      </c>
      <c r="AB1134" s="1045"/>
    </row>
    <row r="1135">
      <c r="A1135" s="294"/>
      <c r="B1135" s="1019" t="s">
        <v>137</v>
      </c>
      <c r="C1135" s="1020" t="s">
        <v>1035</v>
      </c>
      <c r="D1135" s="1020" t="s">
        <v>1045</v>
      </c>
      <c r="E1135" s="1020" t="s">
        <v>565</v>
      </c>
      <c r="F1135" s="1020">
        <v>2021.0</v>
      </c>
      <c r="G1135" s="1021">
        <v>5.84E-5</v>
      </c>
      <c r="H1135" s="1021">
        <v>1.33E-6</v>
      </c>
      <c r="I1135" s="1022">
        <v>1.40749E-4</v>
      </c>
      <c r="K1135" s="1031" t="s">
        <v>153</v>
      </c>
      <c r="L1135" s="1032" t="s">
        <v>608</v>
      </c>
      <c r="M1135" s="1032" t="s">
        <v>1035</v>
      </c>
      <c r="N1135" s="1032" t="s">
        <v>1042</v>
      </c>
      <c r="O1135" s="1032">
        <v>2021.0</v>
      </c>
      <c r="P1135" s="1032" t="s">
        <v>1039</v>
      </c>
      <c r="Q1135" s="1033" t="s">
        <v>63</v>
      </c>
      <c r="R1135" s="1034">
        <v>53.62660007</v>
      </c>
      <c r="S1135" s="1034">
        <v>27.38358054</v>
      </c>
      <c r="T1135" s="1035">
        <v>86.72718633</v>
      </c>
      <c r="AB1135" s="1045"/>
    </row>
    <row r="1136">
      <c r="A1136" s="294"/>
      <c r="B1136" s="1019" t="s">
        <v>116</v>
      </c>
      <c r="C1136" s="1020" t="s">
        <v>1035</v>
      </c>
      <c r="D1136" s="1020" t="s">
        <v>1036</v>
      </c>
      <c r="E1136" s="1020" t="s">
        <v>565</v>
      </c>
      <c r="F1136" s="1020">
        <v>2021.0</v>
      </c>
      <c r="G1136" s="1021">
        <v>9.69E-5</v>
      </c>
      <c r="H1136" s="1021">
        <v>1.65E-5</v>
      </c>
      <c r="I1136" s="1022">
        <v>3.15237E-4</v>
      </c>
      <c r="K1136" s="1031" t="s">
        <v>153</v>
      </c>
      <c r="L1136" s="1032" t="s">
        <v>608</v>
      </c>
      <c r="M1136" s="1032" t="s">
        <v>1035</v>
      </c>
      <c r="N1136" s="1032" t="s">
        <v>1044</v>
      </c>
      <c r="O1136" s="1032">
        <v>2021.0</v>
      </c>
      <c r="P1136" s="1032" t="s">
        <v>1039</v>
      </c>
      <c r="Q1136" s="1033" t="s">
        <v>63</v>
      </c>
      <c r="R1136" s="1034">
        <v>24.43461597</v>
      </c>
      <c r="S1136" s="1034">
        <v>13.55686816</v>
      </c>
      <c r="T1136" s="1035">
        <v>41.61286079</v>
      </c>
      <c r="AB1136" s="1045"/>
    </row>
    <row r="1137">
      <c r="A1137" s="294"/>
      <c r="B1137" s="1019" t="s">
        <v>116</v>
      </c>
      <c r="C1137" s="1020" t="s">
        <v>1035</v>
      </c>
      <c r="D1137" s="1020" t="s">
        <v>1041</v>
      </c>
      <c r="E1137" s="1020" t="s">
        <v>565</v>
      </c>
      <c r="F1137" s="1020">
        <v>2021.0</v>
      </c>
      <c r="G1137" s="1021">
        <v>2.69698E-4</v>
      </c>
      <c r="H1137" s="1021">
        <v>5.54E-5</v>
      </c>
      <c r="I1137" s="1022">
        <v>8.18042E-4</v>
      </c>
      <c r="K1137" s="1031" t="s">
        <v>153</v>
      </c>
      <c r="L1137" s="1032" t="s">
        <v>608</v>
      </c>
      <c r="M1137" s="1032" t="s">
        <v>1035</v>
      </c>
      <c r="N1137" s="1032" t="s">
        <v>1046</v>
      </c>
      <c r="O1137" s="1032">
        <v>2021.0</v>
      </c>
      <c r="P1137" s="1032" t="s">
        <v>1039</v>
      </c>
      <c r="Q1137" s="1033" t="s">
        <v>63</v>
      </c>
      <c r="R1137" s="1034">
        <v>184.4181645</v>
      </c>
      <c r="S1137" s="1034">
        <v>118.1208214</v>
      </c>
      <c r="T1137" s="1035">
        <v>288.9887705</v>
      </c>
      <c r="AB1137" s="1045"/>
    </row>
    <row r="1138">
      <c r="A1138" s="294"/>
      <c r="B1138" s="1019" t="s">
        <v>116</v>
      </c>
      <c r="C1138" s="1020" t="s">
        <v>1035</v>
      </c>
      <c r="D1138" s="1020" t="s">
        <v>1043</v>
      </c>
      <c r="E1138" s="1020" t="s">
        <v>565</v>
      </c>
      <c r="F1138" s="1020">
        <v>2021.0</v>
      </c>
      <c r="G1138" s="1021">
        <v>4.08E-5</v>
      </c>
      <c r="H1138" s="1021">
        <v>7.2E-6</v>
      </c>
      <c r="I1138" s="1022">
        <v>1.35687E-4</v>
      </c>
      <c r="K1138" s="1031" t="s">
        <v>153</v>
      </c>
      <c r="L1138" s="1032" t="s">
        <v>608</v>
      </c>
      <c r="M1138" s="1032" t="s">
        <v>1035</v>
      </c>
      <c r="N1138" s="1032" t="s">
        <v>1045</v>
      </c>
      <c r="O1138" s="1032">
        <v>2021.0</v>
      </c>
      <c r="P1138" s="1032" t="s">
        <v>1039</v>
      </c>
      <c r="Q1138" s="1033" t="s">
        <v>63</v>
      </c>
      <c r="R1138" s="1034">
        <v>578.3361405</v>
      </c>
      <c r="S1138" s="1034">
        <v>352.7229576</v>
      </c>
      <c r="T1138" s="1035">
        <v>921.9086002</v>
      </c>
      <c r="AB1138" s="1045"/>
    </row>
    <row r="1139">
      <c r="A1139" s="294"/>
      <c r="B1139" s="1019" t="s">
        <v>116</v>
      </c>
      <c r="C1139" s="1020" t="s">
        <v>1035</v>
      </c>
      <c r="D1139" s="1020" t="s">
        <v>1045</v>
      </c>
      <c r="E1139" s="1020" t="s">
        <v>565</v>
      </c>
      <c r="F1139" s="1020">
        <v>2021.0</v>
      </c>
      <c r="G1139" s="1021">
        <v>1.36302E-4</v>
      </c>
      <c r="H1139" s="1021">
        <v>3.45E-5</v>
      </c>
      <c r="I1139" s="1022">
        <v>5.0236E-4</v>
      </c>
      <c r="K1139" s="1031" t="s">
        <v>122</v>
      </c>
      <c r="L1139" s="1032" t="s">
        <v>608</v>
      </c>
      <c r="M1139" s="1032" t="s">
        <v>1035</v>
      </c>
      <c r="N1139" s="1032" t="s">
        <v>1038</v>
      </c>
      <c r="O1139" s="1032">
        <v>2021.0</v>
      </c>
      <c r="P1139" s="1032" t="s">
        <v>1039</v>
      </c>
      <c r="Q1139" s="1033" t="s">
        <v>63</v>
      </c>
      <c r="R1139" s="1034">
        <v>892.3790275</v>
      </c>
      <c r="S1139" s="1034">
        <v>531.8642679</v>
      </c>
      <c r="T1139" s="1035">
        <v>1570.06393</v>
      </c>
      <c r="AB1139" s="1045"/>
    </row>
    <row r="1140">
      <c r="A1140" s="294"/>
      <c r="B1140" s="1019" t="s">
        <v>138</v>
      </c>
      <c r="C1140" s="1020" t="s">
        <v>1035</v>
      </c>
      <c r="D1140" s="1020" t="s">
        <v>1036</v>
      </c>
      <c r="E1140" s="1020" t="s">
        <v>565</v>
      </c>
      <c r="F1140" s="1020">
        <v>2021.0</v>
      </c>
      <c r="G1140" s="1021">
        <v>5.84E-5</v>
      </c>
      <c r="H1140" s="1021">
        <v>1.2E-5</v>
      </c>
      <c r="I1140" s="1022">
        <v>1.61731E-4</v>
      </c>
      <c r="K1140" s="1031" t="s">
        <v>122</v>
      </c>
      <c r="L1140" s="1032" t="s">
        <v>608</v>
      </c>
      <c r="M1140" s="1032" t="s">
        <v>1035</v>
      </c>
      <c r="N1140" s="1032" t="s">
        <v>1042</v>
      </c>
      <c r="O1140" s="1032">
        <v>2021.0</v>
      </c>
      <c r="P1140" s="1032" t="s">
        <v>1039</v>
      </c>
      <c r="Q1140" s="1033" t="s">
        <v>63</v>
      </c>
      <c r="R1140" s="1034">
        <v>52.77654376</v>
      </c>
      <c r="S1140" s="1034">
        <v>26.12885829</v>
      </c>
      <c r="T1140" s="1035">
        <v>88.34118144</v>
      </c>
      <c r="AB1140" s="1045"/>
    </row>
    <row r="1141">
      <c r="A1141" s="294"/>
      <c r="B1141" s="1019" t="s">
        <v>138</v>
      </c>
      <c r="C1141" s="1020" t="s">
        <v>1035</v>
      </c>
      <c r="D1141" s="1020" t="s">
        <v>1041</v>
      </c>
      <c r="E1141" s="1020" t="s">
        <v>565</v>
      </c>
      <c r="F1141" s="1020">
        <v>2021.0</v>
      </c>
      <c r="G1141" s="1021">
        <v>1.9924E-4</v>
      </c>
      <c r="H1141" s="1021">
        <v>4.91E-5</v>
      </c>
      <c r="I1141" s="1022">
        <v>5.34452E-4</v>
      </c>
      <c r="K1141" s="1031" t="s">
        <v>122</v>
      </c>
      <c r="L1141" s="1032" t="s">
        <v>608</v>
      </c>
      <c r="M1141" s="1032" t="s">
        <v>1035</v>
      </c>
      <c r="N1141" s="1032" t="s">
        <v>1044</v>
      </c>
      <c r="O1141" s="1032">
        <v>2021.0</v>
      </c>
      <c r="P1141" s="1032" t="s">
        <v>1039</v>
      </c>
      <c r="Q1141" s="1033" t="s">
        <v>63</v>
      </c>
      <c r="R1141" s="1034">
        <v>58.31154912</v>
      </c>
      <c r="S1141" s="1034">
        <v>31.24906391</v>
      </c>
      <c r="T1141" s="1035">
        <v>98.53067903</v>
      </c>
      <c r="AB1141" s="1045"/>
    </row>
    <row r="1142">
      <c r="A1142" s="294"/>
      <c r="B1142" s="1019" t="s">
        <v>138</v>
      </c>
      <c r="C1142" s="1020" t="s">
        <v>1035</v>
      </c>
      <c r="D1142" s="1020" t="s">
        <v>1043</v>
      </c>
      <c r="E1142" s="1020" t="s">
        <v>565</v>
      </c>
      <c r="F1142" s="1020">
        <v>2021.0</v>
      </c>
      <c r="G1142" s="1021">
        <v>2.54E-5</v>
      </c>
      <c r="H1142" s="1021">
        <v>5.87E-6</v>
      </c>
      <c r="I1142" s="1022">
        <v>7.33E-5</v>
      </c>
      <c r="K1142" s="1031" t="s">
        <v>122</v>
      </c>
      <c r="L1142" s="1032" t="s">
        <v>608</v>
      </c>
      <c r="M1142" s="1032" t="s">
        <v>1035</v>
      </c>
      <c r="N1142" s="1032" t="s">
        <v>1046</v>
      </c>
      <c r="O1142" s="1032">
        <v>2021.0</v>
      </c>
      <c r="P1142" s="1032" t="s">
        <v>1039</v>
      </c>
      <c r="Q1142" s="1033" t="s">
        <v>63</v>
      </c>
      <c r="R1142" s="1034">
        <v>489.0540807</v>
      </c>
      <c r="S1142" s="1034">
        <v>324.3456313</v>
      </c>
      <c r="T1142" s="1035">
        <v>742.6190539</v>
      </c>
      <c r="AB1142" s="1045"/>
    </row>
    <row r="1143">
      <c r="A1143" s="294"/>
      <c r="B1143" s="1019" t="s">
        <v>138</v>
      </c>
      <c r="C1143" s="1020" t="s">
        <v>1035</v>
      </c>
      <c r="D1143" s="1020" t="s">
        <v>1045</v>
      </c>
      <c r="E1143" s="1020" t="s">
        <v>565</v>
      </c>
      <c r="F1143" s="1020">
        <v>2021.0</v>
      </c>
      <c r="G1143" s="1021">
        <v>1.208E-4</v>
      </c>
      <c r="H1143" s="1021">
        <v>3.12E-5</v>
      </c>
      <c r="I1143" s="1022">
        <v>3.34481E-4</v>
      </c>
      <c r="K1143" s="1031" t="s">
        <v>122</v>
      </c>
      <c r="L1143" s="1032" t="s">
        <v>608</v>
      </c>
      <c r="M1143" s="1032" t="s">
        <v>1035</v>
      </c>
      <c r="N1143" s="1032" t="s">
        <v>1045</v>
      </c>
      <c r="O1143" s="1032">
        <v>2021.0</v>
      </c>
      <c r="P1143" s="1032" t="s">
        <v>1039</v>
      </c>
      <c r="Q1143" s="1033" t="s">
        <v>63</v>
      </c>
      <c r="R1143" s="1034">
        <v>1492.521201</v>
      </c>
      <c r="S1143" s="1034">
        <v>1028.006745</v>
      </c>
      <c r="T1143" s="1035">
        <v>2296.17804</v>
      </c>
      <c r="AB1143" s="1045"/>
    </row>
    <row r="1144">
      <c r="A1144" s="294"/>
      <c r="B1144" s="1019" t="s">
        <v>118</v>
      </c>
      <c r="C1144" s="1020" t="s">
        <v>1035</v>
      </c>
      <c r="D1144" s="1020" t="s">
        <v>1036</v>
      </c>
      <c r="E1144" s="1020" t="s">
        <v>565</v>
      </c>
      <c r="F1144" s="1020">
        <v>2021.0</v>
      </c>
      <c r="G1144" s="1021">
        <v>4.9E-5</v>
      </c>
      <c r="H1144" s="1021">
        <v>1.18E-5</v>
      </c>
      <c r="I1144" s="1022">
        <v>1.26503E-4</v>
      </c>
      <c r="K1144" s="1031" t="s">
        <v>123</v>
      </c>
      <c r="L1144" s="1032" t="s">
        <v>552</v>
      </c>
      <c r="M1144" s="1032" t="s">
        <v>1035</v>
      </c>
      <c r="N1144" s="1032" t="s">
        <v>1038</v>
      </c>
      <c r="O1144" s="1032">
        <v>2021.0</v>
      </c>
      <c r="P1144" s="1032" t="s">
        <v>1039</v>
      </c>
      <c r="Q1144" s="1033" t="s">
        <v>63</v>
      </c>
      <c r="R1144" s="1034">
        <v>26.83767404</v>
      </c>
      <c r="S1144" s="1034">
        <v>0.660584194</v>
      </c>
      <c r="T1144" s="1035">
        <v>123.589376</v>
      </c>
      <c r="AB1144" s="1045"/>
    </row>
    <row r="1145">
      <c r="A1145" s="294"/>
      <c r="B1145" s="1019" t="s">
        <v>118</v>
      </c>
      <c r="C1145" s="1020" t="s">
        <v>1035</v>
      </c>
      <c r="D1145" s="1020" t="s">
        <v>1041</v>
      </c>
      <c r="E1145" s="1020" t="s">
        <v>565</v>
      </c>
      <c r="F1145" s="1020">
        <v>2021.0</v>
      </c>
      <c r="G1145" s="1021">
        <v>1.75487E-4</v>
      </c>
      <c r="H1145" s="1021">
        <v>4.18E-5</v>
      </c>
      <c r="I1145" s="1022">
        <v>4.77829E-4</v>
      </c>
      <c r="K1145" s="1031" t="s">
        <v>123</v>
      </c>
      <c r="L1145" s="1032" t="s">
        <v>552</v>
      </c>
      <c r="M1145" s="1032" t="s">
        <v>1035</v>
      </c>
      <c r="N1145" s="1032" t="s">
        <v>1042</v>
      </c>
      <c r="O1145" s="1032">
        <v>2021.0</v>
      </c>
      <c r="P1145" s="1032" t="s">
        <v>1039</v>
      </c>
      <c r="Q1145" s="1033" t="s">
        <v>63</v>
      </c>
      <c r="R1145" s="1034">
        <v>0.0</v>
      </c>
      <c r="S1145" s="1034">
        <v>0.0</v>
      </c>
      <c r="T1145" s="1035">
        <v>0.0</v>
      </c>
      <c r="AB1145" s="1045"/>
    </row>
    <row r="1146">
      <c r="A1146" s="294"/>
      <c r="B1146" s="1019" t="s">
        <v>118</v>
      </c>
      <c r="C1146" s="1020" t="s">
        <v>1035</v>
      </c>
      <c r="D1146" s="1020" t="s">
        <v>1043</v>
      </c>
      <c r="E1146" s="1020" t="s">
        <v>565</v>
      </c>
      <c r="F1146" s="1020">
        <v>2021.0</v>
      </c>
      <c r="G1146" s="1021">
        <v>2.96E-5</v>
      </c>
      <c r="H1146" s="1021">
        <v>6.7E-6</v>
      </c>
      <c r="I1146" s="1022">
        <v>8.43E-5</v>
      </c>
      <c r="K1146" s="1031" t="s">
        <v>123</v>
      </c>
      <c r="L1146" s="1032" t="s">
        <v>552</v>
      </c>
      <c r="M1146" s="1032" t="s">
        <v>1035</v>
      </c>
      <c r="N1146" s="1032" t="s">
        <v>1044</v>
      </c>
      <c r="O1146" s="1032">
        <v>2021.0</v>
      </c>
      <c r="P1146" s="1032" t="s">
        <v>1039</v>
      </c>
      <c r="Q1146" s="1033" t="s">
        <v>63</v>
      </c>
      <c r="R1146" s="1034">
        <v>0.0</v>
      </c>
      <c r="S1146" s="1034">
        <v>0.0</v>
      </c>
      <c r="T1146" s="1035">
        <v>0.0</v>
      </c>
      <c r="AB1146" s="1045"/>
    </row>
    <row r="1147">
      <c r="A1147" s="294"/>
      <c r="B1147" s="1019" t="s">
        <v>118</v>
      </c>
      <c r="C1147" s="1020" t="s">
        <v>1035</v>
      </c>
      <c r="D1147" s="1020" t="s">
        <v>1045</v>
      </c>
      <c r="E1147" s="1020" t="s">
        <v>565</v>
      </c>
      <c r="F1147" s="1020">
        <v>2021.0</v>
      </c>
      <c r="G1147" s="1021">
        <v>1.25013E-4</v>
      </c>
      <c r="H1147" s="1021">
        <v>4.33E-5</v>
      </c>
      <c r="I1147" s="1022">
        <v>3.14982E-4</v>
      </c>
      <c r="K1147" s="1031" t="s">
        <v>123</v>
      </c>
      <c r="L1147" s="1032" t="s">
        <v>552</v>
      </c>
      <c r="M1147" s="1032" t="s">
        <v>1035</v>
      </c>
      <c r="N1147" s="1032" t="s">
        <v>1046</v>
      </c>
      <c r="O1147" s="1032">
        <v>2021.0</v>
      </c>
      <c r="P1147" s="1032" t="s">
        <v>1039</v>
      </c>
      <c r="Q1147" s="1033" t="s">
        <v>63</v>
      </c>
      <c r="R1147" s="1034">
        <v>18.67439503</v>
      </c>
      <c r="S1147" s="1034">
        <v>0.461859294</v>
      </c>
      <c r="T1147" s="1035">
        <v>88.8043427</v>
      </c>
      <c r="AB1147" s="1045"/>
    </row>
    <row r="1148">
      <c r="A1148" s="294"/>
      <c r="B1148" s="1019" t="s">
        <v>119</v>
      </c>
      <c r="C1148" s="1020" t="s">
        <v>1035</v>
      </c>
      <c r="D1148" s="1020" t="s">
        <v>1036</v>
      </c>
      <c r="E1148" s="1020" t="s">
        <v>565</v>
      </c>
      <c r="F1148" s="1020">
        <v>2021.0</v>
      </c>
      <c r="G1148" s="1021">
        <v>7.43E-5</v>
      </c>
      <c r="H1148" s="1021">
        <v>1.27E-5</v>
      </c>
      <c r="I1148" s="1022">
        <v>2.44808E-4</v>
      </c>
      <c r="K1148" s="1031" t="s">
        <v>123</v>
      </c>
      <c r="L1148" s="1032" t="s">
        <v>552</v>
      </c>
      <c r="M1148" s="1032" t="s">
        <v>1035</v>
      </c>
      <c r="N1148" s="1032" t="s">
        <v>1045</v>
      </c>
      <c r="O1148" s="1032">
        <v>2021.0</v>
      </c>
      <c r="P1148" s="1032" t="s">
        <v>1039</v>
      </c>
      <c r="Q1148" s="1033" t="s">
        <v>63</v>
      </c>
      <c r="R1148" s="1034">
        <v>45.51206907</v>
      </c>
      <c r="S1148" s="1034">
        <v>1.129682207</v>
      </c>
      <c r="T1148" s="1035">
        <v>215.1985627</v>
      </c>
      <c r="AB1148" s="1045"/>
    </row>
    <row r="1149">
      <c r="A1149" s="294"/>
      <c r="B1149" s="1019" t="s">
        <v>119</v>
      </c>
      <c r="C1149" s="1020" t="s">
        <v>1035</v>
      </c>
      <c r="D1149" s="1020" t="s">
        <v>1041</v>
      </c>
      <c r="E1149" s="1020" t="s">
        <v>565</v>
      </c>
      <c r="F1149" s="1020">
        <v>2021.0</v>
      </c>
      <c r="G1149" s="1021">
        <v>2.34563E-4</v>
      </c>
      <c r="H1149" s="1021">
        <v>4.39E-5</v>
      </c>
      <c r="I1149" s="1022">
        <v>7.00818E-4</v>
      </c>
      <c r="K1149" s="1031" t="s">
        <v>124</v>
      </c>
      <c r="L1149" s="1032" t="s">
        <v>552</v>
      </c>
      <c r="M1149" s="1032" t="s">
        <v>1035</v>
      </c>
      <c r="N1149" s="1032" t="s">
        <v>1038</v>
      </c>
      <c r="O1149" s="1032">
        <v>2021.0</v>
      </c>
      <c r="P1149" s="1032" t="s">
        <v>1039</v>
      </c>
      <c r="Q1149" s="1033" t="s">
        <v>63</v>
      </c>
      <c r="R1149" s="1034">
        <v>74.2285635</v>
      </c>
      <c r="S1149" s="1034">
        <v>2.662590648</v>
      </c>
      <c r="T1149" s="1035">
        <v>349.1711864</v>
      </c>
      <c r="AB1149" s="1045"/>
    </row>
    <row r="1150">
      <c r="A1150" s="294"/>
      <c r="B1150" s="1019" t="s">
        <v>119</v>
      </c>
      <c r="C1150" s="1020" t="s">
        <v>1035</v>
      </c>
      <c r="D1150" s="1020" t="s">
        <v>1043</v>
      </c>
      <c r="E1150" s="1020" t="s">
        <v>565</v>
      </c>
      <c r="F1150" s="1020">
        <v>2021.0</v>
      </c>
      <c r="G1150" s="1021">
        <v>3.15E-5</v>
      </c>
      <c r="H1150" s="1021">
        <v>4.62E-6</v>
      </c>
      <c r="I1150" s="1022">
        <v>1.05362E-4</v>
      </c>
      <c r="K1150" s="1031" t="s">
        <v>124</v>
      </c>
      <c r="L1150" s="1032" t="s">
        <v>552</v>
      </c>
      <c r="M1150" s="1032" t="s">
        <v>1035</v>
      </c>
      <c r="N1150" s="1032" t="s">
        <v>1042</v>
      </c>
      <c r="O1150" s="1032">
        <v>2021.0</v>
      </c>
      <c r="P1150" s="1032" t="s">
        <v>1039</v>
      </c>
      <c r="Q1150" s="1033" t="s">
        <v>63</v>
      </c>
      <c r="R1150" s="1034">
        <v>0.0</v>
      </c>
      <c r="S1150" s="1034">
        <v>0.0</v>
      </c>
      <c r="T1150" s="1035">
        <v>0.0</v>
      </c>
      <c r="AB1150" s="1045"/>
    </row>
    <row r="1151">
      <c r="A1151" s="294"/>
      <c r="B1151" s="1019" t="s">
        <v>119</v>
      </c>
      <c r="C1151" s="1020" t="s">
        <v>1035</v>
      </c>
      <c r="D1151" s="1020" t="s">
        <v>1045</v>
      </c>
      <c r="E1151" s="1020" t="s">
        <v>565</v>
      </c>
      <c r="F1151" s="1020">
        <v>2021.0</v>
      </c>
      <c r="G1151" s="1021">
        <v>1.44148E-4</v>
      </c>
      <c r="H1151" s="1021">
        <v>3.4E-5</v>
      </c>
      <c r="I1151" s="1022">
        <v>4.97655E-4</v>
      </c>
      <c r="K1151" s="1031" t="s">
        <v>124</v>
      </c>
      <c r="L1151" s="1032" t="s">
        <v>552</v>
      </c>
      <c r="M1151" s="1032" t="s">
        <v>1035</v>
      </c>
      <c r="N1151" s="1032" t="s">
        <v>1044</v>
      </c>
      <c r="O1151" s="1032">
        <v>2021.0</v>
      </c>
      <c r="P1151" s="1032" t="s">
        <v>1039</v>
      </c>
      <c r="Q1151" s="1033" t="s">
        <v>63</v>
      </c>
      <c r="R1151" s="1034">
        <v>0.0</v>
      </c>
      <c r="S1151" s="1034">
        <v>0.0</v>
      </c>
      <c r="T1151" s="1035">
        <v>0.0</v>
      </c>
      <c r="AB1151" s="1045"/>
    </row>
    <row r="1152">
      <c r="A1152" s="294"/>
      <c r="B1152" s="1019" t="s">
        <v>120</v>
      </c>
      <c r="C1152" s="1020" t="s">
        <v>1035</v>
      </c>
      <c r="D1152" s="1020" t="s">
        <v>1036</v>
      </c>
      <c r="E1152" s="1020" t="s">
        <v>565</v>
      </c>
      <c r="F1152" s="1020">
        <v>2021.0</v>
      </c>
      <c r="G1152" s="1021">
        <v>1.10427E-4</v>
      </c>
      <c r="H1152" s="1021">
        <v>2.3E-5</v>
      </c>
      <c r="I1152" s="1022">
        <v>4.50631E-4</v>
      </c>
      <c r="K1152" s="1031" t="s">
        <v>124</v>
      </c>
      <c r="L1152" s="1032" t="s">
        <v>552</v>
      </c>
      <c r="M1152" s="1032" t="s">
        <v>1035</v>
      </c>
      <c r="N1152" s="1032" t="s">
        <v>1046</v>
      </c>
      <c r="O1152" s="1032">
        <v>2021.0</v>
      </c>
      <c r="P1152" s="1032" t="s">
        <v>1039</v>
      </c>
      <c r="Q1152" s="1033" t="s">
        <v>63</v>
      </c>
      <c r="R1152" s="1034">
        <v>45.45611919</v>
      </c>
      <c r="S1152" s="1034">
        <v>1.601346505</v>
      </c>
      <c r="T1152" s="1035">
        <v>225.4142024</v>
      </c>
      <c r="AB1152" s="1045"/>
    </row>
    <row r="1153">
      <c r="A1153" s="294"/>
      <c r="B1153" s="1019" t="s">
        <v>120</v>
      </c>
      <c r="C1153" s="1020" t="s">
        <v>1035</v>
      </c>
      <c r="D1153" s="1020" t="s">
        <v>1041</v>
      </c>
      <c r="E1153" s="1020" t="s">
        <v>565</v>
      </c>
      <c r="F1153" s="1020">
        <v>2021.0</v>
      </c>
      <c r="G1153" s="1021">
        <v>4.14794E-4</v>
      </c>
      <c r="H1153" s="1021">
        <v>8.51E-5</v>
      </c>
      <c r="I1153" s="1022">
        <v>0.00154282</v>
      </c>
      <c r="K1153" s="1031" t="s">
        <v>124</v>
      </c>
      <c r="L1153" s="1032" t="s">
        <v>552</v>
      </c>
      <c r="M1153" s="1032" t="s">
        <v>1035</v>
      </c>
      <c r="N1153" s="1032" t="s">
        <v>1045</v>
      </c>
      <c r="O1153" s="1032">
        <v>2021.0</v>
      </c>
      <c r="P1153" s="1032" t="s">
        <v>1039</v>
      </c>
      <c r="Q1153" s="1033" t="s">
        <v>63</v>
      </c>
      <c r="R1153" s="1034">
        <v>119.6846827</v>
      </c>
      <c r="S1153" s="1034">
        <v>4.707408769</v>
      </c>
      <c r="T1153" s="1035">
        <v>562.2663841</v>
      </c>
      <c r="AB1153" s="1045"/>
    </row>
    <row r="1154">
      <c r="A1154" s="294"/>
      <c r="B1154" s="1019" t="s">
        <v>120</v>
      </c>
      <c r="C1154" s="1020" t="s">
        <v>1035</v>
      </c>
      <c r="D1154" s="1020" t="s">
        <v>1043</v>
      </c>
      <c r="E1154" s="1020" t="s">
        <v>565</v>
      </c>
      <c r="F1154" s="1020">
        <v>2021.0</v>
      </c>
      <c r="G1154" s="1021">
        <v>5.0E-5</v>
      </c>
      <c r="H1154" s="1021">
        <v>9.44E-6</v>
      </c>
      <c r="I1154" s="1022">
        <v>1.90875E-4</v>
      </c>
      <c r="K1154" s="1031" t="s">
        <v>125</v>
      </c>
      <c r="L1154" s="1032" t="s">
        <v>552</v>
      </c>
      <c r="M1154" s="1032" t="s">
        <v>1035</v>
      </c>
      <c r="N1154" s="1032" t="s">
        <v>1038</v>
      </c>
      <c r="O1154" s="1032">
        <v>2021.0</v>
      </c>
      <c r="P1154" s="1032" t="s">
        <v>1039</v>
      </c>
      <c r="Q1154" s="1033" t="s">
        <v>63</v>
      </c>
      <c r="R1154" s="1034">
        <v>12.86376448</v>
      </c>
      <c r="S1154" s="1034">
        <v>0.509683082</v>
      </c>
      <c r="T1154" s="1035">
        <v>62.35124407</v>
      </c>
      <c r="AB1154" s="1045"/>
    </row>
    <row r="1155">
      <c r="A1155" s="294"/>
      <c r="B1155" s="1019" t="s">
        <v>120</v>
      </c>
      <c r="C1155" s="1020" t="s">
        <v>1035</v>
      </c>
      <c r="D1155" s="1020" t="s">
        <v>1045</v>
      </c>
      <c r="E1155" s="1020" t="s">
        <v>565</v>
      </c>
      <c r="F1155" s="1020">
        <v>2021.0</v>
      </c>
      <c r="G1155" s="1021">
        <v>2.89399E-4</v>
      </c>
      <c r="H1155" s="1021">
        <v>9.95E-5</v>
      </c>
      <c r="I1155" s="1022">
        <v>0.001011454</v>
      </c>
      <c r="K1155" s="1031" t="s">
        <v>125</v>
      </c>
      <c r="L1155" s="1032" t="s">
        <v>552</v>
      </c>
      <c r="M1155" s="1032" t="s">
        <v>1035</v>
      </c>
      <c r="N1155" s="1032" t="s">
        <v>1042</v>
      </c>
      <c r="O1155" s="1032">
        <v>2021.0</v>
      </c>
      <c r="P1155" s="1032" t="s">
        <v>1039</v>
      </c>
      <c r="Q1155" s="1033" t="s">
        <v>63</v>
      </c>
      <c r="R1155" s="1034">
        <v>0.0</v>
      </c>
      <c r="S1155" s="1034">
        <v>0.0</v>
      </c>
      <c r="T1155" s="1035">
        <v>0.0</v>
      </c>
      <c r="AB1155" s="1045"/>
    </row>
    <row r="1156">
      <c r="A1156" s="294"/>
      <c r="B1156" s="1019" t="s">
        <v>139</v>
      </c>
      <c r="C1156" s="1020" t="s">
        <v>1035</v>
      </c>
      <c r="D1156" s="1020" t="s">
        <v>1036</v>
      </c>
      <c r="E1156" s="1020" t="s">
        <v>565</v>
      </c>
      <c r="F1156" s="1020">
        <v>2021.0</v>
      </c>
      <c r="G1156" s="1021">
        <v>3.78E-5</v>
      </c>
      <c r="H1156" s="1021">
        <v>1.84E-6</v>
      </c>
      <c r="I1156" s="1022">
        <v>9.65E-5</v>
      </c>
      <c r="K1156" s="1031" t="s">
        <v>125</v>
      </c>
      <c r="L1156" s="1032" t="s">
        <v>552</v>
      </c>
      <c r="M1156" s="1032" t="s">
        <v>1035</v>
      </c>
      <c r="N1156" s="1032" t="s">
        <v>1044</v>
      </c>
      <c r="O1156" s="1032">
        <v>2021.0</v>
      </c>
      <c r="P1156" s="1032" t="s">
        <v>1039</v>
      </c>
      <c r="Q1156" s="1033" t="s">
        <v>63</v>
      </c>
      <c r="R1156" s="1034">
        <v>0.0</v>
      </c>
      <c r="S1156" s="1034">
        <v>0.0</v>
      </c>
      <c r="T1156" s="1035">
        <v>0.0</v>
      </c>
      <c r="AB1156" s="1045"/>
    </row>
    <row r="1157">
      <c r="A1157" s="294"/>
      <c r="B1157" s="1019" t="s">
        <v>139</v>
      </c>
      <c r="C1157" s="1020" t="s">
        <v>1035</v>
      </c>
      <c r="D1157" s="1020" t="s">
        <v>1041</v>
      </c>
      <c r="E1157" s="1020" t="s">
        <v>565</v>
      </c>
      <c r="F1157" s="1020">
        <v>2021.0</v>
      </c>
      <c r="G1157" s="1021">
        <v>1.47611E-4</v>
      </c>
      <c r="H1157" s="1021">
        <v>1.09E-5</v>
      </c>
      <c r="I1157" s="1022">
        <v>4.78209E-4</v>
      </c>
      <c r="K1157" s="1031" t="s">
        <v>125</v>
      </c>
      <c r="L1157" s="1032" t="s">
        <v>552</v>
      </c>
      <c r="M1157" s="1032" t="s">
        <v>1035</v>
      </c>
      <c r="N1157" s="1032" t="s">
        <v>1046</v>
      </c>
      <c r="O1157" s="1032">
        <v>2021.0</v>
      </c>
      <c r="P1157" s="1032" t="s">
        <v>1039</v>
      </c>
      <c r="Q1157" s="1033" t="s">
        <v>63</v>
      </c>
      <c r="R1157" s="1034">
        <v>8.546008622</v>
      </c>
      <c r="S1157" s="1034">
        <v>0.325659134</v>
      </c>
      <c r="T1157" s="1035">
        <v>40.44268875</v>
      </c>
      <c r="AB1157" s="1045"/>
    </row>
    <row r="1158">
      <c r="A1158" s="294"/>
      <c r="B1158" s="1019" t="s">
        <v>139</v>
      </c>
      <c r="C1158" s="1020" t="s">
        <v>1035</v>
      </c>
      <c r="D1158" s="1020" t="s">
        <v>1043</v>
      </c>
      <c r="E1158" s="1020" t="s">
        <v>565</v>
      </c>
      <c r="F1158" s="1020">
        <v>2021.0</v>
      </c>
      <c r="G1158" s="1021">
        <v>1.02E-5</v>
      </c>
      <c r="H1158" s="1021">
        <v>5.17E-7</v>
      </c>
      <c r="I1158" s="1022">
        <v>3.02E-5</v>
      </c>
      <c r="K1158" s="1031" t="s">
        <v>125</v>
      </c>
      <c r="L1158" s="1032" t="s">
        <v>552</v>
      </c>
      <c r="M1158" s="1032" t="s">
        <v>1035</v>
      </c>
      <c r="N1158" s="1032" t="s">
        <v>1045</v>
      </c>
      <c r="O1158" s="1032">
        <v>2021.0</v>
      </c>
      <c r="P1158" s="1032" t="s">
        <v>1039</v>
      </c>
      <c r="Q1158" s="1033" t="s">
        <v>63</v>
      </c>
      <c r="R1158" s="1034">
        <v>21.4097731</v>
      </c>
      <c r="S1158" s="1034">
        <v>0.808417546</v>
      </c>
      <c r="T1158" s="1035">
        <v>100.706626</v>
      </c>
      <c r="AB1158" s="1045"/>
    </row>
    <row r="1159">
      <c r="A1159" s="294"/>
      <c r="B1159" s="1019" t="s">
        <v>139</v>
      </c>
      <c r="C1159" s="1020" t="s">
        <v>1035</v>
      </c>
      <c r="D1159" s="1020" t="s">
        <v>1045</v>
      </c>
      <c r="E1159" s="1020" t="s">
        <v>565</v>
      </c>
      <c r="F1159" s="1020">
        <v>2021.0</v>
      </c>
      <c r="G1159" s="1021">
        <v>7.44E-5</v>
      </c>
      <c r="H1159" s="1021">
        <v>3.99E-6</v>
      </c>
      <c r="I1159" s="1022">
        <v>1.8278E-4</v>
      </c>
      <c r="K1159" s="1031" t="s">
        <v>126</v>
      </c>
      <c r="L1159" s="1032" t="s">
        <v>552</v>
      </c>
      <c r="M1159" s="1032" t="s">
        <v>1035</v>
      </c>
      <c r="N1159" s="1032" t="s">
        <v>1038</v>
      </c>
      <c r="O1159" s="1032">
        <v>2021.0</v>
      </c>
      <c r="P1159" s="1032" t="s">
        <v>1039</v>
      </c>
      <c r="Q1159" s="1033" t="s">
        <v>63</v>
      </c>
      <c r="R1159" s="1034">
        <v>50.42625225</v>
      </c>
      <c r="S1159" s="1034">
        <v>1.776927612</v>
      </c>
      <c r="T1159" s="1035">
        <v>228.7960449</v>
      </c>
      <c r="AB1159" s="1045"/>
    </row>
    <row r="1160">
      <c r="A1160" s="294"/>
      <c r="B1160" s="1019" t="s">
        <v>140</v>
      </c>
      <c r="C1160" s="1020" t="s">
        <v>1035</v>
      </c>
      <c r="D1160" s="1020" t="s">
        <v>1036</v>
      </c>
      <c r="E1160" s="1020" t="s">
        <v>565</v>
      </c>
      <c r="F1160" s="1020">
        <v>2021.0</v>
      </c>
      <c r="G1160" s="1021">
        <v>3.87E-5</v>
      </c>
      <c r="H1160" s="1021">
        <v>3.47E-6</v>
      </c>
      <c r="I1160" s="1022">
        <v>9.41E-5</v>
      </c>
      <c r="K1160" s="1031" t="s">
        <v>126</v>
      </c>
      <c r="L1160" s="1032" t="s">
        <v>552</v>
      </c>
      <c r="M1160" s="1032" t="s">
        <v>1035</v>
      </c>
      <c r="N1160" s="1032" t="s">
        <v>1042</v>
      </c>
      <c r="O1160" s="1032">
        <v>2021.0</v>
      </c>
      <c r="P1160" s="1032" t="s">
        <v>1039</v>
      </c>
      <c r="Q1160" s="1033" t="s">
        <v>63</v>
      </c>
      <c r="R1160" s="1034">
        <v>0.0</v>
      </c>
      <c r="S1160" s="1034">
        <v>0.0</v>
      </c>
      <c r="T1160" s="1035">
        <v>0.0</v>
      </c>
      <c r="AB1160" s="1045"/>
    </row>
    <row r="1161">
      <c r="A1161" s="294"/>
      <c r="B1161" s="1019" t="s">
        <v>140</v>
      </c>
      <c r="C1161" s="1020" t="s">
        <v>1035</v>
      </c>
      <c r="D1161" s="1020" t="s">
        <v>1041</v>
      </c>
      <c r="E1161" s="1020" t="s">
        <v>565</v>
      </c>
      <c r="F1161" s="1020">
        <v>2021.0</v>
      </c>
      <c r="G1161" s="1021">
        <v>1.17909E-4</v>
      </c>
      <c r="H1161" s="1021">
        <v>1.38E-5</v>
      </c>
      <c r="I1161" s="1022">
        <v>2.4558E-4</v>
      </c>
      <c r="K1161" s="1031" t="s">
        <v>126</v>
      </c>
      <c r="L1161" s="1032" t="s">
        <v>552</v>
      </c>
      <c r="M1161" s="1032" t="s">
        <v>1035</v>
      </c>
      <c r="N1161" s="1032" t="s">
        <v>1044</v>
      </c>
      <c r="O1161" s="1032">
        <v>2021.0</v>
      </c>
      <c r="P1161" s="1032" t="s">
        <v>1039</v>
      </c>
      <c r="Q1161" s="1033" t="s">
        <v>63</v>
      </c>
      <c r="R1161" s="1034">
        <v>0.0</v>
      </c>
      <c r="S1161" s="1034">
        <v>0.0</v>
      </c>
      <c r="T1161" s="1035">
        <v>0.0</v>
      </c>
      <c r="AB1161" s="1045"/>
    </row>
    <row r="1162">
      <c r="A1162" s="294"/>
      <c r="B1162" s="1019" t="s">
        <v>140</v>
      </c>
      <c r="C1162" s="1020" t="s">
        <v>1035</v>
      </c>
      <c r="D1162" s="1020" t="s">
        <v>1043</v>
      </c>
      <c r="E1162" s="1020" t="s">
        <v>565</v>
      </c>
      <c r="F1162" s="1020">
        <v>2021.0</v>
      </c>
      <c r="G1162" s="1021">
        <v>8.73E-6</v>
      </c>
      <c r="H1162" s="1021">
        <v>7.6E-7</v>
      </c>
      <c r="I1162" s="1022">
        <v>2.35E-5</v>
      </c>
      <c r="K1162" s="1031" t="s">
        <v>126</v>
      </c>
      <c r="L1162" s="1032" t="s">
        <v>552</v>
      </c>
      <c r="M1162" s="1032" t="s">
        <v>1035</v>
      </c>
      <c r="N1162" s="1032" t="s">
        <v>1046</v>
      </c>
      <c r="O1162" s="1032">
        <v>2021.0</v>
      </c>
      <c r="P1162" s="1032" t="s">
        <v>1039</v>
      </c>
      <c r="Q1162" s="1033" t="s">
        <v>63</v>
      </c>
      <c r="R1162" s="1034">
        <v>39.5919197</v>
      </c>
      <c r="S1162" s="1034">
        <v>1.318488409</v>
      </c>
      <c r="T1162" s="1035">
        <v>181.6547284</v>
      </c>
      <c r="AB1162" s="1045"/>
    </row>
    <row r="1163">
      <c r="A1163" s="294"/>
      <c r="B1163" s="1019" t="s">
        <v>140</v>
      </c>
      <c r="C1163" s="1020" t="s">
        <v>1035</v>
      </c>
      <c r="D1163" s="1020" t="s">
        <v>1045</v>
      </c>
      <c r="E1163" s="1020" t="s">
        <v>565</v>
      </c>
      <c r="F1163" s="1020">
        <v>2021.0</v>
      </c>
      <c r="G1163" s="1021">
        <v>7.84E-5</v>
      </c>
      <c r="H1163" s="1021">
        <v>5.61E-6</v>
      </c>
      <c r="I1163" s="1022">
        <v>1.86803E-4</v>
      </c>
      <c r="K1163" s="1031" t="s">
        <v>126</v>
      </c>
      <c r="L1163" s="1032" t="s">
        <v>552</v>
      </c>
      <c r="M1163" s="1032" t="s">
        <v>1035</v>
      </c>
      <c r="N1163" s="1032" t="s">
        <v>1045</v>
      </c>
      <c r="O1163" s="1032">
        <v>2021.0</v>
      </c>
      <c r="P1163" s="1032" t="s">
        <v>1039</v>
      </c>
      <c r="Q1163" s="1033" t="s">
        <v>63</v>
      </c>
      <c r="R1163" s="1034">
        <v>90.01817195</v>
      </c>
      <c r="S1163" s="1034">
        <v>3.024715093</v>
      </c>
      <c r="T1163" s="1035">
        <v>399.6067865</v>
      </c>
      <c r="AB1163" s="1045"/>
    </row>
    <row r="1164">
      <c r="A1164" s="294"/>
      <c r="B1164" s="1019" t="s">
        <v>141</v>
      </c>
      <c r="C1164" s="1020" t="s">
        <v>1035</v>
      </c>
      <c r="D1164" s="1020" t="s">
        <v>1036</v>
      </c>
      <c r="E1164" s="1020" t="s">
        <v>565</v>
      </c>
      <c r="F1164" s="1020">
        <v>2021.0</v>
      </c>
      <c r="G1164" s="1021">
        <v>1.7E-5</v>
      </c>
      <c r="H1164" s="1021">
        <v>2.72E-7</v>
      </c>
      <c r="I1164" s="1022">
        <v>4.4E-5</v>
      </c>
      <c r="K1164" s="1031" t="s">
        <v>114</v>
      </c>
      <c r="L1164" s="1032" t="s">
        <v>552</v>
      </c>
      <c r="M1164" s="1032" t="s">
        <v>1035</v>
      </c>
      <c r="N1164" s="1032" t="s">
        <v>1038</v>
      </c>
      <c r="O1164" s="1032">
        <v>2021.0</v>
      </c>
      <c r="P1164" s="1032" t="s">
        <v>1039</v>
      </c>
      <c r="Q1164" s="1033" t="s">
        <v>63</v>
      </c>
      <c r="R1164" s="1034">
        <v>350.9671778</v>
      </c>
      <c r="S1164" s="1034">
        <v>10.06835519</v>
      </c>
      <c r="T1164" s="1035">
        <v>1499.942126</v>
      </c>
      <c r="AB1164" s="1045"/>
    </row>
    <row r="1165">
      <c r="A1165" s="294"/>
      <c r="B1165" s="1019" t="s">
        <v>141</v>
      </c>
      <c r="C1165" s="1020" t="s">
        <v>1035</v>
      </c>
      <c r="D1165" s="1020" t="s">
        <v>1041</v>
      </c>
      <c r="E1165" s="1020" t="s">
        <v>565</v>
      </c>
      <c r="F1165" s="1020">
        <v>2021.0</v>
      </c>
      <c r="G1165" s="1021">
        <v>4.66E-5</v>
      </c>
      <c r="H1165" s="1021">
        <v>1.04E-6</v>
      </c>
      <c r="I1165" s="1022">
        <v>9.58E-5</v>
      </c>
      <c r="K1165" s="1031" t="s">
        <v>114</v>
      </c>
      <c r="L1165" s="1032" t="s">
        <v>552</v>
      </c>
      <c r="M1165" s="1032" t="s">
        <v>1035</v>
      </c>
      <c r="N1165" s="1032" t="s">
        <v>1042</v>
      </c>
      <c r="O1165" s="1032">
        <v>2021.0</v>
      </c>
      <c r="P1165" s="1032" t="s">
        <v>1039</v>
      </c>
      <c r="Q1165" s="1033" t="s">
        <v>63</v>
      </c>
      <c r="R1165" s="1034">
        <v>0.0</v>
      </c>
      <c r="S1165" s="1034">
        <v>0.0</v>
      </c>
      <c r="T1165" s="1035">
        <v>0.0</v>
      </c>
      <c r="AB1165" s="1045"/>
    </row>
    <row r="1166">
      <c r="A1166" s="294"/>
      <c r="B1166" s="1019" t="s">
        <v>141</v>
      </c>
      <c r="C1166" s="1020" t="s">
        <v>1035</v>
      </c>
      <c r="D1166" s="1020" t="s">
        <v>1043</v>
      </c>
      <c r="E1166" s="1020" t="s">
        <v>565</v>
      </c>
      <c r="F1166" s="1020">
        <v>2021.0</v>
      </c>
      <c r="G1166" s="1021">
        <v>5.24E-6</v>
      </c>
      <c r="H1166" s="1021">
        <v>8.67E-8</v>
      </c>
      <c r="I1166" s="1022">
        <v>1.33E-5</v>
      </c>
      <c r="K1166" s="1031" t="s">
        <v>114</v>
      </c>
      <c r="L1166" s="1032" t="s">
        <v>552</v>
      </c>
      <c r="M1166" s="1032" t="s">
        <v>1035</v>
      </c>
      <c r="N1166" s="1032" t="s">
        <v>1044</v>
      </c>
      <c r="O1166" s="1032">
        <v>2021.0</v>
      </c>
      <c r="P1166" s="1032" t="s">
        <v>1039</v>
      </c>
      <c r="Q1166" s="1033" t="s">
        <v>63</v>
      </c>
      <c r="R1166" s="1034">
        <v>0.0</v>
      </c>
      <c r="S1166" s="1034">
        <v>0.0</v>
      </c>
      <c r="T1166" s="1035">
        <v>0.0</v>
      </c>
      <c r="AB1166" s="1045"/>
    </row>
    <row r="1167">
      <c r="A1167" s="294"/>
      <c r="B1167" s="1019" t="s">
        <v>141</v>
      </c>
      <c r="C1167" s="1020" t="s">
        <v>1035</v>
      </c>
      <c r="D1167" s="1020" t="s">
        <v>1045</v>
      </c>
      <c r="E1167" s="1020" t="s">
        <v>565</v>
      </c>
      <c r="F1167" s="1020">
        <v>2021.0</v>
      </c>
      <c r="G1167" s="1021">
        <v>6.53E-5</v>
      </c>
      <c r="H1167" s="1021">
        <v>1.09E-6</v>
      </c>
      <c r="I1167" s="1022">
        <v>1.63623E-4</v>
      </c>
      <c r="K1167" s="1031" t="s">
        <v>114</v>
      </c>
      <c r="L1167" s="1032" t="s">
        <v>552</v>
      </c>
      <c r="M1167" s="1032" t="s">
        <v>1035</v>
      </c>
      <c r="N1167" s="1032" t="s">
        <v>1046</v>
      </c>
      <c r="O1167" s="1032">
        <v>2021.0</v>
      </c>
      <c r="P1167" s="1032" t="s">
        <v>1039</v>
      </c>
      <c r="Q1167" s="1033" t="s">
        <v>63</v>
      </c>
      <c r="R1167" s="1034">
        <v>189.8339379</v>
      </c>
      <c r="S1167" s="1034">
        <v>4.837939337</v>
      </c>
      <c r="T1167" s="1035">
        <v>820.4514126</v>
      </c>
      <c r="AB1167" s="1045"/>
    </row>
    <row r="1168">
      <c r="A1168" s="294"/>
      <c r="B1168" s="1019" t="s">
        <v>142</v>
      </c>
      <c r="C1168" s="1020" t="s">
        <v>1035</v>
      </c>
      <c r="D1168" s="1020" t="s">
        <v>1036</v>
      </c>
      <c r="E1168" s="1020" t="s">
        <v>565</v>
      </c>
      <c r="F1168" s="1020">
        <v>2021.0</v>
      </c>
      <c r="G1168" s="1021">
        <v>4.11E-5</v>
      </c>
      <c r="H1168" s="1021">
        <v>8.2E-6</v>
      </c>
      <c r="I1168" s="1022">
        <v>9.47E-5</v>
      </c>
      <c r="K1168" s="1031" t="s">
        <v>114</v>
      </c>
      <c r="L1168" s="1032" t="s">
        <v>552</v>
      </c>
      <c r="M1168" s="1032" t="s">
        <v>1035</v>
      </c>
      <c r="N1168" s="1032" t="s">
        <v>1045</v>
      </c>
      <c r="O1168" s="1032">
        <v>2021.0</v>
      </c>
      <c r="P1168" s="1032" t="s">
        <v>1039</v>
      </c>
      <c r="Q1168" s="1033" t="s">
        <v>63</v>
      </c>
      <c r="R1168" s="1034">
        <v>540.8011157</v>
      </c>
      <c r="S1168" s="1034">
        <v>16.08417505</v>
      </c>
      <c r="T1168" s="1035">
        <v>2337.787751</v>
      </c>
      <c r="AB1168" s="1045"/>
    </row>
    <row r="1169">
      <c r="A1169" s="294"/>
      <c r="B1169" s="1019" t="s">
        <v>142</v>
      </c>
      <c r="C1169" s="1020" t="s">
        <v>1035</v>
      </c>
      <c r="D1169" s="1020" t="s">
        <v>1041</v>
      </c>
      <c r="E1169" s="1020" t="s">
        <v>565</v>
      </c>
      <c r="F1169" s="1020">
        <v>2021.0</v>
      </c>
      <c r="G1169" s="1021">
        <v>1.11902E-4</v>
      </c>
      <c r="H1169" s="1021">
        <v>2.51E-5</v>
      </c>
      <c r="I1169" s="1022">
        <v>2.79189E-4</v>
      </c>
      <c r="K1169" s="1031" t="s">
        <v>127</v>
      </c>
      <c r="L1169" s="1032" t="s">
        <v>552</v>
      </c>
      <c r="M1169" s="1032" t="s">
        <v>1035</v>
      </c>
      <c r="N1169" s="1032" t="s">
        <v>1038</v>
      </c>
      <c r="O1169" s="1032">
        <v>2021.0</v>
      </c>
      <c r="P1169" s="1032" t="s">
        <v>1039</v>
      </c>
      <c r="Q1169" s="1033" t="s">
        <v>63</v>
      </c>
      <c r="R1169" s="1034">
        <v>10.99773731</v>
      </c>
      <c r="S1169" s="1034">
        <v>0.499230691</v>
      </c>
      <c r="T1169" s="1035">
        <v>46.21240598</v>
      </c>
      <c r="AB1169" s="1045"/>
    </row>
    <row r="1170">
      <c r="A1170" s="294"/>
      <c r="B1170" s="1019" t="s">
        <v>142</v>
      </c>
      <c r="C1170" s="1020" t="s">
        <v>1035</v>
      </c>
      <c r="D1170" s="1020" t="s">
        <v>1043</v>
      </c>
      <c r="E1170" s="1020" t="s">
        <v>565</v>
      </c>
      <c r="F1170" s="1020">
        <v>2021.0</v>
      </c>
      <c r="G1170" s="1021">
        <v>1.32E-5</v>
      </c>
      <c r="H1170" s="1021">
        <v>2.81E-6</v>
      </c>
      <c r="I1170" s="1022">
        <v>3.27E-5</v>
      </c>
      <c r="K1170" s="1031" t="s">
        <v>127</v>
      </c>
      <c r="L1170" s="1032" t="s">
        <v>552</v>
      </c>
      <c r="M1170" s="1032" t="s">
        <v>1035</v>
      </c>
      <c r="N1170" s="1032" t="s">
        <v>1042</v>
      </c>
      <c r="O1170" s="1032">
        <v>2021.0</v>
      </c>
      <c r="P1170" s="1032" t="s">
        <v>1039</v>
      </c>
      <c r="Q1170" s="1033" t="s">
        <v>63</v>
      </c>
      <c r="R1170" s="1034">
        <v>0.0</v>
      </c>
      <c r="S1170" s="1034">
        <v>0.0</v>
      </c>
      <c r="T1170" s="1035">
        <v>0.0</v>
      </c>
      <c r="AB1170" s="1045"/>
    </row>
    <row r="1171">
      <c r="A1171" s="294"/>
      <c r="B1171" s="1019" t="s">
        <v>142</v>
      </c>
      <c r="C1171" s="1020" t="s">
        <v>1035</v>
      </c>
      <c r="D1171" s="1020" t="s">
        <v>1045</v>
      </c>
      <c r="E1171" s="1020" t="s">
        <v>565</v>
      </c>
      <c r="F1171" s="1020">
        <v>2021.0</v>
      </c>
      <c r="G1171" s="1021">
        <v>9.15E-5</v>
      </c>
      <c r="H1171" s="1021">
        <v>1.44E-5</v>
      </c>
      <c r="I1171" s="1022">
        <v>2.03234E-4</v>
      </c>
      <c r="K1171" s="1031" t="s">
        <v>127</v>
      </c>
      <c r="L1171" s="1032" t="s">
        <v>552</v>
      </c>
      <c r="M1171" s="1032" t="s">
        <v>1035</v>
      </c>
      <c r="N1171" s="1032" t="s">
        <v>1044</v>
      </c>
      <c r="O1171" s="1032">
        <v>2021.0</v>
      </c>
      <c r="P1171" s="1032" t="s">
        <v>1039</v>
      </c>
      <c r="Q1171" s="1033" t="s">
        <v>63</v>
      </c>
      <c r="R1171" s="1034">
        <v>0.0</v>
      </c>
      <c r="S1171" s="1034">
        <v>0.0</v>
      </c>
      <c r="T1171" s="1035">
        <v>0.0</v>
      </c>
      <c r="AB1171" s="1045"/>
    </row>
    <row r="1172">
      <c r="A1172" s="294"/>
      <c r="B1172" s="1019" t="s">
        <v>143</v>
      </c>
      <c r="C1172" s="1020" t="s">
        <v>1035</v>
      </c>
      <c r="D1172" s="1020" t="s">
        <v>1036</v>
      </c>
      <c r="E1172" s="1020" t="s">
        <v>565</v>
      </c>
      <c r="F1172" s="1020">
        <v>2021.0</v>
      </c>
      <c r="G1172" s="1021">
        <v>7.03E-5</v>
      </c>
      <c r="H1172" s="1021">
        <v>2.2E-5</v>
      </c>
      <c r="I1172" s="1022">
        <v>1.87172E-4</v>
      </c>
      <c r="K1172" s="1031" t="s">
        <v>127</v>
      </c>
      <c r="L1172" s="1032" t="s">
        <v>552</v>
      </c>
      <c r="M1172" s="1032" t="s">
        <v>1035</v>
      </c>
      <c r="N1172" s="1032" t="s">
        <v>1046</v>
      </c>
      <c r="O1172" s="1032">
        <v>2021.0</v>
      </c>
      <c r="P1172" s="1032" t="s">
        <v>1039</v>
      </c>
      <c r="Q1172" s="1033" t="s">
        <v>63</v>
      </c>
      <c r="R1172" s="1034">
        <v>6.177657033</v>
      </c>
      <c r="S1172" s="1034">
        <v>0.2574037</v>
      </c>
      <c r="T1172" s="1035">
        <v>27.06835068</v>
      </c>
      <c r="AB1172" s="1045"/>
    </row>
    <row r="1173">
      <c r="A1173" s="294"/>
      <c r="B1173" s="1019" t="s">
        <v>143</v>
      </c>
      <c r="C1173" s="1020" t="s">
        <v>1035</v>
      </c>
      <c r="D1173" s="1020" t="s">
        <v>1041</v>
      </c>
      <c r="E1173" s="1020" t="s">
        <v>565</v>
      </c>
      <c r="F1173" s="1020">
        <v>2021.0</v>
      </c>
      <c r="G1173" s="1021">
        <v>2.13765E-4</v>
      </c>
      <c r="H1173" s="1021">
        <v>7.84E-5</v>
      </c>
      <c r="I1173" s="1022">
        <v>5.81136E-4</v>
      </c>
      <c r="K1173" s="1031" t="s">
        <v>127</v>
      </c>
      <c r="L1173" s="1032" t="s">
        <v>552</v>
      </c>
      <c r="M1173" s="1032" t="s">
        <v>1035</v>
      </c>
      <c r="N1173" s="1032" t="s">
        <v>1045</v>
      </c>
      <c r="O1173" s="1032">
        <v>2021.0</v>
      </c>
      <c r="P1173" s="1032" t="s">
        <v>1039</v>
      </c>
      <c r="Q1173" s="1033" t="s">
        <v>63</v>
      </c>
      <c r="R1173" s="1034">
        <v>17.17539435</v>
      </c>
      <c r="S1173" s="1034">
        <v>0.738742192</v>
      </c>
      <c r="T1173" s="1035">
        <v>72.17529708</v>
      </c>
      <c r="AB1173" s="1045"/>
    </row>
    <row r="1174">
      <c r="A1174" s="294"/>
      <c r="B1174" s="1019" t="s">
        <v>143</v>
      </c>
      <c r="C1174" s="1020" t="s">
        <v>1035</v>
      </c>
      <c r="D1174" s="1020" t="s">
        <v>1043</v>
      </c>
      <c r="E1174" s="1020" t="s">
        <v>565</v>
      </c>
      <c r="F1174" s="1020">
        <v>2021.0</v>
      </c>
      <c r="G1174" s="1021">
        <v>2.49E-5</v>
      </c>
      <c r="H1174" s="1021">
        <v>7.21E-6</v>
      </c>
      <c r="I1174" s="1022">
        <v>7.39E-5</v>
      </c>
      <c r="K1174" s="1031" t="s">
        <v>128</v>
      </c>
      <c r="L1174" s="1032" t="s">
        <v>552</v>
      </c>
      <c r="M1174" s="1032" t="s">
        <v>1035</v>
      </c>
      <c r="N1174" s="1032" t="s">
        <v>1038</v>
      </c>
      <c r="O1174" s="1032">
        <v>2021.0</v>
      </c>
      <c r="P1174" s="1032" t="s">
        <v>1039</v>
      </c>
      <c r="Q1174" s="1033" t="s">
        <v>63</v>
      </c>
      <c r="R1174" s="1034">
        <v>106.7131555</v>
      </c>
      <c r="S1174" s="1034">
        <v>3.980782794</v>
      </c>
      <c r="T1174" s="1035">
        <v>453.3614593</v>
      </c>
      <c r="AB1174" s="1045"/>
    </row>
    <row r="1175">
      <c r="A1175" s="294"/>
      <c r="B1175" s="1019" t="s">
        <v>143</v>
      </c>
      <c r="C1175" s="1020" t="s">
        <v>1035</v>
      </c>
      <c r="D1175" s="1020" t="s">
        <v>1045</v>
      </c>
      <c r="E1175" s="1020" t="s">
        <v>565</v>
      </c>
      <c r="F1175" s="1020">
        <v>2021.0</v>
      </c>
      <c r="G1175" s="1021">
        <v>1.20712E-4</v>
      </c>
      <c r="H1175" s="1021">
        <v>4.17E-5</v>
      </c>
      <c r="I1175" s="1022">
        <v>3.0071E-4</v>
      </c>
      <c r="K1175" s="1031" t="s">
        <v>128</v>
      </c>
      <c r="L1175" s="1032" t="s">
        <v>552</v>
      </c>
      <c r="M1175" s="1032" t="s">
        <v>1035</v>
      </c>
      <c r="N1175" s="1032" t="s">
        <v>1042</v>
      </c>
      <c r="O1175" s="1032">
        <v>2021.0</v>
      </c>
      <c r="P1175" s="1032" t="s">
        <v>1039</v>
      </c>
      <c r="Q1175" s="1033" t="s">
        <v>63</v>
      </c>
      <c r="R1175" s="1034">
        <v>0.0</v>
      </c>
      <c r="S1175" s="1034">
        <v>0.0</v>
      </c>
      <c r="T1175" s="1035">
        <v>0.0</v>
      </c>
      <c r="AB1175" s="1045"/>
    </row>
    <row r="1176">
      <c r="A1176" s="294"/>
      <c r="B1176" s="1019" t="s">
        <v>109</v>
      </c>
      <c r="C1176" s="1020" t="s">
        <v>1035</v>
      </c>
      <c r="D1176" s="1020" t="s">
        <v>1036</v>
      </c>
      <c r="E1176" s="1020" t="s">
        <v>565</v>
      </c>
      <c r="F1176" s="1020">
        <v>2021.0</v>
      </c>
      <c r="G1176" s="1021">
        <v>4.93E-5</v>
      </c>
      <c r="H1176" s="1021">
        <v>1.87E-5</v>
      </c>
      <c r="I1176" s="1022">
        <v>1.16613E-4</v>
      </c>
      <c r="K1176" s="1031" t="s">
        <v>128</v>
      </c>
      <c r="L1176" s="1032" t="s">
        <v>552</v>
      </c>
      <c r="M1176" s="1032" t="s">
        <v>1035</v>
      </c>
      <c r="N1176" s="1032" t="s">
        <v>1044</v>
      </c>
      <c r="O1176" s="1032">
        <v>2021.0</v>
      </c>
      <c r="P1176" s="1032" t="s">
        <v>1039</v>
      </c>
      <c r="Q1176" s="1033" t="s">
        <v>63</v>
      </c>
      <c r="R1176" s="1034">
        <v>0.0</v>
      </c>
      <c r="S1176" s="1034">
        <v>0.0</v>
      </c>
      <c r="T1176" s="1035">
        <v>0.0</v>
      </c>
      <c r="AB1176" s="1045"/>
    </row>
    <row r="1177">
      <c r="A1177" s="294"/>
      <c r="B1177" s="1019" t="s">
        <v>109</v>
      </c>
      <c r="C1177" s="1020" t="s">
        <v>1035</v>
      </c>
      <c r="D1177" s="1020" t="s">
        <v>1041</v>
      </c>
      <c r="E1177" s="1020" t="s">
        <v>565</v>
      </c>
      <c r="F1177" s="1020">
        <v>2021.0</v>
      </c>
      <c r="G1177" s="1021">
        <v>1.51467E-4</v>
      </c>
      <c r="H1177" s="1021">
        <v>6.26E-5</v>
      </c>
      <c r="I1177" s="1022">
        <v>3.37462E-4</v>
      </c>
      <c r="K1177" s="1031" t="s">
        <v>128</v>
      </c>
      <c r="L1177" s="1032" t="s">
        <v>552</v>
      </c>
      <c r="M1177" s="1032" t="s">
        <v>1035</v>
      </c>
      <c r="N1177" s="1032" t="s">
        <v>1046</v>
      </c>
      <c r="O1177" s="1032">
        <v>2021.0</v>
      </c>
      <c r="P1177" s="1032" t="s">
        <v>1039</v>
      </c>
      <c r="Q1177" s="1033" t="s">
        <v>63</v>
      </c>
      <c r="R1177" s="1034">
        <v>83.11093737</v>
      </c>
      <c r="S1177" s="1034">
        <v>2.828413291</v>
      </c>
      <c r="T1177" s="1035">
        <v>378.3777065</v>
      </c>
      <c r="AB1177" s="1045"/>
    </row>
    <row r="1178">
      <c r="A1178" s="294"/>
      <c r="B1178" s="1019" t="s">
        <v>109</v>
      </c>
      <c r="C1178" s="1020" t="s">
        <v>1035</v>
      </c>
      <c r="D1178" s="1020" t="s">
        <v>1043</v>
      </c>
      <c r="E1178" s="1020" t="s">
        <v>565</v>
      </c>
      <c r="F1178" s="1020">
        <v>2021.0</v>
      </c>
      <c r="G1178" s="1021">
        <v>2.23E-5</v>
      </c>
      <c r="H1178" s="1021">
        <v>7.71E-6</v>
      </c>
      <c r="I1178" s="1022">
        <v>5.44E-5</v>
      </c>
      <c r="K1178" s="1031" t="s">
        <v>128</v>
      </c>
      <c r="L1178" s="1032" t="s">
        <v>552</v>
      </c>
      <c r="M1178" s="1032" t="s">
        <v>1035</v>
      </c>
      <c r="N1178" s="1032" t="s">
        <v>1045</v>
      </c>
      <c r="O1178" s="1032">
        <v>2021.0</v>
      </c>
      <c r="P1178" s="1032" t="s">
        <v>1039</v>
      </c>
      <c r="Q1178" s="1033" t="s">
        <v>63</v>
      </c>
      <c r="R1178" s="1034">
        <v>189.8240928</v>
      </c>
      <c r="S1178" s="1034">
        <v>6.820745659</v>
      </c>
      <c r="T1178" s="1035">
        <v>836.6790921</v>
      </c>
      <c r="AB1178" s="1045"/>
    </row>
    <row r="1179">
      <c r="A1179" s="294"/>
      <c r="B1179" s="1019" t="s">
        <v>109</v>
      </c>
      <c r="C1179" s="1020" t="s">
        <v>1035</v>
      </c>
      <c r="D1179" s="1020" t="s">
        <v>1045</v>
      </c>
      <c r="E1179" s="1020" t="s">
        <v>565</v>
      </c>
      <c r="F1179" s="1020">
        <v>2021.0</v>
      </c>
      <c r="G1179" s="1021">
        <v>1.24273E-4</v>
      </c>
      <c r="H1179" s="1021">
        <v>6.36E-5</v>
      </c>
      <c r="I1179" s="1022">
        <v>2.90628E-4</v>
      </c>
      <c r="K1179" s="1031" t="s">
        <v>129</v>
      </c>
      <c r="L1179" s="1032" t="s">
        <v>552</v>
      </c>
      <c r="M1179" s="1032" t="s">
        <v>1035</v>
      </c>
      <c r="N1179" s="1032" t="s">
        <v>1038</v>
      </c>
      <c r="O1179" s="1032">
        <v>2021.0</v>
      </c>
      <c r="P1179" s="1032" t="s">
        <v>1039</v>
      </c>
      <c r="Q1179" s="1033" t="s">
        <v>63</v>
      </c>
      <c r="R1179" s="1034">
        <v>98.57984436</v>
      </c>
      <c r="S1179" s="1034">
        <v>3.37442262</v>
      </c>
      <c r="T1179" s="1035">
        <v>404.7792763</v>
      </c>
      <c r="AB1179" s="1045"/>
    </row>
    <row r="1180">
      <c r="A1180" s="294"/>
      <c r="B1180" s="1019" t="s">
        <v>146</v>
      </c>
      <c r="C1180" s="1020" t="s">
        <v>1035</v>
      </c>
      <c r="D1180" s="1020" t="s">
        <v>1036</v>
      </c>
      <c r="E1180" s="1020" t="s">
        <v>565</v>
      </c>
      <c r="F1180" s="1020">
        <v>2021.0</v>
      </c>
      <c r="G1180" s="1021">
        <v>3.94E-5</v>
      </c>
      <c r="H1180" s="1021">
        <v>2.99E-6</v>
      </c>
      <c r="I1180" s="1022">
        <v>1.0969E-4</v>
      </c>
      <c r="K1180" s="1031" t="s">
        <v>129</v>
      </c>
      <c r="L1180" s="1032" t="s">
        <v>552</v>
      </c>
      <c r="M1180" s="1032" t="s">
        <v>1035</v>
      </c>
      <c r="N1180" s="1032" t="s">
        <v>1042</v>
      </c>
      <c r="O1180" s="1032">
        <v>2021.0</v>
      </c>
      <c r="P1180" s="1032" t="s">
        <v>1039</v>
      </c>
      <c r="Q1180" s="1033" t="s">
        <v>63</v>
      </c>
      <c r="R1180" s="1034">
        <v>0.0</v>
      </c>
      <c r="S1180" s="1034">
        <v>0.0</v>
      </c>
      <c r="T1180" s="1035">
        <v>0.0</v>
      </c>
      <c r="AB1180" s="1045"/>
    </row>
    <row r="1181">
      <c r="A1181" s="294"/>
      <c r="B1181" s="1019" t="s">
        <v>146</v>
      </c>
      <c r="C1181" s="1020" t="s">
        <v>1035</v>
      </c>
      <c r="D1181" s="1020" t="s">
        <v>1041</v>
      </c>
      <c r="E1181" s="1020" t="s">
        <v>565</v>
      </c>
      <c r="F1181" s="1020">
        <v>2021.0</v>
      </c>
      <c r="G1181" s="1021">
        <v>1.30887E-4</v>
      </c>
      <c r="H1181" s="1021">
        <v>1.33E-5</v>
      </c>
      <c r="I1181" s="1022">
        <v>3.36952E-4</v>
      </c>
      <c r="K1181" s="1031" t="s">
        <v>129</v>
      </c>
      <c r="L1181" s="1032" t="s">
        <v>552</v>
      </c>
      <c r="M1181" s="1032" t="s">
        <v>1035</v>
      </c>
      <c r="N1181" s="1032" t="s">
        <v>1044</v>
      </c>
      <c r="O1181" s="1032">
        <v>2021.0</v>
      </c>
      <c r="P1181" s="1032" t="s">
        <v>1039</v>
      </c>
      <c r="Q1181" s="1033" t="s">
        <v>63</v>
      </c>
      <c r="R1181" s="1034">
        <v>0.0</v>
      </c>
      <c r="S1181" s="1034">
        <v>0.0</v>
      </c>
      <c r="T1181" s="1035">
        <v>0.0</v>
      </c>
      <c r="AB1181" s="1045"/>
    </row>
    <row r="1182">
      <c r="A1182" s="294"/>
      <c r="B1182" s="1019" t="s">
        <v>146</v>
      </c>
      <c r="C1182" s="1020" t="s">
        <v>1035</v>
      </c>
      <c r="D1182" s="1020" t="s">
        <v>1043</v>
      </c>
      <c r="E1182" s="1020" t="s">
        <v>565</v>
      </c>
      <c r="F1182" s="1020">
        <v>2021.0</v>
      </c>
      <c r="G1182" s="1021">
        <v>1.05E-5</v>
      </c>
      <c r="H1182" s="1021">
        <v>8.07E-7</v>
      </c>
      <c r="I1182" s="1022">
        <v>3.02E-5</v>
      </c>
      <c r="K1182" s="1031" t="s">
        <v>129</v>
      </c>
      <c r="L1182" s="1032" t="s">
        <v>552</v>
      </c>
      <c r="M1182" s="1032" t="s">
        <v>1035</v>
      </c>
      <c r="N1182" s="1032" t="s">
        <v>1046</v>
      </c>
      <c r="O1182" s="1032">
        <v>2021.0</v>
      </c>
      <c r="P1182" s="1032" t="s">
        <v>1039</v>
      </c>
      <c r="Q1182" s="1033" t="s">
        <v>63</v>
      </c>
      <c r="R1182" s="1034">
        <v>67.36193672</v>
      </c>
      <c r="S1182" s="1034">
        <v>2.301578196</v>
      </c>
      <c r="T1182" s="1035">
        <v>298.1403383</v>
      </c>
      <c r="AB1182" s="1045"/>
    </row>
    <row r="1183">
      <c r="A1183" s="294"/>
      <c r="B1183" s="1019" t="s">
        <v>146</v>
      </c>
      <c r="C1183" s="1020" t="s">
        <v>1035</v>
      </c>
      <c r="D1183" s="1020" t="s">
        <v>1045</v>
      </c>
      <c r="E1183" s="1020" t="s">
        <v>565</v>
      </c>
      <c r="F1183" s="1020">
        <v>2021.0</v>
      </c>
      <c r="G1183" s="1021">
        <v>9.74E-5</v>
      </c>
      <c r="H1183" s="1021">
        <v>6.23E-6</v>
      </c>
      <c r="I1183" s="1022">
        <v>2.33567E-4</v>
      </c>
      <c r="K1183" s="1031" t="s">
        <v>129</v>
      </c>
      <c r="L1183" s="1032" t="s">
        <v>552</v>
      </c>
      <c r="M1183" s="1032" t="s">
        <v>1035</v>
      </c>
      <c r="N1183" s="1032" t="s">
        <v>1045</v>
      </c>
      <c r="O1183" s="1032">
        <v>2021.0</v>
      </c>
      <c r="P1183" s="1032" t="s">
        <v>1039</v>
      </c>
      <c r="Q1183" s="1033" t="s">
        <v>63</v>
      </c>
      <c r="R1183" s="1034">
        <v>165.9417811</v>
      </c>
      <c r="S1183" s="1034">
        <v>5.772622741</v>
      </c>
      <c r="T1183" s="1035">
        <v>717.6453193</v>
      </c>
      <c r="AB1183" s="1045"/>
    </row>
    <row r="1184">
      <c r="A1184" s="294"/>
      <c r="B1184" s="1019" t="s">
        <v>147</v>
      </c>
      <c r="C1184" s="1020" t="s">
        <v>1035</v>
      </c>
      <c r="D1184" s="1020" t="s">
        <v>1036</v>
      </c>
      <c r="E1184" s="1020" t="s">
        <v>565</v>
      </c>
      <c r="F1184" s="1020">
        <v>2021.0</v>
      </c>
      <c r="G1184" s="1021">
        <v>2.99E-5</v>
      </c>
      <c r="H1184" s="1021">
        <v>1.36E-6</v>
      </c>
      <c r="I1184" s="1022">
        <v>7.45E-5</v>
      </c>
      <c r="K1184" s="1031" t="s">
        <v>130</v>
      </c>
      <c r="L1184" s="1032" t="s">
        <v>552</v>
      </c>
      <c r="M1184" s="1032" t="s">
        <v>1035</v>
      </c>
      <c r="N1184" s="1032" t="s">
        <v>1038</v>
      </c>
      <c r="O1184" s="1032">
        <v>2021.0</v>
      </c>
      <c r="P1184" s="1032" t="s">
        <v>1039</v>
      </c>
      <c r="Q1184" s="1033" t="s">
        <v>63</v>
      </c>
      <c r="R1184" s="1034">
        <v>16.69232589</v>
      </c>
      <c r="S1184" s="1034">
        <v>0.525912217</v>
      </c>
      <c r="T1184" s="1035">
        <v>78.45420982</v>
      </c>
      <c r="AB1184" s="1045"/>
    </row>
    <row r="1185">
      <c r="A1185" s="294"/>
      <c r="B1185" s="1019" t="s">
        <v>147</v>
      </c>
      <c r="C1185" s="1020" t="s">
        <v>1035</v>
      </c>
      <c r="D1185" s="1020" t="s">
        <v>1041</v>
      </c>
      <c r="E1185" s="1020" t="s">
        <v>565</v>
      </c>
      <c r="F1185" s="1020">
        <v>2021.0</v>
      </c>
      <c r="G1185" s="1021">
        <v>1.03803E-4</v>
      </c>
      <c r="H1185" s="1021">
        <v>7.09E-6</v>
      </c>
      <c r="I1185" s="1022">
        <v>2.73579E-4</v>
      </c>
      <c r="K1185" s="1031" t="s">
        <v>130</v>
      </c>
      <c r="L1185" s="1032" t="s">
        <v>552</v>
      </c>
      <c r="M1185" s="1032" t="s">
        <v>1035</v>
      </c>
      <c r="N1185" s="1032" t="s">
        <v>1042</v>
      </c>
      <c r="O1185" s="1032">
        <v>2021.0</v>
      </c>
      <c r="P1185" s="1032" t="s">
        <v>1039</v>
      </c>
      <c r="Q1185" s="1033" t="s">
        <v>63</v>
      </c>
      <c r="R1185" s="1034">
        <v>0.0</v>
      </c>
      <c r="S1185" s="1034">
        <v>0.0</v>
      </c>
      <c r="T1185" s="1035">
        <v>0.0</v>
      </c>
      <c r="AB1185" s="1045"/>
    </row>
    <row r="1186">
      <c r="A1186" s="294"/>
      <c r="B1186" s="1019" t="s">
        <v>147</v>
      </c>
      <c r="C1186" s="1020" t="s">
        <v>1035</v>
      </c>
      <c r="D1186" s="1020" t="s">
        <v>1043</v>
      </c>
      <c r="E1186" s="1020" t="s">
        <v>565</v>
      </c>
      <c r="F1186" s="1020">
        <v>2021.0</v>
      </c>
      <c r="G1186" s="1021">
        <v>9.4E-6</v>
      </c>
      <c r="H1186" s="1021">
        <v>4.58E-7</v>
      </c>
      <c r="I1186" s="1022">
        <v>2.42E-5</v>
      </c>
      <c r="K1186" s="1031" t="s">
        <v>130</v>
      </c>
      <c r="L1186" s="1032" t="s">
        <v>552</v>
      </c>
      <c r="M1186" s="1032" t="s">
        <v>1035</v>
      </c>
      <c r="N1186" s="1032" t="s">
        <v>1044</v>
      </c>
      <c r="O1186" s="1032">
        <v>2021.0</v>
      </c>
      <c r="P1186" s="1032" t="s">
        <v>1039</v>
      </c>
      <c r="Q1186" s="1033" t="s">
        <v>63</v>
      </c>
      <c r="R1186" s="1034">
        <v>0.0</v>
      </c>
      <c r="S1186" s="1034">
        <v>0.0</v>
      </c>
      <c r="T1186" s="1035">
        <v>0.0</v>
      </c>
      <c r="AB1186" s="1045"/>
    </row>
    <row r="1187">
      <c r="A1187" s="294"/>
      <c r="B1187" s="1019" t="s">
        <v>147</v>
      </c>
      <c r="C1187" s="1020" t="s">
        <v>1035</v>
      </c>
      <c r="D1187" s="1020" t="s">
        <v>1045</v>
      </c>
      <c r="E1187" s="1020" t="s">
        <v>565</v>
      </c>
      <c r="F1187" s="1020">
        <v>2021.0</v>
      </c>
      <c r="G1187" s="1021">
        <v>7.27E-5</v>
      </c>
      <c r="H1187" s="1021">
        <v>3.27E-6</v>
      </c>
      <c r="I1187" s="1022">
        <v>1.75541E-4</v>
      </c>
      <c r="K1187" s="1031" t="s">
        <v>130</v>
      </c>
      <c r="L1187" s="1032" t="s">
        <v>552</v>
      </c>
      <c r="M1187" s="1032" t="s">
        <v>1035</v>
      </c>
      <c r="N1187" s="1032" t="s">
        <v>1046</v>
      </c>
      <c r="O1187" s="1032">
        <v>2021.0</v>
      </c>
      <c r="P1187" s="1032" t="s">
        <v>1039</v>
      </c>
      <c r="Q1187" s="1033" t="s">
        <v>63</v>
      </c>
      <c r="R1187" s="1034">
        <v>10.73802738</v>
      </c>
      <c r="S1187" s="1034">
        <v>0.33601884</v>
      </c>
      <c r="T1187" s="1035">
        <v>50.43807225</v>
      </c>
      <c r="AB1187" s="1045"/>
    </row>
    <row r="1188">
      <c r="A1188" s="294"/>
      <c r="B1188" s="1019" t="s">
        <v>148</v>
      </c>
      <c r="C1188" s="1020" t="s">
        <v>1035</v>
      </c>
      <c r="D1188" s="1020" t="s">
        <v>1036</v>
      </c>
      <c r="E1188" s="1020" t="s">
        <v>565</v>
      </c>
      <c r="F1188" s="1020">
        <v>2021.0</v>
      </c>
      <c r="G1188" s="1021">
        <v>1.99E-5</v>
      </c>
      <c r="H1188" s="1021">
        <v>4.7E-7</v>
      </c>
      <c r="I1188" s="1022">
        <v>4.6E-5</v>
      </c>
      <c r="K1188" s="1031" t="s">
        <v>130</v>
      </c>
      <c r="L1188" s="1032" t="s">
        <v>552</v>
      </c>
      <c r="M1188" s="1032" t="s">
        <v>1035</v>
      </c>
      <c r="N1188" s="1032" t="s">
        <v>1045</v>
      </c>
      <c r="O1188" s="1032">
        <v>2021.0</v>
      </c>
      <c r="P1188" s="1032" t="s">
        <v>1039</v>
      </c>
      <c r="Q1188" s="1033" t="s">
        <v>63</v>
      </c>
      <c r="R1188" s="1034">
        <v>27.43035327</v>
      </c>
      <c r="S1188" s="1034">
        <v>0.877928338</v>
      </c>
      <c r="T1188" s="1035">
        <v>125.7770025</v>
      </c>
      <c r="AB1188" s="1045"/>
    </row>
    <row r="1189">
      <c r="A1189" s="294"/>
      <c r="B1189" s="1019" t="s">
        <v>148</v>
      </c>
      <c r="C1189" s="1020" t="s">
        <v>1035</v>
      </c>
      <c r="D1189" s="1020" t="s">
        <v>1041</v>
      </c>
      <c r="E1189" s="1020" t="s">
        <v>565</v>
      </c>
      <c r="F1189" s="1020">
        <v>2021.0</v>
      </c>
      <c r="G1189" s="1021">
        <v>7.95E-5</v>
      </c>
      <c r="H1189" s="1021">
        <v>2.92E-6</v>
      </c>
      <c r="I1189" s="1022">
        <v>2.19567E-4</v>
      </c>
      <c r="K1189" s="1031" t="s">
        <v>131</v>
      </c>
      <c r="L1189" s="1032" t="s">
        <v>552</v>
      </c>
      <c r="M1189" s="1032" t="s">
        <v>1035</v>
      </c>
      <c r="N1189" s="1032" t="s">
        <v>1038</v>
      </c>
      <c r="O1189" s="1032">
        <v>2021.0</v>
      </c>
      <c r="P1189" s="1032" t="s">
        <v>1039</v>
      </c>
      <c r="Q1189" s="1033" t="s">
        <v>63</v>
      </c>
      <c r="R1189" s="1034">
        <v>32.24102431</v>
      </c>
      <c r="S1189" s="1034">
        <v>0.892134165</v>
      </c>
      <c r="T1189" s="1035">
        <v>153.7669175</v>
      </c>
      <c r="AB1189" s="1045"/>
    </row>
    <row r="1190">
      <c r="A1190" s="294"/>
      <c r="B1190" s="1019" t="s">
        <v>148</v>
      </c>
      <c r="C1190" s="1020" t="s">
        <v>1035</v>
      </c>
      <c r="D1190" s="1020" t="s">
        <v>1043</v>
      </c>
      <c r="E1190" s="1020" t="s">
        <v>565</v>
      </c>
      <c r="F1190" s="1020">
        <v>2021.0</v>
      </c>
      <c r="G1190" s="1021">
        <v>5.24E-6</v>
      </c>
      <c r="H1190" s="1021">
        <v>1.27E-7</v>
      </c>
      <c r="I1190" s="1022">
        <v>1.38E-5</v>
      </c>
      <c r="K1190" s="1031" t="s">
        <v>131</v>
      </c>
      <c r="L1190" s="1032" t="s">
        <v>552</v>
      </c>
      <c r="M1190" s="1032" t="s">
        <v>1035</v>
      </c>
      <c r="N1190" s="1032" t="s">
        <v>1042</v>
      </c>
      <c r="O1190" s="1032">
        <v>2021.0</v>
      </c>
      <c r="P1190" s="1032" t="s">
        <v>1039</v>
      </c>
      <c r="Q1190" s="1033" t="s">
        <v>63</v>
      </c>
      <c r="R1190" s="1034">
        <v>0.0</v>
      </c>
      <c r="S1190" s="1034">
        <v>0.0</v>
      </c>
      <c r="T1190" s="1035">
        <v>0.0</v>
      </c>
      <c r="AB1190" s="1045"/>
    </row>
    <row r="1191">
      <c r="A1191" s="294"/>
      <c r="B1191" s="1019" t="s">
        <v>148</v>
      </c>
      <c r="C1191" s="1020" t="s">
        <v>1035</v>
      </c>
      <c r="D1191" s="1020" t="s">
        <v>1045</v>
      </c>
      <c r="E1191" s="1020" t="s">
        <v>565</v>
      </c>
      <c r="F1191" s="1020">
        <v>2021.0</v>
      </c>
      <c r="G1191" s="1021">
        <v>6.5E-5</v>
      </c>
      <c r="H1191" s="1021">
        <v>1.48E-6</v>
      </c>
      <c r="I1191" s="1022">
        <v>1.48969E-4</v>
      </c>
      <c r="K1191" s="1031" t="s">
        <v>131</v>
      </c>
      <c r="L1191" s="1032" t="s">
        <v>552</v>
      </c>
      <c r="M1191" s="1032" t="s">
        <v>1035</v>
      </c>
      <c r="N1191" s="1032" t="s">
        <v>1044</v>
      </c>
      <c r="O1191" s="1032">
        <v>2021.0</v>
      </c>
      <c r="P1191" s="1032" t="s">
        <v>1039</v>
      </c>
      <c r="Q1191" s="1033" t="s">
        <v>63</v>
      </c>
      <c r="R1191" s="1034">
        <v>0.0</v>
      </c>
      <c r="S1191" s="1034">
        <v>0.0</v>
      </c>
      <c r="T1191" s="1035">
        <v>0.0</v>
      </c>
      <c r="AB1191" s="1045"/>
    </row>
    <row r="1192">
      <c r="A1192" s="294"/>
      <c r="B1192" s="1019" t="s">
        <v>149</v>
      </c>
      <c r="C1192" s="1020" t="s">
        <v>1035</v>
      </c>
      <c r="D1192" s="1020" t="s">
        <v>1036</v>
      </c>
      <c r="E1192" s="1020" t="s">
        <v>565</v>
      </c>
      <c r="F1192" s="1020">
        <v>2021.0</v>
      </c>
      <c r="G1192" s="1021">
        <v>3.24E-5</v>
      </c>
      <c r="H1192" s="1021">
        <v>1.35E-6</v>
      </c>
      <c r="I1192" s="1022">
        <v>9.77E-5</v>
      </c>
      <c r="K1192" s="1031" t="s">
        <v>131</v>
      </c>
      <c r="L1192" s="1032" t="s">
        <v>552</v>
      </c>
      <c r="M1192" s="1032" t="s">
        <v>1035</v>
      </c>
      <c r="N1192" s="1032" t="s">
        <v>1046</v>
      </c>
      <c r="O1192" s="1032">
        <v>2021.0</v>
      </c>
      <c r="P1192" s="1032" t="s">
        <v>1039</v>
      </c>
      <c r="Q1192" s="1033" t="s">
        <v>63</v>
      </c>
      <c r="R1192" s="1034">
        <v>23.25069983</v>
      </c>
      <c r="S1192" s="1034">
        <v>0.659017804</v>
      </c>
      <c r="T1192" s="1035">
        <v>107.7587853</v>
      </c>
      <c r="AB1192" s="1045"/>
    </row>
    <row r="1193">
      <c r="A1193" s="294"/>
      <c r="B1193" s="1019" t="s">
        <v>149</v>
      </c>
      <c r="C1193" s="1020" t="s">
        <v>1035</v>
      </c>
      <c r="D1193" s="1020" t="s">
        <v>1041</v>
      </c>
      <c r="E1193" s="1020" t="s">
        <v>565</v>
      </c>
      <c r="F1193" s="1020">
        <v>2021.0</v>
      </c>
      <c r="G1193" s="1021">
        <v>1.03973E-4</v>
      </c>
      <c r="H1193" s="1021">
        <v>6.88E-6</v>
      </c>
      <c r="I1193" s="1022">
        <v>2.66405E-4</v>
      </c>
      <c r="K1193" s="1031" t="s">
        <v>131</v>
      </c>
      <c r="L1193" s="1032" t="s">
        <v>552</v>
      </c>
      <c r="M1193" s="1032" t="s">
        <v>1035</v>
      </c>
      <c r="N1193" s="1032" t="s">
        <v>1045</v>
      </c>
      <c r="O1193" s="1032">
        <v>2021.0</v>
      </c>
      <c r="P1193" s="1032" t="s">
        <v>1039</v>
      </c>
      <c r="Q1193" s="1033" t="s">
        <v>63</v>
      </c>
      <c r="R1193" s="1034">
        <v>55.49172414</v>
      </c>
      <c r="S1193" s="1034">
        <v>1.586917501</v>
      </c>
      <c r="T1193" s="1035">
        <v>259.4588128</v>
      </c>
      <c r="AB1193" s="1045"/>
    </row>
    <row r="1194">
      <c r="A1194" s="294"/>
      <c r="B1194" s="1019" t="s">
        <v>149</v>
      </c>
      <c r="C1194" s="1020" t="s">
        <v>1035</v>
      </c>
      <c r="D1194" s="1020" t="s">
        <v>1043</v>
      </c>
      <c r="E1194" s="1020" t="s">
        <v>565</v>
      </c>
      <c r="F1194" s="1020">
        <v>2021.0</v>
      </c>
      <c r="G1194" s="1021">
        <v>7.28E-6</v>
      </c>
      <c r="H1194" s="1021">
        <v>3.2E-7</v>
      </c>
      <c r="I1194" s="1022">
        <v>2.28E-5</v>
      </c>
      <c r="K1194" s="1031" t="s">
        <v>132</v>
      </c>
      <c r="L1194" s="1032" t="s">
        <v>552</v>
      </c>
      <c r="M1194" s="1032" t="s">
        <v>1035</v>
      </c>
      <c r="N1194" s="1032" t="s">
        <v>1038</v>
      </c>
      <c r="O1194" s="1032">
        <v>2021.0</v>
      </c>
      <c r="P1194" s="1032" t="s">
        <v>1039</v>
      </c>
      <c r="Q1194" s="1033" t="s">
        <v>63</v>
      </c>
      <c r="R1194" s="1034">
        <v>27.0197616</v>
      </c>
      <c r="S1194" s="1034">
        <v>0.961665332</v>
      </c>
      <c r="T1194" s="1035">
        <v>125.2973687</v>
      </c>
      <c r="AB1194" s="1045"/>
    </row>
    <row r="1195">
      <c r="A1195" s="294"/>
      <c r="B1195" s="1019" t="s">
        <v>149</v>
      </c>
      <c r="C1195" s="1020" t="s">
        <v>1035</v>
      </c>
      <c r="D1195" s="1020" t="s">
        <v>1045</v>
      </c>
      <c r="E1195" s="1020" t="s">
        <v>565</v>
      </c>
      <c r="F1195" s="1020">
        <v>2021.0</v>
      </c>
      <c r="G1195" s="1021">
        <v>5.18E-5</v>
      </c>
      <c r="H1195" s="1021">
        <v>2.54E-6</v>
      </c>
      <c r="I1195" s="1022">
        <v>1.29152E-4</v>
      </c>
      <c r="K1195" s="1031" t="s">
        <v>132</v>
      </c>
      <c r="L1195" s="1032" t="s">
        <v>552</v>
      </c>
      <c r="M1195" s="1032" t="s">
        <v>1035</v>
      </c>
      <c r="N1195" s="1032" t="s">
        <v>1042</v>
      </c>
      <c r="O1195" s="1032">
        <v>2021.0</v>
      </c>
      <c r="P1195" s="1032" t="s">
        <v>1039</v>
      </c>
      <c r="Q1195" s="1033" t="s">
        <v>63</v>
      </c>
      <c r="R1195" s="1034">
        <v>0.0</v>
      </c>
      <c r="S1195" s="1034">
        <v>0.0</v>
      </c>
      <c r="T1195" s="1035">
        <v>0.0</v>
      </c>
      <c r="AB1195" s="1045"/>
    </row>
    <row r="1196">
      <c r="A1196" s="294"/>
      <c r="B1196" s="1019" t="s">
        <v>150</v>
      </c>
      <c r="C1196" s="1020" t="s">
        <v>1035</v>
      </c>
      <c r="D1196" s="1020" t="s">
        <v>1036</v>
      </c>
      <c r="E1196" s="1020" t="s">
        <v>565</v>
      </c>
      <c r="F1196" s="1020">
        <v>2021.0</v>
      </c>
      <c r="G1196" s="1021">
        <v>3.64E-5</v>
      </c>
      <c r="H1196" s="1021">
        <v>5.51E-6</v>
      </c>
      <c r="I1196" s="1022">
        <v>7.56E-5</v>
      </c>
      <c r="K1196" s="1031" t="s">
        <v>132</v>
      </c>
      <c r="L1196" s="1032" t="s">
        <v>552</v>
      </c>
      <c r="M1196" s="1032" t="s">
        <v>1035</v>
      </c>
      <c r="N1196" s="1032" t="s">
        <v>1044</v>
      </c>
      <c r="O1196" s="1032">
        <v>2021.0</v>
      </c>
      <c r="P1196" s="1032" t="s">
        <v>1039</v>
      </c>
      <c r="Q1196" s="1033" t="s">
        <v>63</v>
      </c>
      <c r="R1196" s="1034">
        <v>0.0</v>
      </c>
      <c r="S1196" s="1034">
        <v>0.0</v>
      </c>
      <c r="T1196" s="1035">
        <v>0.0</v>
      </c>
      <c r="AB1196" s="1045"/>
    </row>
    <row r="1197">
      <c r="A1197" s="294"/>
      <c r="B1197" s="1019" t="s">
        <v>150</v>
      </c>
      <c r="C1197" s="1020" t="s">
        <v>1035</v>
      </c>
      <c r="D1197" s="1020" t="s">
        <v>1041</v>
      </c>
      <c r="E1197" s="1020" t="s">
        <v>565</v>
      </c>
      <c r="F1197" s="1020">
        <v>2021.0</v>
      </c>
      <c r="G1197" s="1021">
        <v>9.3E-5</v>
      </c>
      <c r="H1197" s="1021">
        <v>1.74E-5</v>
      </c>
      <c r="I1197" s="1022">
        <v>1.91078E-4</v>
      </c>
      <c r="K1197" s="1031" t="s">
        <v>132</v>
      </c>
      <c r="L1197" s="1032" t="s">
        <v>552</v>
      </c>
      <c r="M1197" s="1032" t="s">
        <v>1035</v>
      </c>
      <c r="N1197" s="1032" t="s">
        <v>1046</v>
      </c>
      <c r="O1197" s="1032">
        <v>2021.0</v>
      </c>
      <c r="P1197" s="1032" t="s">
        <v>1039</v>
      </c>
      <c r="Q1197" s="1033" t="s">
        <v>63</v>
      </c>
      <c r="R1197" s="1034">
        <v>21.17100073</v>
      </c>
      <c r="S1197" s="1034">
        <v>0.7081059</v>
      </c>
      <c r="T1197" s="1035">
        <v>100.8130935</v>
      </c>
      <c r="AB1197" s="1045"/>
    </row>
    <row r="1198">
      <c r="A1198" s="294"/>
      <c r="B1198" s="1019" t="s">
        <v>150</v>
      </c>
      <c r="C1198" s="1020" t="s">
        <v>1035</v>
      </c>
      <c r="D1198" s="1020" t="s">
        <v>1043</v>
      </c>
      <c r="E1198" s="1020" t="s">
        <v>565</v>
      </c>
      <c r="F1198" s="1020">
        <v>2021.0</v>
      </c>
      <c r="G1198" s="1021">
        <v>1.07E-5</v>
      </c>
      <c r="H1198" s="1021">
        <v>1.86E-6</v>
      </c>
      <c r="I1198" s="1022">
        <v>2.36E-5</v>
      </c>
      <c r="K1198" s="1031" t="s">
        <v>132</v>
      </c>
      <c r="L1198" s="1032" t="s">
        <v>552</v>
      </c>
      <c r="M1198" s="1032" t="s">
        <v>1035</v>
      </c>
      <c r="N1198" s="1032" t="s">
        <v>1045</v>
      </c>
      <c r="O1198" s="1032">
        <v>2021.0</v>
      </c>
      <c r="P1198" s="1032" t="s">
        <v>1039</v>
      </c>
      <c r="Q1198" s="1033" t="s">
        <v>63</v>
      </c>
      <c r="R1198" s="1034">
        <v>48.19076233</v>
      </c>
      <c r="S1198" s="1034">
        <v>1.67194221</v>
      </c>
      <c r="T1198" s="1035">
        <v>222.4601696</v>
      </c>
      <c r="AB1198" s="1045"/>
    </row>
    <row r="1199">
      <c r="A1199" s="294"/>
      <c r="B1199" s="1019" t="s">
        <v>150</v>
      </c>
      <c r="C1199" s="1020" t="s">
        <v>1035</v>
      </c>
      <c r="D1199" s="1020" t="s">
        <v>1045</v>
      </c>
      <c r="E1199" s="1020" t="s">
        <v>565</v>
      </c>
      <c r="F1199" s="1020">
        <v>2021.0</v>
      </c>
      <c r="G1199" s="1021">
        <v>7.79E-5</v>
      </c>
      <c r="H1199" s="1021">
        <v>8.8E-6</v>
      </c>
      <c r="I1199" s="1022">
        <v>1.89869E-4</v>
      </c>
      <c r="K1199" s="1031" t="s">
        <v>133</v>
      </c>
      <c r="L1199" s="1032" t="s">
        <v>552</v>
      </c>
      <c r="M1199" s="1032" t="s">
        <v>1035</v>
      </c>
      <c r="N1199" s="1032" t="s">
        <v>1038</v>
      </c>
      <c r="O1199" s="1032">
        <v>2021.0</v>
      </c>
      <c r="P1199" s="1032" t="s">
        <v>1039</v>
      </c>
      <c r="Q1199" s="1033" t="s">
        <v>63</v>
      </c>
      <c r="R1199" s="1034">
        <v>21.54248316</v>
      </c>
      <c r="S1199" s="1034">
        <v>0.806363798</v>
      </c>
      <c r="T1199" s="1035">
        <v>91.11249931</v>
      </c>
      <c r="AB1199" s="1045"/>
    </row>
    <row r="1200">
      <c r="A1200" s="294"/>
      <c r="B1200" s="1019" t="s">
        <v>151</v>
      </c>
      <c r="C1200" s="1020" t="s">
        <v>1035</v>
      </c>
      <c r="D1200" s="1020" t="s">
        <v>1036</v>
      </c>
      <c r="E1200" s="1020" t="s">
        <v>565</v>
      </c>
      <c r="F1200" s="1020">
        <v>2021.0</v>
      </c>
      <c r="G1200" s="1021">
        <v>2.83E-5</v>
      </c>
      <c r="H1200" s="1021">
        <v>6.71E-7</v>
      </c>
      <c r="I1200" s="1022">
        <v>8.0E-5</v>
      </c>
      <c r="K1200" s="1031" t="s">
        <v>133</v>
      </c>
      <c r="L1200" s="1032" t="s">
        <v>552</v>
      </c>
      <c r="M1200" s="1032" t="s">
        <v>1035</v>
      </c>
      <c r="N1200" s="1032" t="s">
        <v>1042</v>
      </c>
      <c r="O1200" s="1032">
        <v>2021.0</v>
      </c>
      <c r="P1200" s="1032" t="s">
        <v>1039</v>
      </c>
      <c r="Q1200" s="1033" t="s">
        <v>63</v>
      </c>
      <c r="R1200" s="1034">
        <v>0.0</v>
      </c>
      <c r="S1200" s="1034">
        <v>0.0</v>
      </c>
      <c r="T1200" s="1035">
        <v>0.0</v>
      </c>
      <c r="AB1200" s="1045"/>
    </row>
    <row r="1201">
      <c r="A1201" s="294"/>
      <c r="B1201" s="1019" t="s">
        <v>151</v>
      </c>
      <c r="C1201" s="1020" t="s">
        <v>1035</v>
      </c>
      <c r="D1201" s="1020" t="s">
        <v>1041</v>
      </c>
      <c r="E1201" s="1020" t="s">
        <v>565</v>
      </c>
      <c r="F1201" s="1020">
        <v>2021.0</v>
      </c>
      <c r="G1201" s="1021">
        <v>9.41E-5</v>
      </c>
      <c r="H1201" s="1021">
        <v>3.25E-6</v>
      </c>
      <c r="I1201" s="1022">
        <v>2.87942E-4</v>
      </c>
      <c r="K1201" s="1031" t="s">
        <v>133</v>
      </c>
      <c r="L1201" s="1032" t="s">
        <v>552</v>
      </c>
      <c r="M1201" s="1032" t="s">
        <v>1035</v>
      </c>
      <c r="N1201" s="1032" t="s">
        <v>1044</v>
      </c>
      <c r="O1201" s="1032">
        <v>2021.0</v>
      </c>
      <c r="P1201" s="1032" t="s">
        <v>1039</v>
      </c>
      <c r="Q1201" s="1033" t="s">
        <v>63</v>
      </c>
      <c r="R1201" s="1034">
        <v>0.0</v>
      </c>
      <c r="S1201" s="1034">
        <v>0.0</v>
      </c>
      <c r="T1201" s="1035">
        <v>0.0</v>
      </c>
      <c r="AB1201" s="1045"/>
    </row>
    <row r="1202">
      <c r="A1202" s="294"/>
      <c r="B1202" s="1019" t="s">
        <v>151</v>
      </c>
      <c r="C1202" s="1020" t="s">
        <v>1035</v>
      </c>
      <c r="D1202" s="1020" t="s">
        <v>1043</v>
      </c>
      <c r="E1202" s="1020" t="s">
        <v>565</v>
      </c>
      <c r="F1202" s="1020">
        <v>2021.0</v>
      </c>
      <c r="G1202" s="1021">
        <v>8.63E-6</v>
      </c>
      <c r="H1202" s="1021">
        <v>2.02E-7</v>
      </c>
      <c r="I1202" s="1022">
        <v>2.29E-5</v>
      </c>
      <c r="K1202" s="1031" t="s">
        <v>133</v>
      </c>
      <c r="L1202" s="1032" t="s">
        <v>552</v>
      </c>
      <c r="M1202" s="1032" t="s">
        <v>1035</v>
      </c>
      <c r="N1202" s="1032" t="s">
        <v>1046</v>
      </c>
      <c r="O1202" s="1032">
        <v>2021.0</v>
      </c>
      <c r="P1202" s="1032" t="s">
        <v>1039</v>
      </c>
      <c r="Q1202" s="1033" t="s">
        <v>63</v>
      </c>
      <c r="R1202" s="1034">
        <v>11.7975463</v>
      </c>
      <c r="S1202" s="1034">
        <v>0.403604885</v>
      </c>
      <c r="T1202" s="1035">
        <v>52.66398822</v>
      </c>
      <c r="AB1202" s="1045"/>
    </row>
    <row r="1203">
      <c r="A1203" s="294"/>
      <c r="B1203" s="1019" t="s">
        <v>151</v>
      </c>
      <c r="C1203" s="1020" t="s">
        <v>1035</v>
      </c>
      <c r="D1203" s="1020" t="s">
        <v>1045</v>
      </c>
      <c r="E1203" s="1020" t="s">
        <v>565</v>
      </c>
      <c r="F1203" s="1020">
        <v>2021.0</v>
      </c>
      <c r="G1203" s="1021">
        <v>8.49E-5</v>
      </c>
      <c r="H1203" s="1021">
        <v>2.03E-6</v>
      </c>
      <c r="I1203" s="1022">
        <v>2.0414E-4</v>
      </c>
      <c r="K1203" s="1031" t="s">
        <v>133</v>
      </c>
      <c r="L1203" s="1032" t="s">
        <v>552</v>
      </c>
      <c r="M1203" s="1032" t="s">
        <v>1035</v>
      </c>
      <c r="N1203" s="1032" t="s">
        <v>1045</v>
      </c>
      <c r="O1203" s="1032">
        <v>2021.0</v>
      </c>
      <c r="P1203" s="1032" t="s">
        <v>1039</v>
      </c>
      <c r="Q1203" s="1033" t="s">
        <v>63</v>
      </c>
      <c r="R1203" s="1034">
        <v>33.34002946</v>
      </c>
      <c r="S1203" s="1034">
        <v>1.239275938</v>
      </c>
      <c r="T1203" s="1035">
        <v>145.2783981</v>
      </c>
      <c r="AB1203" s="1045"/>
    </row>
    <row r="1204">
      <c r="A1204" s="294"/>
      <c r="B1204" s="1019" t="s">
        <v>121</v>
      </c>
      <c r="C1204" s="1020" t="s">
        <v>1035</v>
      </c>
      <c r="D1204" s="1020" t="s">
        <v>1036</v>
      </c>
      <c r="E1204" s="1020" t="s">
        <v>565</v>
      </c>
      <c r="F1204" s="1020">
        <v>2021.0</v>
      </c>
      <c r="G1204" s="1021">
        <v>1.83691E-4</v>
      </c>
      <c r="H1204" s="1021">
        <v>3.43E-5</v>
      </c>
      <c r="I1204" s="1022">
        <v>7.76228E-4</v>
      </c>
      <c r="K1204" s="1031" t="s">
        <v>134</v>
      </c>
      <c r="L1204" s="1032" t="s">
        <v>552</v>
      </c>
      <c r="M1204" s="1032" t="s">
        <v>1035</v>
      </c>
      <c r="N1204" s="1032" t="s">
        <v>1038</v>
      </c>
      <c r="O1204" s="1032">
        <v>2021.0</v>
      </c>
      <c r="P1204" s="1032" t="s">
        <v>1039</v>
      </c>
      <c r="Q1204" s="1033" t="s">
        <v>63</v>
      </c>
      <c r="R1204" s="1034">
        <v>5.939175054</v>
      </c>
      <c r="S1204" s="1034">
        <v>0.215737002</v>
      </c>
      <c r="T1204" s="1035">
        <v>27.79427909</v>
      </c>
      <c r="AB1204" s="1045"/>
    </row>
    <row r="1205">
      <c r="A1205" s="294"/>
      <c r="B1205" s="1019" t="s">
        <v>121</v>
      </c>
      <c r="C1205" s="1020" t="s">
        <v>1035</v>
      </c>
      <c r="D1205" s="1020" t="s">
        <v>1041</v>
      </c>
      <c r="E1205" s="1020" t="s">
        <v>565</v>
      </c>
      <c r="F1205" s="1020">
        <v>2021.0</v>
      </c>
      <c r="G1205" s="1021">
        <v>4.79564E-4</v>
      </c>
      <c r="H1205" s="1021">
        <v>1.02377E-4</v>
      </c>
      <c r="I1205" s="1022">
        <v>0.001877715</v>
      </c>
      <c r="K1205" s="1031" t="s">
        <v>134</v>
      </c>
      <c r="L1205" s="1032" t="s">
        <v>552</v>
      </c>
      <c r="M1205" s="1032" t="s">
        <v>1035</v>
      </c>
      <c r="N1205" s="1032" t="s">
        <v>1042</v>
      </c>
      <c r="O1205" s="1032">
        <v>2021.0</v>
      </c>
      <c r="P1205" s="1032" t="s">
        <v>1039</v>
      </c>
      <c r="Q1205" s="1033" t="s">
        <v>63</v>
      </c>
      <c r="R1205" s="1034">
        <v>0.0</v>
      </c>
      <c r="S1205" s="1034">
        <v>0.0</v>
      </c>
      <c r="T1205" s="1035">
        <v>0.0</v>
      </c>
      <c r="AB1205" s="1045"/>
    </row>
    <row r="1206">
      <c r="A1206" s="294"/>
      <c r="B1206" s="1019" t="s">
        <v>121</v>
      </c>
      <c r="C1206" s="1020" t="s">
        <v>1035</v>
      </c>
      <c r="D1206" s="1020" t="s">
        <v>1043</v>
      </c>
      <c r="E1206" s="1020" t="s">
        <v>565</v>
      </c>
      <c r="F1206" s="1020">
        <v>2021.0</v>
      </c>
      <c r="G1206" s="1021">
        <v>7.96E-5</v>
      </c>
      <c r="H1206" s="1021">
        <v>1.43E-5</v>
      </c>
      <c r="I1206" s="1022">
        <v>3.10954E-4</v>
      </c>
      <c r="K1206" s="1031" t="s">
        <v>134</v>
      </c>
      <c r="L1206" s="1032" t="s">
        <v>552</v>
      </c>
      <c r="M1206" s="1032" t="s">
        <v>1035</v>
      </c>
      <c r="N1206" s="1032" t="s">
        <v>1044</v>
      </c>
      <c r="O1206" s="1032">
        <v>2021.0</v>
      </c>
      <c r="P1206" s="1032" t="s">
        <v>1039</v>
      </c>
      <c r="Q1206" s="1033" t="s">
        <v>63</v>
      </c>
      <c r="R1206" s="1034">
        <v>0.0</v>
      </c>
      <c r="S1206" s="1034">
        <v>0.0</v>
      </c>
      <c r="T1206" s="1035">
        <v>0.0</v>
      </c>
      <c r="AB1206" s="1045"/>
    </row>
    <row r="1207">
      <c r="A1207" s="294"/>
      <c r="B1207" s="1019" t="s">
        <v>121</v>
      </c>
      <c r="C1207" s="1020" t="s">
        <v>1035</v>
      </c>
      <c r="D1207" s="1020" t="s">
        <v>1045</v>
      </c>
      <c r="E1207" s="1020" t="s">
        <v>565</v>
      </c>
      <c r="F1207" s="1020">
        <v>2021.0</v>
      </c>
      <c r="G1207" s="1021">
        <v>3.83113E-4</v>
      </c>
      <c r="H1207" s="1021">
        <v>1.24833E-4</v>
      </c>
      <c r="I1207" s="1022">
        <v>0.001639374</v>
      </c>
      <c r="K1207" s="1031" t="s">
        <v>134</v>
      </c>
      <c r="L1207" s="1032" t="s">
        <v>552</v>
      </c>
      <c r="M1207" s="1032" t="s">
        <v>1035</v>
      </c>
      <c r="N1207" s="1032" t="s">
        <v>1046</v>
      </c>
      <c r="O1207" s="1032">
        <v>2021.0</v>
      </c>
      <c r="P1207" s="1032" t="s">
        <v>1039</v>
      </c>
      <c r="Q1207" s="1033" t="s">
        <v>63</v>
      </c>
      <c r="R1207" s="1034">
        <v>3.796313255</v>
      </c>
      <c r="S1207" s="1034">
        <v>0.121658098</v>
      </c>
      <c r="T1207" s="1035">
        <v>17.54487008</v>
      </c>
      <c r="AB1207" s="1045"/>
    </row>
    <row r="1208">
      <c r="A1208" s="294"/>
      <c r="B1208" s="1019" t="s">
        <v>152</v>
      </c>
      <c r="C1208" s="1020" t="s">
        <v>1035</v>
      </c>
      <c r="D1208" s="1020" t="s">
        <v>1036</v>
      </c>
      <c r="E1208" s="1020" t="s">
        <v>565</v>
      </c>
      <c r="F1208" s="1020">
        <v>2021.0</v>
      </c>
      <c r="G1208" s="1021">
        <v>6.25E-5</v>
      </c>
      <c r="H1208" s="1021">
        <v>1.98E-5</v>
      </c>
      <c r="I1208" s="1022">
        <v>1.57693E-4</v>
      </c>
      <c r="K1208" s="1031" t="s">
        <v>134</v>
      </c>
      <c r="L1208" s="1032" t="s">
        <v>552</v>
      </c>
      <c r="M1208" s="1032" t="s">
        <v>1035</v>
      </c>
      <c r="N1208" s="1032" t="s">
        <v>1045</v>
      </c>
      <c r="O1208" s="1032">
        <v>2021.0</v>
      </c>
      <c r="P1208" s="1032" t="s">
        <v>1039</v>
      </c>
      <c r="Q1208" s="1033" t="s">
        <v>63</v>
      </c>
      <c r="R1208" s="1034">
        <v>9.735488309</v>
      </c>
      <c r="S1208" s="1034">
        <v>0.332697968</v>
      </c>
      <c r="T1208" s="1035">
        <v>45.10953771</v>
      </c>
      <c r="AB1208" s="1045"/>
    </row>
    <row r="1209">
      <c r="A1209" s="294"/>
      <c r="B1209" s="1019" t="s">
        <v>152</v>
      </c>
      <c r="C1209" s="1020" t="s">
        <v>1035</v>
      </c>
      <c r="D1209" s="1020" t="s">
        <v>1041</v>
      </c>
      <c r="E1209" s="1020" t="s">
        <v>565</v>
      </c>
      <c r="F1209" s="1020">
        <v>2021.0</v>
      </c>
      <c r="G1209" s="1021">
        <v>1.75697E-4</v>
      </c>
      <c r="H1209" s="1021">
        <v>5.5E-5</v>
      </c>
      <c r="I1209" s="1022">
        <v>4.54066E-4</v>
      </c>
      <c r="K1209" s="1031" t="s">
        <v>135</v>
      </c>
      <c r="L1209" s="1032" t="s">
        <v>552</v>
      </c>
      <c r="M1209" s="1032" t="s">
        <v>1035</v>
      </c>
      <c r="N1209" s="1032" t="s">
        <v>1038</v>
      </c>
      <c r="O1209" s="1032">
        <v>2021.0</v>
      </c>
      <c r="P1209" s="1032" t="s">
        <v>1039</v>
      </c>
      <c r="Q1209" s="1033" t="s">
        <v>63</v>
      </c>
      <c r="R1209" s="1034">
        <v>19.30430619</v>
      </c>
      <c r="S1209" s="1034">
        <v>0.606592372</v>
      </c>
      <c r="T1209" s="1035">
        <v>97.88760995</v>
      </c>
      <c r="AB1209" s="1045"/>
    </row>
    <row r="1210">
      <c r="A1210" s="294"/>
      <c r="B1210" s="1019" t="s">
        <v>152</v>
      </c>
      <c r="C1210" s="1020" t="s">
        <v>1035</v>
      </c>
      <c r="D1210" s="1020" t="s">
        <v>1043</v>
      </c>
      <c r="E1210" s="1020" t="s">
        <v>565</v>
      </c>
      <c r="F1210" s="1020">
        <v>2021.0</v>
      </c>
      <c r="G1210" s="1021">
        <v>2.69E-5</v>
      </c>
      <c r="H1210" s="1021">
        <v>8.51E-6</v>
      </c>
      <c r="I1210" s="1022">
        <v>7.08E-5</v>
      </c>
      <c r="K1210" s="1031" t="s">
        <v>135</v>
      </c>
      <c r="L1210" s="1032" t="s">
        <v>552</v>
      </c>
      <c r="M1210" s="1032" t="s">
        <v>1035</v>
      </c>
      <c r="N1210" s="1032" t="s">
        <v>1042</v>
      </c>
      <c r="O1210" s="1032">
        <v>2021.0</v>
      </c>
      <c r="P1210" s="1032" t="s">
        <v>1039</v>
      </c>
      <c r="Q1210" s="1033" t="s">
        <v>63</v>
      </c>
      <c r="R1210" s="1034">
        <v>0.0</v>
      </c>
      <c r="S1210" s="1034">
        <v>0.0</v>
      </c>
      <c r="T1210" s="1035">
        <v>0.0</v>
      </c>
      <c r="AB1210" s="1045"/>
    </row>
    <row r="1211">
      <c r="A1211" s="294"/>
      <c r="B1211" s="1019" t="s">
        <v>152</v>
      </c>
      <c r="C1211" s="1020" t="s">
        <v>1035</v>
      </c>
      <c r="D1211" s="1020" t="s">
        <v>1045</v>
      </c>
      <c r="E1211" s="1020" t="s">
        <v>565</v>
      </c>
      <c r="F1211" s="1020">
        <v>2021.0</v>
      </c>
      <c r="G1211" s="1021">
        <v>1.01093E-4</v>
      </c>
      <c r="H1211" s="1021">
        <v>3.6E-5</v>
      </c>
      <c r="I1211" s="1022">
        <v>2.4336E-4</v>
      </c>
      <c r="K1211" s="1031" t="s">
        <v>135</v>
      </c>
      <c r="L1211" s="1032" t="s">
        <v>552</v>
      </c>
      <c r="M1211" s="1032" t="s">
        <v>1035</v>
      </c>
      <c r="N1211" s="1032" t="s">
        <v>1044</v>
      </c>
      <c r="O1211" s="1032">
        <v>2021.0</v>
      </c>
      <c r="P1211" s="1032" t="s">
        <v>1039</v>
      </c>
      <c r="Q1211" s="1033" t="s">
        <v>63</v>
      </c>
      <c r="R1211" s="1034">
        <v>0.0</v>
      </c>
      <c r="S1211" s="1034">
        <v>0.0</v>
      </c>
      <c r="T1211" s="1035">
        <v>0.0</v>
      </c>
      <c r="AB1211" s="1045"/>
    </row>
    <row r="1212">
      <c r="A1212" s="294"/>
      <c r="B1212" s="1019" t="s">
        <v>153</v>
      </c>
      <c r="C1212" s="1020" t="s">
        <v>1035</v>
      </c>
      <c r="D1212" s="1020" t="s">
        <v>1036</v>
      </c>
      <c r="E1212" s="1020" t="s">
        <v>565</v>
      </c>
      <c r="F1212" s="1020">
        <v>2021.0</v>
      </c>
      <c r="G1212" s="1021">
        <v>7.93E-5</v>
      </c>
      <c r="H1212" s="1021">
        <v>1.93E-5</v>
      </c>
      <c r="I1212" s="1022">
        <v>3.29033E-4</v>
      </c>
      <c r="K1212" s="1031" t="s">
        <v>135</v>
      </c>
      <c r="L1212" s="1032" t="s">
        <v>552</v>
      </c>
      <c r="M1212" s="1032" t="s">
        <v>1035</v>
      </c>
      <c r="N1212" s="1032" t="s">
        <v>1046</v>
      </c>
      <c r="O1212" s="1032">
        <v>2021.0</v>
      </c>
      <c r="P1212" s="1032" t="s">
        <v>1039</v>
      </c>
      <c r="Q1212" s="1033" t="s">
        <v>63</v>
      </c>
      <c r="R1212" s="1034">
        <v>13.54920366</v>
      </c>
      <c r="S1212" s="1034">
        <v>0.452296486</v>
      </c>
      <c r="T1212" s="1035">
        <v>71.91020591</v>
      </c>
      <c r="AB1212" s="1045"/>
    </row>
    <row r="1213">
      <c r="A1213" s="294"/>
      <c r="B1213" s="1019" t="s">
        <v>153</v>
      </c>
      <c r="C1213" s="1020" t="s">
        <v>1035</v>
      </c>
      <c r="D1213" s="1020" t="s">
        <v>1041</v>
      </c>
      <c r="E1213" s="1020" t="s">
        <v>565</v>
      </c>
      <c r="F1213" s="1020">
        <v>2021.0</v>
      </c>
      <c r="G1213" s="1021">
        <v>2.43663E-4</v>
      </c>
      <c r="H1213" s="1021">
        <v>6.64E-5</v>
      </c>
      <c r="I1213" s="1022">
        <v>8.44606E-4</v>
      </c>
      <c r="K1213" s="1031" t="s">
        <v>135</v>
      </c>
      <c r="L1213" s="1032" t="s">
        <v>552</v>
      </c>
      <c r="M1213" s="1032" t="s">
        <v>1035</v>
      </c>
      <c r="N1213" s="1032" t="s">
        <v>1045</v>
      </c>
      <c r="O1213" s="1032">
        <v>2021.0</v>
      </c>
      <c r="P1213" s="1032" t="s">
        <v>1039</v>
      </c>
      <c r="Q1213" s="1033" t="s">
        <v>63</v>
      </c>
      <c r="R1213" s="1034">
        <v>32.85350986</v>
      </c>
      <c r="S1213" s="1034">
        <v>1.056244539</v>
      </c>
      <c r="T1213" s="1035">
        <v>168.4837971</v>
      </c>
      <c r="AB1213" s="1045"/>
    </row>
    <row r="1214">
      <c r="A1214" s="294"/>
      <c r="B1214" s="1019" t="s">
        <v>153</v>
      </c>
      <c r="C1214" s="1020" t="s">
        <v>1035</v>
      </c>
      <c r="D1214" s="1020" t="s">
        <v>1043</v>
      </c>
      <c r="E1214" s="1020" t="s">
        <v>565</v>
      </c>
      <c r="F1214" s="1020">
        <v>2021.0</v>
      </c>
      <c r="G1214" s="1021">
        <v>2.88E-5</v>
      </c>
      <c r="H1214" s="1021">
        <v>6.01E-6</v>
      </c>
      <c r="I1214" s="1022">
        <v>1.24843E-4</v>
      </c>
      <c r="K1214" s="1031" t="s">
        <v>136</v>
      </c>
      <c r="L1214" s="1032" t="s">
        <v>552</v>
      </c>
      <c r="M1214" s="1032" t="s">
        <v>1035</v>
      </c>
      <c r="N1214" s="1032" t="s">
        <v>1038</v>
      </c>
      <c r="O1214" s="1032">
        <v>2021.0</v>
      </c>
      <c r="P1214" s="1032" t="s">
        <v>1039</v>
      </c>
      <c r="Q1214" s="1033" t="s">
        <v>63</v>
      </c>
      <c r="R1214" s="1034">
        <v>34.44017142</v>
      </c>
      <c r="S1214" s="1034">
        <v>0.917897587</v>
      </c>
      <c r="T1214" s="1035">
        <v>156.7713368</v>
      </c>
      <c r="AB1214" s="1045"/>
    </row>
    <row r="1215">
      <c r="A1215" s="294"/>
      <c r="B1215" s="1019" t="s">
        <v>153</v>
      </c>
      <c r="C1215" s="1020" t="s">
        <v>1035</v>
      </c>
      <c r="D1215" s="1020" t="s">
        <v>1045</v>
      </c>
      <c r="E1215" s="1020" t="s">
        <v>565</v>
      </c>
      <c r="F1215" s="1020">
        <v>2021.0</v>
      </c>
      <c r="G1215" s="1021">
        <v>1.33492E-4</v>
      </c>
      <c r="H1215" s="1021">
        <v>4.18E-5</v>
      </c>
      <c r="I1215" s="1022">
        <v>5.08662E-4</v>
      </c>
      <c r="K1215" s="1031" t="s">
        <v>136</v>
      </c>
      <c r="L1215" s="1032" t="s">
        <v>552</v>
      </c>
      <c r="M1215" s="1032" t="s">
        <v>1035</v>
      </c>
      <c r="N1215" s="1032" t="s">
        <v>1042</v>
      </c>
      <c r="O1215" s="1032">
        <v>2021.0</v>
      </c>
      <c r="P1215" s="1032" t="s">
        <v>1039</v>
      </c>
      <c r="Q1215" s="1033" t="s">
        <v>63</v>
      </c>
      <c r="R1215" s="1034">
        <v>0.0</v>
      </c>
      <c r="S1215" s="1034">
        <v>0.0</v>
      </c>
      <c r="T1215" s="1035">
        <v>0.0</v>
      </c>
      <c r="AB1215" s="1045"/>
    </row>
    <row r="1216">
      <c r="A1216" s="294"/>
      <c r="B1216" s="1019" t="s">
        <v>122</v>
      </c>
      <c r="C1216" s="1020" t="s">
        <v>1035</v>
      </c>
      <c r="D1216" s="1020" t="s">
        <v>1036</v>
      </c>
      <c r="E1216" s="1020" t="s">
        <v>565</v>
      </c>
      <c r="F1216" s="1020">
        <v>2021.0</v>
      </c>
      <c r="G1216" s="1021">
        <v>1.44104E-4</v>
      </c>
      <c r="H1216" s="1021">
        <v>2.55E-5</v>
      </c>
      <c r="I1216" s="1022">
        <v>5.854E-4</v>
      </c>
      <c r="K1216" s="1031" t="s">
        <v>136</v>
      </c>
      <c r="L1216" s="1032" t="s">
        <v>552</v>
      </c>
      <c r="M1216" s="1032" t="s">
        <v>1035</v>
      </c>
      <c r="N1216" s="1032" t="s">
        <v>1044</v>
      </c>
      <c r="O1216" s="1032">
        <v>2021.0</v>
      </c>
      <c r="P1216" s="1032" t="s">
        <v>1039</v>
      </c>
      <c r="Q1216" s="1033" t="s">
        <v>63</v>
      </c>
      <c r="R1216" s="1034">
        <v>0.0</v>
      </c>
      <c r="S1216" s="1034">
        <v>0.0</v>
      </c>
      <c r="T1216" s="1035">
        <v>0.0</v>
      </c>
      <c r="AB1216" s="1045"/>
    </row>
    <row r="1217">
      <c r="A1217" s="294"/>
      <c r="B1217" s="1019" t="s">
        <v>122</v>
      </c>
      <c r="C1217" s="1020" t="s">
        <v>1035</v>
      </c>
      <c r="D1217" s="1020" t="s">
        <v>1041</v>
      </c>
      <c r="E1217" s="1020" t="s">
        <v>565</v>
      </c>
      <c r="F1217" s="1020">
        <v>2021.0</v>
      </c>
      <c r="G1217" s="1021">
        <v>5.03219E-4</v>
      </c>
      <c r="H1217" s="1021">
        <v>8.94E-5</v>
      </c>
      <c r="I1217" s="1022">
        <v>0.002000585</v>
      </c>
      <c r="K1217" s="1031" t="s">
        <v>136</v>
      </c>
      <c r="L1217" s="1032" t="s">
        <v>552</v>
      </c>
      <c r="M1217" s="1032" t="s">
        <v>1035</v>
      </c>
      <c r="N1217" s="1032" t="s">
        <v>1046</v>
      </c>
      <c r="O1217" s="1032">
        <v>2021.0</v>
      </c>
      <c r="P1217" s="1032" t="s">
        <v>1039</v>
      </c>
      <c r="Q1217" s="1033" t="s">
        <v>63</v>
      </c>
      <c r="R1217" s="1034">
        <v>27.25101399</v>
      </c>
      <c r="S1217" s="1034">
        <v>0.74508487</v>
      </c>
      <c r="T1217" s="1035">
        <v>120.418858</v>
      </c>
      <c r="AB1217" s="1045"/>
    </row>
    <row r="1218">
      <c r="A1218" s="294"/>
      <c r="B1218" s="1019" t="s">
        <v>122</v>
      </c>
      <c r="C1218" s="1020" t="s">
        <v>1035</v>
      </c>
      <c r="D1218" s="1020" t="s">
        <v>1043</v>
      </c>
      <c r="E1218" s="1020" t="s">
        <v>565</v>
      </c>
      <c r="F1218" s="1020">
        <v>2021.0</v>
      </c>
      <c r="G1218" s="1021">
        <v>7.61E-5</v>
      </c>
      <c r="H1218" s="1021">
        <v>1.24E-5</v>
      </c>
      <c r="I1218" s="1022">
        <v>3.10337E-4</v>
      </c>
      <c r="K1218" s="1031" t="s">
        <v>136</v>
      </c>
      <c r="L1218" s="1032" t="s">
        <v>552</v>
      </c>
      <c r="M1218" s="1032" t="s">
        <v>1035</v>
      </c>
      <c r="N1218" s="1032" t="s">
        <v>1045</v>
      </c>
      <c r="O1218" s="1032">
        <v>2021.0</v>
      </c>
      <c r="P1218" s="1032" t="s">
        <v>1039</v>
      </c>
      <c r="Q1218" s="1033" t="s">
        <v>63</v>
      </c>
      <c r="R1218" s="1034">
        <v>61.69118541</v>
      </c>
      <c r="S1218" s="1034">
        <v>1.657775533</v>
      </c>
      <c r="T1218" s="1035">
        <v>274.4455787</v>
      </c>
      <c r="AB1218" s="1045"/>
    </row>
    <row r="1219">
      <c r="A1219" s="294"/>
      <c r="B1219" s="1019" t="s">
        <v>122</v>
      </c>
      <c r="C1219" s="1020" t="s">
        <v>1035</v>
      </c>
      <c r="D1219" s="1020" t="s">
        <v>1045</v>
      </c>
      <c r="E1219" s="1020" t="s">
        <v>565</v>
      </c>
      <c r="F1219" s="1020">
        <v>2021.0</v>
      </c>
      <c r="G1219" s="1021">
        <v>3.56266E-4</v>
      </c>
      <c r="H1219" s="1021">
        <v>1.01559E-4</v>
      </c>
      <c r="I1219" s="1022">
        <v>0.0018057</v>
      </c>
      <c r="K1219" s="1031" t="s">
        <v>115</v>
      </c>
      <c r="L1219" s="1032" t="s">
        <v>552</v>
      </c>
      <c r="M1219" s="1032" t="s">
        <v>1035</v>
      </c>
      <c r="N1219" s="1032" t="s">
        <v>1038</v>
      </c>
      <c r="O1219" s="1032">
        <v>2021.0</v>
      </c>
      <c r="P1219" s="1032" t="s">
        <v>1039</v>
      </c>
      <c r="Q1219" s="1033" t="s">
        <v>63</v>
      </c>
      <c r="R1219" s="1034">
        <v>143.3449223</v>
      </c>
      <c r="S1219" s="1034">
        <v>5.470600331</v>
      </c>
      <c r="T1219" s="1035">
        <v>648.014167</v>
      </c>
      <c r="AB1219" s="1045"/>
    </row>
    <row r="1220">
      <c r="A1220" s="294"/>
      <c r="B1220" s="1019" t="s">
        <v>123</v>
      </c>
      <c r="C1220" s="1020" t="s">
        <v>1035</v>
      </c>
      <c r="D1220" s="1020" t="s">
        <v>1036</v>
      </c>
      <c r="E1220" s="1020" t="s">
        <v>530</v>
      </c>
      <c r="F1220" s="1020">
        <v>2021.0</v>
      </c>
      <c r="G1220" s="1021">
        <v>0.001712444</v>
      </c>
      <c r="H1220" s="1021">
        <v>9.16372E-4</v>
      </c>
      <c r="I1220" s="1022">
        <v>0.003351767</v>
      </c>
      <c r="K1220" s="1031" t="s">
        <v>115</v>
      </c>
      <c r="L1220" s="1032" t="s">
        <v>552</v>
      </c>
      <c r="M1220" s="1032" t="s">
        <v>1035</v>
      </c>
      <c r="N1220" s="1032" t="s">
        <v>1042</v>
      </c>
      <c r="O1220" s="1032">
        <v>2021.0</v>
      </c>
      <c r="P1220" s="1032" t="s">
        <v>1039</v>
      </c>
      <c r="Q1220" s="1033" t="s">
        <v>63</v>
      </c>
      <c r="R1220" s="1034">
        <v>0.0</v>
      </c>
      <c r="S1220" s="1034">
        <v>0.0</v>
      </c>
      <c r="T1220" s="1035">
        <v>0.0</v>
      </c>
      <c r="AB1220" s="1045"/>
    </row>
    <row r="1221">
      <c r="A1221" s="294"/>
      <c r="B1221" s="1019" t="s">
        <v>123</v>
      </c>
      <c r="C1221" s="1020" t="s">
        <v>1035</v>
      </c>
      <c r="D1221" s="1020" t="s">
        <v>1041</v>
      </c>
      <c r="E1221" s="1020" t="s">
        <v>530</v>
      </c>
      <c r="F1221" s="1020">
        <v>2021.0</v>
      </c>
      <c r="G1221" s="1021">
        <v>0.012599879</v>
      </c>
      <c r="H1221" s="1021">
        <v>0.008023141</v>
      </c>
      <c r="I1221" s="1022">
        <v>0.020021943</v>
      </c>
      <c r="K1221" s="1031" t="s">
        <v>115</v>
      </c>
      <c r="L1221" s="1032" t="s">
        <v>552</v>
      </c>
      <c r="M1221" s="1032" t="s">
        <v>1035</v>
      </c>
      <c r="N1221" s="1032" t="s">
        <v>1044</v>
      </c>
      <c r="O1221" s="1032">
        <v>2021.0</v>
      </c>
      <c r="P1221" s="1032" t="s">
        <v>1039</v>
      </c>
      <c r="Q1221" s="1033" t="s">
        <v>63</v>
      </c>
      <c r="R1221" s="1034">
        <v>0.0</v>
      </c>
      <c r="S1221" s="1034">
        <v>0.0</v>
      </c>
      <c r="T1221" s="1035">
        <v>0.0</v>
      </c>
      <c r="AB1221" s="1045"/>
    </row>
    <row r="1222">
      <c r="A1222" s="294"/>
      <c r="B1222" s="1019" t="s">
        <v>123</v>
      </c>
      <c r="C1222" s="1020" t="s">
        <v>1035</v>
      </c>
      <c r="D1222" s="1020" t="s">
        <v>1043</v>
      </c>
      <c r="E1222" s="1020" t="s">
        <v>530</v>
      </c>
      <c r="F1222" s="1020">
        <v>2021.0</v>
      </c>
      <c r="G1222" s="1021">
        <v>6.21E-5</v>
      </c>
      <c r="H1222" s="1021">
        <v>3.0E-5</v>
      </c>
      <c r="I1222" s="1022">
        <v>1.25531E-4</v>
      </c>
      <c r="K1222" s="1031" t="s">
        <v>115</v>
      </c>
      <c r="L1222" s="1032" t="s">
        <v>552</v>
      </c>
      <c r="M1222" s="1032" t="s">
        <v>1035</v>
      </c>
      <c r="N1222" s="1032" t="s">
        <v>1046</v>
      </c>
      <c r="O1222" s="1032">
        <v>2021.0</v>
      </c>
      <c r="P1222" s="1032" t="s">
        <v>1039</v>
      </c>
      <c r="Q1222" s="1033" t="s">
        <v>63</v>
      </c>
      <c r="R1222" s="1034">
        <v>81.0002238</v>
      </c>
      <c r="S1222" s="1034">
        <v>2.543758429</v>
      </c>
      <c r="T1222" s="1035">
        <v>352.1055211</v>
      </c>
      <c r="AB1222" s="1045"/>
    </row>
    <row r="1223">
      <c r="A1223" s="294"/>
      <c r="B1223" s="1019" t="s">
        <v>123</v>
      </c>
      <c r="C1223" s="1020" t="s">
        <v>1035</v>
      </c>
      <c r="D1223" s="1020" t="s">
        <v>1045</v>
      </c>
      <c r="E1223" s="1020" t="s">
        <v>530</v>
      </c>
      <c r="F1223" s="1020">
        <v>2021.0</v>
      </c>
      <c r="G1223" s="1021">
        <v>3.40487E-4</v>
      </c>
      <c r="H1223" s="1021">
        <v>1.54716E-4</v>
      </c>
      <c r="I1223" s="1022">
        <v>7.21227E-4</v>
      </c>
      <c r="K1223" s="1031" t="s">
        <v>115</v>
      </c>
      <c r="L1223" s="1032" t="s">
        <v>552</v>
      </c>
      <c r="M1223" s="1032" t="s">
        <v>1035</v>
      </c>
      <c r="N1223" s="1032" t="s">
        <v>1045</v>
      </c>
      <c r="O1223" s="1032">
        <v>2021.0</v>
      </c>
      <c r="P1223" s="1032" t="s">
        <v>1039</v>
      </c>
      <c r="Q1223" s="1033" t="s">
        <v>63</v>
      </c>
      <c r="R1223" s="1034">
        <v>224.345146</v>
      </c>
      <c r="S1223" s="1034">
        <v>8.578733633</v>
      </c>
      <c r="T1223" s="1035">
        <v>980.2885929</v>
      </c>
      <c r="AB1223" s="1045"/>
    </row>
    <row r="1224">
      <c r="A1224" s="294"/>
      <c r="B1224" s="1019" t="s">
        <v>124</v>
      </c>
      <c r="C1224" s="1020" t="s">
        <v>1035</v>
      </c>
      <c r="D1224" s="1020" t="s">
        <v>1036</v>
      </c>
      <c r="E1224" s="1020" t="s">
        <v>530</v>
      </c>
      <c r="F1224" s="1020">
        <v>2021.0</v>
      </c>
      <c r="G1224" s="1021">
        <v>0.003254575</v>
      </c>
      <c r="H1224" s="1021">
        <v>0.001864207</v>
      </c>
      <c r="I1224" s="1022">
        <v>0.005109691</v>
      </c>
      <c r="K1224" s="1031" t="s">
        <v>137</v>
      </c>
      <c r="L1224" s="1032" t="s">
        <v>552</v>
      </c>
      <c r="M1224" s="1032" t="s">
        <v>1035</v>
      </c>
      <c r="N1224" s="1032" t="s">
        <v>1038</v>
      </c>
      <c r="O1224" s="1032">
        <v>2021.0</v>
      </c>
      <c r="P1224" s="1032" t="s">
        <v>1039</v>
      </c>
      <c r="Q1224" s="1033" t="s">
        <v>63</v>
      </c>
      <c r="R1224" s="1034">
        <v>33.70066161</v>
      </c>
      <c r="S1224" s="1034">
        <v>0.899279058</v>
      </c>
      <c r="T1224" s="1035">
        <v>144.1091096</v>
      </c>
      <c r="AB1224" s="1045"/>
    </row>
    <row r="1225">
      <c r="A1225" s="294"/>
      <c r="B1225" s="1019" t="s">
        <v>124</v>
      </c>
      <c r="C1225" s="1020" t="s">
        <v>1035</v>
      </c>
      <c r="D1225" s="1020" t="s">
        <v>1041</v>
      </c>
      <c r="E1225" s="1020" t="s">
        <v>530</v>
      </c>
      <c r="F1225" s="1020">
        <v>2021.0</v>
      </c>
      <c r="G1225" s="1021">
        <v>0.023004763</v>
      </c>
      <c r="H1225" s="1021">
        <v>0.014689117</v>
      </c>
      <c r="I1225" s="1022">
        <v>0.033266315</v>
      </c>
      <c r="K1225" s="1031" t="s">
        <v>137</v>
      </c>
      <c r="L1225" s="1032" t="s">
        <v>552</v>
      </c>
      <c r="M1225" s="1032" t="s">
        <v>1035</v>
      </c>
      <c r="N1225" s="1032" t="s">
        <v>1042</v>
      </c>
      <c r="O1225" s="1032">
        <v>2021.0</v>
      </c>
      <c r="P1225" s="1032" t="s">
        <v>1039</v>
      </c>
      <c r="Q1225" s="1033" t="s">
        <v>63</v>
      </c>
      <c r="R1225" s="1034">
        <v>0.0</v>
      </c>
      <c r="S1225" s="1034">
        <v>0.0</v>
      </c>
      <c r="T1225" s="1035">
        <v>0.0</v>
      </c>
      <c r="AB1225" s="1045"/>
    </row>
    <row r="1226">
      <c r="A1226" s="294"/>
      <c r="B1226" s="1019" t="s">
        <v>124</v>
      </c>
      <c r="C1226" s="1020" t="s">
        <v>1035</v>
      </c>
      <c r="D1226" s="1020" t="s">
        <v>1043</v>
      </c>
      <c r="E1226" s="1020" t="s">
        <v>530</v>
      </c>
      <c r="F1226" s="1020">
        <v>2021.0</v>
      </c>
      <c r="G1226" s="1021">
        <v>2.09726E-4</v>
      </c>
      <c r="H1226" s="1021">
        <v>1.2578E-4</v>
      </c>
      <c r="I1226" s="1022">
        <v>3.38649E-4</v>
      </c>
      <c r="K1226" s="1031" t="s">
        <v>137</v>
      </c>
      <c r="L1226" s="1032" t="s">
        <v>552</v>
      </c>
      <c r="M1226" s="1032" t="s">
        <v>1035</v>
      </c>
      <c r="N1226" s="1032" t="s">
        <v>1044</v>
      </c>
      <c r="O1226" s="1032">
        <v>2021.0</v>
      </c>
      <c r="P1226" s="1032" t="s">
        <v>1039</v>
      </c>
      <c r="Q1226" s="1033" t="s">
        <v>63</v>
      </c>
      <c r="R1226" s="1034">
        <v>0.0</v>
      </c>
      <c r="S1226" s="1034">
        <v>0.0</v>
      </c>
      <c r="T1226" s="1035">
        <v>0.0</v>
      </c>
      <c r="AB1226" s="1045"/>
    </row>
    <row r="1227">
      <c r="A1227" s="294"/>
      <c r="B1227" s="1019" t="s">
        <v>124</v>
      </c>
      <c r="C1227" s="1020" t="s">
        <v>1035</v>
      </c>
      <c r="D1227" s="1020" t="s">
        <v>1045</v>
      </c>
      <c r="E1227" s="1020" t="s">
        <v>530</v>
      </c>
      <c r="F1227" s="1020">
        <v>2021.0</v>
      </c>
      <c r="G1227" s="1021">
        <v>0.001242071</v>
      </c>
      <c r="H1227" s="1021">
        <v>6.75256E-4</v>
      </c>
      <c r="I1227" s="1022">
        <v>0.002139501</v>
      </c>
      <c r="K1227" s="1031" t="s">
        <v>137</v>
      </c>
      <c r="L1227" s="1032" t="s">
        <v>552</v>
      </c>
      <c r="M1227" s="1032" t="s">
        <v>1035</v>
      </c>
      <c r="N1227" s="1032" t="s">
        <v>1046</v>
      </c>
      <c r="O1227" s="1032">
        <v>2021.0</v>
      </c>
      <c r="P1227" s="1032" t="s">
        <v>1039</v>
      </c>
      <c r="Q1227" s="1033" t="s">
        <v>63</v>
      </c>
      <c r="R1227" s="1034">
        <v>23.74188118</v>
      </c>
      <c r="S1227" s="1034">
        <v>0.663277521</v>
      </c>
      <c r="T1227" s="1035">
        <v>100.6594962</v>
      </c>
      <c r="AB1227" s="1045"/>
    </row>
    <row r="1228">
      <c r="A1228" s="294"/>
      <c r="B1228" s="1019" t="s">
        <v>125</v>
      </c>
      <c r="C1228" s="1020" t="s">
        <v>1035</v>
      </c>
      <c r="D1228" s="1020" t="s">
        <v>1036</v>
      </c>
      <c r="E1228" s="1020" t="s">
        <v>530</v>
      </c>
      <c r="F1228" s="1020">
        <v>2021.0</v>
      </c>
      <c r="G1228" s="1021">
        <v>0.001947567</v>
      </c>
      <c r="H1228" s="1021">
        <v>0.001050037</v>
      </c>
      <c r="I1228" s="1022">
        <v>0.003684182</v>
      </c>
      <c r="K1228" s="1031" t="s">
        <v>137</v>
      </c>
      <c r="L1228" s="1032" t="s">
        <v>552</v>
      </c>
      <c r="M1228" s="1032" t="s">
        <v>1035</v>
      </c>
      <c r="N1228" s="1032" t="s">
        <v>1045</v>
      </c>
      <c r="O1228" s="1032">
        <v>2021.0</v>
      </c>
      <c r="P1228" s="1032" t="s">
        <v>1039</v>
      </c>
      <c r="Q1228" s="1033" t="s">
        <v>63</v>
      </c>
      <c r="R1228" s="1034">
        <v>57.44254279</v>
      </c>
      <c r="S1228" s="1034">
        <v>1.593349935</v>
      </c>
      <c r="T1228" s="1035">
        <v>248.9955473</v>
      </c>
      <c r="AB1228" s="1045"/>
    </row>
    <row r="1229">
      <c r="A1229" s="294"/>
      <c r="B1229" s="1019" t="s">
        <v>125</v>
      </c>
      <c r="C1229" s="1020" t="s">
        <v>1035</v>
      </c>
      <c r="D1229" s="1020" t="s">
        <v>1041</v>
      </c>
      <c r="E1229" s="1020" t="s">
        <v>530</v>
      </c>
      <c r="F1229" s="1020">
        <v>2021.0</v>
      </c>
      <c r="G1229" s="1021">
        <v>0.013029136</v>
      </c>
      <c r="H1229" s="1021">
        <v>0.008404001</v>
      </c>
      <c r="I1229" s="1022">
        <v>0.021112801</v>
      </c>
      <c r="K1229" s="1031" t="s">
        <v>116</v>
      </c>
      <c r="L1229" s="1032" t="s">
        <v>552</v>
      </c>
      <c r="M1229" s="1032" t="s">
        <v>1035</v>
      </c>
      <c r="N1229" s="1032" t="s">
        <v>1038</v>
      </c>
      <c r="O1229" s="1032">
        <v>2021.0</v>
      </c>
      <c r="P1229" s="1032" t="s">
        <v>1039</v>
      </c>
      <c r="Q1229" s="1033" t="s">
        <v>63</v>
      </c>
      <c r="R1229" s="1034">
        <v>331.3215241</v>
      </c>
      <c r="S1229" s="1034">
        <v>11.17112417</v>
      </c>
      <c r="T1229" s="1035">
        <v>1355.275135</v>
      </c>
      <c r="AB1229" s="1045"/>
    </row>
    <row r="1230">
      <c r="A1230" s="294"/>
      <c r="B1230" s="1019" t="s">
        <v>125</v>
      </c>
      <c r="C1230" s="1020" t="s">
        <v>1035</v>
      </c>
      <c r="D1230" s="1020" t="s">
        <v>1043</v>
      </c>
      <c r="E1230" s="1020" t="s">
        <v>530</v>
      </c>
      <c r="F1230" s="1020">
        <v>2021.0</v>
      </c>
      <c r="G1230" s="1021">
        <v>5.57E-5</v>
      </c>
      <c r="H1230" s="1021">
        <v>2.56E-5</v>
      </c>
      <c r="I1230" s="1022">
        <v>1.18883E-4</v>
      </c>
      <c r="K1230" s="1031" t="s">
        <v>116</v>
      </c>
      <c r="L1230" s="1032" t="s">
        <v>552</v>
      </c>
      <c r="M1230" s="1032" t="s">
        <v>1035</v>
      </c>
      <c r="N1230" s="1032" t="s">
        <v>1042</v>
      </c>
      <c r="O1230" s="1032">
        <v>2021.0</v>
      </c>
      <c r="P1230" s="1032" t="s">
        <v>1039</v>
      </c>
      <c r="Q1230" s="1033" t="s">
        <v>63</v>
      </c>
      <c r="R1230" s="1034">
        <v>0.0</v>
      </c>
      <c r="S1230" s="1034">
        <v>0.0</v>
      </c>
      <c r="T1230" s="1035">
        <v>0.0</v>
      </c>
      <c r="AB1230" s="1045"/>
    </row>
    <row r="1231">
      <c r="A1231" s="294"/>
      <c r="B1231" s="1019" t="s">
        <v>125</v>
      </c>
      <c r="C1231" s="1020" t="s">
        <v>1035</v>
      </c>
      <c r="D1231" s="1020" t="s">
        <v>1045</v>
      </c>
      <c r="E1231" s="1020" t="s">
        <v>530</v>
      </c>
      <c r="F1231" s="1020">
        <v>2021.0</v>
      </c>
      <c r="G1231" s="1021">
        <v>2.32857E-4</v>
      </c>
      <c r="H1231" s="1021">
        <v>9.53E-5</v>
      </c>
      <c r="I1231" s="1022">
        <v>5.36123E-4</v>
      </c>
      <c r="K1231" s="1031" t="s">
        <v>116</v>
      </c>
      <c r="L1231" s="1032" t="s">
        <v>552</v>
      </c>
      <c r="M1231" s="1032" t="s">
        <v>1035</v>
      </c>
      <c r="N1231" s="1032" t="s">
        <v>1044</v>
      </c>
      <c r="O1231" s="1032">
        <v>2021.0</v>
      </c>
      <c r="P1231" s="1032" t="s">
        <v>1039</v>
      </c>
      <c r="Q1231" s="1033" t="s">
        <v>63</v>
      </c>
      <c r="R1231" s="1034">
        <v>0.0</v>
      </c>
      <c r="S1231" s="1034">
        <v>0.0</v>
      </c>
      <c r="T1231" s="1035">
        <v>0.0</v>
      </c>
      <c r="AB1231" s="1045"/>
    </row>
    <row r="1232">
      <c r="A1232" s="294"/>
      <c r="B1232" s="1019" t="s">
        <v>126</v>
      </c>
      <c r="C1232" s="1020" t="s">
        <v>1035</v>
      </c>
      <c r="D1232" s="1020" t="s">
        <v>1036</v>
      </c>
      <c r="E1232" s="1020" t="s">
        <v>530</v>
      </c>
      <c r="F1232" s="1020">
        <v>2021.0</v>
      </c>
      <c r="G1232" s="1021">
        <v>0.001891574</v>
      </c>
      <c r="H1232" s="1021">
        <v>0.001043237</v>
      </c>
      <c r="I1232" s="1022">
        <v>0.003450839</v>
      </c>
      <c r="K1232" s="1031" t="s">
        <v>116</v>
      </c>
      <c r="L1232" s="1032" t="s">
        <v>552</v>
      </c>
      <c r="M1232" s="1032" t="s">
        <v>1035</v>
      </c>
      <c r="N1232" s="1032" t="s">
        <v>1046</v>
      </c>
      <c r="O1232" s="1032">
        <v>2021.0</v>
      </c>
      <c r="P1232" s="1032" t="s">
        <v>1039</v>
      </c>
      <c r="Q1232" s="1033" t="s">
        <v>63</v>
      </c>
      <c r="R1232" s="1034">
        <v>199.569061</v>
      </c>
      <c r="S1232" s="1034">
        <v>6.891689069</v>
      </c>
      <c r="T1232" s="1035">
        <v>867.7831342</v>
      </c>
      <c r="AB1232" s="1045"/>
    </row>
    <row r="1233">
      <c r="A1233" s="294"/>
      <c r="B1233" s="1019" t="s">
        <v>126</v>
      </c>
      <c r="C1233" s="1020" t="s">
        <v>1035</v>
      </c>
      <c r="D1233" s="1020" t="s">
        <v>1041</v>
      </c>
      <c r="E1233" s="1020" t="s">
        <v>530</v>
      </c>
      <c r="F1233" s="1020">
        <v>2021.0</v>
      </c>
      <c r="G1233" s="1021">
        <v>0.012334946</v>
      </c>
      <c r="H1233" s="1021">
        <v>0.007961972</v>
      </c>
      <c r="I1233" s="1022">
        <v>0.019394195</v>
      </c>
      <c r="K1233" s="1031" t="s">
        <v>116</v>
      </c>
      <c r="L1233" s="1032" t="s">
        <v>552</v>
      </c>
      <c r="M1233" s="1032" t="s">
        <v>1035</v>
      </c>
      <c r="N1233" s="1032" t="s">
        <v>1045</v>
      </c>
      <c r="O1233" s="1032">
        <v>2021.0</v>
      </c>
      <c r="P1233" s="1032" t="s">
        <v>1039</v>
      </c>
      <c r="Q1233" s="1033" t="s">
        <v>63</v>
      </c>
      <c r="R1233" s="1034">
        <v>530.8905851</v>
      </c>
      <c r="S1233" s="1034">
        <v>18.41726506</v>
      </c>
      <c r="T1233" s="1035">
        <v>2155.293291</v>
      </c>
      <c r="AB1233" s="1045"/>
    </row>
    <row r="1234">
      <c r="A1234" s="294"/>
      <c r="B1234" s="1019" t="s">
        <v>126</v>
      </c>
      <c r="C1234" s="1020" t="s">
        <v>1035</v>
      </c>
      <c r="D1234" s="1020" t="s">
        <v>1043</v>
      </c>
      <c r="E1234" s="1020" t="s">
        <v>530</v>
      </c>
      <c r="F1234" s="1020">
        <v>2021.0</v>
      </c>
      <c r="G1234" s="1021">
        <v>6.09E-5</v>
      </c>
      <c r="H1234" s="1021">
        <v>2.8E-5</v>
      </c>
      <c r="I1234" s="1022">
        <v>1.2252E-4</v>
      </c>
      <c r="K1234" s="1031" t="s">
        <v>138</v>
      </c>
      <c r="L1234" s="1032" t="s">
        <v>552</v>
      </c>
      <c r="M1234" s="1032" t="s">
        <v>1035</v>
      </c>
      <c r="N1234" s="1032" t="s">
        <v>1038</v>
      </c>
      <c r="O1234" s="1032">
        <v>2021.0</v>
      </c>
      <c r="P1234" s="1032" t="s">
        <v>1039</v>
      </c>
      <c r="Q1234" s="1033" t="s">
        <v>63</v>
      </c>
      <c r="R1234" s="1034">
        <v>269.8270457</v>
      </c>
      <c r="S1234" s="1034">
        <v>10.50096376</v>
      </c>
      <c r="T1234" s="1035">
        <v>1210.400982</v>
      </c>
      <c r="AB1234" s="1045"/>
    </row>
    <row r="1235">
      <c r="A1235" s="294"/>
      <c r="B1235" s="1019" t="s">
        <v>126</v>
      </c>
      <c r="C1235" s="1020" t="s">
        <v>1035</v>
      </c>
      <c r="D1235" s="1020" t="s">
        <v>1045</v>
      </c>
      <c r="E1235" s="1020" t="s">
        <v>530</v>
      </c>
      <c r="F1235" s="1020">
        <v>2021.0</v>
      </c>
      <c r="G1235" s="1021">
        <v>2.36873E-4</v>
      </c>
      <c r="H1235" s="1021">
        <v>9.37E-5</v>
      </c>
      <c r="I1235" s="1022">
        <v>5.3785E-4</v>
      </c>
      <c r="K1235" s="1031" t="s">
        <v>138</v>
      </c>
      <c r="L1235" s="1032" t="s">
        <v>552</v>
      </c>
      <c r="M1235" s="1032" t="s">
        <v>1035</v>
      </c>
      <c r="N1235" s="1032" t="s">
        <v>1042</v>
      </c>
      <c r="O1235" s="1032">
        <v>2021.0</v>
      </c>
      <c r="P1235" s="1032" t="s">
        <v>1039</v>
      </c>
      <c r="Q1235" s="1033" t="s">
        <v>63</v>
      </c>
      <c r="R1235" s="1034">
        <v>0.0</v>
      </c>
      <c r="S1235" s="1034">
        <v>0.0</v>
      </c>
      <c r="T1235" s="1035">
        <v>0.0</v>
      </c>
      <c r="AB1235" s="1045"/>
    </row>
    <row r="1236">
      <c r="A1236" s="294"/>
      <c r="B1236" s="1019" t="s">
        <v>114</v>
      </c>
      <c r="C1236" s="1020" t="s">
        <v>1035</v>
      </c>
      <c r="D1236" s="1020" t="s">
        <v>1036</v>
      </c>
      <c r="E1236" s="1020" t="s">
        <v>530</v>
      </c>
      <c r="F1236" s="1020">
        <v>2021.0</v>
      </c>
      <c r="G1236" s="1021">
        <v>0.007150253</v>
      </c>
      <c r="H1236" s="1021">
        <v>0.004375394</v>
      </c>
      <c r="I1236" s="1022">
        <v>0.010311128</v>
      </c>
      <c r="K1236" s="1031" t="s">
        <v>138</v>
      </c>
      <c r="L1236" s="1032" t="s">
        <v>552</v>
      </c>
      <c r="M1236" s="1032" t="s">
        <v>1035</v>
      </c>
      <c r="N1236" s="1032" t="s">
        <v>1044</v>
      </c>
      <c r="O1236" s="1032">
        <v>2021.0</v>
      </c>
      <c r="P1236" s="1032" t="s">
        <v>1039</v>
      </c>
      <c r="Q1236" s="1033" t="s">
        <v>63</v>
      </c>
      <c r="R1236" s="1034">
        <v>0.0</v>
      </c>
      <c r="S1236" s="1034">
        <v>0.0</v>
      </c>
      <c r="T1236" s="1035">
        <v>0.0</v>
      </c>
      <c r="AB1236" s="1045"/>
    </row>
    <row r="1237">
      <c r="A1237" s="294"/>
      <c r="B1237" s="1019" t="s">
        <v>114</v>
      </c>
      <c r="C1237" s="1020" t="s">
        <v>1035</v>
      </c>
      <c r="D1237" s="1020" t="s">
        <v>1041</v>
      </c>
      <c r="E1237" s="1020" t="s">
        <v>530</v>
      </c>
      <c r="F1237" s="1020">
        <v>2021.0</v>
      </c>
      <c r="G1237" s="1021">
        <v>0.049361812</v>
      </c>
      <c r="H1237" s="1021">
        <v>0.032879247</v>
      </c>
      <c r="I1237" s="1022">
        <v>0.069622257</v>
      </c>
      <c r="K1237" s="1031" t="s">
        <v>138</v>
      </c>
      <c r="L1237" s="1032" t="s">
        <v>552</v>
      </c>
      <c r="M1237" s="1032" t="s">
        <v>1035</v>
      </c>
      <c r="N1237" s="1032" t="s">
        <v>1046</v>
      </c>
      <c r="O1237" s="1032">
        <v>2021.0</v>
      </c>
      <c r="P1237" s="1032" t="s">
        <v>1039</v>
      </c>
      <c r="Q1237" s="1033" t="s">
        <v>63</v>
      </c>
      <c r="R1237" s="1034">
        <v>197.5509697</v>
      </c>
      <c r="S1237" s="1034">
        <v>7.230805432</v>
      </c>
      <c r="T1237" s="1035">
        <v>912.5317058</v>
      </c>
      <c r="AB1237" s="1045"/>
    </row>
    <row r="1238">
      <c r="A1238" s="294"/>
      <c r="B1238" s="1019" t="s">
        <v>114</v>
      </c>
      <c r="C1238" s="1020" t="s">
        <v>1035</v>
      </c>
      <c r="D1238" s="1020" t="s">
        <v>1043</v>
      </c>
      <c r="E1238" s="1020" t="s">
        <v>530</v>
      </c>
      <c r="F1238" s="1020">
        <v>2021.0</v>
      </c>
      <c r="G1238" s="1021">
        <v>5.31146E-4</v>
      </c>
      <c r="H1238" s="1021">
        <v>3.37522E-4</v>
      </c>
      <c r="I1238" s="1022">
        <v>7.64988E-4</v>
      </c>
      <c r="K1238" s="1031" t="s">
        <v>138</v>
      </c>
      <c r="L1238" s="1032" t="s">
        <v>552</v>
      </c>
      <c r="M1238" s="1032" t="s">
        <v>1035</v>
      </c>
      <c r="N1238" s="1032" t="s">
        <v>1045</v>
      </c>
      <c r="O1238" s="1032">
        <v>2021.0</v>
      </c>
      <c r="P1238" s="1032" t="s">
        <v>1039</v>
      </c>
      <c r="Q1238" s="1033" t="s">
        <v>63</v>
      </c>
      <c r="R1238" s="1034">
        <v>467.3780154</v>
      </c>
      <c r="S1238" s="1034">
        <v>16.78371873</v>
      </c>
      <c r="T1238" s="1035">
        <v>2196.503911</v>
      </c>
      <c r="AB1238" s="1045"/>
    </row>
    <row r="1239">
      <c r="A1239" s="294"/>
      <c r="B1239" s="1019" t="s">
        <v>114</v>
      </c>
      <c r="C1239" s="1020" t="s">
        <v>1035</v>
      </c>
      <c r="D1239" s="1020" t="s">
        <v>1045</v>
      </c>
      <c r="E1239" s="1020" t="s">
        <v>530</v>
      </c>
      <c r="F1239" s="1020">
        <v>2021.0</v>
      </c>
      <c r="G1239" s="1021">
        <v>0.003629763</v>
      </c>
      <c r="H1239" s="1021">
        <v>0.002156878</v>
      </c>
      <c r="I1239" s="1022">
        <v>0.005439091</v>
      </c>
      <c r="K1239" s="1031" t="s">
        <v>118</v>
      </c>
      <c r="L1239" s="1032" t="s">
        <v>552</v>
      </c>
      <c r="M1239" s="1032" t="s">
        <v>1035</v>
      </c>
      <c r="N1239" s="1032" t="s">
        <v>1038</v>
      </c>
      <c r="O1239" s="1032">
        <v>2021.0</v>
      </c>
      <c r="P1239" s="1032" t="s">
        <v>1039</v>
      </c>
      <c r="Q1239" s="1033" t="s">
        <v>63</v>
      </c>
      <c r="R1239" s="1034">
        <v>616.9600418</v>
      </c>
      <c r="S1239" s="1034">
        <v>20.71074044</v>
      </c>
      <c r="T1239" s="1035">
        <v>2662.743439</v>
      </c>
      <c r="AB1239" s="1045"/>
    </row>
    <row r="1240">
      <c r="A1240" s="294"/>
      <c r="B1240" s="1019" t="s">
        <v>127</v>
      </c>
      <c r="C1240" s="1020" t="s">
        <v>1035</v>
      </c>
      <c r="D1240" s="1020" t="s">
        <v>1036</v>
      </c>
      <c r="E1240" s="1020" t="s">
        <v>530</v>
      </c>
      <c r="F1240" s="1020">
        <v>2021.0</v>
      </c>
      <c r="G1240" s="1021">
        <v>0.002199333</v>
      </c>
      <c r="H1240" s="1021">
        <v>0.001239004</v>
      </c>
      <c r="I1240" s="1022">
        <v>0.003680893</v>
      </c>
      <c r="K1240" s="1031" t="s">
        <v>118</v>
      </c>
      <c r="L1240" s="1032" t="s">
        <v>552</v>
      </c>
      <c r="M1240" s="1032" t="s">
        <v>1035</v>
      </c>
      <c r="N1240" s="1032" t="s">
        <v>1042</v>
      </c>
      <c r="O1240" s="1032">
        <v>2021.0</v>
      </c>
      <c r="P1240" s="1032" t="s">
        <v>1039</v>
      </c>
      <c r="Q1240" s="1033" t="s">
        <v>63</v>
      </c>
      <c r="R1240" s="1034">
        <v>0.0</v>
      </c>
      <c r="S1240" s="1034">
        <v>0.0</v>
      </c>
      <c r="T1240" s="1035">
        <v>0.0</v>
      </c>
      <c r="AB1240" s="1045"/>
    </row>
    <row r="1241">
      <c r="A1241" s="294"/>
      <c r="B1241" s="1019" t="s">
        <v>127</v>
      </c>
      <c r="C1241" s="1020" t="s">
        <v>1035</v>
      </c>
      <c r="D1241" s="1020" t="s">
        <v>1041</v>
      </c>
      <c r="E1241" s="1020" t="s">
        <v>530</v>
      </c>
      <c r="F1241" s="1020">
        <v>2021.0</v>
      </c>
      <c r="G1241" s="1021">
        <v>0.014655927</v>
      </c>
      <c r="H1241" s="1021">
        <v>0.009624817</v>
      </c>
      <c r="I1241" s="1022">
        <v>0.022122385</v>
      </c>
      <c r="K1241" s="1031" t="s">
        <v>118</v>
      </c>
      <c r="L1241" s="1032" t="s">
        <v>552</v>
      </c>
      <c r="M1241" s="1032" t="s">
        <v>1035</v>
      </c>
      <c r="N1241" s="1032" t="s">
        <v>1044</v>
      </c>
      <c r="O1241" s="1032">
        <v>2021.0</v>
      </c>
      <c r="P1241" s="1032" t="s">
        <v>1039</v>
      </c>
      <c r="Q1241" s="1033" t="s">
        <v>63</v>
      </c>
      <c r="R1241" s="1034">
        <v>0.0</v>
      </c>
      <c r="S1241" s="1034">
        <v>0.0</v>
      </c>
      <c r="T1241" s="1035">
        <v>0.0</v>
      </c>
      <c r="AB1241" s="1045"/>
    </row>
    <row r="1242">
      <c r="A1242" s="294"/>
      <c r="B1242" s="1019" t="s">
        <v>127</v>
      </c>
      <c r="C1242" s="1020" t="s">
        <v>1035</v>
      </c>
      <c r="D1242" s="1020" t="s">
        <v>1043</v>
      </c>
      <c r="E1242" s="1020" t="s">
        <v>530</v>
      </c>
      <c r="F1242" s="1020">
        <v>2021.0</v>
      </c>
      <c r="G1242" s="1021">
        <v>6.31E-5</v>
      </c>
      <c r="H1242" s="1021">
        <v>3.27E-5</v>
      </c>
      <c r="I1242" s="1022">
        <v>1.19294E-4</v>
      </c>
      <c r="K1242" s="1031" t="s">
        <v>118</v>
      </c>
      <c r="L1242" s="1032" t="s">
        <v>552</v>
      </c>
      <c r="M1242" s="1032" t="s">
        <v>1035</v>
      </c>
      <c r="N1242" s="1032" t="s">
        <v>1046</v>
      </c>
      <c r="O1242" s="1032">
        <v>2021.0</v>
      </c>
      <c r="P1242" s="1032" t="s">
        <v>1039</v>
      </c>
      <c r="Q1242" s="1033" t="s">
        <v>63</v>
      </c>
      <c r="R1242" s="1034">
        <v>363.1260394</v>
      </c>
      <c r="S1242" s="1034">
        <v>11.15523985</v>
      </c>
      <c r="T1242" s="1035">
        <v>1508.90124</v>
      </c>
      <c r="AB1242" s="1045"/>
    </row>
    <row r="1243">
      <c r="A1243" s="294"/>
      <c r="B1243" s="1019" t="s">
        <v>127</v>
      </c>
      <c r="C1243" s="1020" t="s">
        <v>1035</v>
      </c>
      <c r="D1243" s="1020" t="s">
        <v>1045</v>
      </c>
      <c r="E1243" s="1020" t="s">
        <v>530</v>
      </c>
      <c r="F1243" s="1020">
        <v>2021.0</v>
      </c>
      <c r="G1243" s="1021">
        <v>3.42083E-4</v>
      </c>
      <c r="H1243" s="1021">
        <v>1.51876E-4</v>
      </c>
      <c r="I1243" s="1022">
        <v>7.4449E-4</v>
      </c>
      <c r="K1243" s="1031" t="s">
        <v>118</v>
      </c>
      <c r="L1243" s="1032" t="s">
        <v>552</v>
      </c>
      <c r="M1243" s="1032" t="s">
        <v>1035</v>
      </c>
      <c r="N1243" s="1032" t="s">
        <v>1045</v>
      </c>
      <c r="O1243" s="1032">
        <v>2021.0</v>
      </c>
      <c r="P1243" s="1032" t="s">
        <v>1039</v>
      </c>
      <c r="Q1243" s="1033" t="s">
        <v>63</v>
      </c>
      <c r="R1243" s="1034">
        <v>980.0860812</v>
      </c>
      <c r="S1243" s="1034">
        <v>32.5823938</v>
      </c>
      <c r="T1243" s="1035">
        <v>4152.91114</v>
      </c>
      <c r="AB1243" s="1045"/>
    </row>
    <row r="1244">
      <c r="A1244" s="294"/>
      <c r="B1244" s="1019" t="s">
        <v>128</v>
      </c>
      <c r="C1244" s="1020" t="s">
        <v>1035</v>
      </c>
      <c r="D1244" s="1020" t="s">
        <v>1036</v>
      </c>
      <c r="E1244" s="1020" t="s">
        <v>530</v>
      </c>
      <c r="F1244" s="1020">
        <v>2021.0</v>
      </c>
      <c r="G1244" s="1021">
        <v>0.00325216</v>
      </c>
      <c r="H1244" s="1021">
        <v>0.001750061</v>
      </c>
      <c r="I1244" s="1022">
        <v>0.005499443</v>
      </c>
      <c r="K1244" s="1031" t="s">
        <v>119</v>
      </c>
      <c r="L1244" s="1032" t="s">
        <v>552</v>
      </c>
      <c r="M1244" s="1032" t="s">
        <v>1035</v>
      </c>
      <c r="N1244" s="1032" t="s">
        <v>1038</v>
      </c>
      <c r="O1244" s="1032">
        <v>2021.0</v>
      </c>
      <c r="P1244" s="1032" t="s">
        <v>1039</v>
      </c>
      <c r="Q1244" s="1033" t="s">
        <v>63</v>
      </c>
      <c r="R1244" s="1034">
        <v>482.0254817</v>
      </c>
      <c r="S1244" s="1034">
        <v>19.59217806</v>
      </c>
      <c r="T1244" s="1035">
        <v>2076.961964</v>
      </c>
      <c r="AB1244" s="1045"/>
    </row>
    <row r="1245">
      <c r="A1245" s="294"/>
      <c r="B1245" s="1019" t="s">
        <v>128</v>
      </c>
      <c r="C1245" s="1020" t="s">
        <v>1035</v>
      </c>
      <c r="D1245" s="1020" t="s">
        <v>1041</v>
      </c>
      <c r="E1245" s="1020" t="s">
        <v>530</v>
      </c>
      <c r="F1245" s="1020">
        <v>2021.0</v>
      </c>
      <c r="G1245" s="1021">
        <v>0.021009252</v>
      </c>
      <c r="H1245" s="1021">
        <v>0.012805389</v>
      </c>
      <c r="I1245" s="1022">
        <v>0.032269743</v>
      </c>
      <c r="K1245" s="1031" t="s">
        <v>119</v>
      </c>
      <c r="L1245" s="1032" t="s">
        <v>552</v>
      </c>
      <c r="M1245" s="1032" t="s">
        <v>1035</v>
      </c>
      <c r="N1245" s="1032" t="s">
        <v>1042</v>
      </c>
      <c r="O1245" s="1032">
        <v>2021.0</v>
      </c>
      <c r="P1245" s="1032" t="s">
        <v>1039</v>
      </c>
      <c r="Q1245" s="1033" t="s">
        <v>63</v>
      </c>
      <c r="R1245" s="1034">
        <v>0.0</v>
      </c>
      <c r="S1245" s="1034">
        <v>0.0</v>
      </c>
      <c r="T1245" s="1035">
        <v>0.0</v>
      </c>
      <c r="AB1245" s="1045"/>
    </row>
    <row r="1246">
      <c r="A1246" s="294"/>
      <c r="B1246" s="1019" t="s">
        <v>128</v>
      </c>
      <c r="C1246" s="1020" t="s">
        <v>1035</v>
      </c>
      <c r="D1246" s="1020" t="s">
        <v>1043</v>
      </c>
      <c r="E1246" s="1020" t="s">
        <v>530</v>
      </c>
      <c r="F1246" s="1020">
        <v>2021.0</v>
      </c>
      <c r="G1246" s="1021">
        <v>1.51165E-4</v>
      </c>
      <c r="H1246" s="1021">
        <v>8.56E-5</v>
      </c>
      <c r="I1246" s="1022">
        <v>2.62784E-4</v>
      </c>
      <c r="K1246" s="1031" t="s">
        <v>119</v>
      </c>
      <c r="L1246" s="1032" t="s">
        <v>552</v>
      </c>
      <c r="M1246" s="1032" t="s">
        <v>1035</v>
      </c>
      <c r="N1246" s="1032" t="s">
        <v>1044</v>
      </c>
      <c r="O1246" s="1032">
        <v>2021.0</v>
      </c>
      <c r="P1246" s="1032" t="s">
        <v>1039</v>
      </c>
      <c r="Q1246" s="1033" t="s">
        <v>63</v>
      </c>
      <c r="R1246" s="1034">
        <v>0.0</v>
      </c>
      <c r="S1246" s="1034">
        <v>0.0</v>
      </c>
      <c r="T1246" s="1035">
        <v>0.0</v>
      </c>
      <c r="AB1246" s="1045"/>
    </row>
    <row r="1247">
      <c r="A1247" s="294"/>
      <c r="B1247" s="1019" t="s">
        <v>128</v>
      </c>
      <c r="C1247" s="1020" t="s">
        <v>1035</v>
      </c>
      <c r="D1247" s="1020" t="s">
        <v>1045</v>
      </c>
      <c r="E1247" s="1020" t="s">
        <v>530</v>
      </c>
      <c r="F1247" s="1020">
        <v>2021.0</v>
      </c>
      <c r="G1247" s="1021">
        <v>5.61141E-4</v>
      </c>
      <c r="H1247" s="1021">
        <v>2.88256E-4</v>
      </c>
      <c r="I1247" s="1022">
        <v>0.001130567</v>
      </c>
      <c r="K1247" s="1031" t="s">
        <v>119</v>
      </c>
      <c r="L1247" s="1032" t="s">
        <v>552</v>
      </c>
      <c r="M1247" s="1032" t="s">
        <v>1035</v>
      </c>
      <c r="N1247" s="1032" t="s">
        <v>1046</v>
      </c>
      <c r="O1247" s="1032">
        <v>2021.0</v>
      </c>
      <c r="P1247" s="1032" t="s">
        <v>1039</v>
      </c>
      <c r="Q1247" s="1033" t="s">
        <v>63</v>
      </c>
      <c r="R1247" s="1034">
        <v>306.1586707</v>
      </c>
      <c r="S1247" s="1034">
        <v>13.31540054</v>
      </c>
      <c r="T1247" s="1035">
        <v>1362.726081</v>
      </c>
      <c r="AB1247" s="1045"/>
    </row>
    <row r="1248">
      <c r="A1248" s="294"/>
      <c r="B1248" s="1019" t="s">
        <v>129</v>
      </c>
      <c r="C1248" s="1020" t="s">
        <v>1035</v>
      </c>
      <c r="D1248" s="1020" t="s">
        <v>1036</v>
      </c>
      <c r="E1248" s="1020" t="s">
        <v>530</v>
      </c>
      <c r="F1248" s="1020">
        <v>2021.0</v>
      </c>
      <c r="G1248" s="1021">
        <v>0.002925094</v>
      </c>
      <c r="H1248" s="1021">
        <v>0.001545303</v>
      </c>
      <c r="I1248" s="1022">
        <v>0.004511951</v>
      </c>
      <c r="K1248" s="1031" t="s">
        <v>119</v>
      </c>
      <c r="L1248" s="1032" t="s">
        <v>552</v>
      </c>
      <c r="M1248" s="1032" t="s">
        <v>1035</v>
      </c>
      <c r="N1248" s="1032" t="s">
        <v>1045</v>
      </c>
      <c r="O1248" s="1032">
        <v>2021.0</v>
      </c>
      <c r="P1248" s="1032" t="s">
        <v>1039</v>
      </c>
      <c r="Q1248" s="1033" t="s">
        <v>63</v>
      </c>
      <c r="R1248" s="1034">
        <v>788.1841524</v>
      </c>
      <c r="S1248" s="1034">
        <v>34.42498994</v>
      </c>
      <c r="T1248" s="1035">
        <v>3486.41006</v>
      </c>
      <c r="AB1248" s="1045"/>
    </row>
    <row r="1249">
      <c r="A1249" s="294"/>
      <c r="B1249" s="1019" t="s">
        <v>129</v>
      </c>
      <c r="C1249" s="1020" t="s">
        <v>1035</v>
      </c>
      <c r="D1249" s="1020" t="s">
        <v>1041</v>
      </c>
      <c r="E1249" s="1020" t="s">
        <v>530</v>
      </c>
      <c r="F1249" s="1020">
        <v>2021.0</v>
      </c>
      <c r="G1249" s="1021">
        <v>0.022167906</v>
      </c>
      <c r="H1249" s="1021">
        <v>0.012788943</v>
      </c>
      <c r="I1249" s="1022">
        <v>0.033505749</v>
      </c>
      <c r="K1249" s="1031" t="s">
        <v>120</v>
      </c>
      <c r="L1249" s="1032" t="s">
        <v>552</v>
      </c>
      <c r="M1249" s="1032" t="s">
        <v>1035</v>
      </c>
      <c r="N1249" s="1032" t="s">
        <v>1038</v>
      </c>
      <c r="O1249" s="1032">
        <v>2021.0</v>
      </c>
      <c r="P1249" s="1032" t="s">
        <v>1039</v>
      </c>
      <c r="Q1249" s="1033" t="s">
        <v>63</v>
      </c>
      <c r="R1249" s="1034">
        <v>252.0766394</v>
      </c>
      <c r="S1249" s="1034">
        <v>9.836468768</v>
      </c>
      <c r="T1249" s="1035">
        <v>1029.409299</v>
      </c>
      <c r="AB1249" s="1045"/>
    </row>
    <row r="1250">
      <c r="A1250" s="294"/>
      <c r="B1250" s="1019" t="s">
        <v>129</v>
      </c>
      <c r="C1250" s="1020" t="s">
        <v>1035</v>
      </c>
      <c r="D1250" s="1020" t="s">
        <v>1043</v>
      </c>
      <c r="E1250" s="1020" t="s">
        <v>530</v>
      </c>
      <c r="F1250" s="1020">
        <v>2021.0</v>
      </c>
      <c r="G1250" s="1021">
        <v>1.39579E-4</v>
      </c>
      <c r="H1250" s="1021">
        <v>8.29E-5</v>
      </c>
      <c r="I1250" s="1022">
        <v>2.23597E-4</v>
      </c>
      <c r="K1250" s="1031" t="s">
        <v>120</v>
      </c>
      <c r="L1250" s="1032" t="s">
        <v>552</v>
      </c>
      <c r="M1250" s="1032" t="s">
        <v>1035</v>
      </c>
      <c r="N1250" s="1032" t="s">
        <v>1042</v>
      </c>
      <c r="O1250" s="1032">
        <v>2021.0</v>
      </c>
      <c r="P1250" s="1032" t="s">
        <v>1039</v>
      </c>
      <c r="Q1250" s="1033" t="s">
        <v>63</v>
      </c>
      <c r="R1250" s="1034">
        <v>0.0</v>
      </c>
      <c r="S1250" s="1034">
        <v>0.0</v>
      </c>
      <c r="T1250" s="1035">
        <v>0.0</v>
      </c>
      <c r="AB1250" s="1045"/>
    </row>
    <row r="1251">
      <c r="A1251" s="294"/>
      <c r="B1251" s="1019" t="s">
        <v>129</v>
      </c>
      <c r="C1251" s="1020" t="s">
        <v>1035</v>
      </c>
      <c r="D1251" s="1020" t="s">
        <v>1045</v>
      </c>
      <c r="E1251" s="1020" t="s">
        <v>530</v>
      </c>
      <c r="F1251" s="1020">
        <v>2021.0</v>
      </c>
      <c r="G1251" s="1021">
        <v>5.40748E-4</v>
      </c>
      <c r="H1251" s="1021">
        <v>2.40891E-4</v>
      </c>
      <c r="I1251" s="1022">
        <v>0.001158483</v>
      </c>
      <c r="K1251" s="1031" t="s">
        <v>120</v>
      </c>
      <c r="L1251" s="1032" t="s">
        <v>552</v>
      </c>
      <c r="M1251" s="1032" t="s">
        <v>1035</v>
      </c>
      <c r="N1251" s="1032" t="s">
        <v>1044</v>
      </c>
      <c r="O1251" s="1032">
        <v>2021.0</v>
      </c>
      <c r="P1251" s="1032" t="s">
        <v>1039</v>
      </c>
      <c r="Q1251" s="1033" t="s">
        <v>63</v>
      </c>
      <c r="R1251" s="1034">
        <v>0.0</v>
      </c>
      <c r="S1251" s="1034">
        <v>0.0</v>
      </c>
      <c r="T1251" s="1035">
        <v>0.0</v>
      </c>
      <c r="AB1251" s="1045"/>
    </row>
    <row r="1252">
      <c r="A1252" s="294"/>
      <c r="B1252" s="1019" t="s">
        <v>130</v>
      </c>
      <c r="C1252" s="1020" t="s">
        <v>1035</v>
      </c>
      <c r="D1252" s="1020" t="s">
        <v>1036</v>
      </c>
      <c r="E1252" s="1020" t="s">
        <v>530</v>
      </c>
      <c r="F1252" s="1020">
        <v>2021.0</v>
      </c>
      <c r="G1252" s="1021">
        <v>0.002153522</v>
      </c>
      <c r="H1252" s="1021">
        <v>0.001167705</v>
      </c>
      <c r="I1252" s="1022">
        <v>0.00381044</v>
      </c>
      <c r="K1252" s="1031" t="s">
        <v>120</v>
      </c>
      <c r="L1252" s="1032" t="s">
        <v>552</v>
      </c>
      <c r="M1252" s="1032" t="s">
        <v>1035</v>
      </c>
      <c r="N1252" s="1032" t="s">
        <v>1046</v>
      </c>
      <c r="O1252" s="1032">
        <v>2021.0</v>
      </c>
      <c r="P1252" s="1032" t="s">
        <v>1039</v>
      </c>
      <c r="Q1252" s="1033" t="s">
        <v>63</v>
      </c>
      <c r="R1252" s="1034">
        <v>151.4564727</v>
      </c>
      <c r="S1252" s="1034">
        <v>4.963322823</v>
      </c>
      <c r="T1252" s="1035">
        <v>680.86946</v>
      </c>
      <c r="AB1252" s="1045"/>
    </row>
    <row r="1253">
      <c r="A1253" s="294"/>
      <c r="B1253" s="1019" t="s">
        <v>130</v>
      </c>
      <c r="C1253" s="1020" t="s">
        <v>1035</v>
      </c>
      <c r="D1253" s="1020" t="s">
        <v>1041</v>
      </c>
      <c r="E1253" s="1020" t="s">
        <v>530</v>
      </c>
      <c r="F1253" s="1020">
        <v>2021.0</v>
      </c>
      <c r="G1253" s="1021">
        <v>0.014441764</v>
      </c>
      <c r="H1253" s="1021">
        <v>0.00984448</v>
      </c>
      <c r="I1253" s="1022">
        <v>0.021592899</v>
      </c>
      <c r="K1253" s="1031" t="s">
        <v>120</v>
      </c>
      <c r="L1253" s="1032" t="s">
        <v>552</v>
      </c>
      <c r="M1253" s="1032" t="s">
        <v>1035</v>
      </c>
      <c r="N1253" s="1032" t="s">
        <v>1045</v>
      </c>
      <c r="O1253" s="1032">
        <v>2021.0</v>
      </c>
      <c r="P1253" s="1032" t="s">
        <v>1039</v>
      </c>
      <c r="Q1253" s="1033" t="s">
        <v>63</v>
      </c>
      <c r="R1253" s="1034">
        <v>403.5331121</v>
      </c>
      <c r="S1253" s="1034">
        <v>14.52004029</v>
      </c>
      <c r="T1253" s="1035">
        <v>1706.488063</v>
      </c>
      <c r="AB1253" s="1045"/>
    </row>
    <row r="1254">
      <c r="A1254" s="294"/>
      <c r="B1254" s="1019" t="s">
        <v>130</v>
      </c>
      <c r="C1254" s="1020" t="s">
        <v>1035</v>
      </c>
      <c r="D1254" s="1020" t="s">
        <v>1043</v>
      </c>
      <c r="E1254" s="1020" t="s">
        <v>530</v>
      </c>
      <c r="F1254" s="1020">
        <v>2021.0</v>
      </c>
      <c r="G1254" s="1021">
        <v>6.49E-5</v>
      </c>
      <c r="H1254" s="1021">
        <v>3.68E-5</v>
      </c>
      <c r="I1254" s="1022">
        <v>1.16721E-4</v>
      </c>
      <c r="K1254" s="1031" t="s">
        <v>139</v>
      </c>
      <c r="L1254" s="1032" t="s">
        <v>552</v>
      </c>
      <c r="M1254" s="1032" t="s">
        <v>1035</v>
      </c>
      <c r="N1254" s="1032" t="s">
        <v>1038</v>
      </c>
      <c r="O1254" s="1032">
        <v>2021.0</v>
      </c>
      <c r="P1254" s="1032" t="s">
        <v>1039</v>
      </c>
      <c r="Q1254" s="1033" t="s">
        <v>63</v>
      </c>
      <c r="R1254" s="1034">
        <v>54.11424452</v>
      </c>
      <c r="S1254" s="1034">
        <v>1.573026226</v>
      </c>
      <c r="T1254" s="1035">
        <v>242.2191398</v>
      </c>
      <c r="AB1254" s="1045"/>
    </row>
    <row r="1255">
      <c r="A1255" s="294"/>
      <c r="B1255" s="1019" t="s">
        <v>130</v>
      </c>
      <c r="C1255" s="1020" t="s">
        <v>1035</v>
      </c>
      <c r="D1255" s="1020" t="s">
        <v>1045</v>
      </c>
      <c r="E1255" s="1020" t="s">
        <v>530</v>
      </c>
      <c r="F1255" s="1020">
        <v>2021.0</v>
      </c>
      <c r="G1255" s="1021">
        <v>3.08884E-4</v>
      </c>
      <c r="H1255" s="1021">
        <v>1.4723E-4</v>
      </c>
      <c r="I1255" s="1022">
        <v>6.26124E-4</v>
      </c>
      <c r="K1255" s="1031" t="s">
        <v>139</v>
      </c>
      <c r="L1255" s="1032" t="s">
        <v>552</v>
      </c>
      <c r="M1255" s="1032" t="s">
        <v>1035</v>
      </c>
      <c r="N1255" s="1032" t="s">
        <v>1042</v>
      </c>
      <c r="O1255" s="1032">
        <v>2021.0</v>
      </c>
      <c r="P1255" s="1032" t="s">
        <v>1039</v>
      </c>
      <c r="Q1255" s="1033" t="s">
        <v>63</v>
      </c>
      <c r="R1255" s="1034">
        <v>0.0</v>
      </c>
      <c r="S1255" s="1034">
        <v>0.0</v>
      </c>
      <c r="T1255" s="1035">
        <v>0.0</v>
      </c>
      <c r="AB1255" s="1045"/>
    </row>
    <row r="1256">
      <c r="A1256" s="294"/>
      <c r="B1256" s="1019" t="s">
        <v>131</v>
      </c>
      <c r="C1256" s="1020" t="s">
        <v>1035</v>
      </c>
      <c r="D1256" s="1020" t="s">
        <v>1036</v>
      </c>
      <c r="E1256" s="1020" t="s">
        <v>530</v>
      </c>
      <c r="F1256" s="1020">
        <v>2021.0</v>
      </c>
      <c r="G1256" s="1021">
        <v>0.002148009</v>
      </c>
      <c r="H1256" s="1021">
        <v>0.00119544</v>
      </c>
      <c r="I1256" s="1022">
        <v>0.003812742</v>
      </c>
      <c r="K1256" s="1031" t="s">
        <v>139</v>
      </c>
      <c r="L1256" s="1032" t="s">
        <v>552</v>
      </c>
      <c r="M1256" s="1032" t="s">
        <v>1035</v>
      </c>
      <c r="N1256" s="1032" t="s">
        <v>1044</v>
      </c>
      <c r="O1256" s="1032">
        <v>2021.0</v>
      </c>
      <c r="P1256" s="1032" t="s">
        <v>1039</v>
      </c>
      <c r="Q1256" s="1033" t="s">
        <v>63</v>
      </c>
      <c r="R1256" s="1034">
        <v>0.0</v>
      </c>
      <c r="S1256" s="1034">
        <v>0.0</v>
      </c>
      <c r="T1256" s="1035">
        <v>0.0</v>
      </c>
      <c r="AB1256" s="1045"/>
    </row>
    <row r="1257">
      <c r="A1257" s="294"/>
      <c r="B1257" s="1019" t="s">
        <v>131</v>
      </c>
      <c r="C1257" s="1020" t="s">
        <v>1035</v>
      </c>
      <c r="D1257" s="1020" t="s">
        <v>1041</v>
      </c>
      <c r="E1257" s="1020" t="s">
        <v>530</v>
      </c>
      <c r="F1257" s="1020">
        <v>2021.0</v>
      </c>
      <c r="G1257" s="1021">
        <v>0.011944601</v>
      </c>
      <c r="H1257" s="1021">
        <v>0.007472546</v>
      </c>
      <c r="I1257" s="1022">
        <v>0.018588839</v>
      </c>
      <c r="K1257" s="1031" t="s">
        <v>139</v>
      </c>
      <c r="L1257" s="1032" t="s">
        <v>552</v>
      </c>
      <c r="M1257" s="1032" t="s">
        <v>1035</v>
      </c>
      <c r="N1257" s="1032" t="s">
        <v>1046</v>
      </c>
      <c r="O1257" s="1032">
        <v>2021.0</v>
      </c>
      <c r="P1257" s="1032" t="s">
        <v>1039</v>
      </c>
      <c r="Q1257" s="1033" t="s">
        <v>63</v>
      </c>
      <c r="R1257" s="1034">
        <v>35.1694165</v>
      </c>
      <c r="S1257" s="1034">
        <v>1.055819944</v>
      </c>
      <c r="T1257" s="1035">
        <v>157.0209173</v>
      </c>
      <c r="AB1257" s="1045"/>
    </row>
    <row r="1258">
      <c r="A1258" s="294"/>
      <c r="B1258" s="1019" t="s">
        <v>131</v>
      </c>
      <c r="C1258" s="1020" t="s">
        <v>1035</v>
      </c>
      <c r="D1258" s="1020" t="s">
        <v>1043</v>
      </c>
      <c r="E1258" s="1020" t="s">
        <v>530</v>
      </c>
      <c r="F1258" s="1020">
        <v>2021.0</v>
      </c>
      <c r="G1258" s="1021">
        <v>7.6E-5</v>
      </c>
      <c r="H1258" s="1021">
        <v>3.74E-5</v>
      </c>
      <c r="I1258" s="1022">
        <v>1.55376E-4</v>
      </c>
      <c r="K1258" s="1031" t="s">
        <v>139</v>
      </c>
      <c r="L1258" s="1032" t="s">
        <v>552</v>
      </c>
      <c r="M1258" s="1032" t="s">
        <v>1035</v>
      </c>
      <c r="N1258" s="1032" t="s">
        <v>1045</v>
      </c>
      <c r="O1258" s="1032">
        <v>2021.0</v>
      </c>
      <c r="P1258" s="1032" t="s">
        <v>1039</v>
      </c>
      <c r="Q1258" s="1033" t="s">
        <v>63</v>
      </c>
      <c r="R1258" s="1034">
        <v>89.28366102</v>
      </c>
      <c r="S1258" s="1034">
        <v>2.634681885</v>
      </c>
      <c r="T1258" s="1035">
        <v>392.7374903</v>
      </c>
      <c r="AB1258" s="1045"/>
    </row>
    <row r="1259">
      <c r="A1259" s="294"/>
      <c r="B1259" s="1019" t="s">
        <v>131</v>
      </c>
      <c r="C1259" s="1020" t="s">
        <v>1035</v>
      </c>
      <c r="D1259" s="1020" t="s">
        <v>1045</v>
      </c>
      <c r="E1259" s="1020" t="s">
        <v>530</v>
      </c>
      <c r="F1259" s="1020">
        <v>2021.0</v>
      </c>
      <c r="G1259" s="1021">
        <v>3.4876E-4</v>
      </c>
      <c r="H1259" s="1021">
        <v>1.46719E-4</v>
      </c>
      <c r="I1259" s="1022">
        <v>7.07363E-4</v>
      </c>
      <c r="K1259" s="1031" t="s">
        <v>140</v>
      </c>
      <c r="L1259" s="1032" t="s">
        <v>552</v>
      </c>
      <c r="M1259" s="1032" t="s">
        <v>1035</v>
      </c>
      <c r="N1259" s="1032" t="s">
        <v>1038</v>
      </c>
      <c r="O1259" s="1032">
        <v>2021.0</v>
      </c>
      <c r="P1259" s="1032" t="s">
        <v>1039</v>
      </c>
      <c r="Q1259" s="1033" t="s">
        <v>63</v>
      </c>
      <c r="R1259" s="1034">
        <v>21.21524392</v>
      </c>
      <c r="S1259" s="1034">
        <v>0.669481307</v>
      </c>
      <c r="T1259" s="1035">
        <v>84.97213202</v>
      </c>
      <c r="AB1259" s="1045"/>
    </row>
    <row r="1260">
      <c r="A1260" s="294"/>
      <c r="B1260" s="1019" t="s">
        <v>132</v>
      </c>
      <c r="C1260" s="1020" t="s">
        <v>1035</v>
      </c>
      <c r="D1260" s="1020" t="s">
        <v>1036</v>
      </c>
      <c r="E1260" s="1020" t="s">
        <v>530</v>
      </c>
      <c r="F1260" s="1020">
        <v>2021.0</v>
      </c>
      <c r="G1260" s="1021">
        <v>0.002777193</v>
      </c>
      <c r="H1260" s="1021">
        <v>0.001537874</v>
      </c>
      <c r="I1260" s="1022">
        <v>0.004546583</v>
      </c>
      <c r="K1260" s="1031" t="s">
        <v>140</v>
      </c>
      <c r="L1260" s="1032" t="s">
        <v>552</v>
      </c>
      <c r="M1260" s="1032" t="s">
        <v>1035</v>
      </c>
      <c r="N1260" s="1032" t="s">
        <v>1042</v>
      </c>
      <c r="O1260" s="1032">
        <v>2021.0</v>
      </c>
      <c r="P1260" s="1032" t="s">
        <v>1039</v>
      </c>
      <c r="Q1260" s="1033" t="s">
        <v>63</v>
      </c>
      <c r="R1260" s="1034">
        <v>0.0</v>
      </c>
      <c r="S1260" s="1034">
        <v>0.0</v>
      </c>
      <c r="T1260" s="1035">
        <v>0.0</v>
      </c>
      <c r="AB1260" s="1045"/>
    </row>
    <row r="1261">
      <c r="A1261" s="294"/>
      <c r="B1261" s="1019" t="s">
        <v>132</v>
      </c>
      <c r="C1261" s="1020" t="s">
        <v>1035</v>
      </c>
      <c r="D1261" s="1020" t="s">
        <v>1041</v>
      </c>
      <c r="E1261" s="1020" t="s">
        <v>530</v>
      </c>
      <c r="F1261" s="1020">
        <v>2021.0</v>
      </c>
      <c r="G1261" s="1021">
        <v>0.01787577</v>
      </c>
      <c r="H1261" s="1021">
        <v>0.011611181</v>
      </c>
      <c r="I1261" s="1022">
        <v>0.026035981</v>
      </c>
      <c r="K1261" s="1031" t="s">
        <v>140</v>
      </c>
      <c r="L1261" s="1032" t="s">
        <v>552</v>
      </c>
      <c r="M1261" s="1032" t="s">
        <v>1035</v>
      </c>
      <c r="N1261" s="1032" t="s">
        <v>1044</v>
      </c>
      <c r="O1261" s="1032">
        <v>2021.0</v>
      </c>
      <c r="P1261" s="1032" t="s">
        <v>1039</v>
      </c>
      <c r="Q1261" s="1033" t="s">
        <v>63</v>
      </c>
      <c r="R1261" s="1034">
        <v>0.0</v>
      </c>
      <c r="S1261" s="1034">
        <v>0.0</v>
      </c>
      <c r="T1261" s="1035">
        <v>0.0</v>
      </c>
      <c r="AB1261" s="1045"/>
    </row>
    <row r="1262">
      <c r="A1262" s="294"/>
      <c r="B1262" s="1019" t="s">
        <v>132</v>
      </c>
      <c r="C1262" s="1020" t="s">
        <v>1035</v>
      </c>
      <c r="D1262" s="1020" t="s">
        <v>1043</v>
      </c>
      <c r="E1262" s="1020" t="s">
        <v>530</v>
      </c>
      <c r="F1262" s="1020">
        <v>2021.0</v>
      </c>
      <c r="G1262" s="1021">
        <v>1.16521E-4</v>
      </c>
      <c r="H1262" s="1021">
        <v>6.14E-5</v>
      </c>
      <c r="I1262" s="1022">
        <v>2.05347E-4</v>
      </c>
      <c r="K1262" s="1031" t="s">
        <v>140</v>
      </c>
      <c r="L1262" s="1032" t="s">
        <v>552</v>
      </c>
      <c r="M1262" s="1032" t="s">
        <v>1035</v>
      </c>
      <c r="N1262" s="1032" t="s">
        <v>1046</v>
      </c>
      <c r="O1262" s="1032">
        <v>2021.0</v>
      </c>
      <c r="P1262" s="1032" t="s">
        <v>1039</v>
      </c>
      <c r="Q1262" s="1033" t="s">
        <v>63</v>
      </c>
      <c r="R1262" s="1034">
        <v>15.15255535</v>
      </c>
      <c r="S1262" s="1034">
        <v>0.488523354</v>
      </c>
      <c r="T1262" s="1035">
        <v>60.68710378</v>
      </c>
      <c r="AB1262" s="1045"/>
    </row>
    <row r="1263">
      <c r="A1263" s="294"/>
      <c r="B1263" s="1019" t="s">
        <v>132</v>
      </c>
      <c r="C1263" s="1020" t="s">
        <v>1035</v>
      </c>
      <c r="D1263" s="1020" t="s">
        <v>1045</v>
      </c>
      <c r="E1263" s="1020" t="s">
        <v>530</v>
      </c>
      <c r="F1263" s="1020">
        <v>2021.0</v>
      </c>
      <c r="G1263" s="1021">
        <v>4.84387E-4</v>
      </c>
      <c r="H1263" s="1021">
        <v>2.33409E-4</v>
      </c>
      <c r="I1263" s="1022">
        <v>9.31942E-4</v>
      </c>
      <c r="K1263" s="1031" t="s">
        <v>140</v>
      </c>
      <c r="L1263" s="1032" t="s">
        <v>552</v>
      </c>
      <c r="M1263" s="1032" t="s">
        <v>1035</v>
      </c>
      <c r="N1263" s="1032" t="s">
        <v>1045</v>
      </c>
      <c r="O1263" s="1032">
        <v>2021.0</v>
      </c>
      <c r="P1263" s="1032" t="s">
        <v>1039</v>
      </c>
      <c r="Q1263" s="1033" t="s">
        <v>63</v>
      </c>
      <c r="R1263" s="1034">
        <v>36.36779927</v>
      </c>
      <c r="S1263" s="1034">
        <v>1.153764044</v>
      </c>
      <c r="T1263" s="1035">
        <v>142.2988283</v>
      </c>
      <c r="AB1263" s="1045"/>
    </row>
    <row r="1264">
      <c r="A1264" s="294"/>
      <c r="B1264" s="1019" t="s">
        <v>133</v>
      </c>
      <c r="C1264" s="1020" t="s">
        <v>1035</v>
      </c>
      <c r="D1264" s="1020" t="s">
        <v>1036</v>
      </c>
      <c r="E1264" s="1020" t="s">
        <v>530</v>
      </c>
      <c r="F1264" s="1020">
        <v>2021.0</v>
      </c>
      <c r="G1264" s="1021">
        <v>0.002017867</v>
      </c>
      <c r="H1264" s="1021">
        <v>0.001093612</v>
      </c>
      <c r="I1264" s="1022">
        <v>0.003680668</v>
      </c>
      <c r="K1264" s="1031" t="s">
        <v>141</v>
      </c>
      <c r="L1264" s="1032" t="s">
        <v>552</v>
      </c>
      <c r="M1264" s="1032" t="s">
        <v>1035</v>
      </c>
      <c r="N1264" s="1032" t="s">
        <v>1038</v>
      </c>
      <c r="O1264" s="1032">
        <v>2021.0</v>
      </c>
      <c r="P1264" s="1032" t="s">
        <v>1039</v>
      </c>
      <c r="Q1264" s="1033" t="s">
        <v>63</v>
      </c>
      <c r="R1264" s="1034">
        <v>11.91608053</v>
      </c>
      <c r="S1264" s="1034">
        <v>0.379891921</v>
      </c>
      <c r="T1264" s="1035">
        <v>52.6594248</v>
      </c>
      <c r="AB1264" s="1045"/>
    </row>
    <row r="1265">
      <c r="A1265" s="294"/>
      <c r="B1265" s="1019" t="s">
        <v>133</v>
      </c>
      <c r="C1265" s="1020" t="s">
        <v>1035</v>
      </c>
      <c r="D1265" s="1020" t="s">
        <v>1041</v>
      </c>
      <c r="E1265" s="1020" t="s">
        <v>530</v>
      </c>
      <c r="F1265" s="1020">
        <v>2021.0</v>
      </c>
      <c r="G1265" s="1021">
        <v>0.01091559</v>
      </c>
      <c r="H1265" s="1021">
        <v>0.006746747</v>
      </c>
      <c r="I1265" s="1022">
        <v>0.017319581</v>
      </c>
      <c r="K1265" s="1031" t="s">
        <v>141</v>
      </c>
      <c r="L1265" s="1032" t="s">
        <v>552</v>
      </c>
      <c r="M1265" s="1032" t="s">
        <v>1035</v>
      </c>
      <c r="N1265" s="1032" t="s">
        <v>1042</v>
      </c>
      <c r="O1265" s="1032">
        <v>2021.0</v>
      </c>
      <c r="P1265" s="1032" t="s">
        <v>1039</v>
      </c>
      <c r="Q1265" s="1033" t="s">
        <v>63</v>
      </c>
      <c r="R1265" s="1034">
        <v>0.0</v>
      </c>
      <c r="S1265" s="1034">
        <v>0.0</v>
      </c>
      <c r="T1265" s="1035">
        <v>0.0</v>
      </c>
      <c r="AB1265" s="1045"/>
    </row>
    <row r="1266">
      <c r="A1266" s="294"/>
      <c r="B1266" s="1019" t="s">
        <v>133</v>
      </c>
      <c r="C1266" s="1020" t="s">
        <v>1035</v>
      </c>
      <c r="D1266" s="1020" t="s">
        <v>1043</v>
      </c>
      <c r="E1266" s="1020" t="s">
        <v>530</v>
      </c>
      <c r="F1266" s="1020">
        <v>2021.0</v>
      </c>
      <c r="G1266" s="1021">
        <v>6.15E-5</v>
      </c>
      <c r="H1266" s="1021">
        <v>2.94E-5</v>
      </c>
      <c r="I1266" s="1022">
        <v>1.28575E-4</v>
      </c>
      <c r="K1266" s="1031" t="s">
        <v>141</v>
      </c>
      <c r="L1266" s="1032" t="s">
        <v>552</v>
      </c>
      <c r="M1266" s="1032" t="s">
        <v>1035</v>
      </c>
      <c r="N1266" s="1032" t="s">
        <v>1044</v>
      </c>
      <c r="O1266" s="1032">
        <v>2021.0</v>
      </c>
      <c r="P1266" s="1032" t="s">
        <v>1039</v>
      </c>
      <c r="Q1266" s="1033" t="s">
        <v>63</v>
      </c>
      <c r="R1266" s="1034">
        <v>0.0</v>
      </c>
      <c r="S1266" s="1034">
        <v>0.0</v>
      </c>
      <c r="T1266" s="1035">
        <v>0.0</v>
      </c>
      <c r="AB1266" s="1045"/>
    </row>
    <row r="1267">
      <c r="A1267" s="294"/>
      <c r="B1267" s="1019" t="s">
        <v>133</v>
      </c>
      <c r="C1267" s="1020" t="s">
        <v>1035</v>
      </c>
      <c r="D1267" s="1020" t="s">
        <v>1045</v>
      </c>
      <c r="E1267" s="1020" t="s">
        <v>530</v>
      </c>
      <c r="F1267" s="1020">
        <v>2021.0</v>
      </c>
      <c r="G1267" s="1021">
        <v>3.27009E-4</v>
      </c>
      <c r="H1267" s="1021">
        <v>1.37709E-4</v>
      </c>
      <c r="I1267" s="1022">
        <v>7.36559E-4</v>
      </c>
      <c r="K1267" s="1031" t="s">
        <v>141</v>
      </c>
      <c r="L1267" s="1032" t="s">
        <v>552</v>
      </c>
      <c r="M1267" s="1032" t="s">
        <v>1035</v>
      </c>
      <c r="N1267" s="1032" t="s">
        <v>1046</v>
      </c>
      <c r="O1267" s="1032">
        <v>2021.0</v>
      </c>
      <c r="P1267" s="1032" t="s">
        <v>1039</v>
      </c>
      <c r="Q1267" s="1033" t="s">
        <v>63</v>
      </c>
      <c r="R1267" s="1034">
        <v>9.340011027</v>
      </c>
      <c r="S1267" s="1034">
        <v>0.27921106</v>
      </c>
      <c r="T1267" s="1035">
        <v>44.16109564</v>
      </c>
      <c r="AB1267" s="1045"/>
    </row>
    <row r="1268">
      <c r="A1268" s="294"/>
      <c r="B1268" s="1019" t="s">
        <v>134</v>
      </c>
      <c r="C1268" s="1020" t="s">
        <v>1035</v>
      </c>
      <c r="D1268" s="1020" t="s">
        <v>1036</v>
      </c>
      <c r="E1268" s="1020" t="s">
        <v>530</v>
      </c>
      <c r="F1268" s="1020">
        <v>2021.0</v>
      </c>
      <c r="G1268" s="1021">
        <v>0.001820839</v>
      </c>
      <c r="H1268" s="1021">
        <v>9.37126E-4</v>
      </c>
      <c r="I1268" s="1022">
        <v>0.003524153</v>
      </c>
      <c r="K1268" s="1031" t="s">
        <v>141</v>
      </c>
      <c r="L1268" s="1032" t="s">
        <v>552</v>
      </c>
      <c r="M1268" s="1032" t="s">
        <v>1035</v>
      </c>
      <c r="N1268" s="1032" t="s">
        <v>1045</v>
      </c>
      <c r="O1268" s="1032">
        <v>2021.0</v>
      </c>
      <c r="P1268" s="1032" t="s">
        <v>1039</v>
      </c>
      <c r="Q1268" s="1033" t="s">
        <v>63</v>
      </c>
      <c r="R1268" s="1034">
        <v>21.25609156</v>
      </c>
      <c r="S1268" s="1034">
        <v>0.670888192</v>
      </c>
      <c r="T1268" s="1035">
        <v>92.95632356</v>
      </c>
      <c r="AB1268" s="1045"/>
    </row>
    <row r="1269">
      <c r="A1269" s="294"/>
      <c r="B1269" s="1019" t="s">
        <v>134</v>
      </c>
      <c r="C1269" s="1020" t="s">
        <v>1035</v>
      </c>
      <c r="D1269" s="1020" t="s">
        <v>1041</v>
      </c>
      <c r="E1269" s="1020" t="s">
        <v>530</v>
      </c>
      <c r="F1269" s="1020">
        <v>2021.0</v>
      </c>
      <c r="G1269" s="1021">
        <v>0.012048696</v>
      </c>
      <c r="H1269" s="1021">
        <v>0.00766571</v>
      </c>
      <c r="I1269" s="1022">
        <v>0.018689053</v>
      </c>
      <c r="K1269" s="1031" t="s">
        <v>142</v>
      </c>
      <c r="L1269" s="1032" t="s">
        <v>552</v>
      </c>
      <c r="M1269" s="1032" t="s">
        <v>1035</v>
      </c>
      <c r="N1269" s="1032" t="s">
        <v>1038</v>
      </c>
      <c r="O1269" s="1032">
        <v>2021.0</v>
      </c>
      <c r="P1269" s="1032" t="s">
        <v>1039</v>
      </c>
      <c r="Q1269" s="1033" t="s">
        <v>63</v>
      </c>
      <c r="R1269" s="1034">
        <v>87.62601221</v>
      </c>
      <c r="S1269" s="1034">
        <v>2.83024088</v>
      </c>
      <c r="T1269" s="1035">
        <v>388.5594877</v>
      </c>
      <c r="AB1269" s="1045"/>
    </row>
    <row r="1270">
      <c r="A1270" s="294"/>
      <c r="B1270" s="1019" t="s">
        <v>134</v>
      </c>
      <c r="C1270" s="1020" t="s">
        <v>1035</v>
      </c>
      <c r="D1270" s="1020" t="s">
        <v>1043</v>
      </c>
      <c r="E1270" s="1020" t="s">
        <v>530</v>
      </c>
      <c r="F1270" s="1020">
        <v>2021.0</v>
      </c>
      <c r="G1270" s="1021">
        <v>5.64E-5</v>
      </c>
      <c r="H1270" s="1021">
        <v>2.4E-5</v>
      </c>
      <c r="I1270" s="1022">
        <v>1.19722E-4</v>
      </c>
      <c r="K1270" s="1031" t="s">
        <v>142</v>
      </c>
      <c r="L1270" s="1032" t="s">
        <v>552</v>
      </c>
      <c r="M1270" s="1032" t="s">
        <v>1035</v>
      </c>
      <c r="N1270" s="1032" t="s">
        <v>1042</v>
      </c>
      <c r="O1270" s="1032">
        <v>2021.0</v>
      </c>
      <c r="P1270" s="1032" t="s">
        <v>1039</v>
      </c>
      <c r="Q1270" s="1033" t="s">
        <v>63</v>
      </c>
      <c r="R1270" s="1034">
        <v>0.0</v>
      </c>
      <c r="S1270" s="1034">
        <v>0.0</v>
      </c>
      <c r="T1270" s="1035">
        <v>0.0</v>
      </c>
      <c r="AB1270" s="1045"/>
    </row>
    <row r="1271">
      <c r="A1271" s="294"/>
      <c r="B1271" s="1019" t="s">
        <v>134</v>
      </c>
      <c r="C1271" s="1020" t="s">
        <v>1035</v>
      </c>
      <c r="D1271" s="1020" t="s">
        <v>1045</v>
      </c>
      <c r="E1271" s="1020" t="s">
        <v>530</v>
      </c>
      <c r="F1271" s="1020">
        <v>2021.0</v>
      </c>
      <c r="G1271" s="1021">
        <v>2.93915E-4</v>
      </c>
      <c r="H1271" s="1021">
        <v>1.1861E-4</v>
      </c>
      <c r="I1271" s="1022">
        <v>6.03311E-4</v>
      </c>
      <c r="K1271" s="1031" t="s">
        <v>142</v>
      </c>
      <c r="L1271" s="1032" t="s">
        <v>552</v>
      </c>
      <c r="M1271" s="1032" t="s">
        <v>1035</v>
      </c>
      <c r="N1271" s="1032" t="s">
        <v>1044</v>
      </c>
      <c r="O1271" s="1032">
        <v>2021.0</v>
      </c>
      <c r="P1271" s="1032" t="s">
        <v>1039</v>
      </c>
      <c r="Q1271" s="1033" t="s">
        <v>63</v>
      </c>
      <c r="R1271" s="1034">
        <v>0.0</v>
      </c>
      <c r="S1271" s="1034">
        <v>0.0</v>
      </c>
      <c r="T1271" s="1035">
        <v>0.0</v>
      </c>
      <c r="AB1271" s="1045"/>
    </row>
    <row r="1272">
      <c r="A1272" s="294"/>
      <c r="B1272" s="1019" t="s">
        <v>135</v>
      </c>
      <c r="C1272" s="1020" t="s">
        <v>1035</v>
      </c>
      <c r="D1272" s="1020" t="s">
        <v>1036</v>
      </c>
      <c r="E1272" s="1020" t="s">
        <v>530</v>
      </c>
      <c r="F1272" s="1020">
        <v>2021.0</v>
      </c>
      <c r="G1272" s="1021">
        <v>0.00191537</v>
      </c>
      <c r="H1272" s="1021">
        <v>9.94983E-4</v>
      </c>
      <c r="I1272" s="1022">
        <v>0.003378888</v>
      </c>
      <c r="K1272" s="1031" t="s">
        <v>142</v>
      </c>
      <c r="L1272" s="1032" t="s">
        <v>552</v>
      </c>
      <c r="M1272" s="1032" t="s">
        <v>1035</v>
      </c>
      <c r="N1272" s="1032" t="s">
        <v>1046</v>
      </c>
      <c r="O1272" s="1032">
        <v>2021.0</v>
      </c>
      <c r="P1272" s="1032" t="s">
        <v>1039</v>
      </c>
      <c r="Q1272" s="1033" t="s">
        <v>63</v>
      </c>
      <c r="R1272" s="1034">
        <v>59.51532439</v>
      </c>
      <c r="S1272" s="1034">
        <v>1.907015692</v>
      </c>
      <c r="T1272" s="1035">
        <v>272.5545126</v>
      </c>
      <c r="AB1272" s="1045"/>
    </row>
    <row r="1273">
      <c r="A1273" s="294"/>
      <c r="B1273" s="1019" t="s">
        <v>135</v>
      </c>
      <c r="C1273" s="1020" t="s">
        <v>1035</v>
      </c>
      <c r="D1273" s="1020" t="s">
        <v>1041</v>
      </c>
      <c r="E1273" s="1020" t="s">
        <v>530</v>
      </c>
      <c r="F1273" s="1020">
        <v>2021.0</v>
      </c>
      <c r="G1273" s="1021">
        <v>0.013674896</v>
      </c>
      <c r="H1273" s="1021">
        <v>0.008438768</v>
      </c>
      <c r="I1273" s="1022">
        <v>0.021345836</v>
      </c>
      <c r="K1273" s="1031" t="s">
        <v>142</v>
      </c>
      <c r="L1273" s="1032" t="s">
        <v>552</v>
      </c>
      <c r="M1273" s="1032" t="s">
        <v>1035</v>
      </c>
      <c r="N1273" s="1032" t="s">
        <v>1045</v>
      </c>
      <c r="O1273" s="1032">
        <v>2021.0</v>
      </c>
      <c r="P1273" s="1032" t="s">
        <v>1039</v>
      </c>
      <c r="Q1273" s="1033" t="s">
        <v>63</v>
      </c>
      <c r="R1273" s="1034">
        <v>147.1413366</v>
      </c>
      <c r="S1273" s="1034">
        <v>4.702202738</v>
      </c>
      <c r="T1273" s="1035">
        <v>655.2165989</v>
      </c>
      <c r="AB1273" s="1045"/>
    </row>
    <row r="1274">
      <c r="A1274" s="294"/>
      <c r="B1274" s="1019" t="s">
        <v>135</v>
      </c>
      <c r="C1274" s="1020" t="s">
        <v>1035</v>
      </c>
      <c r="D1274" s="1020" t="s">
        <v>1043</v>
      </c>
      <c r="E1274" s="1020" t="s">
        <v>530</v>
      </c>
      <c r="F1274" s="1020">
        <v>2021.0</v>
      </c>
      <c r="G1274" s="1021">
        <v>5.95E-5</v>
      </c>
      <c r="H1274" s="1021">
        <v>2.79E-5</v>
      </c>
      <c r="I1274" s="1022">
        <v>1.14145E-4</v>
      </c>
      <c r="K1274" s="1031" t="s">
        <v>143</v>
      </c>
      <c r="L1274" s="1032" t="s">
        <v>552</v>
      </c>
      <c r="M1274" s="1032" t="s">
        <v>1035</v>
      </c>
      <c r="N1274" s="1032" t="s">
        <v>1038</v>
      </c>
      <c r="O1274" s="1032">
        <v>2021.0</v>
      </c>
      <c r="P1274" s="1032" t="s">
        <v>1039</v>
      </c>
      <c r="Q1274" s="1033" t="s">
        <v>63</v>
      </c>
      <c r="R1274" s="1034">
        <v>278.3354452</v>
      </c>
      <c r="S1274" s="1034">
        <v>12.24552749</v>
      </c>
      <c r="T1274" s="1035">
        <v>1225.046536</v>
      </c>
      <c r="AB1274" s="1045"/>
    </row>
    <row r="1275">
      <c r="A1275" s="294"/>
      <c r="B1275" s="1019" t="s">
        <v>135</v>
      </c>
      <c r="C1275" s="1020" t="s">
        <v>1035</v>
      </c>
      <c r="D1275" s="1020" t="s">
        <v>1045</v>
      </c>
      <c r="E1275" s="1020" t="s">
        <v>530</v>
      </c>
      <c r="F1275" s="1020">
        <v>2021.0</v>
      </c>
      <c r="G1275" s="1021">
        <v>1.73117E-4</v>
      </c>
      <c r="H1275" s="1021">
        <v>6.39E-5</v>
      </c>
      <c r="I1275" s="1022">
        <v>3.86041E-4</v>
      </c>
      <c r="K1275" s="1031" t="s">
        <v>143</v>
      </c>
      <c r="L1275" s="1032" t="s">
        <v>552</v>
      </c>
      <c r="M1275" s="1032" t="s">
        <v>1035</v>
      </c>
      <c r="N1275" s="1032" t="s">
        <v>1042</v>
      </c>
      <c r="O1275" s="1032">
        <v>2021.0</v>
      </c>
      <c r="P1275" s="1032" t="s">
        <v>1039</v>
      </c>
      <c r="Q1275" s="1033" t="s">
        <v>63</v>
      </c>
      <c r="R1275" s="1034">
        <v>0.0</v>
      </c>
      <c r="S1275" s="1034">
        <v>0.0</v>
      </c>
      <c r="T1275" s="1035">
        <v>0.0</v>
      </c>
      <c r="AB1275" s="1045"/>
    </row>
    <row r="1276">
      <c r="A1276" s="294"/>
      <c r="B1276" s="1019" t="s">
        <v>136</v>
      </c>
      <c r="C1276" s="1020" t="s">
        <v>1035</v>
      </c>
      <c r="D1276" s="1020" t="s">
        <v>1036</v>
      </c>
      <c r="E1276" s="1020" t="s">
        <v>530</v>
      </c>
      <c r="F1276" s="1020">
        <v>2021.0</v>
      </c>
      <c r="G1276" s="1021">
        <v>0.001753646</v>
      </c>
      <c r="H1276" s="1021">
        <v>8.44079E-4</v>
      </c>
      <c r="I1276" s="1022">
        <v>0.003196693</v>
      </c>
      <c r="K1276" s="1031" t="s">
        <v>143</v>
      </c>
      <c r="L1276" s="1032" t="s">
        <v>552</v>
      </c>
      <c r="M1276" s="1032" t="s">
        <v>1035</v>
      </c>
      <c r="N1276" s="1032" t="s">
        <v>1044</v>
      </c>
      <c r="O1276" s="1032">
        <v>2021.0</v>
      </c>
      <c r="P1276" s="1032" t="s">
        <v>1039</v>
      </c>
      <c r="Q1276" s="1033" t="s">
        <v>63</v>
      </c>
      <c r="R1276" s="1034">
        <v>0.0</v>
      </c>
      <c r="S1276" s="1034">
        <v>0.0</v>
      </c>
      <c r="T1276" s="1035">
        <v>0.0</v>
      </c>
      <c r="AB1276" s="1045"/>
    </row>
    <row r="1277">
      <c r="A1277" s="294"/>
      <c r="B1277" s="1019" t="s">
        <v>136</v>
      </c>
      <c r="C1277" s="1020" t="s">
        <v>1035</v>
      </c>
      <c r="D1277" s="1020" t="s">
        <v>1041</v>
      </c>
      <c r="E1277" s="1020" t="s">
        <v>530</v>
      </c>
      <c r="F1277" s="1020">
        <v>2021.0</v>
      </c>
      <c r="G1277" s="1021">
        <v>0.00979287</v>
      </c>
      <c r="H1277" s="1021">
        <v>0.005785895</v>
      </c>
      <c r="I1277" s="1022">
        <v>0.015800754</v>
      </c>
      <c r="K1277" s="1031" t="s">
        <v>143</v>
      </c>
      <c r="L1277" s="1032" t="s">
        <v>552</v>
      </c>
      <c r="M1277" s="1032" t="s">
        <v>1035</v>
      </c>
      <c r="N1277" s="1032" t="s">
        <v>1046</v>
      </c>
      <c r="O1277" s="1032">
        <v>2021.0</v>
      </c>
      <c r="P1277" s="1032" t="s">
        <v>1039</v>
      </c>
      <c r="Q1277" s="1033" t="s">
        <v>63</v>
      </c>
      <c r="R1277" s="1034">
        <v>192.6364774</v>
      </c>
      <c r="S1277" s="1034">
        <v>7.767252953</v>
      </c>
      <c r="T1277" s="1035">
        <v>855.1330492</v>
      </c>
      <c r="AB1277" s="1045"/>
    </row>
    <row r="1278">
      <c r="A1278" s="294"/>
      <c r="B1278" s="1019" t="s">
        <v>136</v>
      </c>
      <c r="C1278" s="1020" t="s">
        <v>1035</v>
      </c>
      <c r="D1278" s="1020" t="s">
        <v>1043</v>
      </c>
      <c r="E1278" s="1020" t="s">
        <v>530</v>
      </c>
      <c r="F1278" s="1020">
        <v>2021.0</v>
      </c>
      <c r="G1278" s="1021">
        <v>7.68E-5</v>
      </c>
      <c r="H1278" s="1021">
        <v>3.47E-5</v>
      </c>
      <c r="I1278" s="1022">
        <v>1.48269E-4</v>
      </c>
      <c r="K1278" s="1031" t="s">
        <v>143</v>
      </c>
      <c r="L1278" s="1032" t="s">
        <v>552</v>
      </c>
      <c r="M1278" s="1032" t="s">
        <v>1035</v>
      </c>
      <c r="N1278" s="1032" t="s">
        <v>1045</v>
      </c>
      <c r="O1278" s="1032">
        <v>2021.0</v>
      </c>
      <c r="P1278" s="1032" t="s">
        <v>1039</v>
      </c>
      <c r="Q1278" s="1033" t="s">
        <v>63</v>
      </c>
      <c r="R1278" s="1034">
        <v>470.9719226</v>
      </c>
      <c r="S1278" s="1034">
        <v>22.77709644</v>
      </c>
      <c r="T1278" s="1035">
        <v>2059.374614</v>
      </c>
      <c r="AB1278" s="1045"/>
    </row>
    <row r="1279">
      <c r="A1279" s="294"/>
      <c r="B1279" s="1019" t="s">
        <v>136</v>
      </c>
      <c r="C1279" s="1020" t="s">
        <v>1035</v>
      </c>
      <c r="D1279" s="1020" t="s">
        <v>1045</v>
      </c>
      <c r="E1279" s="1020" t="s">
        <v>530</v>
      </c>
      <c r="F1279" s="1020">
        <v>2021.0</v>
      </c>
      <c r="G1279" s="1021">
        <v>3.02269E-4</v>
      </c>
      <c r="H1279" s="1021">
        <v>1.22094E-4</v>
      </c>
      <c r="I1279" s="1022">
        <v>6.64409E-4</v>
      </c>
      <c r="K1279" s="1031" t="s">
        <v>109</v>
      </c>
      <c r="L1279" s="1032" t="s">
        <v>552</v>
      </c>
      <c r="M1279" s="1032" t="s">
        <v>1035</v>
      </c>
      <c r="N1279" s="1032" t="s">
        <v>1038</v>
      </c>
      <c r="O1279" s="1032">
        <v>2021.0</v>
      </c>
      <c r="P1279" s="1032" t="s">
        <v>1039</v>
      </c>
      <c r="Q1279" s="1033" t="s">
        <v>63</v>
      </c>
      <c r="R1279" s="1034">
        <v>4861.62036</v>
      </c>
      <c r="S1279" s="1034">
        <v>468.4550392</v>
      </c>
      <c r="T1279" s="1035">
        <v>15749.80481</v>
      </c>
      <c r="AB1279" s="1045"/>
    </row>
    <row r="1280">
      <c r="A1280" s="294"/>
      <c r="B1280" s="1019" t="s">
        <v>115</v>
      </c>
      <c r="C1280" s="1020" t="s">
        <v>1035</v>
      </c>
      <c r="D1280" s="1020" t="s">
        <v>1036</v>
      </c>
      <c r="E1280" s="1020" t="s">
        <v>530</v>
      </c>
      <c r="F1280" s="1020">
        <v>2021.0</v>
      </c>
      <c r="G1280" s="1021">
        <v>0.004007767</v>
      </c>
      <c r="H1280" s="1021">
        <v>0.002373852</v>
      </c>
      <c r="I1280" s="1022">
        <v>0.006341563</v>
      </c>
      <c r="K1280" s="1031" t="s">
        <v>109</v>
      </c>
      <c r="L1280" s="1032" t="s">
        <v>552</v>
      </c>
      <c r="M1280" s="1032" t="s">
        <v>1035</v>
      </c>
      <c r="N1280" s="1032" t="s">
        <v>1042</v>
      </c>
      <c r="O1280" s="1032">
        <v>2021.0</v>
      </c>
      <c r="P1280" s="1032" t="s">
        <v>1039</v>
      </c>
      <c r="Q1280" s="1033" t="s">
        <v>63</v>
      </c>
      <c r="R1280" s="1034">
        <v>0.0</v>
      </c>
      <c r="S1280" s="1034">
        <v>0.0</v>
      </c>
      <c r="T1280" s="1035">
        <v>0.0</v>
      </c>
      <c r="AB1280" s="1045"/>
    </row>
    <row r="1281">
      <c r="A1281" s="294"/>
      <c r="B1281" s="1019" t="s">
        <v>115</v>
      </c>
      <c r="C1281" s="1020" t="s">
        <v>1035</v>
      </c>
      <c r="D1281" s="1020" t="s">
        <v>1041</v>
      </c>
      <c r="E1281" s="1020" t="s">
        <v>530</v>
      </c>
      <c r="F1281" s="1020">
        <v>2021.0</v>
      </c>
      <c r="G1281" s="1021">
        <v>0.030242318</v>
      </c>
      <c r="H1281" s="1021">
        <v>0.019927116</v>
      </c>
      <c r="I1281" s="1022">
        <v>0.043224514</v>
      </c>
      <c r="K1281" s="1031" t="s">
        <v>109</v>
      </c>
      <c r="L1281" s="1032" t="s">
        <v>552</v>
      </c>
      <c r="M1281" s="1032" t="s">
        <v>1035</v>
      </c>
      <c r="N1281" s="1032" t="s">
        <v>1044</v>
      </c>
      <c r="O1281" s="1032">
        <v>2021.0</v>
      </c>
      <c r="P1281" s="1032" t="s">
        <v>1039</v>
      </c>
      <c r="Q1281" s="1033" t="s">
        <v>63</v>
      </c>
      <c r="R1281" s="1034">
        <v>0.0</v>
      </c>
      <c r="S1281" s="1034">
        <v>0.0</v>
      </c>
      <c r="T1281" s="1035">
        <v>0.0</v>
      </c>
      <c r="AB1281" s="1045"/>
    </row>
    <row r="1282">
      <c r="A1282" s="294"/>
      <c r="B1282" s="1019" t="s">
        <v>115</v>
      </c>
      <c r="C1282" s="1020" t="s">
        <v>1035</v>
      </c>
      <c r="D1282" s="1020" t="s">
        <v>1043</v>
      </c>
      <c r="E1282" s="1020" t="s">
        <v>530</v>
      </c>
      <c r="F1282" s="1020">
        <v>2021.0</v>
      </c>
      <c r="G1282" s="1021">
        <v>2.60845E-4</v>
      </c>
      <c r="H1282" s="1021">
        <v>1.53098E-4</v>
      </c>
      <c r="I1282" s="1022">
        <v>3.97666E-4</v>
      </c>
      <c r="K1282" s="1031" t="s">
        <v>109</v>
      </c>
      <c r="L1282" s="1032" t="s">
        <v>552</v>
      </c>
      <c r="M1282" s="1032" t="s">
        <v>1035</v>
      </c>
      <c r="N1282" s="1032" t="s">
        <v>1046</v>
      </c>
      <c r="O1282" s="1032">
        <v>2021.0</v>
      </c>
      <c r="P1282" s="1032" t="s">
        <v>1039</v>
      </c>
      <c r="Q1282" s="1033" t="s">
        <v>63</v>
      </c>
      <c r="R1282" s="1034">
        <v>3048.504115</v>
      </c>
      <c r="S1282" s="1034">
        <v>305.861045</v>
      </c>
      <c r="T1282" s="1035">
        <v>9899.704593</v>
      </c>
      <c r="AB1282" s="1045"/>
    </row>
    <row r="1283">
      <c r="A1283" s="294"/>
      <c r="B1283" s="1019" t="s">
        <v>115</v>
      </c>
      <c r="C1283" s="1020" t="s">
        <v>1035</v>
      </c>
      <c r="D1283" s="1020" t="s">
        <v>1045</v>
      </c>
      <c r="E1283" s="1020" t="s">
        <v>530</v>
      </c>
      <c r="F1283" s="1020">
        <v>2021.0</v>
      </c>
      <c r="G1283" s="1021">
        <v>0.001693533</v>
      </c>
      <c r="H1283" s="1021">
        <v>9.04049E-4</v>
      </c>
      <c r="I1283" s="1022">
        <v>0.002854516</v>
      </c>
      <c r="K1283" s="1031" t="s">
        <v>109</v>
      </c>
      <c r="L1283" s="1032" t="s">
        <v>552</v>
      </c>
      <c r="M1283" s="1032" t="s">
        <v>1035</v>
      </c>
      <c r="N1283" s="1032" t="s">
        <v>1045</v>
      </c>
      <c r="O1283" s="1032">
        <v>2021.0</v>
      </c>
      <c r="P1283" s="1032" t="s">
        <v>1039</v>
      </c>
      <c r="Q1283" s="1033" t="s">
        <v>63</v>
      </c>
      <c r="R1283" s="1034">
        <v>7910.124475</v>
      </c>
      <c r="S1283" s="1034">
        <v>774.202022</v>
      </c>
      <c r="T1283" s="1035">
        <v>26031.55835</v>
      </c>
      <c r="AB1283" s="1045"/>
    </row>
    <row r="1284">
      <c r="A1284" s="294"/>
      <c r="B1284" s="1019" t="s">
        <v>137</v>
      </c>
      <c r="C1284" s="1020" t="s">
        <v>1035</v>
      </c>
      <c r="D1284" s="1020" t="s">
        <v>1036</v>
      </c>
      <c r="E1284" s="1020" t="s">
        <v>530</v>
      </c>
      <c r="F1284" s="1020">
        <v>2021.0</v>
      </c>
      <c r="G1284" s="1021">
        <v>0.00167821</v>
      </c>
      <c r="H1284" s="1021">
        <v>8.43849E-4</v>
      </c>
      <c r="I1284" s="1022">
        <v>0.003330743</v>
      </c>
      <c r="K1284" s="1031" t="s">
        <v>146</v>
      </c>
      <c r="L1284" s="1032" t="s">
        <v>552</v>
      </c>
      <c r="M1284" s="1032" t="s">
        <v>1035</v>
      </c>
      <c r="N1284" s="1032" t="s">
        <v>1038</v>
      </c>
      <c r="O1284" s="1032">
        <v>2021.0</v>
      </c>
      <c r="P1284" s="1032" t="s">
        <v>1039</v>
      </c>
      <c r="Q1284" s="1033" t="s">
        <v>63</v>
      </c>
      <c r="R1284" s="1034">
        <v>93.68833286</v>
      </c>
      <c r="S1284" s="1034">
        <v>3.12841308</v>
      </c>
      <c r="T1284" s="1035">
        <v>396.9117076</v>
      </c>
      <c r="AB1284" s="1045"/>
    </row>
    <row r="1285">
      <c r="A1285" s="294"/>
      <c r="B1285" s="1019" t="s">
        <v>137</v>
      </c>
      <c r="C1285" s="1020" t="s">
        <v>1035</v>
      </c>
      <c r="D1285" s="1020" t="s">
        <v>1041</v>
      </c>
      <c r="E1285" s="1020" t="s">
        <v>530</v>
      </c>
      <c r="F1285" s="1020">
        <v>2021.0</v>
      </c>
      <c r="G1285" s="1021">
        <v>0.011610331</v>
      </c>
      <c r="H1285" s="1021">
        <v>0.007030469</v>
      </c>
      <c r="I1285" s="1022">
        <v>0.019095049</v>
      </c>
      <c r="K1285" s="1031" t="s">
        <v>146</v>
      </c>
      <c r="L1285" s="1032" t="s">
        <v>552</v>
      </c>
      <c r="M1285" s="1032" t="s">
        <v>1035</v>
      </c>
      <c r="N1285" s="1032" t="s">
        <v>1042</v>
      </c>
      <c r="O1285" s="1032">
        <v>2021.0</v>
      </c>
      <c r="P1285" s="1032" t="s">
        <v>1039</v>
      </c>
      <c r="Q1285" s="1033" t="s">
        <v>63</v>
      </c>
      <c r="R1285" s="1034">
        <v>0.0</v>
      </c>
      <c r="S1285" s="1034">
        <v>0.0</v>
      </c>
      <c r="T1285" s="1035">
        <v>0.0</v>
      </c>
      <c r="AB1285" s="1045"/>
    </row>
    <row r="1286">
      <c r="A1286" s="294"/>
      <c r="B1286" s="1019" t="s">
        <v>137</v>
      </c>
      <c r="C1286" s="1020" t="s">
        <v>1035</v>
      </c>
      <c r="D1286" s="1020" t="s">
        <v>1043</v>
      </c>
      <c r="E1286" s="1020" t="s">
        <v>530</v>
      </c>
      <c r="F1286" s="1020">
        <v>2021.0</v>
      </c>
      <c r="G1286" s="1021">
        <v>5.32E-5</v>
      </c>
      <c r="H1286" s="1021">
        <v>2.4E-5</v>
      </c>
      <c r="I1286" s="1022">
        <v>1.15114E-4</v>
      </c>
      <c r="K1286" s="1031" t="s">
        <v>146</v>
      </c>
      <c r="L1286" s="1032" t="s">
        <v>552</v>
      </c>
      <c r="M1286" s="1032" t="s">
        <v>1035</v>
      </c>
      <c r="N1286" s="1032" t="s">
        <v>1044</v>
      </c>
      <c r="O1286" s="1032">
        <v>2021.0</v>
      </c>
      <c r="P1286" s="1032" t="s">
        <v>1039</v>
      </c>
      <c r="Q1286" s="1033" t="s">
        <v>63</v>
      </c>
      <c r="R1286" s="1034">
        <v>0.0</v>
      </c>
      <c r="S1286" s="1034">
        <v>0.0</v>
      </c>
      <c r="T1286" s="1035">
        <v>0.0</v>
      </c>
      <c r="AB1286" s="1045"/>
    </row>
    <row r="1287">
      <c r="A1287" s="294"/>
      <c r="B1287" s="1019" t="s">
        <v>137</v>
      </c>
      <c r="C1287" s="1020" t="s">
        <v>1035</v>
      </c>
      <c r="D1287" s="1020" t="s">
        <v>1045</v>
      </c>
      <c r="E1287" s="1020" t="s">
        <v>530</v>
      </c>
      <c r="F1287" s="1020">
        <v>2021.0</v>
      </c>
      <c r="G1287" s="1021">
        <v>1.86819E-4</v>
      </c>
      <c r="H1287" s="1021">
        <v>7.53E-5</v>
      </c>
      <c r="I1287" s="1022">
        <v>4.2269E-4</v>
      </c>
      <c r="K1287" s="1031" t="s">
        <v>146</v>
      </c>
      <c r="L1287" s="1032" t="s">
        <v>552</v>
      </c>
      <c r="M1287" s="1032" t="s">
        <v>1035</v>
      </c>
      <c r="N1287" s="1032" t="s">
        <v>1046</v>
      </c>
      <c r="O1287" s="1032">
        <v>2021.0</v>
      </c>
      <c r="P1287" s="1032" t="s">
        <v>1039</v>
      </c>
      <c r="Q1287" s="1033" t="s">
        <v>63</v>
      </c>
      <c r="R1287" s="1034">
        <v>68.78692763</v>
      </c>
      <c r="S1287" s="1034">
        <v>2.315135453</v>
      </c>
      <c r="T1287" s="1035">
        <v>299.961575</v>
      </c>
      <c r="AB1287" s="1045"/>
    </row>
    <row r="1288">
      <c r="A1288" s="294"/>
      <c r="B1288" s="1019" t="s">
        <v>116</v>
      </c>
      <c r="C1288" s="1020" t="s">
        <v>1035</v>
      </c>
      <c r="D1288" s="1020" t="s">
        <v>1036</v>
      </c>
      <c r="E1288" s="1020" t="s">
        <v>530</v>
      </c>
      <c r="F1288" s="1020">
        <v>2021.0</v>
      </c>
      <c r="G1288" s="1021">
        <v>0.008685948</v>
      </c>
      <c r="H1288" s="1021">
        <v>0.005385678</v>
      </c>
      <c r="I1288" s="1022">
        <v>0.012591542</v>
      </c>
      <c r="K1288" s="1031" t="s">
        <v>146</v>
      </c>
      <c r="L1288" s="1032" t="s">
        <v>552</v>
      </c>
      <c r="M1288" s="1032" t="s">
        <v>1035</v>
      </c>
      <c r="N1288" s="1032" t="s">
        <v>1045</v>
      </c>
      <c r="O1288" s="1032">
        <v>2021.0</v>
      </c>
      <c r="P1288" s="1032" t="s">
        <v>1039</v>
      </c>
      <c r="Q1288" s="1033" t="s">
        <v>63</v>
      </c>
      <c r="R1288" s="1034">
        <v>162.4752605</v>
      </c>
      <c r="S1288" s="1034">
        <v>5.496954877</v>
      </c>
      <c r="T1288" s="1035">
        <v>704.4553633</v>
      </c>
      <c r="AB1288" s="1045"/>
    </row>
    <row r="1289">
      <c r="A1289" s="294"/>
      <c r="B1289" s="1019" t="s">
        <v>116</v>
      </c>
      <c r="C1289" s="1020" t="s">
        <v>1035</v>
      </c>
      <c r="D1289" s="1020" t="s">
        <v>1041</v>
      </c>
      <c r="E1289" s="1020" t="s">
        <v>530</v>
      </c>
      <c r="F1289" s="1020">
        <v>2021.0</v>
      </c>
      <c r="G1289" s="1021">
        <v>0.052337352</v>
      </c>
      <c r="H1289" s="1021">
        <v>0.033741349</v>
      </c>
      <c r="I1289" s="1022">
        <v>0.074379183</v>
      </c>
      <c r="K1289" s="1031" t="s">
        <v>147</v>
      </c>
      <c r="L1289" s="1032" t="s">
        <v>552</v>
      </c>
      <c r="M1289" s="1032" t="s">
        <v>1035</v>
      </c>
      <c r="N1289" s="1032" t="s">
        <v>1038</v>
      </c>
      <c r="O1289" s="1032">
        <v>2021.0</v>
      </c>
      <c r="P1289" s="1032" t="s">
        <v>1039</v>
      </c>
      <c r="Q1289" s="1033" t="s">
        <v>63</v>
      </c>
      <c r="R1289" s="1034">
        <v>21.03078329</v>
      </c>
      <c r="S1289" s="1034">
        <v>0.778803737</v>
      </c>
      <c r="T1289" s="1035">
        <v>94.91096958</v>
      </c>
      <c r="AB1289" s="1045"/>
    </row>
    <row r="1290">
      <c r="A1290" s="294"/>
      <c r="B1290" s="1019" t="s">
        <v>116</v>
      </c>
      <c r="C1290" s="1020" t="s">
        <v>1035</v>
      </c>
      <c r="D1290" s="1020" t="s">
        <v>1043</v>
      </c>
      <c r="E1290" s="1020" t="s">
        <v>530</v>
      </c>
      <c r="F1290" s="1020">
        <v>2021.0</v>
      </c>
      <c r="G1290" s="1021">
        <v>5.99109E-4</v>
      </c>
      <c r="H1290" s="1021">
        <v>3.80822E-4</v>
      </c>
      <c r="I1290" s="1022">
        <v>8.57899E-4</v>
      </c>
      <c r="K1290" s="1031" t="s">
        <v>147</v>
      </c>
      <c r="L1290" s="1032" t="s">
        <v>552</v>
      </c>
      <c r="M1290" s="1032" t="s">
        <v>1035</v>
      </c>
      <c r="N1290" s="1032" t="s">
        <v>1042</v>
      </c>
      <c r="O1290" s="1032">
        <v>2021.0</v>
      </c>
      <c r="P1290" s="1032" t="s">
        <v>1039</v>
      </c>
      <c r="Q1290" s="1033" t="s">
        <v>63</v>
      </c>
      <c r="R1290" s="1034">
        <v>0.0</v>
      </c>
      <c r="S1290" s="1034">
        <v>0.0</v>
      </c>
      <c r="T1290" s="1035">
        <v>0.0</v>
      </c>
      <c r="AB1290" s="1045"/>
    </row>
    <row r="1291">
      <c r="A1291" s="294"/>
      <c r="B1291" s="1019" t="s">
        <v>116</v>
      </c>
      <c r="C1291" s="1020" t="s">
        <v>1035</v>
      </c>
      <c r="D1291" s="1020" t="s">
        <v>1045</v>
      </c>
      <c r="E1291" s="1020" t="s">
        <v>530</v>
      </c>
      <c r="F1291" s="1020">
        <v>2021.0</v>
      </c>
      <c r="G1291" s="1021">
        <v>0.004321809</v>
      </c>
      <c r="H1291" s="1021">
        <v>0.002481308</v>
      </c>
      <c r="I1291" s="1022">
        <v>0.006569287</v>
      </c>
      <c r="K1291" s="1031" t="s">
        <v>147</v>
      </c>
      <c r="L1291" s="1032" t="s">
        <v>552</v>
      </c>
      <c r="M1291" s="1032" t="s">
        <v>1035</v>
      </c>
      <c r="N1291" s="1032" t="s">
        <v>1044</v>
      </c>
      <c r="O1291" s="1032">
        <v>2021.0</v>
      </c>
      <c r="P1291" s="1032" t="s">
        <v>1039</v>
      </c>
      <c r="Q1291" s="1033" t="s">
        <v>63</v>
      </c>
      <c r="R1291" s="1034">
        <v>0.0</v>
      </c>
      <c r="S1291" s="1034">
        <v>0.0</v>
      </c>
      <c r="T1291" s="1035">
        <v>0.0</v>
      </c>
      <c r="AB1291" s="1045"/>
    </row>
    <row r="1292">
      <c r="A1292" s="294"/>
      <c r="B1292" s="1019" t="s">
        <v>138</v>
      </c>
      <c r="C1292" s="1020" t="s">
        <v>1035</v>
      </c>
      <c r="D1292" s="1020" t="s">
        <v>1036</v>
      </c>
      <c r="E1292" s="1020" t="s">
        <v>530</v>
      </c>
      <c r="F1292" s="1020">
        <v>2021.0</v>
      </c>
      <c r="G1292" s="1021">
        <v>0.002843472</v>
      </c>
      <c r="H1292" s="1021">
        <v>0.001551337</v>
      </c>
      <c r="I1292" s="1022">
        <v>0.004634668</v>
      </c>
      <c r="K1292" s="1031" t="s">
        <v>147</v>
      </c>
      <c r="L1292" s="1032" t="s">
        <v>552</v>
      </c>
      <c r="M1292" s="1032" t="s">
        <v>1035</v>
      </c>
      <c r="N1292" s="1032" t="s">
        <v>1046</v>
      </c>
      <c r="O1292" s="1032">
        <v>2021.0</v>
      </c>
      <c r="P1292" s="1032" t="s">
        <v>1039</v>
      </c>
      <c r="Q1292" s="1033" t="s">
        <v>63</v>
      </c>
      <c r="R1292" s="1034">
        <v>10.67714035</v>
      </c>
      <c r="S1292" s="1034">
        <v>0.375334373</v>
      </c>
      <c r="T1292" s="1035">
        <v>49.87718206</v>
      </c>
      <c r="AB1292" s="1045"/>
    </row>
    <row r="1293">
      <c r="A1293" s="294"/>
      <c r="B1293" s="1019" t="s">
        <v>138</v>
      </c>
      <c r="C1293" s="1020" t="s">
        <v>1035</v>
      </c>
      <c r="D1293" s="1020" t="s">
        <v>1041</v>
      </c>
      <c r="E1293" s="1020" t="s">
        <v>530</v>
      </c>
      <c r="F1293" s="1020">
        <v>2021.0</v>
      </c>
      <c r="G1293" s="1021">
        <v>0.017468647</v>
      </c>
      <c r="H1293" s="1021">
        <v>0.010080735</v>
      </c>
      <c r="I1293" s="1022">
        <v>0.027213023</v>
      </c>
      <c r="K1293" s="1031" t="s">
        <v>147</v>
      </c>
      <c r="L1293" s="1032" t="s">
        <v>552</v>
      </c>
      <c r="M1293" s="1032" t="s">
        <v>1035</v>
      </c>
      <c r="N1293" s="1032" t="s">
        <v>1045</v>
      </c>
      <c r="O1293" s="1032">
        <v>2021.0</v>
      </c>
      <c r="P1293" s="1032" t="s">
        <v>1039</v>
      </c>
      <c r="Q1293" s="1033" t="s">
        <v>63</v>
      </c>
      <c r="R1293" s="1034">
        <v>31.70792364</v>
      </c>
      <c r="S1293" s="1034">
        <v>1.180839463</v>
      </c>
      <c r="T1293" s="1035">
        <v>144.5114761</v>
      </c>
      <c r="AB1293" s="1045"/>
    </row>
    <row r="1294">
      <c r="A1294" s="294"/>
      <c r="B1294" s="1019" t="s">
        <v>138</v>
      </c>
      <c r="C1294" s="1020" t="s">
        <v>1035</v>
      </c>
      <c r="D1294" s="1020" t="s">
        <v>1043</v>
      </c>
      <c r="E1294" s="1020" t="s">
        <v>530</v>
      </c>
      <c r="F1294" s="1020">
        <v>2021.0</v>
      </c>
      <c r="G1294" s="1021">
        <v>1.39527E-4</v>
      </c>
      <c r="H1294" s="1021">
        <v>7.3E-5</v>
      </c>
      <c r="I1294" s="1022">
        <v>2.484E-4</v>
      </c>
      <c r="K1294" s="1031" t="s">
        <v>148</v>
      </c>
      <c r="L1294" s="1032" t="s">
        <v>552</v>
      </c>
      <c r="M1294" s="1032" t="s">
        <v>1035</v>
      </c>
      <c r="N1294" s="1032" t="s">
        <v>1038</v>
      </c>
      <c r="O1294" s="1032">
        <v>2021.0</v>
      </c>
      <c r="P1294" s="1032" t="s">
        <v>1039</v>
      </c>
      <c r="Q1294" s="1033" t="s">
        <v>63</v>
      </c>
      <c r="R1294" s="1034">
        <v>12.11451765</v>
      </c>
      <c r="S1294" s="1034">
        <v>0.318290624</v>
      </c>
      <c r="T1294" s="1035">
        <v>52.74045547</v>
      </c>
      <c r="AB1294" s="1045"/>
    </row>
    <row r="1295">
      <c r="A1295" s="294"/>
      <c r="B1295" s="1019" t="s">
        <v>138</v>
      </c>
      <c r="C1295" s="1020" t="s">
        <v>1035</v>
      </c>
      <c r="D1295" s="1020" t="s">
        <v>1045</v>
      </c>
      <c r="E1295" s="1020" t="s">
        <v>530</v>
      </c>
      <c r="F1295" s="1020">
        <v>2021.0</v>
      </c>
      <c r="G1295" s="1021">
        <v>8.76042E-4</v>
      </c>
      <c r="H1295" s="1021">
        <v>4.72801E-4</v>
      </c>
      <c r="I1295" s="1022">
        <v>0.001626739</v>
      </c>
      <c r="K1295" s="1031" t="s">
        <v>148</v>
      </c>
      <c r="L1295" s="1032" t="s">
        <v>552</v>
      </c>
      <c r="M1295" s="1032" t="s">
        <v>1035</v>
      </c>
      <c r="N1295" s="1032" t="s">
        <v>1042</v>
      </c>
      <c r="O1295" s="1032">
        <v>2021.0</v>
      </c>
      <c r="P1295" s="1032" t="s">
        <v>1039</v>
      </c>
      <c r="Q1295" s="1033" t="s">
        <v>63</v>
      </c>
      <c r="R1295" s="1034">
        <v>0.0</v>
      </c>
      <c r="S1295" s="1034">
        <v>0.0</v>
      </c>
      <c r="T1295" s="1035">
        <v>0.0</v>
      </c>
      <c r="AB1295" s="1045"/>
    </row>
    <row r="1296">
      <c r="A1296" s="294"/>
      <c r="B1296" s="1019" t="s">
        <v>118</v>
      </c>
      <c r="C1296" s="1020" t="s">
        <v>1035</v>
      </c>
      <c r="D1296" s="1020" t="s">
        <v>1036</v>
      </c>
      <c r="E1296" s="1020" t="s">
        <v>530</v>
      </c>
      <c r="F1296" s="1020">
        <v>2021.0</v>
      </c>
      <c r="G1296" s="1021">
        <v>0.003815045</v>
      </c>
      <c r="H1296" s="1021">
        <v>0.002013335</v>
      </c>
      <c r="I1296" s="1022">
        <v>0.006495354</v>
      </c>
      <c r="K1296" s="1031" t="s">
        <v>148</v>
      </c>
      <c r="L1296" s="1032" t="s">
        <v>552</v>
      </c>
      <c r="M1296" s="1032" t="s">
        <v>1035</v>
      </c>
      <c r="N1296" s="1032" t="s">
        <v>1044</v>
      </c>
      <c r="O1296" s="1032">
        <v>2021.0</v>
      </c>
      <c r="P1296" s="1032" t="s">
        <v>1039</v>
      </c>
      <c r="Q1296" s="1033" t="s">
        <v>63</v>
      </c>
      <c r="R1296" s="1034">
        <v>0.0</v>
      </c>
      <c r="S1296" s="1034">
        <v>0.0</v>
      </c>
      <c r="T1296" s="1035">
        <v>0.0</v>
      </c>
      <c r="AB1296" s="1045"/>
    </row>
    <row r="1297">
      <c r="A1297" s="294"/>
      <c r="B1297" s="1019" t="s">
        <v>118</v>
      </c>
      <c r="C1297" s="1020" t="s">
        <v>1035</v>
      </c>
      <c r="D1297" s="1020" t="s">
        <v>1041</v>
      </c>
      <c r="E1297" s="1020" t="s">
        <v>530</v>
      </c>
      <c r="F1297" s="1020">
        <v>2021.0</v>
      </c>
      <c r="G1297" s="1021">
        <v>0.024547523</v>
      </c>
      <c r="H1297" s="1021">
        <v>0.014722962</v>
      </c>
      <c r="I1297" s="1022">
        <v>0.03949377</v>
      </c>
      <c r="K1297" s="1031" t="s">
        <v>148</v>
      </c>
      <c r="L1297" s="1032" t="s">
        <v>552</v>
      </c>
      <c r="M1297" s="1032" t="s">
        <v>1035</v>
      </c>
      <c r="N1297" s="1032" t="s">
        <v>1046</v>
      </c>
      <c r="O1297" s="1032">
        <v>2021.0</v>
      </c>
      <c r="P1297" s="1032" t="s">
        <v>1039</v>
      </c>
      <c r="Q1297" s="1033" t="s">
        <v>63</v>
      </c>
      <c r="R1297" s="1034">
        <v>8.796109199</v>
      </c>
      <c r="S1297" s="1034">
        <v>0.224701809</v>
      </c>
      <c r="T1297" s="1035">
        <v>40.64315153</v>
      </c>
      <c r="AB1297" s="1045"/>
    </row>
    <row r="1298">
      <c r="A1298" s="294"/>
      <c r="B1298" s="1019" t="s">
        <v>118</v>
      </c>
      <c r="C1298" s="1020" t="s">
        <v>1035</v>
      </c>
      <c r="D1298" s="1020" t="s">
        <v>1043</v>
      </c>
      <c r="E1298" s="1020" t="s">
        <v>530</v>
      </c>
      <c r="F1298" s="1020">
        <v>2021.0</v>
      </c>
      <c r="G1298" s="1021">
        <v>2.83003E-4</v>
      </c>
      <c r="H1298" s="1021">
        <v>1.58306E-4</v>
      </c>
      <c r="I1298" s="1022">
        <v>4.77719E-4</v>
      </c>
      <c r="K1298" s="1031" t="s">
        <v>148</v>
      </c>
      <c r="L1298" s="1032" t="s">
        <v>552</v>
      </c>
      <c r="M1298" s="1032" t="s">
        <v>1035</v>
      </c>
      <c r="N1298" s="1032" t="s">
        <v>1045</v>
      </c>
      <c r="O1298" s="1032">
        <v>2021.0</v>
      </c>
      <c r="P1298" s="1032" t="s">
        <v>1039</v>
      </c>
      <c r="Q1298" s="1033" t="s">
        <v>63</v>
      </c>
      <c r="R1298" s="1034">
        <v>20.91062685</v>
      </c>
      <c r="S1298" s="1034">
        <v>0.547851827</v>
      </c>
      <c r="T1298" s="1035">
        <v>92.30091588</v>
      </c>
      <c r="AB1298" s="1045"/>
    </row>
    <row r="1299">
      <c r="A1299" s="294"/>
      <c r="B1299" s="1019" t="s">
        <v>118</v>
      </c>
      <c r="C1299" s="1020" t="s">
        <v>1035</v>
      </c>
      <c r="D1299" s="1020" t="s">
        <v>1045</v>
      </c>
      <c r="E1299" s="1020" t="s">
        <v>530</v>
      </c>
      <c r="F1299" s="1020">
        <v>2021.0</v>
      </c>
      <c r="G1299" s="1021">
        <v>0.001723095</v>
      </c>
      <c r="H1299" s="1021">
        <v>8.62917E-4</v>
      </c>
      <c r="I1299" s="1022">
        <v>0.003056907</v>
      </c>
      <c r="K1299" s="1031" t="s">
        <v>149</v>
      </c>
      <c r="L1299" s="1032" t="s">
        <v>552</v>
      </c>
      <c r="M1299" s="1032" t="s">
        <v>1035</v>
      </c>
      <c r="N1299" s="1032" t="s">
        <v>1038</v>
      </c>
      <c r="O1299" s="1032">
        <v>2021.0</v>
      </c>
      <c r="P1299" s="1032" t="s">
        <v>1039</v>
      </c>
      <c r="Q1299" s="1033" t="s">
        <v>63</v>
      </c>
      <c r="R1299" s="1034">
        <v>42.22460743</v>
      </c>
      <c r="S1299" s="1034">
        <v>1.256836586</v>
      </c>
      <c r="T1299" s="1035">
        <v>200.3061614</v>
      </c>
      <c r="AB1299" s="1045"/>
    </row>
    <row r="1300">
      <c r="A1300" s="294"/>
      <c r="B1300" s="1019" t="s">
        <v>119</v>
      </c>
      <c r="C1300" s="1020" t="s">
        <v>1035</v>
      </c>
      <c r="D1300" s="1020" t="s">
        <v>1036</v>
      </c>
      <c r="E1300" s="1020" t="s">
        <v>530</v>
      </c>
      <c r="F1300" s="1020">
        <v>2021.0</v>
      </c>
      <c r="G1300" s="1021">
        <v>0.006867301</v>
      </c>
      <c r="H1300" s="1021">
        <v>0.004176777</v>
      </c>
      <c r="I1300" s="1022">
        <v>0.009862058</v>
      </c>
      <c r="K1300" s="1031" t="s">
        <v>149</v>
      </c>
      <c r="L1300" s="1032" t="s">
        <v>552</v>
      </c>
      <c r="M1300" s="1032" t="s">
        <v>1035</v>
      </c>
      <c r="N1300" s="1032" t="s">
        <v>1042</v>
      </c>
      <c r="O1300" s="1032">
        <v>2021.0</v>
      </c>
      <c r="P1300" s="1032" t="s">
        <v>1039</v>
      </c>
      <c r="Q1300" s="1033" t="s">
        <v>63</v>
      </c>
      <c r="R1300" s="1034">
        <v>0.0</v>
      </c>
      <c r="S1300" s="1034">
        <v>0.0</v>
      </c>
      <c r="T1300" s="1035">
        <v>0.0</v>
      </c>
      <c r="AB1300" s="1045"/>
    </row>
    <row r="1301">
      <c r="A1301" s="294"/>
      <c r="B1301" s="1019" t="s">
        <v>119</v>
      </c>
      <c r="C1301" s="1020" t="s">
        <v>1035</v>
      </c>
      <c r="D1301" s="1020" t="s">
        <v>1041</v>
      </c>
      <c r="E1301" s="1020" t="s">
        <v>530</v>
      </c>
      <c r="F1301" s="1020">
        <v>2021.0</v>
      </c>
      <c r="G1301" s="1021">
        <v>0.043092487</v>
      </c>
      <c r="H1301" s="1021">
        <v>0.02722336</v>
      </c>
      <c r="I1301" s="1022">
        <v>0.060436938</v>
      </c>
      <c r="K1301" s="1031" t="s">
        <v>149</v>
      </c>
      <c r="L1301" s="1032" t="s">
        <v>552</v>
      </c>
      <c r="M1301" s="1032" t="s">
        <v>1035</v>
      </c>
      <c r="N1301" s="1032" t="s">
        <v>1044</v>
      </c>
      <c r="O1301" s="1032">
        <v>2021.0</v>
      </c>
      <c r="P1301" s="1032" t="s">
        <v>1039</v>
      </c>
      <c r="Q1301" s="1033" t="s">
        <v>63</v>
      </c>
      <c r="R1301" s="1034">
        <v>0.0</v>
      </c>
      <c r="S1301" s="1034">
        <v>0.0</v>
      </c>
      <c r="T1301" s="1035">
        <v>0.0</v>
      </c>
      <c r="AB1301" s="1045"/>
    </row>
    <row r="1302">
      <c r="A1302" s="294"/>
      <c r="B1302" s="1019" t="s">
        <v>119</v>
      </c>
      <c r="C1302" s="1020" t="s">
        <v>1035</v>
      </c>
      <c r="D1302" s="1020" t="s">
        <v>1043</v>
      </c>
      <c r="E1302" s="1020" t="s">
        <v>530</v>
      </c>
      <c r="F1302" s="1020">
        <v>2021.0</v>
      </c>
      <c r="G1302" s="1021">
        <v>4.11465E-4</v>
      </c>
      <c r="H1302" s="1021">
        <v>2.54212E-4</v>
      </c>
      <c r="I1302" s="1022">
        <v>6.05345E-4</v>
      </c>
      <c r="K1302" s="1031" t="s">
        <v>149</v>
      </c>
      <c r="L1302" s="1032" t="s">
        <v>552</v>
      </c>
      <c r="M1302" s="1032" t="s">
        <v>1035</v>
      </c>
      <c r="N1302" s="1032" t="s">
        <v>1046</v>
      </c>
      <c r="O1302" s="1032">
        <v>2021.0</v>
      </c>
      <c r="P1302" s="1032" t="s">
        <v>1039</v>
      </c>
      <c r="Q1302" s="1033" t="s">
        <v>63</v>
      </c>
      <c r="R1302" s="1034">
        <v>25.89045487</v>
      </c>
      <c r="S1302" s="1034">
        <v>0.807617868</v>
      </c>
      <c r="T1302" s="1035">
        <v>127.0944243</v>
      </c>
      <c r="AB1302" s="1045"/>
    </row>
    <row r="1303">
      <c r="A1303" s="294"/>
      <c r="B1303" s="1019" t="s">
        <v>119</v>
      </c>
      <c r="C1303" s="1020" t="s">
        <v>1035</v>
      </c>
      <c r="D1303" s="1020" t="s">
        <v>1045</v>
      </c>
      <c r="E1303" s="1020" t="s">
        <v>530</v>
      </c>
      <c r="F1303" s="1020">
        <v>2021.0</v>
      </c>
      <c r="G1303" s="1021">
        <v>0.002687563</v>
      </c>
      <c r="H1303" s="1021">
        <v>0.001454842</v>
      </c>
      <c r="I1303" s="1022">
        <v>0.00406812</v>
      </c>
      <c r="K1303" s="1031" t="s">
        <v>149</v>
      </c>
      <c r="L1303" s="1032" t="s">
        <v>552</v>
      </c>
      <c r="M1303" s="1032" t="s">
        <v>1035</v>
      </c>
      <c r="N1303" s="1032" t="s">
        <v>1045</v>
      </c>
      <c r="O1303" s="1032">
        <v>2021.0</v>
      </c>
      <c r="P1303" s="1032" t="s">
        <v>1039</v>
      </c>
      <c r="Q1303" s="1033" t="s">
        <v>63</v>
      </c>
      <c r="R1303" s="1034">
        <v>68.1150623</v>
      </c>
      <c r="S1303" s="1034">
        <v>2.089746877</v>
      </c>
      <c r="T1303" s="1035">
        <v>323.1533817</v>
      </c>
      <c r="AB1303" s="1045"/>
    </row>
    <row r="1304">
      <c r="A1304" s="294"/>
      <c r="B1304" s="1019" t="s">
        <v>120</v>
      </c>
      <c r="C1304" s="1020" t="s">
        <v>1035</v>
      </c>
      <c r="D1304" s="1020" t="s">
        <v>1036</v>
      </c>
      <c r="E1304" s="1020" t="s">
        <v>530</v>
      </c>
      <c r="F1304" s="1020">
        <v>2021.0</v>
      </c>
      <c r="G1304" s="1021">
        <v>0.007345394</v>
      </c>
      <c r="H1304" s="1021">
        <v>0.004525755</v>
      </c>
      <c r="I1304" s="1022">
        <v>0.01049085</v>
      </c>
      <c r="K1304" s="1031" t="s">
        <v>150</v>
      </c>
      <c r="L1304" s="1032" t="s">
        <v>552</v>
      </c>
      <c r="M1304" s="1032" t="s">
        <v>1035</v>
      </c>
      <c r="N1304" s="1032" t="s">
        <v>1038</v>
      </c>
      <c r="O1304" s="1032">
        <v>2021.0</v>
      </c>
      <c r="P1304" s="1032" t="s">
        <v>1039</v>
      </c>
      <c r="Q1304" s="1033" t="s">
        <v>63</v>
      </c>
      <c r="R1304" s="1034">
        <v>90.73321482</v>
      </c>
      <c r="S1304" s="1034">
        <v>3.516261135</v>
      </c>
      <c r="T1304" s="1035">
        <v>405.932908</v>
      </c>
      <c r="AB1304" s="1045"/>
    </row>
    <row r="1305">
      <c r="A1305" s="294"/>
      <c r="B1305" s="1019" t="s">
        <v>120</v>
      </c>
      <c r="C1305" s="1020" t="s">
        <v>1035</v>
      </c>
      <c r="D1305" s="1020" t="s">
        <v>1041</v>
      </c>
      <c r="E1305" s="1020" t="s">
        <v>530</v>
      </c>
      <c r="F1305" s="1020">
        <v>2021.0</v>
      </c>
      <c r="G1305" s="1021">
        <v>0.052878712</v>
      </c>
      <c r="H1305" s="1021">
        <v>0.036489827</v>
      </c>
      <c r="I1305" s="1022">
        <v>0.073243436</v>
      </c>
      <c r="K1305" s="1031" t="s">
        <v>150</v>
      </c>
      <c r="L1305" s="1032" t="s">
        <v>552</v>
      </c>
      <c r="M1305" s="1032" t="s">
        <v>1035</v>
      </c>
      <c r="N1305" s="1032" t="s">
        <v>1042</v>
      </c>
      <c r="O1305" s="1032">
        <v>2021.0</v>
      </c>
      <c r="P1305" s="1032" t="s">
        <v>1039</v>
      </c>
      <c r="Q1305" s="1033" t="s">
        <v>63</v>
      </c>
      <c r="R1305" s="1034">
        <v>0.0</v>
      </c>
      <c r="S1305" s="1034">
        <v>0.0</v>
      </c>
      <c r="T1305" s="1035">
        <v>0.0</v>
      </c>
      <c r="AB1305" s="1045"/>
    </row>
    <row r="1306">
      <c r="A1306" s="294"/>
      <c r="B1306" s="1019" t="s">
        <v>120</v>
      </c>
      <c r="C1306" s="1020" t="s">
        <v>1035</v>
      </c>
      <c r="D1306" s="1020" t="s">
        <v>1043</v>
      </c>
      <c r="E1306" s="1020" t="s">
        <v>530</v>
      </c>
      <c r="F1306" s="1020">
        <v>2021.0</v>
      </c>
      <c r="G1306" s="1021">
        <v>4.46374E-4</v>
      </c>
      <c r="H1306" s="1021">
        <v>2.87186E-4</v>
      </c>
      <c r="I1306" s="1022">
        <v>6.44506E-4</v>
      </c>
      <c r="K1306" s="1031" t="s">
        <v>150</v>
      </c>
      <c r="L1306" s="1032" t="s">
        <v>552</v>
      </c>
      <c r="M1306" s="1032" t="s">
        <v>1035</v>
      </c>
      <c r="N1306" s="1032" t="s">
        <v>1044</v>
      </c>
      <c r="O1306" s="1032">
        <v>2021.0</v>
      </c>
      <c r="P1306" s="1032" t="s">
        <v>1039</v>
      </c>
      <c r="Q1306" s="1033" t="s">
        <v>63</v>
      </c>
      <c r="R1306" s="1034">
        <v>0.0</v>
      </c>
      <c r="S1306" s="1034">
        <v>0.0</v>
      </c>
      <c r="T1306" s="1035">
        <v>0.0</v>
      </c>
      <c r="AB1306" s="1045"/>
    </row>
    <row r="1307">
      <c r="A1307" s="294"/>
      <c r="B1307" s="1019" t="s">
        <v>120</v>
      </c>
      <c r="C1307" s="1020" t="s">
        <v>1035</v>
      </c>
      <c r="D1307" s="1020" t="s">
        <v>1045</v>
      </c>
      <c r="E1307" s="1020" t="s">
        <v>530</v>
      </c>
      <c r="F1307" s="1020">
        <v>2021.0</v>
      </c>
      <c r="G1307" s="1021">
        <v>0.002755632</v>
      </c>
      <c r="H1307" s="1021">
        <v>0.001676152</v>
      </c>
      <c r="I1307" s="1022">
        <v>0.004211848</v>
      </c>
      <c r="K1307" s="1031" t="s">
        <v>150</v>
      </c>
      <c r="L1307" s="1032" t="s">
        <v>552</v>
      </c>
      <c r="M1307" s="1032" t="s">
        <v>1035</v>
      </c>
      <c r="N1307" s="1032" t="s">
        <v>1046</v>
      </c>
      <c r="O1307" s="1032">
        <v>2021.0</v>
      </c>
      <c r="P1307" s="1032" t="s">
        <v>1039</v>
      </c>
      <c r="Q1307" s="1033" t="s">
        <v>63</v>
      </c>
      <c r="R1307" s="1034">
        <v>69.51014856</v>
      </c>
      <c r="S1307" s="1034">
        <v>3.04856271</v>
      </c>
      <c r="T1307" s="1035">
        <v>331.9812354</v>
      </c>
      <c r="AB1307" s="1045"/>
    </row>
    <row r="1308">
      <c r="A1308" s="294"/>
      <c r="B1308" s="1019" t="s">
        <v>139</v>
      </c>
      <c r="C1308" s="1020" t="s">
        <v>1035</v>
      </c>
      <c r="D1308" s="1020" t="s">
        <v>1036</v>
      </c>
      <c r="E1308" s="1020" t="s">
        <v>530</v>
      </c>
      <c r="F1308" s="1020">
        <v>2021.0</v>
      </c>
      <c r="G1308" s="1021">
        <v>0.002003066</v>
      </c>
      <c r="H1308" s="1021">
        <v>0.001029711</v>
      </c>
      <c r="I1308" s="1022">
        <v>0.003650542</v>
      </c>
      <c r="K1308" s="1031" t="s">
        <v>150</v>
      </c>
      <c r="L1308" s="1032" t="s">
        <v>552</v>
      </c>
      <c r="M1308" s="1032" t="s">
        <v>1035</v>
      </c>
      <c r="N1308" s="1032" t="s">
        <v>1045</v>
      </c>
      <c r="O1308" s="1032">
        <v>2021.0</v>
      </c>
      <c r="P1308" s="1032" t="s">
        <v>1039</v>
      </c>
      <c r="Q1308" s="1033" t="s">
        <v>63</v>
      </c>
      <c r="R1308" s="1034">
        <v>160.2433634</v>
      </c>
      <c r="S1308" s="1034">
        <v>6.832422286</v>
      </c>
      <c r="T1308" s="1035">
        <v>728.8332061</v>
      </c>
      <c r="AB1308" s="1045"/>
    </row>
    <row r="1309">
      <c r="A1309" s="294"/>
      <c r="B1309" s="1019" t="s">
        <v>139</v>
      </c>
      <c r="C1309" s="1020" t="s">
        <v>1035</v>
      </c>
      <c r="D1309" s="1020" t="s">
        <v>1041</v>
      </c>
      <c r="E1309" s="1020" t="s">
        <v>530</v>
      </c>
      <c r="F1309" s="1020">
        <v>2021.0</v>
      </c>
      <c r="G1309" s="1021">
        <v>0.015085468</v>
      </c>
      <c r="H1309" s="1021">
        <v>0.009684485</v>
      </c>
      <c r="I1309" s="1022">
        <v>0.023166631</v>
      </c>
      <c r="K1309" s="1031" t="s">
        <v>151</v>
      </c>
      <c r="L1309" s="1032" t="s">
        <v>552</v>
      </c>
      <c r="M1309" s="1032" t="s">
        <v>1035</v>
      </c>
      <c r="N1309" s="1032" t="s">
        <v>1038</v>
      </c>
      <c r="O1309" s="1032">
        <v>2021.0</v>
      </c>
      <c r="P1309" s="1032" t="s">
        <v>1039</v>
      </c>
      <c r="Q1309" s="1033" t="s">
        <v>63</v>
      </c>
      <c r="R1309" s="1034">
        <v>20.83877824</v>
      </c>
      <c r="S1309" s="1034">
        <v>0.659196651</v>
      </c>
      <c r="T1309" s="1035">
        <v>88.65793734</v>
      </c>
      <c r="AB1309" s="1045"/>
    </row>
    <row r="1310">
      <c r="A1310" s="294"/>
      <c r="B1310" s="1019" t="s">
        <v>139</v>
      </c>
      <c r="C1310" s="1020" t="s">
        <v>1035</v>
      </c>
      <c r="D1310" s="1020" t="s">
        <v>1043</v>
      </c>
      <c r="E1310" s="1020" t="s">
        <v>530</v>
      </c>
      <c r="F1310" s="1020">
        <v>2021.0</v>
      </c>
      <c r="G1310" s="1021">
        <v>5.79E-5</v>
      </c>
      <c r="H1310" s="1021">
        <v>2.81E-5</v>
      </c>
      <c r="I1310" s="1022">
        <v>1.14894E-4</v>
      </c>
      <c r="K1310" s="1031" t="s">
        <v>151</v>
      </c>
      <c r="L1310" s="1032" t="s">
        <v>552</v>
      </c>
      <c r="M1310" s="1032" t="s">
        <v>1035</v>
      </c>
      <c r="N1310" s="1032" t="s">
        <v>1042</v>
      </c>
      <c r="O1310" s="1032">
        <v>2021.0</v>
      </c>
      <c r="P1310" s="1032" t="s">
        <v>1039</v>
      </c>
      <c r="Q1310" s="1033" t="s">
        <v>63</v>
      </c>
      <c r="R1310" s="1034">
        <v>0.0</v>
      </c>
      <c r="S1310" s="1034">
        <v>0.0</v>
      </c>
      <c r="T1310" s="1035">
        <v>0.0</v>
      </c>
      <c r="AB1310" s="1045"/>
    </row>
    <row r="1311">
      <c r="A1311" s="294"/>
      <c r="B1311" s="1019" t="s">
        <v>139</v>
      </c>
      <c r="C1311" s="1020" t="s">
        <v>1035</v>
      </c>
      <c r="D1311" s="1020" t="s">
        <v>1045</v>
      </c>
      <c r="E1311" s="1020" t="s">
        <v>530</v>
      </c>
      <c r="F1311" s="1020">
        <v>2021.0</v>
      </c>
      <c r="G1311" s="1021">
        <v>2.43976E-4</v>
      </c>
      <c r="H1311" s="1021">
        <v>1.06651E-4</v>
      </c>
      <c r="I1311" s="1022">
        <v>5.28088E-4</v>
      </c>
      <c r="K1311" s="1031" t="s">
        <v>151</v>
      </c>
      <c r="L1311" s="1032" t="s">
        <v>552</v>
      </c>
      <c r="M1311" s="1032" t="s">
        <v>1035</v>
      </c>
      <c r="N1311" s="1032" t="s">
        <v>1044</v>
      </c>
      <c r="O1311" s="1032">
        <v>2021.0</v>
      </c>
      <c r="P1311" s="1032" t="s">
        <v>1039</v>
      </c>
      <c r="Q1311" s="1033" t="s">
        <v>63</v>
      </c>
      <c r="R1311" s="1034">
        <v>0.0</v>
      </c>
      <c r="S1311" s="1034">
        <v>0.0</v>
      </c>
      <c r="T1311" s="1035">
        <v>0.0</v>
      </c>
      <c r="AB1311" s="1045"/>
    </row>
    <row r="1312">
      <c r="A1312" s="294"/>
      <c r="B1312" s="1019" t="s">
        <v>140</v>
      </c>
      <c r="C1312" s="1020" t="s">
        <v>1035</v>
      </c>
      <c r="D1312" s="1020" t="s">
        <v>1036</v>
      </c>
      <c r="E1312" s="1020" t="s">
        <v>530</v>
      </c>
      <c r="F1312" s="1020">
        <v>2021.0</v>
      </c>
      <c r="G1312" s="1021">
        <v>0.002403157</v>
      </c>
      <c r="H1312" s="1021">
        <v>0.001302568</v>
      </c>
      <c r="I1312" s="1022">
        <v>0.004256816</v>
      </c>
      <c r="K1312" s="1031" t="s">
        <v>151</v>
      </c>
      <c r="L1312" s="1032" t="s">
        <v>552</v>
      </c>
      <c r="M1312" s="1032" t="s">
        <v>1035</v>
      </c>
      <c r="N1312" s="1032" t="s">
        <v>1046</v>
      </c>
      <c r="O1312" s="1032">
        <v>2021.0</v>
      </c>
      <c r="P1312" s="1032" t="s">
        <v>1039</v>
      </c>
      <c r="Q1312" s="1033" t="s">
        <v>63</v>
      </c>
      <c r="R1312" s="1034">
        <v>13.6339952</v>
      </c>
      <c r="S1312" s="1034">
        <v>0.406681538</v>
      </c>
      <c r="T1312" s="1035">
        <v>58.91857088</v>
      </c>
      <c r="AB1312" s="1045"/>
    </row>
    <row r="1313">
      <c r="A1313" s="294"/>
      <c r="B1313" s="1019" t="s">
        <v>140</v>
      </c>
      <c r="C1313" s="1020" t="s">
        <v>1035</v>
      </c>
      <c r="D1313" s="1020" t="s">
        <v>1041</v>
      </c>
      <c r="E1313" s="1020" t="s">
        <v>530</v>
      </c>
      <c r="F1313" s="1020">
        <v>2021.0</v>
      </c>
      <c r="G1313" s="1021">
        <v>0.013966852</v>
      </c>
      <c r="H1313" s="1021">
        <v>0.009001421</v>
      </c>
      <c r="I1313" s="1022">
        <v>0.021675256</v>
      </c>
      <c r="K1313" s="1031" t="s">
        <v>151</v>
      </c>
      <c r="L1313" s="1032" t="s">
        <v>552</v>
      </c>
      <c r="M1313" s="1032" t="s">
        <v>1035</v>
      </c>
      <c r="N1313" s="1032" t="s">
        <v>1045</v>
      </c>
      <c r="O1313" s="1032">
        <v>2021.0</v>
      </c>
      <c r="P1313" s="1032" t="s">
        <v>1039</v>
      </c>
      <c r="Q1313" s="1033" t="s">
        <v>63</v>
      </c>
      <c r="R1313" s="1034">
        <v>34.47277344</v>
      </c>
      <c r="S1313" s="1034">
        <v>1.042991913</v>
      </c>
      <c r="T1313" s="1035">
        <v>144.8086412</v>
      </c>
      <c r="AB1313" s="1045"/>
    </row>
    <row r="1314">
      <c r="A1314" s="294"/>
      <c r="B1314" s="1019" t="s">
        <v>140</v>
      </c>
      <c r="C1314" s="1020" t="s">
        <v>1035</v>
      </c>
      <c r="D1314" s="1020" t="s">
        <v>1043</v>
      </c>
      <c r="E1314" s="1020" t="s">
        <v>530</v>
      </c>
      <c r="F1314" s="1020">
        <v>2021.0</v>
      </c>
      <c r="G1314" s="1021">
        <v>5.45E-5</v>
      </c>
      <c r="H1314" s="1021">
        <v>2.68E-5</v>
      </c>
      <c r="I1314" s="1022">
        <v>1.08239E-4</v>
      </c>
      <c r="K1314" s="1031" t="s">
        <v>121</v>
      </c>
      <c r="L1314" s="1032" t="s">
        <v>552</v>
      </c>
      <c r="M1314" s="1032" t="s">
        <v>1035</v>
      </c>
      <c r="N1314" s="1032" t="s">
        <v>1038</v>
      </c>
      <c r="O1314" s="1032">
        <v>2021.0</v>
      </c>
      <c r="P1314" s="1032" t="s">
        <v>1039</v>
      </c>
      <c r="Q1314" s="1033" t="s">
        <v>63</v>
      </c>
      <c r="R1314" s="1034">
        <v>441.1647078</v>
      </c>
      <c r="S1314" s="1034">
        <v>17.84847555</v>
      </c>
      <c r="T1314" s="1035">
        <v>1777.753868</v>
      </c>
      <c r="AB1314" s="1045"/>
    </row>
    <row r="1315">
      <c r="A1315" s="294"/>
      <c r="B1315" s="1019" t="s">
        <v>140</v>
      </c>
      <c r="C1315" s="1020" t="s">
        <v>1035</v>
      </c>
      <c r="D1315" s="1020" t="s">
        <v>1045</v>
      </c>
      <c r="E1315" s="1020" t="s">
        <v>530</v>
      </c>
      <c r="F1315" s="1020">
        <v>2021.0</v>
      </c>
      <c r="G1315" s="1021">
        <v>1.89327E-4</v>
      </c>
      <c r="H1315" s="1021">
        <v>8.0E-5</v>
      </c>
      <c r="I1315" s="1022">
        <v>4.33728E-4</v>
      </c>
      <c r="K1315" s="1031" t="s">
        <v>121</v>
      </c>
      <c r="L1315" s="1032" t="s">
        <v>552</v>
      </c>
      <c r="M1315" s="1032" t="s">
        <v>1035</v>
      </c>
      <c r="N1315" s="1032" t="s">
        <v>1042</v>
      </c>
      <c r="O1315" s="1032">
        <v>2021.0</v>
      </c>
      <c r="P1315" s="1032" t="s">
        <v>1039</v>
      </c>
      <c r="Q1315" s="1033" t="s">
        <v>63</v>
      </c>
      <c r="R1315" s="1034">
        <v>0.0</v>
      </c>
      <c r="S1315" s="1034">
        <v>0.0</v>
      </c>
      <c r="T1315" s="1035">
        <v>0.0</v>
      </c>
      <c r="AB1315" s="1045"/>
    </row>
    <row r="1316">
      <c r="A1316" s="294"/>
      <c r="B1316" s="1019" t="s">
        <v>141</v>
      </c>
      <c r="C1316" s="1020" t="s">
        <v>1035</v>
      </c>
      <c r="D1316" s="1020" t="s">
        <v>1036</v>
      </c>
      <c r="E1316" s="1020" t="s">
        <v>530</v>
      </c>
      <c r="F1316" s="1020">
        <v>2021.0</v>
      </c>
      <c r="G1316" s="1021">
        <v>0.001213453</v>
      </c>
      <c r="H1316" s="1021">
        <v>6.4913E-4</v>
      </c>
      <c r="I1316" s="1022">
        <v>0.002353109</v>
      </c>
      <c r="K1316" s="1031" t="s">
        <v>121</v>
      </c>
      <c r="L1316" s="1032" t="s">
        <v>552</v>
      </c>
      <c r="M1316" s="1032" t="s">
        <v>1035</v>
      </c>
      <c r="N1316" s="1032" t="s">
        <v>1044</v>
      </c>
      <c r="O1316" s="1032">
        <v>2021.0</v>
      </c>
      <c r="P1316" s="1032" t="s">
        <v>1039</v>
      </c>
      <c r="Q1316" s="1033" t="s">
        <v>63</v>
      </c>
      <c r="R1316" s="1034">
        <v>0.0</v>
      </c>
      <c r="S1316" s="1034">
        <v>0.0</v>
      </c>
      <c r="T1316" s="1035">
        <v>0.0</v>
      </c>
      <c r="AB1316" s="1045"/>
    </row>
    <row r="1317">
      <c r="A1317" s="294"/>
      <c r="B1317" s="1019" t="s">
        <v>141</v>
      </c>
      <c r="C1317" s="1020" t="s">
        <v>1035</v>
      </c>
      <c r="D1317" s="1020" t="s">
        <v>1041</v>
      </c>
      <c r="E1317" s="1020" t="s">
        <v>530</v>
      </c>
      <c r="F1317" s="1020">
        <v>2021.0</v>
      </c>
      <c r="G1317" s="1021">
        <v>0.007392705</v>
      </c>
      <c r="H1317" s="1021">
        <v>0.004499664</v>
      </c>
      <c r="I1317" s="1022">
        <v>0.012527091</v>
      </c>
      <c r="K1317" s="1031" t="s">
        <v>121</v>
      </c>
      <c r="L1317" s="1032" t="s">
        <v>552</v>
      </c>
      <c r="M1317" s="1032" t="s">
        <v>1035</v>
      </c>
      <c r="N1317" s="1032" t="s">
        <v>1046</v>
      </c>
      <c r="O1317" s="1032">
        <v>2021.0</v>
      </c>
      <c r="P1317" s="1032" t="s">
        <v>1039</v>
      </c>
      <c r="Q1317" s="1033" t="s">
        <v>63</v>
      </c>
      <c r="R1317" s="1034">
        <v>250.6856765</v>
      </c>
      <c r="S1317" s="1034">
        <v>10.64880933</v>
      </c>
      <c r="T1317" s="1035">
        <v>1039.980967</v>
      </c>
      <c r="AB1317" s="1045"/>
    </row>
    <row r="1318">
      <c r="A1318" s="294"/>
      <c r="B1318" s="1019" t="s">
        <v>141</v>
      </c>
      <c r="C1318" s="1020" t="s">
        <v>1035</v>
      </c>
      <c r="D1318" s="1020" t="s">
        <v>1043</v>
      </c>
      <c r="E1318" s="1020" t="s">
        <v>530</v>
      </c>
      <c r="F1318" s="1020">
        <v>2021.0</v>
      </c>
      <c r="G1318" s="1021">
        <v>4.73E-5</v>
      </c>
      <c r="H1318" s="1021">
        <v>2.26E-5</v>
      </c>
      <c r="I1318" s="1022">
        <v>1.03727E-4</v>
      </c>
      <c r="K1318" s="1031" t="s">
        <v>121</v>
      </c>
      <c r="L1318" s="1032" t="s">
        <v>552</v>
      </c>
      <c r="M1318" s="1032" t="s">
        <v>1035</v>
      </c>
      <c r="N1318" s="1032" t="s">
        <v>1045</v>
      </c>
      <c r="O1318" s="1032">
        <v>2021.0</v>
      </c>
      <c r="P1318" s="1032" t="s">
        <v>1039</v>
      </c>
      <c r="Q1318" s="1033" t="s">
        <v>63</v>
      </c>
      <c r="R1318" s="1034">
        <v>691.8503844</v>
      </c>
      <c r="S1318" s="1034">
        <v>28.50488723</v>
      </c>
      <c r="T1318" s="1035">
        <v>2751.0844</v>
      </c>
      <c r="AB1318" s="1045"/>
    </row>
    <row r="1319">
      <c r="A1319" s="294"/>
      <c r="B1319" s="1019" t="s">
        <v>141</v>
      </c>
      <c r="C1319" s="1020" t="s">
        <v>1035</v>
      </c>
      <c r="D1319" s="1020" t="s">
        <v>1045</v>
      </c>
      <c r="E1319" s="1020" t="s">
        <v>530</v>
      </c>
      <c r="F1319" s="1020">
        <v>2021.0</v>
      </c>
      <c r="G1319" s="1021">
        <v>1.25611E-4</v>
      </c>
      <c r="H1319" s="1021">
        <v>5.41E-5</v>
      </c>
      <c r="I1319" s="1022">
        <v>2.85599E-4</v>
      </c>
      <c r="K1319" s="1031" t="s">
        <v>152</v>
      </c>
      <c r="L1319" s="1032" t="s">
        <v>552</v>
      </c>
      <c r="M1319" s="1032" t="s">
        <v>1035</v>
      </c>
      <c r="N1319" s="1032" t="s">
        <v>1038</v>
      </c>
      <c r="O1319" s="1032">
        <v>2021.0</v>
      </c>
      <c r="P1319" s="1032" t="s">
        <v>1039</v>
      </c>
      <c r="Q1319" s="1033" t="s">
        <v>63</v>
      </c>
      <c r="R1319" s="1034">
        <v>217.7161128</v>
      </c>
      <c r="S1319" s="1034">
        <v>6.00086493</v>
      </c>
      <c r="T1319" s="1035">
        <v>950.6053132</v>
      </c>
      <c r="AB1319" s="1045"/>
    </row>
    <row r="1320">
      <c r="A1320" s="294"/>
      <c r="B1320" s="1019" t="s">
        <v>142</v>
      </c>
      <c r="C1320" s="1020" t="s">
        <v>1035</v>
      </c>
      <c r="D1320" s="1020" t="s">
        <v>1036</v>
      </c>
      <c r="E1320" s="1020" t="s">
        <v>530</v>
      </c>
      <c r="F1320" s="1020">
        <v>2021.0</v>
      </c>
      <c r="G1320" s="1021">
        <v>0.003105895</v>
      </c>
      <c r="H1320" s="1021">
        <v>0.001866246</v>
      </c>
      <c r="I1320" s="1022">
        <v>0.005246937</v>
      </c>
      <c r="K1320" s="1031" t="s">
        <v>152</v>
      </c>
      <c r="L1320" s="1032" t="s">
        <v>552</v>
      </c>
      <c r="M1320" s="1032" t="s">
        <v>1035</v>
      </c>
      <c r="N1320" s="1032" t="s">
        <v>1042</v>
      </c>
      <c r="O1320" s="1032">
        <v>2021.0</v>
      </c>
      <c r="P1320" s="1032" t="s">
        <v>1039</v>
      </c>
      <c r="Q1320" s="1033" t="s">
        <v>63</v>
      </c>
      <c r="R1320" s="1034">
        <v>0.0</v>
      </c>
      <c r="S1320" s="1034">
        <v>0.0</v>
      </c>
      <c r="T1320" s="1035">
        <v>0.0</v>
      </c>
      <c r="AB1320" s="1045"/>
    </row>
    <row r="1321">
      <c r="A1321" s="294"/>
      <c r="B1321" s="1019" t="s">
        <v>142</v>
      </c>
      <c r="C1321" s="1020" t="s">
        <v>1035</v>
      </c>
      <c r="D1321" s="1020" t="s">
        <v>1041</v>
      </c>
      <c r="E1321" s="1020" t="s">
        <v>530</v>
      </c>
      <c r="F1321" s="1020">
        <v>2021.0</v>
      </c>
      <c r="G1321" s="1021">
        <v>0.015409974</v>
      </c>
      <c r="H1321" s="1021">
        <v>0.010151985</v>
      </c>
      <c r="I1321" s="1022">
        <v>0.023569506</v>
      </c>
      <c r="K1321" s="1031" t="s">
        <v>152</v>
      </c>
      <c r="L1321" s="1032" t="s">
        <v>552</v>
      </c>
      <c r="M1321" s="1032" t="s">
        <v>1035</v>
      </c>
      <c r="N1321" s="1032" t="s">
        <v>1044</v>
      </c>
      <c r="O1321" s="1032">
        <v>2021.0</v>
      </c>
      <c r="P1321" s="1032" t="s">
        <v>1039</v>
      </c>
      <c r="Q1321" s="1033" t="s">
        <v>63</v>
      </c>
      <c r="R1321" s="1034">
        <v>0.0</v>
      </c>
      <c r="S1321" s="1034">
        <v>0.0</v>
      </c>
      <c r="T1321" s="1035">
        <v>0.0</v>
      </c>
      <c r="AB1321" s="1045"/>
    </row>
    <row r="1322">
      <c r="A1322" s="294"/>
      <c r="B1322" s="1019" t="s">
        <v>142</v>
      </c>
      <c r="C1322" s="1020" t="s">
        <v>1035</v>
      </c>
      <c r="D1322" s="1020" t="s">
        <v>1043</v>
      </c>
      <c r="E1322" s="1020" t="s">
        <v>530</v>
      </c>
      <c r="F1322" s="1020">
        <v>2021.0</v>
      </c>
      <c r="G1322" s="1021">
        <v>1.16059E-4</v>
      </c>
      <c r="H1322" s="1021">
        <v>6.24E-5</v>
      </c>
      <c r="I1322" s="1022">
        <v>1.99094E-4</v>
      </c>
      <c r="K1322" s="1031" t="s">
        <v>152</v>
      </c>
      <c r="L1322" s="1032" t="s">
        <v>552</v>
      </c>
      <c r="M1322" s="1032" t="s">
        <v>1035</v>
      </c>
      <c r="N1322" s="1032" t="s">
        <v>1046</v>
      </c>
      <c r="O1322" s="1032">
        <v>2021.0</v>
      </c>
      <c r="P1322" s="1032" t="s">
        <v>1039</v>
      </c>
      <c r="Q1322" s="1033" t="s">
        <v>63</v>
      </c>
      <c r="R1322" s="1034">
        <v>138.0998402</v>
      </c>
      <c r="S1322" s="1034">
        <v>3.737077014</v>
      </c>
      <c r="T1322" s="1035">
        <v>667.8139383</v>
      </c>
      <c r="AB1322" s="1045"/>
    </row>
    <row r="1323">
      <c r="A1323" s="294"/>
      <c r="B1323" s="1019" t="s">
        <v>142</v>
      </c>
      <c r="C1323" s="1020" t="s">
        <v>1035</v>
      </c>
      <c r="D1323" s="1020" t="s">
        <v>1045</v>
      </c>
      <c r="E1323" s="1020" t="s">
        <v>530</v>
      </c>
      <c r="F1323" s="1020">
        <v>2021.0</v>
      </c>
      <c r="G1323" s="1021">
        <v>5.19729E-4</v>
      </c>
      <c r="H1323" s="1021">
        <v>2.59337E-4</v>
      </c>
      <c r="I1323" s="1022">
        <v>0.001021757</v>
      </c>
      <c r="K1323" s="1031" t="s">
        <v>152</v>
      </c>
      <c r="L1323" s="1032" t="s">
        <v>552</v>
      </c>
      <c r="M1323" s="1032" t="s">
        <v>1035</v>
      </c>
      <c r="N1323" s="1032" t="s">
        <v>1045</v>
      </c>
      <c r="O1323" s="1032">
        <v>2021.0</v>
      </c>
      <c r="P1323" s="1032" t="s">
        <v>1039</v>
      </c>
      <c r="Q1323" s="1033" t="s">
        <v>63</v>
      </c>
      <c r="R1323" s="1034">
        <v>355.815953</v>
      </c>
      <c r="S1323" s="1034">
        <v>10.81845577</v>
      </c>
      <c r="T1323" s="1035">
        <v>1600.835535</v>
      </c>
      <c r="AB1323" s="1045"/>
    </row>
    <row r="1324">
      <c r="A1324" s="294"/>
      <c r="B1324" s="1019" t="s">
        <v>143</v>
      </c>
      <c r="C1324" s="1020" t="s">
        <v>1035</v>
      </c>
      <c r="D1324" s="1020" t="s">
        <v>1036</v>
      </c>
      <c r="E1324" s="1020" t="s">
        <v>530</v>
      </c>
      <c r="F1324" s="1020">
        <v>2021.0</v>
      </c>
      <c r="G1324" s="1021">
        <v>0.003950397</v>
      </c>
      <c r="H1324" s="1021">
        <v>0.002238557</v>
      </c>
      <c r="I1324" s="1022">
        <v>0.006083847</v>
      </c>
      <c r="K1324" s="1031" t="s">
        <v>153</v>
      </c>
      <c r="L1324" s="1032" t="s">
        <v>552</v>
      </c>
      <c r="M1324" s="1032" t="s">
        <v>1035</v>
      </c>
      <c r="N1324" s="1032" t="s">
        <v>1038</v>
      </c>
      <c r="O1324" s="1032">
        <v>2021.0</v>
      </c>
      <c r="P1324" s="1032" t="s">
        <v>1039</v>
      </c>
      <c r="Q1324" s="1033" t="s">
        <v>63</v>
      </c>
      <c r="R1324" s="1034">
        <v>164.6040583</v>
      </c>
      <c r="S1324" s="1034">
        <v>4.941980476</v>
      </c>
      <c r="T1324" s="1035">
        <v>672.5461503</v>
      </c>
      <c r="AB1324" s="1045"/>
    </row>
    <row r="1325">
      <c r="A1325" s="294"/>
      <c r="B1325" s="1019" t="s">
        <v>143</v>
      </c>
      <c r="C1325" s="1020" t="s">
        <v>1035</v>
      </c>
      <c r="D1325" s="1020" t="s">
        <v>1041</v>
      </c>
      <c r="E1325" s="1020" t="s">
        <v>530</v>
      </c>
      <c r="F1325" s="1020">
        <v>2021.0</v>
      </c>
      <c r="G1325" s="1021">
        <v>0.024823515</v>
      </c>
      <c r="H1325" s="1021">
        <v>0.015906767</v>
      </c>
      <c r="I1325" s="1022">
        <v>0.035564152</v>
      </c>
      <c r="K1325" s="1031" t="s">
        <v>153</v>
      </c>
      <c r="L1325" s="1032" t="s">
        <v>552</v>
      </c>
      <c r="M1325" s="1032" t="s">
        <v>1035</v>
      </c>
      <c r="N1325" s="1032" t="s">
        <v>1042</v>
      </c>
      <c r="O1325" s="1032">
        <v>2021.0</v>
      </c>
      <c r="P1325" s="1032" t="s">
        <v>1039</v>
      </c>
      <c r="Q1325" s="1033" t="s">
        <v>63</v>
      </c>
      <c r="R1325" s="1034">
        <v>0.0</v>
      </c>
      <c r="S1325" s="1034">
        <v>0.0</v>
      </c>
      <c r="T1325" s="1035">
        <v>0.0</v>
      </c>
      <c r="AB1325" s="1045"/>
    </row>
    <row r="1326">
      <c r="A1326" s="294"/>
      <c r="B1326" s="1019" t="s">
        <v>143</v>
      </c>
      <c r="C1326" s="1020" t="s">
        <v>1035</v>
      </c>
      <c r="D1326" s="1020" t="s">
        <v>1043</v>
      </c>
      <c r="E1326" s="1020" t="s">
        <v>530</v>
      </c>
      <c r="F1326" s="1020">
        <v>2021.0</v>
      </c>
      <c r="G1326" s="1021">
        <v>1.79674E-4</v>
      </c>
      <c r="H1326" s="1021">
        <v>1.02019E-4</v>
      </c>
      <c r="I1326" s="1022">
        <v>2.9344E-4</v>
      </c>
      <c r="K1326" s="1031" t="s">
        <v>153</v>
      </c>
      <c r="L1326" s="1032" t="s">
        <v>552</v>
      </c>
      <c r="M1326" s="1032" t="s">
        <v>1035</v>
      </c>
      <c r="N1326" s="1032" t="s">
        <v>1044</v>
      </c>
      <c r="O1326" s="1032">
        <v>2021.0</v>
      </c>
      <c r="P1326" s="1032" t="s">
        <v>1039</v>
      </c>
      <c r="Q1326" s="1033" t="s">
        <v>63</v>
      </c>
      <c r="R1326" s="1034">
        <v>0.0</v>
      </c>
      <c r="S1326" s="1034">
        <v>0.0</v>
      </c>
      <c r="T1326" s="1035">
        <v>0.0</v>
      </c>
      <c r="AB1326" s="1045"/>
    </row>
    <row r="1327">
      <c r="A1327" s="294"/>
      <c r="B1327" s="1019" t="s">
        <v>143</v>
      </c>
      <c r="C1327" s="1020" t="s">
        <v>1035</v>
      </c>
      <c r="D1327" s="1020" t="s">
        <v>1045</v>
      </c>
      <c r="E1327" s="1020" t="s">
        <v>530</v>
      </c>
      <c r="F1327" s="1020">
        <v>2021.0</v>
      </c>
      <c r="G1327" s="1021">
        <v>9.03152E-4</v>
      </c>
      <c r="H1327" s="1021">
        <v>4.75136E-4</v>
      </c>
      <c r="I1327" s="1022">
        <v>0.001679205</v>
      </c>
      <c r="K1327" s="1031" t="s">
        <v>153</v>
      </c>
      <c r="L1327" s="1032" t="s">
        <v>552</v>
      </c>
      <c r="M1327" s="1032" t="s">
        <v>1035</v>
      </c>
      <c r="N1327" s="1032" t="s">
        <v>1046</v>
      </c>
      <c r="O1327" s="1032">
        <v>2021.0</v>
      </c>
      <c r="P1327" s="1032" t="s">
        <v>1039</v>
      </c>
      <c r="Q1327" s="1033" t="s">
        <v>63</v>
      </c>
      <c r="R1327" s="1034">
        <v>102.6045024</v>
      </c>
      <c r="S1327" s="1034">
        <v>2.55824724</v>
      </c>
      <c r="T1327" s="1035">
        <v>465.7148156</v>
      </c>
      <c r="AB1327" s="1045"/>
    </row>
    <row r="1328">
      <c r="A1328" s="294"/>
      <c r="B1328" s="1019" t="s">
        <v>109</v>
      </c>
      <c r="C1328" s="1020" t="s">
        <v>1035</v>
      </c>
      <c r="D1328" s="1020" t="s">
        <v>1036</v>
      </c>
      <c r="E1328" s="1020" t="s">
        <v>530</v>
      </c>
      <c r="F1328" s="1020">
        <v>2021.0</v>
      </c>
      <c r="G1328" s="1021">
        <v>0.003427451</v>
      </c>
      <c r="H1328" s="1021">
        <v>0.002254173</v>
      </c>
      <c r="I1328" s="1022">
        <v>0.004960541</v>
      </c>
      <c r="K1328" s="1031" t="s">
        <v>153</v>
      </c>
      <c r="L1328" s="1032" t="s">
        <v>552</v>
      </c>
      <c r="M1328" s="1032" t="s">
        <v>1035</v>
      </c>
      <c r="N1328" s="1032" t="s">
        <v>1045</v>
      </c>
      <c r="O1328" s="1032">
        <v>2021.0</v>
      </c>
      <c r="P1328" s="1032" t="s">
        <v>1039</v>
      </c>
      <c r="Q1328" s="1033" t="s">
        <v>63</v>
      </c>
      <c r="R1328" s="1034">
        <v>267.2085607</v>
      </c>
      <c r="S1328" s="1034">
        <v>8.416504172</v>
      </c>
      <c r="T1328" s="1035">
        <v>1122.029216</v>
      </c>
      <c r="AB1328" s="1045"/>
    </row>
    <row r="1329">
      <c r="A1329" s="294"/>
      <c r="B1329" s="1019" t="s">
        <v>109</v>
      </c>
      <c r="C1329" s="1020" t="s">
        <v>1035</v>
      </c>
      <c r="D1329" s="1020" t="s">
        <v>1041</v>
      </c>
      <c r="E1329" s="1020" t="s">
        <v>530</v>
      </c>
      <c r="F1329" s="1020">
        <v>2021.0</v>
      </c>
      <c r="G1329" s="1021">
        <v>0.020581483</v>
      </c>
      <c r="H1329" s="1021">
        <v>0.014832425</v>
      </c>
      <c r="I1329" s="1022">
        <v>0.027343741</v>
      </c>
      <c r="K1329" s="1031" t="s">
        <v>122</v>
      </c>
      <c r="L1329" s="1032" t="s">
        <v>552</v>
      </c>
      <c r="M1329" s="1032" t="s">
        <v>1035</v>
      </c>
      <c r="N1329" s="1032" t="s">
        <v>1038</v>
      </c>
      <c r="O1329" s="1032">
        <v>2021.0</v>
      </c>
      <c r="P1329" s="1032" t="s">
        <v>1039</v>
      </c>
      <c r="Q1329" s="1033" t="s">
        <v>63</v>
      </c>
      <c r="R1329" s="1034">
        <v>286.2484871</v>
      </c>
      <c r="S1329" s="1034">
        <v>9.247573312</v>
      </c>
      <c r="T1329" s="1035">
        <v>1179.687588</v>
      </c>
      <c r="AB1329" s="1045"/>
    </row>
    <row r="1330">
      <c r="A1330" s="294"/>
      <c r="B1330" s="1019" t="s">
        <v>109</v>
      </c>
      <c r="C1330" s="1020" t="s">
        <v>1035</v>
      </c>
      <c r="D1330" s="1020" t="s">
        <v>1043</v>
      </c>
      <c r="E1330" s="1020" t="s">
        <v>530</v>
      </c>
      <c r="F1330" s="1020">
        <v>2021.0</v>
      </c>
      <c r="G1330" s="1021">
        <v>2.13396E-4</v>
      </c>
      <c r="H1330" s="1021">
        <v>1.41375E-4</v>
      </c>
      <c r="I1330" s="1022">
        <v>3.06387E-4</v>
      </c>
      <c r="K1330" s="1031" t="s">
        <v>122</v>
      </c>
      <c r="L1330" s="1032" t="s">
        <v>552</v>
      </c>
      <c r="M1330" s="1032" t="s">
        <v>1035</v>
      </c>
      <c r="N1330" s="1032" t="s">
        <v>1042</v>
      </c>
      <c r="O1330" s="1032">
        <v>2021.0</v>
      </c>
      <c r="P1330" s="1032" t="s">
        <v>1039</v>
      </c>
      <c r="Q1330" s="1033" t="s">
        <v>63</v>
      </c>
      <c r="R1330" s="1034">
        <v>0.0</v>
      </c>
      <c r="S1330" s="1034">
        <v>0.0</v>
      </c>
      <c r="T1330" s="1035">
        <v>0.0</v>
      </c>
      <c r="AB1330" s="1045"/>
    </row>
    <row r="1331">
      <c r="A1331" s="294"/>
      <c r="B1331" s="1019" t="s">
        <v>109</v>
      </c>
      <c r="C1331" s="1020" t="s">
        <v>1035</v>
      </c>
      <c r="D1331" s="1020" t="s">
        <v>1045</v>
      </c>
      <c r="E1331" s="1020" t="s">
        <v>530</v>
      </c>
      <c r="F1331" s="1020">
        <v>2021.0</v>
      </c>
      <c r="G1331" s="1021">
        <v>0.001371759</v>
      </c>
      <c r="H1331" s="1021">
        <v>8.19527E-4</v>
      </c>
      <c r="I1331" s="1022">
        <v>0.002113745</v>
      </c>
      <c r="K1331" s="1031" t="s">
        <v>122</v>
      </c>
      <c r="L1331" s="1032" t="s">
        <v>552</v>
      </c>
      <c r="M1331" s="1032" t="s">
        <v>1035</v>
      </c>
      <c r="N1331" s="1032" t="s">
        <v>1044</v>
      </c>
      <c r="O1331" s="1032">
        <v>2021.0</v>
      </c>
      <c r="P1331" s="1032" t="s">
        <v>1039</v>
      </c>
      <c r="Q1331" s="1033" t="s">
        <v>63</v>
      </c>
      <c r="R1331" s="1034">
        <v>0.0</v>
      </c>
      <c r="S1331" s="1034">
        <v>0.0</v>
      </c>
      <c r="T1331" s="1035">
        <v>0.0</v>
      </c>
      <c r="AB1331" s="1045"/>
    </row>
    <row r="1332">
      <c r="A1332" s="294"/>
      <c r="B1332" s="1019" t="s">
        <v>146</v>
      </c>
      <c r="C1332" s="1020" t="s">
        <v>1035</v>
      </c>
      <c r="D1332" s="1020" t="s">
        <v>1036</v>
      </c>
      <c r="E1332" s="1020" t="s">
        <v>530</v>
      </c>
      <c r="F1332" s="1020">
        <v>2021.0</v>
      </c>
      <c r="G1332" s="1021">
        <v>0.00235567</v>
      </c>
      <c r="H1332" s="1021">
        <v>0.001336856</v>
      </c>
      <c r="I1332" s="1022">
        <v>0.004013449</v>
      </c>
      <c r="K1332" s="1031" t="s">
        <v>122</v>
      </c>
      <c r="L1332" s="1032" t="s">
        <v>552</v>
      </c>
      <c r="M1332" s="1032" t="s">
        <v>1035</v>
      </c>
      <c r="N1332" s="1032" t="s">
        <v>1046</v>
      </c>
      <c r="O1332" s="1032">
        <v>2021.0</v>
      </c>
      <c r="P1332" s="1032" t="s">
        <v>1039</v>
      </c>
      <c r="Q1332" s="1033" t="s">
        <v>63</v>
      </c>
      <c r="R1332" s="1034">
        <v>155.0955003</v>
      </c>
      <c r="S1332" s="1034">
        <v>4.164324796</v>
      </c>
      <c r="T1332" s="1035">
        <v>650.303865</v>
      </c>
      <c r="AB1332" s="1045"/>
    </row>
    <row r="1333">
      <c r="A1333" s="294"/>
      <c r="B1333" s="1019" t="s">
        <v>146</v>
      </c>
      <c r="C1333" s="1020" t="s">
        <v>1035</v>
      </c>
      <c r="D1333" s="1020" t="s">
        <v>1041</v>
      </c>
      <c r="E1333" s="1020" t="s">
        <v>530</v>
      </c>
      <c r="F1333" s="1020">
        <v>2021.0</v>
      </c>
      <c r="G1333" s="1021">
        <v>0.015866669</v>
      </c>
      <c r="H1333" s="1021">
        <v>0.010730986</v>
      </c>
      <c r="I1333" s="1022">
        <v>0.024248568</v>
      </c>
      <c r="K1333" s="1031" t="s">
        <v>122</v>
      </c>
      <c r="L1333" s="1032" t="s">
        <v>552</v>
      </c>
      <c r="M1333" s="1032" t="s">
        <v>1035</v>
      </c>
      <c r="N1333" s="1032" t="s">
        <v>1045</v>
      </c>
      <c r="O1333" s="1032">
        <v>2021.0</v>
      </c>
      <c r="P1333" s="1032" t="s">
        <v>1039</v>
      </c>
      <c r="Q1333" s="1033" t="s">
        <v>63</v>
      </c>
      <c r="R1333" s="1034">
        <v>441.3439874</v>
      </c>
      <c r="S1333" s="1034">
        <v>12.940918</v>
      </c>
      <c r="T1333" s="1035">
        <v>1819.426077</v>
      </c>
      <c r="AB1333" s="1045"/>
    </row>
    <row r="1334">
      <c r="A1334" s="294"/>
      <c r="B1334" s="1019" t="s">
        <v>146</v>
      </c>
      <c r="C1334" s="1020" t="s">
        <v>1035</v>
      </c>
      <c r="D1334" s="1020" t="s">
        <v>1043</v>
      </c>
      <c r="E1334" s="1020" t="s">
        <v>530</v>
      </c>
      <c r="F1334" s="1020">
        <v>2021.0</v>
      </c>
      <c r="G1334" s="1021">
        <v>7.43E-5</v>
      </c>
      <c r="H1334" s="1021">
        <v>3.92E-5</v>
      </c>
      <c r="I1334" s="1022">
        <v>1.43555E-4</v>
      </c>
      <c r="K1334" s="1031" t="s">
        <v>123</v>
      </c>
      <c r="L1334" s="1032" t="s">
        <v>565</v>
      </c>
      <c r="M1334" s="1032" t="s">
        <v>1035</v>
      </c>
      <c r="N1334" s="1032" t="s">
        <v>1038</v>
      </c>
      <c r="O1334" s="1032">
        <v>2021.0</v>
      </c>
      <c r="P1334" s="1032" t="s">
        <v>1039</v>
      </c>
      <c r="Q1334" s="1033" t="s">
        <v>63</v>
      </c>
      <c r="R1334" s="1034">
        <v>0.577627562</v>
      </c>
      <c r="S1334" s="1034">
        <v>0.008448639</v>
      </c>
      <c r="T1334" s="1035">
        <v>2.401430122</v>
      </c>
      <c r="AB1334" s="1045"/>
    </row>
    <row r="1335">
      <c r="A1335" s="294"/>
      <c r="B1335" s="1019" t="s">
        <v>146</v>
      </c>
      <c r="C1335" s="1020" t="s">
        <v>1035</v>
      </c>
      <c r="D1335" s="1020" t="s">
        <v>1045</v>
      </c>
      <c r="E1335" s="1020" t="s">
        <v>530</v>
      </c>
      <c r="F1335" s="1020">
        <v>2021.0</v>
      </c>
      <c r="G1335" s="1021">
        <v>2.4853E-4</v>
      </c>
      <c r="H1335" s="1021">
        <v>1.24479E-4</v>
      </c>
      <c r="I1335" s="1022">
        <v>5.31404E-4</v>
      </c>
      <c r="K1335" s="1031" t="s">
        <v>123</v>
      </c>
      <c r="L1335" s="1032" t="s">
        <v>565</v>
      </c>
      <c r="M1335" s="1032" t="s">
        <v>1035</v>
      </c>
      <c r="N1335" s="1032" t="s">
        <v>1042</v>
      </c>
      <c r="O1335" s="1032">
        <v>2021.0</v>
      </c>
      <c r="P1335" s="1032" t="s">
        <v>1039</v>
      </c>
      <c r="Q1335" s="1033" t="s">
        <v>63</v>
      </c>
      <c r="R1335" s="1034">
        <v>5.79282685</v>
      </c>
      <c r="S1335" s="1034">
        <v>0.180136186</v>
      </c>
      <c r="T1335" s="1035">
        <v>15.18561797</v>
      </c>
      <c r="AB1335" s="1045"/>
    </row>
    <row r="1336">
      <c r="A1336" s="294"/>
      <c r="B1336" s="1019" t="s">
        <v>147</v>
      </c>
      <c r="C1336" s="1020" t="s">
        <v>1035</v>
      </c>
      <c r="D1336" s="1020" t="s">
        <v>1036</v>
      </c>
      <c r="E1336" s="1020" t="s">
        <v>530</v>
      </c>
      <c r="F1336" s="1020">
        <v>2021.0</v>
      </c>
      <c r="G1336" s="1021">
        <v>0.002089846</v>
      </c>
      <c r="H1336" s="1021">
        <v>0.001184391</v>
      </c>
      <c r="I1336" s="1022">
        <v>0.003688197</v>
      </c>
      <c r="K1336" s="1031" t="s">
        <v>123</v>
      </c>
      <c r="L1336" s="1032" t="s">
        <v>565</v>
      </c>
      <c r="M1336" s="1032" t="s">
        <v>1035</v>
      </c>
      <c r="N1336" s="1032" t="s">
        <v>1044</v>
      </c>
      <c r="O1336" s="1032">
        <v>2021.0</v>
      </c>
      <c r="P1336" s="1032" t="s">
        <v>1039</v>
      </c>
      <c r="Q1336" s="1033" t="s">
        <v>63</v>
      </c>
      <c r="R1336" s="1034">
        <v>2.612578044</v>
      </c>
      <c r="S1336" s="1034">
        <v>0.061090105</v>
      </c>
      <c r="T1336" s="1035">
        <v>8.168818456</v>
      </c>
      <c r="AB1336" s="1045"/>
    </row>
    <row r="1337">
      <c r="A1337" s="294"/>
      <c r="B1337" s="1019" t="s">
        <v>147</v>
      </c>
      <c r="C1337" s="1020" t="s">
        <v>1035</v>
      </c>
      <c r="D1337" s="1020" t="s">
        <v>1041</v>
      </c>
      <c r="E1337" s="1020" t="s">
        <v>530</v>
      </c>
      <c r="F1337" s="1020">
        <v>2021.0</v>
      </c>
      <c r="G1337" s="1021">
        <v>0.01415755</v>
      </c>
      <c r="H1337" s="1021">
        <v>0.009351515</v>
      </c>
      <c r="I1337" s="1022">
        <v>0.021172771</v>
      </c>
      <c r="K1337" s="1031" t="s">
        <v>123</v>
      </c>
      <c r="L1337" s="1032" t="s">
        <v>565</v>
      </c>
      <c r="M1337" s="1032" t="s">
        <v>1035</v>
      </c>
      <c r="N1337" s="1032" t="s">
        <v>1046</v>
      </c>
      <c r="O1337" s="1032">
        <v>2021.0</v>
      </c>
      <c r="P1337" s="1032" t="s">
        <v>1039</v>
      </c>
      <c r="Q1337" s="1033" t="s">
        <v>63</v>
      </c>
      <c r="R1337" s="1034">
        <v>0.591336458</v>
      </c>
      <c r="S1337" s="1034">
        <v>0.010806159</v>
      </c>
      <c r="T1337" s="1035">
        <v>1.753000966</v>
      </c>
      <c r="AB1337" s="1045"/>
    </row>
    <row r="1338">
      <c r="A1338" s="294"/>
      <c r="B1338" s="1019" t="s">
        <v>147</v>
      </c>
      <c r="C1338" s="1020" t="s">
        <v>1035</v>
      </c>
      <c r="D1338" s="1020" t="s">
        <v>1043</v>
      </c>
      <c r="E1338" s="1020" t="s">
        <v>530</v>
      </c>
      <c r="F1338" s="1020">
        <v>2021.0</v>
      </c>
      <c r="G1338" s="1021">
        <v>6.96E-5</v>
      </c>
      <c r="H1338" s="1021">
        <v>3.57E-5</v>
      </c>
      <c r="I1338" s="1022">
        <v>1.40187E-4</v>
      </c>
      <c r="K1338" s="1031" t="s">
        <v>123</v>
      </c>
      <c r="L1338" s="1032" t="s">
        <v>565</v>
      </c>
      <c r="M1338" s="1032" t="s">
        <v>1035</v>
      </c>
      <c r="N1338" s="1032" t="s">
        <v>1045</v>
      </c>
      <c r="O1338" s="1032">
        <v>2021.0</v>
      </c>
      <c r="P1338" s="1032" t="s">
        <v>1039</v>
      </c>
      <c r="Q1338" s="1033" t="s">
        <v>63</v>
      </c>
      <c r="R1338" s="1034">
        <v>9.574368913</v>
      </c>
      <c r="S1338" s="1034">
        <v>0.261726957</v>
      </c>
      <c r="T1338" s="1035">
        <v>22.5964935</v>
      </c>
      <c r="AB1338" s="1045"/>
    </row>
    <row r="1339">
      <c r="A1339" s="294"/>
      <c r="B1339" s="1019" t="s">
        <v>147</v>
      </c>
      <c r="C1339" s="1020" t="s">
        <v>1035</v>
      </c>
      <c r="D1339" s="1020" t="s">
        <v>1045</v>
      </c>
      <c r="E1339" s="1020" t="s">
        <v>530</v>
      </c>
      <c r="F1339" s="1020">
        <v>2021.0</v>
      </c>
      <c r="G1339" s="1021">
        <v>2.98102E-4</v>
      </c>
      <c r="H1339" s="1021">
        <v>1.35968E-4</v>
      </c>
      <c r="I1339" s="1022">
        <v>6.2139E-4</v>
      </c>
      <c r="K1339" s="1031" t="s">
        <v>124</v>
      </c>
      <c r="L1339" s="1032" t="s">
        <v>565</v>
      </c>
      <c r="M1339" s="1032" t="s">
        <v>1035</v>
      </c>
      <c r="N1339" s="1032" t="s">
        <v>1038</v>
      </c>
      <c r="O1339" s="1032">
        <v>2021.0</v>
      </c>
      <c r="P1339" s="1032" t="s">
        <v>1039</v>
      </c>
      <c r="Q1339" s="1033" t="s">
        <v>63</v>
      </c>
      <c r="R1339" s="1034">
        <v>1.463259148</v>
      </c>
      <c r="S1339" s="1034">
        <v>0.289115056</v>
      </c>
      <c r="T1339" s="1035">
        <v>5.54842509</v>
      </c>
      <c r="AB1339" s="1045"/>
    </row>
    <row r="1340">
      <c r="A1340" s="294"/>
      <c r="B1340" s="1019" t="s">
        <v>148</v>
      </c>
      <c r="C1340" s="1020" t="s">
        <v>1035</v>
      </c>
      <c r="D1340" s="1020" t="s">
        <v>1036</v>
      </c>
      <c r="E1340" s="1020" t="s">
        <v>530</v>
      </c>
      <c r="F1340" s="1020">
        <v>2021.0</v>
      </c>
      <c r="G1340" s="1021">
        <v>0.001299033</v>
      </c>
      <c r="H1340" s="1021">
        <v>6.10336E-4</v>
      </c>
      <c r="I1340" s="1022">
        <v>0.002559706</v>
      </c>
      <c r="K1340" s="1031" t="s">
        <v>124</v>
      </c>
      <c r="L1340" s="1032" t="s">
        <v>565</v>
      </c>
      <c r="M1340" s="1032" t="s">
        <v>1035</v>
      </c>
      <c r="N1340" s="1032" t="s">
        <v>1042</v>
      </c>
      <c r="O1340" s="1032">
        <v>2021.0</v>
      </c>
      <c r="P1340" s="1032" t="s">
        <v>1039</v>
      </c>
      <c r="Q1340" s="1033" t="s">
        <v>63</v>
      </c>
      <c r="R1340" s="1034">
        <v>6.176313845</v>
      </c>
      <c r="S1340" s="1034">
        <v>1.465459749</v>
      </c>
      <c r="T1340" s="1035">
        <v>15.69445338</v>
      </c>
      <c r="AB1340" s="1045"/>
    </row>
    <row r="1341">
      <c r="A1341" s="294"/>
      <c r="B1341" s="1019" t="s">
        <v>148</v>
      </c>
      <c r="C1341" s="1020" t="s">
        <v>1035</v>
      </c>
      <c r="D1341" s="1020" t="s">
        <v>1041</v>
      </c>
      <c r="E1341" s="1020" t="s">
        <v>530</v>
      </c>
      <c r="F1341" s="1020">
        <v>2021.0</v>
      </c>
      <c r="G1341" s="1021">
        <v>0.011586001</v>
      </c>
      <c r="H1341" s="1021">
        <v>0.006907052</v>
      </c>
      <c r="I1341" s="1022">
        <v>0.018943076</v>
      </c>
      <c r="K1341" s="1031" t="s">
        <v>124</v>
      </c>
      <c r="L1341" s="1032" t="s">
        <v>565</v>
      </c>
      <c r="M1341" s="1032" t="s">
        <v>1035</v>
      </c>
      <c r="N1341" s="1032" t="s">
        <v>1044</v>
      </c>
      <c r="O1341" s="1032">
        <v>2021.0</v>
      </c>
      <c r="P1341" s="1032" t="s">
        <v>1039</v>
      </c>
      <c r="Q1341" s="1033" t="s">
        <v>63</v>
      </c>
      <c r="R1341" s="1034">
        <v>3.601899175</v>
      </c>
      <c r="S1341" s="1034">
        <v>0.636191952</v>
      </c>
      <c r="T1341" s="1035">
        <v>12.3169831</v>
      </c>
      <c r="AB1341" s="1045"/>
    </row>
    <row r="1342">
      <c r="A1342" s="294"/>
      <c r="B1342" s="1019" t="s">
        <v>148</v>
      </c>
      <c r="C1342" s="1020" t="s">
        <v>1035</v>
      </c>
      <c r="D1342" s="1020" t="s">
        <v>1043</v>
      </c>
      <c r="E1342" s="1020" t="s">
        <v>530</v>
      </c>
      <c r="F1342" s="1020">
        <v>2021.0</v>
      </c>
      <c r="G1342" s="1021">
        <v>3.91E-5</v>
      </c>
      <c r="H1342" s="1021">
        <v>1.58E-5</v>
      </c>
      <c r="I1342" s="1022">
        <v>8.15E-5</v>
      </c>
      <c r="K1342" s="1031" t="s">
        <v>124</v>
      </c>
      <c r="L1342" s="1032" t="s">
        <v>565</v>
      </c>
      <c r="M1342" s="1032" t="s">
        <v>1035</v>
      </c>
      <c r="N1342" s="1032" t="s">
        <v>1046</v>
      </c>
      <c r="O1342" s="1032">
        <v>2021.0</v>
      </c>
      <c r="P1342" s="1032" t="s">
        <v>1039</v>
      </c>
      <c r="Q1342" s="1033" t="s">
        <v>63</v>
      </c>
      <c r="R1342" s="1034">
        <v>0.820059197</v>
      </c>
      <c r="S1342" s="1034">
        <v>0.148195372</v>
      </c>
      <c r="T1342" s="1035">
        <v>2.911157753</v>
      </c>
      <c r="AB1342" s="1045"/>
    </row>
    <row r="1343">
      <c r="A1343" s="294"/>
      <c r="B1343" s="1019" t="s">
        <v>148</v>
      </c>
      <c r="C1343" s="1020" t="s">
        <v>1035</v>
      </c>
      <c r="D1343" s="1020" t="s">
        <v>1045</v>
      </c>
      <c r="E1343" s="1020" t="s">
        <v>530</v>
      </c>
      <c r="F1343" s="1020">
        <v>2021.0</v>
      </c>
      <c r="G1343" s="1021">
        <v>1.32551E-4</v>
      </c>
      <c r="H1343" s="1021">
        <v>5.24E-5</v>
      </c>
      <c r="I1343" s="1022">
        <v>2.9031E-4</v>
      </c>
      <c r="K1343" s="1031" t="s">
        <v>124</v>
      </c>
      <c r="L1343" s="1032" t="s">
        <v>565</v>
      </c>
      <c r="M1343" s="1032" t="s">
        <v>1035</v>
      </c>
      <c r="N1343" s="1032" t="s">
        <v>1045</v>
      </c>
      <c r="O1343" s="1032">
        <v>2021.0</v>
      </c>
      <c r="P1343" s="1032" t="s">
        <v>1039</v>
      </c>
      <c r="Q1343" s="1033" t="s">
        <v>63</v>
      </c>
      <c r="R1343" s="1034">
        <v>12.06153137</v>
      </c>
      <c r="S1343" s="1034">
        <v>2.914009088</v>
      </c>
      <c r="T1343" s="1035">
        <v>30.84329612</v>
      </c>
      <c r="AB1343" s="1045"/>
    </row>
    <row r="1344">
      <c r="A1344" s="294"/>
      <c r="B1344" s="1019" t="s">
        <v>149</v>
      </c>
      <c r="C1344" s="1020" t="s">
        <v>1035</v>
      </c>
      <c r="D1344" s="1020" t="s">
        <v>1036</v>
      </c>
      <c r="E1344" s="1020" t="s">
        <v>530</v>
      </c>
      <c r="F1344" s="1020">
        <v>2021.0</v>
      </c>
      <c r="G1344" s="1021">
        <v>0.001446772</v>
      </c>
      <c r="H1344" s="1021">
        <v>7.84741E-4</v>
      </c>
      <c r="I1344" s="1022">
        <v>0.002824052</v>
      </c>
      <c r="K1344" s="1031" t="s">
        <v>125</v>
      </c>
      <c r="L1344" s="1032" t="s">
        <v>565</v>
      </c>
      <c r="M1344" s="1032" t="s">
        <v>1035</v>
      </c>
      <c r="N1344" s="1032" t="s">
        <v>1038</v>
      </c>
      <c r="O1344" s="1032">
        <v>2021.0</v>
      </c>
      <c r="P1344" s="1032" t="s">
        <v>1039</v>
      </c>
      <c r="Q1344" s="1033" t="s">
        <v>63</v>
      </c>
      <c r="R1344" s="1034">
        <v>0.155636997</v>
      </c>
      <c r="S1344" s="1034">
        <v>0.004590669</v>
      </c>
      <c r="T1344" s="1035">
        <v>0.65744916</v>
      </c>
      <c r="AB1344" s="1045"/>
    </row>
    <row r="1345">
      <c r="A1345" s="294"/>
      <c r="B1345" s="1019" t="s">
        <v>149</v>
      </c>
      <c r="C1345" s="1020" t="s">
        <v>1035</v>
      </c>
      <c r="D1345" s="1020" t="s">
        <v>1041</v>
      </c>
      <c r="E1345" s="1020" t="s">
        <v>530</v>
      </c>
      <c r="F1345" s="1020">
        <v>2021.0</v>
      </c>
      <c r="G1345" s="1021">
        <v>0.008549682</v>
      </c>
      <c r="H1345" s="1021">
        <v>0.005503145</v>
      </c>
      <c r="I1345" s="1022">
        <v>0.014765208</v>
      </c>
      <c r="K1345" s="1031" t="s">
        <v>125</v>
      </c>
      <c r="L1345" s="1032" t="s">
        <v>565</v>
      </c>
      <c r="M1345" s="1032" t="s">
        <v>1035</v>
      </c>
      <c r="N1345" s="1032" t="s">
        <v>1042</v>
      </c>
      <c r="O1345" s="1032">
        <v>2021.0</v>
      </c>
      <c r="P1345" s="1032" t="s">
        <v>1039</v>
      </c>
      <c r="Q1345" s="1033" t="s">
        <v>63</v>
      </c>
      <c r="R1345" s="1034">
        <v>2.448145769</v>
      </c>
      <c r="S1345" s="1034">
        <v>0.118250466</v>
      </c>
      <c r="T1345" s="1035">
        <v>6.924424653</v>
      </c>
      <c r="AB1345" s="1045"/>
    </row>
    <row r="1346">
      <c r="A1346" s="294"/>
      <c r="B1346" s="1019" t="s">
        <v>149</v>
      </c>
      <c r="C1346" s="1020" t="s">
        <v>1035</v>
      </c>
      <c r="D1346" s="1020" t="s">
        <v>1043</v>
      </c>
      <c r="E1346" s="1020" t="s">
        <v>530</v>
      </c>
      <c r="F1346" s="1020">
        <v>2021.0</v>
      </c>
      <c r="G1346" s="1021">
        <v>3.29E-5</v>
      </c>
      <c r="H1346" s="1021">
        <v>1.63E-5</v>
      </c>
      <c r="I1346" s="1022">
        <v>7.21E-5</v>
      </c>
      <c r="K1346" s="1031" t="s">
        <v>125</v>
      </c>
      <c r="L1346" s="1032" t="s">
        <v>565</v>
      </c>
      <c r="M1346" s="1032" t="s">
        <v>1035</v>
      </c>
      <c r="N1346" s="1032" t="s">
        <v>1044</v>
      </c>
      <c r="O1346" s="1032">
        <v>2021.0</v>
      </c>
      <c r="P1346" s="1032" t="s">
        <v>1039</v>
      </c>
      <c r="Q1346" s="1033" t="s">
        <v>63</v>
      </c>
      <c r="R1346" s="1034">
        <v>1.359625785</v>
      </c>
      <c r="S1346" s="1034">
        <v>0.047947009</v>
      </c>
      <c r="T1346" s="1035">
        <v>5.264008244</v>
      </c>
      <c r="AB1346" s="1045"/>
    </row>
    <row r="1347">
      <c r="A1347" s="294"/>
      <c r="B1347" s="1019" t="s">
        <v>149</v>
      </c>
      <c r="C1347" s="1020" t="s">
        <v>1035</v>
      </c>
      <c r="D1347" s="1020" t="s">
        <v>1045</v>
      </c>
      <c r="E1347" s="1020" t="s">
        <v>530</v>
      </c>
      <c r="F1347" s="1020">
        <v>2021.0</v>
      </c>
      <c r="G1347" s="1021">
        <v>1.38701E-4</v>
      </c>
      <c r="H1347" s="1021">
        <v>5.86E-5</v>
      </c>
      <c r="I1347" s="1022">
        <v>3.44122E-4</v>
      </c>
      <c r="K1347" s="1031" t="s">
        <v>125</v>
      </c>
      <c r="L1347" s="1032" t="s">
        <v>565</v>
      </c>
      <c r="M1347" s="1032" t="s">
        <v>1035</v>
      </c>
      <c r="N1347" s="1032" t="s">
        <v>1046</v>
      </c>
      <c r="O1347" s="1032">
        <v>2021.0</v>
      </c>
      <c r="P1347" s="1032" t="s">
        <v>1039</v>
      </c>
      <c r="Q1347" s="1033" t="s">
        <v>63</v>
      </c>
      <c r="R1347" s="1034">
        <v>0.207481595</v>
      </c>
      <c r="S1347" s="1034">
        <v>0.005940694</v>
      </c>
      <c r="T1347" s="1035">
        <v>0.703307075</v>
      </c>
      <c r="AB1347" s="1045"/>
    </row>
    <row r="1348">
      <c r="A1348" s="294"/>
      <c r="B1348" s="1019" t="s">
        <v>150</v>
      </c>
      <c r="C1348" s="1020" t="s">
        <v>1035</v>
      </c>
      <c r="D1348" s="1020" t="s">
        <v>1036</v>
      </c>
      <c r="E1348" s="1020" t="s">
        <v>530</v>
      </c>
      <c r="F1348" s="1020">
        <v>2021.0</v>
      </c>
      <c r="G1348" s="1021">
        <v>0.00310694</v>
      </c>
      <c r="H1348" s="1021">
        <v>0.001792243</v>
      </c>
      <c r="I1348" s="1022">
        <v>0.005098716</v>
      </c>
      <c r="K1348" s="1031" t="s">
        <v>125</v>
      </c>
      <c r="L1348" s="1032" t="s">
        <v>565</v>
      </c>
      <c r="M1348" s="1032" t="s">
        <v>1035</v>
      </c>
      <c r="N1348" s="1032" t="s">
        <v>1045</v>
      </c>
      <c r="O1348" s="1032">
        <v>2021.0</v>
      </c>
      <c r="P1348" s="1032" t="s">
        <v>1039</v>
      </c>
      <c r="Q1348" s="1033" t="s">
        <v>63</v>
      </c>
      <c r="R1348" s="1034">
        <v>4.170890145</v>
      </c>
      <c r="S1348" s="1034">
        <v>0.179555208</v>
      </c>
      <c r="T1348" s="1035">
        <v>11.39774038</v>
      </c>
      <c r="AB1348" s="1045"/>
    </row>
    <row r="1349">
      <c r="A1349" s="294"/>
      <c r="B1349" s="1019" t="s">
        <v>150</v>
      </c>
      <c r="C1349" s="1020" t="s">
        <v>1035</v>
      </c>
      <c r="D1349" s="1020" t="s">
        <v>1041</v>
      </c>
      <c r="E1349" s="1020" t="s">
        <v>530</v>
      </c>
      <c r="F1349" s="1020">
        <v>2021.0</v>
      </c>
      <c r="G1349" s="1021">
        <v>0.015257187</v>
      </c>
      <c r="H1349" s="1021">
        <v>0.009493728</v>
      </c>
      <c r="I1349" s="1022">
        <v>0.02422726</v>
      </c>
      <c r="K1349" s="1031" t="s">
        <v>126</v>
      </c>
      <c r="L1349" s="1032" t="s">
        <v>565</v>
      </c>
      <c r="M1349" s="1032" t="s">
        <v>1035</v>
      </c>
      <c r="N1349" s="1032" t="s">
        <v>1038</v>
      </c>
      <c r="O1349" s="1032">
        <v>2021.0</v>
      </c>
      <c r="P1349" s="1032" t="s">
        <v>1039</v>
      </c>
      <c r="Q1349" s="1033" t="s">
        <v>63</v>
      </c>
      <c r="R1349" s="1034">
        <v>0.415095532</v>
      </c>
      <c r="S1349" s="1034">
        <v>0.007154434</v>
      </c>
      <c r="T1349" s="1035">
        <v>1.734533691</v>
      </c>
      <c r="AB1349" s="1045"/>
    </row>
    <row r="1350">
      <c r="A1350" s="294"/>
      <c r="B1350" s="1019" t="s">
        <v>150</v>
      </c>
      <c r="C1350" s="1020" t="s">
        <v>1035</v>
      </c>
      <c r="D1350" s="1020" t="s">
        <v>1043</v>
      </c>
      <c r="E1350" s="1020" t="s">
        <v>530</v>
      </c>
      <c r="F1350" s="1020">
        <v>2021.0</v>
      </c>
      <c r="G1350" s="1021">
        <v>1.14084E-4</v>
      </c>
      <c r="H1350" s="1021">
        <v>6.32E-5</v>
      </c>
      <c r="I1350" s="1022">
        <v>1.99223E-4</v>
      </c>
      <c r="K1350" s="1031" t="s">
        <v>126</v>
      </c>
      <c r="L1350" s="1032" t="s">
        <v>565</v>
      </c>
      <c r="M1350" s="1032" t="s">
        <v>1035</v>
      </c>
      <c r="N1350" s="1032" t="s">
        <v>1042</v>
      </c>
      <c r="O1350" s="1032">
        <v>2021.0</v>
      </c>
      <c r="P1350" s="1032" t="s">
        <v>1039</v>
      </c>
      <c r="Q1350" s="1033" t="s">
        <v>63</v>
      </c>
      <c r="R1350" s="1034">
        <v>6.455351306</v>
      </c>
      <c r="S1350" s="1034">
        <v>0.179358628</v>
      </c>
      <c r="T1350" s="1035">
        <v>15.43560356</v>
      </c>
      <c r="AB1350" s="1045"/>
    </row>
    <row r="1351">
      <c r="A1351" s="294"/>
      <c r="B1351" s="1019" t="s">
        <v>150</v>
      </c>
      <c r="C1351" s="1020" t="s">
        <v>1035</v>
      </c>
      <c r="D1351" s="1020" t="s">
        <v>1045</v>
      </c>
      <c r="E1351" s="1020" t="s">
        <v>530</v>
      </c>
      <c r="F1351" s="1020">
        <v>2021.0</v>
      </c>
      <c r="G1351" s="1021">
        <v>3.83821E-4</v>
      </c>
      <c r="H1351" s="1021">
        <v>1.73835E-4</v>
      </c>
      <c r="I1351" s="1022">
        <v>8.16951E-4</v>
      </c>
      <c r="K1351" s="1031" t="s">
        <v>126</v>
      </c>
      <c r="L1351" s="1032" t="s">
        <v>565</v>
      </c>
      <c r="M1351" s="1032" t="s">
        <v>1035</v>
      </c>
      <c r="N1351" s="1032" t="s">
        <v>1044</v>
      </c>
      <c r="O1351" s="1032">
        <v>2021.0</v>
      </c>
      <c r="P1351" s="1032" t="s">
        <v>1039</v>
      </c>
      <c r="Q1351" s="1033" t="s">
        <v>63</v>
      </c>
      <c r="R1351" s="1034">
        <v>3.257913338</v>
      </c>
      <c r="S1351" s="1034">
        <v>0.066150598</v>
      </c>
      <c r="T1351" s="1035">
        <v>10.37063712</v>
      </c>
      <c r="AB1351" s="1045"/>
    </row>
    <row r="1352">
      <c r="A1352" s="294"/>
      <c r="B1352" s="1019" t="s">
        <v>151</v>
      </c>
      <c r="C1352" s="1020" t="s">
        <v>1035</v>
      </c>
      <c r="D1352" s="1020" t="s">
        <v>1036</v>
      </c>
      <c r="E1352" s="1020" t="s">
        <v>530</v>
      </c>
      <c r="F1352" s="1020">
        <v>2021.0</v>
      </c>
      <c r="G1352" s="1021">
        <v>0.001856172</v>
      </c>
      <c r="H1352" s="1021">
        <v>9.74489E-4</v>
      </c>
      <c r="I1352" s="1022">
        <v>0.003352678</v>
      </c>
      <c r="K1352" s="1031" t="s">
        <v>126</v>
      </c>
      <c r="L1352" s="1032" t="s">
        <v>565</v>
      </c>
      <c r="M1352" s="1032" t="s">
        <v>1035</v>
      </c>
      <c r="N1352" s="1032" t="s">
        <v>1046</v>
      </c>
      <c r="O1352" s="1032">
        <v>2021.0</v>
      </c>
      <c r="P1352" s="1032" t="s">
        <v>1039</v>
      </c>
      <c r="Q1352" s="1033" t="s">
        <v>63</v>
      </c>
      <c r="R1352" s="1034">
        <v>0.58194567</v>
      </c>
      <c r="S1352" s="1034">
        <v>0.009622442</v>
      </c>
      <c r="T1352" s="1035">
        <v>1.892285458</v>
      </c>
      <c r="AB1352" s="1045"/>
    </row>
    <row r="1353">
      <c r="A1353" s="294"/>
      <c r="B1353" s="1019" t="s">
        <v>151</v>
      </c>
      <c r="C1353" s="1020" t="s">
        <v>1035</v>
      </c>
      <c r="D1353" s="1020" t="s">
        <v>1041</v>
      </c>
      <c r="E1353" s="1020" t="s">
        <v>530</v>
      </c>
      <c r="F1353" s="1020">
        <v>2021.0</v>
      </c>
      <c r="G1353" s="1021">
        <v>0.011869172</v>
      </c>
      <c r="H1353" s="1021">
        <v>0.007286944</v>
      </c>
      <c r="I1353" s="1022">
        <v>0.018527767</v>
      </c>
      <c r="K1353" s="1031" t="s">
        <v>126</v>
      </c>
      <c r="L1353" s="1032" t="s">
        <v>565</v>
      </c>
      <c r="M1353" s="1032" t="s">
        <v>1035</v>
      </c>
      <c r="N1353" s="1032" t="s">
        <v>1045</v>
      </c>
      <c r="O1353" s="1032">
        <v>2021.0</v>
      </c>
      <c r="P1353" s="1032" t="s">
        <v>1039</v>
      </c>
      <c r="Q1353" s="1033" t="s">
        <v>63</v>
      </c>
      <c r="R1353" s="1034">
        <v>10.71030585</v>
      </c>
      <c r="S1353" s="1034">
        <v>0.265373914</v>
      </c>
      <c r="T1353" s="1035">
        <v>24.98358574</v>
      </c>
      <c r="AB1353" s="1045"/>
    </row>
    <row r="1354">
      <c r="A1354" s="294"/>
      <c r="B1354" s="1019" t="s">
        <v>151</v>
      </c>
      <c r="C1354" s="1020" t="s">
        <v>1035</v>
      </c>
      <c r="D1354" s="1020" t="s">
        <v>1043</v>
      </c>
      <c r="E1354" s="1020" t="s">
        <v>530</v>
      </c>
      <c r="F1354" s="1020">
        <v>2021.0</v>
      </c>
      <c r="G1354" s="1021">
        <v>6.51E-5</v>
      </c>
      <c r="H1354" s="1021">
        <v>2.96E-5</v>
      </c>
      <c r="I1354" s="1022">
        <v>1.31314E-4</v>
      </c>
      <c r="K1354" s="1031" t="s">
        <v>114</v>
      </c>
      <c r="L1354" s="1032" t="s">
        <v>565</v>
      </c>
      <c r="M1354" s="1032" t="s">
        <v>1035</v>
      </c>
      <c r="N1354" s="1032" t="s">
        <v>1038</v>
      </c>
      <c r="O1354" s="1032">
        <v>2021.0</v>
      </c>
      <c r="P1354" s="1032" t="s">
        <v>1039</v>
      </c>
      <c r="Q1354" s="1033" t="s">
        <v>63</v>
      </c>
      <c r="R1354" s="1034">
        <v>7.527003173</v>
      </c>
      <c r="S1354" s="1034">
        <v>1.262018946</v>
      </c>
      <c r="T1354" s="1035">
        <v>24.96461486</v>
      </c>
      <c r="AB1354" s="1045"/>
    </row>
    <row r="1355">
      <c r="A1355" s="294"/>
      <c r="B1355" s="1019" t="s">
        <v>151</v>
      </c>
      <c r="C1355" s="1020" t="s">
        <v>1035</v>
      </c>
      <c r="D1355" s="1020" t="s">
        <v>1045</v>
      </c>
      <c r="E1355" s="1020" t="s">
        <v>530</v>
      </c>
      <c r="F1355" s="1020">
        <v>2021.0</v>
      </c>
      <c r="G1355" s="1021">
        <v>3.22044E-4</v>
      </c>
      <c r="H1355" s="1021">
        <v>1.34655E-4</v>
      </c>
      <c r="I1355" s="1022">
        <v>6.58972E-4</v>
      </c>
      <c r="K1355" s="1031" t="s">
        <v>114</v>
      </c>
      <c r="L1355" s="1032" t="s">
        <v>565</v>
      </c>
      <c r="M1355" s="1032" t="s">
        <v>1035</v>
      </c>
      <c r="N1355" s="1032" t="s">
        <v>1042</v>
      </c>
      <c r="O1355" s="1032">
        <v>2021.0</v>
      </c>
      <c r="P1355" s="1032" t="s">
        <v>1039</v>
      </c>
      <c r="Q1355" s="1033" t="s">
        <v>63</v>
      </c>
      <c r="R1355" s="1034">
        <v>30.47888663</v>
      </c>
      <c r="S1355" s="1034">
        <v>8.76897198</v>
      </c>
      <c r="T1355" s="1035">
        <v>116.7708375</v>
      </c>
      <c r="AB1355" s="1045"/>
    </row>
    <row r="1356">
      <c r="A1356" s="294"/>
      <c r="B1356" s="1019" t="s">
        <v>121</v>
      </c>
      <c r="C1356" s="1020" t="s">
        <v>1035</v>
      </c>
      <c r="D1356" s="1020" t="s">
        <v>1036</v>
      </c>
      <c r="E1356" s="1020" t="s">
        <v>530</v>
      </c>
      <c r="F1356" s="1020">
        <v>2021.0</v>
      </c>
      <c r="G1356" s="1021">
        <v>0.010104002</v>
      </c>
      <c r="H1356" s="1021">
        <v>0.006634208</v>
      </c>
      <c r="I1356" s="1022">
        <v>0.014182054</v>
      </c>
      <c r="K1356" s="1031" t="s">
        <v>114</v>
      </c>
      <c r="L1356" s="1032" t="s">
        <v>565</v>
      </c>
      <c r="M1356" s="1032" t="s">
        <v>1035</v>
      </c>
      <c r="N1356" s="1032" t="s">
        <v>1044</v>
      </c>
      <c r="O1356" s="1032">
        <v>2021.0</v>
      </c>
      <c r="P1356" s="1032" t="s">
        <v>1039</v>
      </c>
      <c r="Q1356" s="1033" t="s">
        <v>63</v>
      </c>
      <c r="R1356" s="1034">
        <v>13.78822446</v>
      </c>
      <c r="S1356" s="1034">
        <v>2.417494565</v>
      </c>
      <c r="T1356" s="1035">
        <v>60.31025254</v>
      </c>
      <c r="AB1356" s="1045"/>
    </row>
    <row r="1357">
      <c r="A1357" s="294"/>
      <c r="B1357" s="1019" t="s">
        <v>121</v>
      </c>
      <c r="C1357" s="1020" t="s">
        <v>1035</v>
      </c>
      <c r="D1357" s="1020" t="s">
        <v>1041</v>
      </c>
      <c r="E1357" s="1020" t="s">
        <v>530</v>
      </c>
      <c r="F1357" s="1020">
        <v>2021.0</v>
      </c>
      <c r="G1357" s="1021">
        <v>0.055929714</v>
      </c>
      <c r="H1357" s="1021">
        <v>0.037169838</v>
      </c>
      <c r="I1357" s="1022">
        <v>0.080007583</v>
      </c>
      <c r="K1357" s="1031" t="s">
        <v>114</v>
      </c>
      <c r="L1357" s="1032" t="s">
        <v>565</v>
      </c>
      <c r="M1357" s="1032" t="s">
        <v>1035</v>
      </c>
      <c r="N1357" s="1032" t="s">
        <v>1046</v>
      </c>
      <c r="O1357" s="1032">
        <v>2021.0</v>
      </c>
      <c r="P1357" s="1032" t="s">
        <v>1039</v>
      </c>
      <c r="Q1357" s="1033" t="s">
        <v>63</v>
      </c>
      <c r="R1357" s="1034">
        <v>2.734942607</v>
      </c>
      <c r="S1357" s="1034">
        <v>0.468886606</v>
      </c>
      <c r="T1357" s="1035">
        <v>11.93106863</v>
      </c>
      <c r="AB1357" s="1045"/>
    </row>
    <row r="1358">
      <c r="A1358" s="294"/>
      <c r="B1358" s="1019" t="s">
        <v>121</v>
      </c>
      <c r="C1358" s="1020" t="s">
        <v>1035</v>
      </c>
      <c r="D1358" s="1020" t="s">
        <v>1043</v>
      </c>
      <c r="E1358" s="1020" t="s">
        <v>530</v>
      </c>
      <c r="F1358" s="1020">
        <v>2021.0</v>
      </c>
      <c r="G1358" s="1021">
        <v>6.62009E-4</v>
      </c>
      <c r="H1358" s="1021">
        <v>4.19068E-4</v>
      </c>
      <c r="I1358" s="1022">
        <v>9.42301E-4</v>
      </c>
      <c r="K1358" s="1031" t="s">
        <v>114</v>
      </c>
      <c r="L1358" s="1032" t="s">
        <v>565</v>
      </c>
      <c r="M1358" s="1032" t="s">
        <v>1035</v>
      </c>
      <c r="N1358" s="1032" t="s">
        <v>1045</v>
      </c>
      <c r="O1358" s="1032">
        <v>2021.0</v>
      </c>
      <c r="P1358" s="1032" t="s">
        <v>1039</v>
      </c>
      <c r="Q1358" s="1033" t="s">
        <v>63</v>
      </c>
      <c r="R1358" s="1034">
        <v>54.52905687</v>
      </c>
      <c r="S1358" s="1034">
        <v>17.52752895</v>
      </c>
      <c r="T1358" s="1035">
        <v>186.7679521</v>
      </c>
      <c r="AB1358" s="1045"/>
    </row>
    <row r="1359">
      <c r="A1359" s="294"/>
      <c r="B1359" s="1019" t="s">
        <v>121</v>
      </c>
      <c r="C1359" s="1020" t="s">
        <v>1035</v>
      </c>
      <c r="D1359" s="1020" t="s">
        <v>1045</v>
      </c>
      <c r="E1359" s="1020" t="s">
        <v>530</v>
      </c>
      <c r="F1359" s="1020">
        <v>2021.0</v>
      </c>
      <c r="G1359" s="1021">
        <v>0.004692335</v>
      </c>
      <c r="H1359" s="1021">
        <v>0.002951919</v>
      </c>
      <c r="I1359" s="1022">
        <v>0.006914239</v>
      </c>
      <c r="K1359" s="1031" t="s">
        <v>127</v>
      </c>
      <c r="L1359" s="1032" t="s">
        <v>565</v>
      </c>
      <c r="M1359" s="1032" t="s">
        <v>1035</v>
      </c>
      <c r="N1359" s="1032" t="s">
        <v>1038</v>
      </c>
      <c r="O1359" s="1032">
        <v>2021.0</v>
      </c>
      <c r="P1359" s="1032" t="s">
        <v>1039</v>
      </c>
      <c r="Q1359" s="1033" t="s">
        <v>63</v>
      </c>
      <c r="R1359" s="1034">
        <v>0.1299812</v>
      </c>
      <c r="S1359" s="1034">
        <v>0.005581294</v>
      </c>
      <c r="T1359" s="1035">
        <v>0.528776757</v>
      </c>
      <c r="AB1359" s="1045"/>
    </row>
    <row r="1360">
      <c r="A1360" s="294"/>
      <c r="B1360" s="1019" t="s">
        <v>152</v>
      </c>
      <c r="C1360" s="1020" t="s">
        <v>1035</v>
      </c>
      <c r="D1360" s="1020" t="s">
        <v>1036</v>
      </c>
      <c r="E1360" s="1020" t="s">
        <v>530</v>
      </c>
      <c r="F1360" s="1020">
        <v>2021.0</v>
      </c>
      <c r="G1360" s="1021">
        <v>0.004273474</v>
      </c>
      <c r="H1360" s="1021">
        <v>0.002615015</v>
      </c>
      <c r="I1360" s="1022">
        <v>0.006526916</v>
      </c>
      <c r="K1360" s="1031" t="s">
        <v>127</v>
      </c>
      <c r="L1360" s="1032" t="s">
        <v>565</v>
      </c>
      <c r="M1360" s="1032" t="s">
        <v>1035</v>
      </c>
      <c r="N1360" s="1032" t="s">
        <v>1042</v>
      </c>
      <c r="O1360" s="1032">
        <v>2021.0</v>
      </c>
      <c r="P1360" s="1032" t="s">
        <v>1039</v>
      </c>
      <c r="Q1360" s="1033" t="s">
        <v>63</v>
      </c>
      <c r="R1360" s="1034">
        <v>0.783819609</v>
      </c>
      <c r="S1360" s="1034">
        <v>0.062873737</v>
      </c>
      <c r="T1360" s="1035">
        <v>1.967146678</v>
      </c>
      <c r="AB1360" s="1045"/>
    </row>
    <row r="1361">
      <c r="A1361" s="294"/>
      <c r="B1361" s="1019" t="s">
        <v>152</v>
      </c>
      <c r="C1361" s="1020" t="s">
        <v>1035</v>
      </c>
      <c r="D1361" s="1020" t="s">
        <v>1041</v>
      </c>
      <c r="E1361" s="1020" t="s">
        <v>530</v>
      </c>
      <c r="F1361" s="1020">
        <v>2021.0</v>
      </c>
      <c r="G1361" s="1021">
        <v>0.020851106</v>
      </c>
      <c r="H1361" s="1021">
        <v>0.013718323</v>
      </c>
      <c r="I1361" s="1022">
        <v>0.030734346</v>
      </c>
      <c r="K1361" s="1031" t="s">
        <v>127</v>
      </c>
      <c r="L1361" s="1032" t="s">
        <v>565</v>
      </c>
      <c r="M1361" s="1032" t="s">
        <v>1035</v>
      </c>
      <c r="N1361" s="1032" t="s">
        <v>1044</v>
      </c>
      <c r="O1361" s="1032">
        <v>2021.0</v>
      </c>
      <c r="P1361" s="1032" t="s">
        <v>1039</v>
      </c>
      <c r="Q1361" s="1033" t="s">
        <v>63</v>
      </c>
      <c r="R1361" s="1034">
        <v>0.417991705</v>
      </c>
      <c r="S1361" s="1034">
        <v>0.02704992</v>
      </c>
      <c r="T1361" s="1035">
        <v>1.564695905</v>
      </c>
      <c r="AB1361" s="1045"/>
    </row>
    <row r="1362">
      <c r="A1362" s="294"/>
      <c r="B1362" s="1019" t="s">
        <v>152</v>
      </c>
      <c r="C1362" s="1020" t="s">
        <v>1035</v>
      </c>
      <c r="D1362" s="1020" t="s">
        <v>1043</v>
      </c>
      <c r="E1362" s="1020" t="s">
        <v>530</v>
      </c>
      <c r="F1362" s="1020">
        <v>2021.0</v>
      </c>
      <c r="G1362" s="1021">
        <v>2.35176E-4</v>
      </c>
      <c r="H1362" s="1021">
        <v>1.41769E-4</v>
      </c>
      <c r="I1362" s="1022">
        <v>3.7754E-4</v>
      </c>
      <c r="K1362" s="1031" t="s">
        <v>127</v>
      </c>
      <c r="L1362" s="1032" t="s">
        <v>565</v>
      </c>
      <c r="M1362" s="1032" t="s">
        <v>1035</v>
      </c>
      <c r="N1362" s="1032" t="s">
        <v>1046</v>
      </c>
      <c r="O1362" s="1032">
        <v>2021.0</v>
      </c>
      <c r="P1362" s="1032" t="s">
        <v>1039</v>
      </c>
      <c r="Q1362" s="1033" t="s">
        <v>63</v>
      </c>
      <c r="R1362" s="1034">
        <v>0.074010954</v>
      </c>
      <c r="S1362" s="1034">
        <v>0.003881377</v>
      </c>
      <c r="T1362" s="1035">
        <v>0.252756384</v>
      </c>
      <c r="AB1362" s="1045"/>
    </row>
    <row r="1363">
      <c r="A1363" s="294"/>
      <c r="B1363" s="1019" t="s">
        <v>152</v>
      </c>
      <c r="C1363" s="1020" t="s">
        <v>1035</v>
      </c>
      <c r="D1363" s="1020" t="s">
        <v>1045</v>
      </c>
      <c r="E1363" s="1020" t="s">
        <v>530</v>
      </c>
      <c r="F1363" s="1020">
        <v>2021.0</v>
      </c>
      <c r="G1363" s="1021">
        <v>0.001380717</v>
      </c>
      <c r="H1363" s="1021">
        <v>8.20094E-4</v>
      </c>
      <c r="I1363" s="1022">
        <v>0.002336915</v>
      </c>
      <c r="K1363" s="1031" t="s">
        <v>127</v>
      </c>
      <c r="L1363" s="1032" t="s">
        <v>565</v>
      </c>
      <c r="M1363" s="1032" t="s">
        <v>1035</v>
      </c>
      <c r="N1363" s="1032" t="s">
        <v>1045</v>
      </c>
      <c r="O1363" s="1032">
        <v>2021.0</v>
      </c>
      <c r="P1363" s="1032" t="s">
        <v>1039</v>
      </c>
      <c r="Q1363" s="1033" t="s">
        <v>63</v>
      </c>
      <c r="R1363" s="1034">
        <v>1.405803468</v>
      </c>
      <c r="S1363" s="1034">
        <v>0.101379638</v>
      </c>
      <c r="T1363" s="1035">
        <v>3.773434918</v>
      </c>
      <c r="AB1363" s="1045"/>
    </row>
    <row r="1364">
      <c r="A1364" s="294"/>
      <c r="B1364" s="1019" t="s">
        <v>153</v>
      </c>
      <c r="C1364" s="1020" t="s">
        <v>1035</v>
      </c>
      <c r="D1364" s="1020" t="s">
        <v>1036</v>
      </c>
      <c r="E1364" s="1020" t="s">
        <v>530</v>
      </c>
      <c r="F1364" s="1020">
        <v>2021.0</v>
      </c>
      <c r="G1364" s="1021">
        <v>0.006708114</v>
      </c>
      <c r="H1364" s="1021">
        <v>0.00425909</v>
      </c>
      <c r="I1364" s="1022">
        <v>0.009788973</v>
      </c>
      <c r="K1364" s="1031" t="s">
        <v>128</v>
      </c>
      <c r="L1364" s="1032" t="s">
        <v>565</v>
      </c>
      <c r="M1364" s="1032" t="s">
        <v>1035</v>
      </c>
      <c r="N1364" s="1032" t="s">
        <v>1038</v>
      </c>
      <c r="O1364" s="1032">
        <v>2021.0</v>
      </c>
      <c r="P1364" s="1032" t="s">
        <v>1039</v>
      </c>
      <c r="Q1364" s="1033" t="s">
        <v>63</v>
      </c>
      <c r="R1364" s="1034">
        <v>1.134650592</v>
      </c>
      <c r="S1364" s="1034">
        <v>0.168704561</v>
      </c>
      <c r="T1364" s="1035">
        <v>3.627649224</v>
      </c>
      <c r="AB1364" s="1045"/>
    </row>
    <row r="1365">
      <c r="A1365" s="294"/>
      <c r="B1365" s="1019" t="s">
        <v>153</v>
      </c>
      <c r="C1365" s="1020" t="s">
        <v>1035</v>
      </c>
      <c r="D1365" s="1020" t="s">
        <v>1041</v>
      </c>
      <c r="E1365" s="1020" t="s">
        <v>530</v>
      </c>
      <c r="F1365" s="1020">
        <v>2021.0</v>
      </c>
      <c r="G1365" s="1021">
        <v>0.043770944</v>
      </c>
      <c r="H1365" s="1021">
        <v>0.029097123</v>
      </c>
      <c r="I1365" s="1022">
        <v>0.063571649</v>
      </c>
      <c r="K1365" s="1031" t="s">
        <v>128</v>
      </c>
      <c r="L1365" s="1032" t="s">
        <v>565</v>
      </c>
      <c r="M1365" s="1032" t="s">
        <v>1035</v>
      </c>
      <c r="N1365" s="1032" t="s">
        <v>1042</v>
      </c>
      <c r="O1365" s="1032">
        <v>2021.0</v>
      </c>
      <c r="P1365" s="1032" t="s">
        <v>1039</v>
      </c>
      <c r="Q1365" s="1033" t="s">
        <v>63</v>
      </c>
      <c r="R1365" s="1034">
        <v>14.18173748</v>
      </c>
      <c r="S1365" s="1034">
        <v>2.639034641</v>
      </c>
      <c r="T1365" s="1035">
        <v>34.21844761</v>
      </c>
      <c r="AB1365" s="1045"/>
    </row>
    <row r="1366">
      <c r="A1366" s="294"/>
      <c r="B1366" s="1019" t="s">
        <v>153</v>
      </c>
      <c r="C1366" s="1020" t="s">
        <v>1035</v>
      </c>
      <c r="D1366" s="1020" t="s">
        <v>1043</v>
      </c>
      <c r="E1366" s="1020" t="s">
        <v>530</v>
      </c>
      <c r="F1366" s="1020">
        <v>2021.0</v>
      </c>
      <c r="G1366" s="1021">
        <v>3.88626E-4</v>
      </c>
      <c r="H1366" s="1021">
        <v>2.52368E-4</v>
      </c>
      <c r="I1366" s="1022">
        <v>5.54908E-4</v>
      </c>
      <c r="K1366" s="1031" t="s">
        <v>128</v>
      </c>
      <c r="L1366" s="1032" t="s">
        <v>565</v>
      </c>
      <c r="M1366" s="1032" t="s">
        <v>1035</v>
      </c>
      <c r="N1366" s="1032" t="s">
        <v>1044</v>
      </c>
      <c r="O1366" s="1032">
        <v>2021.0</v>
      </c>
      <c r="P1366" s="1032" t="s">
        <v>1039</v>
      </c>
      <c r="Q1366" s="1033" t="s">
        <v>63</v>
      </c>
      <c r="R1366" s="1034">
        <v>7.373690901</v>
      </c>
      <c r="S1366" s="1034">
        <v>1.143794323</v>
      </c>
      <c r="T1366" s="1035">
        <v>24.02100808</v>
      </c>
      <c r="AB1366" s="1045"/>
    </row>
    <row r="1367">
      <c r="A1367" s="294"/>
      <c r="B1367" s="1019" t="s">
        <v>153</v>
      </c>
      <c r="C1367" s="1020" t="s">
        <v>1035</v>
      </c>
      <c r="D1367" s="1020" t="s">
        <v>1045</v>
      </c>
      <c r="E1367" s="1020" t="s">
        <v>530</v>
      </c>
      <c r="F1367" s="1020">
        <v>2021.0</v>
      </c>
      <c r="G1367" s="1021">
        <v>0.00187352</v>
      </c>
      <c r="H1367" s="1021">
        <v>9.94396E-4</v>
      </c>
      <c r="I1367" s="1022">
        <v>0.003347952</v>
      </c>
      <c r="K1367" s="1031" t="s">
        <v>128</v>
      </c>
      <c r="L1367" s="1032" t="s">
        <v>565</v>
      </c>
      <c r="M1367" s="1032" t="s">
        <v>1035</v>
      </c>
      <c r="N1367" s="1032" t="s">
        <v>1046</v>
      </c>
      <c r="O1367" s="1032">
        <v>2021.0</v>
      </c>
      <c r="P1367" s="1032" t="s">
        <v>1039</v>
      </c>
      <c r="Q1367" s="1033" t="s">
        <v>63</v>
      </c>
      <c r="R1367" s="1034">
        <v>1.477641694</v>
      </c>
      <c r="S1367" s="1034">
        <v>0.207998068</v>
      </c>
      <c r="T1367" s="1035">
        <v>4.643741135</v>
      </c>
      <c r="AB1367" s="1045"/>
    </row>
    <row r="1368">
      <c r="A1368" s="294"/>
      <c r="B1368" s="1019" t="s">
        <v>122</v>
      </c>
      <c r="C1368" s="1020" t="s">
        <v>1035</v>
      </c>
      <c r="D1368" s="1020" t="s">
        <v>1036</v>
      </c>
      <c r="E1368" s="1020" t="s">
        <v>530</v>
      </c>
      <c r="F1368" s="1020">
        <v>2021.0</v>
      </c>
      <c r="G1368" s="1021">
        <v>0.008822924</v>
      </c>
      <c r="H1368" s="1021">
        <v>0.005463851</v>
      </c>
      <c r="I1368" s="1022">
        <v>0.0125297</v>
      </c>
      <c r="K1368" s="1031" t="s">
        <v>128</v>
      </c>
      <c r="L1368" s="1032" t="s">
        <v>565</v>
      </c>
      <c r="M1368" s="1032" t="s">
        <v>1035</v>
      </c>
      <c r="N1368" s="1032" t="s">
        <v>1045</v>
      </c>
      <c r="O1368" s="1032">
        <v>2021.0</v>
      </c>
      <c r="P1368" s="1032" t="s">
        <v>1039</v>
      </c>
      <c r="Q1368" s="1033" t="s">
        <v>63</v>
      </c>
      <c r="R1368" s="1034">
        <v>24.16772067</v>
      </c>
      <c r="S1368" s="1034">
        <v>4.406249253</v>
      </c>
      <c r="T1368" s="1035">
        <v>60.6731904</v>
      </c>
      <c r="AB1368" s="1045"/>
    </row>
    <row r="1369">
      <c r="A1369" s="294"/>
      <c r="B1369" s="1019" t="s">
        <v>122</v>
      </c>
      <c r="C1369" s="1020" t="s">
        <v>1035</v>
      </c>
      <c r="D1369" s="1020" t="s">
        <v>1041</v>
      </c>
      <c r="E1369" s="1020" t="s">
        <v>530</v>
      </c>
      <c r="F1369" s="1020">
        <v>2021.0</v>
      </c>
      <c r="G1369" s="1021">
        <v>0.065277222</v>
      </c>
      <c r="H1369" s="1021">
        <v>0.043522948</v>
      </c>
      <c r="I1369" s="1022">
        <v>0.090380877</v>
      </c>
      <c r="K1369" s="1031" t="s">
        <v>129</v>
      </c>
      <c r="L1369" s="1032" t="s">
        <v>565</v>
      </c>
      <c r="M1369" s="1032" t="s">
        <v>1035</v>
      </c>
      <c r="N1369" s="1032" t="s">
        <v>1038</v>
      </c>
      <c r="O1369" s="1032">
        <v>2021.0</v>
      </c>
      <c r="P1369" s="1032" t="s">
        <v>1039</v>
      </c>
      <c r="Q1369" s="1033" t="s">
        <v>63</v>
      </c>
      <c r="R1369" s="1034">
        <v>0.668091664</v>
      </c>
      <c r="S1369" s="1034">
        <v>0.099920747</v>
      </c>
      <c r="T1369" s="1035">
        <v>2.543437683</v>
      </c>
      <c r="AB1369" s="1045"/>
    </row>
    <row r="1370">
      <c r="A1370" s="294"/>
      <c r="B1370" s="1019" t="s">
        <v>122</v>
      </c>
      <c r="C1370" s="1020" t="s">
        <v>1035</v>
      </c>
      <c r="D1370" s="1020" t="s">
        <v>1043</v>
      </c>
      <c r="E1370" s="1020" t="s">
        <v>530</v>
      </c>
      <c r="F1370" s="1020">
        <v>2021.0</v>
      </c>
      <c r="G1370" s="1021">
        <v>7.43129E-4</v>
      </c>
      <c r="H1370" s="1021">
        <v>4.71478E-4</v>
      </c>
      <c r="I1370" s="1022">
        <v>0.001053182</v>
      </c>
      <c r="K1370" s="1031" t="s">
        <v>129</v>
      </c>
      <c r="L1370" s="1032" t="s">
        <v>565</v>
      </c>
      <c r="M1370" s="1032" t="s">
        <v>1035</v>
      </c>
      <c r="N1370" s="1032" t="s">
        <v>1042</v>
      </c>
      <c r="O1370" s="1032">
        <v>2021.0</v>
      </c>
      <c r="P1370" s="1032" t="s">
        <v>1039</v>
      </c>
      <c r="Q1370" s="1033" t="s">
        <v>63</v>
      </c>
      <c r="R1370" s="1034">
        <v>5.691886711</v>
      </c>
      <c r="S1370" s="1034">
        <v>1.815615879</v>
      </c>
      <c r="T1370" s="1035">
        <v>15.59401658</v>
      </c>
      <c r="AB1370" s="1045"/>
    </row>
    <row r="1371">
      <c r="A1371" s="294"/>
      <c r="B1371" s="1040" t="s">
        <v>122</v>
      </c>
      <c r="C1371" s="1041" t="s">
        <v>1035</v>
      </c>
      <c r="D1371" s="1041" t="s">
        <v>1045</v>
      </c>
      <c r="E1371" s="1041" t="s">
        <v>530</v>
      </c>
      <c r="F1371" s="1041">
        <v>2021.0</v>
      </c>
      <c r="G1371" s="1046">
        <v>0.005920174</v>
      </c>
      <c r="H1371" s="1046">
        <v>0.003928611</v>
      </c>
      <c r="I1371" s="1047">
        <v>0.008549403</v>
      </c>
      <c r="K1371" s="1031" t="s">
        <v>129</v>
      </c>
      <c r="L1371" s="1032" t="s">
        <v>565</v>
      </c>
      <c r="M1371" s="1032" t="s">
        <v>1035</v>
      </c>
      <c r="N1371" s="1032" t="s">
        <v>1044</v>
      </c>
      <c r="O1371" s="1032">
        <v>2021.0</v>
      </c>
      <c r="P1371" s="1032" t="s">
        <v>1039</v>
      </c>
      <c r="Q1371" s="1033" t="s">
        <v>63</v>
      </c>
      <c r="R1371" s="1034">
        <v>3.112678576</v>
      </c>
      <c r="S1371" s="1034">
        <v>0.568665612</v>
      </c>
      <c r="T1371" s="1035">
        <v>11.07608214</v>
      </c>
      <c r="AB1371" s="1045"/>
    </row>
    <row r="1372">
      <c r="A1372" s="294"/>
      <c r="K1372" s="1031" t="s">
        <v>129</v>
      </c>
      <c r="L1372" s="1032" t="s">
        <v>565</v>
      </c>
      <c r="M1372" s="1032" t="s">
        <v>1035</v>
      </c>
      <c r="N1372" s="1032" t="s">
        <v>1046</v>
      </c>
      <c r="O1372" s="1032">
        <v>2021.0</v>
      </c>
      <c r="P1372" s="1032" t="s">
        <v>1039</v>
      </c>
      <c r="Q1372" s="1033" t="s">
        <v>63</v>
      </c>
      <c r="R1372" s="1034">
        <v>0.441280782</v>
      </c>
      <c r="S1372" s="1034">
        <v>0.082282572</v>
      </c>
      <c r="T1372" s="1035">
        <v>1.645686091</v>
      </c>
      <c r="AB1372" s="1045"/>
    </row>
    <row r="1373">
      <c r="A1373" s="294"/>
      <c r="K1373" s="1031" t="s">
        <v>129</v>
      </c>
      <c r="L1373" s="1032" t="s">
        <v>565</v>
      </c>
      <c r="M1373" s="1032" t="s">
        <v>1035</v>
      </c>
      <c r="N1373" s="1032" t="s">
        <v>1045</v>
      </c>
      <c r="O1373" s="1032">
        <v>2021.0</v>
      </c>
      <c r="P1373" s="1032" t="s">
        <v>1039</v>
      </c>
      <c r="Q1373" s="1033" t="s">
        <v>63</v>
      </c>
      <c r="R1373" s="1034">
        <v>9.913937734</v>
      </c>
      <c r="S1373" s="1034">
        <v>3.352785651</v>
      </c>
      <c r="T1373" s="1035">
        <v>27.46779939</v>
      </c>
      <c r="AB1373" s="1045"/>
    </row>
    <row r="1374">
      <c r="A1374" s="294"/>
      <c r="K1374" s="1031" t="s">
        <v>130</v>
      </c>
      <c r="L1374" s="1032" t="s">
        <v>565</v>
      </c>
      <c r="M1374" s="1032" t="s">
        <v>1035</v>
      </c>
      <c r="N1374" s="1032" t="s">
        <v>1038</v>
      </c>
      <c r="O1374" s="1032">
        <v>2021.0</v>
      </c>
      <c r="P1374" s="1032" t="s">
        <v>1039</v>
      </c>
      <c r="Q1374" s="1033" t="s">
        <v>63</v>
      </c>
      <c r="R1374" s="1034">
        <v>0.2417026</v>
      </c>
      <c r="S1374" s="1034">
        <v>0.00836361</v>
      </c>
      <c r="T1374" s="1035">
        <v>0.919118222</v>
      </c>
      <c r="AB1374" s="1045"/>
    </row>
    <row r="1375">
      <c r="A1375" s="294"/>
      <c r="K1375" s="1031" t="s">
        <v>130</v>
      </c>
      <c r="L1375" s="1032" t="s">
        <v>565</v>
      </c>
      <c r="M1375" s="1032" t="s">
        <v>1035</v>
      </c>
      <c r="N1375" s="1032" t="s">
        <v>1042</v>
      </c>
      <c r="O1375" s="1032">
        <v>2021.0</v>
      </c>
      <c r="P1375" s="1032" t="s">
        <v>1039</v>
      </c>
      <c r="Q1375" s="1033" t="s">
        <v>63</v>
      </c>
      <c r="R1375" s="1034">
        <v>2.364898348</v>
      </c>
      <c r="S1375" s="1034">
        <v>0.12771561</v>
      </c>
      <c r="T1375" s="1035">
        <v>5.800622653</v>
      </c>
      <c r="AB1375" s="1045"/>
    </row>
    <row r="1376">
      <c r="A1376" s="294"/>
      <c r="K1376" s="1031" t="s">
        <v>130</v>
      </c>
      <c r="L1376" s="1032" t="s">
        <v>565</v>
      </c>
      <c r="M1376" s="1032" t="s">
        <v>1035</v>
      </c>
      <c r="N1376" s="1032" t="s">
        <v>1044</v>
      </c>
      <c r="O1376" s="1032">
        <v>2021.0</v>
      </c>
      <c r="P1376" s="1032" t="s">
        <v>1039</v>
      </c>
      <c r="Q1376" s="1033" t="s">
        <v>63</v>
      </c>
      <c r="R1376" s="1034">
        <v>1.319127884</v>
      </c>
      <c r="S1376" s="1034">
        <v>0.057780548</v>
      </c>
      <c r="T1376" s="1035">
        <v>4.26888573</v>
      </c>
      <c r="AB1376" s="1045"/>
    </row>
    <row r="1377">
      <c r="A1377" s="294"/>
      <c r="K1377" s="1031" t="s">
        <v>130</v>
      </c>
      <c r="L1377" s="1032" t="s">
        <v>565</v>
      </c>
      <c r="M1377" s="1032" t="s">
        <v>1035</v>
      </c>
      <c r="N1377" s="1032" t="s">
        <v>1046</v>
      </c>
      <c r="O1377" s="1032">
        <v>2021.0</v>
      </c>
      <c r="P1377" s="1032" t="s">
        <v>1039</v>
      </c>
      <c r="Q1377" s="1033" t="s">
        <v>63</v>
      </c>
      <c r="R1377" s="1034">
        <v>0.256410765</v>
      </c>
      <c r="S1377" s="1034">
        <v>0.010451091</v>
      </c>
      <c r="T1377" s="1035">
        <v>0.802597232</v>
      </c>
      <c r="AB1377" s="1045"/>
    </row>
    <row r="1378">
      <c r="A1378" s="294"/>
      <c r="K1378" s="1031" t="s">
        <v>130</v>
      </c>
      <c r="L1378" s="1032" t="s">
        <v>565</v>
      </c>
      <c r="M1378" s="1032" t="s">
        <v>1035</v>
      </c>
      <c r="N1378" s="1032" t="s">
        <v>1045</v>
      </c>
      <c r="O1378" s="1032">
        <v>2021.0</v>
      </c>
      <c r="P1378" s="1032" t="s">
        <v>1039</v>
      </c>
      <c r="Q1378" s="1033" t="s">
        <v>63</v>
      </c>
      <c r="R1378" s="1034">
        <v>4.182139598</v>
      </c>
      <c r="S1378" s="1034">
        <v>0.212955188</v>
      </c>
      <c r="T1378" s="1035">
        <v>9.331600584</v>
      </c>
      <c r="AB1378" s="1045"/>
    </row>
    <row r="1379">
      <c r="A1379" s="294"/>
      <c r="K1379" s="1031" t="s">
        <v>131</v>
      </c>
      <c r="L1379" s="1032" t="s">
        <v>565</v>
      </c>
      <c r="M1379" s="1032" t="s">
        <v>1035</v>
      </c>
      <c r="N1379" s="1032" t="s">
        <v>1038</v>
      </c>
      <c r="O1379" s="1032">
        <v>2021.0</v>
      </c>
      <c r="P1379" s="1032" t="s">
        <v>1039</v>
      </c>
      <c r="Q1379" s="1033" t="s">
        <v>63</v>
      </c>
      <c r="R1379" s="1034">
        <v>0.432317794</v>
      </c>
      <c r="S1379" s="1034">
        <v>0.009413205</v>
      </c>
      <c r="T1379" s="1035">
        <v>1.835393277</v>
      </c>
      <c r="AB1379" s="1045"/>
    </row>
    <row r="1380">
      <c r="A1380" s="294"/>
      <c r="K1380" s="1031" t="s">
        <v>131</v>
      </c>
      <c r="L1380" s="1032" t="s">
        <v>565</v>
      </c>
      <c r="M1380" s="1032" t="s">
        <v>1035</v>
      </c>
      <c r="N1380" s="1032" t="s">
        <v>1042</v>
      </c>
      <c r="O1380" s="1032">
        <v>2021.0</v>
      </c>
      <c r="P1380" s="1032" t="s">
        <v>1039</v>
      </c>
      <c r="Q1380" s="1033" t="s">
        <v>63</v>
      </c>
      <c r="R1380" s="1034">
        <v>6.378451158</v>
      </c>
      <c r="S1380" s="1034">
        <v>0.233395974</v>
      </c>
      <c r="T1380" s="1035">
        <v>14.46475303</v>
      </c>
      <c r="AB1380" s="1045"/>
    </row>
    <row r="1381">
      <c r="A1381" s="294"/>
      <c r="K1381" s="1031" t="s">
        <v>131</v>
      </c>
      <c r="L1381" s="1032" t="s">
        <v>565</v>
      </c>
      <c r="M1381" s="1032" t="s">
        <v>1035</v>
      </c>
      <c r="N1381" s="1032" t="s">
        <v>1044</v>
      </c>
      <c r="O1381" s="1032">
        <v>2021.0</v>
      </c>
      <c r="P1381" s="1032" t="s">
        <v>1039</v>
      </c>
      <c r="Q1381" s="1033" t="s">
        <v>63</v>
      </c>
      <c r="R1381" s="1034">
        <v>3.834320554</v>
      </c>
      <c r="S1381" s="1034">
        <v>0.113677108</v>
      </c>
      <c r="T1381" s="1035">
        <v>13.18191616</v>
      </c>
      <c r="AB1381" s="1045"/>
    </row>
    <row r="1382">
      <c r="A1382" s="294"/>
      <c r="K1382" s="1031" t="s">
        <v>131</v>
      </c>
      <c r="L1382" s="1032" t="s">
        <v>565</v>
      </c>
      <c r="M1382" s="1032" t="s">
        <v>1035</v>
      </c>
      <c r="N1382" s="1032" t="s">
        <v>1046</v>
      </c>
      <c r="O1382" s="1032">
        <v>2021.0</v>
      </c>
      <c r="P1382" s="1032" t="s">
        <v>1039</v>
      </c>
      <c r="Q1382" s="1033" t="s">
        <v>63</v>
      </c>
      <c r="R1382" s="1034">
        <v>0.606500246</v>
      </c>
      <c r="S1382" s="1034">
        <v>0.012238015</v>
      </c>
      <c r="T1382" s="1035">
        <v>2.129671153</v>
      </c>
      <c r="AB1382" s="1045"/>
    </row>
    <row r="1383">
      <c r="A1383" s="294"/>
      <c r="K1383" s="1031" t="s">
        <v>131</v>
      </c>
      <c r="L1383" s="1032" t="s">
        <v>565</v>
      </c>
      <c r="M1383" s="1032" t="s">
        <v>1035</v>
      </c>
      <c r="N1383" s="1032" t="s">
        <v>1045</v>
      </c>
      <c r="O1383" s="1032">
        <v>2021.0</v>
      </c>
      <c r="P1383" s="1032" t="s">
        <v>1039</v>
      </c>
      <c r="Q1383" s="1033" t="s">
        <v>63</v>
      </c>
      <c r="R1383" s="1034">
        <v>11.25158975</v>
      </c>
      <c r="S1383" s="1034">
        <v>0.374324547</v>
      </c>
      <c r="T1383" s="1035">
        <v>27.28174799</v>
      </c>
      <c r="AB1383" s="1045"/>
    </row>
    <row r="1384">
      <c r="A1384" s="294"/>
      <c r="K1384" s="1031" t="s">
        <v>132</v>
      </c>
      <c r="L1384" s="1032" t="s">
        <v>565</v>
      </c>
      <c r="M1384" s="1032" t="s">
        <v>1035</v>
      </c>
      <c r="N1384" s="1032" t="s">
        <v>1038</v>
      </c>
      <c r="O1384" s="1032">
        <v>2021.0</v>
      </c>
      <c r="P1384" s="1032" t="s">
        <v>1039</v>
      </c>
      <c r="Q1384" s="1033" t="s">
        <v>63</v>
      </c>
      <c r="R1384" s="1034">
        <v>0.484903423</v>
      </c>
      <c r="S1384" s="1034">
        <v>0.024065193</v>
      </c>
      <c r="T1384" s="1035">
        <v>1.814088538</v>
      </c>
      <c r="AB1384" s="1045"/>
    </row>
    <row r="1385">
      <c r="A1385" s="294"/>
      <c r="K1385" s="1031" t="s">
        <v>132</v>
      </c>
      <c r="L1385" s="1032" t="s">
        <v>565</v>
      </c>
      <c r="M1385" s="1032" t="s">
        <v>1035</v>
      </c>
      <c r="N1385" s="1032" t="s">
        <v>1042</v>
      </c>
      <c r="O1385" s="1032">
        <v>2021.0</v>
      </c>
      <c r="P1385" s="1032" t="s">
        <v>1039</v>
      </c>
      <c r="Q1385" s="1033" t="s">
        <v>63</v>
      </c>
      <c r="R1385" s="1034">
        <v>8.035664095</v>
      </c>
      <c r="S1385" s="1034">
        <v>0.613525048</v>
      </c>
      <c r="T1385" s="1035">
        <v>20.16366811</v>
      </c>
      <c r="AB1385" s="1045"/>
    </row>
    <row r="1386">
      <c r="A1386" s="294"/>
      <c r="K1386" s="1031" t="s">
        <v>132</v>
      </c>
      <c r="L1386" s="1032" t="s">
        <v>565</v>
      </c>
      <c r="M1386" s="1032" t="s">
        <v>1035</v>
      </c>
      <c r="N1386" s="1032" t="s">
        <v>1044</v>
      </c>
      <c r="O1386" s="1032">
        <v>2021.0</v>
      </c>
      <c r="P1386" s="1032" t="s">
        <v>1039</v>
      </c>
      <c r="Q1386" s="1033" t="s">
        <v>63</v>
      </c>
      <c r="R1386" s="1034">
        <v>4.02433628</v>
      </c>
      <c r="S1386" s="1034">
        <v>0.232841481</v>
      </c>
      <c r="T1386" s="1035">
        <v>14.04305174</v>
      </c>
      <c r="AB1386" s="1045"/>
    </row>
    <row r="1387">
      <c r="A1387" s="294"/>
      <c r="K1387" s="1031" t="s">
        <v>132</v>
      </c>
      <c r="L1387" s="1032" t="s">
        <v>565</v>
      </c>
      <c r="M1387" s="1032" t="s">
        <v>1035</v>
      </c>
      <c r="N1387" s="1032" t="s">
        <v>1046</v>
      </c>
      <c r="O1387" s="1032">
        <v>2021.0</v>
      </c>
      <c r="P1387" s="1032" t="s">
        <v>1039</v>
      </c>
      <c r="Q1387" s="1033" t="s">
        <v>63</v>
      </c>
      <c r="R1387" s="1034">
        <v>0.753581245</v>
      </c>
      <c r="S1387" s="1034">
        <v>0.036817162</v>
      </c>
      <c r="T1387" s="1035">
        <v>2.373951169</v>
      </c>
      <c r="AB1387" s="1045"/>
    </row>
    <row r="1388">
      <c r="A1388" s="294"/>
      <c r="K1388" s="1031" t="s">
        <v>132</v>
      </c>
      <c r="L1388" s="1032" t="s">
        <v>565</v>
      </c>
      <c r="M1388" s="1032" t="s">
        <v>1035</v>
      </c>
      <c r="N1388" s="1032" t="s">
        <v>1045</v>
      </c>
      <c r="O1388" s="1032">
        <v>2021.0</v>
      </c>
      <c r="P1388" s="1032" t="s">
        <v>1039</v>
      </c>
      <c r="Q1388" s="1033" t="s">
        <v>63</v>
      </c>
      <c r="R1388" s="1034">
        <v>13.29848504</v>
      </c>
      <c r="S1388" s="1034">
        <v>0.889242487</v>
      </c>
      <c r="T1388" s="1035">
        <v>33.86835417</v>
      </c>
      <c r="AB1388" s="1045"/>
    </row>
    <row r="1389">
      <c r="A1389" s="294"/>
      <c r="K1389" s="1031" t="s">
        <v>133</v>
      </c>
      <c r="L1389" s="1032" t="s">
        <v>565</v>
      </c>
      <c r="M1389" s="1032" t="s">
        <v>1035</v>
      </c>
      <c r="N1389" s="1032" t="s">
        <v>1038</v>
      </c>
      <c r="O1389" s="1032">
        <v>2021.0</v>
      </c>
      <c r="P1389" s="1032" t="s">
        <v>1039</v>
      </c>
      <c r="Q1389" s="1033" t="s">
        <v>63</v>
      </c>
      <c r="R1389" s="1034">
        <v>0.476464386</v>
      </c>
      <c r="S1389" s="1034">
        <v>0.009192433</v>
      </c>
      <c r="T1389" s="1035">
        <v>1.973934182</v>
      </c>
      <c r="AB1389" s="1045"/>
    </row>
    <row r="1390">
      <c r="A1390" s="294"/>
      <c r="K1390" s="1031" t="s">
        <v>133</v>
      </c>
      <c r="L1390" s="1032" t="s">
        <v>565</v>
      </c>
      <c r="M1390" s="1032" t="s">
        <v>1035</v>
      </c>
      <c r="N1390" s="1032" t="s">
        <v>1042</v>
      </c>
      <c r="O1390" s="1032">
        <v>2021.0</v>
      </c>
      <c r="P1390" s="1032" t="s">
        <v>1039</v>
      </c>
      <c r="Q1390" s="1033" t="s">
        <v>63</v>
      </c>
      <c r="R1390" s="1034">
        <v>4.553855496</v>
      </c>
      <c r="S1390" s="1034">
        <v>0.128613526</v>
      </c>
      <c r="T1390" s="1035">
        <v>11.01700163</v>
      </c>
      <c r="AB1390" s="1045"/>
    </row>
    <row r="1391">
      <c r="A1391" s="294"/>
      <c r="K1391" s="1031" t="s">
        <v>133</v>
      </c>
      <c r="L1391" s="1032" t="s">
        <v>565</v>
      </c>
      <c r="M1391" s="1032" t="s">
        <v>1035</v>
      </c>
      <c r="N1391" s="1032" t="s">
        <v>1044</v>
      </c>
      <c r="O1391" s="1032">
        <v>2021.0</v>
      </c>
      <c r="P1391" s="1032" t="s">
        <v>1039</v>
      </c>
      <c r="Q1391" s="1033" t="s">
        <v>63</v>
      </c>
      <c r="R1391" s="1034">
        <v>2.453681959</v>
      </c>
      <c r="S1391" s="1034">
        <v>0.059858048</v>
      </c>
      <c r="T1391" s="1035">
        <v>8.512840399</v>
      </c>
      <c r="AB1391" s="1045"/>
    </row>
    <row r="1392">
      <c r="A1392" s="294"/>
      <c r="K1392" s="1031" t="s">
        <v>133</v>
      </c>
      <c r="L1392" s="1032" t="s">
        <v>565</v>
      </c>
      <c r="M1392" s="1032" t="s">
        <v>1035</v>
      </c>
      <c r="N1392" s="1032" t="s">
        <v>1046</v>
      </c>
      <c r="O1392" s="1032">
        <v>2021.0</v>
      </c>
      <c r="P1392" s="1032" t="s">
        <v>1039</v>
      </c>
      <c r="Q1392" s="1033" t="s">
        <v>63</v>
      </c>
      <c r="R1392" s="1034">
        <v>0.2938081</v>
      </c>
      <c r="S1392" s="1034">
        <v>0.004938511</v>
      </c>
      <c r="T1392" s="1035">
        <v>0.9413914</v>
      </c>
      <c r="AB1392" s="1045"/>
    </row>
    <row r="1393">
      <c r="A1393" s="294"/>
      <c r="K1393" s="1031" t="s">
        <v>133</v>
      </c>
      <c r="L1393" s="1032" t="s">
        <v>565</v>
      </c>
      <c r="M1393" s="1032" t="s">
        <v>1035</v>
      </c>
      <c r="N1393" s="1032" t="s">
        <v>1045</v>
      </c>
      <c r="O1393" s="1032">
        <v>2021.0</v>
      </c>
      <c r="P1393" s="1032" t="s">
        <v>1039</v>
      </c>
      <c r="Q1393" s="1033" t="s">
        <v>63</v>
      </c>
      <c r="R1393" s="1034">
        <v>7.777809942</v>
      </c>
      <c r="S1393" s="1034">
        <v>0.199658234</v>
      </c>
      <c r="T1393" s="1035">
        <v>18.49526834</v>
      </c>
      <c r="AB1393" s="1045"/>
    </row>
    <row r="1394">
      <c r="A1394" s="294"/>
      <c r="K1394" s="1031" t="s">
        <v>134</v>
      </c>
      <c r="L1394" s="1032" t="s">
        <v>565</v>
      </c>
      <c r="M1394" s="1032" t="s">
        <v>1035</v>
      </c>
      <c r="N1394" s="1032" t="s">
        <v>1038</v>
      </c>
      <c r="O1394" s="1032">
        <v>2021.0</v>
      </c>
      <c r="P1394" s="1032" t="s">
        <v>1039</v>
      </c>
      <c r="Q1394" s="1033" t="s">
        <v>63</v>
      </c>
      <c r="R1394" s="1034">
        <v>0.166115489</v>
      </c>
      <c r="S1394" s="1034">
        <v>0.002325155</v>
      </c>
      <c r="T1394" s="1035">
        <v>0.714553245</v>
      </c>
      <c r="AB1394" s="1045"/>
    </row>
    <row r="1395">
      <c r="A1395" s="294"/>
      <c r="K1395" s="1031" t="s">
        <v>134</v>
      </c>
      <c r="L1395" s="1032" t="s">
        <v>565</v>
      </c>
      <c r="M1395" s="1032" t="s">
        <v>1035</v>
      </c>
      <c r="N1395" s="1032" t="s">
        <v>1042</v>
      </c>
      <c r="O1395" s="1032">
        <v>2021.0</v>
      </c>
      <c r="P1395" s="1032" t="s">
        <v>1039</v>
      </c>
      <c r="Q1395" s="1033" t="s">
        <v>63</v>
      </c>
      <c r="R1395" s="1034">
        <v>2.490712103</v>
      </c>
      <c r="S1395" s="1034">
        <v>0.067926506</v>
      </c>
      <c r="T1395" s="1035">
        <v>5.746288314</v>
      </c>
      <c r="AB1395" s="1045"/>
    </row>
    <row r="1396">
      <c r="A1396" s="294"/>
      <c r="K1396" s="1031" t="s">
        <v>134</v>
      </c>
      <c r="L1396" s="1032" t="s">
        <v>565</v>
      </c>
      <c r="M1396" s="1032" t="s">
        <v>1035</v>
      </c>
      <c r="N1396" s="1032" t="s">
        <v>1044</v>
      </c>
      <c r="O1396" s="1032">
        <v>2021.0</v>
      </c>
      <c r="P1396" s="1032" t="s">
        <v>1039</v>
      </c>
      <c r="Q1396" s="1033" t="s">
        <v>63</v>
      </c>
      <c r="R1396" s="1034">
        <v>1.071696054</v>
      </c>
      <c r="S1396" s="1034">
        <v>0.020259513</v>
      </c>
      <c r="T1396" s="1035">
        <v>3.468671918</v>
      </c>
      <c r="AB1396" s="1045"/>
    </row>
    <row r="1397">
      <c r="A1397" s="294"/>
      <c r="K1397" s="1031" t="s">
        <v>134</v>
      </c>
      <c r="L1397" s="1032" t="s">
        <v>565</v>
      </c>
      <c r="M1397" s="1032" t="s">
        <v>1035</v>
      </c>
      <c r="N1397" s="1032" t="s">
        <v>1046</v>
      </c>
      <c r="O1397" s="1032">
        <v>2021.0</v>
      </c>
      <c r="P1397" s="1032" t="s">
        <v>1039</v>
      </c>
      <c r="Q1397" s="1033" t="s">
        <v>63</v>
      </c>
      <c r="R1397" s="1034">
        <v>0.167819224</v>
      </c>
      <c r="S1397" s="1034">
        <v>0.002318253</v>
      </c>
      <c r="T1397" s="1035">
        <v>0.528414414</v>
      </c>
      <c r="AB1397" s="1045"/>
    </row>
    <row r="1398">
      <c r="A1398" s="294"/>
      <c r="K1398" s="1031" t="s">
        <v>134</v>
      </c>
      <c r="L1398" s="1032" t="s">
        <v>565</v>
      </c>
      <c r="M1398" s="1032" t="s">
        <v>1035</v>
      </c>
      <c r="N1398" s="1032" t="s">
        <v>1045</v>
      </c>
      <c r="O1398" s="1032">
        <v>2021.0</v>
      </c>
      <c r="P1398" s="1032" t="s">
        <v>1039</v>
      </c>
      <c r="Q1398" s="1033" t="s">
        <v>63</v>
      </c>
      <c r="R1398" s="1034">
        <v>3.896342869</v>
      </c>
      <c r="S1398" s="1034">
        <v>0.093068942</v>
      </c>
      <c r="T1398" s="1035">
        <v>8.812162067</v>
      </c>
      <c r="AB1398" s="1045"/>
    </row>
    <row r="1399">
      <c r="A1399" s="294"/>
      <c r="K1399" s="1031" t="s">
        <v>135</v>
      </c>
      <c r="L1399" s="1032" t="s">
        <v>565</v>
      </c>
      <c r="M1399" s="1032" t="s">
        <v>1035</v>
      </c>
      <c r="N1399" s="1032" t="s">
        <v>1038</v>
      </c>
      <c r="O1399" s="1032">
        <v>2021.0</v>
      </c>
      <c r="P1399" s="1032" t="s">
        <v>1039</v>
      </c>
      <c r="Q1399" s="1033" t="s">
        <v>63</v>
      </c>
      <c r="R1399" s="1034">
        <v>0.276278237</v>
      </c>
      <c r="S1399" s="1034">
        <v>0.00397917</v>
      </c>
      <c r="T1399" s="1035">
        <v>1.138479771</v>
      </c>
      <c r="AB1399" s="1045"/>
    </row>
    <row r="1400">
      <c r="A1400" s="294"/>
      <c r="K1400" s="1031" t="s">
        <v>135</v>
      </c>
      <c r="L1400" s="1032" t="s">
        <v>565</v>
      </c>
      <c r="M1400" s="1032" t="s">
        <v>1035</v>
      </c>
      <c r="N1400" s="1032" t="s">
        <v>1042</v>
      </c>
      <c r="O1400" s="1032">
        <v>2021.0</v>
      </c>
      <c r="P1400" s="1032" t="s">
        <v>1039</v>
      </c>
      <c r="Q1400" s="1033" t="s">
        <v>63</v>
      </c>
      <c r="R1400" s="1034">
        <v>4.105372745</v>
      </c>
      <c r="S1400" s="1034">
        <v>0.130762265</v>
      </c>
      <c r="T1400" s="1035">
        <v>10.44356906</v>
      </c>
      <c r="AB1400" s="1045"/>
    </row>
    <row r="1401">
      <c r="A1401" s="294"/>
      <c r="K1401" s="1031" t="s">
        <v>135</v>
      </c>
      <c r="L1401" s="1032" t="s">
        <v>565</v>
      </c>
      <c r="M1401" s="1032" t="s">
        <v>1035</v>
      </c>
      <c r="N1401" s="1032" t="s">
        <v>1044</v>
      </c>
      <c r="O1401" s="1032">
        <v>2021.0</v>
      </c>
      <c r="P1401" s="1032" t="s">
        <v>1039</v>
      </c>
      <c r="Q1401" s="1033" t="s">
        <v>63</v>
      </c>
      <c r="R1401" s="1034">
        <v>2.942227922</v>
      </c>
      <c r="S1401" s="1034">
        <v>0.071061514</v>
      </c>
      <c r="T1401" s="1035">
        <v>9.290205463</v>
      </c>
      <c r="AB1401" s="1045"/>
    </row>
    <row r="1402">
      <c r="A1402" s="294"/>
      <c r="K1402" s="1031" t="s">
        <v>135</v>
      </c>
      <c r="L1402" s="1032" t="s">
        <v>565</v>
      </c>
      <c r="M1402" s="1032" t="s">
        <v>1035</v>
      </c>
      <c r="N1402" s="1032" t="s">
        <v>1046</v>
      </c>
      <c r="O1402" s="1032">
        <v>2021.0</v>
      </c>
      <c r="P1402" s="1032" t="s">
        <v>1039</v>
      </c>
      <c r="Q1402" s="1033" t="s">
        <v>63</v>
      </c>
      <c r="R1402" s="1034">
        <v>0.331861696</v>
      </c>
      <c r="S1402" s="1034">
        <v>0.004992747</v>
      </c>
      <c r="T1402" s="1035">
        <v>1.036283709</v>
      </c>
      <c r="AB1402" s="1045"/>
    </row>
    <row r="1403">
      <c r="A1403" s="294"/>
      <c r="K1403" s="1031" t="s">
        <v>135</v>
      </c>
      <c r="L1403" s="1032" t="s">
        <v>565</v>
      </c>
      <c r="M1403" s="1032" t="s">
        <v>1035</v>
      </c>
      <c r="N1403" s="1032" t="s">
        <v>1045</v>
      </c>
      <c r="O1403" s="1032">
        <v>2021.0</v>
      </c>
      <c r="P1403" s="1032" t="s">
        <v>1039</v>
      </c>
      <c r="Q1403" s="1033" t="s">
        <v>63</v>
      </c>
      <c r="R1403" s="1034">
        <v>7.6557406</v>
      </c>
      <c r="S1403" s="1034">
        <v>0.214569572</v>
      </c>
      <c r="T1403" s="1035">
        <v>18.46699712</v>
      </c>
      <c r="AB1403" s="1045"/>
    </row>
    <row r="1404">
      <c r="A1404" s="294"/>
      <c r="K1404" s="1031" t="s">
        <v>136</v>
      </c>
      <c r="L1404" s="1032" t="s">
        <v>565</v>
      </c>
      <c r="M1404" s="1032" t="s">
        <v>1035</v>
      </c>
      <c r="N1404" s="1032" t="s">
        <v>1038</v>
      </c>
      <c r="O1404" s="1032">
        <v>2021.0</v>
      </c>
      <c r="P1404" s="1032" t="s">
        <v>1039</v>
      </c>
      <c r="Q1404" s="1033" t="s">
        <v>63</v>
      </c>
      <c r="R1404" s="1034">
        <v>0.616470031</v>
      </c>
      <c r="S1404" s="1034">
        <v>0.011146391</v>
      </c>
      <c r="T1404" s="1035">
        <v>2.551246411</v>
      </c>
      <c r="AB1404" s="1045"/>
    </row>
    <row r="1405">
      <c r="A1405" s="294"/>
      <c r="K1405" s="1031" t="s">
        <v>136</v>
      </c>
      <c r="L1405" s="1032" t="s">
        <v>565</v>
      </c>
      <c r="M1405" s="1032" t="s">
        <v>1035</v>
      </c>
      <c r="N1405" s="1032" t="s">
        <v>1042</v>
      </c>
      <c r="O1405" s="1032">
        <v>2021.0</v>
      </c>
      <c r="P1405" s="1032" t="s">
        <v>1039</v>
      </c>
      <c r="Q1405" s="1033" t="s">
        <v>63</v>
      </c>
      <c r="R1405" s="1034">
        <v>10.69612408</v>
      </c>
      <c r="S1405" s="1034">
        <v>0.397219556</v>
      </c>
      <c r="T1405" s="1035">
        <v>26.77104601</v>
      </c>
      <c r="AB1405" s="1045"/>
    </row>
    <row r="1406">
      <c r="A1406" s="294"/>
      <c r="K1406" s="1031" t="s">
        <v>136</v>
      </c>
      <c r="L1406" s="1032" t="s">
        <v>565</v>
      </c>
      <c r="M1406" s="1032" t="s">
        <v>1035</v>
      </c>
      <c r="N1406" s="1032" t="s">
        <v>1044</v>
      </c>
      <c r="O1406" s="1032">
        <v>2021.0</v>
      </c>
      <c r="P1406" s="1032" t="s">
        <v>1039</v>
      </c>
      <c r="Q1406" s="1033" t="s">
        <v>63</v>
      </c>
      <c r="R1406" s="1034">
        <v>5.088316432</v>
      </c>
      <c r="S1406" s="1034">
        <v>0.110108719</v>
      </c>
      <c r="T1406" s="1035">
        <v>16.63913295</v>
      </c>
      <c r="AB1406" s="1045"/>
    </row>
    <row r="1407">
      <c r="A1407" s="294"/>
      <c r="K1407" s="1031" t="s">
        <v>136</v>
      </c>
      <c r="L1407" s="1032" t="s">
        <v>565</v>
      </c>
      <c r="M1407" s="1032" t="s">
        <v>1035</v>
      </c>
      <c r="N1407" s="1032" t="s">
        <v>1046</v>
      </c>
      <c r="O1407" s="1032">
        <v>2021.0</v>
      </c>
      <c r="P1407" s="1032" t="s">
        <v>1039</v>
      </c>
      <c r="Q1407" s="1033" t="s">
        <v>63</v>
      </c>
      <c r="R1407" s="1034">
        <v>0.895986821</v>
      </c>
      <c r="S1407" s="1034">
        <v>0.015905587</v>
      </c>
      <c r="T1407" s="1035">
        <v>2.809671697</v>
      </c>
      <c r="AB1407" s="1045"/>
    </row>
    <row r="1408">
      <c r="A1408" s="294"/>
      <c r="K1408" s="1031" t="s">
        <v>136</v>
      </c>
      <c r="L1408" s="1032" t="s">
        <v>565</v>
      </c>
      <c r="M1408" s="1032" t="s">
        <v>1035</v>
      </c>
      <c r="N1408" s="1032" t="s">
        <v>1045</v>
      </c>
      <c r="O1408" s="1032">
        <v>2021.0</v>
      </c>
      <c r="P1408" s="1032" t="s">
        <v>1039</v>
      </c>
      <c r="Q1408" s="1033" t="s">
        <v>63</v>
      </c>
      <c r="R1408" s="1034">
        <v>17.29689736</v>
      </c>
      <c r="S1408" s="1034">
        <v>0.526596671</v>
      </c>
      <c r="T1408" s="1035">
        <v>40.78512162</v>
      </c>
      <c r="AB1408" s="1045"/>
    </row>
    <row r="1409">
      <c r="A1409" s="294"/>
      <c r="K1409" s="1031" t="s">
        <v>115</v>
      </c>
      <c r="L1409" s="1032" t="s">
        <v>565</v>
      </c>
      <c r="M1409" s="1032" t="s">
        <v>1035</v>
      </c>
      <c r="N1409" s="1032" t="s">
        <v>1038</v>
      </c>
      <c r="O1409" s="1032">
        <v>2021.0</v>
      </c>
      <c r="P1409" s="1032" t="s">
        <v>1039</v>
      </c>
      <c r="Q1409" s="1033" t="s">
        <v>63</v>
      </c>
      <c r="R1409" s="1034">
        <v>3.635120108</v>
      </c>
      <c r="S1409" s="1034">
        <v>0.583391198</v>
      </c>
      <c r="T1409" s="1035">
        <v>13.29865723</v>
      </c>
      <c r="AB1409" s="1045"/>
    </row>
    <row r="1410">
      <c r="A1410" s="294"/>
      <c r="K1410" s="1031" t="s">
        <v>115</v>
      </c>
      <c r="L1410" s="1032" t="s">
        <v>565</v>
      </c>
      <c r="M1410" s="1032" t="s">
        <v>1035</v>
      </c>
      <c r="N1410" s="1032" t="s">
        <v>1042</v>
      </c>
      <c r="O1410" s="1032">
        <v>2021.0</v>
      </c>
      <c r="P1410" s="1032" t="s">
        <v>1039</v>
      </c>
      <c r="Q1410" s="1033" t="s">
        <v>63</v>
      </c>
      <c r="R1410" s="1034">
        <v>10.96428607</v>
      </c>
      <c r="S1410" s="1034">
        <v>3.260019111</v>
      </c>
      <c r="T1410" s="1035">
        <v>30.64091599</v>
      </c>
      <c r="AB1410" s="1045"/>
    </row>
    <row r="1411">
      <c r="A1411" s="294"/>
      <c r="K1411" s="1031" t="s">
        <v>115</v>
      </c>
      <c r="L1411" s="1032" t="s">
        <v>565</v>
      </c>
      <c r="M1411" s="1032" t="s">
        <v>1035</v>
      </c>
      <c r="N1411" s="1032" t="s">
        <v>1044</v>
      </c>
      <c r="O1411" s="1032">
        <v>2021.0</v>
      </c>
      <c r="P1411" s="1032" t="s">
        <v>1039</v>
      </c>
      <c r="Q1411" s="1033" t="s">
        <v>63</v>
      </c>
      <c r="R1411" s="1034">
        <v>5.840665</v>
      </c>
      <c r="S1411" s="1034">
        <v>1.043344044</v>
      </c>
      <c r="T1411" s="1035">
        <v>20.7747698</v>
      </c>
      <c r="AB1411" s="1045"/>
    </row>
    <row r="1412">
      <c r="A1412" s="294"/>
      <c r="K1412" s="1031" t="s">
        <v>115</v>
      </c>
      <c r="L1412" s="1032" t="s">
        <v>565</v>
      </c>
      <c r="M1412" s="1032" t="s">
        <v>1035</v>
      </c>
      <c r="N1412" s="1032" t="s">
        <v>1046</v>
      </c>
      <c r="O1412" s="1032">
        <v>2021.0</v>
      </c>
      <c r="P1412" s="1032" t="s">
        <v>1039</v>
      </c>
      <c r="Q1412" s="1033" t="s">
        <v>63</v>
      </c>
      <c r="R1412" s="1034">
        <v>1.174285869</v>
      </c>
      <c r="S1412" s="1034">
        <v>0.254834601</v>
      </c>
      <c r="T1412" s="1035">
        <v>3.898800233</v>
      </c>
      <c r="AB1412" s="1045"/>
    </row>
    <row r="1413">
      <c r="A1413" s="294"/>
      <c r="K1413" s="1031" t="s">
        <v>115</v>
      </c>
      <c r="L1413" s="1032" t="s">
        <v>565</v>
      </c>
      <c r="M1413" s="1032" t="s">
        <v>1035</v>
      </c>
      <c r="N1413" s="1032" t="s">
        <v>1045</v>
      </c>
      <c r="O1413" s="1032">
        <v>2021.0</v>
      </c>
      <c r="P1413" s="1032" t="s">
        <v>1039</v>
      </c>
      <c r="Q1413" s="1033" t="s">
        <v>63</v>
      </c>
      <c r="R1413" s="1034">
        <v>21.61435705</v>
      </c>
      <c r="S1413" s="1034">
        <v>7.635284901</v>
      </c>
      <c r="T1413" s="1035">
        <v>58.83558057</v>
      </c>
      <c r="AB1413" s="1045"/>
    </row>
    <row r="1414">
      <c r="A1414" s="294"/>
      <c r="K1414" s="1031" t="s">
        <v>137</v>
      </c>
      <c r="L1414" s="1032" t="s">
        <v>565</v>
      </c>
      <c r="M1414" s="1032" t="s">
        <v>1035</v>
      </c>
      <c r="N1414" s="1032" t="s">
        <v>1038</v>
      </c>
      <c r="O1414" s="1032">
        <v>2021.0</v>
      </c>
      <c r="P1414" s="1032" t="s">
        <v>1039</v>
      </c>
      <c r="Q1414" s="1033" t="s">
        <v>63</v>
      </c>
      <c r="R1414" s="1034">
        <v>0.768501017</v>
      </c>
      <c r="S1414" s="1034">
        <v>0.008112875</v>
      </c>
      <c r="T1414" s="1035">
        <v>3.374995841</v>
      </c>
      <c r="AB1414" s="1045"/>
    </row>
    <row r="1415">
      <c r="A1415" s="294"/>
      <c r="K1415" s="1031" t="s">
        <v>137</v>
      </c>
      <c r="L1415" s="1032" t="s">
        <v>565</v>
      </c>
      <c r="M1415" s="1032" t="s">
        <v>1035</v>
      </c>
      <c r="N1415" s="1032" t="s">
        <v>1042</v>
      </c>
      <c r="O1415" s="1032">
        <v>2021.0</v>
      </c>
      <c r="P1415" s="1032" t="s">
        <v>1039</v>
      </c>
      <c r="Q1415" s="1033" t="s">
        <v>63</v>
      </c>
      <c r="R1415" s="1034">
        <v>12.47815421</v>
      </c>
      <c r="S1415" s="1034">
        <v>0.328542</v>
      </c>
      <c r="T1415" s="1035">
        <v>30.49083003</v>
      </c>
      <c r="AB1415" s="1045"/>
    </row>
    <row r="1416">
      <c r="A1416" s="294"/>
      <c r="K1416" s="1031" t="s">
        <v>137</v>
      </c>
      <c r="L1416" s="1032" t="s">
        <v>565</v>
      </c>
      <c r="M1416" s="1032" t="s">
        <v>1035</v>
      </c>
      <c r="N1416" s="1032" t="s">
        <v>1044</v>
      </c>
      <c r="O1416" s="1032">
        <v>2021.0</v>
      </c>
      <c r="P1416" s="1032" t="s">
        <v>1039</v>
      </c>
      <c r="Q1416" s="1033" t="s">
        <v>63</v>
      </c>
      <c r="R1416" s="1034">
        <v>3.924052851</v>
      </c>
      <c r="S1416" s="1034">
        <v>0.060640296</v>
      </c>
      <c r="T1416" s="1035">
        <v>13.73683366</v>
      </c>
      <c r="AB1416" s="1045"/>
    </row>
    <row r="1417">
      <c r="A1417" s="294"/>
      <c r="K1417" s="1031" t="s">
        <v>137</v>
      </c>
      <c r="L1417" s="1032" t="s">
        <v>565</v>
      </c>
      <c r="M1417" s="1032" t="s">
        <v>1035</v>
      </c>
      <c r="N1417" s="1032" t="s">
        <v>1046</v>
      </c>
      <c r="O1417" s="1032">
        <v>2021.0</v>
      </c>
      <c r="P1417" s="1032" t="s">
        <v>1039</v>
      </c>
      <c r="Q1417" s="1033" t="s">
        <v>63</v>
      </c>
      <c r="R1417" s="1034">
        <v>0.846695459</v>
      </c>
      <c r="S1417" s="1034">
        <v>0.011783238</v>
      </c>
      <c r="T1417" s="1035">
        <v>2.563544979</v>
      </c>
      <c r="AB1417" s="1045"/>
    </row>
    <row r="1418">
      <c r="A1418" s="294"/>
      <c r="K1418" s="1031" t="s">
        <v>137</v>
      </c>
      <c r="L1418" s="1032" t="s">
        <v>565</v>
      </c>
      <c r="M1418" s="1032" t="s">
        <v>1035</v>
      </c>
      <c r="N1418" s="1032" t="s">
        <v>1045</v>
      </c>
      <c r="O1418" s="1032">
        <v>2021.0</v>
      </c>
      <c r="P1418" s="1032" t="s">
        <v>1039</v>
      </c>
      <c r="Q1418" s="1033" t="s">
        <v>63</v>
      </c>
      <c r="R1418" s="1034">
        <v>18.01740353</v>
      </c>
      <c r="S1418" s="1034">
        <v>0.409887206</v>
      </c>
      <c r="T1418" s="1035">
        <v>43.39517938</v>
      </c>
      <c r="AB1418" s="1045"/>
    </row>
    <row r="1419">
      <c r="A1419" s="294"/>
      <c r="K1419" s="1031" t="s">
        <v>116</v>
      </c>
      <c r="L1419" s="1032" t="s">
        <v>565</v>
      </c>
      <c r="M1419" s="1032" t="s">
        <v>1035</v>
      </c>
      <c r="N1419" s="1032" t="s">
        <v>1038</v>
      </c>
      <c r="O1419" s="1032">
        <v>2021.0</v>
      </c>
      <c r="P1419" s="1032" t="s">
        <v>1039</v>
      </c>
      <c r="Q1419" s="1033" t="s">
        <v>63</v>
      </c>
      <c r="R1419" s="1034">
        <v>6.129653543</v>
      </c>
      <c r="S1419" s="1034">
        <v>0.975569721</v>
      </c>
      <c r="T1419" s="1035">
        <v>20.77268586</v>
      </c>
      <c r="AB1419" s="1045"/>
    </row>
    <row r="1420">
      <c r="A1420" s="294"/>
      <c r="K1420" s="1031" t="s">
        <v>116</v>
      </c>
      <c r="L1420" s="1032" t="s">
        <v>565</v>
      </c>
      <c r="M1420" s="1032" t="s">
        <v>1035</v>
      </c>
      <c r="N1420" s="1032" t="s">
        <v>1042</v>
      </c>
      <c r="O1420" s="1032">
        <v>2021.0</v>
      </c>
      <c r="P1420" s="1032" t="s">
        <v>1039</v>
      </c>
      <c r="Q1420" s="1033" t="s">
        <v>63</v>
      </c>
      <c r="R1420" s="1034">
        <v>15.56390594</v>
      </c>
      <c r="S1420" s="1034">
        <v>3.110285678</v>
      </c>
      <c r="T1420" s="1035">
        <v>69.35867899</v>
      </c>
      <c r="AB1420" s="1045"/>
    </row>
    <row r="1421">
      <c r="A1421" s="294"/>
      <c r="K1421" s="1031" t="s">
        <v>116</v>
      </c>
      <c r="L1421" s="1032" t="s">
        <v>565</v>
      </c>
      <c r="M1421" s="1032" t="s">
        <v>1035</v>
      </c>
      <c r="N1421" s="1032" t="s">
        <v>1044</v>
      </c>
      <c r="O1421" s="1032">
        <v>2021.0</v>
      </c>
      <c r="P1421" s="1032" t="s">
        <v>1039</v>
      </c>
      <c r="Q1421" s="1033" t="s">
        <v>63</v>
      </c>
      <c r="R1421" s="1034">
        <v>7.862766221</v>
      </c>
      <c r="S1421" s="1034">
        <v>1.038878486</v>
      </c>
      <c r="T1421" s="1035">
        <v>34.60605579</v>
      </c>
      <c r="AB1421" s="1045"/>
    </row>
    <row r="1422">
      <c r="A1422" s="294"/>
      <c r="K1422" s="1031" t="s">
        <v>116</v>
      </c>
      <c r="L1422" s="1032" t="s">
        <v>565</v>
      </c>
      <c r="M1422" s="1032" t="s">
        <v>1035</v>
      </c>
      <c r="N1422" s="1032" t="s">
        <v>1046</v>
      </c>
      <c r="O1422" s="1032">
        <v>2021.0</v>
      </c>
      <c r="P1422" s="1032" t="s">
        <v>1039</v>
      </c>
      <c r="Q1422" s="1033" t="s">
        <v>63</v>
      </c>
      <c r="R1422" s="1034">
        <v>1.7877509</v>
      </c>
      <c r="S1422" s="1034">
        <v>0.223693204</v>
      </c>
      <c r="T1422" s="1035">
        <v>7.873538606</v>
      </c>
      <c r="AB1422" s="1045"/>
    </row>
    <row r="1423">
      <c r="A1423" s="294"/>
      <c r="K1423" s="1031" t="s">
        <v>116</v>
      </c>
      <c r="L1423" s="1032" t="s">
        <v>565</v>
      </c>
      <c r="M1423" s="1032" t="s">
        <v>1035</v>
      </c>
      <c r="N1423" s="1032" t="s">
        <v>1045</v>
      </c>
      <c r="O1423" s="1032">
        <v>2021.0</v>
      </c>
      <c r="P1423" s="1032" t="s">
        <v>1039</v>
      </c>
      <c r="Q1423" s="1033" t="s">
        <v>63</v>
      </c>
      <c r="R1423" s="1034">
        <v>31.34407661</v>
      </c>
      <c r="S1423" s="1034">
        <v>7.937776813</v>
      </c>
      <c r="T1423" s="1035">
        <v>115.5530098</v>
      </c>
      <c r="AB1423" s="1045"/>
    </row>
    <row r="1424">
      <c r="A1424" s="294"/>
      <c r="K1424" s="1031" t="s">
        <v>138</v>
      </c>
      <c r="L1424" s="1032" t="s">
        <v>565</v>
      </c>
      <c r="M1424" s="1032" t="s">
        <v>1035</v>
      </c>
      <c r="N1424" s="1032" t="s">
        <v>1038</v>
      </c>
      <c r="O1424" s="1032">
        <v>2021.0</v>
      </c>
      <c r="P1424" s="1032" t="s">
        <v>1039</v>
      </c>
      <c r="Q1424" s="1033" t="s">
        <v>63</v>
      </c>
      <c r="R1424" s="1034">
        <v>5.304681985</v>
      </c>
      <c r="S1424" s="1034">
        <v>0.896154094</v>
      </c>
      <c r="T1424" s="1035">
        <v>20.17075452</v>
      </c>
      <c r="AB1424" s="1045"/>
    </row>
    <row r="1425">
      <c r="A1425" s="294"/>
      <c r="K1425" s="1031" t="s">
        <v>138</v>
      </c>
      <c r="L1425" s="1032" t="s">
        <v>565</v>
      </c>
      <c r="M1425" s="1032" t="s">
        <v>1035</v>
      </c>
      <c r="N1425" s="1032" t="s">
        <v>1042</v>
      </c>
      <c r="O1425" s="1032">
        <v>2021.0</v>
      </c>
      <c r="P1425" s="1032" t="s">
        <v>1039</v>
      </c>
      <c r="Q1425" s="1033" t="s">
        <v>63</v>
      </c>
      <c r="R1425" s="1034">
        <v>23.68307774</v>
      </c>
      <c r="S1425" s="1034">
        <v>5.720190382</v>
      </c>
      <c r="T1425" s="1035">
        <v>66.19608007</v>
      </c>
      <c r="AB1425" s="1045"/>
    </row>
    <row r="1426">
      <c r="A1426" s="294"/>
      <c r="K1426" s="1031" t="s">
        <v>138</v>
      </c>
      <c r="L1426" s="1032" t="s">
        <v>565</v>
      </c>
      <c r="M1426" s="1032" t="s">
        <v>1035</v>
      </c>
      <c r="N1426" s="1032" t="s">
        <v>1044</v>
      </c>
      <c r="O1426" s="1032">
        <v>2021.0</v>
      </c>
      <c r="P1426" s="1032" t="s">
        <v>1039</v>
      </c>
      <c r="Q1426" s="1033" t="s">
        <v>63</v>
      </c>
      <c r="R1426" s="1034">
        <v>14.89126409</v>
      </c>
      <c r="S1426" s="1034">
        <v>2.526503802</v>
      </c>
      <c r="T1426" s="1035">
        <v>53.64656299</v>
      </c>
      <c r="AB1426" s="1045"/>
    </row>
    <row r="1427">
      <c r="A1427" s="294"/>
      <c r="K1427" s="1031" t="s">
        <v>138</v>
      </c>
      <c r="L1427" s="1032" t="s">
        <v>565</v>
      </c>
      <c r="M1427" s="1032" t="s">
        <v>1035</v>
      </c>
      <c r="N1427" s="1032" t="s">
        <v>1046</v>
      </c>
      <c r="O1427" s="1032">
        <v>2021.0</v>
      </c>
      <c r="P1427" s="1032" t="s">
        <v>1039</v>
      </c>
      <c r="Q1427" s="1033" t="s">
        <v>63</v>
      </c>
      <c r="R1427" s="1034">
        <v>3.280658257</v>
      </c>
      <c r="S1427" s="1034">
        <v>0.565796569</v>
      </c>
      <c r="T1427" s="1035">
        <v>12.03777851</v>
      </c>
      <c r="AB1427" s="1045"/>
    </row>
    <row r="1428">
      <c r="A1428" s="294"/>
      <c r="K1428" s="1031" t="s">
        <v>138</v>
      </c>
      <c r="L1428" s="1032" t="s">
        <v>565</v>
      </c>
      <c r="M1428" s="1032" t="s">
        <v>1035</v>
      </c>
      <c r="N1428" s="1032" t="s">
        <v>1045</v>
      </c>
      <c r="O1428" s="1032">
        <v>2021.0</v>
      </c>
      <c r="P1428" s="1032" t="s">
        <v>1039</v>
      </c>
      <c r="Q1428" s="1033" t="s">
        <v>63</v>
      </c>
      <c r="R1428" s="1034">
        <v>47.15968207</v>
      </c>
      <c r="S1428" s="1034">
        <v>12.17475095</v>
      </c>
      <c r="T1428" s="1035">
        <v>130.5987828</v>
      </c>
      <c r="AB1428" s="1045"/>
    </row>
    <row r="1429">
      <c r="A1429" s="294"/>
      <c r="K1429" s="1031" t="s">
        <v>118</v>
      </c>
      <c r="L1429" s="1032" t="s">
        <v>565</v>
      </c>
      <c r="M1429" s="1032" t="s">
        <v>1035</v>
      </c>
      <c r="N1429" s="1032" t="s">
        <v>1038</v>
      </c>
      <c r="O1429" s="1032">
        <v>2021.0</v>
      </c>
      <c r="P1429" s="1032" t="s">
        <v>1039</v>
      </c>
      <c r="Q1429" s="1033" t="s">
        <v>63</v>
      </c>
      <c r="R1429" s="1034">
        <v>12.5723952</v>
      </c>
      <c r="S1429" s="1034">
        <v>2.596062356</v>
      </c>
      <c r="T1429" s="1035">
        <v>41.50028424</v>
      </c>
      <c r="AB1429" s="1045"/>
    </row>
    <row r="1430">
      <c r="A1430" s="294"/>
      <c r="K1430" s="1031" t="s">
        <v>118</v>
      </c>
      <c r="L1430" s="1032" t="s">
        <v>565</v>
      </c>
      <c r="M1430" s="1032" t="s">
        <v>1035</v>
      </c>
      <c r="N1430" s="1032" t="s">
        <v>1042</v>
      </c>
      <c r="O1430" s="1032">
        <v>2021.0</v>
      </c>
      <c r="P1430" s="1032" t="s">
        <v>1039</v>
      </c>
      <c r="Q1430" s="1033" t="s">
        <v>63</v>
      </c>
      <c r="R1430" s="1034">
        <v>43.1227603</v>
      </c>
      <c r="S1430" s="1034">
        <v>12.50713462</v>
      </c>
      <c r="T1430" s="1035">
        <v>114.5422783</v>
      </c>
      <c r="AB1430" s="1045"/>
    </row>
    <row r="1431">
      <c r="A1431" s="294"/>
      <c r="K1431" s="1031" t="s">
        <v>118</v>
      </c>
      <c r="L1431" s="1032" t="s">
        <v>565</v>
      </c>
      <c r="M1431" s="1032" t="s">
        <v>1035</v>
      </c>
      <c r="N1431" s="1032" t="s">
        <v>1044</v>
      </c>
      <c r="O1431" s="1032">
        <v>2021.0</v>
      </c>
      <c r="P1431" s="1032" t="s">
        <v>1039</v>
      </c>
      <c r="Q1431" s="1033" t="s">
        <v>63</v>
      </c>
      <c r="R1431" s="1034">
        <v>25.74459587</v>
      </c>
      <c r="S1431" s="1034">
        <v>4.931174492</v>
      </c>
      <c r="T1431" s="1035">
        <v>91.78077651</v>
      </c>
      <c r="AB1431" s="1045"/>
    </row>
    <row r="1432">
      <c r="A1432" s="294"/>
      <c r="K1432" s="1031" t="s">
        <v>118</v>
      </c>
      <c r="L1432" s="1032" t="s">
        <v>565</v>
      </c>
      <c r="M1432" s="1032" t="s">
        <v>1035</v>
      </c>
      <c r="N1432" s="1032" t="s">
        <v>1046</v>
      </c>
      <c r="O1432" s="1032">
        <v>2021.0</v>
      </c>
      <c r="P1432" s="1032" t="s">
        <v>1039</v>
      </c>
      <c r="Q1432" s="1033" t="s">
        <v>63</v>
      </c>
      <c r="R1432" s="1034">
        <v>3.887302429</v>
      </c>
      <c r="S1432" s="1034">
        <v>0.701187817</v>
      </c>
      <c r="T1432" s="1035">
        <v>14.17828773</v>
      </c>
      <c r="AB1432" s="1045"/>
    </row>
    <row r="1433">
      <c r="A1433" s="294"/>
      <c r="K1433" s="1031" t="s">
        <v>118</v>
      </c>
      <c r="L1433" s="1032" t="s">
        <v>565</v>
      </c>
      <c r="M1433" s="1032" t="s">
        <v>1035</v>
      </c>
      <c r="N1433" s="1032" t="s">
        <v>1045</v>
      </c>
      <c r="O1433" s="1032">
        <v>2021.0</v>
      </c>
      <c r="P1433" s="1032" t="s">
        <v>1039</v>
      </c>
      <c r="Q1433" s="1033" t="s">
        <v>63</v>
      </c>
      <c r="R1433" s="1034">
        <v>85.3270538</v>
      </c>
      <c r="S1433" s="1034">
        <v>29.58015968</v>
      </c>
      <c r="T1433" s="1035">
        <v>215.0184583</v>
      </c>
      <c r="AB1433" s="1045"/>
    </row>
    <row r="1434">
      <c r="A1434" s="294"/>
      <c r="K1434" s="1031" t="s">
        <v>119</v>
      </c>
      <c r="L1434" s="1032" t="s">
        <v>565</v>
      </c>
      <c r="M1434" s="1032" t="s">
        <v>1035</v>
      </c>
      <c r="N1434" s="1032" t="s">
        <v>1038</v>
      </c>
      <c r="O1434" s="1032">
        <v>2021.0</v>
      </c>
      <c r="P1434" s="1032" t="s">
        <v>1039</v>
      </c>
      <c r="Q1434" s="1033" t="s">
        <v>63</v>
      </c>
      <c r="R1434" s="1034">
        <v>7.981022408</v>
      </c>
      <c r="S1434" s="1034">
        <v>1.015512634</v>
      </c>
      <c r="T1434" s="1035">
        <v>28.5854781</v>
      </c>
      <c r="AB1434" s="1045"/>
    </row>
    <row r="1435">
      <c r="A1435" s="294"/>
      <c r="K1435" s="1031" t="s">
        <v>119</v>
      </c>
      <c r="L1435" s="1032" t="s">
        <v>565</v>
      </c>
      <c r="M1435" s="1032" t="s">
        <v>1035</v>
      </c>
      <c r="N1435" s="1032" t="s">
        <v>1042</v>
      </c>
      <c r="O1435" s="1032">
        <v>2021.0</v>
      </c>
      <c r="P1435" s="1032" t="s">
        <v>1039</v>
      </c>
      <c r="Q1435" s="1033" t="s">
        <v>63</v>
      </c>
      <c r="R1435" s="1034">
        <v>28.61757985</v>
      </c>
      <c r="S1435" s="1034">
        <v>5.102828995</v>
      </c>
      <c r="T1435" s="1035">
        <v>112.7251632</v>
      </c>
      <c r="AB1435" s="1045"/>
    </row>
    <row r="1436">
      <c r="A1436" s="294"/>
      <c r="K1436" s="1031" t="s">
        <v>119</v>
      </c>
      <c r="L1436" s="1032" t="s">
        <v>565</v>
      </c>
      <c r="M1436" s="1032" t="s">
        <v>1035</v>
      </c>
      <c r="N1436" s="1032" t="s">
        <v>1044</v>
      </c>
      <c r="O1436" s="1032">
        <v>2021.0</v>
      </c>
      <c r="P1436" s="1032" t="s">
        <v>1039</v>
      </c>
      <c r="Q1436" s="1033" t="s">
        <v>63</v>
      </c>
      <c r="R1436" s="1034">
        <v>21.06859248</v>
      </c>
      <c r="S1436" s="1034">
        <v>2.915264384</v>
      </c>
      <c r="T1436" s="1035">
        <v>88.23053148</v>
      </c>
      <c r="AB1436" s="1045"/>
    </row>
    <row r="1437">
      <c r="A1437" s="294"/>
      <c r="K1437" s="1031" t="s">
        <v>119</v>
      </c>
      <c r="L1437" s="1032" t="s">
        <v>565</v>
      </c>
      <c r="M1437" s="1032" t="s">
        <v>1035</v>
      </c>
      <c r="N1437" s="1032" t="s">
        <v>1046</v>
      </c>
      <c r="O1437" s="1032">
        <v>2021.0</v>
      </c>
      <c r="P1437" s="1032" t="s">
        <v>1039</v>
      </c>
      <c r="Q1437" s="1033" t="s">
        <v>63</v>
      </c>
      <c r="R1437" s="1034">
        <v>2.976558455</v>
      </c>
      <c r="S1437" s="1034">
        <v>0.352967037</v>
      </c>
      <c r="T1437" s="1035">
        <v>13.60431391</v>
      </c>
      <c r="AB1437" s="1045"/>
    </row>
    <row r="1438">
      <c r="A1438" s="294"/>
      <c r="K1438" s="1031" t="s">
        <v>119</v>
      </c>
      <c r="L1438" s="1032" t="s">
        <v>565</v>
      </c>
      <c r="M1438" s="1032" t="s">
        <v>1035</v>
      </c>
      <c r="N1438" s="1032" t="s">
        <v>1045</v>
      </c>
      <c r="O1438" s="1032">
        <v>2021.0</v>
      </c>
      <c r="P1438" s="1032" t="s">
        <v>1039</v>
      </c>
      <c r="Q1438" s="1033" t="s">
        <v>63</v>
      </c>
      <c r="R1438" s="1034">
        <v>60.64375318</v>
      </c>
      <c r="S1438" s="1034">
        <v>14.28308559</v>
      </c>
      <c r="T1438" s="1035">
        <v>209.4178155</v>
      </c>
      <c r="AB1438" s="1045"/>
    </row>
    <row r="1439">
      <c r="A1439" s="294"/>
      <c r="K1439" s="1031" t="s">
        <v>120</v>
      </c>
      <c r="L1439" s="1032" t="s">
        <v>565</v>
      </c>
      <c r="M1439" s="1032" t="s">
        <v>1035</v>
      </c>
      <c r="N1439" s="1032" t="s">
        <v>1038</v>
      </c>
      <c r="O1439" s="1032">
        <v>2021.0</v>
      </c>
      <c r="P1439" s="1032" t="s">
        <v>1039</v>
      </c>
      <c r="Q1439" s="1033" t="s">
        <v>63</v>
      </c>
      <c r="R1439" s="1034">
        <v>6.146854313</v>
      </c>
      <c r="S1439" s="1034">
        <v>0.802086249</v>
      </c>
      <c r="T1439" s="1035">
        <v>23.64328985</v>
      </c>
      <c r="AB1439" s="1045"/>
    </row>
    <row r="1440">
      <c r="A1440" s="294"/>
      <c r="K1440" s="1031" t="s">
        <v>120</v>
      </c>
      <c r="L1440" s="1032" t="s">
        <v>565</v>
      </c>
      <c r="M1440" s="1032" t="s">
        <v>1035</v>
      </c>
      <c r="N1440" s="1032" t="s">
        <v>1042</v>
      </c>
      <c r="O1440" s="1032">
        <v>2021.0</v>
      </c>
      <c r="P1440" s="1032" t="s">
        <v>1039</v>
      </c>
      <c r="Q1440" s="1033" t="s">
        <v>63</v>
      </c>
      <c r="R1440" s="1034">
        <v>31.95701187</v>
      </c>
      <c r="S1440" s="1034">
        <v>8.414748004</v>
      </c>
      <c r="T1440" s="1035">
        <v>119.9087223</v>
      </c>
      <c r="AB1440" s="1045"/>
    </row>
    <row r="1441">
      <c r="A1441" s="294"/>
      <c r="K1441" s="1031" t="s">
        <v>120</v>
      </c>
      <c r="L1441" s="1032" t="s">
        <v>565</v>
      </c>
      <c r="M1441" s="1032" t="s">
        <v>1035</v>
      </c>
      <c r="N1441" s="1032" t="s">
        <v>1044</v>
      </c>
      <c r="O1441" s="1032">
        <v>2021.0</v>
      </c>
      <c r="P1441" s="1032" t="s">
        <v>1039</v>
      </c>
      <c r="Q1441" s="1033" t="s">
        <v>63</v>
      </c>
      <c r="R1441" s="1034">
        <v>16.16964646</v>
      </c>
      <c r="S1441" s="1034">
        <v>3.251402074</v>
      </c>
      <c r="T1441" s="1035">
        <v>65.00177271</v>
      </c>
      <c r="AB1441" s="1045"/>
    </row>
    <row r="1442">
      <c r="A1442" s="294"/>
      <c r="K1442" s="1031" t="s">
        <v>120</v>
      </c>
      <c r="L1442" s="1032" t="s">
        <v>565</v>
      </c>
      <c r="M1442" s="1032" t="s">
        <v>1035</v>
      </c>
      <c r="N1442" s="1032" t="s">
        <v>1046</v>
      </c>
      <c r="O1442" s="1032">
        <v>2021.0</v>
      </c>
      <c r="P1442" s="1032" t="s">
        <v>1039</v>
      </c>
      <c r="Q1442" s="1033" t="s">
        <v>63</v>
      </c>
      <c r="R1442" s="1034">
        <v>3.409599932</v>
      </c>
      <c r="S1442" s="1034">
        <v>0.623595024</v>
      </c>
      <c r="T1442" s="1035">
        <v>16.69863837</v>
      </c>
      <c r="AB1442" s="1045"/>
    </row>
    <row r="1443">
      <c r="A1443" s="294"/>
      <c r="K1443" s="1031" t="s">
        <v>120</v>
      </c>
      <c r="L1443" s="1032" t="s">
        <v>565</v>
      </c>
      <c r="M1443" s="1032" t="s">
        <v>1035</v>
      </c>
      <c r="N1443" s="1032" t="s">
        <v>1045</v>
      </c>
      <c r="O1443" s="1032">
        <v>2021.0</v>
      </c>
      <c r="P1443" s="1032" t="s">
        <v>1039</v>
      </c>
      <c r="Q1443" s="1033" t="s">
        <v>63</v>
      </c>
      <c r="R1443" s="1034">
        <v>57.68311257</v>
      </c>
      <c r="S1443" s="1034">
        <v>19.83885512</v>
      </c>
      <c r="T1443" s="1035">
        <v>201.7051015</v>
      </c>
      <c r="AB1443" s="1045"/>
    </row>
    <row r="1444">
      <c r="A1444" s="294"/>
      <c r="K1444" s="1031" t="s">
        <v>139</v>
      </c>
      <c r="L1444" s="1032" t="s">
        <v>565</v>
      </c>
      <c r="M1444" s="1032" t="s">
        <v>1035</v>
      </c>
      <c r="N1444" s="1032" t="s">
        <v>1038</v>
      </c>
      <c r="O1444" s="1032">
        <v>2021.0</v>
      </c>
      <c r="P1444" s="1032" t="s">
        <v>1039</v>
      </c>
      <c r="Q1444" s="1033" t="s">
        <v>63</v>
      </c>
      <c r="R1444" s="1034">
        <v>0.435890603</v>
      </c>
      <c r="S1444" s="1034">
        <v>0.014577154</v>
      </c>
      <c r="T1444" s="1035">
        <v>1.94548538</v>
      </c>
      <c r="AB1444" s="1045"/>
    </row>
    <row r="1445">
      <c r="A1445" s="294"/>
      <c r="K1445" s="1031" t="s">
        <v>139</v>
      </c>
      <c r="L1445" s="1032" t="s">
        <v>565</v>
      </c>
      <c r="M1445" s="1032" t="s">
        <v>1035</v>
      </c>
      <c r="N1445" s="1032" t="s">
        <v>1042</v>
      </c>
      <c r="O1445" s="1032">
        <v>2021.0</v>
      </c>
      <c r="P1445" s="1032" t="s">
        <v>1039</v>
      </c>
      <c r="Q1445" s="1033" t="s">
        <v>63</v>
      </c>
      <c r="R1445" s="1034">
        <v>3.585001826</v>
      </c>
      <c r="S1445" s="1034">
        <v>0.222021669</v>
      </c>
      <c r="T1445" s="1035">
        <v>8.94596733</v>
      </c>
      <c r="AB1445" s="1045"/>
    </row>
    <row r="1446">
      <c r="A1446" s="294"/>
      <c r="K1446" s="1031" t="s">
        <v>139</v>
      </c>
      <c r="L1446" s="1032" t="s">
        <v>565</v>
      </c>
      <c r="M1446" s="1032" t="s">
        <v>1035</v>
      </c>
      <c r="N1446" s="1032" t="s">
        <v>1044</v>
      </c>
      <c r="O1446" s="1032">
        <v>2021.0</v>
      </c>
      <c r="P1446" s="1032" t="s">
        <v>1039</v>
      </c>
      <c r="Q1446" s="1033" t="s">
        <v>63</v>
      </c>
      <c r="R1446" s="1034">
        <v>1.948413438</v>
      </c>
      <c r="S1446" s="1034">
        <v>0.086703754</v>
      </c>
      <c r="T1446" s="1035">
        <v>6.571180819</v>
      </c>
      <c r="AB1446" s="1045"/>
    </row>
    <row r="1447">
      <c r="A1447" s="294"/>
      <c r="K1447" s="1031" t="s">
        <v>139</v>
      </c>
      <c r="L1447" s="1032" t="s">
        <v>565</v>
      </c>
      <c r="M1447" s="1032" t="s">
        <v>1035</v>
      </c>
      <c r="N1447" s="1032" t="s">
        <v>1046</v>
      </c>
      <c r="O1447" s="1032">
        <v>2021.0</v>
      </c>
      <c r="P1447" s="1032" t="s">
        <v>1039</v>
      </c>
      <c r="Q1447" s="1033" t="s">
        <v>63</v>
      </c>
      <c r="R1447" s="1034">
        <v>0.252014969</v>
      </c>
      <c r="S1447" s="1034">
        <v>0.008120565</v>
      </c>
      <c r="T1447" s="1035">
        <v>0.736282808</v>
      </c>
      <c r="AB1447" s="1045"/>
    </row>
    <row r="1448">
      <c r="A1448" s="294"/>
      <c r="K1448" s="1031" t="s">
        <v>139</v>
      </c>
      <c r="L1448" s="1032" t="s">
        <v>565</v>
      </c>
      <c r="M1448" s="1032" t="s">
        <v>1035</v>
      </c>
      <c r="N1448" s="1032" t="s">
        <v>1045</v>
      </c>
      <c r="O1448" s="1032">
        <v>2021.0</v>
      </c>
      <c r="P1448" s="1032" t="s">
        <v>1039</v>
      </c>
      <c r="Q1448" s="1033" t="s">
        <v>63</v>
      </c>
      <c r="R1448" s="1034">
        <v>6.221320837</v>
      </c>
      <c r="S1448" s="1034">
        <v>0.334052344</v>
      </c>
      <c r="T1448" s="1035">
        <v>15.29361232</v>
      </c>
      <c r="AB1448" s="1045"/>
    </row>
    <row r="1449">
      <c r="A1449" s="294"/>
      <c r="K1449" s="1031" t="s">
        <v>140</v>
      </c>
      <c r="L1449" s="1032" t="s">
        <v>565</v>
      </c>
      <c r="M1449" s="1032" t="s">
        <v>1035</v>
      </c>
      <c r="N1449" s="1032" t="s">
        <v>1038</v>
      </c>
      <c r="O1449" s="1032">
        <v>2021.0</v>
      </c>
      <c r="P1449" s="1032" t="s">
        <v>1039</v>
      </c>
      <c r="Q1449" s="1033" t="s">
        <v>63</v>
      </c>
      <c r="R1449" s="1034">
        <v>0.269674045</v>
      </c>
      <c r="S1449" s="1034">
        <v>0.012471981</v>
      </c>
      <c r="T1449" s="1035">
        <v>1.139960892</v>
      </c>
      <c r="AB1449" s="1045"/>
    </row>
    <row r="1450">
      <c r="A1450" s="294"/>
      <c r="K1450" s="1031" t="s">
        <v>140</v>
      </c>
      <c r="L1450" s="1032" t="s">
        <v>565</v>
      </c>
      <c r="M1450" s="1032" t="s">
        <v>1035</v>
      </c>
      <c r="N1450" s="1032" t="s">
        <v>1042</v>
      </c>
      <c r="O1450" s="1032">
        <v>2021.0</v>
      </c>
      <c r="P1450" s="1032" t="s">
        <v>1039</v>
      </c>
      <c r="Q1450" s="1033" t="s">
        <v>63</v>
      </c>
      <c r="R1450" s="1034">
        <v>4.086182425</v>
      </c>
      <c r="S1450" s="1034">
        <v>0.302733952</v>
      </c>
      <c r="T1450" s="1035">
        <v>9.883251445</v>
      </c>
      <c r="AB1450" s="1045"/>
    </row>
    <row r="1451">
      <c r="A1451" s="294"/>
      <c r="K1451" s="1031" t="s">
        <v>140</v>
      </c>
      <c r="L1451" s="1032" t="s">
        <v>565</v>
      </c>
      <c r="M1451" s="1032" t="s">
        <v>1035</v>
      </c>
      <c r="N1451" s="1032" t="s">
        <v>1044</v>
      </c>
      <c r="O1451" s="1032">
        <v>2021.0</v>
      </c>
      <c r="P1451" s="1032" t="s">
        <v>1039</v>
      </c>
      <c r="Q1451" s="1033" t="s">
        <v>63</v>
      </c>
      <c r="R1451" s="1034">
        <v>2.546767408</v>
      </c>
      <c r="S1451" s="1034">
        <v>0.175761951</v>
      </c>
      <c r="T1451" s="1035">
        <v>8.594566918</v>
      </c>
      <c r="AB1451" s="1045"/>
    </row>
    <row r="1452">
      <c r="A1452" s="294"/>
      <c r="K1452" s="1031" t="s">
        <v>140</v>
      </c>
      <c r="L1452" s="1032" t="s">
        <v>565</v>
      </c>
      <c r="M1452" s="1032" t="s">
        <v>1035</v>
      </c>
      <c r="N1452" s="1032" t="s">
        <v>1046</v>
      </c>
      <c r="O1452" s="1032">
        <v>2021.0</v>
      </c>
      <c r="P1452" s="1032" t="s">
        <v>1039</v>
      </c>
      <c r="Q1452" s="1033" t="s">
        <v>63</v>
      </c>
      <c r="R1452" s="1034">
        <v>0.269702912</v>
      </c>
      <c r="S1452" s="1034">
        <v>0.01248755</v>
      </c>
      <c r="T1452" s="1035">
        <v>0.874665885</v>
      </c>
      <c r="AB1452" s="1045"/>
    </row>
    <row r="1453">
      <c r="A1453" s="294"/>
      <c r="K1453" s="1031" t="s">
        <v>140</v>
      </c>
      <c r="L1453" s="1032" t="s">
        <v>565</v>
      </c>
      <c r="M1453" s="1032" t="s">
        <v>1035</v>
      </c>
      <c r="N1453" s="1032" t="s">
        <v>1045</v>
      </c>
      <c r="O1453" s="1032">
        <v>2021.0</v>
      </c>
      <c r="P1453" s="1032" t="s">
        <v>1039</v>
      </c>
      <c r="Q1453" s="1033" t="s">
        <v>63</v>
      </c>
      <c r="R1453" s="1034">
        <v>7.172326789</v>
      </c>
      <c r="S1453" s="1034">
        <v>0.513211195</v>
      </c>
      <c r="T1453" s="1035">
        <v>17.09950013</v>
      </c>
      <c r="AB1453" s="1045"/>
    </row>
    <row r="1454">
      <c r="A1454" s="294"/>
      <c r="K1454" s="1031" t="s">
        <v>141</v>
      </c>
      <c r="L1454" s="1032" t="s">
        <v>565</v>
      </c>
      <c r="M1454" s="1032" t="s">
        <v>1035</v>
      </c>
      <c r="N1454" s="1032" t="s">
        <v>1038</v>
      </c>
      <c r="O1454" s="1032">
        <v>2021.0</v>
      </c>
      <c r="P1454" s="1032" t="s">
        <v>1039</v>
      </c>
      <c r="Q1454" s="1033" t="s">
        <v>63</v>
      </c>
      <c r="R1454" s="1034">
        <v>0.168694212</v>
      </c>
      <c r="S1454" s="1034">
        <v>0.001269967</v>
      </c>
      <c r="T1454" s="1035">
        <v>0.756064782</v>
      </c>
      <c r="AB1454" s="1045"/>
    </row>
    <row r="1455">
      <c r="A1455" s="294"/>
      <c r="K1455" s="1031" t="s">
        <v>141</v>
      </c>
      <c r="L1455" s="1032" t="s">
        <v>565</v>
      </c>
      <c r="M1455" s="1032" t="s">
        <v>1035</v>
      </c>
      <c r="N1455" s="1032" t="s">
        <v>1042</v>
      </c>
      <c r="O1455" s="1032">
        <v>2021.0</v>
      </c>
      <c r="P1455" s="1032" t="s">
        <v>1039</v>
      </c>
      <c r="Q1455" s="1033" t="s">
        <v>63</v>
      </c>
      <c r="R1455" s="1034">
        <v>5.425082302</v>
      </c>
      <c r="S1455" s="1034">
        <v>0.109079784</v>
      </c>
      <c r="T1455" s="1035">
        <v>13.28727221</v>
      </c>
      <c r="AB1455" s="1045"/>
    </row>
    <row r="1456">
      <c r="A1456" s="294"/>
      <c r="K1456" s="1031" t="s">
        <v>141</v>
      </c>
      <c r="L1456" s="1032" t="s">
        <v>565</v>
      </c>
      <c r="M1456" s="1032" t="s">
        <v>1035</v>
      </c>
      <c r="N1456" s="1032" t="s">
        <v>1044</v>
      </c>
      <c r="O1456" s="1032">
        <v>2021.0</v>
      </c>
      <c r="P1456" s="1032" t="s">
        <v>1039</v>
      </c>
      <c r="Q1456" s="1033" t="s">
        <v>63</v>
      </c>
      <c r="R1456" s="1034">
        <v>2.84886257</v>
      </c>
      <c r="S1456" s="1034">
        <v>0.034637463</v>
      </c>
      <c r="T1456" s="1035">
        <v>9.214753614</v>
      </c>
      <c r="AB1456" s="1045"/>
    </row>
    <row r="1457">
      <c r="A1457" s="294"/>
      <c r="K1457" s="1031" t="s">
        <v>141</v>
      </c>
      <c r="L1457" s="1032" t="s">
        <v>565</v>
      </c>
      <c r="M1457" s="1032" t="s">
        <v>1035</v>
      </c>
      <c r="N1457" s="1032" t="s">
        <v>1046</v>
      </c>
      <c r="O1457" s="1032">
        <v>2021.0</v>
      </c>
      <c r="P1457" s="1032" t="s">
        <v>1039</v>
      </c>
      <c r="Q1457" s="1033" t="s">
        <v>63</v>
      </c>
      <c r="R1457" s="1034">
        <v>0.293968</v>
      </c>
      <c r="S1457" s="1034">
        <v>0.002497532</v>
      </c>
      <c r="T1457" s="1035">
        <v>0.961086714</v>
      </c>
      <c r="AB1457" s="1045"/>
    </row>
    <row r="1458">
      <c r="A1458" s="294"/>
      <c r="K1458" s="1031" t="s">
        <v>141</v>
      </c>
      <c r="L1458" s="1032" t="s">
        <v>565</v>
      </c>
      <c r="M1458" s="1032" t="s">
        <v>1035</v>
      </c>
      <c r="N1458" s="1032" t="s">
        <v>1045</v>
      </c>
      <c r="O1458" s="1032">
        <v>2021.0</v>
      </c>
      <c r="P1458" s="1032" t="s">
        <v>1039</v>
      </c>
      <c r="Q1458" s="1033" t="s">
        <v>63</v>
      </c>
      <c r="R1458" s="1034">
        <v>8.736607085</v>
      </c>
      <c r="S1458" s="1034">
        <v>0.146086167</v>
      </c>
      <c r="T1458" s="1035">
        <v>21.8966202</v>
      </c>
      <c r="AB1458" s="1045"/>
    </row>
    <row r="1459">
      <c r="A1459" s="294"/>
      <c r="K1459" s="1031" t="s">
        <v>142</v>
      </c>
      <c r="L1459" s="1032" t="s">
        <v>565</v>
      </c>
      <c r="M1459" s="1032" t="s">
        <v>1035</v>
      </c>
      <c r="N1459" s="1032" t="s">
        <v>1038</v>
      </c>
      <c r="O1459" s="1032">
        <v>2021.0</v>
      </c>
      <c r="P1459" s="1032" t="s">
        <v>1039</v>
      </c>
      <c r="Q1459" s="1033" t="s">
        <v>63</v>
      </c>
      <c r="R1459" s="1034">
        <v>1.041543929</v>
      </c>
      <c r="S1459" s="1034">
        <v>0.125192903</v>
      </c>
      <c r="T1459" s="1035">
        <v>4.17855603</v>
      </c>
      <c r="AB1459" s="1045"/>
    </row>
    <row r="1460">
      <c r="A1460" s="294"/>
      <c r="K1460" s="1031" t="s">
        <v>142</v>
      </c>
      <c r="L1460" s="1032" t="s">
        <v>565</v>
      </c>
      <c r="M1460" s="1032" t="s">
        <v>1035</v>
      </c>
      <c r="N1460" s="1032" t="s">
        <v>1042</v>
      </c>
      <c r="O1460" s="1032">
        <v>2021.0</v>
      </c>
      <c r="P1460" s="1032" t="s">
        <v>1039</v>
      </c>
      <c r="Q1460" s="1033" t="s">
        <v>63</v>
      </c>
      <c r="R1460" s="1034">
        <v>10.13230532</v>
      </c>
      <c r="S1460" s="1034">
        <v>1.639349608</v>
      </c>
      <c r="T1460" s="1035">
        <v>24.33191743</v>
      </c>
      <c r="AB1460" s="1045"/>
    </row>
    <row r="1461">
      <c r="A1461" s="294"/>
      <c r="K1461" s="1031" t="s">
        <v>142</v>
      </c>
      <c r="L1461" s="1032" t="s">
        <v>565</v>
      </c>
      <c r="M1461" s="1032" t="s">
        <v>1035</v>
      </c>
      <c r="N1461" s="1032" t="s">
        <v>1044</v>
      </c>
      <c r="O1461" s="1032">
        <v>2021.0</v>
      </c>
      <c r="P1461" s="1032" t="s">
        <v>1039</v>
      </c>
      <c r="Q1461" s="1033" t="s">
        <v>63</v>
      </c>
      <c r="R1461" s="1034">
        <v>5.807692329</v>
      </c>
      <c r="S1461" s="1034">
        <v>0.771793046</v>
      </c>
      <c r="T1461" s="1035">
        <v>19.76768513</v>
      </c>
      <c r="AB1461" s="1045"/>
    </row>
    <row r="1462">
      <c r="A1462" s="294"/>
      <c r="K1462" s="1031" t="s">
        <v>142</v>
      </c>
      <c r="L1462" s="1032" t="s">
        <v>565</v>
      </c>
      <c r="M1462" s="1032" t="s">
        <v>1035</v>
      </c>
      <c r="N1462" s="1032" t="s">
        <v>1046</v>
      </c>
      <c r="O1462" s="1032">
        <v>2021.0</v>
      </c>
      <c r="P1462" s="1032" t="s">
        <v>1039</v>
      </c>
      <c r="Q1462" s="1033" t="s">
        <v>63</v>
      </c>
      <c r="R1462" s="1034">
        <v>0.866405074</v>
      </c>
      <c r="S1462" s="1034">
        <v>0.115353059</v>
      </c>
      <c r="T1462" s="1035">
        <v>2.645438563</v>
      </c>
      <c r="AB1462" s="1045"/>
    </row>
    <row r="1463">
      <c r="A1463" s="294"/>
      <c r="K1463" s="1031" t="s">
        <v>142</v>
      </c>
      <c r="L1463" s="1032" t="s">
        <v>565</v>
      </c>
      <c r="M1463" s="1032" t="s">
        <v>1035</v>
      </c>
      <c r="N1463" s="1032" t="s">
        <v>1045</v>
      </c>
      <c r="O1463" s="1032">
        <v>2021.0</v>
      </c>
      <c r="P1463" s="1032" t="s">
        <v>1039</v>
      </c>
      <c r="Q1463" s="1033" t="s">
        <v>63</v>
      </c>
      <c r="R1463" s="1034">
        <v>17.84794665</v>
      </c>
      <c r="S1463" s="1034">
        <v>2.808697003</v>
      </c>
      <c r="T1463" s="1035">
        <v>39.65574988</v>
      </c>
      <c r="AB1463" s="1045"/>
    </row>
    <row r="1464">
      <c r="A1464" s="294"/>
      <c r="K1464" s="1031" t="s">
        <v>143</v>
      </c>
      <c r="L1464" s="1032" t="s">
        <v>565</v>
      </c>
      <c r="M1464" s="1032" t="s">
        <v>1035</v>
      </c>
      <c r="N1464" s="1032" t="s">
        <v>1038</v>
      </c>
      <c r="O1464" s="1032">
        <v>2021.0</v>
      </c>
      <c r="P1464" s="1032" t="s">
        <v>1039</v>
      </c>
      <c r="Q1464" s="1033" t="s">
        <v>63</v>
      </c>
      <c r="R1464" s="1034">
        <v>4.764769113</v>
      </c>
      <c r="S1464" s="1034">
        <v>0.84804931</v>
      </c>
      <c r="T1464" s="1035">
        <v>16.64301643</v>
      </c>
      <c r="AB1464" s="1045"/>
    </row>
    <row r="1465">
      <c r="A1465" s="294"/>
      <c r="K1465" s="1031" t="s">
        <v>143</v>
      </c>
      <c r="L1465" s="1032" t="s">
        <v>565</v>
      </c>
      <c r="M1465" s="1032" t="s">
        <v>1035</v>
      </c>
      <c r="N1465" s="1032" t="s">
        <v>1042</v>
      </c>
      <c r="O1465" s="1032">
        <v>2021.0</v>
      </c>
      <c r="P1465" s="1032" t="s">
        <v>1039</v>
      </c>
      <c r="Q1465" s="1033" t="s">
        <v>63</v>
      </c>
      <c r="R1465" s="1034">
        <v>24.81793769</v>
      </c>
      <c r="S1465" s="1034">
        <v>6.817772076</v>
      </c>
      <c r="T1465" s="1035">
        <v>62.01046975</v>
      </c>
      <c r="AB1465" s="1045"/>
    </row>
    <row r="1466">
      <c r="A1466" s="294"/>
      <c r="K1466" s="1031" t="s">
        <v>143</v>
      </c>
      <c r="L1466" s="1032" t="s">
        <v>565</v>
      </c>
      <c r="M1466" s="1032" t="s">
        <v>1035</v>
      </c>
      <c r="N1466" s="1032" t="s">
        <v>1044</v>
      </c>
      <c r="O1466" s="1032">
        <v>2021.0</v>
      </c>
      <c r="P1466" s="1032" t="s">
        <v>1039</v>
      </c>
      <c r="Q1466" s="1033" t="s">
        <v>63</v>
      </c>
      <c r="R1466" s="1034">
        <v>18.32742634</v>
      </c>
      <c r="S1466" s="1034">
        <v>4.191316586</v>
      </c>
      <c r="T1466" s="1035">
        <v>65.40385106</v>
      </c>
      <c r="AB1466" s="1045"/>
    </row>
    <row r="1467">
      <c r="A1467" s="294"/>
      <c r="K1467" s="1031" t="s">
        <v>143</v>
      </c>
      <c r="L1467" s="1032" t="s">
        <v>565</v>
      </c>
      <c r="M1467" s="1032" t="s">
        <v>1035</v>
      </c>
      <c r="N1467" s="1032" t="s">
        <v>1046</v>
      </c>
      <c r="O1467" s="1032">
        <v>2021.0</v>
      </c>
      <c r="P1467" s="1032" t="s">
        <v>1039</v>
      </c>
      <c r="Q1467" s="1033" t="s">
        <v>63</v>
      </c>
      <c r="R1467" s="1034">
        <v>2.98531894</v>
      </c>
      <c r="S1467" s="1034">
        <v>0.619169251</v>
      </c>
      <c r="T1467" s="1035">
        <v>9.482936618</v>
      </c>
      <c r="AB1467" s="1045"/>
    </row>
    <row r="1468">
      <c r="A1468" s="294"/>
      <c r="K1468" s="1031" t="s">
        <v>143</v>
      </c>
      <c r="L1468" s="1032" t="s">
        <v>565</v>
      </c>
      <c r="M1468" s="1032" t="s">
        <v>1035</v>
      </c>
      <c r="N1468" s="1032" t="s">
        <v>1045</v>
      </c>
      <c r="O1468" s="1032">
        <v>2021.0</v>
      </c>
      <c r="P1468" s="1032" t="s">
        <v>1039</v>
      </c>
      <c r="Q1468" s="1033" t="s">
        <v>63</v>
      </c>
      <c r="R1468" s="1034">
        <v>50.89545208</v>
      </c>
      <c r="S1468" s="1034">
        <v>17.59051482</v>
      </c>
      <c r="T1468" s="1035">
        <v>126.8036967</v>
      </c>
      <c r="AB1468" s="1045"/>
    </row>
    <row r="1469">
      <c r="A1469" s="294"/>
      <c r="K1469" s="1031" t="s">
        <v>109</v>
      </c>
      <c r="L1469" s="1032" t="s">
        <v>565</v>
      </c>
      <c r="M1469" s="1032" t="s">
        <v>1035</v>
      </c>
      <c r="N1469" s="1032" t="s">
        <v>1038</v>
      </c>
      <c r="O1469" s="1032">
        <v>2021.0</v>
      </c>
      <c r="P1469" s="1032" t="s">
        <v>1039</v>
      </c>
      <c r="Q1469" s="1033" t="s">
        <v>63</v>
      </c>
      <c r="R1469" s="1034">
        <v>99.90496921</v>
      </c>
      <c r="S1469" s="1034">
        <v>24.92920372</v>
      </c>
      <c r="T1469" s="1035">
        <v>267.6415351</v>
      </c>
      <c r="AB1469" s="1045"/>
    </row>
    <row r="1470">
      <c r="A1470" s="294"/>
      <c r="K1470" s="1031" t="s">
        <v>109</v>
      </c>
      <c r="L1470" s="1032" t="s">
        <v>565</v>
      </c>
      <c r="M1470" s="1032" t="s">
        <v>1035</v>
      </c>
      <c r="N1470" s="1032" t="s">
        <v>1042</v>
      </c>
      <c r="O1470" s="1032">
        <v>2021.0</v>
      </c>
      <c r="P1470" s="1032" t="s">
        <v>1039</v>
      </c>
      <c r="Q1470" s="1033" t="s">
        <v>63</v>
      </c>
      <c r="R1470" s="1034">
        <v>486.8581443</v>
      </c>
      <c r="S1470" s="1034">
        <v>262.7213307</v>
      </c>
      <c r="T1470" s="1035">
        <v>1061.757172</v>
      </c>
      <c r="AB1470" s="1045"/>
    </row>
    <row r="1471">
      <c r="A1471" s="294"/>
      <c r="K1471" s="1031" t="s">
        <v>109</v>
      </c>
      <c r="L1471" s="1032" t="s">
        <v>565</v>
      </c>
      <c r="M1471" s="1032" t="s">
        <v>1035</v>
      </c>
      <c r="N1471" s="1032" t="s">
        <v>1044</v>
      </c>
      <c r="O1471" s="1032">
        <v>2021.0</v>
      </c>
      <c r="P1471" s="1032" t="s">
        <v>1039</v>
      </c>
      <c r="Q1471" s="1033" t="s">
        <v>63</v>
      </c>
      <c r="R1471" s="1034">
        <v>285.2395733</v>
      </c>
      <c r="S1471" s="1034">
        <v>107.5156005</v>
      </c>
      <c r="T1471" s="1035">
        <v>771.0982311</v>
      </c>
      <c r="AB1471" s="1045"/>
    </row>
    <row r="1472">
      <c r="A1472" s="294"/>
      <c r="K1472" s="1031" t="s">
        <v>109</v>
      </c>
      <c r="L1472" s="1032" t="s">
        <v>565</v>
      </c>
      <c r="M1472" s="1032" t="s">
        <v>1035</v>
      </c>
      <c r="N1472" s="1032" t="s">
        <v>1046</v>
      </c>
      <c r="O1472" s="1032">
        <v>2021.0</v>
      </c>
      <c r="P1472" s="1032" t="s">
        <v>1039</v>
      </c>
      <c r="Q1472" s="1033" t="s">
        <v>63</v>
      </c>
      <c r="R1472" s="1034">
        <v>50.62424937</v>
      </c>
      <c r="S1472" s="1034">
        <v>14.33428508</v>
      </c>
      <c r="T1472" s="1035">
        <v>148.2185068</v>
      </c>
      <c r="AB1472" s="1045"/>
    </row>
    <row r="1473">
      <c r="A1473" s="294"/>
      <c r="K1473" s="1031" t="s">
        <v>109</v>
      </c>
      <c r="L1473" s="1032" t="s">
        <v>565</v>
      </c>
      <c r="M1473" s="1032" t="s">
        <v>1035</v>
      </c>
      <c r="N1473" s="1032" t="s">
        <v>1045</v>
      </c>
      <c r="O1473" s="1032">
        <v>2021.0</v>
      </c>
      <c r="P1473" s="1032" t="s">
        <v>1039</v>
      </c>
      <c r="Q1473" s="1033" t="s">
        <v>63</v>
      </c>
      <c r="R1473" s="1034">
        <v>922.6269362</v>
      </c>
      <c r="S1473" s="1034">
        <v>471.7951701</v>
      </c>
      <c r="T1473" s="1035">
        <v>2157.937812</v>
      </c>
      <c r="AB1473" s="1045"/>
    </row>
    <row r="1474">
      <c r="A1474" s="294"/>
      <c r="K1474" s="1031" t="s">
        <v>146</v>
      </c>
      <c r="L1474" s="1032" t="s">
        <v>565</v>
      </c>
      <c r="M1474" s="1032" t="s">
        <v>1035</v>
      </c>
      <c r="N1474" s="1032" t="s">
        <v>1038</v>
      </c>
      <c r="O1474" s="1032">
        <v>2021.0</v>
      </c>
      <c r="P1474" s="1032" t="s">
        <v>1039</v>
      </c>
      <c r="Q1474" s="1033" t="s">
        <v>63</v>
      </c>
      <c r="R1474" s="1034">
        <v>1.106549785</v>
      </c>
      <c r="S1474" s="1034">
        <v>0.045455342</v>
      </c>
      <c r="T1474" s="1035">
        <v>4.885707038</v>
      </c>
      <c r="AB1474" s="1045"/>
    </row>
    <row r="1475">
      <c r="A1475" s="294"/>
      <c r="K1475" s="1031" t="s">
        <v>146</v>
      </c>
      <c r="L1475" s="1032" t="s">
        <v>565</v>
      </c>
      <c r="M1475" s="1032" t="s">
        <v>1035</v>
      </c>
      <c r="N1475" s="1032" t="s">
        <v>1042</v>
      </c>
      <c r="O1475" s="1032">
        <v>2021.0</v>
      </c>
      <c r="P1475" s="1032" t="s">
        <v>1039</v>
      </c>
      <c r="Q1475" s="1033" t="s">
        <v>63</v>
      </c>
      <c r="R1475" s="1034">
        <v>18.67628757</v>
      </c>
      <c r="S1475" s="1034">
        <v>1.225309959</v>
      </c>
      <c r="T1475" s="1035">
        <v>44.22170708</v>
      </c>
      <c r="AB1475" s="1045"/>
    </row>
    <row r="1476">
      <c r="A1476" s="294"/>
      <c r="K1476" s="1031" t="s">
        <v>146</v>
      </c>
      <c r="L1476" s="1032" t="s">
        <v>565</v>
      </c>
      <c r="M1476" s="1032" t="s">
        <v>1035</v>
      </c>
      <c r="N1476" s="1032" t="s">
        <v>1044</v>
      </c>
      <c r="O1476" s="1032">
        <v>2021.0</v>
      </c>
      <c r="P1476" s="1032" t="s">
        <v>1039</v>
      </c>
      <c r="Q1476" s="1033" t="s">
        <v>63</v>
      </c>
      <c r="R1476" s="1034">
        <v>12.56677019</v>
      </c>
      <c r="S1476" s="1034">
        <v>0.790590383</v>
      </c>
      <c r="T1476" s="1035">
        <v>41.42586013</v>
      </c>
      <c r="AB1476" s="1045"/>
    </row>
    <row r="1477">
      <c r="A1477" s="294"/>
      <c r="K1477" s="1031" t="s">
        <v>146</v>
      </c>
      <c r="L1477" s="1032" t="s">
        <v>565</v>
      </c>
      <c r="M1477" s="1032" t="s">
        <v>1035</v>
      </c>
      <c r="N1477" s="1032" t="s">
        <v>1046</v>
      </c>
      <c r="O1477" s="1032">
        <v>2021.0</v>
      </c>
      <c r="P1477" s="1032" t="s">
        <v>1039</v>
      </c>
      <c r="Q1477" s="1033" t="s">
        <v>63</v>
      </c>
      <c r="R1477" s="1034">
        <v>1.239646195</v>
      </c>
      <c r="S1477" s="1034">
        <v>0.056914387</v>
      </c>
      <c r="T1477" s="1035">
        <v>4.236022171</v>
      </c>
      <c r="AB1477" s="1045"/>
    </row>
    <row r="1478">
      <c r="A1478" s="294"/>
      <c r="K1478" s="1031" t="s">
        <v>146</v>
      </c>
      <c r="L1478" s="1032" t="s">
        <v>565</v>
      </c>
      <c r="M1478" s="1032" t="s">
        <v>1035</v>
      </c>
      <c r="N1478" s="1032" t="s">
        <v>1045</v>
      </c>
      <c r="O1478" s="1032">
        <v>2021.0</v>
      </c>
      <c r="P1478" s="1032" t="s">
        <v>1039</v>
      </c>
      <c r="Q1478" s="1033" t="s">
        <v>63</v>
      </c>
      <c r="R1478" s="1034">
        <v>33.58925374</v>
      </c>
      <c r="S1478" s="1034">
        <v>2.146310252</v>
      </c>
      <c r="T1478" s="1035">
        <v>80.52639328</v>
      </c>
      <c r="AB1478" s="1045"/>
    </row>
    <row r="1479">
      <c r="A1479" s="294"/>
      <c r="K1479" s="1031" t="s">
        <v>147</v>
      </c>
      <c r="L1479" s="1032" t="s">
        <v>565</v>
      </c>
      <c r="M1479" s="1032" t="s">
        <v>1035</v>
      </c>
      <c r="N1479" s="1032" t="s">
        <v>1038</v>
      </c>
      <c r="O1479" s="1032">
        <v>2021.0</v>
      </c>
      <c r="P1479" s="1032" t="s">
        <v>1039</v>
      </c>
      <c r="Q1479" s="1033" t="s">
        <v>63</v>
      </c>
      <c r="R1479" s="1034">
        <v>0.427341461</v>
      </c>
      <c r="S1479" s="1034">
        <v>0.013980716</v>
      </c>
      <c r="T1479" s="1035">
        <v>1.727413826</v>
      </c>
      <c r="AB1479" s="1045"/>
    </row>
    <row r="1480">
      <c r="A1480" s="294"/>
      <c r="K1480" s="1031" t="s">
        <v>147</v>
      </c>
      <c r="L1480" s="1032" t="s">
        <v>565</v>
      </c>
      <c r="M1480" s="1032" t="s">
        <v>1035</v>
      </c>
      <c r="N1480" s="1032" t="s">
        <v>1042</v>
      </c>
      <c r="O1480" s="1032">
        <v>2021.0</v>
      </c>
      <c r="P1480" s="1032" t="s">
        <v>1039</v>
      </c>
      <c r="Q1480" s="1033" t="s">
        <v>63</v>
      </c>
      <c r="R1480" s="1034">
        <v>4.360320599</v>
      </c>
      <c r="S1480" s="1034">
        <v>0.213297179</v>
      </c>
      <c r="T1480" s="1035">
        <v>10.40343388</v>
      </c>
      <c r="AB1480" s="1045"/>
    </row>
    <row r="1481">
      <c r="A1481" s="294"/>
      <c r="K1481" s="1031" t="s">
        <v>147</v>
      </c>
      <c r="L1481" s="1032" t="s">
        <v>565</v>
      </c>
      <c r="M1481" s="1032" t="s">
        <v>1035</v>
      </c>
      <c r="N1481" s="1032" t="s">
        <v>1044</v>
      </c>
      <c r="O1481" s="1032">
        <v>2021.0</v>
      </c>
      <c r="P1481" s="1032" t="s">
        <v>1039</v>
      </c>
      <c r="Q1481" s="1033" t="s">
        <v>63</v>
      </c>
      <c r="R1481" s="1034">
        <v>2.098506261</v>
      </c>
      <c r="S1481" s="1034">
        <v>0.073957118</v>
      </c>
      <c r="T1481" s="1035">
        <v>6.898301818</v>
      </c>
      <c r="AB1481" s="1045"/>
    </row>
    <row r="1482">
      <c r="A1482" s="294"/>
      <c r="K1482" s="1031" t="s">
        <v>147</v>
      </c>
      <c r="L1482" s="1032" t="s">
        <v>565</v>
      </c>
      <c r="M1482" s="1032" t="s">
        <v>1035</v>
      </c>
      <c r="N1482" s="1032" t="s">
        <v>1046</v>
      </c>
      <c r="O1482" s="1032">
        <v>2021.0</v>
      </c>
      <c r="P1482" s="1032" t="s">
        <v>1039</v>
      </c>
      <c r="Q1482" s="1033" t="s">
        <v>63</v>
      </c>
      <c r="R1482" s="1034">
        <v>0.245519337</v>
      </c>
      <c r="S1482" s="1034">
        <v>0.006284004</v>
      </c>
      <c r="T1482" s="1035">
        <v>0.757174384</v>
      </c>
      <c r="AB1482" s="1045"/>
    </row>
    <row r="1483">
      <c r="A1483" s="294"/>
      <c r="K1483" s="1031" t="s">
        <v>147</v>
      </c>
      <c r="L1483" s="1032" t="s">
        <v>565</v>
      </c>
      <c r="M1483" s="1032" t="s">
        <v>1035</v>
      </c>
      <c r="N1483" s="1032" t="s">
        <v>1045</v>
      </c>
      <c r="O1483" s="1032">
        <v>2021.0</v>
      </c>
      <c r="P1483" s="1032" t="s">
        <v>1039</v>
      </c>
      <c r="Q1483" s="1033" t="s">
        <v>63</v>
      </c>
      <c r="R1483" s="1034">
        <v>7.131687658</v>
      </c>
      <c r="S1483" s="1034">
        <v>0.320947197</v>
      </c>
      <c r="T1483" s="1035">
        <v>17.21340307</v>
      </c>
      <c r="AB1483" s="1045"/>
    </row>
    <row r="1484">
      <c r="A1484" s="294"/>
      <c r="K1484" s="1031" t="s">
        <v>148</v>
      </c>
      <c r="L1484" s="1032" t="s">
        <v>565</v>
      </c>
      <c r="M1484" s="1032" t="s">
        <v>1035</v>
      </c>
      <c r="N1484" s="1032" t="s">
        <v>1038</v>
      </c>
      <c r="O1484" s="1032">
        <v>2021.0</v>
      </c>
      <c r="P1484" s="1032" t="s">
        <v>1039</v>
      </c>
      <c r="Q1484" s="1033" t="s">
        <v>63</v>
      </c>
      <c r="R1484" s="1034">
        <v>0.192995304</v>
      </c>
      <c r="S1484" s="1034">
        <v>0.002264357</v>
      </c>
      <c r="T1484" s="1035">
        <v>0.876027257</v>
      </c>
      <c r="AB1484" s="1045"/>
    </row>
    <row r="1485">
      <c r="A1485" s="294"/>
      <c r="K1485" s="1031" t="s">
        <v>148</v>
      </c>
      <c r="L1485" s="1032" t="s">
        <v>565</v>
      </c>
      <c r="M1485" s="1032" t="s">
        <v>1035</v>
      </c>
      <c r="N1485" s="1032" t="s">
        <v>1042</v>
      </c>
      <c r="O1485" s="1032">
        <v>2021.0</v>
      </c>
      <c r="P1485" s="1032" t="s">
        <v>1039</v>
      </c>
      <c r="Q1485" s="1033" t="s">
        <v>63</v>
      </c>
      <c r="R1485" s="1034">
        <v>4.308711985</v>
      </c>
      <c r="S1485" s="1034">
        <v>0.106200136</v>
      </c>
      <c r="T1485" s="1035">
        <v>9.779528827</v>
      </c>
      <c r="AB1485" s="1045"/>
    </row>
    <row r="1486">
      <c r="A1486" s="294"/>
      <c r="K1486" s="1031" t="s">
        <v>148</v>
      </c>
      <c r="L1486" s="1032" t="s">
        <v>565</v>
      </c>
      <c r="M1486" s="1032" t="s">
        <v>1035</v>
      </c>
      <c r="N1486" s="1032" t="s">
        <v>1044</v>
      </c>
      <c r="O1486" s="1032">
        <v>2021.0</v>
      </c>
      <c r="P1486" s="1032" t="s">
        <v>1039</v>
      </c>
      <c r="Q1486" s="1033" t="s">
        <v>63</v>
      </c>
      <c r="R1486" s="1034">
        <v>2.606632921</v>
      </c>
      <c r="S1486" s="1034">
        <v>0.052246833</v>
      </c>
      <c r="T1486" s="1035">
        <v>8.906261125</v>
      </c>
      <c r="AB1486" s="1045"/>
    </row>
    <row r="1487">
      <c r="A1487" s="294"/>
      <c r="K1487" s="1031" t="s">
        <v>148</v>
      </c>
      <c r="L1487" s="1032" t="s">
        <v>565</v>
      </c>
      <c r="M1487" s="1032" t="s">
        <v>1035</v>
      </c>
      <c r="N1487" s="1032" t="s">
        <v>1046</v>
      </c>
      <c r="O1487" s="1032">
        <v>2021.0</v>
      </c>
      <c r="P1487" s="1032" t="s">
        <v>1039</v>
      </c>
      <c r="Q1487" s="1033" t="s">
        <v>63</v>
      </c>
      <c r="R1487" s="1034">
        <v>0.233644618</v>
      </c>
      <c r="S1487" s="1034">
        <v>0.002997827</v>
      </c>
      <c r="T1487" s="1035">
        <v>0.724923525</v>
      </c>
      <c r="AB1487" s="1045"/>
    </row>
    <row r="1488">
      <c r="A1488" s="294"/>
      <c r="K1488" s="1031" t="s">
        <v>148</v>
      </c>
      <c r="L1488" s="1032" t="s">
        <v>565</v>
      </c>
      <c r="M1488" s="1032" t="s">
        <v>1035</v>
      </c>
      <c r="N1488" s="1032" t="s">
        <v>1045</v>
      </c>
      <c r="O1488" s="1032">
        <v>2021.0</v>
      </c>
      <c r="P1488" s="1032" t="s">
        <v>1039</v>
      </c>
      <c r="Q1488" s="1033" t="s">
        <v>63</v>
      </c>
      <c r="R1488" s="1034">
        <v>7.341984829</v>
      </c>
      <c r="S1488" s="1034">
        <v>0.166840561</v>
      </c>
      <c r="T1488" s="1035">
        <v>16.83722731</v>
      </c>
      <c r="AB1488" s="1045"/>
    </row>
    <row r="1489">
      <c r="A1489" s="294"/>
      <c r="K1489" s="1031" t="s">
        <v>149</v>
      </c>
      <c r="L1489" s="1032" t="s">
        <v>565</v>
      </c>
      <c r="M1489" s="1032" t="s">
        <v>1035</v>
      </c>
      <c r="N1489" s="1032" t="s">
        <v>1038</v>
      </c>
      <c r="O1489" s="1032">
        <v>2021.0</v>
      </c>
      <c r="P1489" s="1032" t="s">
        <v>1039</v>
      </c>
      <c r="Q1489" s="1033" t="s">
        <v>63</v>
      </c>
      <c r="R1489" s="1034">
        <v>0.538328151</v>
      </c>
      <c r="S1489" s="1034">
        <v>0.012863752</v>
      </c>
      <c r="T1489" s="1035">
        <v>2.676143036</v>
      </c>
      <c r="AB1489" s="1045"/>
    </row>
    <row r="1490">
      <c r="A1490" s="294"/>
      <c r="K1490" s="1031" t="s">
        <v>149</v>
      </c>
      <c r="L1490" s="1032" t="s">
        <v>565</v>
      </c>
      <c r="M1490" s="1032" t="s">
        <v>1035</v>
      </c>
      <c r="N1490" s="1032" t="s">
        <v>1042</v>
      </c>
      <c r="O1490" s="1032">
        <v>2021.0</v>
      </c>
      <c r="P1490" s="1032" t="s">
        <v>1039</v>
      </c>
      <c r="Q1490" s="1033" t="s">
        <v>63</v>
      </c>
      <c r="R1490" s="1034">
        <v>5.979455422</v>
      </c>
      <c r="S1490" s="1034">
        <v>0.353023493</v>
      </c>
      <c r="T1490" s="1035">
        <v>14.80829687</v>
      </c>
      <c r="AB1490" s="1045"/>
    </row>
    <row r="1491">
      <c r="A1491" s="294"/>
      <c r="K1491" s="1031" t="s">
        <v>149</v>
      </c>
      <c r="L1491" s="1032" t="s">
        <v>565</v>
      </c>
      <c r="M1491" s="1032" t="s">
        <v>1035</v>
      </c>
      <c r="N1491" s="1032" t="s">
        <v>1044</v>
      </c>
      <c r="O1491" s="1032">
        <v>2021.0</v>
      </c>
      <c r="P1491" s="1032" t="s">
        <v>1039</v>
      </c>
      <c r="Q1491" s="1033" t="s">
        <v>63</v>
      </c>
      <c r="R1491" s="1034">
        <v>1.351413197</v>
      </c>
      <c r="S1491" s="1034">
        <v>0.036005783</v>
      </c>
      <c r="T1491" s="1035">
        <v>4.619943449</v>
      </c>
      <c r="AB1491" s="1045"/>
    </row>
    <row r="1492">
      <c r="A1492" s="294"/>
      <c r="K1492" s="1031" t="s">
        <v>149</v>
      </c>
      <c r="L1492" s="1032" t="s">
        <v>565</v>
      </c>
      <c r="M1492" s="1032" t="s">
        <v>1035</v>
      </c>
      <c r="N1492" s="1032" t="s">
        <v>1046</v>
      </c>
      <c r="O1492" s="1032">
        <v>2021.0</v>
      </c>
      <c r="P1492" s="1032" t="s">
        <v>1039</v>
      </c>
      <c r="Q1492" s="1033" t="s">
        <v>63</v>
      </c>
      <c r="R1492" s="1034">
        <v>0.330519147</v>
      </c>
      <c r="S1492" s="1034">
        <v>0.010857568</v>
      </c>
      <c r="T1492" s="1035">
        <v>1.028794258</v>
      </c>
      <c r="AB1492" s="1045"/>
    </row>
    <row r="1493">
      <c r="A1493" s="294"/>
      <c r="K1493" s="1031" t="s">
        <v>149</v>
      </c>
      <c r="L1493" s="1032" t="s">
        <v>565</v>
      </c>
      <c r="M1493" s="1032" t="s">
        <v>1035</v>
      </c>
      <c r="N1493" s="1032" t="s">
        <v>1045</v>
      </c>
      <c r="O1493" s="1032">
        <v>2021.0</v>
      </c>
      <c r="P1493" s="1032" t="s">
        <v>1039</v>
      </c>
      <c r="Q1493" s="1033" t="s">
        <v>63</v>
      </c>
      <c r="R1493" s="1034">
        <v>8.199715917</v>
      </c>
      <c r="S1493" s="1034">
        <v>0.402318498</v>
      </c>
      <c r="T1493" s="1035">
        <v>20.45006808</v>
      </c>
      <c r="AB1493" s="1045"/>
    </row>
    <row r="1494">
      <c r="A1494" s="294"/>
      <c r="K1494" s="1031" t="s">
        <v>150</v>
      </c>
      <c r="L1494" s="1032" t="s">
        <v>565</v>
      </c>
      <c r="M1494" s="1032" t="s">
        <v>1035</v>
      </c>
      <c r="N1494" s="1032" t="s">
        <v>1038</v>
      </c>
      <c r="O1494" s="1032">
        <v>2021.0</v>
      </c>
      <c r="P1494" s="1032" t="s">
        <v>1039</v>
      </c>
      <c r="Q1494" s="1033" t="s">
        <v>63</v>
      </c>
      <c r="R1494" s="1034">
        <v>1.045729133</v>
      </c>
      <c r="S1494" s="1034">
        <v>0.084630081</v>
      </c>
      <c r="T1494" s="1035">
        <v>3.943493318</v>
      </c>
      <c r="AB1494" s="1045"/>
    </row>
    <row r="1495">
      <c r="A1495" s="294"/>
      <c r="K1495" s="1031" t="s">
        <v>150</v>
      </c>
      <c r="L1495" s="1032" t="s">
        <v>565</v>
      </c>
      <c r="M1495" s="1032" t="s">
        <v>1035</v>
      </c>
      <c r="N1495" s="1032" t="s">
        <v>1042</v>
      </c>
      <c r="O1495" s="1032">
        <v>2021.0</v>
      </c>
      <c r="P1495" s="1032" t="s">
        <v>1039</v>
      </c>
      <c r="Q1495" s="1033" t="s">
        <v>63</v>
      </c>
      <c r="R1495" s="1034">
        <v>17.15657445</v>
      </c>
      <c r="S1495" s="1034">
        <v>2.035120921</v>
      </c>
      <c r="T1495" s="1035">
        <v>39.43584009</v>
      </c>
      <c r="AB1495" s="1045"/>
    </row>
    <row r="1496">
      <c r="A1496" s="294"/>
      <c r="K1496" s="1031" t="s">
        <v>150</v>
      </c>
      <c r="L1496" s="1032" t="s">
        <v>565</v>
      </c>
      <c r="M1496" s="1032" t="s">
        <v>1035</v>
      </c>
      <c r="N1496" s="1032" t="s">
        <v>1044</v>
      </c>
      <c r="O1496" s="1032">
        <v>2021.0</v>
      </c>
      <c r="P1496" s="1032" t="s">
        <v>1039</v>
      </c>
      <c r="Q1496" s="1033" t="s">
        <v>63</v>
      </c>
      <c r="R1496" s="1034">
        <v>10.34257607</v>
      </c>
      <c r="S1496" s="1034">
        <v>1.116325277</v>
      </c>
      <c r="T1496" s="1035">
        <v>35.95471328</v>
      </c>
      <c r="AB1496" s="1045"/>
    </row>
    <row r="1497">
      <c r="A1497" s="294"/>
      <c r="K1497" s="1031" t="s">
        <v>150</v>
      </c>
      <c r="L1497" s="1032" t="s">
        <v>565</v>
      </c>
      <c r="M1497" s="1032" t="s">
        <v>1035</v>
      </c>
      <c r="N1497" s="1032" t="s">
        <v>1046</v>
      </c>
      <c r="O1497" s="1032">
        <v>2021.0</v>
      </c>
      <c r="P1497" s="1032" t="s">
        <v>1039</v>
      </c>
      <c r="Q1497" s="1033" t="s">
        <v>63</v>
      </c>
      <c r="R1497" s="1034">
        <v>1.665454369</v>
      </c>
      <c r="S1497" s="1034">
        <v>0.126898542</v>
      </c>
      <c r="T1497" s="1035">
        <v>5.194699196</v>
      </c>
      <c r="AB1497" s="1045"/>
    </row>
    <row r="1498">
      <c r="A1498" s="294"/>
      <c r="K1498" s="1031" t="s">
        <v>150</v>
      </c>
      <c r="L1498" s="1032" t="s">
        <v>565</v>
      </c>
      <c r="M1498" s="1032" t="s">
        <v>1035</v>
      </c>
      <c r="N1498" s="1032" t="s">
        <v>1045</v>
      </c>
      <c r="O1498" s="1032">
        <v>2021.0</v>
      </c>
      <c r="P1498" s="1032" t="s">
        <v>1039</v>
      </c>
      <c r="Q1498" s="1033" t="s">
        <v>63</v>
      </c>
      <c r="R1498" s="1034">
        <v>30.21033403</v>
      </c>
      <c r="S1498" s="1034">
        <v>3.41119576</v>
      </c>
      <c r="T1498" s="1035">
        <v>73.59303737</v>
      </c>
      <c r="AB1498" s="1045"/>
    </row>
    <row r="1499">
      <c r="A1499" s="294"/>
      <c r="K1499" s="1031" t="s">
        <v>151</v>
      </c>
      <c r="L1499" s="1032" t="s">
        <v>565</v>
      </c>
      <c r="M1499" s="1032" t="s">
        <v>1035</v>
      </c>
      <c r="N1499" s="1032" t="s">
        <v>1038</v>
      </c>
      <c r="O1499" s="1032">
        <v>2021.0</v>
      </c>
      <c r="P1499" s="1032" t="s">
        <v>1039</v>
      </c>
      <c r="Q1499" s="1033" t="s">
        <v>63</v>
      </c>
      <c r="R1499" s="1034">
        <v>0.389104721</v>
      </c>
      <c r="S1499" s="1034">
        <v>0.005886139</v>
      </c>
      <c r="T1499" s="1035">
        <v>1.64814638</v>
      </c>
      <c r="AB1499" s="1045"/>
    </row>
    <row r="1500">
      <c r="A1500" s="294"/>
      <c r="K1500" s="1031" t="s">
        <v>151</v>
      </c>
      <c r="L1500" s="1032" t="s">
        <v>565</v>
      </c>
      <c r="M1500" s="1032" t="s">
        <v>1035</v>
      </c>
      <c r="N1500" s="1032" t="s">
        <v>1042</v>
      </c>
      <c r="O1500" s="1032">
        <v>2021.0</v>
      </c>
      <c r="P1500" s="1032" t="s">
        <v>1039</v>
      </c>
      <c r="Q1500" s="1033" t="s">
        <v>63</v>
      </c>
      <c r="R1500" s="1034">
        <v>4.962703781</v>
      </c>
      <c r="S1500" s="1034">
        <v>0.139405626</v>
      </c>
      <c r="T1500" s="1035">
        <v>12.27726379</v>
      </c>
      <c r="AB1500" s="1045"/>
    </row>
    <row r="1501">
      <c r="A1501" s="294"/>
      <c r="K1501" s="1031" t="s">
        <v>151</v>
      </c>
      <c r="L1501" s="1032" t="s">
        <v>565</v>
      </c>
      <c r="M1501" s="1032" t="s">
        <v>1035</v>
      </c>
      <c r="N1501" s="1032" t="s">
        <v>1044</v>
      </c>
      <c r="O1501" s="1032">
        <v>2021.0</v>
      </c>
      <c r="P1501" s="1032" t="s">
        <v>1039</v>
      </c>
      <c r="Q1501" s="1033" t="s">
        <v>63</v>
      </c>
      <c r="R1501" s="1034">
        <v>2.425935606</v>
      </c>
      <c r="S1501" s="1034">
        <v>0.042962679</v>
      </c>
      <c r="T1501" s="1035">
        <v>8.765010303</v>
      </c>
      <c r="AB1501" s="1045"/>
    </row>
    <row r="1502">
      <c r="A1502" s="294"/>
      <c r="K1502" s="1031" t="s">
        <v>151</v>
      </c>
      <c r="L1502" s="1032" t="s">
        <v>565</v>
      </c>
      <c r="M1502" s="1032" t="s">
        <v>1035</v>
      </c>
      <c r="N1502" s="1032" t="s">
        <v>1046</v>
      </c>
      <c r="O1502" s="1032">
        <v>2021.0</v>
      </c>
      <c r="P1502" s="1032" t="s">
        <v>1039</v>
      </c>
      <c r="Q1502" s="1033" t="s">
        <v>63</v>
      </c>
      <c r="R1502" s="1034">
        <v>0.408105974</v>
      </c>
      <c r="S1502" s="1034">
        <v>0.006174789</v>
      </c>
      <c r="T1502" s="1035">
        <v>1.439319335</v>
      </c>
      <c r="AB1502" s="1045"/>
    </row>
    <row r="1503">
      <c r="A1503" s="294"/>
      <c r="K1503" s="1031" t="s">
        <v>151</v>
      </c>
      <c r="L1503" s="1032" t="s">
        <v>565</v>
      </c>
      <c r="M1503" s="1032" t="s">
        <v>1035</v>
      </c>
      <c r="N1503" s="1032" t="s">
        <v>1045</v>
      </c>
      <c r="O1503" s="1032">
        <v>2021.0</v>
      </c>
      <c r="P1503" s="1032" t="s">
        <v>1039</v>
      </c>
      <c r="Q1503" s="1033" t="s">
        <v>63</v>
      </c>
      <c r="R1503" s="1034">
        <v>8.185850082</v>
      </c>
      <c r="S1503" s="1034">
        <v>0.196142855</v>
      </c>
      <c r="T1503" s="1035">
        <v>19.67974101</v>
      </c>
      <c r="AB1503" s="1045"/>
    </row>
    <row r="1504">
      <c r="A1504" s="294"/>
      <c r="K1504" s="1031" t="s">
        <v>121</v>
      </c>
      <c r="L1504" s="1032" t="s">
        <v>565</v>
      </c>
      <c r="M1504" s="1032" t="s">
        <v>1035</v>
      </c>
      <c r="N1504" s="1032" t="s">
        <v>1038</v>
      </c>
      <c r="O1504" s="1032">
        <v>2021.0</v>
      </c>
      <c r="P1504" s="1032" t="s">
        <v>1039</v>
      </c>
      <c r="Q1504" s="1033" t="s">
        <v>63</v>
      </c>
      <c r="R1504" s="1034">
        <v>16.22631121</v>
      </c>
      <c r="S1504" s="1034">
        <v>2.556816281</v>
      </c>
      <c r="T1504" s="1035">
        <v>62.0552333</v>
      </c>
      <c r="AB1504" s="1045"/>
    </row>
    <row r="1505">
      <c r="A1505" s="294"/>
      <c r="K1505" s="1031" t="s">
        <v>121</v>
      </c>
      <c r="L1505" s="1032" t="s">
        <v>565</v>
      </c>
      <c r="M1505" s="1032" t="s">
        <v>1035</v>
      </c>
      <c r="N1505" s="1032" t="s">
        <v>1042</v>
      </c>
      <c r="O1505" s="1032">
        <v>2021.0</v>
      </c>
      <c r="P1505" s="1032" t="s">
        <v>1039</v>
      </c>
      <c r="Q1505" s="1033" t="s">
        <v>63</v>
      </c>
      <c r="R1505" s="1034">
        <v>54.16983297</v>
      </c>
      <c r="S1505" s="1034">
        <v>13.12185422</v>
      </c>
      <c r="T1505" s="1035">
        <v>251.0805879</v>
      </c>
      <c r="AB1505" s="1045"/>
    </row>
    <row r="1506">
      <c r="A1506" s="294"/>
      <c r="K1506" s="1031" t="s">
        <v>121</v>
      </c>
      <c r="L1506" s="1032" t="s">
        <v>565</v>
      </c>
      <c r="M1506" s="1032" t="s">
        <v>1035</v>
      </c>
      <c r="N1506" s="1032" t="s">
        <v>1044</v>
      </c>
      <c r="O1506" s="1032">
        <v>2021.0</v>
      </c>
      <c r="P1506" s="1032" t="s">
        <v>1039</v>
      </c>
      <c r="Q1506" s="1033" t="s">
        <v>63</v>
      </c>
      <c r="R1506" s="1034">
        <v>36.70287667</v>
      </c>
      <c r="S1506" s="1034">
        <v>7.305567571</v>
      </c>
      <c r="T1506" s="1035">
        <v>178.7779247</v>
      </c>
      <c r="AB1506" s="1045"/>
    </row>
    <row r="1507">
      <c r="A1507" s="294"/>
      <c r="K1507" s="1031" t="s">
        <v>121</v>
      </c>
      <c r="L1507" s="1032" t="s">
        <v>565</v>
      </c>
      <c r="M1507" s="1032" t="s">
        <v>1035</v>
      </c>
      <c r="N1507" s="1032" t="s">
        <v>1046</v>
      </c>
      <c r="O1507" s="1032">
        <v>2021.0</v>
      </c>
      <c r="P1507" s="1032" t="s">
        <v>1039</v>
      </c>
      <c r="Q1507" s="1033" t="s">
        <v>63</v>
      </c>
      <c r="R1507" s="1034">
        <v>6.643340997</v>
      </c>
      <c r="S1507" s="1034">
        <v>1.075171472</v>
      </c>
      <c r="T1507" s="1035">
        <v>31.55560018</v>
      </c>
      <c r="AB1507" s="1045"/>
    </row>
    <row r="1508">
      <c r="A1508" s="294"/>
      <c r="K1508" s="1031" t="s">
        <v>121</v>
      </c>
      <c r="L1508" s="1032" t="s">
        <v>565</v>
      </c>
      <c r="M1508" s="1032" t="s">
        <v>1035</v>
      </c>
      <c r="N1508" s="1032" t="s">
        <v>1045</v>
      </c>
      <c r="O1508" s="1032">
        <v>2021.0</v>
      </c>
      <c r="P1508" s="1032" t="s">
        <v>1039</v>
      </c>
      <c r="Q1508" s="1033" t="s">
        <v>63</v>
      </c>
      <c r="R1508" s="1034">
        <v>113.7423618</v>
      </c>
      <c r="S1508" s="1034">
        <v>37.0548609</v>
      </c>
      <c r="T1508" s="1035">
        <v>487.1421115</v>
      </c>
      <c r="AB1508" s="1045"/>
    </row>
    <row r="1509">
      <c r="A1509" s="294"/>
      <c r="K1509" s="1031" t="s">
        <v>152</v>
      </c>
      <c r="L1509" s="1032" t="s">
        <v>565</v>
      </c>
      <c r="M1509" s="1032" t="s">
        <v>1035</v>
      </c>
      <c r="N1509" s="1032" t="s">
        <v>1038</v>
      </c>
      <c r="O1509" s="1032">
        <v>2021.0</v>
      </c>
      <c r="P1509" s="1032" t="s">
        <v>1039</v>
      </c>
      <c r="Q1509" s="1033" t="s">
        <v>63</v>
      </c>
      <c r="R1509" s="1034">
        <v>4.164510321</v>
      </c>
      <c r="S1509" s="1034">
        <v>1.015913445</v>
      </c>
      <c r="T1509" s="1035">
        <v>13.96287982</v>
      </c>
      <c r="AB1509" s="1045"/>
    </row>
    <row r="1510">
      <c r="A1510" s="294"/>
      <c r="K1510" s="1031" t="s">
        <v>152</v>
      </c>
      <c r="L1510" s="1032" t="s">
        <v>565</v>
      </c>
      <c r="M1510" s="1032" t="s">
        <v>1035</v>
      </c>
      <c r="N1510" s="1032" t="s">
        <v>1042</v>
      </c>
      <c r="O1510" s="1032">
        <v>2021.0</v>
      </c>
      <c r="P1510" s="1032" t="s">
        <v>1039</v>
      </c>
      <c r="Q1510" s="1033" t="s">
        <v>63</v>
      </c>
      <c r="R1510" s="1034">
        <v>15.13290745</v>
      </c>
      <c r="S1510" s="1034">
        <v>4.469585404</v>
      </c>
      <c r="T1510" s="1035">
        <v>38.32380823</v>
      </c>
      <c r="AB1510" s="1045"/>
    </row>
    <row r="1511">
      <c r="A1511" s="294"/>
      <c r="K1511" s="1031" t="s">
        <v>152</v>
      </c>
      <c r="L1511" s="1032" t="s">
        <v>565</v>
      </c>
      <c r="M1511" s="1032" t="s">
        <v>1035</v>
      </c>
      <c r="N1511" s="1032" t="s">
        <v>1044</v>
      </c>
      <c r="O1511" s="1032">
        <v>2021.0</v>
      </c>
      <c r="P1511" s="1032" t="s">
        <v>1039</v>
      </c>
      <c r="Q1511" s="1033" t="s">
        <v>63</v>
      </c>
      <c r="R1511" s="1034">
        <v>8.190185532</v>
      </c>
      <c r="S1511" s="1034">
        <v>1.514957814</v>
      </c>
      <c r="T1511" s="1035">
        <v>27.18189603</v>
      </c>
      <c r="AB1511" s="1045"/>
    </row>
    <row r="1512">
      <c r="A1512" s="294"/>
      <c r="K1512" s="1031" t="s">
        <v>152</v>
      </c>
      <c r="L1512" s="1032" t="s">
        <v>565</v>
      </c>
      <c r="M1512" s="1032" t="s">
        <v>1035</v>
      </c>
      <c r="N1512" s="1032" t="s">
        <v>1046</v>
      </c>
      <c r="O1512" s="1032">
        <v>2021.0</v>
      </c>
      <c r="P1512" s="1032" t="s">
        <v>1039</v>
      </c>
      <c r="Q1512" s="1033" t="s">
        <v>63</v>
      </c>
      <c r="R1512" s="1034">
        <v>2.381168211</v>
      </c>
      <c r="S1512" s="1034">
        <v>0.595974152</v>
      </c>
      <c r="T1512" s="1035">
        <v>7.552166882</v>
      </c>
      <c r="AB1512" s="1045"/>
    </row>
    <row r="1513">
      <c r="A1513" s="294"/>
      <c r="K1513" s="1031" t="s">
        <v>152</v>
      </c>
      <c r="L1513" s="1032" t="s">
        <v>565</v>
      </c>
      <c r="M1513" s="1032" t="s">
        <v>1035</v>
      </c>
      <c r="N1513" s="1032" t="s">
        <v>1045</v>
      </c>
      <c r="O1513" s="1032">
        <v>2021.0</v>
      </c>
      <c r="P1513" s="1032" t="s">
        <v>1039</v>
      </c>
      <c r="Q1513" s="1033" t="s">
        <v>63</v>
      </c>
      <c r="R1513" s="1034">
        <v>29.86877151</v>
      </c>
      <c r="S1513" s="1034">
        <v>10.63812703</v>
      </c>
      <c r="T1513" s="1035">
        <v>71.90957321</v>
      </c>
      <c r="AB1513" s="1045"/>
    </row>
    <row r="1514">
      <c r="A1514" s="294"/>
      <c r="K1514" s="1031" t="s">
        <v>153</v>
      </c>
      <c r="L1514" s="1032" t="s">
        <v>565</v>
      </c>
      <c r="M1514" s="1032" t="s">
        <v>1035</v>
      </c>
      <c r="N1514" s="1032" t="s">
        <v>1038</v>
      </c>
      <c r="O1514" s="1032">
        <v>2021.0</v>
      </c>
      <c r="P1514" s="1032" t="s">
        <v>1039</v>
      </c>
      <c r="Q1514" s="1033" t="s">
        <v>63</v>
      </c>
      <c r="R1514" s="1034">
        <v>2.64122616</v>
      </c>
      <c r="S1514" s="1034">
        <v>0.40911791</v>
      </c>
      <c r="T1514" s="1035">
        <v>9.339066023</v>
      </c>
      <c r="AB1514" s="1045"/>
    </row>
    <row r="1515">
      <c r="A1515" s="294"/>
      <c r="K1515" s="1031" t="s">
        <v>153</v>
      </c>
      <c r="L1515" s="1032" t="s">
        <v>565</v>
      </c>
      <c r="M1515" s="1032" t="s">
        <v>1035</v>
      </c>
      <c r="N1515" s="1032" t="s">
        <v>1042</v>
      </c>
      <c r="O1515" s="1032">
        <v>2021.0</v>
      </c>
      <c r="P1515" s="1032" t="s">
        <v>1039</v>
      </c>
      <c r="Q1515" s="1033" t="s">
        <v>63</v>
      </c>
      <c r="R1515" s="1034">
        <v>13.35720932</v>
      </c>
      <c r="S1515" s="1034">
        <v>3.372363557</v>
      </c>
      <c r="T1515" s="1035">
        <v>54.22668955</v>
      </c>
      <c r="AB1515" s="1045"/>
    </row>
    <row r="1516">
      <c r="A1516" s="294"/>
      <c r="K1516" s="1031" t="s">
        <v>153</v>
      </c>
      <c r="L1516" s="1032" t="s">
        <v>565</v>
      </c>
      <c r="M1516" s="1032" t="s">
        <v>1035</v>
      </c>
      <c r="N1516" s="1032" t="s">
        <v>1044</v>
      </c>
      <c r="O1516" s="1032">
        <v>2021.0</v>
      </c>
      <c r="P1516" s="1032" t="s">
        <v>1039</v>
      </c>
      <c r="Q1516" s="1033" t="s">
        <v>63</v>
      </c>
      <c r="R1516" s="1034">
        <v>5.70125199</v>
      </c>
      <c r="S1516" s="1034">
        <v>0.820335546</v>
      </c>
      <c r="T1516" s="1035">
        <v>27.0072131</v>
      </c>
      <c r="AB1516" s="1045"/>
    </row>
    <row r="1517">
      <c r="A1517" s="294"/>
      <c r="K1517" s="1031" t="s">
        <v>153</v>
      </c>
      <c r="L1517" s="1032" t="s">
        <v>565</v>
      </c>
      <c r="M1517" s="1032" t="s">
        <v>1035</v>
      </c>
      <c r="N1517" s="1032" t="s">
        <v>1046</v>
      </c>
      <c r="O1517" s="1032">
        <v>2021.0</v>
      </c>
      <c r="P1517" s="1032" t="s">
        <v>1039</v>
      </c>
      <c r="Q1517" s="1033" t="s">
        <v>63</v>
      </c>
      <c r="R1517" s="1034">
        <v>1.008322032</v>
      </c>
      <c r="S1517" s="1034">
        <v>0.135762897</v>
      </c>
      <c r="T1517" s="1035">
        <v>4.718531245</v>
      </c>
      <c r="AB1517" s="1045"/>
    </row>
    <row r="1518">
      <c r="A1518" s="294"/>
      <c r="K1518" s="1031" t="s">
        <v>153</v>
      </c>
      <c r="L1518" s="1032" t="s">
        <v>565</v>
      </c>
      <c r="M1518" s="1032" t="s">
        <v>1035</v>
      </c>
      <c r="N1518" s="1032" t="s">
        <v>1045</v>
      </c>
      <c r="O1518" s="1032">
        <v>2021.0</v>
      </c>
      <c r="P1518" s="1032" t="s">
        <v>1039</v>
      </c>
      <c r="Q1518" s="1033" t="s">
        <v>63</v>
      </c>
      <c r="R1518" s="1034">
        <v>22.7080095</v>
      </c>
      <c r="S1518" s="1034">
        <v>7.109982068</v>
      </c>
      <c r="T1518" s="1035">
        <v>86.55024168</v>
      </c>
      <c r="AB1518" s="1045"/>
    </row>
    <row r="1519">
      <c r="A1519" s="294"/>
      <c r="K1519" s="1031" t="s">
        <v>122</v>
      </c>
      <c r="L1519" s="1032" t="s">
        <v>565</v>
      </c>
      <c r="M1519" s="1032" t="s">
        <v>1035</v>
      </c>
      <c r="N1519" s="1032" t="s">
        <v>1038</v>
      </c>
      <c r="O1519" s="1032">
        <v>2021.0</v>
      </c>
      <c r="P1519" s="1032" t="s">
        <v>1039</v>
      </c>
      <c r="Q1519" s="1033" t="s">
        <v>63</v>
      </c>
      <c r="R1519" s="1034">
        <v>9.188474653</v>
      </c>
      <c r="S1519" s="1034">
        <v>1.416174961</v>
      </c>
      <c r="T1519" s="1035">
        <v>34.05787219</v>
      </c>
      <c r="AB1519" s="1045"/>
    </row>
    <row r="1520">
      <c r="A1520" s="294"/>
      <c r="K1520" s="1031" t="s">
        <v>122</v>
      </c>
      <c r="L1520" s="1032" t="s">
        <v>565</v>
      </c>
      <c r="M1520" s="1032" t="s">
        <v>1035</v>
      </c>
      <c r="N1520" s="1032" t="s">
        <v>1042</v>
      </c>
      <c r="O1520" s="1032">
        <v>2021.0</v>
      </c>
      <c r="P1520" s="1032" t="s">
        <v>1039</v>
      </c>
      <c r="Q1520" s="1033" t="s">
        <v>63</v>
      </c>
      <c r="R1520" s="1034">
        <v>23.68680904</v>
      </c>
      <c r="S1520" s="1034">
        <v>5.116797954</v>
      </c>
      <c r="T1520" s="1035">
        <v>131.6169324</v>
      </c>
      <c r="AB1520" s="1045"/>
    </row>
    <row r="1521">
      <c r="A1521" s="294"/>
      <c r="K1521" s="1031" t="s">
        <v>122</v>
      </c>
      <c r="L1521" s="1032" t="s">
        <v>565</v>
      </c>
      <c r="M1521" s="1032" t="s">
        <v>1035</v>
      </c>
      <c r="N1521" s="1032" t="s">
        <v>1044</v>
      </c>
      <c r="O1521" s="1032">
        <v>2021.0</v>
      </c>
      <c r="P1521" s="1032" t="s">
        <v>1039</v>
      </c>
      <c r="Q1521" s="1033" t="s">
        <v>63</v>
      </c>
      <c r="R1521" s="1034">
        <v>20.01437074</v>
      </c>
      <c r="S1521" s="1034">
        <v>3.410078909</v>
      </c>
      <c r="T1521" s="1035">
        <v>110.8021773</v>
      </c>
      <c r="AB1521" s="1045"/>
    </row>
    <row r="1522">
      <c r="A1522" s="294"/>
      <c r="K1522" s="1031" t="s">
        <v>122</v>
      </c>
      <c r="L1522" s="1032" t="s">
        <v>565</v>
      </c>
      <c r="M1522" s="1032" t="s">
        <v>1035</v>
      </c>
      <c r="N1522" s="1032" t="s">
        <v>1046</v>
      </c>
      <c r="O1522" s="1032">
        <v>2021.0</v>
      </c>
      <c r="P1522" s="1032" t="s">
        <v>1039</v>
      </c>
      <c r="Q1522" s="1033" t="s">
        <v>63</v>
      </c>
      <c r="R1522" s="1034">
        <v>4.203600242</v>
      </c>
      <c r="S1522" s="1034">
        <v>0.747010495</v>
      </c>
      <c r="T1522" s="1035">
        <v>24.16323477</v>
      </c>
      <c r="AB1522" s="1045"/>
    </row>
    <row r="1523">
      <c r="A1523" s="294"/>
      <c r="K1523" s="1031" t="s">
        <v>122</v>
      </c>
      <c r="L1523" s="1032" t="s">
        <v>565</v>
      </c>
      <c r="M1523" s="1032" t="s">
        <v>1035</v>
      </c>
      <c r="N1523" s="1032" t="s">
        <v>1045</v>
      </c>
      <c r="O1523" s="1032">
        <v>2021.0</v>
      </c>
      <c r="P1523" s="1032" t="s">
        <v>1039</v>
      </c>
      <c r="Q1523" s="1033" t="s">
        <v>63</v>
      </c>
      <c r="R1523" s="1034">
        <v>57.09325468</v>
      </c>
      <c r="S1523" s="1034">
        <v>16.272383</v>
      </c>
      <c r="T1523" s="1035">
        <v>289.6657763</v>
      </c>
      <c r="AB1523" s="1045"/>
    </row>
    <row r="1524">
      <c r="A1524" s="294"/>
      <c r="K1524" s="1031" t="s">
        <v>123</v>
      </c>
      <c r="L1524" s="1032" t="s">
        <v>530</v>
      </c>
      <c r="M1524" s="1032" t="s">
        <v>1035</v>
      </c>
      <c r="N1524" s="1032" t="s">
        <v>1038</v>
      </c>
      <c r="O1524" s="1032">
        <v>2021.0</v>
      </c>
      <c r="P1524" s="1032" t="s">
        <v>1039</v>
      </c>
      <c r="Q1524" s="1033" t="s">
        <v>63</v>
      </c>
      <c r="R1524" s="1034">
        <v>24.21346365</v>
      </c>
      <c r="S1524" s="1034">
        <v>10.22626394</v>
      </c>
      <c r="T1524" s="1035">
        <v>52.3601617</v>
      </c>
      <c r="AB1524" s="1045"/>
    </row>
    <row r="1525">
      <c r="A1525" s="294"/>
      <c r="K1525" s="1031" t="s">
        <v>123</v>
      </c>
      <c r="L1525" s="1032" t="s">
        <v>530</v>
      </c>
      <c r="M1525" s="1032" t="s">
        <v>1035</v>
      </c>
      <c r="N1525" s="1032" t="s">
        <v>1042</v>
      </c>
      <c r="O1525" s="1032">
        <v>2021.0</v>
      </c>
      <c r="P1525" s="1032" t="s">
        <v>1039</v>
      </c>
      <c r="Q1525" s="1033" t="s">
        <v>63</v>
      </c>
      <c r="R1525" s="1034">
        <v>0.0</v>
      </c>
      <c r="S1525" s="1034">
        <v>0.0</v>
      </c>
      <c r="T1525" s="1035">
        <v>0.0</v>
      </c>
      <c r="AB1525" s="1045"/>
    </row>
    <row r="1526">
      <c r="A1526" s="294"/>
      <c r="K1526" s="1031" t="s">
        <v>123</v>
      </c>
      <c r="L1526" s="1032" t="s">
        <v>530</v>
      </c>
      <c r="M1526" s="1032" t="s">
        <v>1035</v>
      </c>
      <c r="N1526" s="1032" t="s">
        <v>1044</v>
      </c>
      <c r="O1526" s="1032">
        <v>2021.0</v>
      </c>
      <c r="P1526" s="1032" t="s">
        <v>1039</v>
      </c>
      <c r="Q1526" s="1033" t="s">
        <v>63</v>
      </c>
      <c r="R1526" s="1034">
        <v>0.0</v>
      </c>
      <c r="S1526" s="1034">
        <v>0.0</v>
      </c>
      <c r="T1526" s="1035">
        <v>0.0</v>
      </c>
      <c r="AB1526" s="1045"/>
    </row>
    <row r="1527">
      <c r="A1527" s="294"/>
      <c r="K1527" s="1031" t="s">
        <v>123</v>
      </c>
      <c r="L1527" s="1032" t="s">
        <v>530</v>
      </c>
      <c r="M1527" s="1032" t="s">
        <v>1035</v>
      </c>
      <c r="N1527" s="1032" t="s">
        <v>1046</v>
      </c>
      <c r="O1527" s="1032">
        <v>2021.0</v>
      </c>
      <c r="P1527" s="1032" t="s">
        <v>1039</v>
      </c>
      <c r="Q1527" s="1033" t="s">
        <v>63</v>
      </c>
      <c r="R1527" s="1034">
        <v>22.9655114</v>
      </c>
      <c r="S1527" s="1034">
        <v>10.57276089</v>
      </c>
      <c r="T1527" s="1035">
        <v>47.10682948</v>
      </c>
      <c r="AB1527" s="1045"/>
    </row>
    <row r="1528">
      <c r="A1528" s="294"/>
      <c r="K1528" s="1031" t="s">
        <v>123</v>
      </c>
      <c r="L1528" s="1032" t="s">
        <v>530</v>
      </c>
      <c r="M1528" s="1032" t="s">
        <v>1035</v>
      </c>
      <c r="N1528" s="1032" t="s">
        <v>1045</v>
      </c>
      <c r="O1528" s="1032">
        <v>2021.0</v>
      </c>
      <c r="P1528" s="1032" t="s">
        <v>1039</v>
      </c>
      <c r="Q1528" s="1033" t="s">
        <v>63</v>
      </c>
      <c r="R1528" s="1034">
        <v>47.17897505</v>
      </c>
      <c r="S1528" s="1034">
        <v>21.43519457</v>
      </c>
      <c r="T1528" s="1035">
        <v>99.96231011</v>
      </c>
      <c r="AB1528" s="1045"/>
    </row>
    <row r="1529">
      <c r="A1529" s="294"/>
      <c r="K1529" s="1031" t="s">
        <v>124</v>
      </c>
      <c r="L1529" s="1032" t="s">
        <v>530</v>
      </c>
      <c r="M1529" s="1032" t="s">
        <v>1035</v>
      </c>
      <c r="N1529" s="1032" t="s">
        <v>1038</v>
      </c>
      <c r="O1529" s="1032">
        <v>2021.0</v>
      </c>
      <c r="P1529" s="1032" t="s">
        <v>1039</v>
      </c>
      <c r="Q1529" s="1033" t="s">
        <v>63</v>
      </c>
      <c r="R1529" s="1034">
        <v>76.03931442</v>
      </c>
      <c r="S1529" s="1034">
        <v>35.28588398</v>
      </c>
      <c r="T1529" s="1035">
        <v>146.8485611</v>
      </c>
      <c r="AB1529" s="1045"/>
    </row>
    <row r="1530">
      <c r="A1530" s="294"/>
      <c r="K1530" s="1031" t="s">
        <v>124</v>
      </c>
      <c r="L1530" s="1032" t="s">
        <v>530</v>
      </c>
      <c r="M1530" s="1032" t="s">
        <v>1035</v>
      </c>
      <c r="N1530" s="1032" t="s">
        <v>1042</v>
      </c>
      <c r="O1530" s="1032">
        <v>2021.0</v>
      </c>
      <c r="P1530" s="1032" t="s">
        <v>1039</v>
      </c>
      <c r="Q1530" s="1033" t="s">
        <v>63</v>
      </c>
      <c r="R1530" s="1034">
        <v>0.0</v>
      </c>
      <c r="S1530" s="1034">
        <v>0.0</v>
      </c>
      <c r="T1530" s="1035">
        <v>0.0</v>
      </c>
      <c r="AB1530" s="1045"/>
    </row>
    <row r="1531">
      <c r="A1531" s="294"/>
      <c r="K1531" s="1031" t="s">
        <v>124</v>
      </c>
      <c r="L1531" s="1032" t="s">
        <v>530</v>
      </c>
      <c r="M1531" s="1032" t="s">
        <v>1035</v>
      </c>
      <c r="N1531" s="1032" t="s">
        <v>1044</v>
      </c>
      <c r="O1531" s="1032">
        <v>2021.0</v>
      </c>
      <c r="P1531" s="1032" t="s">
        <v>1039</v>
      </c>
      <c r="Q1531" s="1033" t="s">
        <v>63</v>
      </c>
      <c r="R1531" s="1034">
        <v>0.0</v>
      </c>
      <c r="S1531" s="1034">
        <v>0.0</v>
      </c>
      <c r="T1531" s="1035">
        <v>0.0</v>
      </c>
      <c r="AB1531" s="1045"/>
    </row>
    <row r="1532">
      <c r="A1532" s="294"/>
      <c r="K1532" s="1031" t="s">
        <v>124</v>
      </c>
      <c r="L1532" s="1032" t="s">
        <v>530</v>
      </c>
      <c r="M1532" s="1032" t="s">
        <v>1035</v>
      </c>
      <c r="N1532" s="1032" t="s">
        <v>1046</v>
      </c>
      <c r="O1532" s="1032">
        <v>2021.0</v>
      </c>
      <c r="P1532" s="1032" t="s">
        <v>1039</v>
      </c>
      <c r="Q1532" s="1033" t="s">
        <v>63</v>
      </c>
      <c r="R1532" s="1034">
        <v>63.59443898</v>
      </c>
      <c r="S1532" s="1034">
        <v>37.12695292</v>
      </c>
      <c r="T1532" s="1035">
        <v>102.5166409</v>
      </c>
      <c r="AB1532" s="1045"/>
    </row>
    <row r="1533">
      <c r="A1533" s="294"/>
      <c r="K1533" s="1031" t="s">
        <v>124</v>
      </c>
      <c r="L1533" s="1032" t="s">
        <v>530</v>
      </c>
      <c r="M1533" s="1032" t="s">
        <v>1035</v>
      </c>
      <c r="N1533" s="1032" t="s">
        <v>1045</v>
      </c>
      <c r="O1533" s="1032">
        <v>2021.0</v>
      </c>
      <c r="P1533" s="1032" t="s">
        <v>1039</v>
      </c>
      <c r="Q1533" s="1033" t="s">
        <v>63</v>
      </c>
      <c r="R1533" s="1034">
        <v>139.6337534</v>
      </c>
      <c r="S1533" s="1034">
        <v>75.88216724</v>
      </c>
      <c r="T1533" s="1035">
        <v>240.6742283</v>
      </c>
      <c r="AB1533" s="1045"/>
    </row>
    <row r="1534">
      <c r="A1534" s="294"/>
      <c r="K1534" s="1031" t="s">
        <v>125</v>
      </c>
      <c r="L1534" s="1032" t="s">
        <v>530</v>
      </c>
      <c r="M1534" s="1032" t="s">
        <v>1035</v>
      </c>
      <c r="N1534" s="1032" t="s">
        <v>1038</v>
      </c>
      <c r="O1534" s="1032">
        <v>2021.0</v>
      </c>
      <c r="P1534" s="1032" t="s">
        <v>1039</v>
      </c>
      <c r="Q1534" s="1033" t="s">
        <v>63</v>
      </c>
      <c r="R1534" s="1034">
        <v>7.398202339</v>
      </c>
      <c r="S1534" s="1034">
        <v>2.702010088</v>
      </c>
      <c r="T1534" s="1035">
        <v>18.58540487</v>
      </c>
      <c r="AB1534" s="1045"/>
    </row>
    <row r="1535">
      <c r="A1535" s="294"/>
      <c r="K1535" s="1031" t="s">
        <v>125</v>
      </c>
      <c r="L1535" s="1032" t="s">
        <v>530</v>
      </c>
      <c r="M1535" s="1032" t="s">
        <v>1035</v>
      </c>
      <c r="N1535" s="1032" t="s">
        <v>1042</v>
      </c>
      <c r="O1535" s="1032">
        <v>2021.0</v>
      </c>
      <c r="P1535" s="1032" t="s">
        <v>1039</v>
      </c>
      <c r="Q1535" s="1033" t="s">
        <v>63</v>
      </c>
      <c r="R1535" s="1034">
        <v>0.0</v>
      </c>
      <c r="S1535" s="1034">
        <v>0.0</v>
      </c>
      <c r="T1535" s="1035">
        <v>0.0</v>
      </c>
      <c r="AB1535" s="1045"/>
    </row>
    <row r="1536">
      <c r="A1536" s="294"/>
      <c r="K1536" s="1031" t="s">
        <v>125</v>
      </c>
      <c r="L1536" s="1032" t="s">
        <v>530</v>
      </c>
      <c r="M1536" s="1032" t="s">
        <v>1035</v>
      </c>
      <c r="N1536" s="1032" t="s">
        <v>1044</v>
      </c>
      <c r="O1536" s="1032">
        <v>2021.0</v>
      </c>
      <c r="P1536" s="1032" t="s">
        <v>1039</v>
      </c>
      <c r="Q1536" s="1033" t="s">
        <v>63</v>
      </c>
      <c r="R1536" s="1034">
        <v>0.0</v>
      </c>
      <c r="S1536" s="1034">
        <v>0.0</v>
      </c>
      <c r="T1536" s="1035">
        <v>0.0</v>
      </c>
      <c r="AB1536" s="1045"/>
    </row>
    <row r="1537">
      <c r="A1537" s="294"/>
      <c r="K1537" s="1031" t="s">
        <v>125</v>
      </c>
      <c r="L1537" s="1032" t="s">
        <v>530</v>
      </c>
      <c r="M1537" s="1032" t="s">
        <v>1035</v>
      </c>
      <c r="N1537" s="1032" t="s">
        <v>1046</v>
      </c>
      <c r="O1537" s="1032">
        <v>2021.0</v>
      </c>
      <c r="P1537" s="1032" t="s">
        <v>1039</v>
      </c>
      <c r="Q1537" s="1033" t="s">
        <v>63</v>
      </c>
      <c r="R1537" s="1034">
        <v>6.564784287</v>
      </c>
      <c r="S1537" s="1034">
        <v>2.926315408</v>
      </c>
      <c r="T1537" s="1035">
        <v>13.44140929</v>
      </c>
      <c r="AB1537" s="1045"/>
    </row>
    <row r="1538">
      <c r="A1538" s="294"/>
      <c r="K1538" s="1031" t="s">
        <v>125</v>
      </c>
      <c r="L1538" s="1032" t="s">
        <v>530</v>
      </c>
      <c r="M1538" s="1032" t="s">
        <v>1035</v>
      </c>
      <c r="N1538" s="1032" t="s">
        <v>1045</v>
      </c>
      <c r="O1538" s="1032">
        <v>2021.0</v>
      </c>
      <c r="P1538" s="1032" t="s">
        <v>1039</v>
      </c>
      <c r="Q1538" s="1033" t="s">
        <v>63</v>
      </c>
      <c r="R1538" s="1034">
        <v>13.96298663</v>
      </c>
      <c r="S1538" s="1034">
        <v>5.716494285</v>
      </c>
      <c r="T1538" s="1035">
        <v>32.15482749</v>
      </c>
      <c r="AB1538" s="1045"/>
    </row>
    <row r="1539">
      <c r="A1539" s="294"/>
      <c r="K1539" s="1031" t="s">
        <v>126</v>
      </c>
      <c r="L1539" s="1032" t="s">
        <v>530</v>
      </c>
      <c r="M1539" s="1032" t="s">
        <v>1035</v>
      </c>
      <c r="N1539" s="1032" t="s">
        <v>1038</v>
      </c>
      <c r="O1539" s="1032">
        <v>2021.0</v>
      </c>
      <c r="P1539" s="1032" t="s">
        <v>1039</v>
      </c>
      <c r="Q1539" s="1033" t="s">
        <v>63</v>
      </c>
      <c r="R1539" s="1034">
        <v>22.55563515</v>
      </c>
      <c r="S1539" s="1034">
        <v>8.209768519</v>
      </c>
      <c r="T1539" s="1035">
        <v>57.75180783</v>
      </c>
      <c r="AB1539" s="1045"/>
    </row>
    <row r="1540">
      <c r="A1540" s="294"/>
      <c r="K1540" s="1031" t="s">
        <v>126</v>
      </c>
      <c r="L1540" s="1032" t="s">
        <v>530</v>
      </c>
      <c r="M1540" s="1032" t="s">
        <v>1035</v>
      </c>
      <c r="N1540" s="1032" t="s">
        <v>1042</v>
      </c>
      <c r="O1540" s="1032">
        <v>2021.0</v>
      </c>
      <c r="P1540" s="1032" t="s">
        <v>1039</v>
      </c>
      <c r="Q1540" s="1033" t="s">
        <v>63</v>
      </c>
      <c r="R1540" s="1034">
        <v>0.0</v>
      </c>
      <c r="S1540" s="1034">
        <v>0.0</v>
      </c>
      <c r="T1540" s="1035">
        <v>0.0</v>
      </c>
      <c r="AB1540" s="1045"/>
    </row>
    <row r="1541">
      <c r="A1541" s="294"/>
      <c r="K1541" s="1031" t="s">
        <v>126</v>
      </c>
      <c r="L1541" s="1032" t="s">
        <v>530</v>
      </c>
      <c r="M1541" s="1032" t="s">
        <v>1035</v>
      </c>
      <c r="N1541" s="1032" t="s">
        <v>1044</v>
      </c>
      <c r="O1541" s="1032">
        <v>2021.0</v>
      </c>
      <c r="P1541" s="1032" t="s">
        <v>1039</v>
      </c>
      <c r="Q1541" s="1033" t="s">
        <v>63</v>
      </c>
      <c r="R1541" s="1034">
        <v>0.0</v>
      </c>
      <c r="S1541" s="1034">
        <v>0.0</v>
      </c>
      <c r="T1541" s="1035">
        <v>0.0</v>
      </c>
      <c r="AB1541" s="1045"/>
    </row>
    <row r="1542">
      <c r="A1542" s="294"/>
      <c r="K1542" s="1031" t="s">
        <v>126</v>
      </c>
      <c r="L1542" s="1032" t="s">
        <v>530</v>
      </c>
      <c r="M1542" s="1032" t="s">
        <v>1035</v>
      </c>
      <c r="N1542" s="1032" t="s">
        <v>1046</v>
      </c>
      <c r="O1542" s="1032">
        <v>2021.0</v>
      </c>
      <c r="P1542" s="1032" t="s">
        <v>1039</v>
      </c>
      <c r="Q1542" s="1033" t="s">
        <v>63</v>
      </c>
      <c r="R1542" s="1034">
        <v>22.15555702</v>
      </c>
      <c r="S1542" s="1034">
        <v>9.079289665</v>
      </c>
      <c r="T1542" s="1035">
        <v>47.68375947</v>
      </c>
      <c r="AB1542" s="1045"/>
    </row>
    <row r="1543">
      <c r="A1543" s="294"/>
      <c r="K1543" s="1031" t="s">
        <v>126</v>
      </c>
      <c r="L1543" s="1032" t="s">
        <v>530</v>
      </c>
      <c r="M1543" s="1032" t="s">
        <v>1035</v>
      </c>
      <c r="N1543" s="1032" t="s">
        <v>1045</v>
      </c>
      <c r="O1543" s="1032">
        <v>2021.0</v>
      </c>
      <c r="P1543" s="1032" t="s">
        <v>1039</v>
      </c>
      <c r="Q1543" s="1033" t="s">
        <v>63</v>
      </c>
      <c r="R1543" s="1034">
        <v>44.71119217</v>
      </c>
      <c r="S1543" s="1034">
        <v>17.69403952</v>
      </c>
      <c r="T1543" s="1035">
        <v>101.5438795</v>
      </c>
      <c r="AB1543" s="1045"/>
    </row>
    <row r="1544">
      <c r="A1544" s="294"/>
      <c r="K1544" s="1031" t="s">
        <v>114</v>
      </c>
      <c r="L1544" s="1032" t="s">
        <v>530</v>
      </c>
      <c r="M1544" s="1032" t="s">
        <v>1035</v>
      </c>
      <c r="N1544" s="1032" t="s">
        <v>1038</v>
      </c>
      <c r="O1544" s="1032">
        <v>2021.0</v>
      </c>
      <c r="P1544" s="1032" t="s">
        <v>1039</v>
      </c>
      <c r="Q1544" s="1033" t="s">
        <v>63</v>
      </c>
      <c r="R1544" s="1034">
        <v>729.506003</v>
      </c>
      <c r="S1544" s="1034">
        <v>413.3696807</v>
      </c>
      <c r="T1544" s="1035">
        <v>1116.266846</v>
      </c>
      <c r="AB1544" s="1045"/>
    </row>
    <row r="1545">
      <c r="A1545" s="294"/>
      <c r="K1545" s="1031" t="s">
        <v>114</v>
      </c>
      <c r="L1545" s="1032" t="s">
        <v>530</v>
      </c>
      <c r="M1545" s="1032" t="s">
        <v>1035</v>
      </c>
      <c r="N1545" s="1032" t="s">
        <v>1042</v>
      </c>
      <c r="O1545" s="1032">
        <v>2021.0</v>
      </c>
      <c r="P1545" s="1032" t="s">
        <v>1039</v>
      </c>
      <c r="Q1545" s="1033" t="s">
        <v>63</v>
      </c>
      <c r="R1545" s="1034">
        <v>0.0</v>
      </c>
      <c r="S1545" s="1034">
        <v>0.0</v>
      </c>
      <c r="T1545" s="1035">
        <v>0.0</v>
      </c>
      <c r="AB1545" s="1045"/>
    </row>
    <row r="1546">
      <c r="A1546" s="294"/>
      <c r="K1546" s="1031" t="s">
        <v>114</v>
      </c>
      <c r="L1546" s="1032" t="s">
        <v>530</v>
      </c>
      <c r="M1546" s="1032" t="s">
        <v>1035</v>
      </c>
      <c r="N1546" s="1032" t="s">
        <v>1044</v>
      </c>
      <c r="O1546" s="1032">
        <v>2021.0</v>
      </c>
      <c r="P1546" s="1032" t="s">
        <v>1039</v>
      </c>
      <c r="Q1546" s="1033" t="s">
        <v>63</v>
      </c>
      <c r="R1546" s="1034">
        <v>0.0</v>
      </c>
      <c r="S1546" s="1034">
        <v>0.0</v>
      </c>
      <c r="T1546" s="1035">
        <v>0.0</v>
      </c>
      <c r="AB1546" s="1045"/>
    </row>
    <row r="1547">
      <c r="A1547" s="294"/>
      <c r="K1547" s="1031" t="s">
        <v>114</v>
      </c>
      <c r="L1547" s="1032" t="s">
        <v>530</v>
      </c>
      <c r="M1547" s="1032" t="s">
        <v>1035</v>
      </c>
      <c r="N1547" s="1032" t="s">
        <v>1046</v>
      </c>
      <c r="O1547" s="1032">
        <v>2021.0</v>
      </c>
      <c r="P1547" s="1032" t="s">
        <v>1039</v>
      </c>
      <c r="Q1547" s="1033" t="s">
        <v>63</v>
      </c>
      <c r="R1547" s="1034">
        <v>290.6020629</v>
      </c>
      <c r="S1547" s="1034">
        <v>176.2393765</v>
      </c>
      <c r="T1547" s="1035">
        <v>444.7170888</v>
      </c>
      <c r="AB1547" s="1045"/>
    </row>
    <row r="1548">
      <c r="A1548" s="294"/>
      <c r="K1548" s="1031" t="s">
        <v>114</v>
      </c>
      <c r="L1548" s="1032" t="s">
        <v>530</v>
      </c>
      <c r="M1548" s="1032" t="s">
        <v>1035</v>
      </c>
      <c r="N1548" s="1032" t="s">
        <v>1045</v>
      </c>
      <c r="O1548" s="1032">
        <v>2021.0</v>
      </c>
      <c r="P1548" s="1032" t="s">
        <v>1039</v>
      </c>
      <c r="Q1548" s="1033" t="s">
        <v>63</v>
      </c>
      <c r="R1548" s="1034">
        <v>1020.108066</v>
      </c>
      <c r="S1548" s="1034">
        <v>605.5428739</v>
      </c>
      <c r="T1548" s="1035">
        <v>1530.544732</v>
      </c>
      <c r="AB1548" s="1045"/>
    </row>
    <row r="1549">
      <c r="A1549" s="294"/>
      <c r="K1549" s="1031" t="s">
        <v>127</v>
      </c>
      <c r="L1549" s="1032" t="s">
        <v>530</v>
      </c>
      <c r="M1549" s="1032" t="s">
        <v>1035</v>
      </c>
      <c r="N1549" s="1032" t="s">
        <v>1038</v>
      </c>
      <c r="O1549" s="1032">
        <v>2021.0</v>
      </c>
      <c r="P1549" s="1032" t="s">
        <v>1039</v>
      </c>
      <c r="Q1549" s="1033" t="s">
        <v>63</v>
      </c>
      <c r="R1549" s="1034">
        <v>4.567331177</v>
      </c>
      <c r="S1549" s="1034">
        <v>1.868198046</v>
      </c>
      <c r="T1549" s="1035">
        <v>10.3942567</v>
      </c>
      <c r="AB1549" s="1045"/>
    </row>
    <row r="1550">
      <c r="A1550" s="294"/>
      <c r="K1550" s="1031" t="s">
        <v>127</v>
      </c>
      <c r="L1550" s="1032" t="s">
        <v>530</v>
      </c>
      <c r="M1550" s="1032" t="s">
        <v>1035</v>
      </c>
      <c r="N1550" s="1032" t="s">
        <v>1042</v>
      </c>
      <c r="O1550" s="1032">
        <v>2021.0</v>
      </c>
      <c r="P1550" s="1032" t="s">
        <v>1039</v>
      </c>
      <c r="Q1550" s="1033" t="s">
        <v>63</v>
      </c>
      <c r="R1550" s="1034">
        <v>0.0</v>
      </c>
      <c r="S1550" s="1034">
        <v>0.0</v>
      </c>
      <c r="T1550" s="1035">
        <v>0.0</v>
      </c>
      <c r="AB1550" s="1045"/>
    </row>
    <row r="1551">
      <c r="A1551" s="294"/>
      <c r="K1551" s="1031" t="s">
        <v>127</v>
      </c>
      <c r="L1551" s="1032" t="s">
        <v>530</v>
      </c>
      <c r="M1551" s="1032" t="s">
        <v>1035</v>
      </c>
      <c r="N1551" s="1032" t="s">
        <v>1044</v>
      </c>
      <c r="O1551" s="1032">
        <v>2021.0</v>
      </c>
      <c r="P1551" s="1032" t="s">
        <v>1039</v>
      </c>
      <c r="Q1551" s="1033" t="s">
        <v>63</v>
      </c>
      <c r="R1551" s="1034">
        <v>0.0</v>
      </c>
      <c r="S1551" s="1034">
        <v>0.0</v>
      </c>
      <c r="T1551" s="1035">
        <v>0.0</v>
      </c>
      <c r="AB1551" s="1045"/>
    </row>
    <row r="1552">
      <c r="A1552" s="294"/>
      <c r="K1552" s="1031" t="s">
        <v>127</v>
      </c>
      <c r="L1552" s="1032" t="s">
        <v>530</v>
      </c>
      <c r="M1552" s="1032" t="s">
        <v>1035</v>
      </c>
      <c r="N1552" s="1032" t="s">
        <v>1046</v>
      </c>
      <c r="O1552" s="1032">
        <v>2021.0</v>
      </c>
      <c r="P1552" s="1032" t="s">
        <v>1039</v>
      </c>
      <c r="Q1552" s="1033" t="s">
        <v>63</v>
      </c>
      <c r="R1552" s="1034">
        <v>2.849942789</v>
      </c>
      <c r="S1552" s="1034">
        <v>1.433553812</v>
      </c>
      <c r="T1552" s="1035">
        <v>5.555521239</v>
      </c>
      <c r="AB1552" s="1045"/>
    </row>
    <row r="1553">
      <c r="A1553" s="294"/>
      <c r="K1553" s="1031" t="s">
        <v>127</v>
      </c>
      <c r="L1553" s="1032" t="s">
        <v>530</v>
      </c>
      <c r="M1553" s="1032" t="s">
        <v>1035</v>
      </c>
      <c r="N1553" s="1032" t="s">
        <v>1045</v>
      </c>
      <c r="O1553" s="1032">
        <v>2021.0</v>
      </c>
      <c r="P1553" s="1032" t="s">
        <v>1039</v>
      </c>
      <c r="Q1553" s="1033" t="s">
        <v>63</v>
      </c>
      <c r="R1553" s="1034">
        <v>7.417273966</v>
      </c>
      <c r="S1553" s="1034">
        <v>3.292650633</v>
      </c>
      <c r="T1553" s="1035">
        <v>16.14708412</v>
      </c>
      <c r="AB1553" s="1045"/>
    </row>
    <row r="1554">
      <c r="A1554" s="294"/>
      <c r="K1554" s="1031" t="s">
        <v>128</v>
      </c>
      <c r="L1554" s="1032" t="s">
        <v>530</v>
      </c>
      <c r="M1554" s="1032" t="s">
        <v>1035</v>
      </c>
      <c r="N1554" s="1032" t="s">
        <v>1038</v>
      </c>
      <c r="O1554" s="1032">
        <v>2021.0</v>
      </c>
      <c r="P1554" s="1032" t="s">
        <v>1039</v>
      </c>
      <c r="Q1554" s="1033" t="s">
        <v>63</v>
      </c>
      <c r="R1554" s="1034">
        <v>67.82659868</v>
      </c>
      <c r="S1554" s="1034">
        <v>27.17621141</v>
      </c>
      <c r="T1554" s="1035">
        <v>172.3827949</v>
      </c>
      <c r="AB1554" s="1045"/>
    </row>
    <row r="1555">
      <c r="A1555" s="294"/>
      <c r="K1555" s="1031" t="s">
        <v>128</v>
      </c>
      <c r="L1555" s="1032" t="s">
        <v>530</v>
      </c>
      <c r="M1555" s="1032" t="s">
        <v>1035</v>
      </c>
      <c r="N1555" s="1032" t="s">
        <v>1042</v>
      </c>
      <c r="O1555" s="1032">
        <v>2021.0</v>
      </c>
      <c r="P1555" s="1032" t="s">
        <v>1039</v>
      </c>
      <c r="Q1555" s="1033" t="s">
        <v>63</v>
      </c>
      <c r="R1555" s="1034">
        <v>0.0</v>
      </c>
      <c r="S1555" s="1034">
        <v>0.0</v>
      </c>
      <c r="T1555" s="1035">
        <v>0.0</v>
      </c>
      <c r="AB1555" s="1045"/>
    </row>
    <row r="1556">
      <c r="A1556" s="294"/>
      <c r="K1556" s="1031" t="s">
        <v>128</v>
      </c>
      <c r="L1556" s="1032" t="s">
        <v>530</v>
      </c>
      <c r="M1556" s="1032" t="s">
        <v>1035</v>
      </c>
      <c r="N1556" s="1032" t="s">
        <v>1044</v>
      </c>
      <c r="O1556" s="1032">
        <v>2021.0</v>
      </c>
      <c r="P1556" s="1032" t="s">
        <v>1039</v>
      </c>
      <c r="Q1556" s="1033" t="s">
        <v>63</v>
      </c>
      <c r="R1556" s="1034">
        <v>0.0</v>
      </c>
      <c r="S1556" s="1034">
        <v>0.0</v>
      </c>
      <c r="T1556" s="1035">
        <v>0.0</v>
      </c>
      <c r="AB1556" s="1045"/>
    </row>
    <row r="1557">
      <c r="A1557" s="294"/>
      <c r="K1557" s="1031" t="s">
        <v>128</v>
      </c>
      <c r="L1557" s="1032" t="s">
        <v>530</v>
      </c>
      <c r="M1557" s="1032" t="s">
        <v>1035</v>
      </c>
      <c r="N1557" s="1032" t="s">
        <v>1046</v>
      </c>
      <c r="O1557" s="1032">
        <v>2021.0</v>
      </c>
      <c r="P1557" s="1032" t="s">
        <v>1039</v>
      </c>
      <c r="Q1557" s="1033" t="s">
        <v>63</v>
      </c>
      <c r="R1557" s="1034">
        <v>102.1814173</v>
      </c>
      <c r="S1557" s="1034">
        <v>55.18903229</v>
      </c>
      <c r="T1557" s="1035">
        <v>175.2675496</v>
      </c>
      <c r="AB1557" s="1045"/>
    </row>
    <row r="1558">
      <c r="A1558" s="294"/>
      <c r="K1558" s="1031" t="s">
        <v>128</v>
      </c>
      <c r="L1558" s="1032" t="s">
        <v>530</v>
      </c>
      <c r="M1558" s="1032" t="s">
        <v>1035</v>
      </c>
      <c r="N1558" s="1032" t="s">
        <v>1045</v>
      </c>
      <c r="O1558" s="1032">
        <v>2021.0</v>
      </c>
      <c r="P1558" s="1032" t="s">
        <v>1039</v>
      </c>
      <c r="Q1558" s="1033" t="s">
        <v>63</v>
      </c>
      <c r="R1558" s="1034">
        <v>170.008016</v>
      </c>
      <c r="S1558" s="1034">
        <v>87.31579445</v>
      </c>
      <c r="T1558" s="1035">
        <v>342.6625133</v>
      </c>
      <c r="AB1558" s="1045"/>
    </row>
    <row r="1559">
      <c r="A1559" s="294"/>
      <c r="K1559" s="1031" t="s">
        <v>129</v>
      </c>
      <c r="L1559" s="1032" t="s">
        <v>530</v>
      </c>
      <c r="M1559" s="1032" t="s">
        <v>1035</v>
      </c>
      <c r="N1559" s="1032" t="s">
        <v>1038</v>
      </c>
      <c r="O1559" s="1032">
        <v>2021.0</v>
      </c>
      <c r="P1559" s="1032" t="s">
        <v>1039</v>
      </c>
      <c r="Q1559" s="1033" t="s">
        <v>63</v>
      </c>
      <c r="R1559" s="1034">
        <v>47.92424228</v>
      </c>
      <c r="S1559" s="1034">
        <v>17.54595847</v>
      </c>
      <c r="T1559" s="1035">
        <v>124.6838604</v>
      </c>
      <c r="AB1559" s="1045"/>
    </row>
    <row r="1560">
      <c r="A1560" s="294"/>
      <c r="K1560" s="1031" t="s">
        <v>129</v>
      </c>
      <c r="L1560" s="1032" t="s">
        <v>530</v>
      </c>
      <c r="M1560" s="1032" t="s">
        <v>1035</v>
      </c>
      <c r="N1560" s="1032" t="s">
        <v>1042</v>
      </c>
      <c r="O1560" s="1032">
        <v>2021.0</v>
      </c>
      <c r="P1560" s="1032" t="s">
        <v>1039</v>
      </c>
      <c r="Q1560" s="1033" t="s">
        <v>63</v>
      </c>
      <c r="R1560" s="1034">
        <v>0.0</v>
      </c>
      <c r="S1560" s="1034">
        <v>0.0</v>
      </c>
      <c r="T1560" s="1035">
        <v>0.0</v>
      </c>
      <c r="AB1560" s="1045"/>
    </row>
    <row r="1561">
      <c r="A1561" s="294"/>
      <c r="K1561" s="1031" t="s">
        <v>129</v>
      </c>
      <c r="L1561" s="1032" t="s">
        <v>530</v>
      </c>
      <c r="M1561" s="1032" t="s">
        <v>1035</v>
      </c>
      <c r="N1561" s="1032" t="s">
        <v>1044</v>
      </c>
      <c r="O1561" s="1032">
        <v>2021.0</v>
      </c>
      <c r="P1561" s="1032" t="s">
        <v>1039</v>
      </c>
      <c r="Q1561" s="1033" t="s">
        <v>63</v>
      </c>
      <c r="R1561" s="1034">
        <v>0.0</v>
      </c>
      <c r="S1561" s="1034">
        <v>0.0</v>
      </c>
      <c r="T1561" s="1035">
        <v>0.0</v>
      </c>
      <c r="AB1561" s="1045"/>
    </row>
    <row r="1562">
      <c r="A1562" s="294"/>
      <c r="K1562" s="1031" t="s">
        <v>129</v>
      </c>
      <c r="L1562" s="1032" t="s">
        <v>530</v>
      </c>
      <c r="M1562" s="1032" t="s">
        <v>1035</v>
      </c>
      <c r="N1562" s="1032" t="s">
        <v>1046</v>
      </c>
      <c r="O1562" s="1032">
        <v>2021.0</v>
      </c>
      <c r="P1562" s="1032" t="s">
        <v>1039</v>
      </c>
      <c r="Q1562" s="1033" t="s">
        <v>63</v>
      </c>
      <c r="R1562" s="1034">
        <v>42.05372621</v>
      </c>
      <c r="S1562" s="1034">
        <v>20.70142694</v>
      </c>
      <c r="T1562" s="1035">
        <v>75.73377554</v>
      </c>
      <c r="AB1562" s="1045"/>
    </row>
    <row r="1563">
      <c r="A1563" s="294"/>
      <c r="K1563" s="1031" t="s">
        <v>129</v>
      </c>
      <c r="L1563" s="1032" t="s">
        <v>530</v>
      </c>
      <c r="M1563" s="1032" t="s">
        <v>1035</v>
      </c>
      <c r="N1563" s="1032" t="s">
        <v>1045</v>
      </c>
      <c r="O1563" s="1032">
        <v>2021.0</v>
      </c>
      <c r="P1563" s="1032" t="s">
        <v>1039</v>
      </c>
      <c r="Q1563" s="1033" t="s">
        <v>63</v>
      </c>
      <c r="R1563" s="1034">
        <v>89.97796849</v>
      </c>
      <c r="S1563" s="1034">
        <v>40.07479706</v>
      </c>
      <c r="T1563" s="1035">
        <v>192.8497518</v>
      </c>
      <c r="AB1563" s="1045"/>
    </row>
    <row r="1564">
      <c r="A1564" s="294"/>
      <c r="K1564" s="1031" t="s">
        <v>130</v>
      </c>
      <c r="L1564" s="1032" t="s">
        <v>530</v>
      </c>
      <c r="M1564" s="1032" t="s">
        <v>1035</v>
      </c>
      <c r="N1564" s="1032" t="s">
        <v>1038</v>
      </c>
      <c r="O1564" s="1032">
        <v>2021.0</v>
      </c>
      <c r="P1564" s="1032" t="s">
        <v>1039</v>
      </c>
      <c r="Q1564" s="1033" t="s">
        <v>63</v>
      </c>
      <c r="R1564" s="1034">
        <v>9.706553389</v>
      </c>
      <c r="S1564" s="1034">
        <v>3.980437404</v>
      </c>
      <c r="T1564" s="1035">
        <v>22.73700575</v>
      </c>
      <c r="AB1564" s="1045"/>
    </row>
    <row r="1565">
      <c r="A1565" s="294"/>
      <c r="K1565" s="1031" t="s">
        <v>130</v>
      </c>
      <c r="L1565" s="1032" t="s">
        <v>530</v>
      </c>
      <c r="M1565" s="1032" t="s">
        <v>1035</v>
      </c>
      <c r="N1565" s="1032" t="s">
        <v>1042</v>
      </c>
      <c r="O1565" s="1032">
        <v>2021.0</v>
      </c>
      <c r="P1565" s="1032" t="s">
        <v>1039</v>
      </c>
      <c r="Q1565" s="1033" t="s">
        <v>63</v>
      </c>
      <c r="R1565" s="1034">
        <v>0.0</v>
      </c>
      <c r="S1565" s="1034">
        <v>0.0</v>
      </c>
      <c r="T1565" s="1035">
        <v>0.0</v>
      </c>
      <c r="AB1565" s="1045"/>
    </row>
    <row r="1566">
      <c r="A1566" s="294"/>
      <c r="K1566" s="1031" t="s">
        <v>130</v>
      </c>
      <c r="L1566" s="1032" t="s">
        <v>530</v>
      </c>
      <c r="M1566" s="1032" t="s">
        <v>1035</v>
      </c>
      <c r="N1566" s="1032" t="s">
        <v>1044</v>
      </c>
      <c r="O1566" s="1032">
        <v>2021.0</v>
      </c>
      <c r="P1566" s="1032" t="s">
        <v>1039</v>
      </c>
      <c r="Q1566" s="1033" t="s">
        <v>63</v>
      </c>
      <c r="R1566" s="1034">
        <v>0.0</v>
      </c>
      <c r="S1566" s="1034">
        <v>0.0</v>
      </c>
      <c r="T1566" s="1035">
        <v>0.0</v>
      </c>
      <c r="AB1566" s="1045"/>
    </row>
    <row r="1567">
      <c r="A1567" s="294"/>
      <c r="K1567" s="1031" t="s">
        <v>130</v>
      </c>
      <c r="L1567" s="1032" t="s">
        <v>530</v>
      </c>
      <c r="M1567" s="1032" t="s">
        <v>1035</v>
      </c>
      <c r="N1567" s="1032" t="s">
        <v>1046</v>
      </c>
      <c r="O1567" s="1032">
        <v>2021.0</v>
      </c>
      <c r="P1567" s="1032" t="s">
        <v>1039</v>
      </c>
      <c r="Q1567" s="1033" t="s">
        <v>63</v>
      </c>
      <c r="R1567" s="1034">
        <v>9.878478055</v>
      </c>
      <c r="S1567" s="1034">
        <v>4.741406243</v>
      </c>
      <c r="T1567" s="1035">
        <v>19.34387162</v>
      </c>
      <c r="AB1567" s="1045"/>
    </row>
    <row r="1568">
      <c r="A1568" s="294"/>
      <c r="K1568" s="1031" t="s">
        <v>130</v>
      </c>
      <c r="L1568" s="1032" t="s">
        <v>530</v>
      </c>
      <c r="M1568" s="1032" t="s">
        <v>1035</v>
      </c>
      <c r="N1568" s="1032" t="s">
        <v>1045</v>
      </c>
      <c r="O1568" s="1032">
        <v>2021.0</v>
      </c>
      <c r="P1568" s="1032" t="s">
        <v>1039</v>
      </c>
      <c r="Q1568" s="1033" t="s">
        <v>63</v>
      </c>
      <c r="R1568" s="1034">
        <v>19.58503144</v>
      </c>
      <c r="S1568" s="1034">
        <v>9.334157275</v>
      </c>
      <c r="T1568" s="1035">
        <v>39.70871356</v>
      </c>
      <c r="AB1568" s="1045"/>
    </row>
    <row r="1569">
      <c r="A1569" s="294"/>
      <c r="K1569" s="1031" t="s">
        <v>131</v>
      </c>
      <c r="L1569" s="1032" t="s">
        <v>530</v>
      </c>
      <c r="M1569" s="1032" t="s">
        <v>1035</v>
      </c>
      <c r="N1569" s="1032" t="s">
        <v>1038</v>
      </c>
      <c r="O1569" s="1032">
        <v>2021.0</v>
      </c>
      <c r="P1569" s="1032" t="s">
        <v>1039</v>
      </c>
      <c r="Q1569" s="1033" t="s">
        <v>63</v>
      </c>
      <c r="R1569" s="1034">
        <v>20.14038231</v>
      </c>
      <c r="S1569" s="1034">
        <v>7.331554545</v>
      </c>
      <c r="T1569" s="1035">
        <v>49.59627578</v>
      </c>
      <c r="AB1569" s="1045"/>
    </row>
    <row r="1570">
      <c r="A1570" s="294"/>
      <c r="K1570" s="1031" t="s">
        <v>131</v>
      </c>
      <c r="L1570" s="1032" t="s">
        <v>530</v>
      </c>
      <c r="M1570" s="1032" t="s">
        <v>1035</v>
      </c>
      <c r="N1570" s="1032" t="s">
        <v>1042</v>
      </c>
      <c r="O1570" s="1032">
        <v>2021.0</v>
      </c>
      <c r="P1570" s="1032" t="s">
        <v>1039</v>
      </c>
      <c r="Q1570" s="1033" t="s">
        <v>63</v>
      </c>
      <c r="R1570" s="1034">
        <v>0.0</v>
      </c>
      <c r="S1570" s="1034">
        <v>0.0</v>
      </c>
      <c r="T1570" s="1035">
        <v>0.0</v>
      </c>
      <c r="AB1570" s="1045"/>
    </row>
    <row r="1571">
      <c r="A1571" s="294"/>
      <c r="K1571" s="1031" t="s">
        <v>131</v>
      </c>
      <c r="L1571" s="1032" t="s">
        <v>530</v>
      </c>
      <c r="M1571" s="1032" t="s">
        <v>1035</v>
      </c>
      <c r="N1571" s="1032" t="s">
        <v>1044</v>
      </c>
      <c r="O1571" s="1032">
        <v>2021.0</v>
      </c>
      <c r="P1571" s="1032" t="s">
        <v>1039</v>
      </c>
      <c r="Q1571" s="1033" t="s">
        <v>63</v>
      </c>
      <c r="R1571" s="1034">
        <v>0.0</v>
      </c>
      <c r="S1571" s="1034">
        <v>0.0</v>
      </c>
      <c r="T1571" s="1035">
        <v>0.0</v>
      </c>
      <c r="AB1571" s="1045"/>
    </row>
    <row r="1572">
      <c r="A1572" s="294"/>
      <c r="K1572" s="1031" t="s">
        <v>131</v>
      </c>
      <c r="L1572" s="1032" t="s">
        <v>530</v>
      </c>
      <c r="M1572" s="1032" t="s">
        <v>1035</v>
      </c>
      <c r="N1572" s="1032" t="s">
        <v>1046</v>
      </c>
      <c r="O1572" s="1032">
        <v>2021.0</v>
      </c>
      <c r="P1572" s="1032" t="s">
        <v>1039</v>
      </c>
      <c r="Q1572" s="1033" t="s">
        <v>63</v>
      </c>
      <c r="R1572" s="1034">
        <v>21.65377264</v>
      </c>
      <c r="S1572" s="1034">
        <v>10.08900239</v>
      </c>
      <c r="T1572" s="1035">
        <v>41.17371665</v>
      </c>
      <c r="AB1572" s="1045"/>
    </row>
    <row r="1573">
      <c r="A1573" s="294"/>
      <c r="K1573" s="1031" t="s">
        <v>131</v>
      </c>
      <c r="L1573" s="1032" t="s">
        <v>530</v>
      </c>
      <c r="M1573" s="1032" t="s">
        <v>1035</v>
      </c>
      <c r="N1573" s="1032" t="s">
        <v>1045</v>
      </c>
      <c r="O1573" s="1032">
        <v>2021.0</v>
      </c>
      <c r="P1573" s="1032" t="s">
        <v>1039</v>
      </c>
      <c r="Q1573" s="1033" t="s">
        <v>63</v>
      </c>
      <c r="R1573" s="1034">
        <v>41.79415495</v>
      </c>
      <c r="S1573" s="1034">
        <v>17.57976167</v>
      </c>
      <c r="T1573" s="1035">
        <v>84.7890802</v>
      </c>
      <c r="AB1573" s="1045"/>
    </row>
    <row r="1574">
      <c r="A1574" s="294"/>
      <c r="K1574" s="1031" t="s">
        <v>132</v>
      </c>
      <c r="L1574" s="1032" t="s">
        <v>530</v>
      </c>
      <c r="M1574" s="1032" t="s">
        <v>1035</v>
      </c>
      <c r="N1574" s="1032" t="s">
        <v>1038</v>
      </c>
      <c r="O1574" s="1032">
        <v>2021.0</v>
      </c>
      <c r="P1574" s="1032" t="s">
        <v>1039</v>
      </c>
      <c r="Q1574" s="1033" t="s">
        <v>63</v>
      </c>
      <c r="R1574" s="1034">
        <v>20.63239215</v>
      </c>
      <c r="S1574" s="1034">
        <v>8.329494778</v>
      </c>
      <c r="T1574" s="1035">
        <v>46.54141827</v>
      </c>
      <c r="AB1574" s="1045"/>
    </row>
    <row r="1575">
      <c r="A1575" s="294"/>
      <c r="K1575" s="1031" t="s">
        <v>132</v>
      </c>
      <c r="L1575" s="1032" t="s">
        <v>530</v>
      </c>
      <c r="M1575" s="1032" t="s">
        <v>1035</v>
      </c>
      <c r="N1575" s="1032" t="s">
        <v>1042</v>
      </c>
      <c r="O1575" s="1032">
        <v>2021.0</v>
      </c>
      <c r="P1575" s="1032" t="s">
        <v>1039</v>
      </c>
      <c r="Q1575" s="1033" t="s">
        <v>63</v>
      </c>
      <c r="R1575" s="1034">
        <v>0.0</v>
      </c>
      <c r="S1575" s="1034">
        <v>0.0</v>
      </c>
      <c r="T1575" s="1035">
        <v>0.0</v>
      </c>
      <c r="AB1575" s="1045"/>
    </row>
    <row r="1576">
      <c r="A1576" s="294"/>
      <c r="K1576" s="1031" t="s">
        <v>132</v>
      </c>
      <c r="L1576" s="1032" t="s">
        <v>530</v>
      </c>
      <c r="M1576" s="1032" t="s">
        <v>1035</v>
      </c>
      <c r="N1576" s="1032" t="s">
        <v>1044</v>
      </c>
      <c r="O1576" s="1032">
        <v>2021.0</v>
      </c>
      <c r="P1576" s="1032" t="s">
        <v>1039</v>
      </c>
      <c r="Q1576" s="1033" t="s">
        <v>63</v>
      </c>
      <c r="R1576" s="1034">
        <v>0.0</v>
      </c>
      <c r="S1576" s="1034">
        <v>0.0</v>
      </c>
      <c r="T1576" s="1035">
        <v>0.0</v>
      </c>
      <c r="AB1576" s="1045"/>
    </row>
    <row r="1577">
      <c r="A1577" s="294"/>
      <c r="K1577" s="1031" t="s">
        <v>132</v>
      </c>
      <c r="L1577" s="1032" t="s">
        <v>530</v>
      </c>
      <c r="M1577" s="1032" t="s">
        <v>1035</v>
      </c>
      <c r="N1577" s="1032" t="s">
        <v>1046</v>
      </c>
      <c r="O1577" s="1032">
        <v>2021.0</v>
      </c>
      <c r="P1577" s="1032" t="s">
        <v>1039</v>
      </c>
      <c r="Q1577" s="1033" t="s">
        <v>63</v>
      </c>
      <c r="R1577" s="1034">
        <v>29.71912908</v>
      </c>
      <c r="S1577" s="1034">
        <v>15.38062457</v>
      </c>
      <c r="T1577" s="1035">
        <v>54.65928803</v>
      </c>
      <c r="AB1577" s="1045"/>
    </row>
    <row r="1578">
      <c r="A1578" s="294"/>
      <c r="K1578" s="1031" t="s">
        <v>132</v>
      </c>
      <c r="L1578" s="1032" t="s">
        <v>530</v>
      </c>
      <c r="M1578" s="1032" t="s">
        <v>1035</v>
      </c>
      <c r="N1578" s="1032" t="s">
        <v>1045</v>
      </c>
      <c r="O1578" s="1032">
        <v>2021.0</v>
      </c>
      <c r="P1578" s="1032" t="s">
        <v>1039</v>
      </c>
      <c r="Q1578" s="1033" t="s">
        <v>63</v>
      </c>
      <c r="R1578" s="1034">
        <v>50.35152123</v>
      </c>
      <c r="S1578" s="1034">
        <v>24.258331</v>
      </c>
      <c r="T1578" s="1035">
        <v>96.90484275</v>
      </c>
      <c r="AB1578" s="1045"/>
    </row>
    <row r="1579">
      <c r="A1579" s="294"/>
      <c r="K1579" s="1031" t="s">
        <v>133</v>
      </c>
      <c r="L1579" s="1032" t="s">
        <v>530</v>
      </c>
      <c r="M1579" s="1032" t="s">
        <v>1035</v>
      </c>
      <c r="N1579" s="1032" t="s">
        <v>1038</v>
      </c>
      <c r="O1579" s="1032">
        <v>2021.0</v>
      </c>
      <c r="P1579" s="1032" t="s">
        <v>1039</v>
      </c>
      <c r="Q1579" s="1033" t="s">
        <v>63</v>
      </c>
      <c r="R1579" s="1034">
        <v>22.79464262</v>
      </c>
      <c r="S1579" s="1034">
        <v>9.407346526</v>
      </c>
      <c r="T1579" s="1035">
        <v>52.88905804</v>
      </c>
      <c r="AB1579" s="1045"/>
    </row>
    <row r="1580">
      <c r="A1580" s="294"/>
      <c r="K1580" s="1031" t="s">
        <v>133</v>
      </c>
      <c r="L1580" s="1032" t="s">
        <v>530</v>
      </c>
      <c r="M1580" s="1032" t="s">
        <v>1035</v>
      </c>
      <c r="N1580" s="1032" t="s">
        <v>1042</v>
      </c>
      <c r="O1580" s="1032">
        <v>2021.0</v>
      </c>
      <c r="P1580" s="1032" t="s">
        <v>1039</v>
      </c>
      <c r="Q1580" s="1033" t="s">
        <v>63</v>
      </c>
      <c r="R1580" s="1034">
        <v>0.0</v>
      </c>
      <c r="S1580" s="1034">
        <v>0.0</v>
      </c>
      <c r="T1580" s="1035">
        <v>0.0</v>
      </c>
      <c r="AB1580" s="1045"/>
    </row>
    <row r="1581">
      <c r="A1581" s="294"/>
      <c r="K1581" s="1031" t="s">
        <v>133</v>
      </c>
      <c r="L1581" s="1032" t="s">
        <v>530</v>
      </c>
      <c r="M1581" s="1032" t="s">
        <v>1035</v>
      </c>
      <c r="N1581" s="1032" t="s">
        <v>1044</v>
      </c>
      <c r="O1581" s="1032">
        <v>2021.0</v>
      </c>
      <c r="P1581" s="1032" t="s">
        <v>1039</v>
      </c>
      <c r="Q1581" s="1033" t="s">
        <v>63</v>
      </c>
      <c r="R1581" s="1034">
        <v>0.0</v>
      </c>
      <c r="S1581" s="1034">
        <v>0.0</v>
      </c>
      <c r="T1581" s="1035">
        <v>0.0</v>
      </c>
      <c r="AB1581" s="1045"/>
    </row>
    <row r="1582">
      <c r="A1582" s="294"/>
      <c r="K1582" s="1031" t="s">
        <v>133</v>
      </c>
      <c r="L1582" s="1032" t="s">
        <v>530</v>
      </c>
      <c r="M1582" s="1032" t="s">
        <v>1035</v>
      </c>
      <c r="N1582" s="1032" t="s">
        <v>1046</v>
      </c>
      <c r="O1582" s="1032">
        <v>2021.0</v>
      </c>
      <c r="P1582" s="1032" t="s">
        <v>1039</v>
      </c>
      <c r="Q1582" s="1033" t="s">
        <v>63</v>
      </c>
      <c r="R1582" s="1034">
        <v>10.32784395</v>
      </c>
      <c r="S1582" s="1034">
        <v>4.273070686</v>
      </c>
      <c r="T1582" s="1035">
        <v>21.62953584</v>
      </c>
      <c r="AB1582" s="1045"/>
    </row>
    <row r="1583">
      <c r="A1583" s="294"/>
      <c r="K1583" s="1031" t="s">
        <v>133</v>
      </c>
      <c r="L1583" s="1032" t="s">
        <v>530</v>
      </c>
      <c r="M1583" s="1032" t="s">
        <v>1035</v>
      </c>
      <c r="N1583" s="1032" t="s">
        <v>1045</v>
      </c>
      <c r="O1583" s="1032">
        <v>2021.0</v>
      </c>
      <c r="P1583" s="1032" t="s">
        <v>1039</v>
      </c>
      <c r="Q1583" s="1033" t="s">
        <v>63</v>
      </c>
      <c r="R1583" s="1034">
        <v>33.12248657</v>
      </c>
      <c r="S1583" s="1034">
        <v>13.94661188</v>
      </c>
      <c r="T1583" s="1035">
        <v>74.62691353</v>
      </c>
      <c r="AB1583" s="1045"/>
    </row>
    <row r="1584">
      <c r="A1584" s="294"/>
      <c r="K1584" s="1031" t="s">
        <v>134</v>
      </c>
      <c r="L1584" s="1032" t="s">
        <v>530</v>
      </c>
      <c r="M1584" s="1032" t="s">
        <v>1035</v>
      </c>
      <c r="N1584" s="1032" t="s">
        <v>1038</v>
      </c>
      <c r="O1584" s="1032">
        <v>2021.0</v>
      </c>
      <c r="P1584" s="1032" t="s">
        <v>1039</v>
      </c>
      <c r="Q1584" s="1033" t="s">
        <v>63</v>
      </c>
      <c r="R1584" s="1034">
        <v>7.254929652</v>
      </c>
      <c r="S1584" s="1034">
        <v>2.641019094</v>
      </c>
      <c r="T1584" s="1035">
        <v>16.2251651</v>
      </c>
      <c r="AB1584" s="1045"/>
    </row>
    <row r="1585">
      <c r="A1585" s="294"/>
      <c r="K1585" s="1031" t="s">
        <v>134</v>
      </c>
      <c r="L1585" s="1032" t="s">
        <v>530</v>
      </c>
      <c r="M1585" s="1032" t="s">
        <v>1035</v>
      </c>
      <c r="N1585" s="1032" t="s">
        <v>1042</v>
      </c>
      <c r="O1585" s="1032">
        <v>2021.0</v>
      </c>
      <c r="P1585" s="1032" t="s">
        <v>1039</v>
      </c>
      <c r="Q1585" s="1033" t="s">
        <v>63</v>
      </c>
      <c r="R1585" s="1034">
        <v>0.0</v>
      </c>
      <c r="S1585" s="1034">
        <v>0.0</v>
      </c>
      <c r="T1585" s="1035">
        <v>0.0</v>
      </c>
      <c r="AB1585" s="1045"/>
    </row>
    <row r="1586">
      <c r="A1586" s="294"/>
      <c r="K1586" s="1031" t="s">
        <v>134</v>
      </c>
      <c r="L1586" s="1032" t="s">
        <v>530</v>
      </c>
      <c r="M1586" s="1032" t="s">
        <v>1035</v>
      </c>
      <c r="N1586" s="1032" t="s">
        <v>1044</v>
      </c>
      <c r="O1586" s="1032">
        <v>2021.0</v>
      </c>
      <c r="P1586" s="1032" t="s">
        <v>1039</v>
      </c>
      <c r="Q1586" s="1033" t="s">
        <v>63</v>
      </c>
      <c r="R1586" s="1034">
        <v>0.0</v>
      </c>
      <c r="S1586" s="1034">
        <v>0.0</v>
      </c>
      <c r="T1586" s="1035">
        <v>0.0</v>
      </c>
      <c r="AB1586" s="1045"/>
    </row>
    <row r="1587">
      <c r="A1587" s="294"/>
      <c r="K1587" s="1031" t="s">
        <v>134</v>
      </c>
      <c r="L1587" s="1032" t="s">
        <v>530</v>
      </c>
      <c r="M1587" s="1032" t="s">
        <v>1035</v>
      </c>
      <c r="N1587" s="1032" t="s">
        <v>1046</v>
      </c>
      <c r="O1587" s="1032">
        <v>2021.0</v>
      </c>
      <c r="P1587" s="1032" t="s">
        <v>1039</v>
      </c>
      <c r="Q1587" s="1033" t="s">
        <v>63</v>
      </c>
      <c r="R1587" s="1034">
        <v>6.051913527</v>
      </c>
      <c r="S1587" s="1034">
        <v>2.656792521</v>
      </c>
      <c r="T1587" s="1035">
        <v>11.75944235</v>
      </c>
      <c r="AB1587" s="1045"/>
    </row>
    <row r="1588">
      <c r="A1588" s="294"/>
      <c r="K1588" s="1031" t="s">
        <v>134</v>
      </c>
      <c r="L1588" s="1032" t="s">
        <v>530</v>
      </c>
      <c r="M1588" s="1032" t="s">
        <v>1035</v>
      </c>
      <c r="N1588" s="1032" t="s">
        <v>1045</v>
      </c>
      <c r="O1588" s="1032">
        <v>2021.0</v>
      </c>
      <c r="P1588" s="1032" t="s">
        <v>1039</v>
      </c>
      <c r="Q1588" s="1033" t="s">
        <v>63</v>
      </c>
      <c r="R1588" s="1034">
        <v>13.30684318</v>
      </c>
      <c r="S1588" s="1034">
        <v>5.36934134</v>
      </c>
      <c r="T1588" s="1035">
        <v>27.32046959</v>
      </c>
      <c r="AB1588" s="1045"/>
    </row>
    <row r="1589">
      <c r="A1589" s="294"/>
      <c r="K1589" s="1031" t="s">
        <v>135</v>
      </c>
      <c r="L1589" s="1032" t="s">
        <v>530</v>
      </c>
      <c r="M1589" s="1032" t="s">
        <v>1035</v>
      </c>
      <c r="N1589" s="1032" t="s">
        <v>1038</v>
      </c>
      <c r="O1589" s="1032">
        <v>2021.0</v>
      </c>
      <c r="P1589" s="1032" t="s">
        <v>1039</v>
      </c>
      <c r="Q1589" s="1033" t="s">
        <v>63</v>
      </c>
      <c r="R1589" s="1034">
        <v>11.28160486</v>
      </c>
      <c r="S1589" s="1034">
        <v>3.79191599</v>
      </c>
      <c r="T1589" s="1035">
        <v>30.26912984</v>
      </c>
      <c r="AB1589" s="1045"/>
    </row>
    <row r="1590">
      <c r="A1590" s="294"/>
      <c r="K1590" s="1031" t="s">
        <v>135</v>
      </c>
      <c r="L1590" s="1032" t="s">
        <v>530</v>
      </c>
      <c r="M1590" s="1032" t="s">
        <v>1035</v>
      </c>
      <c r="N1590" s="1032" t="s">
        <v>1042</v>
      </c>
      <c r="O1590" s="1032">
        <v>2021.0</v>
      </c>
      <c r="P1590" s="1032" t="s">
        <v>1039</v>
      </c>
      <c r="Q1590" s="1033" t="s">
        <v>63</v>
      </c>
      <c r="R1590" s="1034">
        <v>0.0</v>
      </c>
      <c r="S1590" s="1034">
        <v>0.0</v>
      </c>
      <c r="T1590" s="1035">
        <v>0.0</v>
      </c>
      <c r="AB1590" s="1045"/>
    </row>
    <row r="1591">
      <c r="A1591" s="294"/>
      <c r="K1591" s="1031" t="s">
        <v>135</v>
      </c>
      <c r="L1591" s="1032" t="s">
        <v>530</v>
      </c>
      <c r="M1591" s="1032" t="s">
        <v>1035</v>
      </c>
      <c r="N1591" s="1032" t="s">
        <v>1044</v>
      </c>
      <c r="O1591" s="1032">
        <v>2021.0</v>
      </c>
      <c r="P1591" s="1032" t="s">
        <v>1039</v>
      </c>
      <c r="Q1591" s="1033" t="s">
        <v>63</v>
      </c>
      <c r="R1591" s="1034">
        <v>0.0</v>
      </c>
      <c r="S1591" s="1034">
        <v>0.0</v>
      </c>
      <c r="T1591" s="1035">
        <v>0.0</v>
      </c>
      <c r="AB1591" s="1045"/>
    </row>
    <row r="1592">
      <c r="A1592" s="294"/>
      <c r="K1592" s="1031" t="s">
        <v>135</v>
      </c>
      <c r="L1592" s="1032" t="s">
        <v>530</v>
      </c>
      <c r="M1592" s="1032" t="s">
        <v>1035</v>
      </c>
      <c r="N1592" s="1032" t="s">
        <v>1046</v>
      </c>
      <c r="O1592" s="1032">
        <v>2021.0</v>
      </c>
      <c r="P1592" s="1032" t="s">
        <v>1039</v>
      </c>
      <c r="Q1592" s="1033" t="s">
        <v>63</v>
      </c>
      <c r="R1592" s="1034">
        <v>10.5533836</v>
      </c>
      <c r="S1592" s="1034">
        <v>4.187180116</v>
      </c>
      <c r="T1592" s="1035">
        <v>21.81147832</v>
      </c>
      <c r="AB1592" s="1045"/>
    </row>
    <row r="1593">
      <c r="A1593" s="294"/>
      <c r="K1593" s="1031" t="s">
        <v>135</v>
      </c>
      <c r="L1593" s="1032" t="s">
        <v>530</v>
      </c>
      <c r="M1593" s="1032" t="s">
        <v>1035</v>
      </c>
      <c r="N1593" s="1032" t="s">
        <v>1045</v>
      </c>
      <c r="O1593" s="1032">
        <v>2021.0</v>
      </c>
      <c r="P1593" s="1032" t="s">
        <v>1039</v>
      </c>
      <c r="Q1593" s="1033" t="s">
        <v>63</v>
      </c>
      <c r="R1593" s="1034">
        <v>21.83498846</v>
      </c>
      <c r="S1593" s="1034">
        <v>8.060618617</v>
      </c>
      <c r="T1593" s="1035">
        <v>48.6980642</v>
      </c>
      <c r="AB1593" s="1045"/>
    </row>
    <row r="1594">
      <c r="A1594" s="294"/>
      <c r="K1594" s="1031" t="s">
        <v>136</v>
      </c>
      <c r="L1594" s="1032" t="s">
        <v>530</v>
      </c>
      <c r="M1594" s="1032" t="s">
        <v>1035</v>
      </c>
      <c r="N1594" s="1032" t="s">
        <v>1038</v>
      </c>
      <c r="O1594" s="1032">
        <v>2021.0</v>
      </c>
      <c r="P1594" s="1032" t="s">
        <v>1039</v>
      </c>
      <c r="Q1594" s="1033" t="s">
        <v>63</v>
      </c>
      <c r="R1594" s="1034">
        <v>25.69158786</v>
      </c>
      <c r="S1594" s="1034">
        <v>8.359295453</v>
      </c>
      <c r="T1594" s="1035">
        <v>65.35220569</v>
      </c>
      <c r="AB1594" s="1045"/>
    </row>
    <row r="1595">
      <c r="A1595" s="294"/>
      <c r="K1595" s="1031" t="s">
        <v>136</v>
      </c>
      <c r="L1595" s="1032" t="s">
        <v>530</v>
      </c>
      <c r="M1595" s="1032" t="s">
        <v>1035</v>
      </c>
      <c r="N1595" s="1032" t="s">
        <v>1042</v>
      </c>
      <c r="O1595" s="1032">
        <v>2021.0</v>
      </c>
      <c r="P1595" s="1032" t="s">
        <v>1039</v>
      </c>
      <c r="Q1595" s="1033" t="s">
        <v>63</v>
      </c>
      <c r="R1595" s="1034">
        <v>0.0</v>
      </c>
      <c r="S1595" s="1034">
        <v>0.0</v>
      </c>
      <c r="T1595" s="1035">
        <v>0.0</v>
      </c>
      <c r="AB1595" s="1045"/>
    </row>
    <row r="1596">
      <c r="A1596" s="294"/>
      <c r="K1596" s="1031" t="s">
        <v>136</v>
      </c>
      <c r="L1596" s="1032" t="s">
        <v>530</v>
      </c>
      <c r="M1596" s="1032" t="s">
        <v>1035</v>
      </c>
      <c r="N1596" s="1032" t="s">
        <v>1044</v>
      </c>
      <c r="O1596" s="1032">
        <v>2021.0</v>
      </c>
      <c r="P1596" s="1032" t="s">
        <v>1039</v>
      </c>
      <c r="Q1596" s="1033" t="s">
        <v>63</v>
      </c>
      <c r="R1596" s="1034">
        <v>0.0</v>
      </c>
      <c r="S1596" s="1034">
        <v>0.0</v>
      </c>
      <c r="T1596" s="1035">
        <v>0.0</v>
      </c>
      <c r="AB1596" s="1045"/>
    </row>
    <row r="1597">
      <c r="A1597" s="294"/>
      <c r="K1597" s="1031" t="s">
        <v>136</v>
      </c>
      <c r="L1597" s="1032" t="s">
        <v>530</v>
      </c>
      <c r="M1597" s="1032" t="s">
        <v>1035</v>
      </c>
      <c r="N1597" s="1032" t="s">
        <v>1046</v>
      </c>
      <c r="O1597" s="1032">
        <v>2021.0</v>
      </c>
      <c r="P1597" s="1032" t="s">
        <v>1039</v>
      </c>
      <c r="Q1597" s="1033" t="s">
        <v>63</v>
      </c>
      <c r="R1597" s="1034">
        <v>30.3031165</v>
      </c>
      <c r="S1597" s="1034">
        <v>13.54482831</v>
      </c>
      <c r="T1597" s="1035">
        <v>59.87272377</v>
      </c>
      <c r="AB1597" s="1045"/>
    </row>
    <row r="1598">
      <c r="A1598" s="294"/>
      <c r="K1598" s="1031" t="s">
        <v>136</v>
      </c>
      <c r="L1598" s="1032" t="s">
        <v>530</v>
      </c>
      <c r="M1598" s="1032" t="s">
        <v>1035</v>
      </c>
      <c r="N1598" s="1032" t="s">
        <v>1045</v>
      </c>
      <c r="O1598" s="1032">
        <v>2021.0</v>
      </c>
      <c r="P1598" s="1032" t="s">
        <v>1039</v>
      </c>
      <c r="Q1598" s="1033" t="s">
        <v>63</v>
      </c>
      <c r="R1598" s="1034">
        <v>55.99470436</v>
      </c>
      <c r="S1598" s="1034">
        <v>22.61478893</v>
      </c>
      <c r="T1598" s="1035">
        <v>123.1117982</v>
      </c>
      <c r="AB1598" s="1045"/>
    </row>
    <row r="1599">
      <c r="A1599" s="294"/>
      <c r="K1599" s="1031" t="s">
        <v>115</v>
      </c>
      <c r="L1599" s="1032" t="s">
        <v>530</v>
      </c>
      <c r="M1599" s="1032" t="s">
        <v>1035</v>
      </c>
      <c r="N1599" s="1032" t="s">
        <v>1038</v>
      </c>
      <c r="O1599" s="1032">
        <v>2021.0</v>
      </c>
      <c r="P1599" s="1032" t="s">
        <v>1039</v>
      </c>
      <c r="Q1599" s="1033" t="s">
        <v>63</v>
      </c>
      <c r="R1599" s="1034">
        <v>143.4276111</v>
      </c>
      <c r="S1599" s="1034">
        <v>70.80008839</v>
      </c>
      <c r="T1599" s="1035">
        <v>255.7231638</v>
      </c>
      <c r="AB1599" s="1045"/>
    </row>
    <row r="1600">
      <c r="A1600" s="294"/>
      <c r="K1600" s="1031" t="s">
        <v>115</v>
      </c>
      <c r="L1600" s="1032" t="s">
        <v>530</v>
      </c>
      <c r="M1600" s="1032" t="s">
        <v>1035</v>
      </c>
      <c r="N1600" s="1032" t="s">
        <v>1042</v>
      </c>
      <c r="O1600" s="1032">
        <v>2021.0</v>
      </c>
      <c r="P1600" s="1032" t="s">
        <v>1039</v>
      </c>
      <c r="Q1600" s="1033" t="s">
        <v>63</v>
      </c>
      <c r="R1600" s="1034">
        <v>0.0</v>
      </c>
      <c r="S1600" s="1034">
        <v>0.0</v>
      </c>
      <c r="T1600" s="1035">
        <v>0.0</v>
      </c>
      <c r="AB1600" s="1045"/>
    </row>
    <row r="1601">
      <c r="A1601" s="294"/>
      <c r="K1601" s="1031" t="s">
        <v>115</v>
      </c>
      <c r="L1601" s="1032" t="s">
        <v>530</v>
      </c>
      <c r="M1601" s="1032" t="s">
        <v>1035</v>
      </c>
      <c r="N1601" s="1032" t="s">
        <v>1044</v>
      </c>
      <c r="O1601" s="1032">
        <v>2021.0</v>
      </c>
      <c r="P1601" s="1032" t="s">
        <v>1039</v>
      </c>
      <c r="Q1601" s="1033" t="s">
        <v>63</v>
      </c>
      <c r="R1601" s="1034">
        <v>0.0</v>
      </c>
      <c r="S1601" s="1034">
        <v>0.0</v>
      </c>
      <c r="T1601" s="1035">
        <v>0.0</v>
      </c>
      <c r="AB1601" s="1045"/>
    </row>
    <row r="1602">
      <c r="A1602" s="294"/>
      <c r="K1602" s="1031" t="s">
        <v>115</v>
      </c>
      <c r="L1602" s="1032" t="s">
        <v>530</v>
      </c>
      <c r="M1602" s="1032" t="s">
        <v>1035</v>
      </c>
      <c r="N1602" s="1032" t="s">
        <v>1046</v>
      </c>
      <c r="O1602" s="1032">
        <v>2021.0</v>
      </c>
      <c r="P1602" s="1032" t="s">
        <v>1039</v>
      </c>
      <c r="Q1602" s="1033" t="s">
        <v>63</v>
      </c>
      <c r="R1602" s="1034">
        <v>78.00837398</v>
      </c>
      <c r="S1602" s="1034">
        <v>45.60748491</v>
      </c>
      <c r="T1602" s="1035">
        <v>122.5572163</v>
      </c>
      <c r="AB1602" s="1045"/>
    </row>
    <row r="1603">
      <c r="A1603" s="294"/>
      <c r="K1603" s="1031" t="s">
        <v>115</v>
      </c>
      <c r="L1603" s="1032" t="s">
        <v>530</v>
      </c>
      <c r="M1603" s="1032" t="s">
        <v>1035</v>
      </c>
      <c r="N1603" s="1032" t="s">
        <v>1045</v>
      </c>
      <c r="O1603" s="1032">
        <v>2021.0</v>
      </c>
      <c r="P1603" s="1032" t="s">
        <v>1039</v>
      </c>
      <c r="Q1603" s="1033" t="s">
        <v>63</v>
      </c>
      <c r="R1603" s="1034">
        <v>221.435985</v>
      </c>
      <c r="S1603" s="1034">
        <v>118.1425761</v>
      </c>
      <c r="T1603" s="1035">
        <v>373.5429738</v>
      </c>
      <c r="AB1603" s="1045"/>
    </row>
    <row r="1604">
      <c r="A1604" s="294"/>
      <c r="K1604" s="1031" t="s">
        <v>137</v>
      </c>
      <c r="L1604" s="1032" t="s">
        <v>530</v>
      </c>
      <c r="M1604" s="1032" t="s">
        <v>1035</v>
      </c>
      <c r="N1604" s="1032" t="s">
        <v>1038</v>
      </c>
      <c r="O1604" s="1032">
        <v>2021.0</v>
      </c>
      <c r="P1604" s="1032" t="s">
        <v>1039</v>
      </c>
      <c r="Q1604" s="1033" t="s">
        <v>63</v>
      </c>
      <c r="R1604" s="1034">
        <v>28.2602685</v>
      </c>
      <c r="S1604" s="1034">
        <v>10.15672622</v>
      </c>
      <c r="T1604" s="1035">
        <v>72.42249392</v>
      </c>
      <c r="AB1604" s="1045"/>
    </row>
    <row r="1605">
      <c r="A1605" s="294"/>
      <c r="K1605" s="1031" t="s">
        <v>137</v>
      </c>
      <c r="L1605" s="1032" t="s">
        <v>530</v>
      </c>
      <c r="M1605" s="1032" t="s">
        <v>1035</v>
      </c>
      <c r="N1605" s="1032" t="s">
        <v>1042</v>
      </c>
      <c r="O1605" s="1032">
        <v>2021.0</v>
      </c>
      <c r="P1605" s="1032" t="s">
        <v>1039</v>
      </c>
      <c r="Q1605" s="1033" t="s">
        <v>63</v>
      </c>
      <c r="R1605" s="1034">
        <v>0.0</v>
      </c>
      <c r="S1605" s="1034">
        <v>0.0</v>
      </c>
      <c r="T1605" s="1035">
        <v>0.0</v>
      </c>
      <c r="AB1605" s="1045"/>
    </row>
    <row r="1606">
      <c r="A1606" s="294"/>
      <c r="K1606" s="1031" t="s">
        <v>137</v>
      </c>
      <c r="L1606" s="1032" t="s">
        <v>530</v>
      </c>
      <c r="M1606" s="1032" t="s">
        <v>1035</v>
      </c>
      <c r="N1606" s="1032" t="s">
        <v>1044</v>
      </c>
      <c r="O1606" s="1032">
        <v>2021.0</v>
      </c>
      <c r="P1606" s="1032" t="s">
        <v>1039</v>
      </c>
      <c r="Q1606" s="1033" t="s">
        <v>63</v>
      </c>
      <c r="R1606" s="1034">
        <v>0.0</v>
      </c>
      <c r="S1606" s="1034">
        <v>0.0</v>
      </c>
      <c r="T1606" s="1035">
        <v>0.0</v>
      </c>
      <c r="AB1606" s="1045"/>
    </row>
    <row r="1607">
      <c r="A1607" s="294"/>
      <c r="K1607" s="1031" t="s">
        <v>137</v>
      </c>
      <c r="L1607" s="1032" t="s">
        <v>530</v>
      </c>
      <c r="M1607" s="1032" t="s">
        <v>1035</v>
      </c>
      <c r="N1607" s="1032" t="s">
        <v>1046</v>
      </c>
      <c r="O1607" s="1032">
        <v>2021.0</v>
      </c>
      <c r="P1607" s="1032" t="s">
        <v>1039</v>
      </c>
      <c r="Q1607" s="1033" t="s">
        <v>63</v>
      </c>
      <c r="R1607" s="1034">
        <v>29.34056446</v>
      </c>
      <c r="S1607" s="1034">
        <v>11.74495551</v>
      </c>
      <c r="T1607" s="1035">
        <v>64.10833218</v>
      </c>
      <c r="AB1607" s="1045"/>
    </row>
    <row r="1608">
      <c r="A1608" s="294"/>
      <c r="K1608" s="1031" t="s">
        <v>137</v>
      </c>
      <c r="L1608" s="1032" t="s">
        <v>530</v>
      </c>
      <c r="M1608" s="1032" t="s">
        <v>1035</v>
      </c>
      <c r="N1608" s="1032" t="s">
        <v>1045</v>
      </c>
      <c r="O1608" s="1032">
        <v>2021.0</v>
      </c>
      <c r="P1608" s="1032" t="s">
        <v>1039</v>
      </c>
      <c r="Q1608" s="1033" t="s">
        <v>63</v>
      </c>
      <c r="R1608" s="1034">
        <v>57.60083295</v>
      </c>
      <c r="S1608" s="1034">
        <v>23.20513273</v>
      </c>
      <c r="T1608" s="1035">
        <v>130.3475232</v>
      </c>
      <c r="AB1608" s="1045"/>
    </row>
    <row r="1609">
      <c r="A1609" s="294"/>
      <c r="K1609" s="1031" t="s">
        <v>116</v>
      </c>
      <c r="L1609" s="1032" t="s">
        <v>530</v>
      </c>
      <c r="M1609" s="1032" t="s">
        <v>1035</v>
      </c>
      <c r="N1609" s="1032" t="s">
        <v>1038</v>
      </c>
      <c r="O1609" s="1032">
        <v>2021.0</v>
      </c>
      <c r="P1609" s="1032" t="s">
        <v>1039</v>
      </c>
      <c r="Q1609" s="1033" t="s">
        <v>63</v>
      </c>
      <c r="R1609" s="1034">
        <v>685.4713902</v>
      </c>
      <c r="S1609" s="1034">
        <v>357.8555158</v>
      </c>
      <c r="T1609" s="1035">
        <v>1096.365542</v>
      </c>
      <c r="AB1609" s="1045"/>
    </row>
    <row r="1610">
      <c r="A1610" s="294"/>
      <c r="K1610" s="1031" t="s">
        <v>116</v>
      </c>
      <c r="L1610" s="1032" t="s">
        <v>530</v>
      </c>
      <c r="M1610" s="1032" t="s">
        <v>1035</v>
      </c>
      <c r="N1610" s="1032" t="s">
        <v>1042</v>
      </c>
      <c r="O1610" s="1032">
        <v>2021.0</v>
      </c>
      <c r="P1610" s="1032" t="s">
        <v>1039</v>
      </c>
      <c r="Q1610" s="1033" t="s">
        <v>63</v>
      </c>
      <c r="R1610" s="1034">
        <v>0.0</v>
      </c>
      <c r="S1610" s="1034">
        <v>0.0</v>
      </c>
      <c r="T1610" s="1035">
        <v>0.0</v>
      </c>
      <c r="AB1610" s="1045"/>
    </row>
    <row r="1611">
      <c r="A1611" s="294"/>
      <c r="K1611" s="1031" t="s">
        <v>116</v>
      </c>
      <c r="L1611" s="1032" t="s">
        <v>530</v>
      </c>
      <c r="M1611" s="1032" t="s">
        <v>1035</v>
      </c>
      <c r="N1611" s="1032" t="s">
        <v>1044</v>
      </c>
      <c r="O1611" s="1032">
        <v>2021.0</v>
      </c>
      <c r="P1611" s="1032" t="s">
        <v>1039</v>
      </c>
      <c r="Q1611" s="1033" t="s">
        <v>63</v>
      </c>
      <c r="R1611" s="1034">
        <v>0.0</v>
      </c>
      <c r="S1611" s="1034">
        <v>0.0</v>
      </c>
      <c r="T1611" s="1035">
        <v>0.0</v>
      </c>
      <c r="AB1611" s="1045"/>
    </row>
    <row r="1612">
      <c r="A1612" s="294"/>
      <c r="K1612" s="1031" t="s">
        <v>116</v>
      </c>
      <c r="L1612" s="1032" t="s">
        <v>530</v>
      </c>
      <c r="M1612" s="1032" t="s">
        <v>1035</v>
      </c>
      <c r="N1612" s="1032" t="s">
        <v>1046</v>
      </c>
      <c r="O1612" s="1032">
        <v>2021.0</v>
      </c>
      <c r="P1612" s="1032" t="s">
        <v>1039</v>
      </c>
      <c r="Q1612" s="1033" t="s">
        <v>63</v>
      </c>
      <c r="R1612" s="1034">
        <v>311.2980709</v>
      </c>
      <c r="S1612" s="1034">
        <v>194.0218619</v>
      </c>
      <c r="T1612" s="1035">
        <v>455.8422812</v>
      </c>
      <c r="AB1612" s="1045"/>
    </row>
    <row r="1613">
      <c r="A1613" s="294"/>
      <c r="K1613" s="1031" t="s">
        <v>116</v>
      </c>
      <c r="L1613" s="1032" t="s">
        <v>530</v>
      </c>
      <c r="M1613" s="1032" t="s">
        <v>1035</v>
      </c>
      <c r="N1613" s="1032" t="s">
        <v>1045</v>
      </c>
      <c r="O1613" s="1032">
        <v>2021.0</v>
      </c>
      <c r="P1613" s="1032" t="s">
        <v>1039</v>
      </c>
      <c r="Q1613" s="1033" t="s">
        <v>63</v>
      </c>
      <c r="R1613" s="1034">
        <v>996.7694611</v>
      </c>
      <c r="S1613" s="1034">
        <v>571.5430723</v>
      </c>
      <c r="T1613" s="1035">
        <v>1517.515904</v>
      </c>
      <c r="AB1613" s="1045"/>
    </row>
    <row r="1614">
      <c r="A1614" s="294"/>
      <c r="K1614" s="1031" t="s">
        <v>138</v>
      </c>
      <c r="L1614" s="1032" t="s">
        <v>530</v>
      </c>
      <c r="M1614" s="1032" t="s">
        <v>1035</v>
      </c>
      <c r="N1614" s="1032" t="s">
        <v>1038</v>
      </c>
      <c r="O1614" s="1032">
        <v>2021.0</v>
      </c>
      <c r="P1614" s="1032" t="s">
        <v>1039</v>
      </c>
      <c r="Q1614" s="1033" t="s">
        <v>63</v>
      </c>
      <c r="R1614" s="1034">
        <v>160.9540327</v>
      </c>
      <c r="S1614" s="1034">
        <v>70.35086225</v>
      </c>
      <c r="T1614" s="1035">
        <v>357.5266532</v>
      </c>
      <c r="AB1614" s="1045"/>
    </row>
    <row r="1615">
      <c r="A1615" s="294"/>
      <c r="K1615" s="1031" t="s">
        <v>138</v>
      </c>
      <c r="L1615" s="1032" t="s">
        <v>530</v>
      </c>
      <c r="M1615" s="1032" t="s">
        <v>1035</v>
      </c>
      <c r="N1615" s="1032" t="s">
        <v>1042</v>
      </c>
      <c r="O1615" s="1032">
        <v>2021.0</v>
      </c>
      <c r="P1615" s="1032" t="s">
        <v>1039</v>
      </c>
      <c r="Q1615" s="1033" t="s">
        <v>63</v>
      </c>
      <c r="R1615" s="1034">
        <v>0.0</v>
      </c>
      <c r="S1615" s="1034">
        <v>0.0</v>
      </c>
      <c r="T1615" s="1035">
        <v>0.0</v>
      </c>
      <c r="AB1615" s="1045"/>
    </row>
    <row r="1616">
      <c r="A1616" s="294"/>
      <c r="K1616" s="1031" t="s">
        <v>138</v>
      </c>
      <c r="L1616" s="1032" t="s">
        <v>530</v>
      </c>
      <c r="M1616" s="1032" t="s">
        <v>1035</v>
      </c>
      <c r="N1616" s="1032" t="s">
        <v>1044</v>
      </c>
      <c r="O1616" s="1032">
        <v>2021.0</v>
      </c>
      <c r="P1616" s="1032" t="s">
        <v>1039</v>
      </c>
      <c r="Q1616" s="1033" t="s">
        <v>63</v>
      </c>
      <c r="R1616" s="1034">
        <v>0.0</v>
      </c>
      <c r="S1616" s="1034">
        <v>0.0</v>
      </c>
      <c r="T1616" s="1035">
        <v>0.0</v>
      </c>
      <c r="AB1616" s="1045"/>
    </row>
    <row r="1617">
      <c r="A1617" s="294"/>
      <c r="K1617" s="1031" t="s">
        <v>138</v>
      </c>
      <c r="L1617" s="1032" t="s">
        <v>530</v>
      </c>
      <c r="M1617" s="1032" t="s">
        <v>1035</v>
      </c>
      <c r="N1617" s="1032" t="s">
        <v>1046</v>
      </c>
      <c r="O1617" s="1032">
        <v>2021.0</v>
      </c>
      <c r="P1617" s="1032" t="s">
        <v>1039</v>
      </c>
      <c r="Q1617" s="1033" t="s">
        <v>63</v>
      </c>
      <c r="R1617" s="1034">
        <v>181.2279969</v>
      </c>
      <c r="S1617" s="1034">
        <v>104.4151573</v>
      </c>
      <c r="T1617" s="1035">
        <v>301.3689367</v>
      </c>
      <c r="AB1617" s="1045"/>
    </row>
    <row r="1618">
      <c r="A1618" s="294"/>
      <c r="K1618" s="1031" t="s">
        <v>138</v>
      </c>
      <c r="L1618" s="1032" t="s">
        <v>530</v>
      </c>
      <c r="M1618" s="1032" t="s">
        <v>1035</v>
      </c>
      <c r="N1618" s="1032" t="s">
        <v>1045</v>
      </c>
      <c r="O1618" s="1032">
        <v>2021.0</v>
      </c>
      <c r="P1618" s="1032" t="s">
        <v>1039</v>
      </c>
      <c r="Q1618" s="1033" t="s">
        <v>63</v>
      </c>
      <c r="R1618" s="1034">
        <v>342.1820296</v>
      </c>
      <c r="S1618" s="1034">
        <v>184.6241156</v>
      </c>
      <c r="T1618" s="1035">
        <v>635.7386461</v>
      </c>
      <c r="AB1618" s="1045"/>
    </row>
    <row r="1619">
      <c r="A1619" s="294"/>
      <c r="K1619" s="1031" t="s">
        <v>118</v>
      </c>
      <c r="L1619" s="1032" t="s">
        <v>530</v>
      </c>
      <c r="M1619" s="1032" t="s">
        <v>1035</v>
      </c>
      <c r="N1619" s="1032" t="s">
        <v>1038</v>
      </c>
      <c r="O1619" s="1032">
        <v>2021.0</v>
      </c>
      <c r="P1619" s="1032" t="s">
        <v>1039</v>
      </c>
      <c r="Q1619" s="1033" t="s">
        <v>63</v>
      </c>
      <c r="R1619" s="1034">
        <v>796.9516806</v>
      </c>
      <c r="S1619" s="1034">
        <v>362.0761397</v>
      </c>
      <c r="T1619" s="1035">
        <v>1513.308456</v>
      </c>
      <c r="AB1619" s="1045"/>
    </row>
    <row r="1620">
      <c r="A1620" s="294"/>
      <c r="K1620" s="1031" t="s">
        <v>118</v>
      </c>
      <c r="L1620" s="1032" t="s">
        <v>530</v>
      </c>
      <c r="M1620" s="1032" t="s">
        <v>1035</v>
      </c>
      <c r="N1620" s="1032" t="s">
        <v>1042</v>
      </c>
      <c r="O1620" s="1032">
        <v>2021.0</v>
      </c>
      <c r="P1620" s="1032" t="s">
        <v>1039</v>
      </c>
      <c r="Q1620" s="1033" t="s">
        <v>63</v>
      </c>
      <c r="R1620" s="1034">
        <v>0.0</v>
      </c>
      <c r="S1620" s="1034">
        <v>0.0</v>
      </c>
      <c r="T1620" s="1035">
        <v>0.0</v>
      </c>
      <c r="AB1620" s="1045"/>
    </row>
    <row r="1621">
      <c r="A1621" s="294"/>
      <c r="K1621" s="1031" t="s">
        <v>118</v>
      </c>
      <c r="L1621" s="1032" t="s">
        <v>530</v>
      </c>
      <c r="M1621" s="1032" t="s">
        <v>1035</v>
      </c>
      <c r="N1621" s="1032" t="s">
        <v>1044</v>
      </c>
      <c r="O1621" s="1032">
        <v>2021.0</v>
      </c>
      <c r="P1621" s="1032" t="s">
        <v>1039</v>
      </c>
      <c r="Q1621" s="1033" t="s">
        <v>63</v>
      </c>
      <c r="R1621" s="1034">
        <v>0.0</v>
      </c>
      <c r="S1621" s="1034">
        <v>0.0</v>
      </c>
      <c r="T1621" s="1035">
        <v>0.0</v>
      </c>
      <c r="AB1621" s="1045"/>
    </row>
    <row r="1622">
      <c r="A1622" s="294"/>
      <c r="K1622" s="1031" t="s">
        <v>118</v>
      </c>
      <c r="L1622" s="1032" t="s">
        <v>530</v>
      </c>
      <c r="M1622" s="1032" t="s">
        <v>1035</v>
      </c>
      <c r="N1622" s="1032" t="s">
        <v>1046</v>
      </c>
      <c r="O1622" s="1032">
        <v>2021.0</v>
      </c>
      <c r="P1622" s="1032" t="s">
        <v>1039</v>
      </c>
      <c r="Q1622" s="1033" t="s">
        <v>63</v>
      </c>
      <c r="R1622" s="1034">
        <v>380.4584128</v>
      </c>
      <c r="S1622" s="1034">
        <v>210.8088333</v>
      </c>
      <c r="T1622" s="1035">
        <v>636.6868386</v>
      </c>
      <c r="AB1622" s="1045"/>
    </row>
    <row r="1623">
      <c r="A1623" s="294"/>
      <c r="K1623" s="1031" t="s">
        <v>118</v>
      </c>
      <c r="L1623" s="1032" t="s">
        <v>530</v>
      </c>
      <c r="M1623" s="1032" t="s">
        <v>1035</v>
      </c>
      <c r="N1623" s="1032" t="s">
        <v>1045</v>
      </c>
      <c r="O1623" s="1032">
        <v>2021.0</v>
      </c>
      <c r="P1623" s="1032" t="s">
        <v>1039</v>
      </c>
      <c r="Q1623" s="1033" t="s">
        <v>63</v>
      </c>
      <c r="R1623" s="1034">
        <v>1177.410093</v>
      </c>
      <c r="S1623" s="1034">
        <v>589.2860742</v>
      </c>
      <c r="T1623" s="1035">
        <v>2090.773767</v>
      </c>
      <c r="AB1623" s="1045"/>
    </row>
    <row r="1624">
      <c r="A1624" s="294"/>
      <c r="K1624" s="1031" t="s">
        <v>119</v>
      </c>
      <c r="L1624" s="1032" t="s">
        <v>530</v>
      </c>
      <c r="M1624" s="1032" t="s">
        <v>1035</v>
      </c>
      <c r="N1624" s="1032" t="s">
        <v>1038</v>
      </c>
      <c r="O1624" s="1032">
        <v>2021.0</v>
      </c>
      <c r="P1624" s="1032" t="s">
        <v>1039</v>
      </c>
      <c r="Q1624" s="1033" t="s">
        <v>63</v>
      </c>
      <c r="R1624" s="1034">
        <v>722.2080092</v>
      </c>
      <c r="S1624" s="1034">
        <v>353.5175409</v>
      </c>
      <c r="T1624" s="1035">
        <v>1182.341503</v>
      </c>
      <c r="AB1624" s="1045"/>
    </row>
    <row r="1625">
      <c r="A1625" s="294"/>
      <c r="K1625" s="1031" t="s">
        <v>119</v>
      </c>
      <c r="L1625" s="1032" t="s">
        <v>530</v>
      </c>
      <c r="M1625" s="1032" t="s">
        <v>1035</v>
      </c>
      <c r="N1625" s="1032" t="s">
        <v>1042</v>
      </c>
      <c r="O1625" s="1032">
        <v>2021.0</v>
      </c>
      <c r="P1625" s="1032" t="s">
        <v>1039</v>
      </c>
      <c r="Q1625" s="1033" t="s">
        <v>63</v>
      </c>
      <c r="R1625" s="1034">
        <v>0.0</v>
      </c>
      <c r="S1625" s="1034">
        <v>0.0</v>
      </c>
      <c r="T1625" s="1035">
        <v>0.0</v>
      </c>
      <c r="AB1625" s="1045"/>
    </row>
    <row r="1626">
      <c r="A1626" s="294"/>
      <c r="K1626" s="1031" t="s">
        <v>119</v>
      </c>
      <c r="L1626" s="1032" t="s">
        <v>530</v>
      </c>
      <c r="M1626" s="1032" t="s">
        <v>1035</v>
      </c>
      <c r="N1626" s="1032" t="s">
        <v>1044</v>
      </c>
      <c r="O1626" s="1032">
        <v>2021.0</v>
      </c>
      <c r="P1626" s="1032" t="s">
        <v>1039</v>
      </c>
      <c r="Q1626" s="1033" t="s">
        <v>63</v>
      </c>
      <c r="R1626" s="1034">
        <v>0.0</v>
      </c>
      <c r="S1626" s="1034">
        <v>0.0</v>
      </c>
      <c r="T1626" s="1035">
        <v>0.0</v>
      </c>
      <c r="AB1626" s="1045"/>
    </row>
    <row r="1627">
      <c r="A1627" s="294"/>
      <c r="K1627" s="1031" t="s">
        <v>119</v>
      </c>
      <c r="L1627" s="1032" t="s">
        <v>530</v>
      </c>
      <c r="M1627" s="1032" t="s">
        <v>1035</v>
      </c>
      <c r="N1627" s="1032" t="s">
        <v>1046</v>
      </c>
      <c r="O1627" s="1032">
        <v>2021.0</v>
      </c>
      <c r="P1627" s="1032" t="s">
        <v>1039</v>
      </c>
      <c r="Q1627" s="1033" t="s">
        <v>63</v>
      </c>
      <c r="R1627" s="1034">
        <v>410.4812162</v>
      </c>
      <c r="S1627" s="1034">
        <v>239.1141172</v>
      </c>
      <c r="T1627" s="1035">
        <v>616.6315849</v>
      </c>
      <c r="AB1627" s="1045"/>
    </row>
    <row r="1628">
      <c r="A1628" s="294"/>
      <c r="K1628" s="1031" t="s">
        <v>119</v>
      </c>
      <c r="L1628" s="1032" t="s">
        <v>530</v>
      </c>
      <c r="M1628" s="1032" t="s">
        <v>1035</v>
      </c>
      <c r="N1628" s="1032" t="s">
        <v>1045</v>
      </c>
      <c r="O1628" s="1032">
        <v>2021.0</v>
      </c>
      <c r="P1628" s="1032" t="s">
        <v>1039</v>
      </c>
      <c r="Q1628" s="1033" t="s">
        <v>63</v>
      </c>
      <c r="R1628" s="1034">
        <v>1132.689225</v>
      </c>
      <c r="S1628" s="1034">
        <v>612.6220733</v>
      </c>
      <c r="T1628" s="1035">
        <v>1716.194978</v>
      </c>
      <c r="AB1628" s="1045"/>
    </row>
    <row r="1629">
      <c r="A1629" s="294"/>
      <c r="K1629" s="1031" t="s">
        <v>120</v>
      </c>
      <c r="L1629" s="1032" t="s">
        <v>530</v>
      </c>
      <c r="M1629" s="1032" t="s">
        <v>1035</v>
      </c>
      <c r="N1629" s="1032" t="s">
        <v>1038</v>
      </c>
      <c r="O1629" s="1032">
        <v>2021.0</v>
      </c>
      <c r="P1629" s="1032" t="s">
        <v>1039</v>
      </c>
      <c r="Q1629" s="1033" t="s">
        <v>63</v>
      </c>
      <c r="R1629" s="1034">
        <v>342.6300134</v>
      </c>
      <c r="S1629" s="1034">
        <v>188.5921633</v>
      </c>
      <c r="T1629" s="1035">
        <v>570.437696</v>
      </c>
      <c r="AB1629" s="1045"/>
    </row>
    <row r="1630">
      <c r="A1630" s="294"/>
      <c r="K1630" s="1031" t="s">
        <v>120</v>
      </c>
      <c r="L1630" s="1032" t="s">
        <v>530</v>
      </c>
      <c r="M1630" s="1032" t="s">
        <v>1035</v>
      </c>
      <c r="N1630" s="1032" t="s">
        <v>1042</v>
      </c>
      <c r="O1630" s="1032">
        <v>2021.0</v>
      </c>
      <c r="P1630" s="1032" t="s">
        <v>1039</v>
      </c>
      <c r="Q1630" s="1033" t="s">
        <v>63</v>
      </c>
      <c r="R1630" s="1034">
        <v>0.0</v>
      </c>
      <c r="S1630" s="1034">
        <v>0.0</v>
      </c>
      <c r="T1630" s="1035">
        <v>0.0</v>
      </c>
      <c r="AB1630" s="1045"/>
    </row>
    <row r="1631">
      <c r="A1631" s="294"/>
      <c r="K1631" s="1031" t="s">
        <v>120</v>
      </c>
      <c r="L1631" s="1032" t="s">
        <v>530</v>
      </c>
      <c r="M1631" s="1032" t="s">
        <v>1035</v>
      </c>
      <c r="N1631" s="1032" t="s">
        <v>1044</v>
      </c>
      <c r="O1631" s="1032">
        <v>2021.0</v>
      </c>
      <c r="P1631" s="1032" t="s">
        <v>1039</v>
      </c>
      <c r="Q1631" s="1033" t="s">
        <v>63</v>
      </c>
      <c r="R1631" s="1034">
        <v>0.0</v>
      </c>
      <c r="S1631" s="1034">
        <v>0.0</v>
      </c>
      <c r="T1631" s="1035">
        <v>0.0</v>
      </c>
      <c r="AB1631" s="1045"/>
    </row>
    <row r="1632">
      <c r="A1632" s="294"/>
      <c r="K1632" s="1031" t="s">
        <v>120</v>
      </c>
      <c r="L1632" s="1032" t="s">
        <v>530</v>
      </c>
      <c r="M1632" s="1032" t="s">
        <v>1035</v>
      </c>
      <c r="N1632" s="1032" t="s">
        <v>1046</v>
      </c>
      <c r="O1632" s="1032">
        <v>2021.0</v>
      </c>
      <c r="P1632" s="1032" t="s">
        <v>1039</v>
      </c>
      <c r="Q1632" s="1033" t="s">
        <v>63</v>
      </c>
      <c r="R1632" s="1034">
        <v>207.5730729</v>
      </c>
      <c r="S1632" s="1034">
        <v>134.242312</v>
      </c>
      <c r="T1632" s="1035">
        <v>296.3691233</v>
      </c>
      <c r="AB1632" s="1045"/>
    </row>
    <row r="1633">
      <c r="A1633" s="294"/>
      <c r="K1633" s="1031" t="s">
        <v>120</v>
      </c>
      <c r="L1633" s="1032" t="s">
        <v>530</v>
      </c>
      <c r="M1633" s="1032" t="s">
        <v>1035</v>
      </c>
      <c r="N1633" s="1032" t="s">
        <v>1045</v>
      </c>
      <c r="O1633" s="1032">
        <v>2021.0</v>
      </c>
      <c r="P1633" s="1032" t="s">
        <v>1039</v>
      </c>
      <c r="Q1633" s="1033" t="s">
        <v>63</v>
      </c>
      <c r="R1633" s="1034">
        <v>550.2030862</v>
      </c>
      <c r="S1633" s="1034">
        <v>334.4155702</v>
      </c>
      <c r="T1633" s="1035">
        <v>841.8181857</v>
      </c>
      <c r="AB1633" s="1045"/>
    </row>
    <row r="1634">
      <c r="A1634" s="294"/>
      <c r="K1634" s="1031" t="s">
        <v>139</v>
      </c>
      <c r="L1634" s="1032" t="s">
        <v>530</v>
      </c>
      <c r="M1634" s="1032" t="s">
        <v>1035</v>
      </c>
      <c r="N1634" s="1032" t="s">
        <v>1038</v>
      </c>
      <c r="O1634" s="1032">
        <v>2021.0</v>
      </c>
      <c r="P1634" s="1032" t="s">
        <v>1039</v>
      </c>
      <c r="Q1634" s="1033" t="s">
        <v>63</v>
      </c>
      <c r="R1634" s="1034">
        <v>12.62228724</v>
      </c>
      <c r="S1634" s="1034">
        <v>4.89894448</v>
      </c>
      <c r="T1634" s="1035">
        <v>29.72200908</v>
      </c>
      <c r="AB1634" s="1045"/>
    </row>
    <row r="1635">
      <c r="A1635" s="294"/>
      <c r="K1635" s="1031" t="s">
        <v>139</v>
      </c>
      <c r="L1635" s="1032" t="s">
        <v>530</v>
      </c>
      <c r="M1635" s="1032" t="s">
        <v>1035</v>
      </c>
      <c r="N1635" s="1032" t="s">
        <v>1042</v>
      </c>
      <c r="O1635" s="1032">
        <v>2021.0</v>
      </c>
      <c r="P1635" s="1032" t="s">
        <v>1039</v>
      </c>
      <c r="Q1635" s="1033" t="s">
        <v>63</v>
      </c>
      <c r="R1635" s="1034">
        <v>0.0</v>
      </c>
      <c r="S1635" s="1034">
        <v>0.0</v>
      </c>
      <c r="T1635" s="1035">
        <v>0.0</v>
      </c>
      <c r="AB1635" s="1045"/>
    </row>
    <row r="1636">
      <c r="A1636" s="294"/>
      <c r="K1636" s="1031" t="s">
        <v>139</v>
      </c>
      <c r="L1636" s="1032" t="s">
        <v>530</v>
      </c>
      <c r="M1636" s="1032" t="s">
        <v>1035</v>
      </c>
      <c r="N1636" s="1032" t="s">
        <v>1044</v>
      </c>
      <c r="O1636" s="1032">
        <v>2021.0</v>
      </c>
      <c r="P1636" s="1032" t="s">
        <v>1039</v>
      </c>
      <c r="Q1636" s="1033" t="s">
        <v>63</v>
      </c>
      <c r="R1636" s="1034">
        <v>0.0</v>
      </c>
      <c r="S1636" s="1034">
        <v>0.0</v>
      </c>
      <c r="T1636" s="1035">
        <v>0.0</v>
      </c>
      <c r="AB1636" s="1045"/>
    </row>
    <row r="1637">
      <c r="A1637" s="294"/>
      <c r="K1637" s="1031" t="s">
        <v>139</v>
      </c>
      <c r="L1637" s="1032" t="s">
        <v>530</v>
      </c>
      <c r="M1637" s="1032" t="s">
        <v>1035</v>
      </c>
      <c r="N1637" s="1032" t="s">
        <v>1046</v>
      </c>
      <c r="O1637" s="1032">
        <v>2021.0</v>
      </c>
      <c r="P1637" s="1032" t="s">
        <v>1039</v>
      </c>
      <c r="Q1637" s="1033" t="s">
        <v>63</v>
      </c>
      <c r="R1637" s="1034">
        <v>7.792658349</v>
      </c>
      <c r="S1637" s="1034">
        <v>3.55503711</v>
      </c>
      <c r="T1637" s="1035">
        <v>15.31278371</v>
      </c>
      <c r="AB1637" s="1045"/>
    </row>
    <row r="1638">
      <c r="A1638" s="294"/>
      <c r="K1638" s="1031" t="s">
        <v>139</v>
      </c>
      <c r="L1638" s="1032" t="s">
        <v>530</v>
      </c>
      <c r="M1638" s="1032" t="s">
        <v>1035</v>
      </c>
      <c r="N1638" s="1032" t="s">
        <v>1045</v>
      </c>
      <c r="O1638" s="1032">
        <v>2021.0</v>
      </c>
      <c r="P1638" s="1032" t="s">
        <v>1039</v>
      </c>
      <c r="Q1638" s="1033" t="s">
        <v>63</v>
      </c>
      <c r="R1638" s="1034">
        <v>20.41494559</v>
      </c>
      <c r="S1638" s="1034">
        <v>8.923225345</v>
      </c>
      <c r="T1638" s="1035">
        <v>44.19706479</v>
      </c>
      <c r="AB1638" s="1045"/>
    </row>
    <row r="1639">
      <c r="A1639" s="294"/>
      <c r="K1639" s="1031" t="s">
        <v>140</v>
      </c>
      <c r="L1639" s="1032" t="s">
        <v>530</v>
      </c>
      <c r="M1639" s="1032" t="s">
        <v>1035</v>
      </c>
      <c r="N1639" s="1032" t="s">
        <v>1038</v>
      </c>
      <c r="O1639" s="1032">
        <v>2021.0</v>
      </c>
      <c r="P1639" s="1032" t="s">
        <v>1039</v>
      </c>
      <c r="Q1639" s="1033" t="s">
        <v>63</v>
      </c>
      <c r="R1639" s="1034">
        <v>8.936599831</v>
      </c>
      <c r="S1639" s="1034">
        <v>3.449467434</v>
      </c>
      <c r="T1639" s="1035">
        <v>23.66463446</v>
      </c>
      <c r="AB1639" s="1045"/>
    </row>
    <row r="1640">
      <c r="A1640" s="294"/>
      <c r="K1640" s="1031" t="s">
        <v>140</v>
      </c>
      <c r="L1640" s="1032" t="s">
        <v>530</v>
      </c>
      <c r="M1640" s="1032" t="s">
        <v>1035</v>
      </c>
      <c r="N1640" s="1032" t="s">
        <v>1042</v>
      </c>
      <c r="O1640" s="1032">
        <v>2021.0</v>
      </c>
      <c r="P1640" s="1032" t="s">
        <v>1039</v>
      </c>
      <c r="Q1640" s="1033" t="s">
        <v>63</v>
      </c>
      <c r="R1640" s="1034">
        <v>0.0</v>
      </c>
      <c r="S1640" s="1034">
        <v>0.0</v>
      </c>
      <c r="T1640" s="1035">
        <v>0.0</v>
      </c>
      <c r="AB1640" s="1045"/>
    </row>
    <row r="1641">
      <c r="A1641" s="294"/>
      <c r="K1641" s="1031" t="s">
        <v>140</v>
      </c>
      <c r="L1641" s="1032" t="s">
        <v>530</v>
      </c>
      <c r="M1641" s="1032" t="s">
        <v>1035</v>
      </c>
      <c r="N1641" s="1032" t="s">
        <v>1044</v>
      </c>
      <c r="O1641" s="1032">
        <v>2021.0</v>
      </c>
      <c r="P1641" s="1032" t="s">
        <v>1039</v>
      </c>
      <c r="Q1641" s="1033" t="s">
        <v>63</v>
      </c>
      <c r="R1641" s="1034">
        <v>0.0</v>
      </c>
      <c r="S1641" s="1034">
        <v>0.0</v>
      </c>
      <c r="T1641" s="1035">
        <v>0.0</v>
      </c>
      <c r="AB1641" s="1045"/>
    </row>
    <row r="1642">
      <c r="A1642" s="294"/>
      <c r="K1642" s="1031" t="s">
        <v>140</v>
      </c>
      <c r="L1642" s="1032" t="s">
        <v>530</v>
      </c>
      <c r="M1642" s="1032" t="s">
        <v>1035</v>
      </c>
      <c r="N1642" s="1032" t="s">
        <v>1046</v>
      </c>
      <c r="O1642" s="1032">
        <v>2021.0</v>
      </c>
      <c r="P1642" s="1032" t="s">
        <v>1039</v>
      </c>
      <c r="Q1642" s="1033" t="s">
        <v>63</v>
      </c>
      <c r="R1642" s="1034">
        <v>8.394001523</v>
      </c>
      <c r="S1642" s="1034">
        <v>3.724551707</v>
      </c>
      <c r="T1642" s="1035">
        <v>18.30557552</v>
      </c>
      <c r="AB1642" s="1045"/>
    </row>
    <row r="1643">
      <c r="A1643" s="294"/>
      <c r="K1643" s="1031" t="s">
        <v>140</v>
      </c>
      <c r="L1643" s="1032" t="s">
        <v>530</v>
      </c>
      <c r="M1643" s="1032" t="s">
        <v>1035</v>
      </c>
      <c r="N1643" s="1032" t="s">
        <v>1045</v>
      </c>
      <c r="O1643" s="1032">
        <v>2021.0</v>
      </c>
      <c r="P1643" s="1032" t="s">
        <v>1039</v>
      </c>
      <c r="Q1643" s="1033" t="s">
        <v>63</v>
      </c>
      <c r="R1643" s="1034">
        <v>17.33060135</v>
      </c>
      <c r="S1643" s="1034">
        <v>7.324852143</v>
      </c>
      <c r="T1643" s="1035">
        <v>39.70936086</v>
      </c>
      <c r="AB1643" s="1045"/>
    </row>
    <row r="1644">
      <c r="A1644" s="294"/>
      <c r="K1644" s="1031" t="s">
        <v>141</v>
      </c>
      <c r="L1644" s="1032" t="s">
        <v>530</v>
      </c>
      <c r="M1644" s="1032" t="s">
        <v>1035</v>
      </c>
      <c r="N1644" s="1032" t="s">
        <v>1038</v>
      </c>
      <c r="O1644" s="1032">
        <v>2021.0</v>
      </c>
      <c r="P1644" s="1032" t="s">
        <v>1039</v>
      </c>
      <c r="Q1644" s="1033" t="s">
        <v>63</v>
      </c>
      <c r="R1644" s="1034">
        <v>7.354634268</v>
      </c>
      <c r="S1644" s="1034">
        <v>2.598892106</v>
      </c>
      <c r="T1644" s="1035">
        <v>19.95102196</v>
      </c>
      <c r="AB1644" s="1045"/>
    </row>
    <row r="1645">
      <c r="A1645" s="294"/>
      <c r="K1645" s="1031" t="s">
        <v>141</v>
      </c>
      <c r="L1645" s="1032" t="s">
        <v>530</v>
      </c>
      <c r="M1645" s="1032" t="s">
        <v>1035</v>
      </c>
      <c r="N1645" s="1032" t="s">
        <v>1042</v>
      </c>
      <c r="O1645" s="1032">
        <v>2021.0</v>
      </c>
      <c r="P1645" s="1032" t="s">
        <v>1039</v>
      </c>
      <c r="Q1645" s="1033" t="s">
        <v>63</v>
      </c>
      <c r="R1645" s="1034">
        <v>0.0</v>
      </c>
      <c r="S1645" s="1034">
        <v>0.0</v>
      </c>
      <c r="T1645" s="1035">
        <v>0.0</v>
      </c>
      <c r="AB1645" s="1045"/>
    </row>
    <row r="1646">
      <c r="A1646" s="294"/>
      <c r="K1646" s="1031" t="s">
        <v>141</v>
      </c>
      <c r="L1646" s="1032" t="s">
        <v>530</v>
      </c>
      <c r="M1646" s="1032" t="s">
        <v>1035</v>
      </c>
      <c r="N1646" s="1032" t="s">
        <v>1044</v>
      </c>
      <c r="O1646" s="1032">
        <v>2021.0</v>
      </c>
      <c r="P1646" s="1032" t="s">
        <v>1039</v>
      </c>
      <c r="Q1646" s="1033" t="s">
        <v>63</v>
      </c>
      <c r="R1646" s="1034">
        <v>0.0</v>
      </c>
      <c r="S1646" s="1034">
        <v>0.0</v>
      </c>
      <c r="T1646" s="1035">
        <v>0.0</v>
      </c>
      <c r="AB1646" s="1045"/>
    </row>
    <row r="1647">
      <c r="A1647" s="294"/>
      <c r="K1647" s="1031" t="s">
        <v>141</v>
      </c>
      <c r="L1647" s="1032" t="s">
        <v>530</v>
      </c>
      <c r="M1647" s="1032" t="s">
        <v>1035</v>
      </c>
      <c r="N1647" s="1032" t="s">
        <v>1046</v>
      </c>
      <c r="O1647" s="1032">
        <v>2021.0</v>
      </c>
      <c r="P1647" s="1032" t="s">
        <v>1039</v>
      </c>
      <c r="Q1647" s="1033" t="s">
        <v>63</v>
      </c>
      <c r="R1647" s="1034">
        <v>9.454574061</v>
      </c>
      <c r="S1647" s="1034">
        <v>4.393234409</v>
      </c>
      <c r="T1647" s="1035">
        <v>19.3785179</v>
      </c>
      <c r="AB1647" s="1045"/>
    </row>
    <row r="1648">
      <c r="A1648" s="294"/>
      <c r="K1648" s="1031" t="s">
        <v>141</v>
      </c>
      <c r="L1648" s="1032" t="s">
        <v>530</v>
      </c>
      <c r="M1648" s="1032" t="s">
        <v>1035</v>
      </c>
      <c r="N1648" s="1032" t="s">
        <v>1045</v>
      </c>
      <c r="O1648" s="1032">
        <v>2021.0</v>
      </c>
      <c r="P1648" s="1032" t="s">
        <v>1039</v>
      </c>
      <c r="Q1648" s="1033" t="s">
        <v>63</v>
      </c>
      <c r="R1648" s="1034">
        <v>16.80920833</v>
      </c>
      <c r="S1648" s="1034">
        <v>7.234794074</v>
      </c>
      <c r="T1648" s="1035">
        <v>38.22310015</v>
      </c>
      <c r="AB1648" s="1045"/>
    </row>
    <row r="1649">
      <c r="A1649" s="294"/>
      <c r="K1649" s="1031" t="s">
        <v>142</v>
      </c>
      <c r="L1649" s="1032" t="s">
        <v>530</v>
      </c>
      <c r="M1649" s="1032" t="s">
        <v>1035</v>
      </c>
      <c r="N1649" s="1032" t="s">
        <v>1038</v>
      </c>
      <c r="O1649" s="1032">
        <v>2021.0</v>
      </c>
      <c r="P1649" s="1032" t="s">
        <v>1039</v>
      </c>
      <c r="Q1649" s="1033" t="s">
        <v>63</v>
      </c>
      <c r="R1649" s="1034">
        <v>51.88280128</v>
      </c>
      <c r="S1649" s="1034">
        <v>22.60792451</v>
      </c>
      <c r="T1649" s="1035">
        <v>118.9459717</v>
      </c>
      <c r="AB1649" s="1045"/>
    </row>
    <row r="1650">
      <c r="A1650" s="294"/>
      <c r="K1650" s="1031" t="s">
        <v>142</v>
      </c>
      <c r="L1650" s="1032" t="s">
        <v>530</v>
      </c>
      <c r="M1650" s="1032" t="s">
        <v>1035</v>
      </c>
      <c r="N1650" s="1032" t="s">
        <v>1042</v>
      </c>
      <c r="O1650" s="1032">
        <v>2021.0</v>
      </c>
      <c r="P1650" s="1032" t="s">
        <v>1039</v>
      </c>
      <c r="Q1650" s="1033" t="s">
        <v>63</v>
      </c>
      <c r="R1650" s="1034">
        <v>0.0</v>
      </c>
      <c r="S1650" s="1034">
        <v>0.0</v>
      </c>
      <c r="T1650" s="1035">
        <v>0.0</v>
      </c>
      <c r="AB1650" s="1045"/>
    </row>
    <row r="1651">
      <c r="A1651" s="294"/>
      <c r="K1651" s="1031" t="s">
        <v>142</v>
      </c>
      <c r="L1651" s="1032" t="s">
        <v>530</v>
      </c>
      <c r="M1651" s="1032" t="s">
        <v>1035</v>
      </c>
      <c r="N1651" s="1032" t="s">
        <v>1044</v>
      </c>
      <c r="O1651" s="1032">
        <v>2021.0</v>
      </c>
      <c r="P1651" s="1032" t="s">
        <v>1039</v>
      </c>
      <c r="Q1651" s="1033" t="s">
        <v>63</v>
      </c>
      <c r="R1651" s="1034">
        <v>0.0</v>
      </c>
      <c r="S1651" s="1034">
        <v>0.0</v>
      </c>
      <c r="T1651" s="1035">
        <v>0.0</v>
      </c>
      <c r="AB1651" s="1045"/>
    </row>
    <row r="1652">
      <c r="A1652" s="294"/>
      <c r="K1652" s="1031" t="s">
        <v>142</v>
      </c>
      <c r="L1652" s="1032" t="s">
        <v>530</v>
      </c>
      <c r="M1652" s="1032" t="s">
        <v>1035</v>
      </c>
      <c r="N1652" s="1032" t="s">
        <v>1046</v>
      </c>
      <c r="O1652" s="1032">
        <v>2021.0</v>
      </c>
      <c r="P1652" s="1032" t="s">
        <v>1039</v>
      </c>
      <c r="Q1652" s="1033" t="s">
        <v>63</v>
      </c>
      <c r="R1652" s="1034">
        <v>49.55119908</v>
      </c>
      <c r="S1652" s="1034">
        <v>26.87053548</v>
      </c>
      <c r="T1652" s="1035">
        <v>86.2249929</v>
      </c>
      <c r="AB1652" s="1045"/>
    </row>
    <row r="1653">
      <c r="A1653" s="294"/>
      <c r="K1653" s="1031" t="s">
        <v>142</v>
      </c>
      <c r="L1653" s="1032" t="s">
        <v>530</v>
      </c>
      <c r="M1653" s="1032" t="s">
        <v>1035</v>
      </c>
      <c r="N1653" s="1032" t="s">
        <v>1045</v>
      </c>
      <c r="O1653" s="1032">
        <v>2021.0</v>
      </c>
      <c r="P1653" s="1032" t="s">
        <v>1039</v>
      </c>
      <c r="Q1653" s="1033" t="s">
        <v>63</v>
      </c>
      <c r="R1653" s="1034">
        <v>101.4340004</v>
      </c>
      <c r="S1653" s="1034">
        <v>50.60475599</v>
      </c>
      <c r="T1653" s="1035">
        <v>199.4835236</v>
      </c>
      <c r="AB1653" s="1045"/>
    </row>
    <row r="1654">
      <c r="A1654" s="294"/>
      <c r="K1654" s="1031" t="s">
        <v>143</v>
      </c>
      <c r="L1654" s="1032" t="s">
        <v>530</v>
      </c>
      <c r="M1654" s="1032" t="s">
        <v>1035</v>
      </c>
      <c r="N1654" s="1032" t="s">
        <v>1038</v>
      </c>
      <c r="O1654" s="1032">
        <v>2021.0</v>
      </c>
      <c r="P1654" s="1032" t="s">
        <v>1039</v>
      </c>
      <c r="Q1654" s="1033" t="s">
        <v>63</v>
      </c>
      <c r="R1654" s="1034">
        <v>196.5909533</v>
      </c>
      <c r="S1654" s="1034">
        <v>88.87007526</v>
      </c>
      <c r="T1654" s="1035">
        <v>422.2042889</v>
      </c>
      <c r="AB1654" s="1045"/>
    </row>
    <row r="1655">
      <c r="A1655" s="294"/>
      <c r="K1655" s="1031" t="s">
        <v>143</v>
      </c>
      <c r="L1655" s="1032" t="s">
        <v>530</v>
      </c>
      <c r="M1655" s="1032" t="s">
        <v>1035</v>
      </c>
      <c r="N1655" s="1032" t="s">
        <v>1042</v>
      </c>
      <c r="O1655" s="1032">
        <v>2021.0</v>
      </c>
      <c r="P1655" s="1032" t="s">
        <v>1039</v>
      </c>
      <c r="Q1655" s="1033" t="s">
        <v>63</v>
      </c>
      <c r="R1655" s="1034">
        <v>0.0</v>
      </c>
      <c r="S1655" s="1034">
        <v>0.0</v>
      </c>
      <c r="T1655" s="1035">
        <v>0.0</v>
      </c>
      <c r="AB1655" s="1045"/>
    </row>
    <row r="1656">
      <c r="A1656" s="294"/>
      <c r="K1656" s="1031" t="s">
        <v>143</v>
      </c>
      <c r="L1656" s="1032" t="s">
        <v>530</v>
      </c>
      <c r="M1656" s="1032" t="s">
        <v>1035</v>
      </c>
      <c r="N1656" s="1032" t="s">
        <v>1044</v>
      </c>
      <c r="O1656" s="1032">
        <v>2021.0</v>
      </c>
      <c r="P1656" s="1032" t="s">
        <v>1039</v>
      </c>
      <c r="Q1656" s="1033" t="s">
        <v>63</v>
      </c>
      <c r="R1656" s="1034">
        <v>0.0</v>
      </c>
      <c r="S1656" s="1034">
        <v>0.0</v>
      </c>
      <c r="T1656" s="1035">
        <v>0.0</v>
      </c>
      <c r="AB1656" s="1045"/>
    </row>
    <row r="1657">
      <c r="A1657" s="294"/>
      <c r="K1657" s="1031" t="s">
        <v>143</v>
      </c>
      <c r="L1657" s="1032" t="s">
        <v>530</v>
      </c>
      <c r="M1657" s="1032" t="s">
        <v>1035</v>
      </c>
      <c r="N1657" s="1032" t="s">
        <v>1046</v>
      </c>
      <c r="O1657" s="1032">
        <v>2021.0</v>
      </c>
      <c r="P1657" s="1032" t="s">
        <v>1039</v>
      </c>
      <c r="Q1657" s="1033" t="s">
        <v>63</v>
      </c>
      <c r="R1657" s="1034">
        <v>184.411394</v>
      </c>
      <c r="S1657" s="1034">
        <v>106.8089917</v>
      </c>
      <c r="T1657" s="1035">
        <v>295.6034475</v>
      </c>
      <c r="AB1657" s="1045"/>
    </row>
    <row r="1658">
      <c r="A1658" s="294"/>
      <c r="K1658" s="1031" t="s">
        <v>143</v>
      </c>
      <c r="L1658" s="1032" t="s">
        <v>530</v>
      </c>
      <c r="M1658" s="1032" t="s">
        <v>1035</v>
      </c>
      <c r="N1658" s="1032" t="s">
        <v>1045</v>
      </c>
      <c r="O1658" s="1032">
        <v>2021.0</v>
      </c>
      <c r="P1658" s="1032" t="s">
        <v>1039</v>
      </c>
      <c r="Q1658" s="1033" t="s">
        <v>63</v>
      </c>
      <c r="R1658" s="1034">
        <v>381.0023473</v>
      </c>
      <c r="S1658" s="1034">
        <v>200.3800285</v>
      </c>
      <c r="T1658" s="1035">
        <v>708.7720021</v>
      </c>
      <c r="AB1658" s="1045"/>
    </row>
    <row r="1659">
      <c r="A1659" s="294"/>
      <c r="K1659" s="1031" t="s">
        <v>109</v>
      </c>
      <c r="L1659" s="1032" t="s">
        <v>530</v>
      </c>
      <c r="M1659" s="1032" t="s">
        <v>1035</v>
      </c>
      <c r="N1659" s="1032" t="s">
        <v>1038</v>
      </c>
      <c r="O1659" s="1032">
        <v>2021.0</v>
      </c>
      <c r="P1659" s="1032" t="s">
        <v>1039</v>
      </c>
      <c r="Q1659" s="1033" t="s">
        <v>63</v>
      </c>
      <c r="R1659" s="1034">
        <v>6382.815006</v>
      </c>
      <c r="S1659" s="1034">
        <v>3529.117566</v>
      </c>
      <c r="T1659" s="1035">
        <v>10198.44872</v>
      </c>
      <c r="AB1659" s="1045"/>
    </row>
    <row r="1660">
      <c r="A1660" s="294"/>
      <c r="K1660" s="1031" t="s">
        <v>109</v>
      </c>
      <c r="L1660" s="1032" t="s">
        <v>530</v>
      </c>
      <c r="M1660" s="1032" t="s">
        <v>1035</v>
      </c>
      <c r="N1660" s="1032" t="s">
        <v>1042</v>
      </c>
      <c r="O1660" s="1032">
        <v>2021.0</v>
      </c>
      <c r="P1660" s="1032" t="s">
        <v>1039</v>
      </c>
      <c r="Q1660" s="1033" t="s">
        <v>63</v>
      </c>
      <c r="R1660" s="1034">
        <v>0.0</v>
      </c>
      <c r="S1660" s="1034">
        <v>0.0</v>
      </c>
      <c r="T1660" s="1035">
        <v>0.0</v>
      </c>
      <c r="AB1660" s="1045"/>
    </row>
    <row r="1661">
      <c r="A1661" s="294"/>
      <c r="K1661" s="1031" t="s">
        <v>109</v>
      </c>
      <c r="L1661" s="1032" t="s">
        <v>530</v>
      </c>
      <c r="M1661" s="1032" t="s">
        <v>1035</v>
      </c>
      <c r="N1661" s="1032" t="s">
        <v>1044</v>
      </c>
      <c r="O1661" s="1032">
        <v>2021.0</v>
      </c>
      <c r="P1661" s="1032" t="s">
        <v>1039</v>
      </c>
      <c r="Q1661" s="1033" t="s">
        <v>63</v>
      </c>
      <c r="R1661" s="1034">
        <v>0.0</v>
      </c>
      <c r="S1661" s="1034">
        <v>0.0</v>
      </c>
      <c r="T1661" s="1035">
        <v>0.0</v>
      </c>
      <c r="AB1661" s="1045"/>
    </row>
    <row r="1662">
      <c r="A1662" s="294"/>
      <c r="K1662" s="1031" t="s">
        <v>109</v>
      </c>
      <c r="L1662" s="1032" t="s">
        <v>530</v>
      </c>
      <c r="M1662" s="1032" t="s">
        <v>1035</v>
      </c>
      <c r="N1662" s="1032" t="s">
        <v>1046</v>
      </c>
      <c r="O1662" s="1032">
        <v>2021.0</v>
      </c>
      <c r="P1662" s="1032" t="s">
        <v>1039</v>
      </c>
      <c r="Q1662" s="1033" t="s">
        <v>63</v>
      </c>
      <c r="R1662" s="1034">
        <v>3810.323075</v>
      </c>
      <c r="S1662" s="1034">
        <v>2567.969594</v>
      </c>
      <c r="T1662" s="1035">
        <v>5298.419538</v>
      </c>
      <c r="AB1662" s="1045"/>
    </row>
    <row r="1663">
      <c r="A1663" s="294"/>
      <c r="K1663" s="1031" t="s">
        <v>109</v>
      </c>
      <c r="L1663" s="1032" t="s">
        <v>530</v>
      </c>
      <c r="M1663" s="1032" t="s">
        <v>1035</v>
      </c>
      <c r="N1663" s="1032" t="s">
        <v>1045</v>
      </c>
      <c r="O1663" s="1032">
        <v>2021.0</v>
      </c>
      <c r="P1663" s="1032" t="s">
        <v>1039</v>
      </c>
      <c r="Q1663" s="1033" t="s">
        <v>63</v>
      </c>
      <c r="R1663" s="1034">
        <v>10193.13808</v>
      </c>
      <c r="S1663" s="1034">
        <v>6087.304948</v>
      </c>
      <c r="T1663" s="1035">
        <v>15714.78499</v>
      </c>
      <c r="AB1663" s="1045"/>
    </row>
    <row r="1664">
      <c r="A1664" s="294"/>
      <c r="K1664" s="1031" t="s">
        <v>146</v>
      </c>
      <c r="L1664" s="1032" t="s">
        <v>530</v>
      </c>
      <c r="M1664" s="1032" t="s">
        <v>1035</v>
      </c>
      <c r="N1664" s="1032" t="s">
        <v>1038</v>
      </c>
      <c r="O1664" s="1032">
        <v>2021.0</v>
      </c>
      <c r="P1664" s="1032" t="s">
        <v>1039</v>
      </c>
      <c r="Q1664" s="1033" t="s">
        <v>63</v>
      </c>
      <c r="R1664" s="1034">
        <v>43.67685607</v>
      </c>
      <c r="S1664" s="1034">
        <v>18.7351739</v>
      </c>
      <c r="T1664" s="1035">
        <v>106.5437494</v>
      </c>
      <c r="AB1664" s="1045"/>
    </row>
    <row r="1665">
      <c r="A1665" s="294"/>
      <c r="K1665" s="1031" t="s">
        <v>146</v>
      </c>
      <c r="L1665" s="1032" t="s">
        <v>530</v>
      </c>
      <c r="M1665" s="1032" t="s">
        <v>1035</v>
      </c>
      <c r="N1665" s="1032" t="s">
        <v>1042</v>
      </c>
      <c r="O1665" s="1032">
        <v>2021.0</v>
      </c>
      <c r="P1665" s="1032" t="s">
        <v>1039</v>
      </c>
      <c r="Q1665" s="1033" t="s">
        <v>63</v>
      </c>
      <c r="R1665" s="1034">
        <v>0.0</v>
      </c>
      <c r="S1665" s="1034">
        <v>0.0</v>
      </c>
      <c r="T1665" s="1035">
        <v>0.0</v>
      </c>
      <c r="AB1665" s="1045"/>
    </row>
    <row r="1666">
      <c r="A1666" s="294"/>
      <c r="K1666" s="1031" t="s">
        <v>146</v>
      </c>
      <c r="L1666" s="1032" t="s">
        <v>530</v>
      </c>
      <c r="M1666" s="1032" t="s">
        <v>1035</v>
      </c>
      <c r="N1666" s="1032" t="s">
        <v>1044</v>
      </c>
      <c r="O1666" s="1032">
        <v>2021.0</v>
      </c>
      <c r="P1666" s="1032" t="s">
        <v>1039</v>
      </c>
      <c r="Q1666" s="1033" t="s">
        <v>63</v>
      </c>
      <c r="R1666" s="1034">
        <v>0.0</v>
      </c>
      <c r="S1666" s="1034">
        <v>0.0</v>
      </c>
      <c r="T1666" s="1035">
        <v>0.0</v>
      </c>
      <c r="AB1666" s="1045"/>
    </row>
    <row r="1667">
      <c r="A1667" s="294"/>
      <c r="K1667" s="1031" t="s">
        <v>146</v>
      </c>
      <c r="L1667" s="1032" t="s">
        <v>530</v>
      </c>
      <c r="M1667" s="1032" t="s">
        <v>1035</v>
      </c>
      <c r="N1667" s="1032" t="s">
        <v>1046</v>
      </c>
      <c r="O1667" s="1032">
        <v>2021.0</v>
      </c>
      <c r="P1667" s="1032" t="s">
        <v>1039</v>
      </c>
      <c r="Q1667" s="1033" t="s">
        <v>63</v>
      </c>
      <c r="R1667" s="1034">
        <v>42.00912898</v>
      </c>
      <c r="S1667" s="1034">
        <v>22.56916578</v>
      </c>
      <c r="T1667" s="1035">
        <v>80.79272446</v>
      </c>
      <c r="AB1667" s="1045"/>
    </row>
    <row r="1668">
      <c r="A1668" s="294"/>
      <c r="K1668" s="1031" t="s">
        <v>146</v>
      </c>
      <c r="L1668" s="1032" t="s">
        <v>530</v>
      </c>
      <c r="M1668" s="1032" t="s">
        <v>1035</v>
      </c>
      <c r="N1668" s="1032" t="s">
        <v>1045</v>
      </c>
      <c r="O1668" s="1032">
        <v>2021.0</v>
      </c>
      <c r="P1668" s="1032" t="s">
        <v>1039</v>
      </c>
      <c r="Q1668" s="1033" t="s">
        <v>63</v>
      </c>
      <c r="R1668" s="1034">
        <v>85.68598506</v>
      </c>
      <c r="S1668" s="1034">
        <v>42.91307941</v>
      </c>
      <c r="T1668" s="1035">
        <v>183.2491017</v>
      </c>
      <c r="AB1668" s="1045"/>
    </row>
    <row r="1669">
      <c r="A1669" s="294"/>
      <c r="K1669" s="1031" t="s">
        <v>147</v>
      </c>
      <c r="L1669" s="1032" t="s">
        <v>530</v>
      </c>
      <c r="M1669" s="1032" t="s">
        <v>1035</v>
      </c>
      <c r="N1669" s="1032" t="s">
        <v>1038</v>
      </c>
      <c r="O1669" s="1032">
        <v>2021.0</v>
      </c>
      <c r="P1669" s="1032" t="s">
        <v>1039</v>
      </c>
      <c r="Q1669" s="1033" t="s">
        <v>63</v>
      </c>
      <c r="R1669" s="1034">
        <v>20.41307342</v>
      </c>
      <c r="S1669" s="1034">
        <v>8.746722094</v>
      </c>
      <c r="T1669" s="1035">
        <v>45.12055813</v>
      </c>
      <c r="AB1669" s="1045"/>
    </row>
    <row r="1670">
      <c r="A1670" s="294"/>
      <c r="K1670" s="1031" t="s">
        <v>147</v>
      </c>
      <c r="L1670" s="1032" t="s">
        <v>530</v>
      </c>
      <c r="M1670" s="1032" t="s">
        <v>1035</v>
      </c>
      <c r="N1670" s="1032" t="s">
        <v>1042</v>
      </c>
      <c r="O1670" s="1032">
        <v>2021.0</v>
      </c>
      <c r="P1670" s="1032" t="s">
        <v>1039</v>
      </c>
      <c r="Q1670" s="1033" t="s">
        <v>63</v>
      </c>
      <c r="R1670" s="1034">
        <v>0.0</v>
      </c>
      <c r="S1670" s="1034">
        <v>0.0</v>
      </c>
      <c r="T1670" s="1035">
        <v>0.0</v>
      </c>
      <c r="AB1670" s="1045"/>
    </row>
    <row r="1671">
      <c r="A1671" s="294"/>
      <c r="K1671" s="1031" t="s">
        <v>147</v>
      </c>
      <c r="L1671" s="1032" t="s">
        <v>530</v>
      </c>
      <c r="M1671" s="1032" t="s">
        <v>1035</v>
      </c>
      <c r="N1671" s="1032" t="s">
        <v>1044</v>
      </c>
      <c r="O1671" s="1032">
        <v>2021.0</v>
      </c>
      <c r="P1671" s="1032" t="s">
        <v>1039</v>
      </c>
      <c r="Q1671" s="1033" t="s">
        <v>63</v>
      </c>
      <c r="R1671" s="1034">
        <v>0.0</v>
      </c>
      <c r="S1671" s="1034">
        <v>0.0</v>
      </c>
      <c r="T1671" s="1035">
        <v>0.0</v>
      </c>
      <c r="AB1671" s="1045"/>
    </row>
    <row r="1672">
      <c r="A1672" s="294"/>
      <c r="K1672" s="1031" t="s">
        <v>147</v>
      </c>
      <c r="L1672" s="1032" t="s">
        <v>530</v>
      </c>
      <c r="M1672" s="1032" t="s">
        <v>1035</v>
      </c>
      <c r="N1672" s="1032" t="s">
        <v>1046</v>
      </c>
      <c r="O1672" s="1032">
        <v>2021.0</v>
      </c>
      <c r="P1672" s="1032" t="s">
        <v>1039</v>
      </c>
      <c r="Q1672" s="1033" t="s">
        <v>63</v>
      </c>
      <c r="R1672" s="1034">
        <v>8.820970068</v>
      </c>
      <c r="S1672" s="1034">
        <v>4.023219602</v>
      </c>
      <c r="T1672" s="1035">
        <v>18.01320182</v>
      </c>
      <c r="AB1672" s="1045"/>
    </row>
    <row r="1673">
      <c r="A1673" s="294"/>
      <c r="K1673" s="1031" t="s">
        <v>147</v>
      </c>
      <c r="L1673" s="1032" t="s">
        <v>530</v>
      </c>
      <c r="M1673" s="1032" t="s">
        <v>1035</v>
      </c>
      <c r="N1673" s="1032" t="s">
        <v>1045</v>
      </c>
      <c r="O1673" s="1032">
        <v>2021.0</v>
      </c>
      <c r="P1673" s="1032" t="s">
        <v>1039</v>
      </c>
      <c r="Q1673" s="1033" t="s">
        <v>63</v>
      </c>
      <c r="R1673" s="1034">
        <v>29.23404349</v>
      </c>
      <c r="S1673" s="1034">
        <v>13.33251243</v>
      </c>
      <c r="T1673" s="1035">
        <v>60.95189356</v>
      </c>
      <c r="AB1673" s="1045"/>
    </row>
    <row r="1674">
      <c r="A1674" s="294"/>
      <c r="K1674" s="1031" t="s">
        <v>148</v>
      </c>
      <c r="L1674" s="1032" t="s">
        <v>530</v>
      </c>
      <c r="M1674" s="1032" t="s">
        <v>1035</v>
      </c>
      <c r="N1674" s="1032" t="s">
        <v>1038</v>
      </c>
      <c r="O1674" s="1032">
        <v>2021.0</v>
      </c>
      <c r="P1674" s="1032" t="s">
        <v>1039</v>
      </c>
      <c r="Q1674" s="1033" t="s">
        <v>63</v>
      </c>
      <c r="R1674" s="1034">
        <v>7.477071561</v>
      </c>
      <c r="S1674" s="1034">
        <v>2.540183068</v>
      </c>
      <c r="T1674" s="1035">
        <v>18.88186591</v>
      </c>
      <c r="AB1674" s="1045"/>
    </row>
    <row r="1675">
      <c r="A1675" s="294"/>
      <c r="K1675" s="1031" t="s">
        <v>148</v>
      </c>
      <c r="L1675" s="1032" t="s">
        <v>530</v>
      </c>
      <c r="M1675" s="1032" t="s">
        <v>1035</v>
      </c>
      <c r="N1675" s="1032" t="s">
        <v>1042</v>
      </c>
      <c r="O1675" s="1032">
        <v>2021.0</v>
      </c>
      <c r="P1675" s="1032" t="s">
        <v>1039</v>
      </c>
      <c r="Q1675" s="1033" t="s">
        <v>63</v>
      </c>
      <c r="R1675" s="1034">
        <v>0.0</v>
      </c>
      <c r="S1675" s="1034">
        <v>0.0</v>
      </c>
      <c r="T1675" s="1035">
        <v>0.0</v>
      </c>
      <c r="AB1675" s="1045"/>
    </row>
    <row r="1676">
      <c r="A1676" s="294"/>
      <c r="K1676" s="1031" t="s">
        <v>148</v>
      </c>
      <c r="L1676" s="1032" t="s">
        <v>530</v>
      </c>
      <c r="M1676" s="1032" t="s">
        <v>1035</v>
      </c>
      <c r="N1676" s="1032" t="s">
        <v>1044</v>
      </c>
      <c r="O1676" s="1032">
        <v>2021.0</v>
      </c>
      <c r="P1676" s="1032" t="s">
        <v>1039</v>
      </c>
      <c r="Q1676" s="1033" t="s">
        <v>63</v>
      </c>
      <c r="R1676" s="1034">
        <v>0.0</v>
      </c>
      <c r="S1676" s="1034">
        <v>0.0</v>
      </c>
      <c r="T1676" s="1035">
        <v>0.0</v>
      </c>
      <c r="AB1676" s="1045"/>
    </row>
    <row r="1677">
      <c r="A1677" s="294"/>
      <c r="K1677" s="1031" t="s">
        <v>148</v>
      </c>
      <c r="L1677" s="1032" t="s">
        <v>530</v>
      </c>
      <c r="M1677" s="1032" t="s">
        <v>1035</v>
      </c>
      <c r="N1677" s="1032" t="s">
        <v>1046</v>
      </c>
      <c r="O1677" s="1032">
        <v>2021.0</v>
      </c>
      <c r="P1677" s="1032" t="s">
        <v>1039</v>
      </c>
      <c r="Q1677" s="1033" t="s">
        <v>63</v>
      </c>
      <c r="R1677" s="1034">
        <v>7.504297303</v>
      </c>
      <c r="S1677" s="1034">
        <v>3.139785988</v>
      </c>
      <c r="T1677" s="1035">
        <v>14.65697915</v>
      </c>
      <c r="AB1677" s="1045"/>
    </row>
    <row r="1678">
      <c r="A1678" s="294"/>
      <c r="K1678" s="1031" t="s">
        <v>148</v>
      </c>
      <c r="L1678" s="1032" t="s">
        <v>530</v>
      </c>
      <c r="M1678" s="1032" t="s">
        <v>1035</v>
      </c>
      <c r="N1678" s="1032" t="s">
        <v>1045</v>
      </c>
      <c r="O1678" s="1032">
        <v>2021.0</v>
      </c>
      <c r="P1678" s="1032" t="s">
        <v>1039</v>
      </c>
      <c r="Q1678" s="1033" t="s">
        <v>63</v>
      </c>
      <c r="R1678" s="1034">
        <v>14.98136886</v>
      </c>
      <c r="S1678" s="1034">
        <v>5.924921742</v>
      </c>
      <c r="T1678" s="1035">
        <v>32.81550592</v>
      </c>
      <c r="AB1678" s="1045"/>
    </row>
    <row r="1679">
      <c r="A1679" s="294"/>
      <c r="K1679" s="1031" t="s">
        <v>149</v>
      </c>
      <c r="L1679" s="1032" t="s">
        <v>530</v>
      </c>
      <c r="M1679" s="1032" t="s">
        <v>1035</v>
      </c>
      <c r="N1679" s="1032" t="s">
        <v>1038</v>
      </c>
      <c r="O1679" s="1032">
        <v>2021.0</v>
      </c>
      <c r="P1679" s="1032" t="s">
        <v>1039</v>
      </c>
      <c r="Q1679" s="1033" t="s">
        <v>63</v>
      </c>
      <c r="R1679" s="1034">
        <v>13.2605464</v>
      </c>
      <c r="S1679" s="1034">
        <v>4.992798145</v>
      </c>
      <c r="T1679" s="1035">
        <v>35.97665408</v>
      </c>
      <c r="AB1679" s="1045"/>
    </row>
    <row r="1680">
      <c r="A1680" s="294"/>
      <c r="K1680" s="1031" t="s">
        <v>149</v>
      </c>
      <c r="L1680" s="1032" t="s">
        <v>530</v>
      </c>
      <c r="M1680" s="1032" t="s">
        <v>1035</v>
      </c>
      <c r="N1680" s="1032" t="s">
        <v>1042</v>
      </c>
      <c r="O1680" s="1032">
        <v>2021.0</v>
      </c>
      <c r="P1680" s="1032" t="s">
        <v>1039</v>
      </c>
      <c r="Q1680" s="1033" t="s">
        <v>63</v>
      </c>
      <c r="R1680" s="1034">
        <v>0.0</v>
      </c>
      <c r="S1680" s="1034">
        <v>0.0</v>
      </c>
      <c r="T1680" s="1035">
        <v>0.0</v>
      </c>
      <c r="AB1680" s="1045"/>
    </row>
    <row r="1681">
      <c r="A1681" s="294"/>
      <c r="K1681" s="1031" t="s">
        <v>149</v>
      </c>
      <c r="L1681" s="1032" t="s">
        <v>530</v>
      </c>
      <c r="M1681" s="1032" t="s">
        <v>1035</v>
      </c>
      <c r="N1681" s="1032" t="s">
        <v>1044</v>
      </c>
      <c r="O1681" s="1032">
        <v>2021.0</v>
      </c>
      <c r="P1681" s="1032" t="s">
        <v>1039</v>
      </c>
      <c r="Q1681" s="1033" t="s">
        <v>63</v>
      </c>
      <c r="R1681" s="1034">
        <v>0.0</v>
      </c>
      <c r="S1681" s="1034">
        <v>0.0</v>
      </c>
      <c r="T1681" s="1035">
        <v>0.0</v>
      </c>
      <c r="AB1681" s="1045"/>
    </row>
    <row r="1682">
      <c r="A1682" s="294"/>
      <c r="K1682" s="1031" t="s">
        <v>149</v>
      </c>
      <c r="L1682" s="1032" t="s">
        <v>530</v>
      </c>
      <c r="M1682" s="1032" t="s">
        <v>1035</v>
      </c>
      <c r="N1682" s="1032" t="s">
        <v>1046</v>
      </c>
      <c r="O1682" s="1032">
        <v>2021.0</v>
      </c>
      <c r="P1682" s="1032" t="s">
        <v>1039</v>
      </c>
      <c r="Q1682" s="1033" t="s">
        <v>63</v>
      </c>
      <c r="R1682" s="1034">
        <v>8.701571091</v>
      </c>
      <c r="S1682" s="1034">
        <v>3.780528718</v>
      </c>
      <c r="T1682" s="1035">
        <v>20.15022388</v>
      </c>
      <c r="AB1682" s="1045"/>
    </row>
    <row r="1683">
      <c r="A1683" s="294"/>
      <c r="K1683" s="1031" t="s">
        <v>149</v>
      </c>
      <c r="L1683" s="1032" t="s">
        <v>530</v>
      </c>
      <c r="M1683" s="1032" t="s">
        <v>1035</v>
      </c>
      <c r="N1683" s="1032" t="s">
        <v>1045</v>
      </c>
      <c r="O1683" s="1032">
        <v>2021.0</v>
      </c>
      <c r="P1683" s="1032" t="s">
        <v>1039</v>
      </c>
      <c r="Q1683" s="1033" t="s">
        <v>63</v>
      </c>
      <c r="R1683" s="1034">
        <v>21.96211749</v>
      </c>
      <c r="S1683" s="1034">
        <v>9.284776545</v>
      </c>
      <c r="T1683" s="1035">
        <v>54.49676146</v>
      </c>
      <c r="AB1683" s="1045"/>
    </row>
    <row r="1684">
      <c r="A1684" s="294"/>
      <c r="K1684" s="1031" t="s">
        <v>150</v>
      </c>
      <c r="L1684" s="1032" t="s">
        <v>530</v>
      </c>
      <c r="M1684" s="1032" t="s">
        <v>1035</v>
      </c>
      <c r="N1684" s="1032" t="s">
        <v>1038</v>
      </c>
      <c r="O1684" s="1032">
        <v>2021.0</v>
      </c>
      <c r="P1684" s="1032" t="s">
        <v>1039</v>
      </c>
      <c r="Q1684" s="1033" t="s">
        <v>63</v>
      </c>
      <c r="R1684" s="1034">
        <v>60.25968666</v>
      </c>
      <c r="S1684" s="1034">
        <v>22.13016786</v>
      </c>
      <c r="T1684" s="1035">
        <v>167.4073222</v>
      </c>
      <c r="AB1684" s="1045"/>
    </row>
    <row r="1685">
      <c r="A1685" s="294"/>
      <c r="K1685" s="1031" t="s">
        <v>150</v>
      </c>
      <c r="L1685" s="1032" t="s">
        <v>530</v>
      </c>
      <c r="M1685" s="1032" t="s">
        <v>1035</v>
      </c>
      <c r="N1685" s="1032" t="s">
        <v>1042</v>
      </c>
      <c r="O1685" s="1032">
        <v>2021.0</v>
      </c>
      <c r="P1685" s="1032" t="s">
        <v>1039</v>
      </c>
      <c r="Q1685" s="1033" t="s">
        <v>63</v>
      </c>
      <c r="R1685" s="1034">
        <v>0.0</v>
      </c>
      <c r="S1685" s="1034">
        <v>0.0</v>
      </c>
      <c r="T1685" s="1035">
        <v>0.0</v>
      </c>
      <c r="AB1685" s="1045"/>
    </row>
    <row r="1686">
      <c r="A1686" s="294"/>
      <c r="K1686" s="1031" t="s">
        <v>150</v>
      </c>
      <c r="L1686" s="1032" t="s">
        <v>530</v>
      </c>
      <c r="M1686" s="1032" t="s">
        <v>1035</v>
      </c>
      <c r="N1686" s="1032" t="s">
        <v>1044</v>
      </c>
      <c r="O1686" s="1032">
        <v>2021.0</v>
      </c>
      <c r="P1686" s="1032" t="s">
        <v>1039</v>
      </c>
      <c r="Q1686" s="1033" t="s">
        <v>63</v>
      </c>
      <c r="R1686" s="1034">
        <v>0.0</v>
      </c>
      <c r="S1686" s="1034">
        <v>0.0</v>
      </c>
      <c r="T1686" s="1035">
        <v>0.0</v>
      </c>
      <c r="AB1686" s="1045"/>
    </row>
    <row r="1687">
      <c r="A1687" s="294"/>
      <c r="K1687" s="1031" t="s">
        <v>150</v>
      </c>
      <c r="L1687" s="1032" t="s">
        <v>530</v>
      </c>
      <c r="M1687" s="1032" t="s">
        <v>1035</v>
      </c>
      <c r="N1687" s="1032" t="s">
        <v>1046</v>
      </c>
      <c r="O1687" s="1032">
        <v>2021.0</v>
      </c>
      <c r="P1687" s="1032" t="s">
        <v>1039</v>
      </c>
      <c r="Q1687" s="1033" t="s">
        <v>63</v>
      </c>
      <c r="R1687" s="1034">
        <v>88.5297341</v>
      </c>
      <c r="S1687" s="1034">
        <v>44.04490756</v>
      </c>
      <c r="T1687" s="1035">
        <v>169.868305</v>
      </c>
      <c r="AB1687" s="1045"/>
    </row>
    <row r="1688">
      <c r="A1688" s="294"/>
      <c r="K1688" s="1031" t="s">
        <v>150</v>
      </c>
      <c r="L1688" s="1032" t="s">
        <v>530</v>
      </c>
      <c r="M1688" s="1032" t="s">
        <v>1035</v>
      </c>
      <c r="N1688" s="1032" t="s">
        <v>1045</v>
      </c>
      <c r="O1688" s="1032">
        <v>2021.0</v>
      </c>
      <c r="P1688" s="1032" t="s">
        <v>1039</v>
      </c>
      <c r="Q1688" s="1033" t="s">
        <v>63</v>
      </c>
      <c r="R1688" s="1034">
        <v>148.7894208</v>
      </c>
      <c r="S1688" s="1034">
        <v>67.37772688</v>
      </c>
      <c r="T1688" s="1035">
        <v>316.7892205</v>
      </c>
      <c r="AB1688" s="1045"/>
    </row>
    <row r="1689">
      <c r="A1689" s="294"/>
      <c r="K1689" s="1031" t="s">
        <v>151</v>
      </c>
      <c r="L1689" s="1032" t="s">
        <v>530</v>
      </c>
      <c r="M1689" s="1032" t="s">
        <v>1035</v>
      </c>
      <c r="N1689" s="1032" t="s">
        <v>1038</v>
      </c>
      <c r="O1689" s="1032">
        <v>2021.0</v>
      </c>
      <c r="P1689" s="1032" t="s">
        <v>1039</v>
      </c>
      <c r="Q1689" s="1033" t="s">
        <v>63</v>
      </c>
      <c r="R1689" s="1034">
        <v>17.79543555</v>
      </c>
      <c r="S1689" s="1034">
        <v>7.042279131</v>
      </c>
      <c r="T1689" s="1035">
        <v>38.48711215</v>
      </c>
      <c r="AB1689" s="1045"/>
    </row>
    <row r="1690">
      <c r="A1690" s="294"/>
      <c r="K1690" s="1031" t="s">
        <v>151</v>
      </c>
      <c r="L1690" s="1032" t="s">
        <v>530</v>
      </c>
      <c r="M1690" s="1032" t="s">
        <v>1035</v>
      </c>
      <c r="N1690" s="1032" t="s">
        <v>1042</v>
      </c>
      <c r="O1690" s="1032">
        <v>2021.0</v>
      </c>
      <c r="P1690" s="1032" t="s">
        <v>1039</v>
      </c>
      <c r="Q1690" s="1033" t="s">
        <v>63</v>
      </c>
      <c r="R1690" s="1034">
        <v>0.0</v>
      </c>
      <c r="S1690" s="1034">
        <v>0.0</v>
      </c>
      <c r="T1690" s="1035">
        <v>0.0</v>
      </c>
      <c r="AB1690" s="1045"/>
    </row>
    <row r="1691">
      <c r="A1691" s="294"/>
      <c r="K1691" s="1031" t="s">
        <v>151</v>
      </c>
      <c r="L1691" s="1032" t="s">
        <v>530</v>
      </c>
      <c r="M1691" s="1032" t="s">
        <v>1035</v>
      </c>
      <c r="N1691" s="1032" t="s">
        <v>1044</v>
      </c>
      <c r="O1691" s="1032">
        <v>2021.0</v>
      </c>
      <c r="P1691" s="1032" t="s">
        <v>1039</v>
      </c>
      <c r="Q1691" s="1033" t="s">
        <v>63</v>
      </c>
      <c r="R1691" s="1034">
        <v>0.0</v>
      </c>
      <c r="S1691" s="1034">
        <v>0.0</v>
      </c>
      <c r="T1691" s="1035">
        <v>0.0</v>
      </c>
      <c r="AB1691" s="1045"/>
    </row>
    <row r="1692">
      <c r="A1692" s="294"/>
      <c r="K1692" s="1031" t="s">
        <v>151</v>
      </c>
      <c r="L1692" s="1032" t="s">
        <v>530</v>
      </c>
      <c r="M1692" s="1032" t="s">
        <v>1035</v>
      </c>
      <c r="N1692" s="1032" t="s">
        <v>1046</v>
      </c>
      <c r="O1692" s="1032">
        <v>2021.0</v>
      </c>
      <c r="P1692" s="1032" t="s">
        <v>1039</v>
      </c>
      <c r="Q1692" s="1033" t="s">
        <v>63</v>
      </c>
      <c r="R1692" s="1034">
        <v>13.2531635</v>
      </c>
      <c r="S1692" s="1034">
        <v>5.61537845</v>
      </c>
      <c r="T1692" s="1035">
        <v>27.14500992</v>
      </c>
      <c r="AB1692" s="1045"/>
    </row>
    <row r="1693">
      <c r="A1693" s="294"/>
      <c r="K1693" s="1031" t="s">
        <v>151</v>
      </c>
      <c r="L1693" s="1032" t="s">
        <v>530</v>
      </c>
      <c r="M1693" s="1032" t="s">
        <v>1035</v>
      </c>
      <c r="N1693" s="1032" t="s">
        <v>1045</v>
      </c>
      <c r="O1693" s="1032">
        <v>2021.0</v>
      </c>
      <c r="P1693" s="1032" t="s">
        <v>1039</v>
      </c>
      <c r="Q1693" s="1033" t="s">
        <v>63</v>
      </c>
      <c r="R1693" s="1034">
        <v>31.04859905</v>
      </c>
      <c r="S1693" s="1034">
        <v>12.98051548</v>
      </c>
      <c r="T1693" s="1035">
        <v>63.54726418</v>
      </c>
      <c r="AB1693" s="1045"/>
    </row>
    <row r="1694">
      <c r="A1694" s="294"/>
      <c r="K1694" s="1031" t="s">
        <v>121</v>
      </c>
      <c r="L1694" s="1032" t="s">
        <v>530</v>
      </c>
      <c r="M1694" s="1032" t="s">
        <v>1035</v>
      </c>
      <c r="N1694" s="1032" t="s">
        <v>1038</v>
      </c>
      <c r="O1694" s="1032">
        <v>2021.0</v>
      </c>
      <c r="P1694" s="1032" t="s">
        <v>1039</v>
      </c>
      <c r="Q1694" s="1033" t="s">
        <v>63</v>
      </c>
      <c r="R1694" s="1034">
        <v>947.2517913</v>
      </c>
      <c r="S1694" s="1034">
        <v>552.4760759</v>
      </c>
      <c r="T1694" s="1035">
        <v>1436.023507</v>
      </c>
      <c r="AB1694" s="1045"/>
    </row>
    <row r="1695">
      <c r="A1695" s="294"/>
      <c r="K1695" s="1031" t="s">
        <v>121</v>
      </c>
      <c r="L1695" s="1032" t="s">
        <v>530</v>
      </c>
      <c r="M1695" s="1032" t="s">
        <v>1035</v>
      </c>
      <c r="N1695" s="1032" t="s">
        <v>1042</v>
      </c>
      <c r="O1695" s="1032">
        <v>2021.0</v>
      </c>
      <c r="P1695" s="1032" t="s">
        <v>1039</v>
      </c>
      <c r="Q1695" s="1033" t="s">
        <v>63</v>
      </c>
      <c r="R1695" s="1034">
        <v>0.0</v>
      </c>
      <c r="S1695" s="1034">
        <v>0.0</v>
      </c>
      <c r="T1695" s="1035">
        <v>0.0</v>
      </c>
      <c r="AB1695" s="1045"/>
    </row>
    <row r="1696">
      <c r="A1696" s="294"/>
      <c r="K1696" s="1031" t="s">
        <v>121</v>
      </c>
      <c r="L1696" s="1032" t="s">
        <v>530</v>
      </c>
      <c r="M1696" s="1032" t="s">
        <v>1035</v>
      </c>
      <c r="N1696" s="1032" t="s">
        <v>1044</v>
      </c>
      <c r="O1696" s="1032">
        <v>2021.0</v>
      </c>
      <c r="P1696" s="1032" t="s">
        <v>1039</v>
      </c>
      <c r="Q1696" s="1033" t="s">
        <v>63</v>
      </c>
      <c r="R1696" s="1034">
        <v>0.0</v>
      </c>
      <c r="S1696" s="1034">
        <v>0.0</v>
      </c>
      <c r="T1696" s="1035">
        <v>0.0</v>
      </c>
      <c r="AB1696" s="1045"/>
    </row>
    <row r="1697">
      <c r="A1697" s="294"/>
      <c r="K1697" s="1031" t="s">
        <v>121</v>
      </c>
      <c r="L1697" s="1032" t="s">
        <v>530</v>
      </c>
      <c r="M1697" s="1032" t="s">
        <v>1035</v>
      </c>
      <c r="N1697" s="1032" t="s">
        <v>1046</v>
      </c>
      <c r="O1697" s="1032">
        <v>2021.0</v>
      </c>
      <c r="P1697" s="1032" t="s">
        <v>1039</v>
      </c>
      <c r="Q1697" s="1033" t="s">
        <v>63</v>
      </c>
      <c r="R1697" s="1034">
        <v>450.0713011</v>
      </c>
      <c r="S1697" s="1034">
        <v>271.7158806</v>
      </c>
      <c r="T1697" s="1035">
        <v>694.6585008</v>
      </c>
      <c r="AB1697" s="1045"/>
    </row>
    <row r="1698">
      <c r="A1698" s="294"/>
      <c r="K1698" s="1031" t="s">
        <v>121</v>
      </c>
      <c r="L1698" s="1032" t="s">
        <v>530</v>
      </c>
      <c r="M1698" s="1032" t="s">
        <v>1035</v>
      </c>
      <c r="N1698" s="1032" t="s">
        <v>1045</v>
      </c>
      <c r="O1698" s="1032">
        <v>2021.0</v>
      </c>
      <c r="P1698" s="1032" t="s">
        <v>1039</v>
      </c>
      <c r="Q1698" s="1033" t="s">
        <v>63</v>
      </c>
      <c r="R1698" s="1034">
        <v>1397.323092</v>
      </c>
      <c r="S1698" s="1034">
        <v>877.973988</v>
      </c>
      <c r="T1698" s="1035">
        <v>2062.198185</v>
      </c>
      <c r="AB1698" s="1045"/>
    </row>
    <row r="1699">
      <c r="A1699" s="294"/>
      <c r="K1699" s="1031" t="s">
        <v>152</v>
      </c>
      <c r="L1699" s="1032" t="s">
        <v>530</v>
      </c>
      <c r="M1699" s="1032" t="s">
        <v>1035</v>
      </c>
      <c r="N1699" s="1032" t="s">
        <v>1038</v>
      </c>
      <c r="O1699" s="1032">
        <v>2021.0</v>
      </c>
      <c r="P1699" s="1032" t="s">
        <v>1039</v>
      </c>
      <c r="Q1699" s="1033" t="s">
        <v>63</v>
      </c>
      <c r="R1699" s="1034">
        <v>198.7835093</v>
      </c>
      <c r="S1699" s="1034">
        <v>101.8399107</v>
      </c>
      <c r="T1699" s="1035">
        <v>382.2512989</v>
      </c>
      <c r="AB1699" s="1045"/>
    </row>
    <row r="1700">
      <c r="A1700" s="294"/>
      <c r="K1700" s="1031" t="s">
        <v>152</v>
      </c>
      <c r="L1700" s="1032" t="s">
        <v>530</v>
      </c>
      <c r="M1700" s="1032" t="s">
        <v>1035</v>
      </c>
      <c r="N1700" s="1032" t="s">
        <v>1042</v>
      </c>
      <c r="O1700" s="1032">
        <v>2021.0</v>
      </c>
      <c r="P1700" s="1032" t="s">
        <v>1039</v>
      </c>
      <c r="Q1700" s="1033" t="s">
        <v>63</v>
      </c>
      <c r="R1700" s="1034">
        <v>0.0</v>
      </c>
      <c r="S1700" s="1034">
        <v>0.0</v>
      </c>
      <c r="T1700" s="1035">
        <v>0.0</v>
      </c>
      <c r="AB1700" s="1045"/>
    </row>
    <row r="1701">
      <c r="A1701" s="294"/>
      <c r="K1701" s="1031" t="s">
        <v>152</v>
      </c>
      <c r="L1701" s="1032" t="s">
        <v>530</v>
      </c>
      <c r="M1701" s="1032" t="s">
        <v>1035</v>
      </c>
      <c r="N1701" s="1032" t="s">
        <v>1044</v>
      </c>
      <c r="O1701" s="1032">
        <v>2021.0</v>
      </c>
      <c r="P1701" s="1032" t="s">
        <v>1039</v>
      </c>
      <c r="Q1701" s="1033" t="s">
        <v>63</v>
      </c>
      <c r="R1701" s="1034">
        <v>0.0</v>
      </c>
      <c r="S1701" s="1034">
        <v>0.0</v>
      </c>
      <c r="T1701" s="1035">
        <v>0.0</v>
      </c>
      <c r="AB1701" s="1045"/>
    </row>
    <row r="1702">
      <c r="A1702" s="294"/>
      <c r="K1702" s="1031" t="s">
        <v>152</v>
      </c>
      <c r="L1702" s="1032" t="s">
        <v>530</v>
      </c>
      <c r="M1702" s="1032" t="s">
        <v>1035</v>
      </c>
      <c r="N1702" s="1032" t="s">
        <v>1046</v>
      </c>
      <c r="O1702" s="1032">
        <v>2021.0</v>
      </c>
      <c r="P1702" s="1032" t="s">
        <v>1039</v>
      </c>
      <c r="Q1702" s="1033" t="s">
        <v>63</v>
      </c>
      <c r="R1702" s="1034">
        <v>209.5247851</v>
      </c>
      <c r="S1702" s="1034">
        <v>129.1225299</v>
      </c>
      <c r="T1702" s="1035">
        <v>343.0627104</v>
      </c>
      <c r="AB1702" s="1045"/>
    </row>
    <row r="1703">
      <c r="A1703" s="294"/>
      <c r="K1703" s="1031" t="s">
        <v>152</v>
      </c>
      <c r="L1703" s="1032" t="s">
        <v>530</v>
      </c>
      <c r="M1703" s="1032" t="s">
        <v>1035</v>
      </c>
      <c r="N1703" s="1032" t="s">
        <v>1045</v>
      </c>
      <c r="O1703" s="1032">
        <v>2021.0</v>
      </c>
      <c r="P1703" s="1032" t="s">
        <v>1039</v>
      </c>
      <c r="Q1703" s="1033" t="s">
        <v>63</v>
      </c>
      <c r="R1703" s="1034">
        <v>408.3082944</v>
      </c>
      <c r="S1703" s="1034">
        <v>242.4247026</v>
      </c>
      <c r="T1703" s="1035">
        <v>691.5404409</v>
      </c>
      <c r="AB1703" s="1045"/>
    </row>
    <row r="1704">
      <c r="A1704" s="294"/>
      <c r="K1704" s="1031" t="s">
        <v>153</v>
      </c>
      <c r="L1704" s="1032" t="s">
        <v>530</v>
      </c>
      <c r="M1704" s="1032" t="s">
        <v>1035</v>
      </c>
      <c r="N1704" s="1032" t="s">
        <v>1038</v>
      </c>
      <c r="O1704" s="1032">
        <v>2021.0</v>
      </c>
      <c r="P1704" s="1032" t="s">
        <v>1039</v>
      </c>
      <c r="Q1704" s="1033" t="s">
        <v>63</v>
      </c>
      <c r="R1704" s="1034">
        <v>201.9085055</v>
      </c>
      <c r="S1704" s="1034">
        <v>96.59764843</v>
      </c>
      <c r="T1704" s="1035">
        <v>386.0606991</v>
      </c>
      <c r="AB1704" s="1045"/>
    </row>
    <row r="1705">
      <c r="A1705" s="294"/>
      <c r="K1705" s="1031" t="s">
        <v>153</v>
      </c>
      <c r="L1705" s="1032" t="s">
        <v>530</v>
      </c>
      <c r="M1705" s="1032" t="s">
        <v>1035</v>
      </c>
      <c r="N1705" s="1032" t="s">
        <v>1042</v>
      </c>
      <c r="O1705" s="1032">
        <v>2021.0</v>
      </c>
      <c r="P1705" s="1032" t="s">
        <v>1039</v>
      </c>
      <c r="Q1705" s="1033" t="s">
        <v>63</v>
      </c>
      <c r="R1705" s="1034">
        <v>0.0</v>
      </c>
      <c r="S1705" s="1034">
        <v>0.0</v>
      </c>
      <c r="T1705" s="1035">
        <v>0.0</v>
      </c>
      <c r="AB1705" s="1045"/>
    </row>
    <row r="1706">
      <c r="A1706" s="294"/>
      <c r="K1706" s="1031" t="s">
        <v>153</v>
      </c>
      <c r="L1706" s="1032" t="s">
        <v>530</v>
      </c>
      <c r="M1706" s="1032" t="s">
        <v>1035</v>
      </c>
      <c r="N1706" s="1032" t="s">
        <v>1044</v>
      </c>
      <c r="O1706" s="1032">
        <v>2021.0</v>
      </c>
      <c r="P1706" s="1032" t="s">
        <v>1039</v>
      </c>
      <c r="Q1706" s="1033" t="s">
        <v>63</v>
      </c>
      <c r="R1706" s="1034">
        <v>0.0</v>
      </c>
      <c r="S1706" s="1034">
        <v>0.0</v>
      </c>
      <c r="T1706" s="1035">
        <v>0.0</v>
      </c>
      <c r="AB1706" s="1045"/>
    </row>
    <row r="1707">
      <c r="A1707" s="294"/>
      <c r="K1707" s="1031" t="s">
        <v>153</v>
      </c>
      <c r="L1707" s="1032" t="s">
        <v>530</v>
      </c>
      <c r="M1707" s="1032" t="s">
        <v>1035</v>
      </c>
      <c r="N1707" s="1032" t="s">
        <v>1046</v>
      </c>
      <c r="O1707" s="1032">
        <v>2021.0</v>
      </c>
      <c r="P1707" s="1032" t="s">
        <v>1039</v>
      </c>
      <c r="Q1707" s="1033" t="s">
        <v>63</v>
      </c>
      <c r="R1707" s="1034">
        <v>117.1810516</v>
      </c>
      <c r="S1707" s="1034">
        <v>69.96755685</v>
      </c>
      <c r="T1707" s="1035">
        <v>187.3371874</v>
      </c>
      <c r="AB1707" s="1045"/>
    </row>
    <row r="1708">
      <c r="A1708" s="294"/>
      <c r="K1708" s="1031" t="s">
        <v>153</v>
      </c>
      <c r="L1708" s="1032" t="s">
        <v>530</v>
      </c>
      <c r="M1708" s="1032" t="s">
        <v>1035</v>
      </c>
      <c r="N1708" s="1032" t="s">
        <v>1045</v>
      </c>
      <c r="O1708" s="1032">
        <v>2021.0</v>
      </c>
      <c r="P1708" s="1032" t="s">
        <v>1039</v>
      </c>
      <c r="Q1708" s="1033" t="s">
        <v>63</v>
      </c>
      <c r="R1708" s="1034">
        <v>319.0895571</v>
      </c>
      <c r="S1708" s="1034">
        <v>169.2567789</v>
      </c>
      <c r="T1708" s="1035">
        <v>570.7979483</v>
      </c>
      <c r="AB1708" s="1045"/>
    </row>
    <row r="1709">
      <c r="A1709" s="294"/>
      <c r="K1709" s="1031" t="s">
        <v>122</v>
      </c>
      <c r="L1709" s="1032" t="s">
        <v>530</v>
      </c>
      <c r="M1709" s="1032" t="s">
        <v>1035</v>
      </c>
      <c r="N1709" s="1032" t="s">
        <v>1038</v>
      </c>
      <c r="O1709" s="1032">
        <v>2021.0</v>
      </c>
      <c r="P1709" s="1032" t="s">
        <v>1039</v>
      </c>
      <c r="Q1709" s="1033" t="s">
        <v>63</v>
      </c>
      <c r="R1709" s="1034">
        <v>617.1653648</v>
      </c>
      <c r="S1709" s="1034">
        <v>390.2377427</v>
      </c>
      <c r="T1709" s="1035">
        <v>944.4978231</v>
      </c>
      <c r="AB1709" s="1045"/>
    </row>
    <row r="1710">
      <c r="A1710" s="294"/>
      <c r="K1710" s="1031" t="s">
        <v>122</v>
      </c>
      <c r="L1710" s="1032" t="s">
        <v>530</v>
      </c>
      <c r="M1710" s="1032" t="s">
        <v>1035</v>
      </c>
      <c r="N1710" s="1032" t="s">
        <v>1042</v>
      </c>
      <c r="O1710" s="1032">
        <v>2021.0</v>
      </c>
      <c r="P1710" s="1032" t="s">
        <v>1039</v>
      </c>
      <c r="Q1710" s="1033" t="s">
        <v>63</v>
      </c>
      <c r="R1710" s="1034">
        <v>0.0</v>
      </c>
      <c r="S1710" s="1034">
        <v>0.0</v>
      </c>
      <c r="T1710" s="1035">
        <v>0.0</v>
      </c>
      <c r="AB1710" s="1045"/>
    </row>
    <row r="1711">
      <c r="A1711" s="294"/>
      <c r="K1711" s="1031" t="s">
        <v>122</v>
      </c>
      <c r="L1711" s="1032" t="s">
        <v>530</v>
      </c>
      <c r="M1711" s="1032" t="s">
        <v>1035</v>
      </c>
      <c r="N1711" s="1032" t="s">
        <v>1044</v>
      </c>
      <c r="O1711" s="1032">
        <v>2021.0</v>
      </c>
      <c r="P1711" s="1032" t="s">
        <v>1039</v>
      </c>
      <c r="Q1711" s="1033" t="s">
        <v>63</v>
      </c>
      <c r="R1711" s="1034">
        <v>0.0</v>
      </c>
      <c r="S1711" s="1034">
        <v>0.0</v>
      </c>
      <c r="T1711" s="1035">
        <v>0.0</v>
      </c>
      <c r="AB1711" s="1045"/>
    </row>
    <row r="1712">
      <c r="A1712" s="294"/>
      <c r="K1712" s="1031" t="s">
        <v>122</v>
      </c>
      <c r="L1712" s="1032" t="s">
        <v>530</v>
      </c>
      <c r="M1712" s="1032" t="s">
        <v>1035</v>
      </c>
      <c r="N1712" s="1032" t="s">
        <v>1046</v>
      </c>
      <c r="O1712" s="1032">
        <v>2021.0</v>
      </c>
      <c r="P1712" s="1032" t="s">
        <v>1039</v>
      </c>
      <c r="Q1712" s="1033" t="s">
        <v>63</v>
      </c>
      <c r="R1712" s="1034">
        <v>335.2804586</v>
      </c>
      <c r="S1712" s="1034">
        <v>220.7788866</v>
      </c>
      <c r="T1712" s="1035">
        <v>479.8547337</v>
      </c>
      <c r="AB1712" s="1045"/>
    </row>
    <row r="1713">
      <c r="A1713" s="294"/>
      <c r="K1713" s="1048" t="s">
        <v>122</v>
      </c>
      <c r="L1713" s="1049" t="s">
        <v>530</v>
      </c>
      <c r="M1713" s="1049" t="s">
        <v>1035</v>
      </c>
      <c r="N1713" s="1049" t="s">
        <v>1045</v>
      </c>
      <c r="O1713" s="1049">
        <v>2021.0</v>
      </c>
      <c r="P1713" s="1049" t="s">
        <v>1039</v>
      </c>
      <c r="Q1713" s="1050" t="s">
        <v>63</v>
      </c>
      <c r="R1713" s="1051">
        <v>952.4458234</v>
      </c>
      <c r="S1713" s="1051">
        <v>631.1567321</v>
      </c>
      <c r="T1713" s="1052">
        <v>1377.986506</v>
      </c>
      <c r="AB1713" s="1045"/>
    </row>
    <row r="1714">
      <c r="A1714" s="294"/>
      <c r="K1714" s="1053"/>
      <c r="L1714" s="1053"/>
      <c r="M1714" s="1053"/>
      <c r="N1714" s="1053"/>
      <c r="O1714" s="1053"/>
      <c r="P1714" s="1053"/>
      <c r="Q1714" s="1054"/>
      <c r="R1714" s="1053"/>
      <c r="S1714" s="1053"/>
      <c r="T1714" s="1053"/>
      <c r="AB1714" s="1045"/>
    </row>
  </sheetData>
  <mergeCells count="3">
    <mergeCell ref="B2:I2"/>
    <mergeCell ref="K2:T2"/>
    <mergeCell ref="V2:AE2"/>
  </mergeCells>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4"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438"/>
      <c r="F2" s="95"/>
      <c r="G2" s="95"/>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17" t="s">
        <v>20</v>
      </c>
      <c r="B4" s="7"/>
      <c r="C4" s="7"/>
      <c r="D4" s="7"/>
      <c r="E4" s="7"/>
      <c r="F4" s="7"/>
      <c r="G4" s="7"/>
      <c r="H4" s="118"/>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055"/>
    </row>
    <row r="5">
      <c r="A5" s="122"/>
      <c r="B5" s="123"/>
      <c r="C5" s="123"/>
      <c r="D5" s="123"/>
      <c r="E5" s="445"/>
      <c r="F5" s="125"/>
      <c r="G5" s="125"/>
      <c r="H5" s="127"/>
      <c r="I5" s="1056"/>
      <c r="J5" s="1056"/>
      <c r="K5" s="1056"/>
      <c r="L5" s="1056"/>
      <c r="M5" s="1056"/>
      <c r="N5" s="1056"/>
      <c r="O5" s="1056"/>
      <c r="P5" s="1056"/>
      <c r="Q5" s="1056"/>
      <c r="R5" s="1056"/>
      <c r="S5" s="1056"/>
      <c r="T5" s="1056"/>
      <c r="U5" s="1056"/>
      <c r="V5" s="1056"/>
      <c r="W5" s="1056"/>
      <c r="X5" s="1056"/>
      <c r="Y5" s="1056"/>
      <c r="Z5" s="1056"/>
      <c r="AA5" s="1056"/>
      <c r="AB5" s="1056"/>
      <c r="AC5" s="1056"/>
      <c r="AD5" s="1056"/>
      <c r="AE5" s="1056"/>
      <c r="AF5" s="1056"/>
      <c r="AG5" s="1056"/>
      <c r="AH5" s="1056"/>
      <c r="AI5" s="1056"/>
      <c r="AJ5" s="1056"/>
      <c r="AK5" s="1056"/>
      <c r="AL5" s="1056"/>
      <c r="AM5" s="1056"/>
      <c r="AN5" s="1056"/>
      <c r="AO5" s="1056"/>
      <c r="AP5" s="1056"/>
      <c r="AQ5" s="1056"/>
      <c r="AR5" s="1056"/>
      <c r="AS5" s="1056"/>
      <c r="AT5" s="1056"/>
      <c r="AU5" s="1056"/>
      <c r="AV5" s="1056"/>
      <c r="AW5" s="1057"/>
    </row>
    <row r="6">
      <c r="A6" s="122"/>
      <c r="B6" s="123"/>
      <c r="C6" s="131" t="s">
        <v>1048</v>
      </c>
      <c r="F6" s="125"/>
      <c r="G6" s="482"/>
      <c r="H6" s="127"/>
      <c r="I6" s="1056"/>
      <c r="J6" s="1056"/>
      <c r="K6" s="1056"/>
      <c r="L6" s="1056"/>
      <c r="M6" s="1056"/>
      <c r="N6" s="1056"/>
      <c r="O6" s="1056"/>
      <c r="P6" s="1056"/>
      <c r="Q6" s="1056"/>
      <c r="R6" s="1056"/>
      <c r="S6" s="1056"/>
      <c r="T6" s="1056"/>
      <c r="U6" s="1056"/>
      <c r="V6" s="1056"/>
      <c r="W6" s="1056"/>
      <c r="X6" s="1056"/>
      <c r="Y6" s="1056"/>
      <c r="Z6" s="1056"/>
      <c r="AA6" s="1056"/>
      <c r="AB6" s="1056"/>
      <c r="AC6" s="1056"/>
      <c r="AD6" s="1056"/>
      <c r="AE6" s="1056"/>
      <c r="AF6" s="1056"/>
      <c r="AG6" s="1056"/>
      <c r="AH6" s="1056"/>
      <c r="AI6" s="1056"/>
      <c r="AJ6" s="1056"/>
      <c r="AK6" s="1056"/>
      <c r="AL6" s="1056"/>
      <c r="AM6" s="1056"/>
      <c r="AN6" s="1056"/>
      <c r="AO6" s="1056"/>
      <c r="AP6" s="1056"/>
      <c r="AQ6" s="1056"/>
      <c r="AR6" s="1056"/>
      <c r="AS6" s="1056"/>
      <c r="AT6" s="1056"/>
      <c r="AU6" s="1056"/>
      <c r="AV6" s="1056"/>
      <c r="AW6" s="1057"/>
    </row>
    <row r="7">
      <c r="A7" s="122"/>
      <c r="B7" s="123"/>
      <c r="C7" s="123"/>
      <c r="D7" s="123"/>
      <c r="E7" s="800" t="s">
        <v>158</v>
      </c>
      <c r="F7" s="134" t="s">
        <v>68</v>
      </c>
      <c r="G7" s="480" t="s">
        <v>165</v>
      </c>
      <c r="H7" s="136">
        <f>Inputs!H8</f>
        <v>1000000</v>
      </c>
      <c r="I7" s="137" t="str">
        <f>Inputs!I8</f>
        <v>-</v>
      </c>
      <c r="J7" s="137" t="str">
        <f>Inputs!J8</f>
        <v>-</v>
      </c>
      <c r="K7" s="137" t="str">
        <f>Inputs!K8</f>
        <v>-</v>
      </c>
      <c r="L7" s="137" t="str">
        <f>Inputs!L8</f>
        <v>-</v>
      </c>
      <c r="M7" s="137" t="str">
        <f>Inputs!M8</f>
        <v>-</v>
      </c>
      <c r="N7" s="137" t="str">
        <f>Inputs!N8</f>
        <v>-</v>
      </c>
      <c r="O7" s="137" t="str">
        <f>Inputs!O8</f>
        <v>-</v>
      </c>
      <c r="P7" s="137" t="str">
        <f>Inputs!P8</f>
        <v>-</v>
      </c>
      <c r="Q7" s="137" t="str">
        <f>Inputs!Q8</f>
        <v>-</v>
      </c>
      <c r="R7" s="137" t="str">
        <f>Inputs!R8</f>
        <v>-</v>
      </c>
      <c r="S7" s="137" t="str">
        <f>Inputs!S8</f>
        <v>-</v>
      </c>
      <c r="T7" s="137" t="str">
        <f>Inputs!T8</f>
        <v>-</v>
      </c>
      <c r="U7" s="137" t="str">
        <f>Inputs!U8</f>
        <v>-</v>
      </c>
      <c r="V7" s="137" t="str">
        <f>Inputs!V8</f>
        <v>-</v>
      </c>
      <c r="W7" s="137" t="str">
        <f>Inputs!W8</f>
        <v>-</v>
      </c>
      <c r="X7" s="137" t="str">
        <f>Inputs!X8</f>
        <v>-</v>
      </c>
      <c r="Y7" s="137" t="str">
        <f>Inputs!Y8</f>
        <v>-</v>
      </c>
      <c r="Z7" s="137" t="str">
        <f>Inputs!Z8</f>
        <v>-</v>
      </c>
      <c r="AA7" s="137" t="str">
        <f>Inputs!AA8</f>
        <v>-</v>
      </c>
      <c r="AB7" s="137" t="str">
        <f>Inputs!AB8</f>
        <v>-</v>
      </c>
      <c r="AC7" s="137" t="str">
        <f>Inputs!AC8</f>
        <v>-</v>
      </c>
      <c r="AD7" s="137" t="str">
        <f>Inputs!AD8</f>
        <v>-</v>
      </c>
      <c r="AE7" s="137" t="str">
        <f>Inputs!AE8</f>
        <v>-</v>
      </c>
      <c r="AF7" s="137" t="str">
        <f>Inputs!AF8</f>
        <v>-</v>
      </c>
      <c r="AG7" s="137" t="str">
        <f>Inputs!AG8</f>
        <v>-</v>
      </c>
      <c r="AH7" s="137" t="str">
        <f>Inputs!AH8</f>
        <v>-</v>
      </c>
      <c r="AI7" s="137" t="str">
        <f>Inputs!AI8</f>
        <v>-</v>
      </c>
      <c r="AJ7" s="137" t="str">
        <f>Inputs!AJ8</f>
        <v>-</v>
      </c>
      <c r="AK7" s="137" t="str">
        <f>Inputs!AK8</f>
        <v>-</v>
      </c>
      <c r="AL7" s="137" t="str">
        <f>Inputs!AL8</f>
        <v>-</v>
      </c>
      <c r="AM7" s="137" t="str">
        <f>Inputs!AM8</f>
        <v>-</v>
      </c>
      <c r="AN7" s="137" t="str">
        <f>Inputs!AN8</f>
        <v>-</v>
      </c>
      <c r="AO7" s="137" t="str">
        <f>Inputs!AO8</f>
        <v>-</v>
      </c>
      <c r="AP7" s="137" t="str">
        <f>Inputs!AP8</f>
        <v>-</v>
      </c>
      <c r="AQ7" s="137" t="str">
        <f>Inputs!AQ8</f>
        <v>-</v>
      </c>
      <c r="AR7" s="137" t="str">
        <f>Inputs!AR8</f>
        <v>-</v>
      </c>
      <c r="AS7" s="137" t="str">
        <f>Inputs!AS8</f>
        <v>-</v>
      </c>
      <c r="AT7" s="137" t="str">
        <f>Inputs!AT8</f>
        <v>-</v>
      </c>
      <c r="AU7" s="137" t="str">
        <f>Inputs!AU8</f>
        <v>-</v>
      </c>
      <c r="AV7" s="137" t="str">
        <f>Inputs!AV8</f>
        <v>-</v>
      </c>
      <c r="AW7" s="1058"/>
    </row>
    <row r="8">
      <c r="A8" s="122"/>
      <c r="B8" s="123"/>
      <c r="C8" s="143"/>
      <c r="D8" s="123"/>
      <c r="E8" s="777"/>
      <c r="F8" s="141"/>
      <c r="G8" s="141"/>
      <c r="H8" s="188"/>
      <c r="I8" s="716"/>
      <c r="J8" s="716"/>
      <c r="K8" s="716"/>
      <c r="L8" s="716"/>
      <c r="M8" s="716"/>
      <c r="N8" s="716"/>
      <c r="O8" s="716"/>
      <c r="P8" s="716"/>
      <c r="Q8" s="716"/>
      <c r="R8" s="716"/>
      <c r="S8" s="716"/>
      <c r="T8" s="716"/>
      <c r="U8" s="716"/>
      <c r="V8" s="716"/>
      <c r="W8" s="716"/>
      <c r="X8" s="716"/>
      <c r="Y8" s="716"/>
      <c r="Z8" s="716"/>
      <c r="AA8" s="716"/>
      <c r="AB8" s="716"/>
      <c r="AC8" s="716"/>
      <c r="AD8" s="716"/>
      <c r="AE8" s="716"/>
      <c r="AF8" s="716"/>
      <c r="AG8" s="716"/>
      <c r="AH8" s="716"/>
      <c r="AI8" s="716"/>
      <c r="AJ8" s="716"/>
      <c r="AK8" s="716"/>
      <c r="AL8" s="716"/>
      <c r="AM8" s="716"/>
      <c r="AN8" s="716"/>
      <c r="AO8" s="716"/>
      <c r="AP8" s="716"/>
      <c r="AQ8" s="716"/>
      <c r="AR8" s="716"/>
      <c r="AS8" s="716"/>
      <c r="AT8" s="716"/>
      <c r="AU8" s="716"/>
      <c r="AV8" s="716"/>
      <c r="AW8" s="1057"/>
    </row>
    <row r="9">
      <c r="A9" s="122"/>
      <c r="B9" s="123"/>
      <c r="C9" s="143" t="s">
        <v>1049</v>
      </c>
      <c r="F9" s="141"/>
      <c r="G9" s="141"/>
      <c r="H9" s="188"/>
      <c r="I9" s="716"/>
      <c r="J9" s="716"/>
      <c r="K9" s="716"/>
      <c r="L9" s="716"/>
      <c r="M9" s="716"/>
      <c r="N9" s="716"/>
      <c r="O9" s="716"/>
      <c r="P9" s="716"/>
      <c r="Q9" s="716"/>
      <c r="R9" s="716"/>
      <c r="S9" s="716"/>
      <c r="T9" s="716"/>
      <c r="U9" s="716"/>
      <c r="V9" s="716"/>
      <c r="W9" s="716"/>
      <c r="X9" s="716"/>
      <c r="Y9" s="716"/>
      <c r="Z9" s="716"/>
      <c r="AA9" s="716"/>
      <c r="AB9" s="716"/>
      <c r="AC9" s="716"/>
      <c r="AD9" s="716"/>
      <c r="AE9" s="716"/>
      <c r="AF9" s="716"/>
      <c r="AG9" s="716"/>
      <c r="AH9" s="716"/>
      <c r="AI9" s="716"/>
      <c r="AJ9" s="716"/>
      <c r="AK9" s="716"/>
      <c r="AL9" s="716"/>
      <c r="AM9" s="716"/>
      <c r="AN9" s="716"/>
      <c r="AO9" s="716"/>
      <c r="AP9" s="716"/>
      <c r="AQ9" s="716"/>
      <c r="AR9" s="716"/>
      <c r="AS9" s="716"/>
      <c r="AT9" s="716"/>
      <c r="AU9" s="716"/>
      <c r="AV9" s="716"/>
      <c r="AW9" s="1057"/>
    </row>
    <row r="10">
      <c r="A10" s="122"/>
      <c r="B10" s="123"/>
      <c r="C10" s="143"/>
      <c r="D10" s="123"/>
      <c r="E10" s="782" t="s">
        <v>1050</v>
      </c>
      <c r="F10" s="193" t="s">
        <v>68</v>
      </c>
      <c r="G10" s="193" t="s">
        <v>165</v>
      </c>
      <c r="H10" s="1059">
        <f>'Main CEA'!H16</f>
        <v>18.21258998</v>
      </c>
      <c r="I10" s="1060" t="str">
        <f>'Main CEA'!I16</f>
        <v>-</v>
      </c>
      <c r="J10" s="1060" t="str">
        <f>'Main CEA'!J16</f>
        <v>-</v>
      </c>
      <c r="K10" s="1060" t="str">
        <f>'Main CEA'!K16</f>
        <v>-</v>
      </c>
      <c r="L10" s="1060" t="str">
        <f>'Main CEA'!L16</f>
        <v>-</v>
      </c>
      <c r="M10" s="1060" t="str">
        <f>'Main CEA'!M16</f>
        <v>-</v>
      </c>
      <c r="N10" s="1060" t="str">
        <f>'Main CEA'!N16</f>
        <v>-</v>
      </c>
      <c r="O10" s="1060" t="str">
        <f>'Main CEA'!O16</f>
        <v>-</v>
      </c>
      <c r="P10" s="1060" t="str">
        <f>'Main CEA'!P16</f>
        <v>-</v>
      </c>
      <c r="Q10" s="1060" t="str">
        <f>'Main CEA'!Q16</f>
        <v>-</v>
      </c>
      <c r="R10" s="1060" t="str">
        <f>'Main CEA'!R16</f>
        <v>-</v>
      </c>
      <c r="S10" s="1060" t="str">
        <f>'Main CEA'!S16</f>
        <v>-</v>
      </c>
      <c r="T10" s="1060" t="str">
        <f>'Main CEA'!T16</f>
        <v>-</v>
      </c>
      <c r="U10" s="1060" t="str">
        <f>'Main CEA'!U16</f>
        <v>-</v>
      </c>
      <c r="V10" s="1060" t="str">
        <f>'Main CEA'!V16</f>
        <v>-</v>
      </c>
      <c r="W10" s="1060" t="str">
        <f>'Main CEA'!W16</f>
        <v>-</v>
      </c>
      <c r="X10" s="1060" t="str">
        <f>'Main CEA'!X16</f>
        <v>-</v>
      </c>
      <c r="Y10" s="1060" t="str">
        <f>'Main CEA'!Y16</f>
        <v>-</v>
      </c>
      <c r="Z10" s="1060" t="str">
        <f>'Main CEA'!Z16</f>
        <v>-</v>
      </c>
      <c r="AA10" s="1060" t="str">
        <f>'Main CEA'!AA16</f>
        <v>-</v>
      </c>
      <c r="AB10" s="1060" t="str">
        <f>'Main CEA'!AB16</f>
        <v>-</v>
      </c>
      <c r="AC10" s="1060" t="str">
        <f>'Main CEA'!AC16</f>
        <v>-</v>
      </c>
      <c r="AD10" s="1060" t="str">
        <f>'Main CEA'!AD16</f>
        <v>-</v>
      </c>
      <c r="AE10" s="1060" t="str">
        <f>'Main CEA'!AE16</f>
        <v>-</v>
      </c>
      <c r="AF10" s="1060" t="str">
        <f>'Main CEA'!AF16</f>
        <v>-</v>
      </c>
      <c r="AG10" s="1060" t="str">
        <f>'Main CEA'!AG16</f>
        <v>-</v>
      </c>
      <c r="AH10" s="1060" t="str">
        <f>'Main CEA'!AH16</f>
        <v>-</v>
      </c>
      <c r="AI10" s="1060" t="str">
        <f>'Main CEA'!AI16</f>
        <v>-</v>
      </c>
      <c r="AJ10" s="1060" t="str">
        <f>'Main CEA'!AJ16</f>
        <v>-</v>
      </c>
      <c r="AK10" s="1060" t="str">
        <f>'Main CEA'!AK16</f>
        <v>-</v>
      </c>
      <c r="AL10" s="1060" t="str">
        <f>'Main CEA'!AL16</f>
        <v>-</v>
      </c>
      <c r="AM10" s="1060" t="str">
        <f>'Main CEA'!AM16</f>
        <v>-</v>
      </c>
      <c r="AN10" s="1060" t="str">
        <f>'Main CEA'!AN16</f>
        <v>-</v>
      </c>
      <c r="AO10" s="1060" t="str">
        <f>'Main CEA'!AO16</f>
        <v>-</v>
      </c>
      <c r="AP10" s="1060" t="str">
        <f>'Main CEA'!AP16</f>
        <v>-</v>
      </c>
      <c r="AQ10" s="1060" t="str">
        <f>'Main CEA'!AQ16</f>
        <v>-</v>
      </c>
      <c r="AR10" s="1060" t="str">
        <f>'Main CEA'!AR16</f>
        <v>-</v>
      </c>
      <c r="AS10" s="1060" t="str">
        <f>'Main CEA'!AS16</f>
        <v>-</v>
      </c>
      <c r="AT10" s="1060" t="str">
        <f>'Main CEA'!AT16</f>
        <v>-</v>
      </c>
      <c r="AU10" s="1060" t="str">
        <f>'Main CEA'!AU16</f>
        <v>-</v>
      </c>
      <c r="AV10" s="1060" t="str">
        <f>'Main CEA'!AV16</f>
        <v>-</v>
      </c>
      <c r="AW10" s="1061"/>
    </row>
    <row r="11">
      <c r="A11" s="122"/>
      <c r="B11" s="123"/>
      <c r="C11" s="143"/>
      <c r="D11" s="123"/>
      <c r="E11" s="475" t="s">
        <v>1051</v>
      </c>
      <c r="F11" s="213" t="s">
        <v>62</v>
      </c>
      <c r="G11" s="213" t="s">
        <v>161</v>
      </c>
      <c r="H11" s="240" t="s">
        <v>162</v>
      </c>
      <c r="I11" s="361">
        <f t="shared" ref="I11:AV11" si="1">IF(I7="-",$H7/$H10,I7/$H10)</f>
        <v>54907.07257</v>
      </c>
      <c r="J11" s="361">
        <f t="shared" si="1"/>
        <v>54907.07257</v>
      </c>
      <c r="K11" s="361">
        <f t="shared" si="1"/>
        <v>54907.07257</v>
      </c>
      <c r="L11" s="361">
        <f t="shared" si="1"/>
        <v>54907.07257</v>
      </c>
      <c r="M11" s="361">
        <f t="shared" si="1"/>
        <v>54907.07257</v>
      </c>
      <c r="N11" s="361">
        <f t="shared" si="1"/>
        <v>54907.07257</v>
      </c>
      <c r="O11" s="361">
        <f t="shared" si="1"/>
        <v>54907.07257</v>
      </c>
      <c r="P11" s="361">
        <f t="shared" si="1"/>
        <v>54907.07257</v>
      </c>
      <c r="Q11" s="361">
        <f t="shared" si="1"/>
        <v>54907.07257</v>
      </c>
      <c r="R11" s="361">
        <f t="shared" si="1"/>
        <v>54907.07257</v>
      </c>
      <c r="S11" s="361">
        <f t="shared" si="1"/>
        <v>54907.07257</v>
      </c>
      <c r="T11" s="361">
        <f t="shared" si="1"/>
        <v>54907.07257</v>
      </c>
      <c r="U11" s="361">
        <f t="shared" si="1"/>
        <v>54907.07257</v>
      </c>
      <c r="V11" s="361">
        <f t="shared" si="1"/>
        <v>54907.07257</v>
      </c>
      <c r="W11" s="361">
        <f t="shared" si="1"/>
        <v>54907.07257</v>
      </c>
      <c r="X11" s="361">
        <f t="shared" si="1"/>
        <v>54907.07257</v>
      </c>
      <c r="Y11" s="361">
        <f t="shared" si="1"/>
        <v>54907.07257</v>
      </c>
      <c r="Z11" s="361">
        <f t="shared" si="1"/>
        <v>54907.07257</v>
      </c>
      <c r="AA11" s="361">
        <f t="shared" si="1"/>
        <v>54907.07257</v>
      </c>
      <c r="AB11" s="361">
        <f t="shared" si="1"/>
        <v>54907.07257</v>
      </c>
      <c r="AC11" s="361">
        <f t="shared" si="1"/>
        <v>54907.07257</v>
      </c>
      <c r="AD11" s="361">
        <f t="shared" si="1"/>
        <v>54907.07257</v>
      </c>
      <c r="AE11" s="361">
        <f t="shared" si="1"/>
        <v>54907.07257</v>
      </c>
      <c r="AF11" s="361">
        <f t="shared" si="1"/>
        <v>54907.07257</v>
      </c>
      <c r="AG11" s="361">
        <f t="shared" si="1"/>
        <v>54907.07257</v>
      </c>
      <c r="AH11" s="361">
        <f t="shared" si="1"/>
        <v>54907.07257</v>
      </c>
      <c r="AI11" s="361">
        <f t="shared" si="1"/>
        <v>54907.07257</v>
      </c>
      <c r="AJ11" s="361">
        <f t="shared" si="1"/>
        <v>54907.07257</v>
      </c>
      <c r="AK11" s="361">
        <f t="shared" si="1"/>
        <v>54907.07257</v>
      </c>
      <c r="AL11" s="361">
        <f t="shared" si="1"/>
        <v>54907.07257</v>
      </c>
      <c r="AM11" s="361">
        <f t="shared" si="1"/>
        <v>54907.07257</v>
      </c>
      <c r="AN11" s="361">
        <f t="shared" si="1"/>
        <v>54907.07257</v>
      </c>
      <c r="AO11" s="361">
        <f t="shared" si="1"/>
        <v>54907.07257</v>
      </c>
      <c r="AP11" s="361">
        <f t="shared" si="1"/>
        <v>54907.07257</v>
      </c>
      <c r="AQ11" s="361">
        <f t="shared" si="1"/>
        <v>54907.07257</v>
      </c>
      <c r="AR11" s="361">
        <f t="shared" si="1"/>
        <v>54907.07257</v>
      </c>
      <c r="AS11" s="361">
        <f t="shared" si="1"/>
        <v>54907.07257</v>
      </c>
      <c r="AT11" s="361">
        <f t="shared" si="1"/>
        <v>54907.07257</v>
      </c>
      <c r="AU11" s="361">
        <f t="shared" si="1"/>
        <v>54907.07257</v>
      </c>
      <c r="AV11" s="361">
        <f t="shared" si="1"/>
        <v>54907.07257</v>
      </c>
      <c r="AW11" s="1062"/>
    </row>
    <row r="12">
      <c r="A12" s="122"/>
      <c r="B12" s="123"/>
      <c r="C12" s="143"/>
      <c r="D12" s="123"/>
      <c r="E12" s="475" t="s">
        <v>1052</v>
      </c>
      <c r="F12" s="213" t="s">
        <v>72</v>
      </c>
      <c r="G12" s="213" t="s">
        <v>165</v>
      </c>
      <c r="H12" s="240" t="s">
        <v>162</v>
      </c>
      <c r="I12" s="241">
        <f>1-('Main CEA'!I36/'Main CEA'!I21)</f>
        <v>0.8147744577</v>
      </c>
      <c r="J12" s="241">
        <f>1-('Main CEA'!J36/'Main CEA'!J21)</f>
        <v>0.8800470161</v>
      </c>
      <c r="K12" s="241">
        <f>1-('Main CEA'!K36/'Main CEA'!K21)</f>
        <v>0.8577882271</v>
      </c>
      <c r="L12" s="241">
        <f>1-('Main CEA'!L36/'Main CEA'!L21)</f>
        <v>0.8423238217</v>
      </c>
      <c r="M12" s="241">
        <f>1-('Main CEA'!M36/'Main CEA'!M21)</f>
        <v>0.8323011824</v>
      </c>
      <c r="N12" s="241">
        <f>1-('Main CEA'!N36/'Main CEA'!N21)</f>
        <v>0.8104791282</v>
      </c>
      <c r="O12" s="241">
        <f>1-('Main CEA'!O36/'Main CEA'!O21)</f>
        <v>0.7193271108</v>
      </c>
      <c r="P12" s="241">
        <f>1-('Main CEA'!P36/'Main CEA'!P21)</f>
        <v>0.6846869654</v>
      </c>
      <c r="Q12" s="241">
        <f>1-('Main CEA'!Q36/'Main CEA'!Q21)</f>
        <v>0.7943821971</v>
      </c>
      <c r="R12" s="241">
        <f>1-('Main CEA'!R36/'Main CEA'!R21)</f>
        <v>0.9640683828</v>
      </c>
      <c r="S12" s="241">
        <f>1-('Main CEA'!S36/'Main CEA'!S21)</f>
        <v>0.9472226391</v>
      </c>
      <c r="T12" s="241">
        <f>1-('Main CEA'!T36/'Main CEA'!T21)</f>
        <v>0.9541025378</v>
      </c>
      <c r="U12" s="241">
        <f>1-('Main CEA'!U36/'Main CEA'!U21)</f>
        <v>0.9436995469</v>
      </c>
      <c r="V12" s="241">
        <f>1-('Main CEA'!V36/'Main CEA'!V21)</f>
        <v>0.9348324466</v>
      </c>
      <c r="W12" s="241">
        <f>1-('Main CEA'!W36/'Main CEA'!W21)</f>
        <v>0.9345760614</v>
      </c>
      <c r="X12" s="241">
        <f>1-('Main CEA'!X36/'Main CEA'!X21)</f>
        <v>0.8378516527</v>
      </c>
      <c r="Y12" s="241">
        <f>1-('Main CEA'!Y36/'Main CEA'!Y21)</f>
        <v>0.9757198258</v>
      </c>
      <c r="Z12" s="241">
        <f>1-('Main CEA'!Z36/'Main CEA'!Z21)</f>
        <v>0.9397379904</v>
      </c>
      <c r="AA12" s="241">
        <f>1-('Main CEA'!AA36/'Main CEA'!AA21)</f>
        <v>0.9966873034</v>
      </c>
      <c r="AB12" s="241">
        <f>1-('Main CEA'!AB36/'Main CEA'!AB21)</f>
        <v>0.9711064851</v>
      </c>
      <c r="AC12" s="241">
        <f>1-('Main CEA'!AC36/'Main CEA'!AC21)</f>
        <v>0.9838929114</v>
      </c>
      <c r="AD12" s="241">
        <f>1-('Main CEA'!AD36/'Main CEA'!AD21)</f>
        <v>0.9902789473</v>
      </c>
      <c r="AE12" s="241">
        <f>1-('Main CEA'!AE36/'Main CEA'!AE21)</f>
        <v>0.9727093612</v>
      </c>
      <c r="AF12" s="241">
        <f>1-('Main CEA'!AF36/'Main CEA'!AF21)</f>
        <v>0.9800214279</v>
      </c>
      <c r="AG12" s="241">
        <f>1-('Main CEA'!AG36/'Main CEA'!AG21)</f>
        <v>0.9024832751</v>
      </c>
      <c r="AH12" s="241">
        <f>1-('Main CEA'!AH36/'Main CEA'!AH21)</f>
        <v>0.9427685641</v>
      </c>
      <c r="AI12" s="241">
        <f>1-('Main CEA'!AI36/'Main CEA'!AI21)</f>
        <v>0.8966160047</v>
      </c>
      <c r="AJ12" s="241">
        <f>1-('Main CEA'!AJ36/'Main CEA'!AJ21)</f>
        <v>0.9760150584</v>
      </c>
      <c r="AK12" s="241">
        <f>1-('Main CEA'!AK36/'Main CEA'!AK21)</f>
        <v>0.9081514704</v>
      </c>
      <c r="AL12" s="241">
        <f>1-('Main CEA'!AL36/'Main CEA'!AL21)</f>
        <v>0.8405759735</v>
      </c>
      <c r="AM12" s="241">
        <f>1-('Main CEA'!AM36/'Main CEA'!AM21)</f>
        <v>0.8105172175</v>
      </c>
      <c r="AN12" s="241">
        <f>1-('Main CEA'!AN36/'Main CEA'!AN21)</f>
        <v>0.8909702759</v>
      </c>
      <c r="AO12" s="241">
        <f>1-('Main CEA'!AO36/'Main CEA'!AO21)</f>
        <v>0.8846688373</v>
      </c>
      <c r="AP12" s="241">
        <f>1-('Main CEA'!AP36/'Main CEA'!AP21)</f>
        <v>0.9158672706</v>
      </c>
      <c r="AQ12" s="241">
        <f>1-('Main CEA'!AQ36/'Main CEA'!AQ21)</f>
        <v>0.9680226586</v>
      </c>
      <c r="AR12" s="241">
        <f>1-('Main CEA'!AR36/'Main CEA'!AR21)</f>
        <v>0.9128044081</v>
      </c>
      <c r="AS12" s="241">
        <f>1-('Main CEA'!AS36/'Main CEA'!AS21)</f>
        <v>0.9370905464</v>
      </c>
      <c r="AT12" s="241">
        <f>1-('Main CEA'!AT36/'Main CEA'!AT21)</f>
        <v>0.9680808096</v>
      </c>
      <c r="AU12" s="241">
        <f>1-('Main CEA'!AU36/'Main CEA'!AU21)</f>
        <v>0.9010858983</v>
      </c>
      <c r="AV12" s="241">
        <f>1-('Main CEA'!AV36/'Main CEA'!AV21)</f>
        <v>0.8479260325</v>
      </c>
      <c r="AW12" s="1062"/>
    </row>
    <row r="13">
      <c r="A13" s="122"/>
      <c r="B13" s="123"/>
      <c r="C13" s="143"/>
      <c r="D13" s="123"/>
      <c r="E13" s="475" t="s">
        <v>1053</v>
      </c>
      <c r="F13" s="213" t="s">
        <v>72</v>
      </c>
      <c r="G13" s="213" t="s">
        <v>161</v>
      </c>
      <c r="H13" s="240" t="s">
        <v>162</v>
      </c>
      <c r="I13" s="361">
        <f t="shared" ref="I13:AV13" si="2">I11*(1-I12)</f>
        <v>10170.19229</v>
      </c>
      <c r="J13" s="361">
        <f t="shared" si="2"/>
        <v>6586.267192</v>
      </c>
      <c r="K13" s="361">
        <f t="shared" si="2"/>
        <v>7808.432134</v>
      </c>
      <c r="L13" s="361">
        <f t="shared" si="2"/>
        <v>8657.537363</v>
      </c>
      <c r="M13" s="361">
        <f t="shared" si="2"/>
        <v>9207.851148</v>
      </c>
      <c r="N13" s="361">
        <f t="shared" si="2"/>
        <v>10406.03626</v>
      </c>
      <c r="O13" s="361">
        <f t="shared" si="2"/>
        <v>15410.9267</v>
      </c>
      <c r="P13" s="361">
        <f t="shared" si="2"/>
        <v>17312.91567</v>
      </c>
      <c r="Q13" s="361">
        <f t="shared" si="2"/>
        <v>11289.87163</v>
      </c>
      <c r="R13" s="361">
        <f t="shared" si="2"/>
        <v>1972.899914</v>
      </c>
      <c r="S13" s="361">
        <f t="shared" si="2"/>
        <v>2897.850382</v>
      </c>
      <c r="T13" s="361">
        <f t="shared" si="2"/>
        <v>2520.095288</v>
      </c>
      <c r="U13" s="361">
        <f t="shared" si="2"/>
        <v>3091.293062</v>
      </c>
      <c r="V13" s="361">
        <f t="shared" si="2"/>
        <v>3578.159582</v>
      </c>
      <c r="W13" s="361">
        <f t="shared" si="2"/>
        <v>3592.236945</v>
      </c>
      <c r="X13" s="361">
        <f t="shared" si="2"/>
        <v>8903.09107</v>
      </c>
      <c r="Y13" s="361">
        <f t="shared" si="2"/>
        <v>1333.153289</v>
      </c>
      <c r="Z13" s="361">
        <f t="shared" si="2"/>
        <v>3308.810537</v>
      </c>
      <c r="AA13" s="361">
        <f t="shared" si="2"/>
        <v>181.8904703</v>
      </c>
      <c r="AB13" s="361">
        <f t="shared" si="2"/>
        <v>1586.458319</v>
      </c>
      <c r="AC13" s="361">
        <f t="shared" si="2"/>
        <v>884.393084</v>
      </c>
      <c r="AD13" s="361">
        <f t="shared" si="2"/>
        <v>533.7545447</v>
      </c>
      <c r="AE13" s="361">
        <f t="shared" si="2"/>
        <v>1498.449086</v>
      </c>
      <c r="AF13" s="361">
        <f t="shared" si="2"/>
        <v>1096.964907</v>
      </c>
      <c r="AG13" s="361">
        <f t="shared" si="2"/>
        <v>5354.357893</v>
      </c>
      <c r="AH13" s="361">
        <f t="shared" si="2"/>
        <v>3142.410604</v>
      </c>
      <c r="AI13" s="361">
        <f t="shared" si="2"/>
        <v>5676.51253</v>
      </c>
      <c r="AJ13" s="361">
        <f t="shared" si="2"/>
        <v>1316.942928</v>
      </c>
      <c r="AK13" s="361">
        <f t="shared" si="2"/>
        <v>5043.133879</v>
      </c>
      <c r="AL13" s="361">
        <f t="shared" si="2"/>
        <v>8753.506592</v>
      </c>
      <c r="AM13" s="361">
        <f t="shared" si="2"/>
        <v>10403.94489</v>
      </c>
      <c r="AN13" s="361">
        <f t="shared" si="2"/>
        <v>5986.502973</v>
      </c>
      <c r="AO13" s="361">
        <f t="shared" si="2"/>
        <v>6332.496522</v>
      </c>
      <c r="AP13" s="361">
        <f t="shared" si="2"/>
        <v>4619.481876</v>
      </c>
      <c r="AQ13" s="361">
        <f t="shared" si="2"/>
        <v>1755.782206</v>
      </c>
      <c r="AR13" s="361">
        <f t="shared" si="2"/>
        <v>4787.654694</v>
      </c>
      <c r="AS13" s="361">
        <f t="shared" si="2"/>
        <v>3454.173932</v>
      </c>
      <c r="AT13" s="361">
        <f t="shared" si="2"/>
        <v>1752.589301</v>
      </c>
      <c r="AU13" s="361">
        <f t="shared" si="2"/>
        <v>5431.083763</v>
      </c>
      <c r="AV13" s="361">
        <f t="shared" si="2"/>
        <v>8349.936367</v>
      </c>
      <c r="AW13" s="1062"/>
    </row>
    <row r="14">
      <c r="A14" s="122"/>
      <c r="B14" s="123"/>
      <c r="C14" s="143"/>
      <c r="D14" s="123"/>
      <c r="E14" s="475" t="s">
        <v>1054</v>
      </c>
      <c r="F14" s="213" t="s">
        <v>72</v>
      </c>
      <c r="G14" s="213" t="s">
        <v>165</v>
      </c>
      <c r="H14" s="240" t="str">
        <f>'Main CEA'!H46</f>
        <v>-</v>
      </c>
      <c r="I14" s="244">
        <f>'Main CEA'!I46</f>
        <v>0.0565350252</v>
      </c>
      <c r="J14" s="244">
        <f>'Main CEA'!J46</f>
        <v>0.0419922518</v>
      </c>
      <c r="K14" s="244">
        <f>'Main CEA'!K46</f>
        <v>0.06324757807</v>
      </c>
      <c r="L14" s="244">
        <f>'Main CEA'!L46</f>
        <v>0.02844017379</v>
      </c>
      <c r="M14" s="244">
        <f>'Main CEA'!M46</f>
        <v>0.04002462599</v>
      </c>
      <c r="N14" s="244">
        <f>'Main CEA'!N46</f>
        <v>0.04391236882</v>
      </c>
      <c r="O14" s="244">
        <f>'Main CEA'!O46</f>
        <v>0.05121048602</v>
      </c>
      <c r="P14" s="244">
        <f>'Main CEA'!P46</f>
        <v>0.06360765684</v>
      </c>
      <c r="Q14" s="244">
        <f>'Main CEA'!Q46</f>
        <v>0.0777728788</v>
      </c>
      <c r="R14" s="244">
        <f>'Main CEA'!R46</f>
        <v>0.01631932231</v>
      </c>
      <c r="S14" s="244">
        <f>'Main CEA'!S46</f>
        <v>0.03812386802</v>
      </c>
      <c r="T14" s="244">
        <f>'Main CEA'!T46</f>
        <v>0.01055741964</v>
      </c>
      <c r="U14" s="244">
        <f>'Main CEA'!U46</f>
        <v>0.0108481354</v>
      </c>
      <c r="V14" s="244">
        <f>'Main CEA'!V46</f>
        <v>0.01752772028</v>
      </c>
      <c r="W14" s="244">
        <f>'Main CEA'!W46</f>
        <v>0.02098968212</v>
      </c>
      <c r="X14" s="244">
        <f>'Main CEA'!X46</f>
        <v>0.01661517648</v>
      </c>
      <c r="Y14" s="244">
        <f>'Main CEA'!Y46</f>
        <v>0.01372871814</v>
      </c>
      <c r="Z14" s="244">
        <f>'Main CEA'!Z46</f>
        <v>0.01348058392</v>
      </c>
      <c r="AA14" s="244">
        <f>'Main CEA'!AA46</f>
        <v>0.02216200136</v>
      </c>
      <c r="AB14" s="244">
        <f>'Main CEA'!AB46</f>
        <v>0.01449284322</v>
      </c>
      <c r="AC14" s="244">
        <f>'Main CEA'!AC46</f>
        <v>0.01196131831</v>
      </c>
      <c r="AD14" s="244">
        <f>'Main CEA'!AD46</f>
        <v>0.008734117721</v>
      </c>
      <c r="AE14" s="244">
        <f>'Main CEA'!AE46</f>
        <v>0.01282810218</v>
      </c>
      <c r="AF14" s="244">
        <f>'Main CEA'!AF46</f>
        <v>0.008399463817</v>
      </c>
      <c r="AG14" s="244">
        <f>'Main CEA'!AG46</f>
        <v>0.02844017379</v>
      </c>
      <c r="AH14" s="244">
        <f>'Main CEA'!AH46</f>
        <v>0.01377054854</v>
      </c>
      <c r="AI14" s="244">
        <f>'Main CEA'!AI46</f>
        <v>0.007449134646</v>
      </c>
      <c r="AJ14" s="244">
        <f>'Main CEA'!AJ46</f>
        <v>0.006284997296</v>
      </c>
      <c r="AK14" s="244">
        <f>'Main CEA'!AK46</f>
        <v>0.01673948359</v>
      </c>
      <c r="AL14" s="244">
        <f>'Main CEA'!AL46</f>
        <v>0.02498965644</v>
      </c>
      <c r="AM14" s="244">
        <f>'Main CEA'!AM46</f>
        <v>0.02498965644</v>
      </c>
      <c r="AN14" s="244">
        <f>'Main CEA'!AN46</f>
        <v>0.02498965644</v>
      </c>
      <c r="AO14" s="244">
        <f>'Main CEA'!AO46</f>
        <v>0.009378611039</v>
      </c>
      <c r="AP14" s="244">
        <f>'Main CEA'!AP46</f>
        <v>0.01084030339</v>
      </c>
      <c r="AQ14" s="244">
        <f>'Main CEA'!AQ46</f>
        <v>0.005798532072</v>
      </c>
      <c r="AR14" s="244">
        <f>'Main CEA'!AR46</f>
        <v>0.007256159985</v>
      </c>
      <c r="AS14" s="244">
        <f>'Main CEA'!AS46</f>
        <v>0.01342144037</v>
      </c>
      <c r="AT14" s="244">
        <f>'Main CEA'!AT46</f>
        <v>0.01357056531</v>
      </c>
      <c r="AU14" s="244">
        <f>'Main CEA'!AU46</f>
        <v>0.04102748597</v>
      </c>
      <c r="AV14" s="244">
        <f>'Main CEA'!AV46</f>
        <v>0.03741833747</v>
      </c>
      <c r="AW14" s="1062"/>
    </row>
    <row r="15">
      <c r="A15" s="122"/>
      <c r="B15" s="123"/>
      <c r="C15" s="143"/>
      <c r="D15" s="123"/>
      <c r="E15" s="475" t="s">
        <v>1055</v>
      </c>
      <c r="F15" s="213" t="s">
        <v>72</v>
      </c>
      <c r="G15" s="213" t="s">
        <v>165</v>
      </c>
      <c r="H15" s="240" t="str">
        <f>'Main CEA'!H43</f>
        <v>-</v>
      </c>
      <c r="I15" s="241">
        <f>'Main CEA'!I43</f>
        <v>0.5225560494</v>
      </c>
      <c r="J15" s="241">
        <f>'Main CEA'!J43</f>
        <v>0.5273839374</v>
      </c>
      <c r="K15" s="241">
        <f>'Main CEA'!K43</f>
        <v>0.5508425012</v>
      </c>
      <c r="L15" s="241">
        <f>'Main CEA'!L43</f>
        <v>0.5437120524</v>
      </c>
      <c r="M15" s="241">
        <f>'Main CEA'!M43</f>
        <v>0.5159530939</v>
      </c>
      <c r="N15" s="241">
        <f>'Main CEA'!N43</f>
        <v>0.5458220838</v>
      </c>
      <c r="O15" s="241">
        <f>'Main CEA'!O43</f>
        <v>0.5582439524</v>
      </c>
      <c r="P15" s="241">
        <f>'Main CEA'!P43</f>
        <v>0.5300120224</v>
      </c>
      <c r="Q15" s="241">
        <f>'Main CEA'!Q43</f>
        <v>0.5446171515</v>
      </c>
      <c r="R15" s="241">
        <f>'Main CEA'!R43</f>
        <v>0.4905600146</v>
      </c>
      <c r="S15" s="241">
        <f>'Main CEA'!S43</f>
        <v>0.5145132201</v>
      </c>
      <c r="T15" s="241">
        <f>'Main CEA'!T43</f>
        <v>0.545829098</v>
      </c>
      <c r="U15" s="241">
        <f>'Main CEA'!U43</f>
        <v>0.5514356642</v>
      </c>
      <c r="V15" s="241">
        <f>'Main CEA'!V43</f>
        <v>0.5509335823</v>
      </c>
      <c r="W15" s="241">
        <f>'Main CEA'!W43</f>
        <v>0.5188159331</v>
      </c>
      <c r="X15" s="241">
        <f>'Main CEA'!X43</f>
        <v>0.5415841491</v>
      </c>
      <c r="Y15" s="241">
        <f>'Main CEA'!Y43</f>
        <v>0.5600280829</v>
      </c>
      <c r="Z15" s="241">
        <f>'Main CEA'!Z43</f>
        <v>0.5362105808</v>
      </c>
      <c r="AA15" s="241">
        <f>'Main CEA'!AA43</f>
        <v>0.5507531884</v>
      </c>
      <c r="AB15" s="241">
        <f>'Main CEA'!AB43</f>
        <v>0.536805029</v>
      </c>
      <c r="AC15" s="241">
        <f>'Main CEA'!AC43</f>
        <v>0.5371884011</v>
      </c>
      <c r="AD15" s="241">
        <f>'Main CEA'!AD43</f>
        <v>0.5711738554</v>
      </c>
      <c r="AE15" s="241">
        <f>'Main CEA'!AE43</f>
        <v>0.5365909677</v>
      </c>
      <c r="AF15" s="241">
        <f>'Main CEA'!AF43</f>
        <v>0.5378547429</v>
      </c>
      <c r="AG15" s="241">
        <f>'Main CEA'!AG43</f>
        <v>0.5437120524</v>
      </c>
      <c r="AH15" s="241">
        <f>'Main CEA'!AH43</f>
        <v>0.614032267</v>
      </c>
      <c r="AI15" s="241">
        <f>'Main CEA'!AI43</f>
        <v>0.5589257131</v>
      </c>
      <c r="AJ15" s="241">
        <f>'Main CEA'!AJ43</f>
        <v>0.540212726</v>
      </c>
      <c r="AK15" s="241">
        <f>'Main CEA'!AK43</f>
        <v>0.5420717683</v>
      </c>
      <c r="AL15" s="241">
        <f>'Main CEA'!AL43</f>
        <v>0.530293488</v>
      </c>
      <c r="AM15" s="241">
        <f>'Main CEA'!AM43</f>
        <v>0.530293488</v>
      </c>
      <c r="AN15" s="241">
        <f>'Main CEA'!AN43</f>
        <v>0.530293488</v>
      </c>
      <c r="AO15" s="241">
        <f>'Main CEA'!AO43</f>
        <v>0.5368260467</v>
      </c>
      <c r="AP15" s="241">
        <f>'Main CEA'!AP43</f>
        <v>0.5215816456</v>
      </c>
      <c r="AQ15" s="241">
        <f>'Main CEA'!AQ43</f>
        <v>0.5565284495</v>
      </c>
      <c r="AR15" s="241">
        <f>'Main CEA'!AR43</f>
        <v>0.5643685212</v>
      </c>
      <c r="AS15" s="241">
        <f>'Main CEA'!AS43</f>
        <v>0.5313482802</v>
      </c>
      <c r="AT15" s="241">
        <f>'Main CEA'!AT43</f>
        <v>0.5380968799</v>
      </c>
      <c r="AU15" s="241">
        <f>'Main CEA'!AU43</f>
        <v>0.5163326919</v>
      </c>
      <c r="AV15" s="241">
        <f>'Main CEA'!AV43</f>
        <v>0.5721852444</v>
      </c>
      <c r="AW15" s="1062"/>
    </row>
    <row r="16">
      <c r="A16" s="122"/>
      <c r="B16" s="123"/>
      <c r="C16" s="143"/>
      <c r="D16" s="123"/>
      <c r="E16" s="792" t="s">
        <v>1056</v>
      </c>
      <c r="F16" s="200" t="s">
        <v>62</v>
      </c>
      <c r="G16" s="200" t="s">
        <v>161</v>
      </c>
      <c r="H16" s="228" t="s">
        <v>162</v>
      </c>
      <c r="I16" s="338">
        <f t="shared" ref="I16:AV16" si="3">I13*I14*I15</f>
        <v>300.4551374</v>
      </c>
      <c r="J16" s="338">
        <f t="shared" si="3"/>
        <v>145.8597307</v>
      </c>
      <c r="K16" s="338">
        <f t="shared" si="3"/>
        <v>272.0415129</v>
      </c>
      <c r="L16" s="338">
        <f t="shared" si="3"/>
        <v>133.8737968</v>
      </c>
      <c r="M16" s="338">
        <f t="shared" si="3"/>
        <v>190.1497651</v>
      </c>
      <c r="N16" s="338">
        <f t="shared" si="3"/>
        <v>249.4154219</v>
      </c>
      <c r="O16" s="338">
        <f t="shared" si="3"/>
        <v>440.5667112</v>
      </c>
      <c r="P16" s="338">
        <f t="shared" si="3"/>
        <v>583.6672589</v>
      </c>
      <c r="Q16" s="338">
        <f t="shared" si="3"/>
        <v>478.1988121</v>
      </c>
      <c r="R16" s="338">
        <f t="shared" si="3"/>
        <v>15.79426135</v>
      </c>
      <c r="S16" s="338">
        <f t="shared" si="3"/>
        <v>56.84201363</v>
      </c>
      <c r="T16" s="338">
        <f t="shared" si="3"/>
        <v>14.52216714</v>
      </c>
      <c r="U16" s="338">
        <f t="shared" si="3"/>
        <v>18.4922658</v>
      </c>
      <c r="V16" s="338">
        <f t="shared" si="3"/>
        <v>34.55289062</v>
      </c>
      <c r="W16" s="338">
        <f t="shared" si="3"/>
        <v>39.11867548</v>
      </c>
      <c r="X16" s="338">
        <f t="shared" si="3"/>
        <v>80.11460936</v>
      </c>
      <c r="Y16" s="338">
        <f t="shared" si="3"/>
        <v>10.249906</v>
      </c>
      <c r="Z16" s="338">
        <f t="shared" si="3"/>
        <v>23.91751109</v>
      </c>
      <c r="AA16" s="338">
        <f t="shared" si="3"/>
        <v>2.220117414</v>
      </c>
      <c r="AB16" s="338">
        <f t="shared" si="3"/>
        <v>12.3423778</v>
      </c>
      <c r="AC16" s="338">
        <f t="shared" si="3"/>
        <v>5.682651361</v>
      </c>
      <c r="AD16" s="338">
        <f t="shared" si="3"/>
        <v>2.662741133</v>
      </c>
      <c r="AE16" s="338">
        <f t="shared" si="3"/>
        <v>10.31449001</v>
      </c>
      <c r="AF16" s="338">
        <f t="shared" si="3"/>
        <v>4.955748984</v>
      </c>
      <c r="AG16" s="338">
        <f t="shared" si="3"/>
        <v>82.79585641</v>
      </c>
      <c r="AH16" s="338">
        <f t="shared" si="3"/>
        <v>26.57084498</v>
      </c>
      <c r="AI16" s="338">
        <f t="shared" si="3"/>
        <v>23.63423311</v>
      </c>
      <c r="AJ16" s="338">
        <f t="shared" si="3"/>
        <v>4.471331411</v>
      </c>
      <c r="AK16" s="338">
        <f t="shared" si="3"/>
        <v>45.76140424</v>
      </c>
      <c r="AL16" s="338">
        <f t="shared" si="3"/>
        <v>116.0001745</v>
      </c>
      <c r="AM16" s="338">
        <f t="shared" si="3"/>
        <v>137.8715387</v>
      </c>
      <c r="AN16" s="338">
        <f t="shared" si="3"/>
        <v>79.33225184</v>
      </c>
      <c r="AO16" s="338">
        <f t="shared" si="3"/>
        <v>31.88211061</v>
      </c>
      <c r="AP16" s="338">
        <f t="shared" si="3"/>
        <v>26.11902763</v>
      </c>
      <c r="AQ16" s="338">
        <f t="shared" si="3"/>
        <v>5.665993568</v>
      </c>
      <c r="AR16" s="338">
        <f t="shared" si="3"/>
        <v>19.60615589</v>
      </c>
      <c r="AS16" s="338">
        <f t="shared" si="3"/>
        <v>24.63330067</v>
      </c>
      <c r="AT16" s="338">
        <f t="shared" si="3"/>
        <v>12.79789579</v>
      </c>
      <c r="AU16" s="338">
        <f t="shared" si="3"/>
        <v>115.0511675</v>
      </c>
      <c r="AV16" s="338">
        <f t="shared" si="3"/>
        <v>178.7739794</v>
      </c>
      <c r="AW16" s="1063"/>
    </row>
    <row r="17">
      <c r="A17" s="122"/>
      <c r="B17" s="123"/>
      <c r="C17" s="143"/>
      <c r="D17" s="123"/>
      <c r="E17" s="777"/>
      <c r="F17" s="141"/>
      <c r="G17" s="141"/>
      <c r="H17" s="18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057"/>
    </row>
    <row r="18">
      <c r="A18" s="122"/>
      <c r="B18" s="123"/>
      <c r="C18" s="143" t="s">
        <v>1057</v>
      </c>
      <c r="F18" s="141"/>
      <c r="G18" s="141"/>
      <c r="H18" s="18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057"/>
    </row>
    <row r="19">
      <c r="A19" s="122"/>
      <c r="B19" s="123"/>
      <c r="C19" s="143"/>
      <c r="D19" s="123"/>
      <c r="E19" s="782" t="s">
        <v>1058</v>
      </c>
      <c r="F19" s="193" t="s">
        <v>68</v>
      </c>
      <c r="G19" s="193" t="s">
        <v>161</v>
      </c>
      <c r="H19" s="236" t="s">
        <v>162</v>
      </c>
      <c r="I19" s="371">
        <f t="shared" ref="I19:AV19" si="4">IF(I7="-",$H7/I16,I7/I16)</f>
        <v>3328.283912</v>
      </c>
      <c r="J19" s="371">
        <f t="shared" si="4"/>
        <v>6855.901865</v>
      </c>
      <c r="K19" s="371">
        <f t="shared" si="4"/>
        <v>3675.909567</v>
      </c>
      <c r="L19" s="371">
        <f t="shared" si="4"/>
        <v>7469.721665</v>
      </c>
      <c r="M19" s="371">
        <f t="shared" si="4"/>
        <v>5259.012544</v>
      </c>
      <c r="N19" s="371">
        <f t="shared" si="4"/>
        <v>4009.375172</v>
      </c>
      <c r="O19" s="371">
        <f t="shared" si="4"/>
        <v>2269.803811</v>
      </c>
      <c r="P19" s="371">
        <f t="shared" si="4"/>
        <v>1713.304944</v>
      </c>
      <c r="Q19" s="371">
        <f t="shared" si="4"/>
        <v>2091.180435</v>
      </c>
      <c r="R19" s="371">
        <f t="shared" si="4"/>
        <v>63314.13531</v>
      </c>
      <c r="S19" s="371">
        <f t="shared" si="4"/>
        <v>17592.62095</v>
      </c>
      <c r="T19" s="371">
        <f t="shared" si="4"/>
        <v>68860.24589</v>
      </c>
      <c r="U19" s="371">
        <f t="shared" si="4"/>
        <v>54076.66161</v>
      </c>
      <c r="V19" s="371">
        <f t="shared" si="4"/>
        <v>28941.13871</v>
      </c>
      <c r="W19" s="371">
        <f t="shared" si="4"/>
        <v>25563.2377</v>
      </c>
      <c r="X19" s="371">
        <f t="shared" si="4"/>
        <v>12482.11791</v>
      </c>
      <c r="Y19" s="371">
        <f t="shared" si="4"/>
        <v>97561.87031</v>
      </c>
      <c r="Z19" s="371">
        <f t="shared" si="4"/>
        <v>41810.37049</v>
      </c>
      <c r="AA19" s="371">
        <f t="shared" si="4"/>
        <v>450426.6278</v>
      </c>
      <c r="AB19" s="371">
        <f t="shared" si="4"/>
        <v>81021.66502</v>
      </c>
      <c r="AC19" s="371">
        <f t="shared" si="4"/>
        <v>175974.1952</v>
      </c>
      <c r="AD19" s="371">
        <f t="shared" si="4"/>
        <v>375552.842</v>
      </c>
      <c r="AE19" s="371">
        <f t="shared" si="4"/>
        <v>96950.98825</v>
      </c>
      <c r="AF19" s="371">
        <f t="shared" si="4"/>
        <v>201785.8458</v>
      </c>
      <c r="AG19" s="371">
        <f t="shared" si="4"/>
        <v>12077.8991</v>
      </c>
      <c r="AH19" s="371">
        <f t="shared" si="4"/>
        <v>37635.23519</v>
      </c>
      <c r="AI19" s="371">
        <f t="shared" si="4"/>
        <v>42311.50616</v>
      </c>
      <c r="AJ19" s="371">
        <f t="shared" si="4"/>
        <v>223647.0322</v>
      </c>
      <c r="AK19" s="371">
        <f t="shared" si="4"/>
        <v>21852.47626</v>
      </c>
      <c r="AL19" s="371">
        <f t="shared" si="4"/>
        <v>8620.676687</v>
      </c>
      <c r="AM19" s="371">
        <f t="shared" si="4"/>
        <v>7253.128596</v>
      </c>
      <c r="AN19" s="371">
        <f t="shared" si="4"/>
        <v>12605.21385</v>
      </c>
      <c r="AO19" s="371">
        <f t="shared" si="4"/>
        <v>31365.55206</v>
      </c>
      <c r="AP19" s="371">
        <f t="shared" si="4"/>
        <v>38286.26449</v>
      </c>
      <c r="AQ19" s="371">
        <f t="shared" si="4"/>
        <v>176491.5523</v>
      </c>
      <c r="AR19" s="371">
        <f t="shared" si="4"/>
        <v>51004.38892</v>
      </c>
      <c r="AS19" s="371">
        <f t="shared" si="4"/>
        <v>40595.45302</v>
      </c>
      <c r="AT19" s="371">
        <f t="shared" si="4"/>
        <v>78137.8452</v>
      </c>
      <c r="AU19" s="371">
        <f t="shared" si="4"/>
        <v>8691.784898</v>
      </c>
      <c r="AV19" s="371">
        <f t="shared" si="4"/>
        <v>5593.655204</v>
      </c>
      <c r="AW19" s="1061"/>
    </row>
    <row r="20">
      <c r="A20" s="122"/>
      <c r="B20" s="123"/>
      <c r="C20" s="143"/>
      <c r="D20" s="123"/>
      <c r="E20" s="475" t="s">
        <v>1059</v>
      </c>
      <c r="F20" s="213" t="s">
        <v>76</v>
      </c>
      <c r="G20" s="213" t="s">
        <v>165</v>
      </c>
      <c r="H20" s="610">
        <f>'Main CEA'!H$124</f>
        <v>116.25262</v>
      </c>
      <c r="I20" s="326" t="str">
        <f>'Main CEA'!I$124</f>
        <v>-</v>
      </c>
      <c r="J20" s="326" t="str">
        <f>'Main CEA'!J$124</f>
        <v>-</v>
      </c>
      <c r="K20" s="326" t="str">
        <f>'Main CEA'!K$124</f>
        <v>-</v>
      </c>
      <c r="L20" s="326" t="str">
        <f>'Main CEA'!L$124</f>
        <v>-</v>
      </c>
      <c r="M20" s="326" t="str">
        <f>'Main CEA'!M$124</f>
        <v>-</v>
      </c>
      <c r="N20" s="326" t="str">
        <f>'Main CEA'!N$124</f>
        <v>-</v>
      </c>
      <c r="O20" s="326" t="str">
        <f>'Main CEA'!O$124</f>
        <v>-</v>
      </c>
      <c r="P20" s="326" t="str">
        <f>'Main CEA'!P$124</f>
        <v>-</v>
      </c>
      <c r="Q20" s="326" t="str">
        <f>'Main CEA'!Q$124</f>
        <v>-</v>
      </c>
      <c r="R20" s="326" t="str">
        <f>'Main CEA'!R$124</f>
        <v>-</v>
      </c>
      <c r="S20" s="326" t="str">
        <f>'Main CEA'!S$124</f>
        <v>-</v>
      </c>
      <c r="T20" s="326" t="str">
        <f>'Main CEA'!T$124</f>
        <v>-</v>
      </c>
      <c r="U20" s="326" t="str">
        <f>'Main CEA'!U$124</f>
        <v>-</v>
      </c>
      <c r="V20" s="326" t="str">
        <f>'Main CEA'!V$124</f>
        <v>-</v>
      </c>
      <c r="W20" s="326" t="str">
        <f>'Main CEA'!W$124</f>
        <v>-</v>
      </c>
      <c r="X20" s="326" t="str">
        <f>'Main CEA'!X$124</f>
        <v>-</v>
      </c>
      <c r="Y20" s="326" t="str">
        <f>'Main CEA'!Y$124</f>
        <v>-</v>
      </c>
      <c r="Z20" s="326" t="str">
        <f>'Main CEA'!Z$124</f>
        <v>-</v>
      </c>
      <c r="AA20" s="326" t="str">
        <f>'Main CEA'!AA$124</f>
        <v>-</v>
      </c>
      <c r="AB20" s="326" t="str">
        <f>'Main CEA'!AB$124</f>
        <v>-</v>
      </c>
      <c r="AC20" s="326" t="str">
        <f>'Main CEA'!AC$124</f>
        <v>-</v>
      </c>
      <c r="AD20" s="326" t="str">
        <f>'Main CEA'!AD$124</f>
        <v>-</v>
      </c>
      <c r="AE20" s="326" t="str">
        <f>'Main CEA'!AE$124</f>
        <v>-</v>
      </c>
      <c r="AF20" s="326" t="str">
        <f>'Main CEA'!AF$124</f>
        <v>-</v>
      </c>
      <c r="AG20" s="326" t="str">
        <f>'Main CEA'!AG$124</f>
        <v>-</v>
      </c>
      <c r="AH20" s="326" t="str">
        <f>'Main CEA'!AH$124</f>
        <v>-</v>
      </c>
      <c r="AI20" s="326" t="str">
        <f>'Main CEA'!AI$124</f>
        <v>-</v>
      </c>
      <c r="AJ20" s="326" t="str">
        <f>'Main CEA'!AJ$124</f>
        <v>-</v>
      </c>
      <c r="AK20" s="326" t="str">
        <f>'Main CEA'!AK$124</f>
        <v>-</v>
      </c>
      <c r="AL20" s="326" t="str">
        <f>'Main CEA'!AL$124</f>
        <v>-</v>
      </c>
      <c r="AM20" s="326" t="str">
        <f>'Main CEA'!AM$124</f>
        <v>-</v>
      </c>
      <c r="AN20" s="326" t="str">
        <f>'Main CEA'!AN$124</f>
        <v>-</v>
      </c>
      <c r="AO20" s="326" t="str">
        <f>'Main CEA'!AO$124</f>
        <v>-</v>
      </c>
      <c r="AP20" s="326" t="str">
        <f>'Main CEA'!AP$124</f>
        <v>-</v>
      </c>
      <c r="AQ20" s="326" t="str">
        <f>'Main CEA'!AQ$124</f>
        <v>-</v>
      </c>
      <c r="AR20" s="326" t="str">
        <f>'Main CEA'!AR$124</f>
        <v>-</v>
      </c>
      <c r="AS20" s="326" t="str">
        <f>'Main CEA'!AS$124</f>
        <v>-</v>
      </c>
      <c r="AT20" s="326" t="str">
        <f>'Main CEA'!AT$124</f>
        <v>-</v>
      </c>
      <c r="AU20" s="326" t="str">
        <f>'Main CEA'!AU$124</f>
        <v>-</v>
      </c>
      <c r="AV20" s="326" t="str">
        <f>'Main CEA'!AV$124</f>
        <v>-</v>
      </c>
      <c r="AW20" s="1062"/>
    </row>
    <row r="21">
      <c r="A21" s="122"/>
      <c r="B21" s="123"/>
      <c r="C21" s="143"/>
      <c r="D21" s="123"/>
      <c r="E21" s="1064" t="s">
        <v>1060</v>
      </c>
      <c r="F21" s="417" t="s">
        <v>78</v>
      </c>
      <c r="G21" s="1065" t="s">
        <v>161</v>
      </c>
      <c r="H21" s="1066" t="s">
        <v>162</v>
      </c>
      <c r="I21" s="420">
        <f>IF(I7="-",((I16*$H20)/$H7)/'Main CEA'!$H$177,((I16*$H20)/I7)/'Main CEA'!$H$177)</f>
        <v>10.48909817</v>
      </c>
      <c r="J21" s="420">
        <f>IF(J7="-",((J16*$H20)/$H7)/'Main CEA'!$H$177,((J16*$H20)/J7)/'Main CEA'!$H$177)</f>
        <v>5.09206482</v>
      </c>
      <c r="K21" s="420">
        <f>IF(K7="-",((K16*$H20)/$H7)/'Main CEA'!$H$177,((K16*$H20)/K7)/'Main CEA'!$H$177)</f>
        <v>9.497158746</v>
      </c>
      <c r="L21" s="420">
        <f>IF(L7="-",((L16*$H20)/$H7)/'Main CEA'!$H$177,((L16*$H20)/L7)/'Main CEA'!$H$177)</f>
        <v>4.673627514</v>
      </c>
      <c r="M21" s="420">
        <f>IF(M7="-",((M16*$H20)/$H7)/'Main CEA'!$H$177,((M16*$H20)/M7)/'Main CEA'!$H$177)</f>
        <v>6.638260777</v>
      </c>
      <c r="N21" s="420">
        <f>IF(N7="-",((N16*$H20)/$H7)/'Main CEA'!$H$177,((N16*$H20)/N7)/'Main CEA'!$H$177)</f>
        <v>8.707266146</v>
      </c>
      <c r="O21" s="420">
        <f>IF(O7="-",((O16*$H20)/$H7)/'Main CEA'!$H$177,((O16*$H20)/O7)/'Main CEA'!$H$177)</f>
        <v>15.38049083</v>
      </c>
      <c r="P21" s="420">
        <f>IF(P7="-",((P16*$H20)/$H7)/'Main CEA'!$H$177,((P16*$H20)/P7)/'Main CEA'!$H$177)</f>
        <v>20.37623065</v>
      </c>
      <c r="Q21" s="420">
        <f>IF(Q7="-",((Q16*$H20)/$H7)/'Main CEA'!$H$177,((Q16*$H20)/Q7)/'Main CEA'!$H$177)</f>
        <v>16.69425369</v>
      </c>
      <c r="R21" s="420">
        <f>IF(R7="-",((R16*$H20)/$H7)/'Main CEA'!$H$177,((R16*$H20)/R7)/'Main CEA'!$H$177)</f>
        <v>0.5513886674</v>
      </c>
      <c r="S21" s="420">
        <f>IF(S7="-",((S16*$H20)/$H7)/'Main CEA'!$H$177,((S16*$H20)/S7)/'Main CEA'!$H$177)</f>
        <v>1.984394297</v>
      </c>
      <c r="T21" s="420">
        <f>IF(T7="-",((T16*$H20)/$H7)/'Main CEA'!$H$177,((T16*$H20)/T7)/'Main CEA'!$H$177)</f>
        <v>0.5069789723</v>
      </c>
      <c r="U21" s="420">
        <f>IF(U7="-",((U16*$H20)/$H7)/'Main CEA'!$H$177,((U16*$H20)/U7)/'Main CEA'!$H$177)</f>
        <v>0.6455778825</v>
      </c>
      <c r="V21" s="420">
        <f>IF(V7="-",((V16*$H20)/$H7)/'Main CEA'!$H$177,((V16*$H20)/V7)/'Main CEA'!$H$177)</f>
        <v>1.206265484</v>
      </c>
      <c r="W21" s="420">
        <f>IF(W7="-",((W16*$H20)/$H7)/'Main CEA'!$H$177,((W16*$H20)/W7)/'Main CEA'!$H$177)</f>
        <v>1.365660215</v>
      </c>
      <c r="X21" s="420">
        <f>IF(X7="-",((X16*$H20)/$H7)/'Main CEA'!$H$177,((X16*$H20)/X7)/'Main CEA'!$H$177)</f>
        <v>2.796856828</v>
      </c>
      <c r="Y21" s="420">
        <f>IF(Y7="-",((Y16*$H20)/$H7)/'Main CEA'!$H$177,((Y16*$H20)/Y7)/'Main CEA'!$H$177)</f>
        <v>0.3578313596</v>
      </c>
      <c r="Z21" s="420">
        <f>IF(Z7="-",((Z16*$H20)/$H7)/'Main CEA'!$H$177,((Z16*$H20)/Z7)/'Main CEA'!$H$177)</f>
        <v>0.8349769755</v>
      </c>
      <c r="AA21" s="420">
        <f>IF(AA7="-",((AA16*$H20)/$H7)/'Main CEA'!$H$177,((AA16*$H20)/AA7)/'Main CEA'!$H$177)</f>
        <v>0.07750584567</v>
      </c>
      <c r="AB21" s="420">
        <f>IF(AB7="-",((AB16*$H20)/$H7)/'Main CEA'!$H$177,((AB16*$H20)/AB7)/'Main CEA'!$H$177)</f>
        <v>0.430881008</v>
      </c>
      <c r="AC21" s="420">
        <f>IF(AC7="-",((AC16*$H20)/$H7)/'Main CEA'!$H$177,((AC16*$H20)/AC7)/'Main CEA'!$H$177)</f>
        <v>0.1983853181</v>
      </c>
      <c r="AD21" s="420">
        <f>IF(AD7="-",((AD16*$H20)/$H7)/'Main CEA'!$H$177,((AD16*$H20)/AD7)/'Main CEA'!$H$177)</f>
        <v>0.09295814807</v>
      </c>
      <c r="AE21" s="420">
        <f>IF(AE7="-",((AE16*$H20)/$H7)/'Main CEA'!$H$177,((AE16*$H20)/AE7)/'Main CEA'!$H$177)</f>
        <v>0.3600860324</v>
      </c>
      <c r="AF21" s="420">
        <f>IF(AF7="-",((AF16*$H20)/$H7)/'Main CEA'!$H$177,((AF16*$H20)/AF7)/'Main CEA'!$H$177)</f>
        <v>0.1730086497</v>
      </c>
      <c r="AG21" s="420">
        <f>IF(AG7="-",((AG16*$H20)/$H7)/'Main CEA'!$H$177,((AG16*$H20)/AG7)/'Main CEA'!$H$177)</f>
        <v>2.890461031</v>
      </c>
      <c r="AH21" s="420">
        <f>IF(AH7="-",((AH16*$H20)/$H7)/'Main CEA'!$H$177,((AH16*$H20)/AH7)/'Main CEA'!$H$177)</f>
        <v>0.9276067101</v>
      </c>
      <c r="AI21" s="420">
        <f>IF(AI7="-",((AI16*$H20)/$H7)/'Main CEA'!$H$177,((AI16*$H20)/AI7)/'Main CEA'!$H$177)</f>
        <v>0.8250875438</v>
      </c>
      <c r="AJ21" s="420">
        <f>IF(AJ7="-",((AJ16*$H20)/$H7)/'Main CEA'!$H$177,((AJ16*$H20)/AJ7)/'Main CEA'!$H$177)</f>
        <v>0.1560972947</v>
      </c>
      <c r="AK21" s="420">
        <f>IF(AK7="-",((AK16*$H20)/$H7)/'Main CEA'!$H$177,((AK16*$H20)/AK7)/'Main CEA'!$H$177)</f>
        <v>1.597562504</v>
      </c>
      <c r="AL21" s="420">
        <f>IF(AL7="-",((AL16*$H20)/$H7)/'Main CEA'!$H$177,((AL16*$H20)/AL7)/'Main CEA'!$H$177)</f>
        <v>4.049646909</v>
      </c>
      <c r="AM21" s="420">
        <f>IF(AM7="-",((AM16*$H20)/$H7)/'Main CEA'!$H$177,((AM16*$H20)/AM7)/'Main CEA'!$H$177)</f>
        <v>4.813191471</v>
      </c>
      <c r="AN21" s="420">
        <f>IF(AN7="-",((AN16*$H20)/$H7)/'Main CEA'!$H$177,((AN16*$H20)/AN7)/'Main CEA'!$H$177)</f>
        <v>2.769544182</v>
      </c>
      <c r="AO21" s="420">
        <f>IF(AO7="-",((AO16*$H20)/$H7)/'Main CEA'!$H$177,((AO16*$H20)/AO7)/'Main CEA'!$H$177)</f>
        <v>1.113026693</v>
      </c>
      <c r="AP21" s="420">
        <f>IF(AP7="-",((AP16*$H20)/$H7)/'Main CEA'!$H$177,((AP16*$H20)/AP7)/'Main CEA'!$H$177)</f>
        <v>0.9118334515</v>
      </c>
      <c r="AQ21" s="420">
        <f>IF(AQ7="-",((AQ16*$H20)/$H7)/'Main CEA'!$H$177,((AQ16*$H20)/AQ7)/'Main CEA'!$H$177)</f>
        <v>0.1978037829</v>
      </c>
      <c r="AR21" s="420">
        <f>IF(AR7="-",((AR16*$H20)/$H7)/'Main CEA'!$H$177,((AR16*$H20)/AR7)/'Main CEA'!$H$177)</f>
        <v>0.6844645616</v>
      </c>
      <c r="AS21" s="420">
        <f>IF(AS7="-",((AS16*$H20)/$H7)/'Main CEA'!$H$177,((AS16*$H20)/AS7)/'Main CEA'!$H$177)</f>
        <v>0.8599656882</v>
      </c>
      <c r="AT21" s="420">
        <f>IF(AT7="-",((AT16*$H20)/$H7)/'Main CEA'!$H$177,((AT16*$H20)/AT7)/'Main CEA'!$H$177)</f>
        <v>0.4467834582</v>
      </c>
      <c r="AU21" s="420">
        <f>IF(AU7="-",((AU16*$H20)/$H7)/'Main CEA'!$H$177,((AU16*$H20)/AU7)/'Main CEA'!$H$177)</f>
        <v>4.016516413</v>
      </c>
      <c r="AV21" s="420">
        <f>IF(AV7="-",((AV16*$H20)/$H7)/'Main CEA'!$H$177,((AV16*$H20)/AV7)/'Main CEA'!$H$177)</f>
        <v>6.241124171</v>
      </c>
      <c r="AW21" s="1063"/>
    </row>
    <row r="22">
      <c r="A22" s="122"/>
      <c r="B22" s="123"/>
      <c r="C22" s="143"/>
      <c r="D22" s="123"/>
      <c r="E22" s="777"/>
      <c r="F22" s="141"/>
      <c r="G22" s="141"/>
      <c r="H22" s="127"/>
      <c r="I22" s="1056"/>
      <c r="J22" s="1056"/>
      <c r="K22" s="1056"/>
      <c r="L22" s="1056"/>
      <c r="M22" s="1056"/>
      <c r="N22" s="1056"/>
      <c r="O22" s="1056"/>
      <c r="P22" s="1056"/>
      <c r="Q22" s="1056"/>
      <c r="R22" s="1056"/>
      <c r="S22" s="1056"/>
      <c r="T22" s="1056"/>
      <c r="U22" s="1056"/>
      <c r="V22" s="1056"/>
      <c r="W22" s="1056"/>
      <c r="X22" s="1056"/>
      <c r="Y22" s="1056"/>
      <c r="Z22" s="1056"/>
      <c r="AA22" s="1056"/>
      <c r="AB22" s="1056"/>
      <c r="AC22" s="1056"/>
      <c r="AD22" s="1056"/>
      <c r="AE22" s="1056"/>
      <c r="AF22" s="1056"/>
      <c r="AG22" s="1056"/>
      <c r="AH22" s="1056"/>
      <c r="AI22" s="1056"/>
      <c r="AJ22" s="1056"/>
      <c r="AK22" s="1056"/>
      <c r="AL22" s="1056"/>
      <c r="AM22" s="1056"/>
      <c r="AN22" s="1056"/>
      <c r="AO22" s="1056"/>
      <c r="AP22" s="1056"/>
      <c r="AQ22" s="1056"/>
      <c r="AR22" s="1056"/>
      <c r="AS22" s="1056"/>
      <c r="AT22" s="1056"/>
      <c r="AU22" s="1056"/>
      <c r="AV22" s="1056"/>
      <c r="AW22" s="1057"/>
    </row>
    <row r="23">
      <c r="A23" s="122"/>
      <c r="B23" s="123"/>
      <c r="C23" s="143" t="s">
        <v>1061</v>
      </c>
      <c r="F23" s="141"/>
      <c r="G23" s="141"/>
      <c r="H23" s="127"/>
      <c r="I23" s="1056"/>
      <c r="J23" s="1056"/>
      <c r="K23" s="1056"/>
      <c r="L23" s="1056"/>
      <c r="M23" s="1056"/>
      <c r="N23" s="1056"/>
      <c r="O23" s="1056"/>
      <c r="P23" s="1056"/>
      <c r="Q23" s="1056"/>
      <c r="R23" s="1056"/>
      <c r="S23" s="1056"/>
      <c r="T23" s="1056"/>
      <c r="U23" s="1056"/>
      <c r="V23" s="1056"/>
      <c r="W23" s="1056"/>
      <c r="X23" s="1056"/>
      <c r="Y23" s="1056"/>
      <c r="Z23" s="1056"/>
      <c r="AA23" s="1056"/>
      <c r="AB23" s="1056"/>
      <c r="AC23" s="1056"/>
      <c r="AD23" s="1056"/>
      <c r="AE23" s="1056"/>
      <c r="AF23" s="1056"/>
      <c r="AG23" s="1056"/>
      <c r="AH23" s="1056"/>
      <c r="AI23" s="1056"/>
      <c r="AJ23" s="1056"/>
      <c r="AK23" s="1056"/>
      <c r="AL23" s="1056"/>
      <c r="AM23" s="1056"/>
      <c r="AN23" s="1056"/>
      <c r="AO23" s="1056"/>
      <c r="AP23" s="1056"/>
      <c r="AQ23" s="1056"/>
      <c r="AR23" s="1056"/>
      <c r="AS23" s="1056"/>
      <c r="AT23" s="1056"/>
      <c r="AU23" s="1056"/>
      <c r="AV23" s="1056"/>
      <c r="AW23" s="1057"/>
    </row>
    <row r="24">
      <c r="A24" s="122"/>
      <c r="B24" s="123"/>
      <c r="C24" s="143"/>
      <c r="D24" s="123"/>
      <c r="E24" s="782" t="s">
        <v>1062</v>
      </c>
      <c r="F24" s="193" t="s">
        <v>72</v>
      </c>
      <c r="G24" s="193" t="s">
        <v>165</v>
      </c>
      <c r="H24" s="236" t="s">
        <v>162</v>
      </c>
      <c r="I24" s="1067">
        <f>SUM('Main CEA'!I167:I169)/'Main CEA'!I166</f>
        <v>0.1828063546</v>
      </c>
      <c r="J24" s="1067">
        <f>SUM('Main CEA'!J167:J169)/'Main CEA'!J166</f>
        <v>0.1683225749</v>
      </c>
      <c r="K24" s="1067">
        <f>SUM('Main CEA'!K167:K169)/'Main CEA'!K166</f>
        <v>0.1666117175</v>
      </c>
      <c r="L24" s="1067">
        <f>SUM('Main CEA'!L167:L169)/'Main CEA'!L166</f>
        <v>0.16479314</v>
      </c>
      <c r="M24" s="1067">
        <f>SUM('Main CEA'!M167:M169)/'Main CEA'!M166</f>
        <v>0.1608801044</v>
      </c>
      <c r="N24" s="1067">
        <f>SUM('Main CEA'!N167:N169)/'Main CEA'!N166</f>
        <v>0.1983290736</v>
      </c>
      <c r="O24" s="1067">
        <f>SUM('Main CEA'!O167:O169)/'Main CEA'!O166</f>
        <v>0.1924333576</v>
      </c>
      <c r="P24" s="1067">
        <f>SUM('Main CEA'!P167:P169)/'Main CEA'!P166</f>
        <v>0.1974807771</v>
      </c>
      <c r="Q24" s="1067">
        <f>SUM('Main CEA'!Q167:Q169)/'Main CEA'!Q166</f>
        <v>0.1640051924</v>
      </c>
      <c r="R24" s="1067">
        <f>SUM('Main CEA'!R167:R169)/'Main CEA'!R166</f>
        <v>0.1921833775</v>
      </c>
      <c r="S24" s="1067">
        <f>SUM('Main CEA'!S167:S169)/'Main CEA'!S166</f>
        <v>0.1616556967</v>
      </c>
      <c r="T24" s="1067">
        <f>SUM('Main CEA'!T167:T169)/'Main CEA'!T166</f>
        <v>0.266875545</v>
      </c>
      <c r="U24" s="1067">
        <f>SUM('Main CEA'!U167:U169)/'Main CEA'!U166</f>
        <v>0.2572373622</v>
      </c>
      <c r="V24" s="1067">
        <f>SUM('Main CEA'!V167:V169)/'Main CEA'!V166</f>
        <v>0.2168179432</v>
      </c>
      <c r="W24" s="1067">
        <f>SUM('Main CEA'!W167:W169)/'Main CEA'!W166</f>
        <v>0.2529308615</v>
      </c>
      <c r="X24" s="1067">
        <f>SUM('Main CEA'!X167:X169)/'Main CEA'!X166</f>
        <v>0.2824867826</v>
      </c>
      <c r="Y24" s="1067">
        <f>SUM('Main CEA'!Y167:Y169)/'Main CEA'!Y166</f>
        <v>0.2927471828</v>
      </c>
      <c r="Z24" s="1067">
        <f>SUM('Main CEA'!Z167:Z169)/'Main CEA'!Z166</f>
        <v>0.2354177207</v>
      </c>
      <c r="AA24" s="1067">
        <f>SUM('Main CEA'!AA167:AA169)/'Main CEA'!AA166</f>
        <v>0.194000342</v>
      </c>
      <c r="AB24" s="1067">
        <f>SUM('Main CEA'!AB167:AB169)/'Main CEA'!AB166</f>
        <v>0.1910406561</v>
      </c>
      <c r="AC24" s="1067">
        <f>SUM('Main CEA'!AC167:AC169)/'Main CEA'!AC166</f>
        <v>0.2247291316</v>
      </c>
      <c r="AD24" s="1067">
        <f>SUM('Main CEA'!AD167:AD169)/'Main CEA'!AD166</f>
        <v>0.3036858297</v>
      </c>
      <c r="AE24" s="1067">
        <f>SUM('Main CEA'!AE167:AE169)/'Main CEA'!AE166</f>
        <v>0.2082957003</v>
      </c>
      <c r="AF24" s="1067">
        <f>SUM('Main CEA'!AF167:AF169)/'Main CEA'!AF166</f>
        <v>0.287242871</v>
      </c>
      <c r="AG24" s="1067">
        <f>SUM('Main CEA'!AG167:AG169)/'Main CEA'!AG166</f>
        <v>0.16479314</v>
      </c>
      <c r="AH24" s="1067">
        <f>SUM('Main CEA'!AH167:AH169)/'Main CEA'!AH166</f>
        <v>0.2374577033</v>
      </c>
      <c r="AI24" s="1067">
        <f>SUM('Main CEA'!AI167:AI169)/'Main CEA'!AI166</f>
        <v>0.410771191</v>
      </c>
      <c r="AJ24" s="1067">
        <f>SUM('Main CEA'!AJ167:AJ169)/'Main CEA'!AJ166</f>
        <v>0.3086216219</v>
      </c>
      <c r="AK24" s="1067">
        <f>SUM('Main CEA'!AK167:AK169)/'Main CEA'!AK166</f>
        <v>0.2544295256</v>
      </c>
      <c r="AL24" s="1067">
        <f>SUM('Main CEA'!AL167:AL169)/'Main CEA'!AL166</f>
        <v>0.2348104418</v>
      </c>
      <c r="AM24" s="1067">
        <f>SUM('Main CEA'!AM167:AM169)/'Main CEA'!AM166</f>
        <v>0.2348104418</v>
      </c>
      <c r="AN24" s="1067">
        <f>SUM('Main CEA'!AN167:AN169)/'Main CEA'!AN166</f>
        <v>0.2348104418</v>
      </c>
      <c r="AO24" s="1067">
        <f>SUM('Main CEA'!AO167:AO169)/'Main CEA'!AO166</f>
        <v>0.3459739956</v>
      </c>
      <c r="AP24" s="1067">
        <f>SUM('Main CEA'!AP167:AP169)/'Main CEA'!AP166</f>
        <v>0.3010409504</v>
      </c>
      <c r="AQ24" s="1067">
        <f>SUM('Main CEA'!AQ167:AQ169)/'Main CEA'!AQ166</f>
        <v>0.3457601662</v>
      </c>
      <c r="AR24" s="1067">
        <f>SUM('Main CEA'!AR167:AR169)/'Main CEA'!AR166</f>
        <v>0.3129094785</v>
      </c>
      <c r="AS24" s="1067">
        <f>SUM('Main CEA'!AS167:AS169)/'Main CEA'!AS166</f>
        <v>0.3183361207</v>
      </c>
      <c r="AT24" s="1067">
        <f>SUM('Main CEA'!AT167:AT169)/'Main CEA'!AT166</f>
        <v>0.2084988088</v>
      </c>
      <c r="AU24" s="1067">
        <f>SUM('Main CEA'!AU167:AU169)/'Main CEA'!AU166</f>
        <v>0.1653680149</v>
      </c>
      <c r="AV24" s="1067">
        <f>SUM('Main CEA'!AV167:AV169)/'Main CEA'!AV166</f>
        <v>0.2187348509</v>
      </c>
      <c r="AW24" s="1061"/>
    </row>
    <row r="25">
      <c r="A25" s="122"/>
      <c r="B25" s="123"/>
      <c r="C25" s="143"/>
      <c r="D25" s="123"/>
      <c r="E25" s="475" t="s">
        <v>1063</v>
      </c>
      <c r="F25" s="213" t="s">
        <v>72</v>
      </c>
      <c r="G25" s="213" t="s">
        <v>165</v>
      </c>
      <c r="H25" s="240" t="s">
        <v>162</v>
      </c>
      <c r="I25" s="1068">
        <f>'Main CEA'!I170/SUM('Main CEA'!I166:I169)</f>
        <v>0.2802178229</v>
      </c>
      <c r="J25" s="1068">
        <f>'Main CEA'!J170/SUM('Main CEA'!J166:J169)</f>
        <v>0.2827472661</v>
      </c>
      <c r="K25" s="1068">
        <f>'Main CEA'!K170/SUM('Main CEA'!K166:K169)</f>
        <v>0.2828406239</v>
      </c>
      <c r="L25" s="1068">
        <f>'Main CEA'!L170/SUM('Main CEA'!L166:L169)</f>
        <v>0.2837290535</v>
      </c>
      <c r="M25" s="1068">
        <f>'Main CEA'!M170/SUM('Main CEA'!M166:M169)</f>
        <v>0.2849654572</v>
      </c>
      <c r="N25" s="1068">
        <f>'Main CEA'!N170/SUM('Main CEA'!N166:N169)</f>
        <v>0.2779754152</v>
      </c>
      <c r="O25" s="1068">
        <f>'Main CEA'!O170/SUM('Main CEA'!O166:O169)</f>
        <v>0.2789453801</v>
      </c>
      <c r="P25" s="1068">
        <f>'Main CEA'!P170/SUM('Main CEA'!P166:P169)</f>
        <v>0.278460293</v>
      </c>
      <c r="Q25" s="1068">
        <f>'Main CEA'!Q170/SUM('Main CEA'!Q166:Q169)</f>
        <v>0.2838368371</v>
      </c>
      <c r="R25" s="1068">
        <f>'Main CEA'!R170/SUM('Main CEA'!R166:R169)</f>
        <v>0.2757630444</v>
      </c>
      <c r="S25" s="1068">
        <f>'Main CEA'!S170/SUM('Main CEA'!S166:S169)</f>
        <v>0.2827747483</v>
      </c>
      <c r="T25" s="1068">
        <f>'Main CEA'!T170/SUM('Main CEA'!T166:T169)</f>
        <v>0.2628328414</v>
      </c>
      <c r="U25" s="1068">
        <f>'Main CEA'!U170/SUM('Main CEA'!U166:U169)</f>
        <v>0.2665793389</v>
      </c>
      <c r="V25" s="1068">
        <f>'Main CEA'!V170/SUM('Main CEA'!V166:V169)</f>
        <v>0.2715099633</v>
      </c>
      <c r="W25" s="1068">
        <f>'Main CEA'!W170/SUM('Main CEA'!W166:W169)</f>
        <v>0.2677307929</v>
      </c>
      <c r="X25" s="1068">
        <f>'Main CEA'!X170/SUM('Main CEA'!X166:X169)</f>
        <v>0.2648971955</v>
      </c>
      <c r="Y25" s="1068">
        <f>'Main CEA'!Y170/SUM('Main CEA'!Y166:Y169)</f>
        <v>0.2581308282</v>
      </c>
      <c r="Z25" s="1068">
        <f>'Main CEA'!Z170/SUM('Main CEA'!Z166:Z169)</f>
        <v>0.2704036639</v>
      </c>
      <c r="AA25" s="1068">
        <f>'Main CEA'!AA170/SUM('Main CEA'!AA166:AA169)</f>
        <v>0.276325172</v>
      </c>
      <c r="AB25" s="1068">
        <f>'Main CEA'!AB170/SUM('Main CEA'!AB166:AB169)</f>
        <v>0.2742039295</v>
      </c>
      <c r="AC25" s="1068">
        <f>'Main CEA'!AC170/SUM('Main CEA'!AC166:AC169)</f>
        <v>0.2688583817</v>
      </c>
      <c r="AD25" s="1068">
        <f>'Main CEA'!AD170/SUM('Main CEA'!AD166:AD169)</f>
        <v>0.256859712</v>
      </c>
      <c r="AE25" s="1068">
        <f>'Main CEA'!AE170/SUM('Main CEA'!AE166:AE169)</f>
        <v>0.2755268942</v>
      </c>
      <c r="AF25" s="1068">
        <f>'Main CEA'!AF170/SUM('Main CEA'!AF166:AF169)</f>
        <v>0.2600013693</v>
      </c>
      <c r="AG25" s="1068">
        <f>'Main CEA'!AG170/SUM('Main CEA'!AG166:AG169)</f>
        <v>0.2837290535</v>
      </c>
      <c r="AH25" s="1068">
        <f>'Main CEA'!AH170/SUM('Main CEA'!AH166:AH169)</f>
        <v>0.2715507785</v>
      </c>
      <c r="AI25" s="1068">
        <f>'Main CEA'!AI170/SUM('Main CEA'!AI166:AI169)</f>
        <v>0.2443612111</v>
      </c>
      <c r="AJ25" s="1068">
        <f>'Main CEA'!AJ170/SUM('Main CEA'!AJ166:AJ169)</f>
        <v>0.2608163689</v>
      </c>
      <c r="AK25" s="1068">
        <f>'Main CEA'!AK170/SUM('Main CEA'!AK166:AK169)</f>
        <v>0.2686033082</v>
      </c>
      <c r="AL25" s="1068">
        <f>'Main CEA'!AL170/SUM('Main CEA'!AL166:AL169)</f>
        <v>0.2707726727</v>
      </c>
      <c r="AM25" s="1068">
        <f>'Main CEA'!AM170/SUM('Main CEA'!AM166:AM169)</f>
        <v>0.2707726727</v>
      </c>
      <c r="AN25" s="1068">
        <f>'Main CEA'!AN170/SUM('Main CEA'!AN166:AN169)</f>
        <v>0.2707726727</v>
      </c>
      <c r="AO25" s="1068">
        <f>'Main CEA'!AO170/SUM('Main CEA'!AO166:AO169)</f>
        <v>0.252761735</v>
      </c>
      <c r="AP25" s="1068">
        <f>'Main CEA'!AP170/SUM('Main CEA'!AP166:AP169)</f>
        <v>0.2596611932</v>
      </c>
      <c r="AQ25" s="1068">
        <f>'Main CEA'!AQ170/SUM('Main CEA'!AQ166:AQ169)</f>
        <v>0.2507611977</v>
      </c>
      <c r="AR25" s="1068">
        <f>'Main CEA'!AR170/SUM('Main CEA'!AR166:AR169)</f>
        <v>0.2567758961</v>
      </c>
      <c r="AS25" s="1068">
        <f>'Main CEA'!AS170/SUM('Main CEA'!AS166:AS169)</f>
        <v>0.2589662115</v>
      </c>
      <c r="AT25" s="1068">
        <f>'Main CEA'!AT170/SUM('Main CEA'!AT166:AT169)</f>
        <v>0.2726503718</v>
      </c>
      <c r="AU25" s="1068">
        <f>'Main CEA'!AU170/SUM('Main CEA'!AU166:AU169)</f>
        <v>0.2824303698</v>
      </c>
      <c r="AV25" s="1068">
        <f>'Main CEA'!AV170/SUM('Main CEA'!AV166:AV169)</f>
        <v>0.2739450561</v>
      </c>
      <c r="AW25" s="1062"/>
    </row>
    <row r="26">
      <c r="A26" s="122"/>
      <c r="B26" s="123"/>
      <c r="C26" s="143"/>
      <c r="D26" s="123"/>
      <c r="E26" s="792" t="s">
        <v>1064</v>
      </c>
      <c r="F26" s="200" t="s">
        <v>72</v>
      </c>
      <c r="G26" s="200" t="s">
        <v>165</v>
      </c>
      <c r="H26" s="228" t="s">
        <v>162</v>
      </c>
      <c r="I26" s="1069">
        <f>'Main CEA'!I171/SUM('Main CEA'!I166:I170)</f>
        <v>0.04675478943</v>
      </c>
      <c r="J26" s="1069">
        <f>'Main CEA'!J171/SUM('Main CEA'!J166:J170)</f>
        <v>0.09731145904</v>
      </c>
      <c r="K26" s="1069">
        <f>'Main CEA'!K171/SUM('Main CEA'!K166:K170)</f>
        <v>0.05224792387</v>
      </c>
      <c r="L26" s="1069">
        <f>'Main CEA'!L171/SUM('Main CEA'!L166:L170)</f>
        <v>0.1062638393</v>
      </c>
      <c r="M26" s="1069">
        <f>'Main CEA'!M171/SUM('Main CEA'!M166:M170)</f>
        <v>0.07499436694</v>
      </c>
      <c r="N26" s="1069">
        <f>'Main CEA'!N171/SUM('Main CEA'!N166:N170)</f>
        <v>0.05569053102</v>
      </c>
      <c r="O26" s="1069">
        <f>'Main CEA'!O171/SUM('Main CEA'!O166:O170)</f>
        <v>0.03165960299</v>
      </c>
      <c r="P26" s="1069">
        <f>'Main CEA'!P171/SUM('Main CEA'!P166:P170)</f>
        <v>0.02380576441</v>
      </c>
      <c r="Q26" s="1069">
        <f>'Main CEA'!Q171/SUM('Main CEA'!Q166:Q170)</f>
        <v>0.02976665367</v>
      </c>
      <c r="R26" s="1069">
        <f>'Main CEA'!R171/SUM('Main CEA'!R166:R170)</f>
        <v>0.8855046744</v>
      </c>
      <c r="S26" s="1069">
        <f>'Main CEA'!S171/SUM('Main CEA'!S166:S170)</f>
        <v>0.2511342664</v>
      </c>
      <c r="T26" s="1069">
        <f>'Main CEA'!T171/SUM('Main CEA'!T166:T170)</f>
        <v>0.9155709541</v>
      </c>
      <c r="U26" s="1069">
        <f>'Main CEA'!U171/SUM('Main CEA'!U166:U170)</f>
        <v>0.7223762394</v>
      </c>
      <c r="V26" s="1069">
        <f>'Main CEA'!V171/SUM('Main CEA'!V166:V170)</f>
        <v>0.3978995975</v>
      </c>
      <c r="W26" s="1069">
        <f>'Main CEA'!W171/SUM('Main CEA'!W166:W170)</f>
        <v>0.3423457732</v>
      </c>
      <c r="X26" s="1069">
        <f>'Main CEA'!X171/SUM('Main CEA'!X166:X170)</f>
        <v>0.1636754</v>
      </c>
      <c r="Y26" s="1069">
        <f>'Main CEA'!Y171/SUM('Main CEA'!Y166:Y170)</f>
        <v>1.275980305</v>
      </c>
      <c r="Z26" s="1069">
        <f>'Main CEA'!Z171/SUM('Main CEA'!Z166:Z170)</f>
        <v>0.566671942</v>
      </c>
      <c r="AA26" s="1069">
        <f>'Main CEA'!AA171/SUM('Main CEA'!AA166:AA170)</f>
        <v>6.287261571</v>
      </c>
      <c r="AB26" s="1069">
        <f>'Main CEA'!AB171/SUM('Main CEA'!AB166:AB170)</f>
        <v>1.13563533</v>
      </c>
      <c r="AC26" s="1069">
        <f>'Main CEA'!AC171/SUM('Main CEA'!AC166:AC170)</f>
        <v>2.408790583</v>
      </c>
      <c r="AD26" s="1069">
        <f>'Main CEA'!AD171/SUM('Main CEA'!AD166:AD170)</f>
        <v>4.875448355</v>
      </c>
      <c r="AE26" s="1069">
        <f>'Main CEA'!AE171/SUM('Main CEA'!AE166:AE170)</f>
        <v>1.338112563</v>
      </c>
      <c r="AF26" s="1069">
        <f>'Main CEA'!AF171/SUM('Main CEA'!AF166:AF170)</f>
        <v>2.646442393</v>
      </c>
      <c r="AG26" s="1069">
        <f>'Main CEA'!AG171/SUM('Main CEA'!AG166:AG170)</f>
        <v>0.1718195118</v>
      </c>
      <c r="AH26" s="1069">
        <f>'Main CEA'!AH171/SUM('Main CEA'!AH166:AH170)</f>
        <v>0.5087844396</v>
      </c>
      <c r="AI26" s="1069">
        <f>'Main CEA'!AI171/SUM('Main CEA'!AI166:AI170)</f>
        <v>0.5126945438</v>
      </c>
      <c r="AJ26" s="1069">
        <f>'Main CEA'!AJ171/SUM('Main CEA'!AJ166:AJ170)</f>
        <v>2.883370607</v>
      </c>
      <c r="AK26" s="1069">
        <f>'Main CEA'!AK171/SUM('Main CEA'!AK166:AK170)</f>
        <v>0.2921001688</v>
      </c>
      <c r="AL26" s="1069">
        <f>'Main CEA'!AL171/SUM('Main CEA'!AL166:AL170)</f>
        <v>0.116862845</v>
      </c>
      <c r="AM26" s="1069">
        <f>'Main CEA'!AM171/SUM('Main CEA'!AM166:AM170)</f>
        <v>0.09832421212</v>
      </c>
      <c r="AN26" s="1069">
        <f>'Main CEA'!AN171/SUM('Main CEA'!AN166:AN170)</f>
        <v>0.1708776708</v>
      </c>
      <c r="AO26" s="1069">
        <f>'Main CEA'!AO171/SUM('Main CEA'!AO166:AO170)</f>
        <v>0.3956863283</v>
      </c>
      <c r="AP26" s="1069">
        <f>'Main CEA'!AP171/SUM('Main CEA'!AP166:AP170)</f>
        <v>0.4969372322</v>
      </c>
      <c r="AQ26" s="1069">
        <f>'Main CEA'!AQ171/SUM('Main CEA'!AQ166:AQ170)</f>
        <v>2.230412096</v>
      </c>
      <c r="AR26" s="1069">
        <f>'Main CEA'!AR171/SUM('Main CEA'!AR166:AR170)</f>
        <v>0.6575339481</v>
      </c>
      <c r="AS26" s="1069">
        <f>'Main CEA'!AS171/SUM('Main CEA'!AS166:AS170)</f>
        <v>0.5202839446</v>
      </c>
      <c r="AT26" s="1069">
        <f>'Main CEA'!AT171/SUM('Main CEA'!AT166:AT170)</f>
        <v>1.080710455</v>
      </c>
      <c r="AU26" s="1069">
        <f>'Main CEA'!AU171/SUM('Main CEA'!AU166:AU170)</f>
        <v>0.1237130003</v>
      </c>
      <c r="AV26" s="1069">
        <f>'Main CEA'!AV171/SUM('Main CEA'!AV166:AV170)</f>
        <v>0.07663709294</v>
      </c>
      <c r="AW26" s="1063"/>
    </row>
    <row r="27">
      <c r="A27" s="122"/>
      <c r="B27" s="123"/>
      <c r="C27" s="143"/>
      <c r="D27" s="123"/>
      <c r="E27" s="777"/>
      <c r="F27" s="141"/>
      <c r="G27" s="141"/>
      <c r="H27" s="127"/>
      <c r="I27" s="1056"/>
      <c r="J27" s="1056"/>
      <c r="K27" s="1056"/>
      <c r="L27" s="1056"/>
      <c r="M27" s="1056"/>
      <c r="N27" s="1056"/>
      <c r="O27" s="1056"/>
      <c r="P27" s="1056"/>
      <c r="Q27" s="1056"/>
      <c r="R27" s="1056"/>
      <c r="S27" s="1056"/>
      <c r="T27" s="1056"/>
      <c r="U27" s="1056"/>
      <c r="V27" s="1056"/>
      <c r="W27" s="1056"/>
      <c r="X27" s="1056"/>
      <c r="Y27" s="1056"/>
      <c r="Z27" s="1056"/>
      <c r="AA27" s="1056"/>
      <c r="AB27" s="1056"/>
      <c r="AC27" s="1056"/>
      <c r="AD27" s="1056"/>
      <c r="AE27" s="1056"/>
      <c r="AF27" s="1056"/>
      <c r="AG27" s="1056"/>
      <c r="AH27" s="1056"/>
      <c r="AI27" s="1056"/>
      <c r="AJ27" s="1056"/>
      <c r="AK27" s="1056"/>
      <c r="AL27" s="1056"/>
      <c r="AM27" s="1056"/>
      <c r="AN27" s="1056"/>
      <c r="AO27" s="1056"/>
      <c r="AP27" s="1056"/>
      <c r="AQ27" s="1056"/>
      <c r="AR27" s="1056"/>
      <c r="AS27" s="1056"/>
      <c r="AT27" s="1056"/>
      <c r="AU27" s="1056"/>
      <c r="AV27" s="1056"/>
      <c r="AW27" s="1057"/>
    </row>
    <row r="28">
      <c r="A28" s="122"/>
      <c r="B28" s="123"/>
      <c r="C28" s="143" t="s">
        <v>1065</v>
      </c>
      <c r="F28" s="141"/>
      <c r="G28" s="141"/>
      <c r="H28" s="127"/>
      <c r="AW28" s="1057"/>
    </row>
    <row r="29">
      <c r="A29" s="122"/>
      <c r="B29" s="123"/>
      <c r="C29" s="143"/>
      <c r="D29" s="123"/>
      <c r="E29" s="782" t="s">
        <v>1066</v>
      </c>
      <c r="F29" s="193" t="s">
        <v>72</v>
      </c>
      <c r="G29" s="193" t="s">
        <v>165</v>
      </c>
      <c r="H29" s="236" t="s">
        <v>162</v>
      </c>
      <c r="I29" s="383">
        <f t="shared" ref="I29:AV29" si="5">1-SUM(I30:I32)</f>
        <v>0.6308956387</v>
      </c>
      <c r="J29" s="383">
        <f t="shared" si="5"/>
        <v>0.6080877007</v>
      </c>
      <c r="K29" s="383">
        <f t="shared" si="5"/>
        <v>0.6350133914</v>
      </c>
      <c r="L29" s="383">
        <f t="shared" si="5"/>
        <v>0.6045317413</v>
      </c>
      <c r="M29" s="383">
        <f t="shared" si="5"/>
        <v>0.6236127563</v>
      </c>
      <c r="N29" s="383">
        <f t="shared" si="5"/>
        <v>0.6185357107</v>
      </c>
      <c r="O29" s="383">
        <f t="shared" si="5"/>
        <v>0.635590593</v>
      </c>
      <c r="P29" s="383">
        <f t="shared" si="5"/>
        <v>0.6380087501</v>
      </c>
      <c r="Q29" s="383">
        <f t="shared" si="5"/>
        <v>0.6498250149</v>
      </c>
      <c r="R29" s="383">
        <f t="shared" si="5"/>
        <v>0.348705909</v>
      </c>
      <c r="S29" s="383">
        <f t="shared" si="5"/>
        <v>0.5363746603</v>
      </c>
      <c r="T29" s="383">
        <f t="shared" si="5"/>
        <v>0.3263036534</v>
      </c>
      <c r="U29" s="383">
        <f t="shared" si="5"/>
        <v>0.3646047282</v>
      </c>
      <c r="V29" s="383">
        <f t="shared" si="5"/>
        <v>0.4623582885</v>
      </c>
      <c r="W29" s="383">
        <f t="shared" si="5"/>
        <v>0.4690092999</v>
      </c>
      <c r="X29" s="383">
        <f t="shared" si="5"/>
        <v>0.5297366478</v>
      </c>
      <c r="Y29" s="383">
        <f t="shared" si="5"/>
        <v>0.2701419909</v>
      </c>
      <c r="Z29" s="383">
        <f t="shared" si="5"/>
        <v>0.4066926937</v>
      </c>
      <c r="AA29" s="383">
        <f t="shared" si="5"/>
        <v>0.09004712592</v>
      </c>
      <c r="AB29" s="383">
        <f t="shared" si="5"/>
        <v>0.3085370883</v>
      </c>
      <c r="AC29" s="383">
        <f t="shared" si="5"/>
        <v>0.1887758688</v>
      </c>
      <c r="AD29" s="383">
        <f t="shared" si="5"/>
        <v>0.1038721776</v>
      </c>
      <c r="AE29" s="383">
        <f t="shared" si="5"/>
        <v>0.2775055891</v>
      </c>
      <c r="AF29" s="383">
        <f t="shared" si="5"/>
        <v>0.169082683</v>
      </c>
      <c r="AG29" s="383">
        <f t="shared" si="5"/>
        <v>0.5707121263</v>
      </c>
      <c r="AH29" s="383">
        <f t="shared" si="5"/>
        <v>0.4212197557</v>
      </c>
      <c r="AI29" s="383">
        <f t="shared" si="5"/>
        <v>0.3765699946</v>
      </c>
      <c r="AJ29" s="383">
        <f t="shared" si="5"/>
        <v>0.1560720844</v>
      </c>
      <c r="AK29" s="383">
        <f t="shared" si="5"/>
        <v>0.486330727</v>
      </c>
      <c r="AL29" s="383">
        <f t="shared" si="5"/>
        <v>0.5706003009</v>
      </c>
      <c r="AM29" s="383">
        <f t="shared" si="5"/>
        <v>0.580231473</v>
      </c>
      <c r="AN29" s="383">
        <f t="shared" si="5"/>
        <v>0.544277418</v>
      </c>
      <c r="AO29" s="383">
        <f t="shared" si="5"/>
        <v>0.4249198571</v>
      </c>
      <c r="AP29" s="383">
        <f t="shared" si="5"/>
        <v>0.4076164415</v>
      </c>
      <c r="AQ29" s="383">
        <f t="shared" si="5"/>
        <v>0.1839077382</v>
      </c>
      <c r="AR29" s="383">
        <f t="shared" si="5"/>
        <v>0.365632626</v>
      </c>
      <c r="AS29" s="383">
        <f t="shared" si="5"/>
        <v>0.3963100312</v>
      </c>
      <c r="AT29" s="383">
        <f t="shared" si="5"/>
        <v>0.3124877631</v>
      </c>
      <c r="AU29" s="383">
        <f t="shared" si="5"/>
        <v>0.5954533</v>
      </c>
      <c r="AV29" s="383">
        <f t="shared" si="5"/>
        <v>0.5982335061</v>
      </c>
      <c r="AW29" s="1061"/>
    </row>
    <row r="30">
      <c r="A30" s="122"/>
      <c r="B30" s="123"/>
      <c r="C30" s="143"/>
      <c r="D30" s="123"/>
      <c r="E30" s="782" t="s">
        <v>1067</v>
      </c>
      <c r="F30" s="193" t="s">
        <v>72</v>
      </c>
      <c r="G30" s="193" t="s">
        <v>165</v>
      </c>
      <c r="H30" s="236" t="s">
        <v>162</v>
      </c>
      <c r="I30" s="383">
        <f t="shared" ref="I30:AV30" si="6">I24/((1+I24)*(1+I25)*(1+I26))</f>
        <v>0.1153317318</v>
      </c>
      <c r="J30" s="383">
        <f t="shared" si="6"/>
        <v>0.1023548876</v>
      </c>
      <c r="K30" s="383">
        <f t="shared" si="6"/>
        <v>0.1058006718</v>
      </c>
      <c r="L30" s="383">
        <f t="shared" si="6"/>
        <v>0.0996226839</v>
      </c>
      <c r="M30" s="383">
        <f t="shared" si="6"/>
        <v>0.1003268853</v>
      </c>
      <c r="N30" s="383">
        <f t="shared" si="6"/>
        <v>0.1226736145</v>
      </c>
      <c r="O30" s="383">
        <f t="shared" si="6"/>
        <v>0.1223088318</v>
      </c>
      <c r="P30" s="383">
        <f t="shared" si="6"/>
        <v>0.1259944638</v>
      </c>
      <c r="Q30" s="383">
        <f t="shared" si="6"/>
        <v>0.1065746766</v>
      </c>
      <c r="R30" s="383">
        <f t="shared" si="6"/>
        <v>0.06701547936</v>
      </c>
      <c r="S30" s="383">
        <f t="shared" si="6"/>
        <v>0.0867080194</v>
      </c>
      <c r="T30" s="383">
        <f t="shared" si="6"/>
        <v>0.08708246532</v>
      </c>
      <c r="U30" s="383">
        <f t="shared" si="6"/>
        <v>0.09378995852</v>
      </c>
      <c r="V30" s="383">
        <f t="shared" si="6"/>
        <v>0.1002475731</v>
      </c>
      <c r="W30" s="383">
        <f t="shared" si="6"/>
        <v>0.1186269263</v>
      </c>
      <c r="X30" s="383">
        <f t="shared" si="6"/>
        <v>0.1496436013</v>
      </c>
      <c r="Y30" s="383">
        <f t="shared" si="6"/>
        <v>0.07908330679</v>
      </c>
      <c r="Z30" s="383">
        <f t="shared" si="6"/>
        <v>0.09574266697</v>
      </c>
      <c r="AA30" s="383">
        <f t="shared" si="6"/>
        <v>0.01746917322</v>
      </c>
      <c r="AB30" s="383">
        <f t="shared" si="6"/>
        <v>0.05894312777</v>
      </c>
      <c r="AC30" s="383">
        <f t="shared" si="6"/>
        <v>0.04242343705</v>
      </c>
      <c r="AD30" s="383">
        <f t="shared" si="6"/>
        <v>0.03154450844</v>
      </c>
      <c r="AE30" s="383">
        <f t="shared" si="6"/>
        <v>0.05780322103</v>
      </c>
      <c r="AF30" s="383">
        <f t="shared" si="6"/>
        <v>0.04856779531</v>
      </c>
      <c r="AG30" s="383">
        <f t="shared" si="6"/>
        <v>0.09404944334</v>
      </c>
      <c r="AH30" s="383">
        <f t="shared" si="6"/>
        <v>0.1000218758</v>
      </c>
      <c r="AI30" s="383">
        <f t="shared" si="6"/>
        <v>0.1546841052</v>
      </c>
      <c r="AJ30" s="383">
        <f t="shared" si="6"/>
        <v>0.04816721981</v>
      </c>
      <c r="AK30" s="383">
        <f t="shared" si="6"/>
        <v>0.1237368962</v>
      </c>
      <c r="AL30" s="383">
        <f t="shared" si="6"/>
        <v>0.1339829087</v>
      </c>
      <c r="AM30" s="383">
        <f t="shared" si="6"/>
        <v>0.1362444085</v>
      </c>
      <c r="AN30" s="383">
        <f t="shared" si="6"/>
        <v>0.127802021</v>
      </c>
      <c r="AO30" s="383">
        <f t="shared" si="6"/>
        <v>0.1470112208</v>
      </c>
      <c r="AP30" s="383">
        <f t="shared" si="6"/>
        <v>0.122709241</v>
      </c>
      <c r="AQ30" s="383">
        <f t="shared" si="6"/>
        <v>0.06358797012</v>
      </c>
      <c r="AR30" s="383">
        <f t="shared" si="6"/>
        <v>0.1144099143</v>
      </c>
      <c r="AS30" s="383">
        <f t="shared" si="6"/>
        <v>0.1261597979</v>
      </c>
      <c r="AT30" s="383">
        <f t="shared" si="6"/>
        <v>0.06515332638</v>
      </c>
      <c r="AU30" s="383">
        <f t="shared" si="6"/>
        <v>0.09846893018</v>
      </c>
      <c r="AV30" s="383">
        <f t="shared" si="6"/>
        <v>0.1308545168</v>
      </c>
      <c r="AW30" s="1061"/>
    </row>
    <row r="31">
      <c r="A31" s="122"/>
      <c r="B31" s="123"/>
      <c r="C31" s="143"/>
      <c r="D31" s="123"/>
      <c r="E31" s="475" t="s">
        <v>1068</v>
      </c>
      <c r="F31" s="213" t="s">
        <v>72</v>
      </c>
      <c r="G31" s="213" t="s">
        <v>165</v>
      </c>
      <c r="H31" s="240" t="s">
        <v>162</v>
      </c>
      <c r="I31" s="241">
        <f t="shared" ref="I31:AV31" si="7">I25/((1+I25)*(1+I26))</f>
        <v>0.2091062092</v>
      </c>
      <c r="J31" s="241">
        <f t="shared" si="7"/>
        <v>0.2008756995</v>
      </c>
      <c r="K31" s="241">
        <f t="shared" si="7"/>
        <v>0.2095323118</v>
      </c>
      <c r="L31" s="241">
        <f t="shared" si="7"/>
        <v>0.1997890686</v>
      </c>
      <c r="M31" s="241">
        <f t="shared" si="7"/>
        <v>0.206297791</v>
      </c>
      <c r="N31" s="241">
        <f t="shared" si="7"/>
        <v>0.2060379699</v>
      </c>
      <c r="O31" s="241">
        <f t="shared" si="7"/>
        <v>0.2114125431</v>
      </c>
      <c r="P31" s="241">
        <f t="shared" si="7"/>
        <v>0.2127445588</v>
      </c>
      <c r="Q31" s="241">
        <f t="shared" si="7"/>
        <v>0.214694096</v>
      </c>
      <c r="R31" s="241">
        <f t="shared" si="7"/>
        <v>0.1146405957</v>
      </c>
      <c r="S31" s="241">
        <f t="shared" si="7"/>
        <v>0.1761920479</v>
      </c>
      <c r="T31" s="241">
        <f t="shared" si="7"/>
        <v>0.1086514482</v>
      </c>
      <c r="U31" s="241">
        <f t="shared" si="7"/>
        <v>0.1221985525</v>
      </c>
      <c r="V31" s="241">
        <f t="shared" si="7"/>
        <v>0.1527530968</v>
      </c>
      <c r="W31" s="241">
        <f t="shared" si="7"/>
        <v>0.1573283128</v>
      </c>
      <c r="X31" s="241">
        <f t="shared" si="7"/>
        <v>0.1799659226</v>
      </c>
      <c r="Y31" s="241">
        <f t="shared" si="7"/>
        <v>0.09014581531</v>
      </c>
      <c r="Z31" s="241">
        <f t="shared" si="7"/>
        <v>0.1358603624</v>
      </c>
      <c r="AA31" s="241">
        <f t="shared" si="7"/>
        <v>0.02970945985</v>
      </c>
      <c r="AB31" s="241">
        <f t="shared" si="7"/>
        <v>0.1007645192</v>
      </c>
      <c r="AC31" s="241">
        <f t="shared" si="7"/>
        <v>0.06215987122</v>
      </c>
      <c r="AD31" s="241">
        <f t="shared" si="7"/>
        <v>0.03478309097</v>
      </c>
      <c r="AE31" s="241">
        <f t="shared" si="7"/>
        <v>0.09238659507</v>
      </c>
      <c r="AF31" s="241">
        <f t="shared" si="7"/>
        <v>0.0565894224</v>
      </c>
      <c r="AG31" s="241">
        <f t="shared" si="7"/>
        <v>0.188612171</v>
      </c>
      <c r="AH31" s="241">
        <f t="shared" si="7"/>
        <v>0.1415435708</v>
      </c>
      <c r="AI31" s="241">
        <f t="shared" si="7"/>
        <v>0.1298178952</v>
      </c>
      <c r="AJ31" s="241">
        <f t="shared" si="7"/>
        <v>0.05326895372</v>
      </c>
      <c r="AK31" s="241">
        <f t="shared" si="7"/>
        <v>0.1638661818</v>
      </c>
      <c r="AL31" s="241">
        <f t="shared" si="7"/>
        <v>0.1907818788</v>
      </c>
      <c r="AM31" s="241">
        <f t="shared" si="7"/>
        <v>0.1940020894</v>
      </c>
      <c r="AN31" s="241">
        <f t="shared" si="7"/>
        <v>0.1819807459</v>
      </c>
      <c r="AO31" s="241">
        <f t="shared" si="7"/>
        <v>0.1445622915</v>
      </c>
      <c r="AP31" s="241">
        <f t="shared" si="7"/>
        <v>0.1377049995</v>
      </c>
      <c r="AQ31" s="241">
        <f t="shared" si="7"/>
        <v>0.06206232024</v>
      </c>
      <c r="AR31" s="241">
        <f t="shared" si="7"/>
        <v>0.1232633534</v>
      </c>
      <c r="AS31" s="241">
        <f t="shared" si="7"/>
        <v>0.1353020323</v>
      </c>
      <c r="AT31" s="241">
        <f t="shared" si="7"/>
        <v>0.1029639835</v>
      </c>
      <c r="AU31" s="241">
        <f t="shared" si="7"/>
        <v>0.1959847121</v>
      </c>
      <c r="AV31" s="241">
        <f t="shared" si="7"/>
        <v>0.1997300594</v>
      </c>
      <c r="AW31" s="1062"/>
    </row>
    <row r="32">
      <c r="A32" s="122"/>
      <c r="B32" s="123"/>
      <c r="C32" s="143"/>
      <c r="D32" s="123"/>
      <c r="E32" s="792" t="s">
        <v>1069</v>
      </c>
      <c r="F32" s="200" t="s">
        <v>72</v>
      </c>
      <c r="G32" s="200" t="s">
        <v>165</v>
      </c>
      <c r="H32" s="228" t="s">
        <v>162</v>
      </c>
      <c r="I32" s="385">
        <f t="shared" ref="I32:AV32" si="8">I26/(1+I26)</f>
        <v>0.04466642035</v>
      </c>
      <c r="J32" s="385">
        <f t="shared" si="8"/>
        <v>0.08868171223</v>
      </c>
      <c r="K32" s="385">
        <f t="shared" si="8"/>
        <v>0.04965362504</v>
      </c>
      <c r="L32" s="385">
        <f t="shared" si="8"/>
        <v>0.09605650616</v>
      </c>
      <c r="M32" s="385">
        <f t="shared" si="8"/>
        <v>0.06976256736</v>
      </c>
      <c r="N32" s="385">
        <f t="shared" si="8"/>
        <v>0.05275270488</v>
      </c>
      <c r="O32" s="385">
        <f t="shared" si="8"/>
        <v>0.03068803208</v>
      </c>
      <c r="P32" s="385">
        <f t="shared" si="8"/>
        <v>0.02325222736</v>
      </c>
      <c r="Q32" s="385">
        <f t="shared" si="8"/>
        <v>0.02890621245</v>
      </c>
      <c r="R32" s="385">
        <f t="shared" si="8"/>
        <v>0.469638016</v>
      </c>
      <c r="S32" s="385">
        <f t="shared" si="8"/>
        <v>0.2007252724</v>
      </c>
      <c r="T32" s="385">
        <f t="shared" si="8"/>
        <v>0.4779624331</v>
      </c>
      <c r="U32" s="385">
        <f t="shared" si="8"/>
        <v>0.4194067608</v>
      </c>
      <c r="V32" s="385">
        <f t="shared" si="8"/>
        <v>0.2846410416</v>
      </c>
      <c r="W32" s="385">
        <f t="shared" si="8"/>
        <v>0.2550354611</v>
      </c>
      <c r="X32" s="385">
        <f t="shared" si="8"/>
        <v>0.1406538284</v>
      </c>
      <c r="Y32" s="385">
        <f t="shared" si="8"/>
        <v>0.560628887</v>
      </c>
      <c r="Z32" s="385">
        <f t="shared" si="8"/>
        <v>0.361704277</v>
      </c>
      <c r="AA32" s="385">
        <f t="shared" si="8"/>
        <v>0.862774241</v>
      </c>
      <c r="AB32" s="385">
        <f t="shared" si="8"/>
        <v>0.5317552647</v>
      </c>
      <c r="AC32" s="385">
        <f t="shared" si="8"/>
        <v>0.706640823</v>
      </c>
      <c r="AD32" s="385">
        <f t="shared" si="8"/>
        <v>0.829800223</v>
      </c>
      <c r="AE32" s="385">
        <f t="shared" si="8"/>
        <v>0.5723045948</v>
      </c>
      <c r="AF32" s="385">
        <f t="shared" si="8"/>
        <v>0.7257600993</v>
      </c>
      <c r="AG32" s="385">
        <f t="shared" si="8"/>
        <v>0.1466262595</v>
      </c>
      <c r="AH32" s="385">
        <f t="shared" si="8"/>
        <v>0.3372147977</v>
      </c>
      <c r="AI32" s="385">
        <f t="shared" si="8"/>
        <v>0.3389280049</v>
      </c>
      <c r="AJ32" s="385">
        <f t="shared" si="8"/>
        <v>0.7424917421</v>
      </c>
      <c r="AK32" s="385">
        <f t="shared" si="8"/>
        <v>0.2260661951</v>
      </c>
      <c r="AL32" s="385">
        <f t="shared" si="8"/>
        <v>0.1046349116</v>
      </c>
      <c r="AM32" s="385">
        <f t="shared" si="8"/>
        <v>0.08952202914</v>
      </c>
      <c r="AN32" s="385">
        <f t="shared" si="8"/>
        <v>0.1459398151</v>
      </c>
      <c r="AO32" s="385">
        <f t="shared" si="8"/>
        <v>0.2835066306</v>
      </c>
      <c r="AP32" s="385">
        <f t="shared" si="8"/>
        <v>0.3319693181</v>
      </c>
      <c r="AQ32" s="385">
        <f t="shared" si="8"/>
        <v>0.6904419714</v>
      </c>
      <c r="AR32" s="385">
        <f t="shared" si="8"/>
        <v>0.3966941062</v>
      </c>
      <c r="AS32" s="385">
        <f t="shared" si="8"/>
        <v>0.3422281386</v>
      </c>
      <c r="AT32" s="385">
        <f t="shared" si="8"/>
        <v>0.5193949271</v>
      </c>
      <c r="AU32" s="385">
        <f t="shared" si="8"/>
        <v>0.1100930578</v>
      </c>
      <c r="AV32" s="385">
        <f t="shared" si="8"/>
        <v>0.0711819177</v>
      </c>
      <c r="AW32" s="1063"/>
    </row>
    <row r="33">
      <c r="A33" s="122"/>
      <c r="B33" s="123"/>
      <c r="C33" s="143"/>
      <c r="D33" s="123"/>
      <c r="E33" s="777"/>
      <c r="F33" s="141"/>
      <c r="G33" s="141"/>
      <c r="H33" s="127"/>
      <c r="I33" s="317"/>
      <c r="J33" s="317"/>
      <c r="K33" s="317"/>
      <c r="L33" s="317"/>
      <c r="M33" s="317"/>
      <c r="N33" s="317"/>
      <c r="O33" s="317"/>
      <c r="P33" s="317"/>
      <c r="Q33" s="317"/>
      <c r="R33" s="128"/>
      <c r="S33" s="128"/>
      <c r="T33" s="128"/>
      <c r="U33" s="128"/>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1057"/>
    </row>
    <row r="34">
      <c r="A34" s="122"/>
      <c r="B34" s="123"/>
      <c r="C34" s="143" t="s">
        <v>1070</v>
      </c>
      <c r="F34" s="141"/>
      <c r="G34" s="141"/>
      <c r="H34" s="127"/>
      <c r="I34" s="1056"/>
      <c r="J34" s="1056"/>
      <c r="K34" s="1056"/>
      <c r="L34" s="1056"/>
      <c r="M34" s="1056"/>
      <c r="N34" s="1056"/>
      <c r="O34" s="1056"/>
      <c r="P34" s="1056"/>
      <c r="Q34" s="1056"/>
      <c r="R34" s="1056"/>
      <c r="S34" s="1056"/>
      <c r="T34" s="1056"/>
      <c r="U34" s="1056"/>
      <c r="V34" s="1056"/>
      <c r="W34" s="1056"/>
      <c r="X34" s="1056"/>
      <c r="Y34" s="1056"/>
      <c r="Z34" s="1056"/>
      <c r="AA34" s="1056"/>
      <c r="AB34" s="1056"/>
      <c r="AC34" s="1056"/>
      <c r="AD34" s="1056"/>
      <c r="AE34" s="1056"/>
      <c r="AF34" s="1056"/>
      <c r="AG34" s="1056"/>
      <c r="AH34" s="1056"/>
      <c r="AI34" s="1056"/>
      <c r="AJ34" s="1056"/>
      <c r="AK34" s="1056"/>
      <c r="AL34" s="1056"/>
      <c r="AM34" s="1056"/>
      <c r="AN34" s="1056"/>
      <c r="AO34" s="1056"/>
      <c r="AP34" s="1056"/>
      <c r="AQ34" s="1056"/>
      <c r="AR34" s="1056"/>
      <c r="AS34" s="1056"/>
      <c r="AT34" s="1056"/>
      <c r="AU34" s="1056"/>
      <c r="AV34" s="1056"/>
      <c r="AW34" s="1057"/>
    </row>
    <row r="35">
      <c r="A35" s="122"/>
      <c r="B35" s="123"/>
      <c r="C35" s="143"/>
      <c r="D35" s="123"/>
      <c r="E35" s="782" t="s">
        <v>1071</v>
      </c>
      <c r="F35" s="193" t="s">
        <v>72</v>
      </c>
      <c r="G35" s="193" t="s">
        <v>165</v>
      </c>
      <c r="H35" s="208" t="str">
        <f>'Main CEA'!H228</f>
        <v>-</v>
      </c>
      <c r="I35" s="383">
        <f>'Main CEA'!I228</f>
        <v>0.503</v>
      </c>
      <c r="J35" s="383">
        <f>'Main CEA'!J228</f>
        <v>0.503</v>
      </c>
      <c r="K35" s="383">
        <f>'Main CEA'!K228</f>
        <v>0.503</v>
      </c>
      <c r="L35" s="383">
        <f>'Main CEA'!L228</f>
        <v>0.503</v>
      </c>
      <c r="M35" s="383">
        <f>'Main CEA'!M228</f>
        <v>0.503</v>
      </c>
      <c r="N35" s="383">
        <f>'Main CEA'!N228</f>
        <v>0.503</v>
      </c>
      <c r="O35" s="383">
        <f>'Main CEA'!O228</f>
        <v>0.503</v>
      </c>
      <c r="P35" s="383">
        <f>'Main CEA'!P228</f>
        <v>0.503</v>
      </c>
      <c r="Q35" s="383">
        <f>'Main CEA'!Q228</f>
        <v>0.503</v>
      </c>
      <c r="R35" s="383">
        <f>'Main CEA'!R228</f>
        <v>0.3163333333</v>
      </c>
      <c r="S35" s="383">
        <f>'Main CEA'!S228</f>
        <v>0.3163333333</v>
      </c>
      <c r="T35" s="383">
        <f>'Main CEA'!T228</f>
        <v>0.3163333333</v>
      </c>
      <c r="U35" s="383">
        <f>'Main CEA'!U228</f>
        <v>0.3163333333</v>
      </c>
      <c r="V35" s="383">
        <f>'Main CEA'!V228</f>
        <v>0.3163333333</v>
      </c>
      <c r="W35" s="383">
        <f>'Main CEA'!W228</f>
        <v>0.3163333333</v>
      </c>
      <c r="X35" s="383">
        <f>'Main CEA'!X228</f>
        <v>0.3163333333</v>
      </c>
      <c r="Y35" s="383">
        <f>'Main CEA'!Y228</f>
        <v>0.3163333333</v>
      </c>
      <c r="Z35" s="383">
        <f>'Main CEA'!Z228</f>
        <v>0.3163333333</v>
      </c>
      <c r="AA35" s="383">
        <f>'Main CEA'!AA228</f>
        <v>0.3163333333</v>
      </c>
      <c r="AB35" s="383">
        <f>'Main CEA'!AB228</f>
        <v>0.3163333333</v>
      </c>
      <c r="AC35" s="383">
        <f>'Main CEA'!AC228</f>
        <v>0.3163333333</v>
      </c>
      <c r="AD35" s="383">
        <f>'Main CEA'!AD228</f>
        <v>0.3163333333</v>
      </c>
      <c r="AE35" s="383">
        <f>'Main CEA'!AE228</f>
        <v>0.3163333333</v>
      </c>
      <c r="AF35" s="383">
        <f>'Main CEA'!AF228</f>
        <v>0.3163333333</v>
      </c>
      <c r="AG35" s="383">
        <f>'Main CEA'!AG228</f>
        <v>0.3163333333</v>
      </c>
      <c r="AH35" s="383">
        <f>'Main CEA'!AH228</f>
        <v>0.3163333333</v>
      </c>
      <c r="AI35" s="383">
        <f>'Main CEA'!AI228</f>
        <v>0.3163333333</v>
      </c>
      <c r="AJ35" s="383">
        <f>'Main CEA'!AJ228</f>
        <v>0.3163333333</v>
      </c>
      <c r="AK35" s="383">
        <f>'Main CEA'!AK228</f>
        <v>0.3163333333</v>
      </c>
      <c r="AL35" s="383">
        <f>'Main CEA'!AL228</f>
        <v>0.353</v>
      </c>
      <c r="AM35" s="383">
        <f>'Main CEA'!AM228</f>
        <v>0.393</v>
      </c>
      <c r="AN35" s="383">
        <f>'Main CEA'!AN228</f>
        <v>0.353</v>
      </c>
      <c r="AO35" s="383">
        <f>'Main CEA'!AO228</f>
        <v>0.3163333333</v>
      </c>
      <c r="AP35" s="383">
        <f>'Main CEA'!AP228</f>
        <v>0.3163333333</v>
      </c>
      <c r="AQ35" s="383">
        <f>'Main CEA'!AQ228</f>
        <v>0.3163333333</v>
      </c>
      <c r="AR35" s="383">
        <f>'Main CEA'!AR228</f>
        <v>0.3163333333</v>
      </c>
      <c r="AS35" s="383">
        <f>'Main CEA'!AS228</f>
        <v>0.3163333333</v>
      </c>
      <c r="AT35" s="383">
        <f>'Main CEA'!AT228</f>
        <v>0.3163333333</v>
      </c>
      <c r="AU35" s="383">
        <f>'Main CEA'!AU228</f>
        <v>0.203</v>
      </c>
      <c r="AV35" s="383">
        <f>'Main CEA'!AV228</f>
        <v>0.393</v>
      </c>
      <c r="AW35" s="1061"/>
    </row>
    <row r="36">
      <c r="A36" s="122"/>
      <c r="B36" s="123"/>
      <c r="C36" s="143"/>
      <c r="D36" s="123"/>
      <c r="E36" s="475" t="s">
        <v>1072</v>
      </c>
      <c r="F36" s="213" t="s">
        <v>72</v>
      </c>
      <c r="G36" s="213" t="s">
        <v>165</v>
      </c>
      <c r="H36" s="215">
        <f>'Main CEA'!H208</f>
        <v>-0.07</v>
      </c>
      <c r="I36" s="241" t="str">
        <f>'Main CEA'!I208</f>
        <v>-</v>
      </c>
      <c r="J36" s="241" t="str">
        <f>'Main CEA'!J208</f>
        <v>-</v>
      </c>
      <c r="K36" s="241" t="str">
        <f>'Main CEA'!K208</f>
        <v>-</v>
      </c>
      <c r="L36" s="241" t="str">
        <f>'Main CEA'!L208</f>
        <v>-</v>
      </c>
      <c r="M36" s="241" t="str">
        <f>'Main CEA'!M208</f>
        <v>-</v>
      </c>
      <c r="N36" s="241" t="str">
        <f>'Main CEA'!N208</f>
        <v>-</v>
      </c>
      <c r="O36" s="241" t="str">
        <f>'Main CEA'!O208</f>
        <v>-</v>
      </c>
      <c r="P36" s="241" t="str">
        <f>'Main CEA'!P208</f>
        <v>-</v>
      </c>
      <c r="Q36" s="241" t="str">
        <f>'Main CEA'!Q208</f>
        <v>-</v>
      </c>
      <c r="R36" s="241" t="str">
        <f>'Main CEA'!R208</f>
        <v>-</v>
      </c>
      <c r="S36" s="241" t="str">
        <f>'Main CEA'!S208</f>
        <v>-</v>
      </c>
      <c r="T36" s="241" t="str">
        <f>'Main CEA'!T208</f>
        <v>-</v>
      </c>
      <c r="U36" s="241" t="str">
        <f>'Main CEA'!U208</f>
        <v>-</v>
      </c>
      <c r="V36" s="241" t="str">
        <f>'Main CEA'!V208</f>
        <v>-</v>
      </c>
      <c r="W36" s="241" t="str">
        <f>'Main CEA'!W208</f>
        <v>-</v>
      </c>
      <c r="X36" s="241" t="str">
        <f>'Main CEA'!X208</f>
        <v>-</v>
      </c>
      <c r="Y36" s="241" t="str">
        <f>'Main CEA'!Y208</f>
        <v>-</v>
      </c>
      <c r="Z36" s="241" t="str">
        <f>'Main CEA'!Z208</f>
        <v>-</v>
      </c>
      <c r="AA36" s="241" t="str">
        <f>'Main CEA'!AA208</f>
        <v>-</v>
      </c>
      <c r="AB36" s="241" t="str">
        <f>'Main CEA'!AB208</f>
        <v>-</v>
      </c>
      <c r="AC36" s="241" t="str">
        <f>'Main CEA'!AC208</f>
        <v>-</v>
      </c>
      <c r="AD36" s="241" t="str">
        <f>'Main CEA'!AD208</f>
        <v>-</v>
      </c>
      <c r="AE36" s="241" t="str">
        <f>'Main CEA'!AE208</f>
        <v>-</v>
      </c>
      <c r="AF36" s="241" t="str">
        <f>'Main CEA'!AF208</f>
        <v>-</v>
      </c>
      <c r="AG36" s="241" t="str">
        <f>'Main CEA'!AG208</f>
        <v>-</v>
      </c>
      <c r="AH36" s="241" t="str">
        <f>'Main CEA'!AH208</f>
        <v>-</v>
      </c>
      <c r="AI36" s="241" t="str">
        <f>'Main CEA'!AI208</f>
        <v>-</v>
      </c>
      <c r="AJ36" s="241" t="str">
        <f>'Main CEA'!AJ208</f>
        <v>-</v>
      </c>
      <c r="AK36" s="241" t="str">
        <f>'Main CEA'!AK208</f>
        <v>-</v>
      </c>
      <c r="AL36" s="241" t="str">
        <f>'Main CEA'!AL208</f>
        <v>-</v>
      </c>
      <c r="AM36" s="241" t="str">
        <f>'Main CEA'!AM208</f>
        <v>-</v>
      </c>
      <c r="AN36" s="241" t="str">
        <f>'Main CEA'!AN208</f>
        <v>-</v>
      </c>
      <c r="AO36" s="241" t="str">
        <f>'Main CEA'!AO208</f>
        <v>-</v>
      </c>
      <c r="AP36" s="241" t="str">
        <f>'Main CEA'!AP208</f>
        <v>-</v>
      </c>
      <c r="AQ36" s="241" t="str">
        <f>'Main CEA'!AQ208</f>
        <v>-</v>
      </c>
      <c r="AR36" s="241" t="str">
        <f>'Main CEA'!AR208</f>
        <v>-</v>
      </c>
      <c r="AS36" s="241" t="str">
        <f>'Main CEA'!AS208</f>
        <v>-</v>
      </c>
      <c r="AT36" s="241" t="str">
        <f>'Main CEA'!AT208</f>
        <v>-</v>
      </c>
      <c r="AU36" s="241" t="str">
        <f>'Main CEA'!AU208</f>
        <v>-</v>
      </c>
      <c r="AV36" s="241" t="str">
        <f>'Main CEA'!AV208</f>
        <v>-</v>
      </c>
      <c r="AW36" s="1062"/>
    </row>
    <row r="37">
      <c r="A37" s="122"/>
      <c r="B37" s="123"/>
      <c r="C37" s="143"/>
      <c r="D37" s="123"/>
      <c r="E37" s="475" t="s">
        <v>1073</v>
      </c>
      <c r="F37" s="213" t="s">
        <v>72</v>
      </c>
      <c r="G37" s="213" t="s">
        <v>165</v>
      </c>
      <c r="H37" s="215" t="str">
        <f>LeverageFunging!H95</f>
        <v>-</v>
      </c>
      <c r="I37" s="241">
        <f>LeverageFunging!I95</f>
        <v>-0.04421833055</v>
      </c>
      <c r="J37" s="241">
        <f>LeverageFunging!J95</f>
        <v>-0.05685457843</v>
      </c>
      <c r="K37" s="241">
        <f>LeverageFunging!K95</f>
        <v>-0.0377404287</v>
      </c>
      <c r="L37" s="241">
        <f>LeverageFunging!L95</f>
        <v>-0.08094931709</v>
      </c>
      <c r="M37" s="241">
        <f>LeverageFunging!M95</f>
        <v>-0.062527746</v>
      </c>
      <c r="N37" s="241">
        <f>LeverageFunging!N95</f>
        <v>-0.05343454263</v>
      </c>
      <c r="O37" s="241">
        <f>LeverageFunging!O95</f>
        <v>-0.04603517759</v>
      </c>
      <c r="P37" s="241">
        <f>LeverageFunging!P95</f>
        <v>-0.03918562727</v>
      </c>
      <c r="Q37" s="241">
        <f>LeverageFunging!Q95</f>
        <v>-0.03176670886</v>
      </c>
      <c r="R37" s="241">
        <f>LeverageFunging!R95</f>
        <v>-0.1029801284</v>
      </c>
      <c r="S37" s="241">
        <f>LeverageFunging!S95</f>
        <v>-0.06464919851</v>
      </c>
      <c r="T37" s="241">
        <f>LeverageFunging!T95</f>
        <v>-0.1338738817</v>
      </c>
      <c r="U37" s="241">
        <f>LeverageFunging!U95</f>
        <v>-0.1440989235</v>
      </c>
      <c r="V37" s="241">
        <f>LeverageFunging!V95</f>
        <v>-0.1131989389</v>
      </c>
      <c r="W37" s="241">
        <f>LeverageFunging!W95</f>
        <v>-0.1018241225</v>
      </c>
      <c r="X37" s="241">
        <f>LeverageFunging!X95</f>
        <v>-0.1391802151</v>
      </c>
      <c r="Y37" s="241">
        <f>LeverageFunging!Y95</f>
        <v>-0.08306932664</v>
      </c>
      <c r="Z37" s="241">
        <f>LeverageFunging!Z95</f>
        <v>-0.1330180799</v>
      </c>
      <c r="AA37" s="241">
        <f>LeverageFunging!AA95</f>
        <v>-0.01744183793</v>
      </c>
      <c r="AB37" s="241">
        <f>LeverageFunging!AB95</f>
        <v>-0.09376172634</v>
      </c>
      <c r="AC37" s="241">
        <f>LeverageFunging!AC95</f>
        <v>-0.06945910631</v>
      </c>
      <c r="AD37" s="241">
        <f>LeverageFunging!AD95</f>
        <v>-0.0492266479</v>
      </c>
      <c r="AE37" s="241">
        <f>LeverageFunging!AE95</f>
        <v>-0.09531348608</v>
      </c>
      <c r="AF37" s="241">
        <f>LeverageFunging!AF95</f>
        <v>-0.08848526431</v>
      </c>
      <c r="AG37" s="241">
        <f>LeverageFunging!AG95</f>
        <v>-0.0872578047</v>
      </c>
      <c r="AH37" s="241">
        <f>LeverageFunging!AH95</f>
        <v>-0.1177754266</v>
      </c>
      <c r="AI37" s="241">
        <f>LeverageFunging!AI95</f>
        <v>-0.2138327328</v>
      </c>
      <c r="AJ37" s="241">
        <f>LeverageFunging!AJ95</f>
        <v>-0.1086785193</v>
      </c>
      <c r="AK37" s="241">
        <f>LeverageFunging!AK95</f>
        <v>-0.1267130231</v>
      </c>
      <c r="AL37" s="241">
        <f>LeverageFunging!AL95</f>
        <v>-0.09904028638</v>
      </c>
      <c r="AM37" s="241">
        <f>LeverageFunging!AM95</f>
        <v>-0.09782004392</v>
      </c>
      <c r="AN37" s="241">
        <f>LeverageFunging!AN95</f>
        <v>-0.0944713686</v>
      </c>
      <c r="AO37" s="241">
        <f>LeverageFunging!AO95</f>
        <v>-0.1995369413</v>
      </c>
      <c r="AP37" s="241">
        <f>LeverageFunging!AP95</f>
        <v>-0.1704418911</v>
      </c>
      <c r="AQ37" s="241">
        <f>LeverageFunging!AQ95</f>
        <v>-0.1347357852</v>
      </c>
      <c r="AR37" s="241">
        <f>LeverageFunging!AR95</f>
        <v>-0.2110880744</v>
      </c>
      <c r="AS37" s="241">
        <f>LeverageFunging!AS95</f>
        <v>-0.1313847769</v>
      </c>
      <c r="AT37" s="241">
        <f>LeverageFunging!AT95</f>
        <v>-0.1011726184</v>
      </c>
      <c r="AU37" s="241">
        <f>LeverageFunging!AU95</f>
        <v>-0.07271630744</v>
      </c>
      <c r="AV37" s="241">
        <f>LeverageFunging!AV95</f>
        <v>-0.06242416514</v>
      </c>
      <c r="AW37" s="1062"/>
    </row>
    <row r="38">
      <c r="A38" s="122"/>
      <c r="B38" s="123"/>
      <c r="C38" s="143"/>
      <c r="D38" s="123"/>
      <c r="E38" s="792" t="s">
        <v>1074</v>
      </c>
      <c r="F38" s="200" t="s">
        <v>72</v>
      </c>
      <c r="G38" s="200" t="s">
        <v>165</v>
      </c>
      <c r="H38" s="488" t="str">
        <f>LeverageFunging!H96</f>
        <v>-</v>
      </c>
      <c r="I38" s="385">
        <f>LeverageFunging!I96</f>
        <v>-0.0934652923</v>
      </c>
      <c r="J38" s="385">
        <f>LeverageFunging!J96</f>
        <v>-0.08702584485</v>
      </c>
      <c r="K38" s="385">
        <f>LeverageFunging!K96</f>
        <v>-0.0927356631</v>
      </c>
      <c r="L38" s="385">
        <f>LeverageFunging!L96</f>
        <v>-0.08594691079</v>
      </c>
      <c r="M38" s="385">
        <f>LeverageFunging!M96</f>
        <v>-0.08979372015</v>
      </c>
      <c r="N38" s="385">
        <f>LeverageFunging!N96</f>
        <v>-0.092282267</v>
      </c>
      <c r="O38" s="385">
        <f>LeverageFunging!O96</f>
        <v>-0.09551033376</v>
      </c>
      <c r="P38" s="385">
        <f>LeverageFunging!P96</f>
        <v>-0.09659819372</v>
      </c>
      <c r="Q38" s="385">
        <f>LeverageFunging!Q96</f>
        <v>-0.09577101439</v>
      </c>
      <c r="R38" s="385">
        <f>LeverageFunging!R96</f>
        <v>-0.02154847982</v>
      </c>
      <c r="S38" s="385">
        <f>LeverageFunging!S96</f>
        <v>-0.06646948879</v>
      </c>
      <c r="T38" s="385">
        <f>LeverageFunging!T96</f>
        <v>-0.02015791271</v>
      </c>
      <c r="U38" s="385">
        <f>LeverageFunging!U96</f>
        <v>-0.02993944946</v>
      </c>
      <c r="V38" s="385">
        <f>LeverageFunging!V96</f>
        <v>-0.05245162943</v>
      </c>
      <c r="W38" s="385">
        <f>LeverageFunging!W96</f>
        <v>-0.05739714644</v>
      </c>
      <c r="X38" s="385">
        <f>LeverageFunging!X96</f>
        <v>-0.07650423033</v>
      </c>
      <c r="Y38" s="385">
        <f>LeverageFunging!Y96</f>
        <v>-0.006348747455</v>
      </c>
      <c r="Z38" s="385">
        <f>LeverageFunging!Z96</f>
        <v>-0.0395784638</v>
      </c>
      <c r="AA38" s="385">
        <f>LeverageFunging!AA96</f>
        <v>0.04412366221</v>
      </c>
      <c r="AB38" s="385">
        <f>LeverageFunging!AB96</f>
        <v>-0.0111719932</v>
      </c>
      <c r="AC38" s="385">
        <f>LeverageFunging!AC96</f>
        <v>0.01804207687</v>
      </c>
      <c r="AD38" s="385">
        <f>LeverageFunging!AD96</f>
        <v>0.03861545855</v>
      </c>
      <c r="AE38" s="385">
        <f>LeverageFunging!AE96</f>
        <v>-0.004398358018</v>
      </c>
      <c r="AF38" s="385">
        <f>LeverageFunging!AF96</f>
        <v>0.02123589048</v>
      </c>
      <c r="AG38" s="385">
        <f>LeverageFunging!AG96</f>
        <v>-0.07550655492</v>
      </c>
      <c r="AH38" s="385">
        <f>LeverageFunging!AH96</f>
        <v>-0.04366935255</v>
      </c>
      <c r="AI38" s="385">
        <f>LeverageFunging!AI96</f>
        <v>-0.04338316679</v>
      </c>
      <c r="AJ38" s="385">
        <f>LeverageFunging!AJ96</f>
        <v>0.0240308576</v>
      </c>
      <c r="AK38" s="385">
        <f>LeverageFunging!AK96</f>
        <v>-0.06223636916</v>
      </c>
      <c r="AL38" s="385">
        <f>LeverageFunging!AL96</f>
        <v>-0.08299475815</v>
      </c>
      <c r="AM38" s="385">
        <f>LeverageFunging!AM96</f>
        <v>-0.08586867779</v>
      </c>
      <c r="AN38" s="385">
        <f>LeverageFunging!AN96</f>
        <v>-0.07628189469</v>
      </c>
      <c r="AO38" s="385">
        <f>LeverageFunging!AO96</f>
        <v>-0.05264112914</v>
      </c>
      <c r="AP38" s="385">
        <f>LeverageFunging!AP96</f>
        <v>-0.04454559305</v>
      </c>
      <c r="AQ38" s="385">
        <f>LeverageFunging!AQ96</f>
        <v>0.01533611082</v>
      </c>
      <c r="AR38" s="385">
        <f>LeverageFunging!AR96</f>
        <v>-0.03373352535</v>
      </c>
      <c r="AS38" s="385">
        <f>LeverageFunging!AS96</f>
        <v>-0.04283189007</v>
      </c>
      <c r="AT38" s="385">
        <f>LeverageFunging!AT96</f>
        <v>-0.01323674784</v>
      </c>
      <c r="AU38" s="385">
        <f>LeverageFunging!AU96</f>
        <v>-0.07987674156</v>
      </c>
      <c r="AV38" s="385">
        <f>LeverageFunging!AV96</f>
        <v>-0.08876371968</v>
      </c>
      <c r="AW38" s="1063"/>
    </row>
    <row r="39">
      <c r="A39" s="122"/>
      <c r="B39" s="123"/>
      <c r="C39" s="143"/>
      <c r="D39" s="123"/>
      <c r="E39" s="777"/>
      <c r="F39" s="141"/>
      <c r="G39" s="141"/>
      <c r="H39" s="127"/>
      <c r="I39" s="1056"/>
      <c r="J39" s="1056"/>
      <c r="K39" s="1056"/>
      <c r="L39" s="1056"/>
      <c r="M39" s="1056"/>
      <c r="N39" s="1056"/>
      <c r="O39" s="1056"/>
      <c r="P39" s="1056"/>
      <c r="Q39" s="1056"/>
      <c r="R39" s="1056"/>
      <c r="S39" s="1056"/>
      <c r="T39" s="1056"/>
      <c r="U39" s="1056"/>
      <c r="V39" s="1056"/>
      <c r="W39" s="1056"/>
      <c r="X39" s="1056"/>
      <c r="Y39" s="1056"/>
      <c r="Z39" s="1056"/>
      <c r="AA39" s="1056"/>
      <c r="AB39" s="1056"/>
      <c r="AC39" s="1056"/>
      <c r="AD39" s="1056"/>
      <c r="AE39" s="1056"/>
      <c r="AF39" s="1056"/>
      <c r="AG39" s="1056"/>
      <c r="AH39" s="1056"/>
      <c r="AI39" s="1056"/>
      <c r="AJ39" s="1056"/>
      <c r="AK39" s="1056"/>
      <c r="AL39" s="1056"/>
      <c r="AM39" s="1056"/>
      <c r="AN39" s="1056"/>
      <c r="AO39" s="1056"/>
      <c r="AP39" s="1056"/>
      <c r="AQ39" s="1056"/>
      <c r="AR39" s="1056"/>
      <c r="AS39" s="1056"/>
      <c r="AT39" s="1056"/>
      <c r="AU39" s="1056"/>
      <c r="AV39" s="1056"/>
      <c r="AW39" s="1057"/>
    </row>
    <row r="40">
      <c r="A40" s="122"/>
      <c r="B40" s="123"/>
      <c r="C40" s="143" t="s">
        <v>1075</v>
      </c>
      <c r="F40" s="423"/>
      <c r="G40" s="423"/>
      <c r="H40" s="1070"/>
      <c r="I40" s="1071"/>
      <c r="J40" s="1071"/>
      <c r="K40" s="1071"/>
      <c r="L40" s="1071"/>
      <c r="M40" s="1071"/>
      <c r="N40" s="1071"/>
      <c r="O40" s="1071"/>
      <c r="P40" s="1071"/>
      <c r="Q40" s="1071"/>
      <c r="R40" s="1071"/>
      <c r="S40" s="1071"/>
      <c r="T40" s="1071"/>
      <c r="U40" s="1071"/>
      <c r="V40" s="1071"/>
      <c r="W40" s="1071"/>
      <c r="X40" s="1071"/>
      <c r="Y40" s="1071"/>
      <c r="Z40" s="1071"/>
      <c r="AA40" s="1071"/>
      <c r="AB40" s="1071"/>
      <c r="AC40" s="1071"/>
      <c r="AD40" s="1071"/>
      <c r="AE40" s="1071"/>
      <c r="AF40" s="1071"/>
      <c r="AG40" s="1071"/>
      <c r="AH40" s="1071"/>
      <c r="AI40" s="1071"/>
      <c r="AJ40" s="1071"/>
      <c r="AK40" s="1071"/>
      <c r="AL40" s="1071"/>
      <c r="AM40" s="1071"/>
      <c r="AN40" s="1071"/>
      <c r="AO40" s="1071"/>
      <c r="AP40" s="1071"/>
      <c r="AQ40" s="1071"/>
      <c r="AR40" s="1071"/>
      <c r="AS40" s="1071"/>
      <c r="AT40" s="1071"/>
      <c r="AU40" s="1071"/>
      <c r="AV40" s="1071"/>
      <c r="AW40" s="1057"/>
    </row>
    <row r="41">
      <c r="A41" s="122"/>
      <c r="B41" s="123"/>
      <c r="C41" s="143"/>
      <c r="D41" s="123"/>
      <c r="E41" s="1072" t="s">
        <v>1076</v>
      </c>
      <c r="F41" s="417" t="s">
        <v>78</v>
      </c>
      <c r="G41" s="1073" t="s">
        <v>161</v>
      </c>
      <c r="H41" s="1074" t="s">
        <v>162</v>
      </c>
      <c r="I41" s="1075">
        <f t="shared" ref="I41:AV41" si="9">I21/I29*(1+I35)*(1+$H36)*(1+SUM(I37:I38))</f>
        <v>20.03960646</v>
      </c>
      <c r="J41" s="1075">
        <f t="shared" si="9"/>
        <v>10.02083846</v>
      </c>
      <c r="K41" s="1075">
        <f t="shared" si="9"/>
        <v>18.1775049</v>
      </c>
      <c r="L41" s="1075">
        <f t="shared" si="9"/>
        <v>9.002767152</v>
      </c>
      <c r="M41" s="1075">
        <f t="shared" si="9"/>
        <v>12.61282684</v>
      </c>
      <c r="N41" s="1075">
        <f t="shared" si="9"/>
        <v>16.80973361</v>
      </c>
      <c r="O41" s="1075">
        <f t="shared" si="9"/>
        <v>29.03701301</v>
      </c>
      <c r="P41" s="1075">
        <f t="shared" si="9"/>
        <v>38.57993882</v>
      </c>
      <c r="Q41" s="1075">
        <f t="shared" si="9"/>
        <v>31.32991169</v>
      </c>
      <c r="R41" s="1075">
        <f t="shared" si="9"/>
        <v>1.694686289</v>
      </c>
      <c r="S41" s="1075">
        <f t="shared" si="9"/>
        <v>3.935219868</v>
      </c>
      <c r="T41" s="1075">
        <f t="shared" si="9"/>
        <v>1.609054963</v>
      </c>
      <c r="U41" s="1075">
        <f t="shared" si="9"/>
        <v>1.790338065</v>
      </c>
      <c r="V41" s="1075">
        <f t="shared" si="9"/>
        <v>2.664778133</v>
      </c>
      <c r="W41" s="1075">
        <f t="shared" si="9"/>
        <v>2.997034537</v>
      </c>
      <c r="X41" s="1075">
        <f t="shared" si="9"/>
        <v>5.069321927</v>
      </c>
      <c r="Y41" s="1075">
        <f t="shared" si="9"/>
        <v>1.476570392</v>
      </c>
      <c r="Z41" s="1075">
        <f t="shared" si="9"/>
        <v>2.079573564</v>
      </c>
      <c r="AA41" s="1075">
        <f t="shared" si="9"/>
        <v>1.081805798</v>
      </c>
      <c r="AB41" s="1075">
        <f t="shared" si="9"/>
        <v>1.530220442</v>
      </c>
      <c r="AC41" s="1075">
        <f t="shared" si="9"/>
        <v>1.220357858</v>
      </c>
      <c r="AD41" s="1075">
        <f t="shared" si="9"/>
        <v>1.083937019</v>
      </c>
      <c r="AE41" s="1075">
        <f t="shared" si="9"/>
        <v>1.430095056</v>
      </c>
      <c r="AF41" s="1075">
        <f t="shared" si="9"/>
        <v>1.168377171</v>
      </c>
      <c r="AG41" s="1075">
        <f t="shared" si="9"/>
        <v>5.190946506</v>
      </c>
      <c r="AH41" s="1075">
        <f t="shared" si="9"/>
        <v>2.260662053</v>
      </c>
      <c r="AI41" s="1075">
        <f t="shared" si="9"/>
        <v>1.992350509</v>
      </c>
      <c r="AJ41" s="1075">
        <f t="shared" si="9"/>
        <v>1.120746184</v>
      </c>
      <c r="AK41" s="1075">
        <f t="shared" si="9"/>
        <v>3.261541663</v>
      </c>
      <c r="AL41" s="1075">
        <f t="shared" si="9"/>
        <v>7.304670065</v>
      </c>
      <c r="AM41" s="1075">
        <f t="shared" si="9"/>
        <v>8.772466493</v>
      </c>
      <c r="AN41" s="1075">
        <f t="shared" si="9"/>
        <v>5.309486223</v>
      </c>
      <c r="AO41" s="1075">
        <f t="shared" si="9"/>
        <v>2.397980114</v>
      </c>
      <c r="AP41" s="1075">
        <f t="shared" si="9"/>
        <v>2.149756328</v>
      </c>
      <c r="AQ41" s="1075">
        <f t="shared" si="9"/>
        <v>1.159477323</v>
      </c>
      <c r="AR41" s="1075">
        <f t="shared" si="9"/>
        <v>1.730630738</v>
      </c>
      <c r="AS41" s="1075">
        <f t="shared" si="9"/>
        <v>2.193617991</v>
      </c>
      <c r="AT41" s="1075">
        <f t="shared" si="9"/>
        <v>1.550050732</v>
      </c>
      <c r="AU41" s="1075">
        <f t="shared" si="9"/>
        <v>6.395027811</v>
      </c>
      <c r="AV41" s="1075">
        <f t="shared" si="9"/>
        <v>11.47196265</v>
      </c>
      <c r="AW41" s="1076"/>
    </row>
    <row r="42">
      <c r="A42" s="122"/>
      <c r="B42" s="123"/>
      <c r="C42" s="143"/>
      <c r="D42" s="123"/>
      <c r="E42" s="800" t="s">
        <v>1077</v>
      </c>
      <c r="F42" s="134" t="s">
        <v>68</v>
      </c>
      <c r="G42" s="134" t="s">
        <v>161</v>
      </c>
      <c r="H42" s="146" t="s">
        <v>162</v>
      </c>
      <c r="I42" s="147">
        <f>I19*('Main CEA'!I48/SUM('Main CEA'!I48,'Main CEA'!I61,'Main CEA'!I74,'Main CEA'!I87))/(1+'Main CEA'!I256)</f>
        <v>2684.193824</v>
      </c>
      <c r="J42" s="147">
        <f>J19*('Main CEA'!J48/SUM('Main CEA'!J48,'Main CEA'!J61,'Main CEA'!J74,'Main CEA'!J87))/(1+'Main CEA'!J256)</f>
        <v>5642.026751</v>
      </c>
      <c r="K42" s="147">
        <f>K19*('Main CEA'!K48/SUM('Main CEA'!K48,'Main CEA'!K61,'Main CEA'!K74,'Main CEA'!K87))/(1+'Main CEA'!K256)</f>
        <v>3012.074875</v>
      </c>
      <c r="L42" s="147">
        <f>L19*('Main CEA'!L48/SUM('Main CEA'!L48,'Main CEA'!L61,'Main CEA'!L74,'Main CEA'!L87))/(1+'Main CEA'!L256)</f>
        <v>6404.565903</v>
      </c>
      <c r="M42" s="147">
        <f>M19*('Main CEA'!M48/SUM('Main CEA'!M48,'Main CEA'!M61,'Main CEA'!M74,'Main CEA'!M87))/(1+'Main CEA'!M256)</f>
        <v>4453.377331</v>
      </c>
      <c r="N42" s="147">
        <f>N19*('Main CEA'!N48/SUM('Main CEA'!N48,'Main CEA'!N61,'Main CEA'!N74,'Main CEA'!N87))/(1+'Main CEA'!N256)</f>
        <v>3216.578699</v>
      </c>
      <c r="O42" s="147">
        <f>O19*('Main CEA'!O48/SUM('Main CEA'!O48,'Main CEA'!O61,'Main CEA'!O74,'Main CEA'!O87))/(1+'Main CEA'!O256)</f>
        <v>1816.379076</v>
      </c>
      <c r="P42" s="147">
        <f>P19*('Main CEA'!P48/SUM('Main CEA'!P48,'Main CEA'!P61,'Main CEA'!P74,'Main CEA'!P87))/(1+'Main CEA'!P256)</f>
        <v>1367.637302</v>
      </c>
      <c r="Q42" s="147">
        <f>Q19*('Main CEA'!Q48/SUM('Main CEA'!Q48,'Main CEA'!Q61,'Main CEA'!Q74,'Main CEA'!Q87))/(1+'Main CEA'!Q256)</f>
        <v>1705.7966</v>
      </c>
      <c r="R42" s="147">
        <f>R19*('Main CEA'!R48/SUM('Main CEA'!R48,'Main CEA'!R61,'Main CEA'!R74,'Main CEA'!R87))/(1+'Main CEA'!R256)</f>
        <v>58077.46405</v>
      </c>
      <c r="S42" s="147">
        <f>S19*('Main CEA'!S48/SUM('Main CEA'!S48,'Main CEA'!S61,'Main CEA'!S74,'Main CEA'!S87))/(1+'Main CEA'!S256)</f>
        <v>16966.03167</v>
      </c>
      <c r="T42" s="147">
        <f>T19*('Main CEA'!T48/SUM('Main CEA'!T48,'Main CEA'!T61,'Main CEA'!T74,'Main CEA'!T87))/(1+'Main CEA'!T256)</f>
        <v>59695.31512</v>
      </c>
      <c r="U42" s="147">
        <f>U19*('Main CEA'!U48/SUM('Main CEA'!U48,'Main CEA'!U61,'Main CEA'!U74,'Main CEA'!U87))/(1+'Main CEA'!U256)</f>
        <v>49020.08763</v>
      </c>
      <c r="V42" s="147">
        <f>V19*('Main CEA'!V48/SUM('Main CEA'!V48,'Main CEA'!V61,'Main CEA'!V74,'Main CEA'!V87))/(1+'Main CEA'!V256)</f>
        <v>27062.08043</v>
      </c>
      <c r="W42" s="147">
        <f>W19*('Main CEA'!W48/SUM('Main CEA'!W48,'Main CEA'!W61,'Main CEA'!W74,'Main CEA'!W87))/(1+'Main CEA'!W256)</f>
        <v>22900.33035</v>
      </c>
      <c r="X42" s="147">
        <f>X19*('Main CEA'!X48/SUM('Main CEA'!X48,'Main CEA'!X61,'Main CEA'!X74,'Main CEA'!X87))/(1+'Main CEA'!X256)</f>
        <v>11556.73894</v>
      </c>
      <c r="Y42" s="147">
        <f>Y19*('Main CEA'!Y48/SUM('Main CEA'!Y48,'Main CEA'!Y61,'Main CEA'!Y74,'Main CEA'!Y87))/(1+'Main CEA'!Y256)</f>
        <v>76072.13271</v>
      </c>
      <c r="Z42" s="147">
        <f>Z19*('Main CEA'!Z48/SUM('Main CEA'!Z48,'Main CEA'!Z61,'Main CEA'!Z74,'Main CEA'!Z87))/(1+'Main CEA'!Z256)</f>
        <v>39024.39978</v>
      </c>
      <c r="AA42" s="147">
        <f>AA19*('Main CEA'!AA48/SUM('Main CEA'!AA48,'Main CEA'!AA61,'Main CEA'!AA74,'Main CEA'!AA87))/(1+'Main CEA'!AA256)</f>
        <v>369014.152</v>
      </c>
      <c r="AB42" s="147">
        <f>AB19*('Main CEA'!AB48/SUM('Main CEA'!AB48,'Main CEA'!AB61,'Main CEA'!AB74,'Main CEA'!AB87))/(1+'Main CEA'!AB256)</f>
        <v>73062.13788</v>
      </c>
      <c r="AC42" s="147">
        <f>AC19*('Main CEA'!AC48/SUM('Main CEA'!AC48,'Main CEA'!AC61,'Main CEA'!AC74,'Main CEA'!AC87))/(1+'Main CEA'!AC256)</f>
        <v>145594.8559</v>
      </c>
      <c r="AD42" s="147">
        <f>AD19*('Main CEA'!AD48/SUM('Main CEA'!AD48,'Main CEA'!AD61,'Main CEA'!AD74,'Main CEA'!AD87))/(1+'Main CEA'!AD256)</f>
        <v>277497.3748</v>
      </c>
      <c r="AE42" s="147">
        <f>AE19*('Main CEA'!AE48/SUM('Main CEA'!AE48,'Main CEA'!AE61,'Main CEA'!AE74,'Main CEA'!AE87))/(1+'Main CEA'!AE256)</f>
        <v>86275.20635</v>
      </c>
      <c r="AF42" s="147">
        <f>AF19*('Main CEA'!AF48/SUM('Main CEA'!AF48,'Main CEA'!AF61,'Main CEA'!AF74,'Main CEA'!AF87))/(1+'Main CEA'!AF256)</f>
        <v>159193.8012</v>
      </c>
      <c r="AG42" s="147">
        <f>AG19*('Main CEA'!AG48/SUM('Main CEA'!AG48,'Main CEA'!AG61,'Main CEA'!AG74,'Main CEA'!AG87))/(1+'Main CEA'!AG256)</f>
        <v>12137.60701</v>
      </c>
      <c r="AH42" s="147">
        <f>AH19*('Main CEA'!AH48/SUM('Main CEA'!AH48,'Main CEA'!AH61,'Main CEA'!AH74,'Main CEA'!AH87))/(1+'Main CEA'!AH256)</f>
        <v>34370.86074</v>
      </c>
      <c r="AI42" s="147">
        <f>AI19*('Main CEA'!AI48/SUM('Main CEA'!AI48,'Main CEA'!AI61,'Main CEA'!AI74,'Main CEA'!AI87))/(1+'Main CEA'!AI256)</f>
        <v>36436.56614</v>
      </c>
      <c r="AJ42" s="147">
        <f>AJ19*('Main CEA'!AJ48/SUM('Main CEA'!AJ48,'Main CEA'!AJ61,'Main CEA'!AJ74,'Main CEA'!AJ87))/(1+'Main CEA'!AJ256)</f>
        <v>179135.2729</v>
      </c>
      <c r="AK42" s="147">
        <f>AK19*('Main CEA'!AK48/SUM('Main CEA'!AK48,'Main CEA'!AK61,'Main CEA'!AK74,'Main CEA'!AK87))/(1+'Main CEA'!AK256)</f>
        <v>20557.69066</v>
      </c>
      <c r="AL42" s="147">
        <f>AL19*('Main CEA'!AL48/SUM('Main CEA'!AL48,'Main CEA'!AL61,'Main CEA'!AL74,'Main CEA'!AL87))/(1+'Main CEA'!AL256)</f>
        <v>7853.199628</v>
      </c>
      <c r="AM42" s="147">
        <f>AM19*('Main CEA'!AM48/SUM('Main CEA'!AM48,'Main CEA'!AM61,'Main CEA'!AM74,'Main CEA'!AM87))/(1+'Main CEA'!AM256)</f>
        <v>6385.589445</v>
      </c>
      <c r="AN42" s="147">
        <f>AN19*('Main CEA'!AN48/SUM('Main CEA'!AN48,'Main CEA'!AN61,'Main CEA'!AN74,'Main CEA'!AN87))/(1+'Main CEA'!AN256)</f>
        <v>11326.77893</v>
      </c>
      <c r="AO42" s="147">
        <f>AO19*('Main CEA'!AO48/SUM('Main CEA'!AO48,'Main CEA'!AO61,'Main CEA'!AO74,'Main CEA'!AO87))/(1+'Main CEA'!AO256)</f>
        <v>28422.137</v>
      </c>
      <c r="AP42" s="147">
        <f>AP19*('Main CEA'!AP48/SUM('Main CEA'!AP48,'Main CEA'!AP61,'Main CEA'!AP74,'Main CEA'!AP87))/(1+'Main CEA'!AP256)</f>
        <v>34613.74019</v>
      </c>
      <c r="AQ42" s="147">
        <f>AQ19*('Main CEA'!AQ48/SUM('Main CEA'!AQ48,'Main CEA'!AQ61,'Main CEA'!AQ74,'Main CEA'!AQ87))/(1+'Main CEA'!AQ256)</f>
        <v>135504.8934</v>
      </c>
      <c r="AR42" s="147">
        <f>AR19*('Main CEA'!AR48/SUM('Main CEA'!AR48,'Main CEA'!AR61,'Main CEA'!AR74,'Main CEA'!AR87))/(1+'Main CEA'!AR256)</f>
        <v>47398.97293</v>
      </c>
      <c r="AS42" s="147">
        <f>AS19*('Main CEA'!AS48/SUM('Main CEA'!AS48,'Main CEA'!AS61,'Main CEA'!AS74,'Main CEA'!AS87))/(1+'Main CEA'!AS256)</f>
        <v>35057.38989</v>
      </c>
      <c r="AT42" s="147">
        <f>AT19*('Main CEA'!AT48/SUM('Main CEA'!AT48,'Main CEA'!AT61,'Main CEA'!AT74,'Main CEA'!AT87))/(1+'Main CEA'!AT256)</f>
        <v>69644.91839</v>
      </c>
      <c r="AU42" s="147">
        <f>AU19*('Main CEA'!AU48/SUM('Main CEA'!AU48,'Main CEA'!AU61,'Main CEA'!AU74,'Main CEA'!AU87))/(1+'Main CEA'!AU256)</f>
        <v>9695.897255</v>
      </c>
      <c r="AV42" s="147">
        <f>AV19*('Main CEA'!AV48/SUM('Main CEA'!AV48,'Main CEA'!AV61,'Main CEA'!AV74,'Main CEA'!AV87))/(1+'Main CEA'!AV256)</f>
        <v>4825.639982</v>
      </c>
      <c r="AW42" s="1058"/>
    </row>
    <row r="43">
      <c r="A43" s="432"/>
      <c r="B43" s="433"/>
      <c r="C43" s="1077"/>
      <c r="D43" s="433"/>
      <c r="E43" s="1078"/>
      <c r="F43" s="134"/>
      <c r="G43" s="134"/>
      <c r="H43" s="406"/>
      <c r="I43" s="1079"/>
      <c r="J43" s="1079"/>
      <c r="K43" s="1079"/>
      <c r="L43" s="1079"/>
      <c r="M43" s="1079"/>
      <c r="N43" s="1079"/>
      <c r="O43" s="1079"/>
      <c r="P43" s="1079"/>
      <c r="Q43" s="1079"/>
      <c r="R43" s="1079"/>
      <c r="S43" s="1079"/>
      <c r="T43" s="1079"/>
      <c r="U43" s="1079"/>
      <c r="V43" s="1079"/>
      <c r="W43" s="1079"/>
      <c r="X43" s="1079"/>
      <c r="Y43" s="1079"/>
      <c r="Z43" s="1079"/>
      <c r="AA43" s="1079"/>
      <c r="AB43" s="1079"/>
      <c r="AC43" s="1079"/>
      <c r="AD43" s="1079"/>
      <c r="AE43" s="1079"/>
      <c r="AF43" s="1079"/>
      <c r="AG43" s="1079"/>
      <c r="AH43" s="1079"/>
      <c r="AI43" s="1079"/>
      <c r="AJ43" s="1079"/>
      <c r="AK43" s="1079"/>
      <c r="AL43" s="1079"/>
      <c r="AM43" s="1079"/>
      <c r="AN43" s="1079"/>
      <c r="AO43" s="1079"/>
      <c r="AP43" s="1079"/>
      <c r="AQ43" s="1079"/>
      <c r="AR43" s="1079"/>
      <c r="AS43" s="1079"/>
      <c r="AT43" s="1079"/>
      <c r="AU43" s="1079"/>
      <c r="AV43" s="1079"/>
      <c r="AW43" s="1058"/>
    </row>
    <row r="44">
      <c r="A44" s="1080" t="s">
        <v>1078</v>
      </c>
      <c r="B44" s="7"/>
      <c r="C44" s="7"/>
      <c r="D44" s="7"/>
      <c r="E44" s="7"/>
      <c r="F44" s="7"/>
      <c r="G44" s="659"/>
      <c r="H44" s="118"/>
      <c r="I44" s="1081"/>
      <c r="J44" s="1081"/>
      <c r="K44" s="1081"/>
      <c r="L44" s="1081"/>
      <c r="M44" s="1081"/>
      <c r="N44" s="1081"/>
      <c r="O44" s="1081"/>
      <c r="P44" s="1081"/>
      <c r="Q44" s="1081"/>
      <c r="R44" s="1081"/>
      <c r="S44" s="1081"/>
      <c r="T44" s="1081"/>
      <c r="U44" s="1081"/>
      <c r="V44" s="1081"/>
      <c r="W44" s="1081"/>
      <c r="X44" s="1081"/>
      <c r="Y44" s="1081"/>
      <c r="Z44" s="1081"/>
      <c r="AA44" s="1081"/>
      <c r="AB44" s="1081"/>
      <c r="AC44" s="1081"/>
      <c r="AD44" s="1081"/>
      <c r="AE44" s="1081"/>
      <c r="AF44" s="1081"/>
      <c r="AG44" s="1081"/>
      <c r="AH44" s="1081"/>
      <c r="AI44" s="1081"/>
      <c r="AJ44" s="1081"/>
      <c r="AK44" s="1081"/>
      <c r="AL44" s="1081"/>
      <c r="AM44" s="1081"/>
      <c r="AN44" s="1081"/>
      <c r="AO44" s="1081"/>
      <c r="AP44" s="1081"/>
      <c r="AQ44" s="1081"/>
      <c r="AR44" s="1081"/>
      <c r="AS44" s="1081"/>
      <c r="AT44" s="1081"/>
      <c r="AU44" s="1081"/>
      <c r="AV44" s="1081"/>
      <c r="AW44" s="1055"/>
    </row>
    <row r="45">
      <c r="A45" s="122"/>
      <c r="B45" s="123"/>
      <c r="C45" s="143"/>
      <c r="D45" s="123"/>
      <c r="E45" s="853"/>
      <c r="F45" s="423"/>
      <c r="G45" s="423"/>
      <c r="H45" s="1070"/>
      <c r="I45" s="1071"/>
      <c r="J45" s="1071"/>
      <c r="K45" s="1071"/>
      <c r="L45" s="1071"/>
      <c r="M45" s="1071"/>
      <c r="N45" s="1071"/>
      <c r="O45" s="1071"/>
      <c r="P45" s="1071"/>
      <c r="Q45" s="1071"/>
      <c r="R45" s="1071"/>
      <c r="S45" s="1071"/>
      <c r="T45" s="1071"/>
      <c r="U45" s="1071"/>
      <c r="V45" s="1071"/>
      <c r="W45" s="1071"/>
      <c r="X45" s="1071"/>
      <c r="Y45" s="1071"/>
      <c r="Z45" s="1071"/>
      <c r="AA45" s="1071"/>
      <c r="AB45" s="1071"/>
      <c r="AC45" s="1071"/>
      <c r="AD45" s="1071"/>
      <c r="AE45" s="1071"/>
      <c r="AF45" s="1071"/>
      <c r="AG45" s="1071"/>
      <c r="AH45" s="1071"/>
      <c r="AI45" s="1071"/>
      <c r="AJ45" s="1071"/>
      <c r="AK45" s="1071"/>
      <c r="AL45" s="1071"/>
      <c r="AM45" s="1071"/>
      <c r="AN45" s="1071"/>
      <c r="AO45" s="1071"/>
      <c r="AP45" s="1071"/>
      <c r="AQ45" s="1071"/>
      <c r="AR45" s="1071"/>
      <c r="AS45" s="1071"/>
      <c r="AT45" s="1071"/>
      <c r="AU45" s="1071"/>
      <c r="AV45" s="1071"/>
      <c r="AW45" s="1057"/>
    </row>
    <row r="46">
      <c r="A46" s="122"/>
      <c r="B46" s="123"/>
      <c r="C46" s="143" t="s">
        <v>1049</v>
      </c>
      <c r="F46" s="423"/>
      <c r="G46" s="423"/>
      <c r="H46" s="1070"/>
      <c r="I46" s="1071"/>
      <c r="J46" s="1071"/>
      <c r="K46" s="1071"/>
      <c r="L46" s="1071"/>
      <c r="M46" s="1071"/>
      <c r="N46" s="1071"/>
      <c r="O46" s="1071"/>
      <c r="P46" s="1071"/>
      <c r="Q46" s="1071"/>
      <c r="R46" s="1071"/>
      <c r="S46" s="1071"/>
      <c r="T46" s="1071"/>
      <c r="U46" s="1071"/>
      <c r="V46" s="1071"/>
      <c r="W46" s="1071"/>
      <c r="X46" s="1071"/>
      <c r="Y46" s="1071"/>
      <c r="Z46" s="1071"/>
      <c r="AA46" s="1071"/>
      <c r="AB46" s="1071"/>
      <c r="AC46" s="1071"/>
      <c r="AD46" s="1071"/>
      <c r="AE46" s="1071"/>
      <c r="AF46" s="1071"/>
      <c r="AG46" s="1071"/>
      <c r="AH46" s="1071"/>
      <c r="AI46" s="1071"/>
      <c r="AJ46" s="1071"/>
      <c r="AK46" s="1071"/>
      <c r="AL46" s="1071"/>
      <c r="AM46" s="1071"/>
      <c r="AN46" s="1071"/>
      <c r="AO46" s="1071"/>
      <c r="AP46" s="1071"/>
      <c r="AQ46" s="1071"/>
      <c r="AR46" s="1071"/>
      <c r="AS46" s="1071"/>
      <c r="AT46" s="1071"/>
      <c r="AU46" s="1071"/>
      <c r="AV46" s="1071"/>
      <c r="AW46" s="1057"/>
    </row>
    <row r="47">
      <c r="A47" s="122"/>
      <c r="B47" s="123"/>
      <c r="C47" s="143"/>
      <c r="D47" s="123"/>
      <c r="E47" s="782" t="s">
        <v>1050</v>
      </c>
      <c r="F47" s="193" t="s">
        <v>68</v>
      </c>
      <c r="G47" s="193" t="s">
        <v>165</v>
      </c>
      <c r="H47" s="1059"/>
      <c r="I47" s="1060">
        <f>'Confidence intervals'!F27</f>
        <v>14.57007199</v>
      </c>
      <c r="J47" s="1060">
        <f>'Confidence intervals'!I27</f>
        <v>14.57007199</v>
      </c>
      <c r="K47" s="1060">
        <f>'Confidence intervals'!L27</f>
        <v>14.57007199</v>
      </c>
      <c r="L47" s="1060">
        <f>'Confidence intervals'!O27</f>
        <v>14.57007199</v>
      </c>
      <c r="M47" s="1060">
        <f>'Confidence intervals'!R27</f>
        <v>14.57007199</v>
      </c>
      <c r="N47" s="1060">
        <f>'Confidence intervals'!U27</f>
        <v>14.57007199</v>
      </c>
      <c r="O47" s="1060">
        <f>'Confidence intervals'!X27</f>
        <v>14.57007199</v>
      </c>
      <c r="P47" s="1060">
        <f>'Confidence intervals'!AA27</f>
        <v>14.57007199</v>
      </c>
      <c r="Q47" s="1060">
        <f>'Confidence intervals'!AD27</f>
        <v>14.57007199</v>
      </c>
      <c r="R47" s="1060" t="s">
        <v>162</v>
      </c>
      <c r="S47" s="1060">
        <f>'Confidence intervals'!AG27</f>
        <v>14.57007199</v>
      </c>
      <c r="T47" s="1060" t="s">
        <v>162</v>
      </c>
      <c r="U47" s="1060" t="s">
        <v>162</v>
      </c>
      <c r="V47" s="1060" t="s">
        <v>162</v>
      </c>
      <c r="W47" s="1060" t="s">
        <v>162</v>
      </c>
      <c r="X47" s="1060" t="s">
        <v>162</v>
      </c>
      <c r="Y47" s="1060" t="s">
        <v>162</v>
      </c>
      <c r="Z47" s="1060" t="s">
        <v>162</v>
      </c>
      <c r="AA47" s="1060" t="s">
        <v>162</v>
      </c>
      <c r="AB47" s="1060" t="s">
        <v>162</v>
      </c>
      <c r="AC47" s="1060" t="s">
        <v>162</v>
      </c>
      <c r="AD47" s="1060" t="s">
        <v>162</v>
      </c>
      <c r="AE47" s="1060" t="s">
        <v>162</v>
      </c>
      <c r="AF47" s="1060" t="s">
        <v>162</v>
      </c>
      <c r="AG47" s="1060">
        <f>'Confidence intervals'!AJ27</f>
        <v>14.57007199</v>
      </c>
      <c r="AH47" s="1060" t="s">
        <v>162</v>
      </c>
      <c r="AI47" s="1060" t="s">
        <v>162</v>
      </c>
      <c r="AJ47" s="1060" t="s">
        <v>162</v>
      </c>
      <c r="AK47" s="1060" t="s">
        <v>162</v>
      </c>
      <c r="AL47" s="1060">
        <f>'Confidence intervals'!AM27</f>
        <v>14.57007199</v>
      </c>
      <c r="AM47" s="1060">
        <f>'Confidence intervals'!AP27</f>
        <v>14.57007199</v>
      </c>
      <c r="AN47" s="1060">
        <f>'Confidence intervals'!AS27</f>
        <v>14.57007199</v>
      </c>
      <c r="AO47" s="1060" t="s">
        <v>162</v>
      </c>
      <c r="AP47" s="1060" t="s">
        <v>162</v>
      </c>
      <c r="AQ47" s="1060" t="s">
        <v>162</v>
      </c>
      <c r="AR47" s="1060" t="s">
        <v>162</v>
      </c>
      <c r="AS47" s="1060" t="s">
        <v>162</v>
      </c>
      <c r="AT47" s="1060" t="s">
        <v>162</v>
      </c>
      <c r="AU47" s="1060">
        <f>'Confidence intervals'!AV27</f>
        <v>14.57007199</v>
      </c>
      <c r="AV47" s="1060">
        <f>'Confidence intervals'!AY27</f>
        <v>14.57007199</v>
      </c>
      <c r="AW47" s="1061"/>
    </row>
    <row r="48">
      <c r="A48" s="122"/>
      <c r="B48" s="123"/>
      <c r="C48" s="143"/>
      <c r="D48" s="123"/>
      <c r="E48" s="475" t="s">
        <v>1052</v>
      </c>
      <c r="F48" s="213" t="s">
        <v>72</v>
      </c>
      <c r="G48" s="213" t="s">
        <v>165</v>
      </c>
      <c r="H48" s="240" t="s">
        <v>162</v>
      </c>
      <c r="I48" s="241">
        <f>'Confidence intervals'!F28</f>
        <v>0.692558289</v>
      </c>
      <c r="J48" s="241">
        <f>'Confidence intervals'!I28</f>
        <v>0.7920423145</v>
      </c>
      <c r="K48" s="241">
        <f>'Confidence intervals'!L28</f>
        <v>0.729119993</v>
      </c>
      <c r="L48" s="383">
        <f>'Confidence intervals'!O28</f>
        <v>0.7159752485</v>
      </c>
      <c r="M48" s="241">
        <f>'Confidence intervals'!R28</f>
        <v>0.707456005</v>
      </c>
      <c r="N48" s="241">
        <f>'Confidence intervals'!U28</f>
        <v>0.6483833026</v>
      </c>
      <c r="O48" s="241">
        <f>'Confidence intervals'!X28</f>
        <v>0.5035289776</v>
      </c>
      <c r="P48" s="241">
        <f>'Confidence intervals'!AA28</f>
        <v>0.4108121793</v>
      </c>
      <c r="Q48" s="241">
        <f>'Confidence intervals'!AD28</f>
        <v>0.6355057576</v>
      </c>
      <c r="R48" s="241" t="s">
        <v>162</v>
      </c>
      <c r="S48" s="241">
        <f>'Confidence intervals'!AG28</f>
        <v>0.8998615072</v>
      </c>
      <c r="T48" s="241" t="s">
        <v>162</v>
      </c>
      <c r="U48" s="241" t="s">
        <v>162</v>
      </c>
      <c r="V48" s="241" t="s">
        <v>162</v>
      </c>
      <c r="W48" s="241" t="s">
        <v>162</v>
      </c>
      <c r="X48" s="241" t="s">
        <v>162</v>
      </c>
      <c r="Y48" s="241" t="s">
        <v>162</v>
      </c>
      <c r="Z48" s="241" t="s">
        <v>162</v>
      </c>
      <c r="AA48" s="241" t="s">
        <v>162</v>
      </c>
      <c r="AB48" s="241" t="s">
        <v>162</v>
      </c>
      <c r="AC48" s="241" t="s">
        <v>162</v>
      </c>
      <c r="AD48" s="241" t="s">
        <v>162</v>
      </c>
      <c r="AE48" s="241" t="s">
        <v>162</v>
      </c>
      <c r="AF48" s="241" t="s">
        <v>162</v>
      </c>
      <c r="AG48" s="241">
        <f>'Confidence intervals'!AJ28</f>
        <v>0.8122349476</v>
      </c>
      <c r="AH48" s="241" t="s">
        <v>162</v>
      </c>
      <c r="AI48" s="241" t="s">
        <v>162</v>
      </c>
      <c r="AJ48" s="241" t="s">
        <v>162</v>
      </c>
      <c r="AK48" s="241" t="s">
        <v>162</v>
      </c>
      <c r="AL48" s="241">
        <f>'Confidence intervals'!AM28</f>
        <v>0.7565183762</v>
      </c>
      <c r="AM48" s="383">
        <f>'Confidence intervals'!AP28</f>
        <v>0.7294654957</v>
      </c>
      <c r="AN48" s="383">
        <f>'Confidence intervals'!AS28</f>
        <v>0.8018732483</v>
      </c>
      <c r="AO48" s="241" t="s">
        <v>162</v>
      </c>
      <c r="AP48" s="241" t="s">
        <v>162</v>
      </c>
      <c r="AQ48" s="241" t="s">
        <v>162</v>
      </c>
      <c r="AR48" s="241" t="s">
        <v>162</v>
      </c>
      <c r="AS48" s="241" t="s">
        <v>162</v>
      </c>
      <c r="AT48" s="241" t="s">
        <v>162</v>
      </c>
      <c r="AU48" s="241">
        <f>'Confidence intervals'!AV28</f>
        <v>0.8109773084</v>
      </c>
      <c r="AV48" s="241">
        <f>'Confidence intervals'!AY28</f>
        <v>0.7207371277</v>
      </c>
      <c r="AW48" s="1062"/>
    </row>
    <row r="49">
      <c r="A49" s="122"/>
      <c r="B49" s="123"/>
      <c r="C49" s="143"/>
      <c r="D49" s="123"/>
      <c r="E49" s="475" t="s">
        <v>1079</v>
      </c>
      <c r="F49" s="213" t="s">
        <v>72</v>
      </c>
      <c r="G49" s="213" t="s">
        <v>165</v>
      </c>
      <c r="H49" s="240" t="s">
        <v>162</v>
      </c>
      <c r="I49" s="260">
        <f>'Confidence intervals'!F29</f>
        <v>0.03674776638</v>
      </c>
      <c r="J49" s="260">
        <f>'Confidence intervals'!I29</f>
        <v>0.02729496367</v>
      </c>
      <c r="K49" s="260">
        <f>'Confidence intervals'!L29</f>
        <v>0.04111092574</v>
      </c>
      <c r="L49" s="383">
        <f>'Confidence intervals'!O29</f>
        <v>0.01848611297</v>
      </c>
      <c r="M49" s="260">
        <f>'Confidence intervals'!R29</f>
        <v>0.02601600689</v>
      </c>
      <c r="N49" s="260">
        <f>'Confidence intervals'!U29</f>
        <v>0.02854303973</v>
      </c>
      <c r="O49" s="260">
        <f>'Confidence intervals'!X29</f>
        <v>0.03328681591</v>
      </c>
      <c r="P49" s="260">
        <f>'Confidence intervals'!AA29</f>
        <v>0.04134497694</v>
      </c>
      <c r="Q49" s="260">
        <f>'Confidence intervals'!AD29</f>
        <v>0.05055237122</v>
      </c>
      <c r="R49" s="260" t="s">
        <v>162</v>
      </c>
      <c r="S49" s="260">
        <f>'Confidence intervals'!AG29</f>
        <v>0.02478051421</v>
      </c>
      <c r="T49" s="260" t="s">
        <v>162</v>
      </c>
      <c r="U49" s="260" t="s">
        <v>162</v>
      </c>
      <c r="V49" s="260" t="s">
        <v>162</v>
      </c>
      <c r="W49" s="260" t="s">
        <v>162</v>
      </c>
      <c r="X49" s="260" t="s">
        <v>162</v>
      </c>
      <c r="Y49" s="260" t="s">
        <v>162</v>
      </c>
      <c r="Z49" s="260" t="s">
        <v>162</v>
      </c>
      <c r="AA49" s="260" t="s">
        <v>162</v>
      </c>
      <c r="AB49" s="260" t="s">
        <v>162</v>
      </c>
      <c r="AC49" s="260" t="s">
        <v>162</v>
      </c>
      <c r="AD49" s="260" t="s">
        <v>162</v>
      </c>
      <c r="AE49" s="260" t="s">
        <v>162</v>
      </c>
      <c r="AF49" s="260" t="s">
        <v>162</v>
      </c>
      <c r="AG49" s="260">
        <f>'Confidence intervals'!AJ29</f>
        <v>0.01848611297</v>
      </c>
      <c r="AH49" s="260" t="s">
        <v>162</v>
      </c>
      <c r="AI49" s="260" t="s">
        <v>162</v>
      </c>
      <c r="AJ49" s="260" t="s">
        <v>162</v>
      </c>
      <c r="AK49" s="260" t="s">
        <v>162</v>
      </c>
      <c r="AL49" s="260">
        <f>'Confidence intervals'!AM29</f>
        <v>0.01624327668</v>
      </c>
      <c r="AM49" s="237">
        <f>'Confidence intervals'!AP29</f>
        <v>0.01624327668</v>
      </c>
      <c r="AN49" s="237">
        <f>'Confidence intervals'!AS29</f>
        <v>0.01624327668</v>
      </c>
      <c r="AO49" s="260" t="s">
        <v>162</v>
      </c>
      <c r="AP49" s="260" t="s">
        <v>162</v>
      </c>
      <c r="AQ49" s="260" t="s">
        <v>162</v>
      </c>
      <c r="AR49" s="260" t="s">
        <v>162</v>
      </c>
      <c r="AS49" s="260" t="s">
        <v>162</v>
      </c>
      <c r="AT49" s="260" t="s">
        <v>162</v>
      </c>
      <c r="AU49" s="260">
        <f>'Confidence intervals'!AV29</f>
        <v>0.02666786588</v>
      </c>
      <c r="AV49" s="260">
        <f>'Confidence intervals'!AY29</f>
        <v>0.02432191935</v>
      </c>
      <c r="AW49" s="1062"/>
    </row>
    <row r="50">
      <c r="A50" s="122"/>
      <c r="B50" s="123"/>
      <c r="C50" s="143"/>
      <c r="D50" s="123"/>
      <c r="E50" s="792" t="s">
        <v>1055</v>
      </c>
      <c r="F50" s="200" t="s">
        <v>72</v>
      </c>
      <c r="G50" s="200" t="s">
        <v>165</v>
      </c>
      <c r="H50" s="228" t="s">
        <v>162</v>
      </c>
      <c r="I50" s="385">
        <f>'Confidence intervals'!F30</f>
        <v>0.4180448395</v>
      </c>
      <c r="J50" s="385">
        <f>'Confidence intervals'!I30</f>
        <v>0.4219071499</v>
      </c>
      <c r="K50" s="385">
        <f>'Confidence intervals'!L30</f>
        <v>0.4406740009</v>
      </c>
      <c r="L50" s="407">
        <f>'Confidence intervals'!O30</f>
        <v>0.4349696419</v>
      </c>
      <c r="M50" s="385">
        <f>'Confidence intervals'!R30</f>
        <v>0.4127624751</v>
      </c>
      <c r="N50" s="385">
        <f>'Confidence intervals'!U30</f>
        <v>0.436657667</v>
      </c>
      <c r="O50" s="385">
        <f>'Confidence intervals'!X30</f>
        <v>0.4465951619</v>
      </c>
      <c r="P50" s="385">
        <f>'Confidence intervals'!AA30</f>
        <v>0.4240096179</v>
      </c>
      <c r="Q50" s="385">
        <f>'Confidence intervals'!AD30</f>
        <v>0.4356937212</v>
      </c>
      <c r="R50" s="385" t="s">
        <v>162</v>
      </c>
      <c r="S50" s="385">
        <f>'Confidence intervals'!AG30</f>
        <v>0.4116105761</v>
      </c>
      <c r="T50" s="385" t="s">
        <v>162</v>
      </c>
      <c r="U50" s="385" t="s">
        <v>162</v>
      </c>
      <c r="V50" s="385" t="s">
        <v>162</v>
      </c>
      <c r="W50" s="385" t="s">
        <v>162</v>
      </c>
      <c r="X50" s="385" t="s">
        <v>162</v>
      </c>
      <c r="Y50" s="385" t="s">
        <v>162</v>
      </c>
      <c r="Z50" s="385" t="s">
        <v>162</v>
      </c>
      <c r="AA50" s="385" t="s">
        <v>162</v>
      </c>
      <c r="AB50" s="385" t="s">
        <v>162</v>
      </c>
      <c r="AC50" s="385" t="s">
        <v>162</v>
      </c>
      <c r="AD50" s="385" t="s">
        <v>162</v>
      </c>
      <c r="AE50" s="385" t="s">
        <v>162</v>
      </c>
      <c r="AF50" s="385" t="s">
        <v>162</v>
      </c>
      <c r="AG50" s="385">
        <f>'Confidence intervals'!AJ30</f>
        <v>0.4349696419</v>
      </c>
      <c r="AH50" s="385" t="s">
        <v>162</v>
      </c>
      <c r="AI50" s="385" t="s">
        <v>162</v>
      </c>
      <c r="AJ50" s="385" t="s">
        <v>162</v>
      </c>
      <c r="AK50" s="385" t="s">
        <v>162</v>
      </c>
      <c r="AL50" s="385">
        <f>'Confidence intervals'!AM30</f>
        <v>0.4242347904</v>
      </c>
      <c r="AM50" s="385">
        <f>'Confidence intervals'!AP30</f>
        <v>0.4242347904</v>
      </c>
      <c r="AN50" s="385">
        <f>'Confidence intervals'!AS30</f>
        <v>0.4242347904</v>
      </c>
      <c r="AO50" s="385" t="s">
        <v>162</v>
      </c>
      <c r="AP50" s="385" t="s">
        <v>162</v>
      </c>
      <c r="AQ50" s="385" t="s">
        <v>162</v>
      </c>
      <c r="AR50" s="385" t="s">
        <v>162</v>
      </c>
      <c r="AS50" s="385" t="s">
        <v>162</v>
      </c>
      <c r="AT50" s="385" t="s">
        <v>162</v>
      </c>
      <c r="AU50" s="385">
        <f>'Confidence intervals'!AV30</f>
        <v>0.4130661535</v>
      </c>
      <c r="AV50" s="385">
        <f>'Confidence intervals'!AY30</f>
        <v>0.4577481956</v>
      </c>
      <c r="AW50" s="1063"/>
    </row>
    <row r="51">
      <c r="A51" s="122"/>
      <c r="B51" s="123"/>
      <c r="C51" s="143"/>
      <c r="D51" s="123"/>
      <c r="E51" s="853"/>
      <c r="F51" s="423"/>
      <c r="G51" s="423"/>
      <c r="H51" s="1070"/>
      <c r="I51" s="1071" t="str">
        <f>'Confidence intervals'!F31</f>
        <v/>
      </c>
      <c r="J51" s="1071" t="str">
        <f>'Confidence intervals'!I31</f>
        <v/>
      </c>
      <c r="K51" s="1071" t="str">
        <f>'Confidence intervals'!L31</f>
        <v/>
      </c>
      <c r="L51" s="1071"/>
      <c r="M51" s="1071" t="str">
        <f>'Confidence intervals'!R31</f>
        <v/>
      </c>
      <c r="N51" s="1071" t="str">
        <f>'Confidence intervals'!U31</f>
        <v/>
      </c>
      <c r="O51" s="1071" t="str">
        <f>'Confidence intervals'!X31</f>
        <v/>
      </c>
      <c r="P51" s="1071" t="str">
        <f>'Confidence intervals'!AA31</f>
        <v/>
      </c>
      <c r="Q51" s="1071" t="str">
        <f>'Confidence intervals'!AD31</f>
        <v/>
      </c>
      <c r="R51" s="1071"/>
      <c r="S51" s="1071"/>
      <c r="T51" s="1071"/>
      <c r="U51" s="1071"/>
      <c r="V51" s="1071"/>
      <c r="W51" s="1071"/>
      <c r="X51" s="1071"/>
      <c r="Y51" s="1071"/>
      <c r="Z51" s="1071"/>
      <c r="AA51" s="1071"/>
      <c r="AB51" s="1071"/>
      <c r="AC51" s="1071"/>
      <c r="AD51" s="1071"/>
      <c r="AE51" s="1071"/>
      <c r="AF51" s="1071"/>
      <c r="AG51" s="1071"/>
      <c r="AH51" s="1071"/>
      <c r="AI51" s="1071"/>
      <c r="AJ51" s="1071"/>
      <c r="AK51" s="1071"/>
      <c r="AL51" s="1071"/>
      <c r="AM51" s="1071"/>
      <c r="AN51" s="1071"/>
      <c r="AO51" s="1071"/>
      <c r="AP51" s="1071"/>
      <c r="AQ51" s="1071"/>
      <c r="AR51" s="1071"/>
      <c r="AS51" s="1071"/>
      <c r="AT51" s="1071"/>
      <c r="AU51" s="1071"/>
      <c r="AV51" s="1071"/>
      <c r="AW51" s="1057"/>
    </row>
    <row r="52">
      <c r="A52" s="122"/>
      <c r="B52" s="123"/>
      <c r="C52" s="143" t="s">
        <v>1061</v>
      </c>
      <c r="F52" s="423"/>
      <c r="G52" s="423"/>
      <c r="H52" s="1070"/>
      <c r="I52" s="1071" t="str">
        <f>'Confidence intervals'!F32</f>
        <v/>
      </c>
      <c r="J52" s="1071" t="str">
        <f>'Confidence intervals'!I32</f>
        <v/>
      </c>
      <c r="K52" s="1071" t="str">
        <f>'Confidence intervals'!L32</f>
        <v/>
      </c>
      <c r="L52" s="1071"/>
      <c r="M52" s="1071" t="str">
        <f>'Confidence intervals'!R32</f>
        <v/>
      </c>
      <c r="N52" s="1071" t="str">
        <f>'Confidence intervals'!U32</f>
        <v/>
      </c>
      <c r="O52" s="1071" t="str">
        <f>'Confidence intervals'!X32</f>
        <v/>
      </c>
      <c r="P52" s="1071" t="str">
        <f>'Confidence intervals'!AA32</f>
        <v/>
      </c>
      <c r="Q52" s="1071" t="str">
        <f>'Confidence intervals'!AD32</f>
        <v/>
      </c>
      <c r="R52" s="1071"/>
      <c r="S52" s="1071"/>
      <c r="T52" s="1071"/>
      <c r="U52" s="1071"/>
      <c r="V52" s="1071"/>
      <c r="W52" s="1071"/>
      <c r="X52" s="1071"/>
      <c r="Y52" s="1071"/>
      <c r="Z52" s="1071"/>
      <c r="AA52" s="1071"/>
      <c r="AB52" s="1071"/>
      <c r="AC52" s="1071"/>
      <c r="AD52" s="1071"/>
      <c r="AE52" s="1071"/>
      <c r="AF52" s="1071"/>
      <c r="AG52" s="1071"/>
      <c r="AH52" s="1071"/>
      <c r="AI52" s="1071"/>
      <c r="AJ52" s="1071"/>
      <c r="AK52" s="1071"/>
      <c r="AL52" s="1071"/>
      <c r="AM52" s="1071"/>
      <c r="AN52" s="1071"/>
      <c r="AO52" s="1071"/>
      <c r="AP52" s="1071"/>
      <c r="AQ52" s="1071"/>
      <c r="AR52" s="1071"/>
      <c r="AS52" s="1071"/>
      <c r="AT52" s="1071"/>
      <c r="AU52" s="1071"/>
      <c r="AV52" s="1071"/>
      <c r="AW52" s="1057"/>
    </row>
    <row r="53">
      <c r="A53" s="122"/>
      <c r="B53" s="123"/>
      <c r="C53" s="143"/>
      <c r="D53" s="123"/>
      <c r="E53" s="782" t="s">
        <v>1080</v>
      </c>
      <c r="F53" s="193" t="s">
        <v>72</v>
      </c>
      <c r="G53" s="193" t="s">
        <v>165</v>
      </c>
      <c r="H53" s="236" t="s">
        <v>162</v>
      </c>
      <c r="I53" s="1067">
        <f>'Confidence intervals'!F33</f>
        <v>0.07312254183</v>
      </c>
      <c r="J53" s="1067">
        <f>'Confidence intervals'!I33</f>
        <v>0.06732902998</v>
      </c>
      <c r="K53" s="1067">
        <f>'Confidence intervals'!L33</f>
        <v>0.066644687</v>
      </c>
      <c r="L53" s="1067">
        <f>'Confidence intervals'!O33</f>
        <v>0.06591725601</v>
      </c>
      <c r="M53" s="1067">
        <f>'Confidence intervals'!R33</f>
        <v>0.06435204177</v>
      </c>
      <c r="N53" s="1067">
        <f>'Confidence intervals'!U33</f>
        <v>0.07933162945</v>
      </c>
      <c r="O53" s="1067">
        <f>'Confidence intervals'!X33</f>
        <v>0.07697334302</v>
      </c>
      <c r="P53" s="1067">
        <f>'Confidence intervals'!AA33</f>
        <v>0.07899231083</v>
      </c>
      <c r="Q53" s="1067">
        <f>'Confidence intervals'!AD33</f>
        <v>0.06560207696</v>
      </c>
      <c r="R53" s="1067" t="s">
        <v>162</v>
      </c>
      <c r="S53" s="1067">
        <f>'Confidence intervals'!AG33</f>
        <v>0.06466227868</v>
      </c>
      <c r="T53" s="1067" t="s">
        <v>162</v>
      </c>
      <c r="U53" s="1067" t="s">
        <v>162</v>
      </c>
      <c r="V53" s="1067" t="s">
        <v>162</v>
      </c>
      <c r="W53" s="1067" t="s">
        <v>162</v>
      </c>
      <c r="X53" s="1067" t="s">
        <v>162</v>
      </c>
      <c r="Y53" s="1067" t="s">
        <v>162</v>
      </c>
      <c r="Z53" s="1067" t="s">
        <v>162</v>
      </c>
      <c r="AA53" s="1067" t="s">
        <v>162</v>
      </c>
      <c r="AB53" s="1067" t="s">
        <v>162</v>
      </c>
      <c r="AC53" s="1067" t="s">
        <v>162</v>
      </c>
      <c r="AD53" s="1067" t="s">
        <v>162</v>
      </c>
      <c r="AE53" s="1067" t="s">
        <v>162</v>
      </c>
      <c r="AF53" s="1067" t="s">
        <v>162</v>
      </c>
      <c r="AG53" s="1067">
        <f>'Confidence intervals'!AJ33</f>
        <v>0.06591725601</v>
      </c>
      <c r="AH53" s="1067" t="s">
        <v>162</v>
      </c>
      <c r="AI53" s="1067" t="s">
        <v>162</v>
      </c>
      <c r="AJ53" s="1067" t="s">
        <v>162</v>
      </c>
      <c r="AK53" s="1067" t="s">
        <v>162</v>
      </c>
      <c r="AL53" s="1067">
        <f>'Confidence intervals'!AM33</f>
        <v>0.09392417671</v>
      </c>
      <c r="AM53" s="1067">
        <f>'Confidence intervals'!AP33</f>
        <v>0.09392417671</v>
      </c>
      <c r="AN53" s="1067">
        <f>'Confidence intervals'!AS33</f>
        <v>0.09392417671</v>
      </c>
      <c r="AO53" s="1067" t="s">
        <v>162</v>
      </c>
      <c r="AP53" s="1067" t="s">
        <v>162</v>
      </c>
      <c r="AQ53" s="1067" t="s">
        <v>162</v>
      </c>
      <c r="AR53" s="1067" t="s">
        <v>162</v>
      </c>
      <c r="AS53" s="1067" t="s">
        <v>162</v>
      </c>
      <c r="AT53" s="1067" t="s">
        <v>162</v>
      </c>
      <c r="AU53" s="1067">
        <f>'Confidence intervals'!AV33</f>
        <v>0.06614720596</v>
      </c>
      <c r="AV53" s="1067">
        <f>'Confidence intervals'!AY33</f>
        <v>0.08749394037</v>
      </c>
      <c r="AW53" s="1061"/>
    </row>
    <row r="54">
      <c r="A54" s="122"/>
      <c r="B54" s="123"/>
      <c r="C54" s="143"/>
      <c r="D54" s="123"/>
      <c r="E54" s="475" t="s">
        <v>1063</v>
      </c>
      <c r="F54" s="213" t="s">
        <v>72</v>
      </c>
      <c r="G54" s="213" t="s">
        <v>165</v>
      </c>
      <c r="H54" s="240" t="s">
        <v>162</v>
      </c>
      <c r="I54" s="1068">
        <f>'Confidence intervals'!F34</f>
        <v>0</v>
      </c>
      <c r="J54" s="1068">
        <f>'Confidence intervals'!I34</f>
        <v>0</v>
      </c>
      <c r="K54" s="1068">
        <f>'Confidence intervals'!L34</f>
        <v>0</v>
      </c>
      <c r="L54" s="1067">
        <f>'Confidence intervals'!O34</f>
        <v>0</v>
      </c>
      <c r="M54" s="1068">
        <f>'Confidence intervals'!R34</f>
        <v>0</v>
      </c>
      <c r="N54" s="1068">
        <f>'Confidence intervals'!U34</f>
        <v>0</v>
      </c>
      <c r="O54" s="1068">
        <f>'Confidence intervals'!X34</f>
        <v>0</v>
      </c>
      <c r="P54" s="1068">
        <f>'Confidence intervals'!AA34</f>
        <v>0</v>
      </c>
      <c r="Q54" s="1068">
        <f>'Confidence intervals'!AD34</f>
        <v>0</v>
      </c>
      <c r="R54" s="1068" t="s">
        <v>162</v>
      </c>
      <c r="S54" s="1068">
        <f>'Confidence intervals'!AG34</f>
        <v>0</v>
      </c>
      <c r="T54" s="1068" t="s">
        <v>162</v>
      </c>
      <c r="U54" s="1068" t="s">
        <v>162</v>
      </c>
      <c r="V54" s="1068" t="s">
        <v>162</v>
      </c>
      <c r="W54" s="1068" t="s">
        <v>162</v>
      </c>
      <c r="X54" s="1068" t="s">
        <v>162</v>
      </c>
      <c r="Y54" s="1068" t="s">
        <v>162</v>
      </c>
      <c r="Z54" s="1068" t="s">
        <v>162</v>
      </c>
      <c r="AA54" s="1068" t="s">
        <v>162</v>
      </c>
      <c r="AB54" s="1068" t="s">
        <v>162</v>
      </c>
      <c r="AC54" s="1068" t="s">
        <v>162</v>
      </c>
      <c r="AD54" s="1068" t="s">
        <v>162</v>
      </c>
      <c r="AE54" s="1068" t="s">
        <v>162</v>
      </c>
      <c r="AF54" s="1068" t="s">
        <v>162</v>
      </c>
      <c r="AG54" s="1068">
        <f>'Confidence intervals'!AJ34</f>
        <v>0</v>
      </c>
      <c r="AH54" s="1068" t="s">
        <v>162</v>
      </c>
      <c r="AI54" s="1068" t="s">
        <v>162</v>
      </c>
      <c r="AJ54" s="1068" t="s">
        <v>162</v>
      </c>
      <c r="AK54" s="1068" t="s">
        <v>162</v>
      </c>
      <c r="AL54" s="1068">
        <f>'Confidence intervals'!AM34</f>
        <v>0</v>
      </c>
      <c r="AM54" s="1068">
        <f>'Confidence intervals'!AP34</f>
        <v>0</v>
      </c>
      <c r="AN54" s="1068">
        <f>'Confidence intervals'!AS34</f>
        <v>0</v>
      </c>
      <c r="AO54" s="1068" t="s">
        <v>162</v>
      </c>
      <c r="AP54" s="1068" t="s">
        <v>162</v>
      </c>
      <c r="AQ54" s="1068" t="s">
        <v>162</v>
      </c>
      <c r="AR54" s="1068" t="s">
        <v>162</v>
      </c>
      <c r="AS54" s="1068" t="s">
        <v>162</v>
      </c>
      <c r="AT54" s="1068" t="s">
        <v>162</v>
      </c>
      <c r="AU54" s="1068">
        <f>'Confidence intervals'!AV34</f>
        <v>0</v>
      </c>
      <c r="AV54" s="1068">
        <f>'Confidence intervals'!AY34</f>
        <v>0</v>
      </c>
      <c r="AW54" s="1062"/>
    </row>
    <row r="55">
      <c r="A55" s="122"/>
      <c r="B55" s="123"/>
      <c r="C55" s="143"/>
      <c r="D55" s="123"/>
      <c r="E55" s="792" t="s">
        <v>1064</v>
      </c>
      <c r="F55" s="200" t="s">
        <v>72</v>
      </c>
      <c r="G55" s="200" t="s">
        <v>165</v>
      </c>
      <c r="H55" s="228" t="s">
        <v>162</v>
      </c>
      <c r="I55" s="1069">
        <f>'Confidence intervals'!F35</f>
        <v>0.02337739471</v>
      </c>
      <c r="J55" s="1069">
        <f>'Confidence intervals'!I35</f>
        <v>0.04865572952</v>
      </c>
      <c r="K55" s="1069">
        <f>'Confidence intervals'!L35</f>
        <v>0.02612396193</v>
      </c>
      <c r="L55" s="1082">
        <f>'Confidence intervals'!O35</f>
        <v>0.05313191965</v>
      </c>
      <c r="M55" s="1069">
        <f>'Confidence intervals'!R35</f>
        <v>0.03749718347</v>
      </c>
      <c r="N55" s="1069">
        <f>'Confidence intervals'!U35</f>
        <v>0.02784526551</v>
      </c>
      <c r="O55" s="1069">
        <f>'Confidence intervals'!X35</f>
        <v>0.0158298015</v>
      </c>
      <c r="P55" s="1069">
        <f>'Confidence intervals'!AA35</f>
        <v>0.0119028822</v>
      </c>
      <c r="Q55" s="1069">
        <f>'Confidence intervals'!AD35</f>
        <v>0.01488332683</v>
      </c>
      <c r="R55" s="1069" t="s">
        <v>162</v>
      </c>
      <c r="S55" s="1069">
        <f>'Confidence intervals'!AG35</f>
        <v>0.1255671332</v>
      </c>
      <c r="T55" s="1069" t="s">
        <v>162</v>
      </c>
      <c r="U55" s="1069" t="s">
        <v>162</v>
      </c>
      <c r="V55" s="1069" t="s">
        <v>162</v>
      </c>
      <c r="W55" s="1069" t="s">
        <v>162</v>
      </c>
      <c r="X55" s="1069" t="s">
        <v>162</v>
      </c>
      <c r="Y55" s="1069" t="s">
        <v>162</v>
      </c>
      <c r="Z55" s="1069" t="s">
        <v>162</v>
      </c>
      <c r="AA55" s="1069" t="s">
        <v>162</v>
      </c>
      <c r="AB55" s="1069" t="s">
        <v>162</v>
      </c>
      <c r="AC55" s="1069" t="s">
        <v>162</v>
      </c>
      <c r="AD55" s="1069" t="s">
        <v>162</v>
      </c>
      <c r="AE55" s="1069" t="s">
        <v>162</v>
      </c>
      <c r="AF55" s="1069" t="s">
        <v>162</v>
      </c>
      <c r="AG55" s="1069">
        <f>'Confidence intervals'!AJ35</f>
        <v>0.08590975588</v>
      </c>
      <c r="AH55" s="1069" t="s">
        <v>162</v>
      </c>
      <c r="AI55" s="1069" t="s">
        <v>162</v>
      </c>
      <c r="AJ55" s="1069" t="s">
        <v>162</v>
      </c>
      <c r="AK55" s="1069" t="s">
        <v>162</v>
      </c>
      <c r="AL55" s="1069">
        <f>'Confidence intervals'!AM35</f>
        <v>0.05843142252</v>
      </c>
      <c r="AM55" s="1069">
        <f>'Confidence intervals'!AP35</f>
        <v>0.04916210606</v>
      </c>
      <c r="AN55" s="1069">
        <f>'Confidence intervals'!AS35</f>
        <v>0.08543883542</v>
      </c>
      <c r="AO55" s="1069" t="s">
        <v>162</v>
      </c>
      <c r="AP55" s="1069" t="s">
        <v>162</v>
      </c>
      <c r="AQ55" s="1069" t="s">
        <v>162</v>
      </c>
      <c r="AR55" s="1069" t="s">
        <v>162</v>
      </c>
      <c r="AS55" s="1069" t="s">
        <v>162</v>
      </c>
      <c r="AT55" s="1069" t="s">
        <v>162</v>
      </c>
      <c r="AU55" s="1069">
        <f>'Confidence intervals'!AV35</f>
        <v>0.06185650014</v>
      </c>
      <c r="AV55" s="1069">
        <f>'Confidence intervals'!AY35</f>
        <v>0.03831854647</v>
      </c>
      <c r="AW55" s="1063"/>
    </row>
    <row r="56">
      <c r="A56" s="122"/>
      <c r="B56" s="123"/>
      <c r="C56" s="143"/>
      <c r="D56" s="123"/>
      <c r="E56" s="853"/>
      <c r="F56" s="423"/>
      <c r="G56" s="423"/>
      <c r="H56" s="1070"/>
      <c r="I56" s="1071" t="str">
        <f>'Confidence intervals'!F36</f>
        <v/>
      </c>
      <c r="J56" s="1071" t="str">
        <f>'Confidence intervals'!I36</f>
        <v/>
      </c>
      <c r="K56" s="1071" t="str">
        <f>'Confidence intervals'!L36</f>
        <v/>
      </c>
      <c r="L56" s="1071"/>
      <c r="M56" s="1071" t="str">
        <f>'Confidence intervals'!R36</f>
        <v/>
      </c>
      <c r="N56" s="1071" t="str">
        <f>'Confidence intervals'!U36</f>
        <v/>
      </c>
      <c r="O56" s="1071" t="str">
        <f>'Confidence intervals'!X36</f>
        <v/>
      </c>
      <c r="P56" s="1071" t="str">
        <f>'Confidence intervals'!AA36</f>
        <v/>
      </c>
      <c r="Q56" s="1071" t="str">
        <f>'Confidence intervals'!AD36</f>
        <v/>
      </c>
      <c r="R56" s="1071" t="s">
        <v>162</v>
      </c>
      <c r="S56" s="1071" t="str">
        <f>'Confidence intervals'!AG36</f>
        <v/>
      </c>
      <c r="T56" s="1071" t="s">
        <v>162</v>
      </c>
      <c r="U56" s="1071" t="s">
        <v>162</v>
      </c>
      <c r="V56" s="1071" t="s">
        <v>162</v>
      </c>
      <c r="W56" s="1071" t="s">
        <v>162</v>
      </c>
      <c r="X56" s="1071" t="s">
        <v>162</v>
      </c>
      <c r="Y56" s="1071" t="s">
        <v>162</v>
      </c>
      <c r="Z56" s="1071" t="s">
        <v>162</v>
      </c>
      <c r="AA56" s="1071" t="s">
        <v>162</v>
      </c>
      <c r="AB56" s="1071" t="s">
        <v>162</v>
      </c>
      <c r="AC56" s="1071" t="s">
        <v>162</v>
      </c>
      <c r="AD56" s="1071" t="s">
        <v>162</v>
      </c>
      <c r="AE56" s="1071" t="s">
        <v>162</v>
      </c>
      <c r="AF56" s="1071" t="s">
        <v>162</v>
      </c>
      <c r="AG56" s="1071" t="str">
        <f>'Confidence intervals'!AJ36</f>
        <v/>
      </c>
      <c r="AH56" s="1071" t="s">
        <v>162</v>
      </c>
      <c r="AI56" s="1071" t="s">
        <v>162</v>
      </c>
      <c r="AJ56" s="1071" t="s">
        <v>162</v>
      </c>
      <c r="AK56" s="1071" t="s">
        <v>162</v>
      </c>
      <c r="AL56" s="1071" t="str">
        <f>'Confidence intervals'!AM36</f>
        <v/>
      </c>
      <c r="AM56" s="1071"/>
      <c r="AN56" s="1071"/>
      <c r="AO56" s="1071" t="s">
        <v>162</v>
      </c>
      <c r="AP56" s="1071" t="s">
        <v>162</v>
      </c>
      <c r="AQ56" s="1071" t="s">
        <v>162</v>
      </c>
      <c r="AR56" s="1071" t="s">
        <v>162</v>
      </c>
      <c r="AS56" s="1071" t="s">
        <v>162</v>
      </c>
      <c r="AT56" s="1071" t="s">
        <v>162</v>
      </c>
      <c r="AU56" s="1071" t="str">
        <f>'Confidence intervals'!AV36</f>
        <v/>
      </c>
      <c r="AV56" s="1071" t="str">
        <f>'Confidence intervals'!AY36</f>
        <v/>
      </c>
      <c r="AW56" s="1057"/>
    </row>
    <row r="57">
      <c r="A57" s="122"/>
      <c r="B57" s="123"/>
      <c r="C57" s="143" t="s">
        <v>1070</v>
      </c>
      <c r="F57" s="423"/>
      <c r="G57" s="423"/>
      <c r="H57" s="1070"/>
      <c r="I57" s="1071" t="str">
        <f>'Confidence intervals'!F37</f>
        <v/>
      </c>
      <c r="J57" s="1071" t="str">
        <f>'Confidence intervals'!I37</f>
        <v/>
      </c>
      <c r="K57" s="1071" t="str">
        <f>'Confidence intervals'!L37</f>
        <v/>
      </c>
      <c r="L57" s="1071"/>
      <c r="M57" s="1071" t="str">
        <f>'Confidence intervals'!R37</f>
        <v/>
      </c>
      <c r="N57" s="1071" t="str">
        <f>'Confidence intervals'!U37</f>
        <v/>
      </c>
      <c r="O57" s="1071" t="str">
        <f>'Confidence intervals'!X37</f>
        <v/>
      </c>
      <c r="P57" s="1071" t="str">
        <f>'Confidence intervals'!AA37</f>
        <v/>
      </c>
      <c r="Q57" s="1071" t="str">
        <f>'Confidence intervals'!AD37</f>
        <v/>
      </c>
      <c r="R57" s="1071" t="s">
        <v>162</v>
      </c>
      <c r="S57" s="1071" t="str">
        <f>'Confidence intervals'!AG37</f>
        <v/>
      </c>
      <c r="T57" s="1071" t="s">
        <v>162</v>
      </c>
      <c r="U57" s="1071" t="s">
        <v>162</v>
      </c>
      <c r="V57" s="1071" t="s">
        <v>162</v>
      </c>
      <c r="W57" s="1071" t="s">
        <v>162</v>
      </c>
      <c r="X57" s="1071" t="s">
        <v>162</v>
      </c>
      <c r="Y57" s="1071" t="s">
        <v>162</v>
      </c>
      <c r="Z57" s="1071" t="s">
        <v>162</v>
      </c>
      <c r="AA57" s="1071" t="s">
        <v>162</v>
      </c>
      <c r="AB57" s="1071" t="s">
        <v>162</v>
      </c>
      <c r="AC57" s="1071" t="s">
        <v>162</v>
      </c>
      <c r="AD57" s="1071" t="s">
        <v>162</v>
      </c>
      <c r="AE57" s="1071" t="s">
        <v>162</v>
      </c>
      <c r="AF57" s="1071" t="s">
        <v>162</v>
      </c>
      <c r="AG57" s="1071" t="str">
        <f>'Confidence intervals'!AJ37</f>
        <v/>
      </c>
      <c r="AH57" s="1071" t="s">
        <v>162</v>
      </c>
      <c r="AI57" s="1071" t="s">
        <v>162</v>
      </c>
      <c r="AJ57" s="1071" t="s">
        <v>162</v>
      </c>
      <c r="AK57" s="1071" t="s">
        <v>162</v>
      </c>
      <c r="AL57" s="1071" t="str">
        <f>'Confidence intervals'!AM37</f>
        <v/>
      </c>
      <c r="AM57" s="1071"/>
      <c r="AN57" s="1071"/>
      <c r="AO57" s="1071" t="s">
        <v>162</v>
      </c>
      <c r="AP57" s="1071" t="s">
        <v>162</v>
      </c>
      <c r="AQ57" s="1071" t="s">
        <v>162</v>
      </c>
      <c r="AR57" s="1071" t="s">
        <v>162</v>
      </c>
      <c r="AS57" s="1071" t="s">
        <v>162</v>
      </c>
      <c r="AT57" s="1071" t="s">
        <v>162</v>
      </c>
      <c r="AU57" s="1071" t="str">
        <f>'Confidence intervals'!AV37</f>
        <v/>
      </c>
      <c r="AV57" s="1071" t="str">
        <f>'Confidence intervals'!AY37</f>
        <v/>
      </c>
      <c r="AW57" s="1057"/>
    </row>
    <row r="58">
      <c r="A58" s="122"/>
      <c r="B58" s="123"/>
      <c r="C58" s="143"/>
      <c r="D58" s="123"/>
      <c r="E58" s="782" t="s">
        <v>1071</v>
      </c>
      <c r="F58" s="193" t="s">
        <v>72</v>
      </c>
      <c r="G58" s="193" t="s">
        <v>165</v>
      </c>
      <c r="H58" s="236" t="s">
        <v>162</v>
      </c>
      <c r="I58" s="383">
        <f>'Confidence intervals'!F38</f>
        <v>0.22635</v>
      </c>
      <c r="J58" s="383">
        <f>'Confidence intervals'!I38</f>
        <v>0.22635</v>
      </c>
      <c r="K58" s="383">
        <f>'Confidence intervals'!L38</f>
        <v>0.22635</v>
      </c>
      <c r="L58" s="383">
        <f>'Confidence intervals'!O38</f>
        <v>0.22635</v>
      </c>
      <c r="M58" s="383">
        <f>'Confidence intervals'!R38</f>
        <v>0.22635</v>
      </c>
      <c r="N58" s="383">
        <f>'Confidence intervals'!U38</f>
        <v>0.22635</v>
      </c>
      <c r="O58" s="383">
        <f>'Confidence intervals'!X38</f>
        <v>0.22635</v>
      </c>
      <c r="P58" s="383">
        <f>'Confidence intervals'!AA38</f>
        <v>0.22635</v>
      </c>
      <c r="Q58" s="383">
        <f>'Confidence intervals'!AD38</f>
        <v>0.22635</v>
      </c>
      <c r="R58" s="383" t="s">
        <v>162</v>
      </c>
      <c r="S58" s="383">
        <f>'Confidence intervals'!AG38</f>
        <v>0.14235</v>
      </c>
      <c r="T58" s="383" t="s">
        <v>162</v>
      </c>
      <c r="U58" s="383" t="s">
        <v>162</v>
      </c>
      <c r="V58" s="383" t="s">
        <v>162</v>
      </c>
      <c r="W58" s="383" t="s">
        <v>162</v>
      </c>
      <c r="X58" s="383" t="s">
        <v>162</v>
      </c>
      <c r="Y58" s="383" t="s">
        <v>162</v>
      </c>
      <c r="Z58" s="383" t="s">
        <v>162</v>
      </c>
      <c r="AA58" s="383" t="s">
        <v>162</v>
      </c>
      <c r="AB58" s="383" t="s">
        <v>162</v>
      </c>
      <c r="AC58" s="383" t="s">
        <v>162</v>
      </c>
      <c r="AD58" s="383" t="s">
        <v>162</v>
      </c>
      <c r="AE58" s="383" t="s">
        <v>162</v>
      </c>
      <c r="AF58" s="383" t="s">
        <v>162</v>
      </c>
      <c r="AG58" s="383">
        <f>'Confidence intervals'!AJ38</f>
        <v>0.14235</v>
      </c>
      <c r="AH58" s="383" t="s">
        <v>162</v>
      </c>
      <c r="AI58" s="383" t="s">
        <v>162</v>
      </c>
      <c r="AJ58" s="383" t="s">
        <v>162</v>
      </c>
      <c r="AK58" s="383" t="s">
        <v>162</v>
      </c>
      <c r="AL58" s="383">
        <f>'Confidence intervals'!AM38</f>
        <v>0.15885</v>
      </c>
      <c r="AM58" s="383">
        <f>'Confidence intervals'!AP38</f>
        <v>0.17685</v>
      </c>
      <c r="AN58" s="383">
        <f>'Confidence intervals'!AS38</f>
        <v>0.14235</v>
      </c>
      <c r="AO58" s="383" t="s">
        <v>162</v>
      </c>
      <c r="AP58" s="383" t="s">
        <v>162</v>
      </c>
      <c r="AQ58" s="383" t="s">
        <v>162</v>
      </c>
      <c r="AR58" s="383" t="s">
        <v>162</v>
      </c>
      <c r="AS58" s="383" t="s">
        <v>162</v>
      </c>
      <c r="AT58" s="383" t="s">
        <v>162</v>
      </c>
      <c r="AU58" s="383">
        <f>'Confidence intervals'!AV38</f>
        <v>0.09135</v>
      </c>
      <c r="AV58" s="383">
        <f>'Confidence intervals'!AY38</f>
        <v>0.17685</v>
      </c>
      <c r="AW58" s="1061"/>
    </row>
    <row r="59">
      <c r="A59" s="122"/>
      <c r="B59" s="123"/>
      <c r="C59" s="143"/>
      <c r="D59" s="123"/>
      <c r="E59" s="475" t="s">
        <v>1072</v>
      </c>
      <c r="F59" s="213" t="s">
        <v>72</v>
      </c>
      <c r="G59" s="213" t="s">
        <v>165</v>
      </c>
      <c r="H59" s="240" t="s">
        <v>162</v>
      </c>
      <c r="I59" s="241">
        <f>'Confidence intervals'!F39</f>
        <v>-0.119</v>
      </c>
      <c r="J59" s="241">
        <f>'Confidence intervals'!I39</f>
        <v>-0.119</v>
      </c>
      <c r="K59" s="241">
        <f>'Confidence intervals'!L39</f>
        <v>-0.119</v>
      </c>
      <c r="L59" s="383">
        <f>'Confidence intervals'!O39</f>
        <v>-0.119</v>
      </c>
      <c r="M59" s="241">
        <f>'Confidence intervals'!R39</f>
        <v>-0.119</v>
      </c>
      <c r="N59" s="241">
        <f>'Confidence intervals'!U39</f>
        <v>-0.119</v>
      </c>
      <c r="O59" s="241">
        <f>'Confidence intervals'!X39</f>
        <v>-0.119</v>
      </c>
      <c r="P59" s="241">
        <f>'Confidence intervals'!AA39</f>
        <v>-0.119</v>
      </c>
      <c r="Q59" s="241">
        <f>'Confidence intervals'!AD39</f>
        <v>-0.119</v>
      </c>
      <c r="R59" s="241" t="s">
        <v>162</v>
      </c>
      <c r="S59" s="241">
        <f>'Confidence intervals'!AG39</f>
        <v>-0.119</v>
      </c>
      <c r="T59" s="241" t="s">
        <v>162</v>
      </c>
      <c r="U59" s="241" t="s">
        <v>162</v>
      </c>
      <c r="V59" s="241" t="s">
        <v>162</v>
      </c>
      <c r="W59" s="241" t="s">
        <v>162</v>
      </c>
      <c r="X59" s="241" t="s">
        <v>162</v>
      </c>
      <c r="Y59" s="241" t="s">
        <v>162</v>
      </c>
      <c r="Z59" s="241" t="s">
        <v>162</v>
      </c>
      <c r="AA59" s="241" t="s">
        <v>162</v>
      </c>
      <c r="AB59" s="241" t="s">
        <v>162</v>
      </c>
      <c r="AC59" s="241" t="s">
        <v>162</v>
      </c>
      <c r="AD59" s="241" t="s">
        <v>162</v>
      </c>
      <c r="AE59" s="241" t="s">
        <v>162</v>
      </c>
      <c r="AF59" s="241" t="s">
        <v>162</v>
      </c>
      <c r="AG59" s="241">
        <f>'Confidence intervals'!AJ39</f>
        <v>-0.119</v>
      </c>
      <c r="AH59" s="241" t="s">
        <v>162</v>
      </c>
      <c r="AI59" s="241" t="s">
        <v>162</v>
      </c>
      <c r="AJ59" s="241" t="s">
        <v>162</v>
      </c>
      <c r="AK59" s="241" t="s">
        <v>162</v>
      </c>
      <c r="AL59" s="241">
        <f>'Confidence intervals'!AM39</f>
        <v>-0.119</v>
      </c>
      <c r="AM59" s="241">
        <f>'Confidence intervals'!AP39</f>
        <v>-0.119</v>
      </c>
      <c r="AN59" s="241">
        <f>'Confidence intervals'!AS39</f>
        <v>-0.119</v>
      </c>
      <c r="AO59" s="241" t="s">
        <v>162</v>
      </c>
      <c r="AP59" s="241" t="s">
        <v>162</v>
      </c>
      <c r="AQ59" s="241" t="s">
        <v>162</v>
      </c>
      <c r="AR59" s="241" t="s">
        <v>162</v>
      </c>
      <c r="AS59" s="241" t="s">
        <v>162</v>
      </c>
      <c r="AT59" s="241" t="s">
        <v>162</v>
      </c>
      <c r="AU59" s="241">
        <f>'Confidence intervals'!AV39</f>
        <v>-0.119</v>
      </c>
      <c r="AV59" s="241">
        <f>'Confidence intervals'!AY39</f>
        <v>-0.119</v>
      </c>
      <c r="AW59" s="1062"/>
    </row>
    <row r="60">
      <c r="A60" s="122"/>
      <c r="B60" s="123"/>
      <c r="C60" s="143"/>
      <c r="D60" s="123"/>
      <c r="E60" s="792" t="s">
        <v>1074</v>
      </c>
      <c r="F60" s="200" t="s">
        <v>72</v>
      </c>
      <c r="G60" s="200" t="s">
        <v>165</v>
      </c>
      <c r="H60" s="228" t="s">
        <v>162</v>
      </c>
      <c r="I60" s="385">
        <f>'Confidence intervals'!F40</f>
        <v>-0.1588909969</v>
      </c>
      <c r="J60" s="385">
        <f>'Confidence intervals'!I40</f>
        <v>-0.1479439363</v>
      </c>
      <c r="K60" s="385">
        <f>'Confidence intervals'!L40</f>
        <v>-0.1576506273</v>
      </c>
      <c r="L60" s="407">
        <f>'Confidence intervals'!O40</f>
        <v>-0.1461097483</v>
      </c>
      <c r="M60" s="385">
        <f>'Confidence intervals'!R40</f>
        <v>-0.1526493243</v>
      </c>
      <c r="N60" s="385">
        <f>'Confidence intervals'!U40</f>
        <v>-0.1568798539</v>
      </c>
      <c r="O60" s="385">
        <f>'Confidence intervals'!X40</f>
        <v>-0.1623675674</v>
      </c>
      <c r="P60" s="385">
        <f>'Confidence intervals'!AA40</f>
        <v>-0.1642169293</v>
      </c>
      <c r="Q60" s="385">
        <f>'Confidence intervals'!AD40</f>
        <v>-0.1628107245</v>
      </c>
      <c r="R60" s="385" t="s">
        <v>162</v>
      </c>
      <c r="S60" s="385">
        <f>'Confidence intervals'!AG40</f>
        <v>-0.112998131</v>
      </c>
      <c r="T60" s="385" t="s">
        <v>162</v>
      </c>
      <c r="U60" s="385" t="s">
        <v>162</v>
      </c>
      <c r="V60" s="385" t="s">
        <v>162</v>
      </c>
      <c r="W60" s="385" t="s">
        <v>162</v>
      </c>
      <c r="X60" s="385" t="s">
        <v>162</v>
      </c>
      <c r="Y60" s="385" t="s">
        <v>162</v>
      </c>
      <c r="Z60" s="385" t="s">
        <v>162</v>
      </c>
      <c r="AA60" s="385" t="s">
        <v>162</v>
      </c>
      <c r="AB60" s="385" t="s">
        <v>162</v>
      </c>
      <c r="AC60" s="385" t="s">
        <v>162</v>
      </c>
      <c r="AD60" s="385" t="s">
        <v>162</v>
      </c>
      <c r="AE60" s="385" t="s">
        <v>162</v>
      </c>
      <c r="AF60" s="385" t="s">
        <v>162</v>
      </c>
      <c r="AG60" s="385">
        <f>'Confidence intervals'!AJ40</f>
        <v>-0.1283611434</v>
      </c>
      <c r="AH60" s="385" t="s">
        <v>162</v>
      </c>
      <c r="AI60" s="385" t="s">
        <v>162</v>
      </c>
      <c r="AJ60" s="385" t="s">
        <v>162</v>
      </c>
      <c r="AK60" s="385" t="s">
        <v>162</v>
      </c>
      <c r="AL60" s="385">
        <f>'Confidence intervals'!AM40</f>
        <v>-0.1410910889</v>
      </c>
      <c r="AM60" s="385">
        <f>'Confidence intervals'!AP40</f>
        <v>-0.1459767522</v>
      </c>
      <c r="AN60" s="385">
        <f>'Confidence intervals'!AS40</f>
        <v>-0.129679221</v>
      </c>
      <c r="AO60" s="385" t="s">
        <v>162</v>
      </c>
      <c r="AP60" s="385" t="s">
        <v>162</v>
      </c>
      <c r="AQ60" s="385" t="s">
        <v>162</v>
      </c>
      <c r="AR60" s="385" t="s">
        <v>162</v>
      </c>
      <c r="AS60" s="385" t="s">
        <v>162</v>
      </c>
      <c r="AT60" s="385" t="s">
        <v>162</v>
      </c>
      <c r="AU60" s="385">
        <f>'Confidence intervals'!AV40</f>
        <v>-0.1357904607</v>
      </c>
      <c r="AV60" s="385">
        <f>'Confidence intervals'!AY40</f>
        <v>-0.1508983235</v>
      </c>
      <c r="AW60" s="1063"/>
    </row>
    <row r="61">
      <c r="A61" s="122"/>
      <c r="B61" s="123"/>
      <c r="C61" s="143"/>
      <c r="D61" s="123"/>
      <c r="E61" s="853"/>
      <c r="F61" s="423"/>
      <c r="G61" s="423"/>
      <c r="H61" s="1070"/>
      <c r="I61" s="1071"/>
      <c r="J61" s="1071"/>
      <c r="K61" s="1071"/>
      <c r="L61" s="1071"/>
      <c r="M61" s="1071"/>
      <c r="N61" s="1071"/>
      <c r="O61" s="1071"/>
      <c r="P61" s="1071"/>
      <c r="Q61" s="1071"/>
      <c r="R61" s="1071"/>
      <c r="S61" s="1071"/>
      <c r="T61" s="1071"/>
      <c r="U61" s="1071"/>
      <c r="V61" s="1071"/>
      <c r="W61" s="1071"/>
      <c r="X61" s="1071"/>
      <c r="Y61" s="1071"/>
      <c r="Z61" s="1071"/>
      <c r="AA61" s="1071"/>
      <c r="AB61" s="1071"/>
      <c r="AC61" s="1071"/>
      <c r="AD61" s="1071"/>
      <c r="AE61" s="1071"/>
      <c r="AF61" s="1071"/>
      <c r="AG61" s="1071"/>
      <c r="AH61" s="1071"/>
      <c r="AI61" s="1071"/>
      <c r="AJ61" s="1071"/>
      <c r="AK61" s="1071"/>
      <c r="AL61" s="1071"/>
      <c r="AM61" s="1071"/>
      <c r="AN61" s="1071"/>
      <c r="AO61" s="1071"/>
      <c r="AP61" s="1071"/>
      <c r="AQ61" s="1071"/>
      <c r="AR61" s="1071"/>
      <c r="AS61" s="1071"/>
      <c r="AT61" s="1071"/>
      <c r="AU61" s="1071"/>
      <c r="AV61" s="1071"/>
      <c r="AW61" s="1057"/>
    </row>
    <row r="62">
      <c r="A62" s="1083" t="s">
        <v>1081</v>
      </c>
      <c r="B62" s="7"/>
      <c r="C62" s="7"/>
      <c r="D62" s="7"/>
      <c r="E62" s="7"/>
      <c r="F62" s="7"/>
      <c r="G62" s="659"/>
      <c r="H62" s="118"/>
      <c r="I62" s="1081"/>
      <c r="J62" s="1081"/>
      <c r="K62" s="1081"/>
      <c r="L62" s="1081"/>
      <c r="M62" s="1081"/>
      <c r="N62" s="1081"/>
      <c r="O62" s="1081"/>
      <c r="P62" s="1081"/>
      <c r="Q62" s="1081"/>
      <c r="R62" s="1081"/>
      <c r="S62" s="1081"/>
      <c r="T62" s="1081"/>
      <c r="U62" s="1081"/>
      <c r="V62" s="1081"/>
      <c r="W62" s="1081"/>
      <c r="X62" s="1081"/>
      <c r="Y62" s="1081"/>
      <c r="Z62" s="1081"/>
      <c r="AA62" s="1081"/>
      <c r="AB62" s="1081"/>
      <c r="AC62" s="1081"/>
      <c r="AD62" s="1081"/>
      <c r="AE62" s="1081"/>
      <c r="AF62" s="1081"/>
      <c r="AG62" s="1081"/>
      <c r="AH62" s="1081"/>
      <c r="AI62" s="1081"/>
      <c r="AJ62" s="1081"/>
      <c r="AK62" s="1081"/>
      <c r="AL62" s="1081"/>
      <c r="AM62" s="1081"/>
      <c r="AN62" s="1081"/>
      <c r="AO62" s="1081"/>
      <c r="AP62" s="1081"/>
      <c r="AQ62" s="1081"/>
      <c r="AR62" s="1081"/>
      <c r="AS62" s="1081"/>
      <c r="AT62" s="1081"/>
      <c r="AU62" s="1081"/>
      <c r="AV62" s="1081"/>
      <c r="AW62" s="1055"/>
    </row>
    <row r="63">
      <c r="A63" s="122"/>
      <c r="B63" s="123"/>
      <c r="C63" s="143"/>
      <c r="D63" s="123"/>
      <c r="E63" s="853"/>
      <c r="F63" s="423"/>
      <c r="G63" s="423"/>
      <c r="H63" s="1070"/>
      <c r="I63" s="1071"/>
      <c r="J63" s="1071"/>
      <c r="K63" s="1071"/>
      <c r="L63" s="1071"/>
      <c r="M63" s="1071"/>
      <c r="N63" s="1071"/>
      <c r="O63" s="1071"/>
      <c r="P63" s="1071"/>
      <c r="Q63" s="1071"/>
      <c r="R63" s="1071"/>
      <c r="S63" s="1071"/>
      <c r="T63" s="1071"/>
      <c r="U63" s="1071"/>
      <c r="V63" s="1071"/>
      <c r="W63" s="1071"/>
      <c r="X63" s="1071"/>
      <c r="Y63" s="1071"/>
      <c r="Z63" s="1071"/>
      <c r="AA63" s="1071"/>
      <c r="AB63" s="1071"/>
      <c r="AC63" s="1071"/>
      <c r="AD63" s="1071"/>
      <c r="AE63" s="1071"/>
      <c r="AF63" s="1071"/>
      <c r="AG63" s="1071"/>
      <c r="AH63" s="1071"/>
      <c r="AI63" s="1071"/>
      <c r="AJ63" s="1071"/>
      <c r="AK63" s="1071"/>
      <c r="AL63" s="1071"/>
      <c r="AM63" s="1071"/>
      <c r="AN63" s="1071"/>
      <c r="AO63" s="1071"/>
      <c r="AP63" s="1071"/>
      <c r="AQ63" s="1071"/>
      <c r="AR63" s="1071"/>
      <c r="AS63" s="1071"/>
      <c r="AT63" s="1071"/>
      <c r="AU63" s="1071"/>
      <c r="AV63" s="1071"/>
      <c r="AW63" s="1057"/>
    </row>
    <row r="64">
      <c r="A64" s="122"/>
      <c r="B64" s="123"/>
      <c r="C64" s="143" t="s">
        <v>1049</v>
      </c>
      <c r="F64" s="423"/>
      <c r="G64" s="423"/>
      <c r="H64" s="1070"/>
      <c r="I64" s="1071"/>
      <c r="J64" s="1071"/>
      <c r="K64" s="1071"/>
      <c r="L64" s="1071"/>
      <c r="M64" s="1071"/>
      <c r="N64" s="1071"/>
      <c r="O64" s="1071"/>
      <c r="P64" s="1071"/>
      <c r="Q64" s="1071"/>
      <c r="R64" s="1071"/>
      <c r="S64" s="1071"/>
      <c r="T64" s="1071"/>
      <c r="U64" s="1071"/>
      <c r="V64" s="1071"/>
      <c r="W64" s="1071"/>
      <c r="X64" s="1071"/>
      <c r="Y64" s="1071"/>
      <c r="Z64" s="1071"/>
      <c r="AA64" s="1071"/>
      <c r="AB64" s="1071"/>
      <c r="AC64" s="1071"/>
      <c r="AD64" s="1071"/>
      <c r="AE64" s="1071"/>
      <c r="AF64" s="1071"/>
      <c r="AG64" s="1071"/>
      <c r="AH64" s="1071"/>
      <c r="AI64" s="1071"/>
      <c r="AJ64" s="1071"/>
      <c r="AK64" s="1071"/>
      <c r="AL64" s="1071"/>
      <c r="AM64" s="1071"/>
      <c r="AN64" s="1071"/>
      <c r="AO64" s="1071"/>
      <c r="AP64" s="1071"/>
      <c r="AQ64" s="1071"/>
      <c r="AR64" s="1071"/>
      <c r="AS64" s="1071"/>
      <c r="AT64" s="1071"/>
      <c r="AU64" s="1071"/>
      <c r="AV64" s="1071"/>
      <c r="AW64" s="1057"/>
    </row>
    <row r="65">
      <c r="A65" s="122"/>
      <c r="B65" s="123"/>
      <c r="C65" s="143"/>
      <c r="D65" s="123"/>
      <c r="E65" s="782" t="s">
        <v>1050</v>
      </c>
      <c r="F65" s="193" t="s">
        <v>68</v>
      </c>
      <c r="G65" s="193" t="s">
        <v>165</v>
      </c>
      <c r="H65" s="1059" t="s">
        <v>162</v>
      </c>
      <c r="I65" s="1060">
        <f>'Confidence intervals'!H27</f>
        <v>21.85510798</v>
      </c>
      <c r="J65" s="1060">
        <f>'Confidence intervals'!K27</f>
        <v>21.85510798</v>
      </c>
      <c r="K65" s="1060">
        <f>'Confidence intervals'!N27</f>
        <v>21.85510798</v>
      </c>
      <c r="L65" s="1060">
        <f>'Confidence intervals'!Q27</f>
        <v>21.85510798</v>
      </c>
      <c r="M65" s="1060">
        <f>'Confidence intervals'!T27</f>
        <v>21.85510798</v>
      </c>
      <c r="N65" s="1060">
        <f>'Confidence intervals'!W27</f>
        <v>21.85510798</v>
      </c>
      <c r="O65" s="1060">
        <f>'Confidence intervals'!Z27</f>
        <v>21.85510798</v>
      </c>
      <c r="P65" s="1060">
        <f>'Confidence intervals'!AC27</f>
        <v>21.85510798</v>
      </c>
      <c r="Q65" s="1060">
        <f>'Confidence intervals'!AF27</f>
        <v>21.85510798</v>
      </c>
      <c r="R65" s="1060" t="s">
        <v>162</v>
      </c>
      <c r="S65" s="1060">
        <f>'Confidence intervals'!AI27</f>
        <v>21.85510798</v>
      </c>
      <c r="T65" s="1060" t="s">
        <v>162</v>
      </c>
      <c r="U65" s="1060" t="s">
        <v>162</v>
      </c>
      <c r="V65" s="1060" t="s">
        <v>162</v>
      </c>
      <c r="W65" s="1060" t="s">
        <v>162</v>
      </c>
      <c r="X65" s="1060" t="s">
        <v>162</v>
      </c>
      <c r="Y65" s="1060" t="s">
        <v>162</v>
      </c>
      <c r="Z65" s="1060" t="s">
        <v>162</v>
      </c>
      <c r="AA65" s="1060" t="s">
        <v>162</v>
      </c>
      <c r="AB65" s="1060" t="s">
        <v>162</v>
      </c>
      <c r="AC65" s="1060" t="s">
        <v>162</v>
      </c>
      <c r="AD65" s="1060" t="s">
        <v>162</v>
      </c>
      <c r="AE65" s="1060" t="s">
        <v>162</v>
      </c>
      <c r="AF65" s="1060" t="s">
        <v>162</v>
      </c>
      <c r="AG65" s="1060">
        <f>'Confidence intervals'!AL27</f>
        <v>21.85510798</v>
      </c>
      <c r="AH65" s="1060" t="s">
        <v>162</v>
      </c>
      <c r="AI65" s="1060" t="s">
        <v>162</v>
      </c>
      <c r="AJ65" s="1060" t="s">
        <v>162</v>
      </c>
      <c r="AK65" s="1060" t="s">
        <v>162</v>
      </c>
      <c r="AL65" s="1060">
        <f>'Confidence intervals'!AO27</f>
        <v>21.85510798</v>
      </c>
      <c r="AM65" s="1060">
        <f>'Confidence intervals'!AR27</f>
        <v>21.85510798</v>
      </c>
      <c r="AN65" s="1060">
        <f>'Confidence intervals'!AU27</f>
        <v>21.85510798</v>
      </c>
      <c r="AO65" s="1060" t="s">
        <v>162</v>
      </c>
      <c r="AP65" s="1060" t="s">
        <v>162</v>
      </c>
      <c r="AQ65" s="1060" t="s">
        <v>162</v>
      </c>
      <c r="AR65" s="1060" t="s">
        <v>162</v>
      </c>
      <c r="AS65" s="1060" t="s">
        <v>162</v>
      </c>
      <c r="AT65" s="1060" t="s">
        <v>162</v>
      </c>
      <c r="AU65" s="1060">
        <f>'Confidence intervals'!AX27</f>
        <v>21.85510798</v>
      </c>
      <c r="AV65" s="1060">
        <f>'Confidence intervals'!BA27</f>
        <v>21.85510798</v>
      </c>
      <c r="AW65" s="1061"/>
    </row>
    <row r="66">
      <c r="A66" s="122"/>
      <c r="B66" s="123"/>
      <c r="C66" s="143"/>
      <c r="D66" s="123"/>
      <c r="E66" s="475" t="s">
        <v>1052</v>
      </c>
      <c r="F66" s="213" t="s">
        <v>72</v>
      </c>
      <c r="G66" s="213" t="s">
        <v>165</v>
      </c>
      <c r="H66" s="240" t="s">
        <v>162</v>
      </c>
      <c r="I66" s="241">
        <f>'Confidence intervals'!H28</f>
        <v>0.9369906263</v>
      </c>
      <c r="J66" s="241">
        <f>'Confidence intervals'!K28</f>
        <v>0.9680517177</v>
      </c>
      <c r="K66" s="241">
        <f>'Confidence intervals'!N28</f>
        <v>0.9864564612</v>
      </c>
      <c r="L66" s="383">
        <f>'Confidence intervals'!Q28</f>
        <v>0.968672395</v>
      </c>
      <c r="M66" s="241">
        <f>'Confidence intervals'!T28</f>
        <v>0.9571463598</v>
      </c>
      <c r="N66" s="241">
        <f>'Confidence intervals'!W28</f>
        <v>0.9725749539</v>
      </c>
      <c r="O66" s="241">
        <f>'Confidence intervals'!Z28</f>
        <v>0.935125244</v>
      </c>
      <c r="P66" s="241">
        <f>'Confidence intervals'!AC28</f>
        <v>0.9585617516</v>
      </c>
      <c r="Q66" s="241">
        <f>'Confidence intervals'!AF28</f>
        <v>0.9532586365</v>
      </c>
      <c r="R66" s="241" t="s">
        <v>162</v>
      </c>
      <c r="S66" s="241">
        <f>'Confidence intervals'!AI28</f>
        <v>0.9945837711</v>
      </c>
      <c r="T66" s="241" t="s">
        <v>162</v>
      </c>
      <c r="U66" s="241" t="s">
        <v>162</v>
      </c>
      <c r="V66" s="241" t="s">
        <v>162</v>
      </c>
      <c r="W66" s="241" t="s">
        <v>162</v>
      </c>
      <c r="X66" s="241" t="s">
        <v>162</v>
      </c>
      <c r="Y66" s="241" t="s">
        <v>162</v>
      </c>
      <c r="Z66" s="241" t="s">
        <v>162</v>
      </c>
      <c r="AA66" s="241" t="s">
        <v>162</v>
      </c>
      <c r="AB66" s="241" t="s">
        <v>162</v>
      </c>
      <c r="AC66" s="241" t="s">
        <v>162</v>
      </c>
      <c r="AD66" s="241" t="s">
        <v>162</v>
      </c>
      <c r="AE66" s="241" t="s">
        <v>162</v>
      </c>
      <c r="AF66" s="241" t="s">
        <v>162</v>
      </c>
      <c r="AG66" s="241">
        <f>'Confidence intervals'!AL28</f>
        <v>0.9927316026</v>
      </c>
      <c r="AH66" s="241" t="s">
        <v>162</v>
      </c>
      <c r="AI66" s="241" t="s">
        <v>162</v>
      </c>
      <c r="AJ66" s="241" t="s">
        <v>162</v>
      </c>
      <c r="AK66" s="241" t="s">
        <v>162</v>
      </c>
      <c r="AL66" s="241">
        <f>'Confidence intervals'!AO28</f>
        <v>0.9246335709</v>
      </c>
      <c r="AM66" s="241">
        <f>'Confidence intervals'!AR28</f>
        <v>0.8915689392</v>
      </c>
      <c r="AN66" s="241">
        <f>'Confidence intervals'!AU28</f>
        <v>0.9800673035</v>
      </c>
      <c r="AO66" s="241" t="s">
        <v>162</v>
      </c>
      <c r="AP66" s="241" t="s">
        <v>162</v>
      </c>
      <c r="AQ66" s="241" t="s">
        <v>162</v>
      </c>
      <c r="AR66" s="241" t="s">
        <v>162</v>
      </c>
      <c r="AS66" s="241" t="s">
        <v>162</v>
      </c>
      <c r="AT66" s="241" t="s">
        <v>162</v>
      </c>
      <c r="AU66" s="241">
        <f>'Confidence intervals'!AX28</f>
        <v>0.9911944881</v>
      </c>
      <c r="AV66" s="241">
        <f>'Confidence intervals'!BA28</f>
        <v>0.9751149374</v>
      </c>
      <c r="AW66" s="1062"/>
    </row>
    <row r="67">
      <c r="A67" s="122"/>
      <c r="B67" s="123"/>
      <c r="C67" s="143"/>
      <c r="D67" s="123"/>
      <c r="E67" s="475" t="s">
        <v>1079</v>
      </c>
      <c r="F67" s="213" t="s">
        <v>72</v>
      </c>
      <c r="G67" s="213" t="s">
        <v>165</v>
      </c>
      <c r="H67" s="240" t="s">
        <v>162</v>
      </c>
      <c r="I67" s="260">
        <f>'Confidence intervals'!H29</f>
        <v>0.07632228402</v>
      </c>
      <c r="J67" s="260">
        <f>'Confidence intervals'!K29</f>
        <v>0.05668953993</v>
      </c>
      <c r="K67" s="260">
        <f>'Confidence intervals'!N29</f>
        <v>0.08538423039</v>
      </c>
      <c r="L67" s="237">
        <f>'Confidence intervals'!Q29</f>
        <v>0.03839423462</v>
      </c>
      <c r="M67" s="260">
        <f>'Confidence intervals'!T29</f>
        <v>0.05403324508</v>
      </c>
      <c r="N67" s="260">
        <f>'Confidence intervals'!W29</f>
        <v>0.0592816979</v>
      </c>
      <c r="O67" s="260">
        <f>'Confidence intervals'!Z29</f>
        <v>0.06913415613</v>
      </c>
      <c r="P67" s="260">
        <f>'Confidence intervals'!AC29</f>
        <v>0.08587033673</v>
      </c>
      <c r="Q67" s="260">
        <f>'Confidence intervals'!AF29</f>
        <v>0.1049933864</v>
      </c>
      <c r="R67" s="260" t="s">
        <v>162</v>
      </c>
      <c r="S67" s="260">
        <f>'Confidence intervals'!AI29</f>
        <v>0.05146722182</v>
      </c>
      <c r="T67" s="260" t="s">
        <v>162</v>
      </c>
      <c r="U67" s="260" t="s">
        <v>162</v>
      </c>
      <c r="V67" s="260" t="s">
        <v>162</v>
      </c>
      <c r="W67" s="260" t="s">
        <v>162</v>
      </c>
      <c r="X67" s="260" t="s">
        <v>162</v>
      </c>
      <c r="Y67" s="260" t="s">
        <v>162</v>
      </c>
      <c r="Z67" s="260" t="s">
        <v>162</v>
      </c>
      <c r="AA67" s="260" t="s">
        <v>162</v>
      </c>
      <c r="AB67" s="260" t="s">
        <v>162</v>
      </c>
      <c r="AC67" s="260" t="s">
        <v>162</v>
      </c>
      <c r="AD67" s="260" t="s">
        <v>162</v>
      </c>
      <c r="AE67" s="260" t="s">
        <v>162</v>
      </c>
      <c r="AF67" s="260" t="s">
        <v>162</v>
      </c>
      <c r="AG67" s="260">
        <f>'Confidence intervals'!AL29</f>
        <v>0.03839423462</v>
      </c>
      <c r="AH67" s="260" t="s">
        <v>162</v>
      </c>
      <c r="AI67" s="260" t="s">
        <v>162</v>
      </c>
      <c r="AJ67" s="260" t="s">
        <v>162</v>
      </c>
      <c r="AK67" s="260" t="s">
        <v>162</v>
      </c>
      <c r="AL67" s="260">
        <f>'Confidence intervals'!AO29</f>
        <v>0.03373603619</v>
      </c>
      <c r="AM67" s="260">
        <f>'Confidence intervals'!AR29</f>
        <v>0.03373603619</v>
      </c>
      <c r="AN67" s="260">
        <f>'Confidence intervals'!AU29</f>
        <v>0.03373603619</v>
      </c>
      <c r="AO67" s="260" t="s">
        <v>162</v>
      </c>
      <c r="AP67" s="260" t="s">
        <v>162</v>
      </c>
      <c r="AQ67" s="260" t="s">
        <v>162</v>
      </c>
      <c r="AR67" s="260" t="s">
        <v>162</v>
      </c>
      <c r="AS67" s="260" t="s">
        <v>162</v>
      </c>
      <c r="AT67" s="260" t="s">
        <v>162</v>
      </c>
      <c r="AU67" s="260">
        <f>'Confidence intervals'!AX29</f>
        <v>0.05538710605</v>
      </c>
      <c r="AV67" s="260">
        <f>'Confidence intervals'!BA29</f>
        <v>0.05051475558</v>
      </c>
      <c r="AW67" s="1062"/>
    </row>
    <row r="68">
      <c r="A68" s="122"/>
      <c r="B68" s="123"/>
      <c r="C68" s="143"/>
      <c r="D68" s="123"/>
      <c r="E68" s="792" t="s">
        <v>1055</v>
      </c>
      <c r="F68" s="200" t="s">
        <v>72</v>
      </c>
      <c r="G68" s="200" t="s">
        <v>165</v>
      </c>
      <c r="H68" s="228" t="s">
        <v>162</v>
      </c>
      <c r="I68" s="385">
        <f>'Confidence intervals'!H30</f>
        <v>0.6270672593</v>
      </c>
      <c r="J68" s="385">
        <f>'Confidence intervals'!K30</f>
        <v>0.6328607249</v>
      </c>
      <c r="K68" s="385">
        <f>'Confidence intervals'!N30</f>
        <v>0.6610110014</v>
      </c>
      <c r="L68" s="407">
        <f>'Confidence intervals'!Q30</f>
        <v>0.6524544628</v>
      </c>
      <c r="M68" s="385">
        <f>'Confidence intervals'!T30</f>
        <v>0.6191437127</v>
      </c>
      <c r="N68" s="385">
        <f>'Confidence intervals'!W30</f>
        <v>0.6549865005</v>
      </c>
      <c r="O68" s="385">
        <f>'Confidence intervals'!Z30</f>
        <v>0.6698927429</v>
      </c>
      <c r="P68" s="385">
        <f>'Confidence intervals'!AC30</f>
        <v>0.6360144269</v>
      </c>
      <c r="Q68" s="385">
        <f>'Confidence intervals'!AF30</f>
        <v>0.6535405818</v>
      </c>
      <c r="R68" s="385" t="s">
        <v>162</v>
      </c>
      <c r="S68" s="385">
        <f>'Confidence intervals'!AI30</f>
        <v>0.6174158641</v>
      </c>
      <c r="T68" s="385" t="s">
        <v>162</v>
      </c>
      <c r="U68" s="385" t="s">
        <v>162</v>
      </c>
      <c r="V68" s="385" t="s">
        <v>162</v>
      </c>
      <c r="W68" s="385" t="s">
        <v>162</v>
      </c>
      <c r="X68" s="385" t="s">
        <v>162</v>
      </c>
      <c r="Y68" s="385" t="s">
        <v>162</v>
      </c>
      <c r="Z68" s="385" t="s">
        <v>162</v>
      </c>
      <c r="AA68" s="385" t="s">
        <v>162</v>
      </c>
      <c r="AB68" s="385" t="s">
        <v>162</v>
      </c>
      <c r="AC68" s="385" t="s">
        <v>162</v>
      </c>
      <c r="AD68" s="385" t="s">
        <v>162</v>
      </c>
      <c r="AE68" s="385" t="s">
        <v>162</v>
      </c>
      <c r="AF68" s="385" t="s">
        <v>162</v>
      </c>
      <c r="AG68" s="385">
        <f>'Confidence intervals'!AL30</f>
        <v>0.6524544628</v>
      </c>
      <c r="AH68" s="385" t="s">
        <v>162</v>
      </c>
      <c r="AI68" s="385" t="s">
        <v>162</v>
      </c>
      <c r="AJ68" s="385" t="s">
        <v>162</v>
      </c>
      <c r="AK68" s="385" t="s">
        <v>162</v>
      </c>
      <c r="AL68" s="385">
        <f>'Confidence intervals'!AO30</f>
        <v>0.6363521856</v>
      </c>
      <c r="AM68" s="385">
        <f>'Confidence intervals'!AR30</f>
        <v>0.6363521856</v>
      </c>
      <c r="AN68" s="385">
        <f>'Confidence intervals'!AU30</f>
        <v>0.6363521856</v>
      </c>
      <c r="AO68" s="385" t="s">
        <v>162</v>
      </c>
      <c r="AP68" s="385" t="s">
        <v>162</v>
      </c>
      <c r="AQ68" s="385" t="s">
        <v>162</v>
      </c>
      <c r="AR68" s="385" t="s">
        <v>162</v>
      </c>
      <c r="AS68" s="385" t="s">
        <v>162</v>
      </c>
      <c r="AT68" s="385" t="s">
        <v>162</v>
      </c>
      <c r="AU68" s="385">
        <f>'Confidence intervals'!AX30</f>
        <v>0.6195992303</v>
      </c>
      <c r="AV68" s="385">
        <f>'Confidence intervals'!BA30</f>
        <v>0.6866222933</v>
      </c>
      <c r="AW68" s="1063"/>
    </row>
    <row r="69">
      <c r="A69" s="122"/>
      <c r="B69" s="123"/>
      <c r="C69" s="143"/>
      <c r="D69" s="123"/>
      <c r="E69" s="853"/>
      <c r="F69" s="423"/>
      <c r="G69" s="423"/>
      <c r="H69" s="1070"/>
      <c r="I69" s="1071" t="str">
        <f>'Confidence intervals'!H31</f>
        <v/>
      </c>
      <c r="J69" s="1071" t="str">
        <f>'Confidence intervals'!K31</f>
        <v/>
      </c>
      <c r="K69" s="1071" t="str">
        <f>'Confidence intervals'!N31</f>
        <v/>
      </c>
      <c r="L69" s="1071"/>
      <c r="M69" s="1071" t="str">
        <f>'Confidence intervals'!T31</f>
        <v/>
      </c>
      <c r="N69" s="1071" t="str">
        <f>'Confidence intervals'!W31</f>
        <v/>
      </c>
      <c r="O69" s="1071" t="str">
        <f>'Confidence intervals'!Z31</f>
        <v/>
      </c>
      <c r="P69" s="1071" t="str">
        <f>'Confidence intervals'!AC31</f>
        <v/>
      </c>
      <c r="Q69" s="1071" t="str">
        <f>'Confidence intervals'!AF31</f>
        <v/>
      </c>
      <c r="R69" s="1071" t="s">
        <v>162</v>
      </c>
      <c r="S69" s="1071" t="str">
        <f>'Confidence intervals'!AI31</f>
        <v/>
      </c>
      <c r="T69" s="1071" t="s">
        <v>162</v>
      </c>
      <c r="U69" s="1071" t="s">
        <v>162</v>
      </c>
      <c r="V69" s="1071" t="s">
        <v>162</v>
      </c>
      <c r="W69" s="1071" t="s">
        <v>162</v>
      </c>
      <c r="X69" s="1071" t="s">
        <v>162</v>
      </c>
      <c r="Y69" s="1071" t="s">
        <v>162</v>
      </c>
      <c r="Z69" s="1071" t="s">
        <v>162</v>
      </c>
      <c r="AA69" s="1071" t="s">
        <v>162</v>
      </c>
      <c r="AB69" s="1071" t="s">
        <v>162</v>
      </c>
      <c r="AC69" s="1071" t="s">
        <v>162</v>
      </c>
      <c r="AD69" s="1071" t="s">
        <v>162</v>
      </c>
      <c r="AE69" s="1071" t="s">
        <v>162</v>
      </c>
      <c r="AF69" s="1071" t="s">
        <v>162</v>
      </c>
      <c r="AG69" s="1071" t="str">
        <f>'Confidence intervals'!AL31</f>
        <v/>
      </c>
      <c r="AH69" s="1071" t="s">
        <v>162</v>
      </c>
      <c r="AI69" s="1071" t="s">
        <v>162</v>
      </c>
      <c r="AJ69" s="1071" t="s">
        <v>162</v>
      </c>
      <c r="AK69" s="1071" t="s">
        <v>162</v>
      </c>
      <c r="AL69" s="1071" t="str">
        <f>'Confidence intervals'!AO31</f>
        <v/>
      </c>
      <c r="AM69" s="1071"/>
      <c r="AN69" s="1071"/>
      <c r="AO69" s="1071" t="s">
        <v>162</v>
      </c>
      <c r="AP69" s="1071" t="s">
        <v>162</v>
      </c>
      <c r="AQ69" s="1071" t="s">
        <v>162</v>
      </c>
      <c r="AR69" s="1071" t="s">
        <v>162</v>
      </c>
      <c r="AS69" s="1071" t="s">
        <v>162</v>
      </c>
      <c r="AT69" s="1071" t="s">
        <v>162</v>
      </c>
      <c r="AU69" s="1071" t="str">
        <f>'Confidence intervals'!AX31</f>
        <v/>
      </c>
      <c r="AV69" s="1071" t="str">
        <f>'Confidence intervals'!BA31</f>
        <v/>
      </c>
      <c r="AW69" s="1057"/>
    </row>
    <row r="70">
      <c r="A70" s="122"/>
      <c r="B70" s="123"/>
      <c r="C70" s="143" t="s">
        <v>1061</v>
      </c>
      <c r="F70" s="423"/>
      <c r="G70" s="423"/>
      <c r="H70" s="1070"/>
      <c r="I70" s="1071" t="str">
        <f>'Confidence intervals'!H32</f>
        <v/>
      </c>
      <c r="J70" s="1071" t="str">
        <f>'Confidence intervals'!K32</f>
        <v/>
      </c>
      <c r="K70" s="1071" t="str">
        <f>'Confidence intervals'!N32</f>
        <v/>
      </c>
      <c r="L70" s="1071"/>
      <c r="M70" s="1071" t="str">
        <f>'Confidence intervals'!T32</f>
        <v/>
      </c>
      <c r="N70" s="1071" t="str">
        <f>'Confidence intervals'!W32</f>
        <v/>
      </c>
      <c r="O70" s="1071" t="str">
        <f>'Confidence intervals'!Z32</f>
        <v/>
      </c>
      <c r="P70" s="1071" t="str">
        <f>'Confidence intervals'!AC32</f>
        <v/>
      </c>
      <c r="Q70" s="1071" t="str">
        <f>'Confidence intervals'!AF32</f>
        <v/>
      </c>
      <c r="R70" s="1071" t="s">
        <v>162</v>
      </c>
      <c r="S70" s="1071" t="str">
        <f>'Confidence intervals'!AI32</f>
        <v/>
      </c>
      <c r="T70" s="1071" t="s">
        <v>162</v>
      </c>
      <c r="U70" s="1071" t="s">
        <v>162</v>
      </c>
      <c r="V70" s="1071" t="s">
        <v>162</v>
      </c>
      <c r="W70" s="1071" t="s">
        <v>162</v>
      </c>
      <c r="X70" s="1071" t="s">
        <v>162</v>
      </c>
      <c r="Y70" s="1071" t="s">
        <v>162</v>
      </c>
      <c r="Z70" s="1071" t="s">
        <v>162</v>
      </c>
      <c r="AA70" s="1071" t="s">
        <v>162</v>
      </c>
      <c r="AB70" s="1071" t="s">
        <v>162</v>
      </c>
      <c r="AC70" s="1071" t="s">
        <v>162</v>
      </c>
      <c r="AD70" s="1071" t="s">
        <v>162</v>
      </c>
      <c r="AE70" s="1071" t="s">
        <v>162</v>
      </c>
      <c r="AF70" s="1071" t="s">
        <v>162</v>
      </c>
      <c r="AG70" s="1071" t="str">
        <f>'Confidence intervals'!AL32</f>
        <v/>
      </c>
      <c r="AH70" s="1071" t="s">
        <v>162</v>
      </c>
      <c r="AI70" s="1071" t="s">
        <v>162</v>
      </c>
      <c r="AJ70" s="1071" t="s">
        <v>162</v>
      </c>
      <c r="AK70" s="1071" t="s">
        <v>162</v>
      </c>
      <c r="AL70" s="1071" t="str">
        <f>'Confidence intervals'!AO32</f>
        <v/>
      </c>
      <c r="AM70" s="1071"/>
      <c r="AN70" s="1071"/>
      <c r="AO70" s="1071" t="s">
        <v>162</v>
      </c>
      <c r="AP70" s="1071" t="s">
        <v>162</v>
      </c>
      <c r="AQ70" s="1071" t="s">
        <v>162</v>
      </c>
      <c r="AR70" s="1071" t="s">
        <v>162</v>
      </c>
      <c r="AS70" s="1071" t="s">
        <v>162</v>
      </c>
      <c r="AT70" s="1071" t="s">
        <v>162</v>
      </c>
      <c r="AU70" s="1071" t="str">
        <f>'Confidence intervals'!AX32</f>
        <v/>
      </c>
      <c r="AV70" s="1071" t="str">
        <f>'Confidence intervals'!BA32</f>
        <v/>
      </c>
      <c r="AW70" s="1057"/>
    </row>
    <row r="71">
      <c r="A71" s="122"/>
      <c r="B71" s="123"/>
      <c r="C71" s="143"/>
      <c r="D71" s="123"/>
      <c r="E71" s="782" t="s">
        <v>1080</v>
      </c>
      <c r="F71" s="193" t="s">
        <v>72</v>
      </c>
      <c r="G71" s="193" t="s">
        <v>165</v>
      </c>
      <c r="H71" s="236" t="s">
        <v>162</v>
      </c>
      <c r="I71" s="1067">
        <f>'Confidence intervals'!H33</f>
        <v>0.2924901673</v>
      </c>
      <c r="J71" s="1067">
        <f>'Confidence intervals'!K33</f>
        <v>0.2693161199</v>
      </c>
      <c r="K71" s="1067">
        <f>'Confidence intervals'!N33</f>
        <v>0.266578748</v>
      </c>
      <c r="L71" s="383">
        <f>'Confidence intervals'!Q33</f>
        <v>0.2636690241</v>
      </c>
      <c r="M71" s="1067">
        <f>'Confidence intervals'!T33</f>
        <v>0.2574081671</v>
      </c>
      <c r="N71" s="1067">
        <f>'Confidence intervals'!W33</f>
        <v>0.3173265178</v>
      </c>
      <c r="O71" s="1067">
        <f>'Confidence intervals'!Z33</f>
        <v>0.3078933721</v>
      </c>
      <c r="P71" s="1067">
        <f>'Confidence intervals'!AC33</f>
        <v>0.3159692433</v>
      </c>
      <c r="Q71" s="1067">
        <f>'Confidence intervals'!AF33</f>
        <v>0.2624083078</v>
      </c>
      <c r="R71" s="1067" t="s">
        <v>162</v>
      </c>
      <c r="S71" s="1067">
        <f>'Confidence intervals'!AI33</f>
        <v>0.2586491147</v>
      </c>
      <c r="T71" s="1067" t="s">
        <v>162</v>
      </c>
      <c r="U71" s="1067" t="s">
        <v>162</v>
      </c>
      <c r="V71" s="1067" t="s">
        <v>162</v>
      </c>
      <c r="W71" s="1067" t="s">
        <v>162</v>
      </c>
      <c r="X71" s="1067" t="s">
        <v>162</v>
      </c>
      <c r="Y71" s="1067" t="s">
        <v>162</v>
      </c>
      <c r="Z71" s="1067" t="s">
        <v>162</v>
      </c>
      <c r="AA71" s="1067" t="s">
        <v>162</v>
      </c>
      <c r="AB71" s="1067" t="s">
        <v>162</v>
      </c>
      <c r="AC71" s="1067" t="s">
        <v>162</v>
      </c>
      <c r="AD71" s="1067" t="s">
        <v>162</v>
      </c>
      <c r="AE71" s="1067" t="s">
        <v>162</v>
      </c>
      <c r="AF71" s="1067" t="s">
        <v>162</v>
      </c>
      <c r="AG71" s="1067">
        <f>'Confidence intervals'!AL33</f>
        <v>0.2636690241</v>
      </c>
      <c r="AH71" s="1067" t="s">
        <v>162</v>
      </c>
      <c r="AI71" s="1067" t="s">
        <v>162</v>
      </c>
      <c r="AJ71" s="1067" t="s">
        <v>162</v>
      </c>
      <c r="AK71" s="1067" t="s">
        <v>162</v>
      </c>
      <c r="AL71" s="1067">
        <f>'Confidence intervals'!AO33</f>
        <v>0.3756967068</v>
      </c>
      <c r="AM71" s="1067">
        <f>'Confidence intervals'!AR33</f>
        <v>0.3756967068</v>
      </c>
      <c r="AN71" s="1067">
        <f>'Confidence intervals'!AU33</f>
        <v>0.3756967068</v>
      </c>
      <c r="AO71" s="1067" t="s">
        <v>162</v>
      </c>
      <c r="AP71" s="1067" t="s">
        <v>162</v>
      </c>
      <c r="AQ71" s="1067" t="s">
        <v>162</v>
      </c>
      <c r="AR71" s="1067" t="s">
        <v>162</v>
      </c>
      <c r="AS71" s="1067" t="s">
        <v>162</v>
      </c>
      <c r="AT71" s="1067" t="s">
        <v>162</v>
      </c>
      <c r="AU71" s="1067">
        <f>'Confidence intervals'!AX33</f>
        <v>0.2645888238</v>
      </c>
      <c r="AV71" s="1067">
        <f>'Confidence intervals'!BA33</f>
        <v>0.3499757615</v>
      </c>
      <c r="AW71" s="1061"/>
    </row>
    <row r="72">
      <c r="A72" s="122"/>
      <c r="B72" s="123"/>
      <c r="C72" s="143"/>
      <c r="D72" s="123"/>
      <c r="E72" s="475" t="s">
        <v>1063</v>
      </c>
      <c r="F72" s="213" t="s">
        <v>72</v>
      </c>
      <c r="G72" s="213" t="s">
        <v>165</v>
      </c>
      <c r="H72" s="240" t="s">
        <v>162</v>
      </c>
      <c r="I72" s="1068">
        <f>'Confidence intervals'!H34</f>
        <v>0.5604356459</v>
      </c>
      <c r="J72" s="1068">
        <f>'Confidence intervals'!K34</f>
        <v>0.5654945322</v>
      </c>
      <c r="K72" s="1068">
        <f>'Confidence intervals'!N34</f>
        <v>0.5656812478</v>
      </c>
      <c r="L72" s="383">
        <f>'Confidence intervals'!Q34</f>
        <v>0.567458107</v>
      </c>
      <c r="M72" s="1068">
        <f>'Confidence intervals'!T34</f>
        <v>0.5699309144</v>
      </c>
      <c r="N72" s="1068">
        <f>'Confidence intervals'!W34</f>
        <v>0.5559508305</v>
      </c>
      <c r="O72" s="1068">
        <f>'Confidence intervals'!Z34</f>
        <v>0.5578907601</v>
      </c>
      <c r="P72" s="1068">
        <f>'Confidence intervals'!AC34</f>
        <v>0.5569205861</v>
      </c>
      <c r="Q72" s="1068">
        <f>'Confidence intervals'!AF34</f>
        <v>0.5676736742</v>
      </c>
      <c r="R72" s="1068" t="s">
        <v>162</v>
      </c>
      <c r="S72" s="1068">
        <f>'Confidence intervals'!AI34</f>
        <v>0.5655494967</v>
      </c>
      <c r="T72" s="1068" t="s">
        <v>162</v>
      </c>
      <c r="U72" s="1068" t="s">
        <v>162</v>
      </c>
      <c r="V72" s="1068" t="s">
        <v>162</v>
      </c>
      <c r="W72" s="1068" t="s">
        <v>162</v>
      </c>
      <c r="X72" s="1068" t="s">
        <v>162</v>
      </c>
      <c r="Y72" s="1068" t="s">
        <v>162</v>
      </c>
      <c r="Z72" s="1068" t="s">
        <v>162</v>
      </c>
      <c r="AA72" s="1068" t="s">
        <v>162</v>
      </c>
      <c r="AB72" s="1068" t="s">
        <v>162</v>
      </c>
      <c r="AC72" s="1068" t="s">
        <v>162</v>
      </c>
      <c r="AD72" s="1068" t="s">
        <v>162</v>
      </c>
      <c r="AE72" s="1068" t="s">
        <v>162</v>
      </c>
      <c r="AF72" s="1068" t="s">
        <v>162</v>
      </c>
      <c r="AG72" s="1068">
        <f>'Confidence intervals'!AL34</f>
        <v>0.567458107</v>
      </c>
      <c r="AH72" s="1068" t="s">
        <v>162</v>
      </c>
      <c r="AI72" s="1068" t="s">
        <v>162</v>
      </c>
      <c r="AJ72" s="1068" t="s">
        <v>162</v>
      </c>
      <c r="AK72" s="1068" t="s">
        <v>162</v>
      </c>
      <c r="AL72" s="1068">
        <f>'Confidence intervals'!AO34</f>
        <v>0.5415453454</v>
      </c>
      <c r="AM72" s="1067">
        <f>'Confidence intervals'!AR34</f>
        <v>0.5415453454</v>
      </c>
      <c r="AN72" s="1067">
        <f>'Confidence intervals'!AU34</f>
        <v>0.5415453454</v>
      </c>
      <c r="AO72" s="1068" t="s">
        <v>162</v>
      </c>
      <c r="AP72" s="1068" t="s">
        <v>162</v>
      </c>
      <c r="AQ72" s="1068" t="s">
        <v>162</v>
      </c>
      <c r="AR72" s="1068" t="s">
        <v>162</v>
      </c>
      <c r="AS72" s="1068" t="s">
        <v>162</v>
      </c>
      <c r="AT72" s="1068" t="s">
        <v>162</v>
      </c>
      <c r="AU72" s="1068">
        <f>'Confidence intervals'!AX34</f>
        <v>0.5648607396</v>
      </c>
      <c r="AV72" s="1068">
        <f>'Confidence intervals'!BA34</f>
        <v>0.5478901123</v>
      </c>
      <c r="AW72" s="1062"/>
    </row>
    <row r="73">
      <c r="A73" s="122"/>
      <c r="B73" s="123"/>
      <c r="C73" s="143"/>
      <c r="D73" s="123"/>
      <c r="E73" s="792" t="s">
        <v>1064</v>
      </c>
      <c r="F73" s="200" t="s">
        <v>72</v>
      </c>
      <c r="G73" s="200" t="s">
        <v>165</v>
      </c>
      <c r="H73" s="228" t="s">
        <v>162</v>
      </c>
      <c r="I73" s="1069">
        <f>'Confidence intervals'!H35</f>
        <v>0.07013218414</v>
      </c>
      <c r="J73" s="1069">
        <f>'Confidence intervals'!K35</f>
        <v>0.1459671886</v>
      </c>
      <c r="K73" s="1069">
        <f>'Confidence intervals'!N35</f>
        <v>0.0783718858</v>
      </c>
      <c r="L73" s="407">
        <f>'Confidence intervals'!Q35</f>
        <v>0.1593957589</v>
      </c>
      <c r="M73" s="1069">
        <f>'Confidence intervals'!T35</f>
        <v>0.1124915504</v>
      </c>
      <c r="N73" s="1069">
        <f>'Confidence intervals'!W35</f>
        <v>0.08353579654</v>
      </c>
      <c r="O73" s="1069">
        <f>'Confidence intervals'!Z35</f>
        <v>0.04748940449</v>
      </c>
      <c r="P73" s="1069">
        <f>'Confidence intervals'!AC35</f>
        <v>0.03570864661</v>
      </c>
      <c r="Q73" s="1069">
        <f>'Confidence intervals'!AF35</f>
        <v>0.0446499805</v>
      </c>
      <c r="R73" s="1069" t="s">
        <v>162</v>
      </c>
      <c r="S73" s="1069">
        <f>'Confidence intervals'!AI35</f>
        <v>0.3767013996</v>
      </c>
      <c r="T73" s="1069" t="s">
        <v>162</v>
      </c>
      <c r="U73" s="1069" t="s">
        <v>162</v>
      </c>
      <c r="V73" s="1069" t="s">
        <v>162</v>
      </c>
      <c r="W73" s="1069" t="s">
        <v>162</v>
      </c>
      <c r="X73" s="1069" t="s">
        <v>162</v>
      </c>
      <c r="Y73" s="1069" t="s">
        <v>162</v>
      </c>
      <c r="Z73" s="1069" t="s">
        <v>162</v>
      </c>
      <c r="AA73" s="1069" t="s">
        <v>162</v>
      </c>
      <c r="AB73" s="1069" t="s">
        <v>162</v>
      </c>
      <c r="AC73" s="1069" t="s">
        <v>162</v>
      </c>
      <c r="AD73" s="1069" t="s">
        <v>162</v>
      </c>
      <c r="AE73" s="1069" t="s">
        <v>162</v>
      </c>
      <c r="AF73" s="1069" t="s">
        <v>162</v>
      </c>
      <c r="AG73" s="1069">
        <f>'Confidence intervals'!AL35</f>
        <v>0.2577292676</v>
      </c>
      <c r="AH73" s="1069" t="s">
        <v>162</v>
      </c>
      <c r="AI73" s="1069" t="s">
        <v>162</v>
      </c>
      <c r="AJ73" s="1069" t="s">
        <v>162</v>
      </c>
      <c r="AK73" s="1069" t="s">
        <v>162</v>
      </c>
      <c r="AL73" s="1069">
        <f>'Confidence intervals'!AO35</f>
        <v>0.1752942675</v>
      </c>
      <c r="AM73" s="1069">
        <f>'Confidence intervals'!AR35</f>
        <v>0.1474863182</v>
      </c>
      <c r="AN73" s="1069">
        <f>'Confidence intervals'!AU35</f>
        <v>0.2563165063</v>
      </c>
      <c r="AO73" s="1069" t="s">
        <v>162</v>
      </c>
      <c r="AP73" s="1069" t="s">
        <v>162</v>
      </c>
      <c r="AQ73" s="1069" t="s">
        <v>162</v>
      </c>
      <c r="AR73" s="1069" t="s">
        <v>162</v>
      </c>
      <c r="AS73" s="1069" t="s">
        <v>162</v>
      </c>
      <c r="AT73" s="1069" t="s">
        <v>162</v>
      </c>
      <c r="AU73" s="1069">
        <f>'Confidence intervals'!AX35</f>
        <v>0.1855695004</v>
      </c>
      <c r="AV73" s="1069">
        <f>'Confidence intervals'!BA35</f>
        <v>0.1149556394</v>
      </c>
      <c r="AW73" s="1063"/>
    </row>
    <row r="74">
      <c r="A74" s="122"/>
      <c r="B74" s="123"/>
      <c r="C74" s="143"/>
      <c r="D74" s="123"/>
      <c r="E74" s="853"/>
      <c r="F74" s="423"/>
      <c r="G74" s="423"/>
      <c r="H74" s="1070"/>
      <c r="I74" s="1071" t="str">
        <f>'Confidence intervals'!H36</f>
        <v/>
      </c>
      <c r="J74" s="1071" t="str">
        <f>'Confidence intervals'!K36</f>
        <v/>
      </c>
      <c r="K74" s="1071" t="str">
        <f>'Confidence intervals'!N36</f>
        <v/>
      </c>
      <c r="L74" s="1071"/>
      <c r="M74" s="1071" t="str">
        <f>'Confidence intervals'!T36</f>
        <v/>
      </c>
      <c r="N74" s="1071" t="str">
        <f>'Confidence intervals'!W36</f>
        <v/>
      </c>
      <c r="O74" s="1071" t="str">
        <f>'Confidence intervals'!Z36</f>
        <v/>
      </c>
      <c r="P74" s="1071" t="str">
        <f>'Confidence intervals'!AC36</f>
        <v/>
      </c>
      <c r="Q74" s="1071" t="str">
        <f>'Confidence intervals'!AF36</f>
        <v/>
      </c>
      <c r="R74" s="1071" t="s">
        <v>162</v>
      </c>
      <c r="S74" s="1071" t="str">
        <f>'Confidence intervals'!AI36</f>
        <v/>
      </c>
      <c r="T74" s="1071" t="s">
        <v>162</v>
      </c>
      <c r="U74" s="1071" t="s">
        <v>162</v>
      </c>
      <c r="V74" s="1071" t="s">
        <v>162</v>
      </c>
      <c r="W74" s="1071" t="s">
        <v>162</v>
      </c>
      <c r="X74" s="1071" t="s">
        <v>162</v>
      </c>
      <c r="Y74" s="1071" t="s">
        <v>162</v>
      </c>
      <c r="Z74" s="1071" t="s">
        <v>162</v>
      </c>
      <c r="AA74" s="1071" t="s">
        <v>162</v>
      </c>
      <c r="AB74" s="1071" t="s">
        <v>162</v>
      </c>
      <c r="AC74" s="1071" t="s">
        <v>162</v>
      </c>
      <c r="AD74" s="1071" t="s">
        <v>162</v>
      </c>
      <c r="AE74" s="1071" t="s">
        <v>162</v>
      </c>
      <c r="AF74" s="1071" t="s">
        <v>162</v>
      </c>
      <c r="AG74" s="1071" t="str">
        <f>'Confidence intervals'!AL36</f>
        <v/>
      </c>
      <c r="AH74" s="1071" t="s">
        <v>162</v>
      </c>
      <c r="AI74" s="1071" t="s">
        <v>162</v>
      </c>
      <c r="AJ74" s="1071" t="s">
        <v>162</v>
      </c>
      <c r="AK74" s="1071" t="s">
        <v>162</v>
      </c>
      <c r="AL74" s="1071" t="str">
        <f>'Confidence intervals'!AO36</f>
        <v/>
      </c>
      <c r="AM74" s="1071"/>
      <c r="AN74" s="1071"/>
      <c r="AO74" s="1071" t="s">
        <v>162</v>
      </c>
      <c r="AP74" s="1071" t="s">
        <v>162</v>
      </c>
      <c r="AQ74" s="1071" t="s">
        <v>162</v>
      </c>
      <c r="AR74" s="1071" t="s">
        <v>162</v>
      </c>
      <c r="AS74" s="1071" t="s">
        <v>162</v>
      </c>
      <c r="AT74" s="1071" t="s">
        <v>162</v>
      </c>
      <c r="AU74" s="1071" t="str">
        <f>'Confidence intervals'!AX36</f>
        <v/>
      </c>
      <c r="AV74" s="1071" t="str">
        <f>'Confidence intervals'!BA36</f>
        <v/>
      </c>
      <c r="AW74" s="1057"/>
    </row>
    <row r="75">
      <c r="A75" s="122"/>
      <c r="B75" s="123"/>
      <c r="C75" s="143" t="s">
        <v>1070</v>
      </c>
      <c r="F75" s="423"/>
      <c r="G75" s="423"/>
      <c r="H75" s="1070"/>
      <c r="I75" s="1071" t="str">
        <f>'Confidence intervals'!H37</f>
        <v/>
      </c>
      <c r="J75" s="1071" t="str">
        <f>'Confidence intervals'!K37</f>
        <v/>
      </c>
      <c r="K75" s="1071" t="str">
        <f>'Confidence intervals'!N37</f>
        <v/>
      </c>
      <c r="L75" s="1071"/>
      <c r="M75" s="1071" t="str">
        <f>'Confidence intervals'!T37</f>
        <v/>
      </c>
      <c r="N75" s="1071" t="str">
        <f>'Confidence intervals'!W37</f>
        <v/>
      </c>
      <c r="O75" s="1071" t="str">
        <f>'Confidence intervals'!Z37</f>
        <v/>
      </c>
      <c r="P75" s="1071" t="str">
        <f>'Confidence intervals'!AC37</f>
        <v/>
      </c>
      <c r="Q75" s="1071" t="str">
        <f>'Confidence intervals'!AF37</f>
        <v/>
      </c>
      <c r="R75" s="1071" t="s">
        <v>162</v>
      </c>
      <c r="S75" s="1071" t="str">
        <f>'Confidence intervals'!AI37</f>
        <v/>
      </c>
      <c r="T75" s="1071" t="s">
        <v>162</v>
      </c>
      <c r="U75" s="1071" t="s">
        <v>162</v>
      </c>
      <c r="V75" s="1071" t="s">
        <v>162</v>
      </c>
      <c r="W75" s="1071" t="s">
        <v>162</v>
      </c>
      <c r="X75" s="1071" t="s">
        <v>162</v>
      </c>
      <c r="Y75" s="1071" t="s">
        <v>162</v>
      </c>
      <c r="Z75" s="1071" t="s">
        <v>162</v>
      </c>
      <c r="AA75" s="1071" t="s">
        <v>162</v>
      </c>
      <c r="AB75" s="1071" t="s">
        <v>162</v>
      </c>
      <c r="AC75" s="1071" t="s">
        <v>162</v>
      </c>
      <c r="AD75" s="1071" t="s">
        <v>162</v>
      </c>
      <c r="AE75" s="1071" t="s">
        <v>162</v>
      </c>
      <c r="AF75" s="1071" t="s">
        <v>162</v>
      </c>
      <c r="AG75" s="1071" t="str">
        <f>'Confidence intervals'!AL37</f>
        <v/>
      </c>
      <c r="AH75" s="1071" t="s">
        <v>162</v>
      </c>
      <c r="AI75" s="1071" t="s">
        <v>162</v>
      </c>
      <c r="AJ75" s="1071" t="s">
        <v>162</v>
      </c>
      <c r="AK75" s="1071" t="s">
        <v>162</v>
      </c>
      <c r="AL75" s="1071" t="str">
        <f>'Confidence intervals'!AO37</f>
        <v/>
      </c>
      <c r="AM75" s="1071"/>
      <c r="AN75" s="1071"/>
      <c r="AO75" s="1071" t="s">
        <v>162</v>
      </c>
      <c r="AP75" s="1071" t="s">
        <v>162</v>
      </c>
      <c r="AQ75" s="1071" t="s">
        <v>162</v>
      </c>
      <c r="AR75" s="1071" t="s">
        <v>162</v>
      </c>
      <c r="AS75" s="1071" t="s">
        <v>162</v>
      </c>
      <c r="AT75" s="1071" t="s">
        <v>162</v>
      </c>
      <c r="AU75" s="1071" t="str">
        <f>'Confidence intervals'!AX37</f>
        <v/>
      </c>
      <c r="AV75" s="1071" t="str">
        <f>'Confidence intervals'!BA37</f>
        <v/>
      </c>
      <c r="AW75" s="1057"/>
    </row>
    <row r="76">
      <c r="A76" s="122"/>
      <c r="B76" s="123"/>
      <c r="C76" s="143"/>
      <c r="D76" s="123"/>
      <c r="E76" s="782" t="s">
        <v>1071</v>
      </c>
      <c r="F76" s="193" t="s">
        <v>72</v>
      </c>
      <c r="G76" s="193" t="s">
        <v>165</v>
      </c>
      <c r="H76" s="236" t="s">
        <v>162</v>
      </c>
      <c r="I76" s="383">
        <f>'Confidence intervals'!H38</f>
        <v>0.77965</v>
      </c>
      <c r="J76" s="383">
        <f>'Confidence intervals'!K38</f>
        <v>0.77965</v>
      </c>
      <c r="K76" s="383">
        <f>'Confidence intervals'!N38</f>
        <v>0.77965</v>
      </c>
      <c r="L76" s="383">
        <f>'Confidence intervals'!Q38</f>
        <v>0.77965</v>
      </c>
      <c r="M76" s="383">
        <f>'Confidence intervals'!T38</f>
        <v>0.77965</v>
      </c>
      <c r="N76" s="383">
        <f>'Confidence intervals'!W38</f>
        <v>0.77965</v>
      </c>
      <c r="O76" s="383">
        <f>'Confidence intervals'!Z38</f>
        <v>0.77965</v>
      </c>
      <c r="P76" s="383">
        <f>'Confidence intervals'!AC38</f>
        <v>0.77965</v>
      </c>
      <c r="Q76" s="383">
        <f>'Confidence intervals'!AF38</f>
        <v>0.77965</v>
      </c>
      <c r="R76" s="383" t="s">
        <v>162</v>
      </c>
      <c r="S76" s="383">
        <f>'Confidence intervals'!AI38</f>
        <v>0.4903166667</v>
      </c>
      <c r="T76" s="383" t="s">
        <v>162</v>
      </c>
      <c r="U76" s="383" t="s">
        <v>162</v>
      </c>
      <c r="V76" s="383" t="s">
        <v>162</v>
      </c>
      <c r="W76" s="383" t="s">
        <v>162</v>
      </c>
      <c r="X76" s="383" t="s">
        <v>162</v>
      </c>
      <c r="Y76" s="383" t="s">
        <v>162</v>
      </c>
      <c r="Z76" s="383" t="s">
        <v>162</v>
      </c>
      <c r="AA76" s="383" t="s">
        <v>162</v>
      </c>
      <c r="AB76" s="383" t="s">
        <v>162</v>
      </c>
      <c r="AC76" s="383" t="s">
        <v>162</v>
      </c>
      <c r="AD76" s="383" t="s">
        <v>162</v>
      </c>
      <c r="AE76" s="383" t="s">
        <v>162</v>
      </c>
      <c r="AF76" s="383" t="s">
        <v>162</v>
      </c>
      <c r="AG76" s="383">
        <f>'Confidence intervals'!AL38</f>
        <v>0.4903166667</v>
      </c>
      <c r="AH76" s="383" t="s">
        <v>162</v>
      </c>
      <c r="AI76" s="383" t="s">
        <v>162</v>
      </c>
      <c r="AJ76" s="383" t="s">
        <v>162</v>
      </c>
      <c r="AK76" s="383" t="s">
        <v>162</v>
      </c>
      <c r="AL76" s="383">
        <f>'Confidence intervals'!AO38</f>
        <v>0.54715</v>
      </c>
      <c r="AM76" s="383">
        <f>'Confidence intervals'!AR38</f>
        <v>0.60915</v>
      </c>
      <c r="AN76" s="383">
        <f>'Confidence intervals'!AU38</f>
        <v>0.4903166667</v>
      </c>
      <c r="AO76" s="383" t="s">
        <v>162</v>
      </c>
      <c r="AP76" s="383" t="s">
        <v>162</v>
      </c>
      <c r="AQ76" s="383" t="s">
        <v>162</v>
      </c>
      <c r="AR76" s="383" t="s">
        <v>162</v>
      </c>
      <c r="AS76" s="383" t="s">
        <v>162</v>
      </c>
      <c r="AT76" s="383" t="s">
        <v>162</v>
      </c>
      <c r="AU76" s="383">
        <f>'Confidence intervals'!AX38</f>
        <v>0.31465</v>
      </c>
      <c r="AV76" s="383">
        <f>'Confidence intervals'!BA38</f>
        <v>0.60915</v>
      </c>
      <c r="AW76" s="1061"/>
    </row>
    <row r="77">
      <c r="A77" s="122"/>
      <c r="B77" s="123"/>
      <c r="C77" s="143"/>
      <c r="D77" s="123"/>
      <c r="E77" s="475" t="s">
        <v>1072</v>
      </c>
      <c r="F77" s="213" t="s">
        <v>72</v>
      </c>
      <c r="G77" s="213" t="s">
        <v>165</v>
      </c>
      <c r="H77" s="240" t="s">
        <v>162</v>
      </c>
      <c r="I77" s="241">
        <f>'Confidence intervals'!H39</f>
        <v>-0.021</v>
      </c>
      <c r="J77" s="241">
        <f>'Confidence intervals'!K39</f>
        <v>-0.021</v>
      </c>
      <c r="K77" s="241">
        <f>'Confidence intervals'!N39</f>
        <v>-0.021</v>
      </c>
      <c r="L77" s="383">
        <f>'Confidence intervals'!Q39</f>
        <v>-0.021</v>
      </c>
      <c r="M77" s="241">
        <f>'Confidence intervals'!T39</f>
        <v>-0.021</v>
      </c>
      <c r="N77" s="241">
        <f>'Confidence intervals'!W39</f>
        <v>-0.021</v>
      </c>
      <c r="O77" s="241">
        <f>'Confidence intervals'!Z39</f>
        <v>-0.021</v>
      </c>
      <c r="P77" s="241">
        <f>'Confidence intervals'!AC39</f>
        <v>-0.021</v>
      </c>
      <c r="Q77" s="241">
        <f>'Confidence intervals'!AF39</f>
        <v>-0.021</v>
      </c>
      <c r="R77" s="241" t="s">
        <v>162</v>
      </c>
      <c r="S77" s="241">
        <f>'Confidence intervals'!AI39</f>
        <v>-0.021</v>
      </c>
      <c r="T77" s="241" t="s">
        <v>162</v>
      </c>
      <c r="U77" s="241" t="s">
        <v>162</v>
      </c>
      <c r="V77" s="241" t="s">
        <v>162</v>
      </c>
      <c r="W77" s="241" t="s">
        <v>162</v>
      </c>
      <c r="X77" s="241" t="s">
        <v>162</v>
      </c>
      <c r="Y77" s="241" t="s">
        <v>162</v>
      </c>
      <c r="Z77" s="241" t="s">
        <v>162</v>
      </c>
      <c r="AA77" s="241" t="s">
        <v>162</v>
      </c>
      <c r="AB77" s="241" t="s">
        <v>162</v>
      </c>
      <c r="AC77" s="241" t="s">
        <v>162</v>
      </c>
      <c r="AD77" s="241" t="s">
        <v>162</v>
      </c>
      <c r="AE77" s="241" t="s">
        <v>162</v>
      </c>
      <c r="AF77" s="241" t="s">
        <v>162</v>
      </c>
      <c r="AG77" s="241">
        <f>'Confidence intervals'!AL39</f>
        <v>-0.021</v>
      </c>
      <c r="AH77" s="241" t="s">
        <v>162</v>
      </c>
      <c r="AI77" s="241" t="s">
        <v>162</v>
      </c>
      <c r="AJ77" s="241" t="s">
        <v>162</v>
      </c>
      <c r="AK77" s="241" t="s">
        <v>162</v>
      </c>
      <c r="AL77" s="241">
        <f>'Confidence intervals'!AO39</f>
        <v>-0.021</v>
      </c>
      <c r="AM77" s="383">
        <f>'Confidence intervals'!AR39</f>
        <v>-0.021</v>
      </c>
      <c r="AN77" s="383">
        <f>'Confidence intervals'!AU39</f>
        <v>-0.021</v>
      </c>
      <c r="AO77" s="241" t="s">
        <v>162</v>
      </c>
      <c r="AP77" s="241" t="s">
        <v>162</v>
      </c>
      <c r="AQ77" s="241" t="s">
        <v>162</v>
      </c>
      <c r="AR77" s="241" t="s">
        <v>162</v>
      </c>
      <c r="AS77" s="241" t="s">
        <v>162</v>
      </c>
      <c r="AT77" s="241" t="s">
        <v>162</v>
      </c>
      <c r="AU77" s="241">
        <f>'Confidence intervals'!AX39</f>
        <v>-0.021</v>
      </c>
      <c r="AV77" s="241">
        <f>'Confidence intervals'!BA39</f>
        <v>-0.021</v>
      </c>
      <c r="AW77" s="1062"/>
    </row>
    <row r="78">
      <c r="A78" s="122"/>
      <c r="B78" s="123"/>
      <c r="C78" s="143"/>
      <c r="D78" s="123"/>
      <c r="E78" s="792" t="s">
        <v>1074</v>
      </c>
      <c r="F78" s="200" t="s">
        <v>72</v>
      </c>
      <c r="G78" s="200" t="s">
        <v>165</v>
      </c>
      <c r="H78" s="228" t="s">
        <v>162</v>
      </c>
      <c r="I78" s="385">
        <f>'Confidence intervals'!H40</f>
        <v>-0.02803958769</v>
      </c>
      <c r="J78" s="385">
        <f>'Confidence intervals'!K40</f>
        <v>-0.02610775346</v>
      </c>
      <c r="K78" s="385">
        <f>'Confidence intervals'!N40</f>
        <v>-0.02782069893</v>
      </c>
      <c r="L78" s="407">
        <f>'Confidence intervals'!Q40</f>
        <v>-0.02578407324</v>
      </c>
      <c r="M78" s="385">
        <f>'Confidence intervals'!T40</f>
        <v>-0.02693811605</v>
      </c>
      <c r="N78" s="385">
        <f>'Confidence intervals'!W40</f>
        <v>-0.0276846801</v>
      </c>
      <c r="O78" s="385">
        <f>'Confidence intervals'!Z40</f>
        <v>-0.02865310013</v>
      </c>
      <c r="P78" s="385">
        <f>'Confidence intervals'!AC40</f>
        <v>-0.02897945812</v>
      </c>
      <c r="Q78" s="385">
        <f>'Confidence intervals'!AF40</f>
        <v>-0.02873130432</v>
      </c>
      <c r="R78" s="385" t="s">
        <v>162</v>
      </c>
      <c r="S78" s="385">
        <f>'Confidence intervals'!AI40</f>
        <v>-0.01994084664</v>
      </c>
      <c r="T78" s="385" t="s">
        <v>162</v>
      </c>
      <c r="U78" s="385" t="s">
        <v>162</v>
      </c>
      <c r="V78" s="385" t="s">
        <v>162</v>
      </c>
      <c r="W78" s="385" t="s">
        <v>162</v>
      </c>
      <c r="X78" s="385" t="s">
        <v>162</v>
      </c>
      <c r="Y78" s="385" t="s">
        <v>162</v>
      </c>
      <c r="Z78" s="385" t="s">
        <v>162</v>
      </c>
      <c r="AA78" s="385" t="s">
        <v>162</v>
      </c>
      <c r="AB78" s="385" t="s">
        <v>162</v>
      </c>
      <c r="AC78" s="385" t="s">
        <v>162</v>
      </c>
      <c r="AD78" s="385" t="s">
        <v>162</v>
      </c>
      <c r="AE78" s="385" t="s">
        <v>162</v>
      </c>
      <c r="AF78" s="385" t="s">
        <v>162</v>
      </c>
      <c r="AG78" s="385">
        <f>'Confidence intervals'!AL40</f>
        <v>-0.02265196648</v>
      </c>
      <c r="AH78" s="385" t="s">
        <v>162</v>
      </c>
      <c r="AI78" s="385" t="s">
        <v>162</v>
      </c>
      <c r="AJ78" s="385" t="s">
        <v>162</v>
      </c>
      <c r="AK78" s="385" t="s">
        <v>162</v>
      </c>
      <c r="AL78" s="385">
        <f>'Confidence intervals'!AO40</f>
        <v>-0.02489842745</v>
      </c>
      <c r="AM78" s="385">
        <f>'Confidence intervals'!AR40</f>
        <v>-0.02576060334</v>
      </c>
      <c r="AN78" s="385">
        <f>'Confidence intervals'!AU40</f>
        <v>-0.02288456841</v>
      </c>
      <c r="AO78" s="385" t="s">
        <v>162</v>
      </c>
      <c r="AP78" s="385" t="s">
        <v>162</v>
      </c>
      <c r="AQ78" s="385" t="s">
        <v>162</v>
      </c>
      <c r="AR78" s="385" t="s">
        <v>162</v>
      </c>
      <c r="AS78" s="385" t="s">
        <v>162</v>
      </c>
      <c r="AT78" s="385" t="s">
        <v>162</v>
      </c>
      <c r="AU78" s="385">
        <f>'Confidence intervals'!AX40</f>
        <v>-0.02396302247</v>
      </c>
      <c r="AV78" s="385">
        <f>'Confidence intervals'!BA40</f>
        <v>-0.0266291159</v>
      </c>
      <c r="AW78" s="1063"/>
    </row>
    <row r="79">
      <c r="A79" s="122"/>
      <c r="B79" s="123"/>
      <c r="C79" s="143"/>
      <c r="D79" s="123"/>
      <c r="E79" s="853"/>
      <c r="F79" s="423"/>
      <c r="G79" s="423"/>
      <c r="H79" s="1070"/>
      <c r="I79" s="1071"/>
      <c r="J79" s="1071"/>
      <c r="K79" s="1071"/>
      <c r="L79" s="1071"/>
      <c r="M79" s="1071"/>
      <c r="N79" s="1071"/>
      <c r="O79" s="1071"/>
      <c r="P79" s="1071"/>
      <c r="Q79" s="1071"/>
      <c r="R79" s="1071"/>
      <c r="S79" s="1071"/>
      <c r="T79" s="1071"/>
      <c r="U79" s="1071"/>
      <c r="V79" s="1071"/>
      <c r="W79" s="1071"/>
      <c r="X79" s="1071"/>
      <c r="Y79" s="1071"/>
      <c r="Z79" s="1071"/>
      <c r="AA79" s="1071"/>
      <c r="AB79" s="1071"/>
      <c r="AC79" s="1071"/>
      <c r="AD79" s="1071"/>
      <c r="AE79" s="1071"/>
      <c r="AF79" s="1071"/>
      <c r="AG79" s="1071"/>
      <c r="AH79" s="1071"/>
      <c r="AI79" s="1071"/>
      <c r="AJ79" s="1071"/>
      <c r="AK79" s="1071"/>
      <c r="AL79" s="1071"/>
      <c r="AM79" s="1071"/>
      <c r="AN79" s="1071"/>
      <c r="AO79" s="1071"/>
      <c r="AP79" s="1071"/>
      <c r="AQ79" s="1071"/>
      <c r="AR79" s="1071"/>
      <c r="AS79" s="1071"/>
      <c r="AT79" s="1071"/>
      <c r="AU79" s="1071"/>
      <c r="AV79" s="1071"/>
      <c r="AW79" s="1057"/>
    </row>
    <row r="80">
      <c r="A80" s="117" t="s">
        <v>1082</v>
      </c>
      <c r="B80" s="7"/>
      <c r="C80" s="7"/>
      <c r="D80" s="7"/>
      <c r="E80" s="7"/>
      <c r="F80" s="7"/>
      <c r="G80" s="7"/>
      <c r="H80" s="118"/>
      <c r="I80" s="1081"/>
      <c r="J80" s="1081"/>
      <c r="K80" s="1081"/>
      <c r="L80" s="1081"/>
      <c r="M80" s="1081"/>
      <c r="N80" s="1081"/>
      <c r="O80" s="1081"/>
      <c r="P80" s="1081"/>
      <c r="Q80" s="1081"/>
      <c r="R80" s="1081"/>
      <c r="S80" s="1081"/>
      <c r="T80" s="1081"/>
      <c r="U80" s="1081"/>
      <c r="V80" s="1081"/>
      <c r="W80" s="1081"/>
      <c r="X80" s="1081"/>
      <c r="Y80" s="1081"/>
      <c r="Z80" s="1081"/>
      <c r="AA80" s="1081"/>
      <c r="AB80" s="1081"/>
      <c r="AC80" s="1081"/>
      <c r="AD80" s="1081"/>
      <c r="AE80" s="1081"/>
      <c r="AF80" s="1081"/>
      <c r="AG80" s="1081"/>
      <c r="AH80" s="1081"/>
      <c r="AI80" s="1081"/>
      <c r="AJ80" s="1081"/>
      <c r="AK80" s="1081"/>
      <c r="AL80" s="1081"/>
      <c r="AM80" s="1081"/>
      <c r="AN80" s="1081"/>
      <c r="AO80" s="1081"/>
      <c r="AP80" s="1081"/>
      <c r="AQ80" s="1081"/>
      <c r="AR80" s="1081"/>
      <c r="AS80" s="1081"/>
      <c r="AT80" s="1081"/>
      <c r="AU80" s="1081"/>
      <c r="AV80" s="1081"/>
      <c r="AW80" s="1055"/>
    </row>
    <row r="81">
      <c r="A81" s="122"/>
      <c r="B81" s="123"/>
      <c r="C81" s="123"/>
      <c r="D81" s="123"/>
      <c r="E81" s="445"/>
      <c r="F81" s="125"/>
      <c r="G81" s="125"/>
      <c r="H81" s="127"/>
      <c r="I81" s="1056"/>
      <c r="J81" s="1056"/>
      <c r="K81" s="1056"/>
      <c r="L81" s="1056"/>
      <c r="M81" s="1056"/>
      <c r="N81" s="1056"/>
      <c r="O81" s="1056"/>
      <c r="P81" s="1056"/>
      <c r="Q81" s="1056"/>
      <c r="R81" s="1056"/>
      <c r="S81" s="1056"/>
      <c r="T81" s="1056"/>
      <c r="U81" s="1056"/>
      <c r="V81" s="1056"/>
      <c r="W81" s="1056"/>
      <c r="X81" s="1056"/>
      <c r="Y81" s="1056"/>
      <c r="Z81" s="1056"/>
      <c r="AA81" s="1056"/>
      <c r="AB81" s="1056"/>
      <c r="AC81" s="1056"/>
      <c r="AD81" s="1056"/>
      <c r="AE81" s="1056"/>
      <c r="AF81" s="1056"/>
      <c r="AG81" s="1056"/>
      <c r="AH81" s="1056"/>
      <c r="AI81" s="1056"/>
      <c r="AJ81" s="1056"/>
      <c r="AK81" s="1056"/>
      <c r="AL81" s="1056"/>
      <c r="AM81" s="1056"/>
      <c r="AN81" s="1056"/>
      <c r="AO81" s="1056"/>
      <c r="AP81" s="1056"/>
      <c r="AQ81" s="1056"/>
      <c r="AR81" s="1056"/>
      <c r="AS81" s="1056"/>
      <c r="AT81" s="1056"/>
      <c r="AU81" s="1056"/>
      <c r="AV81" s="1056"/>
      <c r="AW81" s="1057"/>
    </row>
    <row r="82">
      <c r="A82" s="122"/>
      <c r="B82" s="123"/>
      <c r="C82" s="1084" t="s">
        <v>1048</v>
      </c>
      <c r="F82" s="125"/>
      <c r="G82" s="482"/>
      <c r="H82" s="127"/>
      <c r="I82" s="1056"/>
      <c r="J82" s="1056"/>
      <c r="K82" s="1056"/>
      <c r="L82" s="1056"/>
      <c r="M82" s="1056"/>
      <c r="N82" s="1056"/>
      <c r="O82" s="1056"/>
      <c r="P82" s="1056"/>
      <c r="Q82" s="1056"/>
      <c r="R82" s="1056"/>
      <c r="S82" s="1056"/>
      <c r="T82" s="1056"/>
      <c r="U82" s="1056"/>
      <c r="V82" s="1056"/>
      <c r="W82" s="1056"/>
      <c r="X82" s="1056"/>
      <c r="Y82" s="1056"/>
      <c r="Z82" s="1056"/>
      <c r="AA82" s="1056"/>
      <c r="AB82" s="1056"/>
      <c r="AC82" s="1056"/>
      <c r="AD82" s="1056"/>
      <c r="AE82" s="1056"/>
      <c r="AF82" s="1056"/>
      <c r="AG82" s="1056"/>
      <c r="AH82" s="1056"/>
      <c r="AI82" s="1056"/>
      <c r="AJ82" s="1056"/>
      <c r="AK82" s="1056"/>
      <c r="AL82" s="1056"/>
      <c r="AM82" s="1056"/>
      <c r="AN82" s="1056"/>
      <c r="AO82" s="1056"/>
      <c r="AP82" s="1056"/>
      <c r="AQ82" s="1056"/>
      <c r="AR82" s="1056"/>
      <c r="AS82" s="1056"/>
      <c r="AT82" s="1056"/>
      <c r="AU82" s="1056"/>
      <c r="AV82" s="1056"/>
      <c r="AW82" s="1057"/>
    </row>
    <row r="83">
      <c r="A83" s="122"/>
      <c r="B83" s="123"/>
      <c r="C83" s="123"/>
      <c r="D83" s="123"/>
      <c r="E83" s="762" t="s">
        <v>158</v>
      </c>
      <c r="F83" s="763" t="s">
        <v>68</v>
      </c>
      <c r="G83" s="1085" t="s">
        <v>165</v>
      </c>
      <c r="H83" s="136">
        <v>1000000.0</v>
      </c>
      <c r="I83" s="137" t="s">
        <v>162</v>
      </c>
      <c r="J83" s="137" t="s">
        <v>162</v>
      </c>
      <c r="K83" s="137" t="s">
        <v>162</v>
      </c>
      <c r="L83" s="137" t="s">
        <v>162</v>
      </c>
      <c r="M83" s="137" t="s">
        <v>162</v>
      </c>
      <c r="N83" s="137" t="s">
        <v>162</v>
      </c>
      <c r="O83" s="137" t="s">
        <v>162</v>
      </c>
      <c r="P83" s="137" t="s">
        <v>162</v>
      </c>
      <c r="Q83" s="137" t="s">
        <v>162</v>
      </c>
      <c r="R83" s="137" t="s">
        <v>162</v>
      </c>
      <c r="S83" s="137" t="s">
        <v>162</v>
      </c>
      <c r="T83" s="137" t="s">
        <v>162</v>
      </c>
      <c r="U83" s="137" t="s">
        <v>162</v>
      </c>
      <c r="V83" s="137" t="s">
        <v>162</v>
      </c>
      <c r="W83" s="137" t="s">
        <v>162</v>
      </c>
      <c r="X83" s="137" t="s">
        <v>162</v>
      </c>
      <c r="Y83" s="137" t="s">
        <v>162</v>
      </c>
      <c r="Z83" s="137" t="s">
        <v>162</v>
      </c>
      <c r="AA83" s="137" t="s">
        <v>162</v>
      </c>
      <c r="AB83" s="137" t="s">
        <v>162</v>
      </c>
      <c r="AC83" s="137" t="s">
        <v>162</v>
      </c>
      <c r="AD83" s="137" t="s">
        <v>162</v>
      </c>
      <c r="AE83" s="137" t="s">
        <v>162</v>
      </c>
      <c r="AF83" s="137" t="s">
        <v>162</v>
      </c>
      <c r="AG83" s="137" t="s">
        <v>162</v>
      </c>
      <c r="AH83" s="137" t="s">
        <v>162</v>
      </c>
      <c r="AI83" s="137" t="s">
        <v>162</v>
      </c>
      <c r="AJ83" s="137" t="s">
        <v>162</v>
      </c>
      <c r="AK83" s="137" t="s">
        <v>162</v>
      </c>
      <c r="AL83" s="137" t="s">
        <v>162</v>
      </c>
      <c r="AM83" s="137" t="s">
        <v>162</v>
      </c>
      <c r="AN83" s="137" t="s">
        <v>162</v>
      </c>
      <c r="AO83" s="137" t="s">
        <v>162</v>
      </c>
      <c r="AP83" s="137" t="s">
        <v>162</v>
      </c>
      <c r="AQ83" s="137" t="s">
        <v>162</v>
      </c>
      <c r="AR83" s="137" t="s">
        <v>162</v>
      </c>
      <c r="AS83" s="137" t="s">
        <v>162</v>
      </c>
      <c r="AT83" s="137" t="s">
        <v>162</v>
      </c>
      <c r="AU83" s="137" t="s">
        <v>162</v>
      </c>
      <c r="AV83" s="137" t="s">
        <v>162</v>
      </c>
      <c r="AW83" s="1058"/>
    </row>
    <row r="84">
      <c r="A84" s="122"/>
      <c r="B84" s="123"/>
      <c r="C84" s="151"/>
      <c r="D84" s="123"/>
      <c r="E84" s="471"/>
      <c r="F84" s="149"/>
      <c r="G84" s="149"/>
      <c r="H84" s="1086"/>
      <c r="I84" s="716"/>
      <c r="J84" s="716"/>
      <c r="K84" s="716"/>
      <c r="L84" s="716"/>
      <c r="M84" s="716"/>
      <c r="N84" s="716"/>
      <c r="O84" s="716"/>
      <c r="P84" s="716"/>
      <c r="Q84" s="716"/>
      <c r="R84" s="716"/>
      <c r="S84" s="716"/>
      <c r="T84" s="716"/>
      <c r="U84" s="716"/>
      <c r="V84" s="716"/>
      <c r="W84" s="716"/>
      <c r="X84" s="716"/>
      <c r="Y84" s="716"/>
      <c r="Z84" s="716"/>
      <c r="AA84" s="716"/>
      <c r="AB84" s="716"/>
      <c r="AC84" s="716"/>
      <c r="AD84" s="716"/>
      <c r="AE84" s="716"/>
      <c r="AF84" s="716"/>
      <c r="AG84" s="716"/>
      <c r="AH84" s="716"/>
      <c r="AI84" s="716"/>
      <c r="AJ84" s="716"/>
      <c r="AK84" s="716"/>
      <c r="AL84" s="716"/>
      <c r="AM84" s="716"/>
      <c r="AN84" s="716"/>
      <c r="AO84" s="716"/>
      <c r="AP84" s="716"/>
      <c r="AQ84" s="716"/>
      <c r="AR84" s="716"/>
      <c r="AS84" s="716"/>
      <c r="AT84" s="716"/>
      <c r="AU84" s="716"/>
      <c r="AV84" s="716"/>
      <c r="AW84" s="1057"/>
    </row>
    <row r="85">
      <c r="A85" s="122"/>
      <c r="B85" s="123"/>
      <c r="C85" s="151" t="s">
        <v>1049</v>
      </c>
      <c r="F85" s="149"/>
      <c r="G85" s="149"/>
      <c r="H85" s="1086"/>
      <c r="I85" s="189" t="s">
        <v>1083</v>
      </c>
      <c r="J85" s="716"/>
      <c r="K85" s="716"/>
      <c r="L85" s="716"/>
      <c r="M85" s="716"/>
      <c r="N85" s="716"/>
      <c r="O85" s="716"/>
      <c r="P85" s="716"/>
      <c r="Q85" s="716"/>
      <c r="R85" s="716"/>
      <c r="S85" s="716"/>
      <c r="T85" s="716"/>
      <c r="U85" s="716"/>
      <c r="V85" s="716"/>
      <c r="W85" s="716"/>
      <c r="X85" s="716"/>
      <c r="Y85" s="716"/>
      <c r="Z85" s="716"/>
      <c r="AA85" s="716"/>
      <c r="AB85" s="716"/>
      <c r="AC85" s="716"/>
      <c r="AD85" s="716"/>
      <c r="AE85" s="716"/>
      <c r="AF85" s="716"/>
      <c r="AG85" s="716"/>
      <c r="AH85" s="716"/>
      <c r="AI85" s="716"/>
      <c r="AJ85" s="716"/>
      <c r="AK85" s="716"/>
      <c r="AL85" s="716"/>
      <c r="AM85" s="716"/>
      <c r="AN85" s="716"/>
      <c r="AO85" s="716"/>
      <c r="AP85" s="716"/>
      <c r="AQ85" s="716"/>
      <c r="AR85" s="716"/>
      <c r="AS85" s="716"/>
      <c r="AT85" s="716"/>
      <c r="AU85" s="716"/>
      <c r="AV85" s="716"/>
      <c r="AW85" s="1057"/>
    </row>
    <row r="86">
      <c r="A86" s="122"/>
      <c r="B86" s="123"/>
      <c r="C86" s="151"/>
      <c r="D86" s="123"/>
      <c r="E86" s="915" t="s">
        <v>1050</v>
      </c>
      <c r="F86" s="296" t="s">
        <v>68</v>
      </c>
      <c r="G86" s="296" t="s">
        <v>165</v>
      </c>
      <c r="H86" s="1059">
        <v>18.212589984867645</v>
      </c>
      <c r="I86" s="1060" t="s">
        <v>162</v>
      </c>
      <c r="J86" s="1060" t="s">
        <v>162</v>
      </c>
      <c r="K86" s="1060" t="s">
        <v>162</v>
      </c>
      <c r="L86" s="1060" t="s">
        <v>162</v>
      </c>
      <c r="M86" s="1060" t="s">
        <v>162</v>
      </c>
      <c r="N86" s="1060" t="s">
        <v>162</v>
      </c>
      <c r="O86" s="1060" t="s">
        <v>162</v>
      </c>
      <c r="P86" s="1060" t="s">
        <v>162</v>
      </c>
      <c r="Q86" s="1060" t="s">
        <v>162</v>
      </c>
      <c r="R86" s="1060" t="s">
        <v>162</v>
      </c>
      <c r="S86" s="1060" t="s">
        <v>162</v>
      </c>
      <c r="T86" s="1060" t="s">
        <v>162</v>
      </c>
      <c r="U86" s="1060" t="s">
        <v>162</v>
      </c>
      <c r="V86" s="1060" t="s">
        <v>162</v>
      </c>
      <c r="W86" s="1060" t="s">
        <v>162</v>
      </c>
      <c r="X86" s="1060" t="s">
        <v>162</v>
      </c>
      <c r="Y86" s="1060" t="s">
        <v>162</v>
      </c>
      <c r="Z86" s="1060" t="s">
        <v>162</v>
      </c>
      <c r="AA86" s="1060" t="s">
        <v>162</v>
      </c>
      <c r="AB86" s="1060" t="s">
        <v>162</v>
      </c>
      <c r="AC86" s="1060" t="s">
        <v>162</v>
      </c>
      <c r="AD86" s="1060" t="s">
        <v>162</v>
      </c>
      <c r="AE86" s="1060" t="s">
        <v>162</v>
      </c>
      <c r="AF86" s="1060" t="s">
        <v>162</v>
      </c>
      <c r="AG86" s="1060" t="s">
        <v>162</v>
      </c>
      <c r="AH86" s="1060" t="s">
        <v>162</v>
      </c>
      <c r="AI86" s="1060" t="s">
        <v>162</v>
      </c>
      <c r="AJ86" s="1060" t="s">
        <v>162</v>
      </c>
      <c r="AK86" s="1060" t="s">
        <v>162</v>
      </c>
      <c r="AL86" s="1060" t="s">
        <v>162</v>
      </c>
      <c r="AM86" s="1060" t="s">
        <v>162</v>
      </c>
      <c r="AN86" s="1060" t="s">
        <v>162</v>
      </c>
      <c r="AO86" s="1060" t="s">
        <v>162</v>
      </c>
      <c r="AP86" s="1060" t="s">
        <v>162</v>
      </c>
      <c r="AQ86" s="1060" t="s">
        <v>162</v>
      </c>
      <c r="AR86" s="1060" t="s">
        <v>162</v>
      </c>
      <c r="AS86" s="1060" t="s">
        <v>162</v>
      </c>
      <c r="AT86" s="1060" t="s">
        <v>162</v>
      </c>
      <c r="AU86" s="1060" t="s">
        <v>162</v>
      </c>
      <c r="AV86" s="1060" t="s">
        <v>162</v>
      </c>
      <c r="AW86" s="1061"/>
    </row>
    <row r="87">
      <c r="A87" s="122"/>
      <c r="B87" s="123"/>
      <c r="C87" s="151"/>
      <c r="D87" s="123"/>
      <c r="E87" s="307" t="s">
        <v>1051</v>
      </c>
      <c r="F87" s="302" t="s">
        <v>62</v>
      </c>
      <c r="G87" s="302" t="s">
        <v>161</v>
      </c>
      <c r="H87" s="240" t="s">
        <v>162</v>
      </c>
      <c r="I87" s="266">
        <f t="shared" ref="I87:AV87" si="10">IFERROR(IFERROR(IFERROR($H83/$H86,I83/$H86),$H83/I86),I83/I86)</f>
        <v>54907.07257</v>
      </c>
      <c r="J87" s="266">
        <f t="shared" si="10"/>
        <v>54907.07257</v>
      </c>
      <c r="K87" s="266">
        <f t="shared" si="10"/>
        <v>54907.07257</v>
      </c>
      <c r="L87" s="266">
        <f t="shared" si="10"/>
        <v>54907.07257</v>
      </c>
      <c r="M87" s="266">
        <f t="shared" si="10"/>
        <v>54907.07257</v>
      </c>
      <c r="N87" s="266">
        <f t="shared" si="10"/>
        <v>54907.07257</v>
      </c>
      <c r="O87" s="266">
        <f t="shared" si="10"/>
        <v>54907.07257</v>
      </c>
      <c r="P87" s="266">
        <f t="shared" si="10"/>
        <v>54907.07257</v>
      </c>
      <c r="Q87" s="266">
        <f t="shared" si="10"/>
        <v>54907.07257</v>
      </c>
      <c r="R87" s="266">
        <f t="shared" si="10"/>
        <v>54907.07257</v>
      </c>
      <c r="S87" s="266">
        <f t="shared" si="10"/>
        <v>54907.07257</v>
      </c>
      <c r="T87" s="266">
        <f t="shared" si="10"/>
        <v>54907.07257</v>
      </c>
      <c r="U87" s="266">
        <f t="shared" si="10"/>
        <v>54907.07257</v>
      </c>
      <c r="V87" s="266">
        <f t="shared" si="10"/>
        <v>54907.07257</v>
      </c>
      <c r="W87" s="266">
        <f t="shared" si="10"/>
        <v>54907.07257</v>
      </c>
      <c r="X87" s="266">
        <f t="shared" si="10"/>
        <v>54907.07257</v>
      </c>
      <c r="Y87" s="266">
        <f t="shared" si="10"/>
        <v>54907.07257</v>
      </c>
      <c r="Z87" s="266">
        <f t="shared" si="10"/>
        <v>54907.07257</v>
      </c>
      <c r="AA87" s="266">
        <f t="shared" si="10"/>
        <v>54907.07257</v>
      </c>
      <c r="AB87" s="266">
        <f t="shared" si="10"/>
        <v>54907.07257</v>
      </c>
      <c r="AC87" s="266">
        <f t="shared" si="10"/>
        <v>54907.07257</v>
      </c>
      <c r="AD87" s="266">
        <f t="shared" si="10"/>
        <v>54907.07257</v>
      </c>
      <c r="AE87" s="266">
        <f t="shared" si="10"/>
        <v>54907.07257</v>
      </c>
      <c r="AF87" s="266">
        <f t="shared" si="10"/>
        <v>54907.07257</v>
      </c>
      <c r="AG87" s="266">
        <f t="shared" si="10"/>
        <v>54907.07257</v>
      </c>
      <c r="AH87" s="266">
        <f t="shared" si="10"/>
        <v>54907.07257</v>
      </c>
      <c r="AI87" s="266">
        <f t="shared" si="10"/>
        <v>54907.07257</v>
      </c>
      <c r="AJ87" s="266">
        <f t="shared" si="10"/>
        <v>54907.07257</v>
      </c>
      <c r="AK87" s="266">
        <f t="shared" si="10"/>
        <v>54907.07257</v>
      </c>
      <c r="AL87" s="266">
        <f t="shared" si="10"/>
        <v>54907.07257</v>
      </c>
      <c r="AM87" s="266">
        <f t="shared" si="10"/>
        <v>54907.07257</v>
      </c>
      <c r="AN87" s="266">
        <f t="shared" si="10"/>
        <v>54907.07257</v>
      </c>
      <c r="AO87" s="266">
        <f t="shared" si="10"/>
        <v>54907.07257</v>
      </c>
      <c r="AP87" s="266">
        <f t="shared" si="10"/>
        <v>54907.07257</v>
      </c>
      <c r="AQ87" s="266">
        <f t="shared" si="10"/>
        <v>54907.07257</v>
      </c>
      <c r="AR87" s="266">
        <f t="shared" si="10"/>
        <v>54907.07257</v>
      </c>
      <c r="AS87" s="266">
        <f t="shared" si="10"/>
        <v>54907.07257</v>
      </c>
      <c r="AT87" s="266">
        <f t="shared" si="10"/>
        <v>54907.07257</v>
      </c>
      <c r="AU87" s="266">
        <f t="shared" si="10"/>
        <v>54907.07257</v>
      </c>
      <c r="AV87" s="266">
        <f t="shared" si="10"/>
        <v>54907.07257</v>
      </c>
      <c r="AW87" s="1062"/>
    </row>
    <row r="88">
      <c r="A88" s="122"/>
      <c r="B88" s="123"/>
      <c r="C88" s="151"/>
      <c r="D88" s="123"/>
      <c r="E88" s="307" t="s">
        <v>1052</v>
      </c>
      <c r="F88" s="302" t="s">
        <v>72</v>
      </c>
      <c r="G88" s="302" t="s">
        <v>165</v>
      </c>
      <c r="H88" s="240" t="s">
        <v>162</v>
      </c>
      <c r="I88" s="241">
        <v>0.8147744576862122</v>
      </c>
      <c r="J88" s="241">
        <v>0.8800470161009784</v>
      </c>
      <c r="K88" s="241">
        <v>0.8577882271108626</v>
      </c>
      <c r="L88" s="241">
        <v>0.8423238217356671</v>
      </c>
      <c r="M88" s="241">
        <v>0.8323011823966002</v>
      </c>
      <c r="N88" s="241">
        <v>0.810479128227859</v>
      </c>
      <c r="O88" s="241">
        <v>0.7193271107876211</v>
      </c>
      <c r="P88" s="241">
        <v>0.6846869654265484</v>
      </c>
      <c r="Q88" s="241">
        <v>0.7943821970598557</v>
      </c>
      <c r="R88" s="241">
        <v>0.9640683827882972</v>
      </c>
      <c r="S88" s="241">
        <v>0.9472226391484072</v>
      </c>
      <c r="T88" s="241">
        <v>0.9541025377986613</v>
      </c>
      <c r="U88" s="241">
        <v>0.9436995469364454</v>
      </c>
      <c r="V88" s="241">
        <v>0.9348324466306855</v>
      </c>
      <c r="W88" s="241">
        <v>0.9345760613887479</v>
      </c>
      <c r="X88" s="241">
        <v>0.8378516527390969</v>
      </c>
      <c r="Y88" s="241">
        <v>0.9757198257674914</v>
      </c>
      <c r="Z88" s="241">
        <v>0.9397379903561557</v>
      </c>
      <c r="AA88" s="241">
        <v>0.9966873034414937</v>
      </c>
      <c r="AB88" s="241">
        <v>0.9711064851130892</v>
      </c>
      <c r="AC88" s="241">
        <v>0.9838929113761105</v>
      </c>
      <c r="AD88" s="241">
        <v>0.9902789473242449</v>
      </c>
      <c r="AE88" s="241">
        <v>0.9727093611839307</v>
      </c>
      <c r="AF88" s="241">
        <v>0.9800214279206484</v>
      </c>
      <c r="AG88" s="241">
        <v>0.9024832750639583</v>
      </c>
      <c r="AH88" s="241">
        <v>0.9427685641017256</v>
      </c>
      <c r="AI88" s="241">
        <v>0.8966160047400282</v>
      </c>
      <c r="AJ88" s="241">
        <v>0.9760150584149084</v>
      </c>
      <c r="AK88" s="241">
        <v>0.9081514704296791</v>
      </c>
      <c r="AL88" s="241">
        <v>0.8405759735048192</v>
      </c>
      <c r="AM88" s="241">
        <v>0.8105172174668136</v>
      </c>
      <c r="AN88" s="241">
        <v>0.890970275918198</v>
      </c>
      <c r="AO88" s="241">
        <v>0.8846688372716107</v>
      </c>
      <c r="AP88" s="241">
        <v>0.9158672706477461</v>
      </c>
      <c r="AQ88" s="241">
        <v>0.9680226585775555</v>
      </c>
      <c r="AR88" s="241">
        <v>0.9128044080615172</v>
      </c>
      <c r="AS88" s="241">
        <v>0.9370905464319743</v>
      </c>
      <c r="AT88" s="241">
        <v>0.96808080964731</v>
      </c>
      <c r="AU88" s="241">
        <v>0.9010858982518894</v>
      </c>
      <c r="AV88" s="241">
        <v>0.8479260325414438</v>
      </c>
      <c r="AW88" s="1062"/>
    </row>
    <row r="89">
      <c r="A89" s="122"/>
      <c r="B89" s="123"/>
      <c r="C89" s="151"/>
      <c r="D89" s="123"/>
      <c r="E89" s="307" t="s">
        <v>1053</v>
      </c>
      <c r="F89" s="302" t="s">
        <v>72</v>
      </c>
      <c r="G89" s="302" t="s">
        <v>161</v>
      </c>
      <c r="H89" s="1087" t="s">
        <v>162</v>
      </c>
      <c r="I89" s="361">
        <f t="shared" ref="I89:AV89" si="11">I87*(1-I88)</f>
        <v>10170.19229</v>
      </c>
      <c r="J89" s="361">
        <f t="shared" si="11"/>
        <v>6586.267192</v>
      </c>
      <c r="K89" s="361">
        <f t="shared" si="11"/>
        <v>7808.432134</v>
      </c>
      <c r="L89" s="361">
        <f t="shared" si="11"/>
        <v>8657.537363</v>
      </c>
      <c r="M89" s="361">
        <f t="shared" si="11"/>
        <v>9207.851148</v>
      </c>
      <c r="N89" s="361">
        <f t="shared" si="11"/>
        <v>10406.03626</v>
      </c>
      <c r="O89" s="361">
        <f t="shared" si="11"/>
        <v>15410.9267</v>
      </c>
      <c r="P89" s="361">
        <f t="shared" si="11"/>
        <v>17312.91567</v>
      </c>
      <c r="Q89" s="361">
        <f t="shared" si="11"/>
        <v>11289.87163</v>
      </c>
      <c r="R89" s="361">
        <f t="shared" si="11"/>
        <v>1972.899914</v>
      </c>
      <c r="S89" s="361">
        <f t="shared" si="11"/>
        <v>2897.850382</v>
      </c>
      <c r="T89" s="361">
        <f t="shared" si="11"/>
        <v>2520.095288</v>
      </c>
      <c r="U89" s="361">
        <f t="shared" si="11"/>
        <v>3091.293062</v>
      </c>
      <c r="V89" s="361">
        <f t="shared" si="11"/>
        <v>3578.159582</v>
      </c>
      <c r="W89" s="361">
        <f t="shared" si="11"/>
        <v>3592.236945</v>
      </c>
      <c r="X89" s="361">
        <f t="shared" si="11"/>
        <v>8903.09107</v>
      </c>
      <c r="Y89" s="361">
        <f t="shared" si="11"/>
        <v>1333.153289</v>
      </c>
      <c r="Z89" s="361">
        <f t="shared" si="11"/>
        <v>3308.810537</v>
      </c>
      <c r="AA89" s="361">
        <f t="shared" si="11"/>
        <v>181.8904703</v>
      </c>
      <c r="AB89" s="361">
        <f t="shared" si="11"/>
        <v>1586.458319</v>
      </c>
      <c r="AC89" s="361">
        <f t="shared" si="11"/>
        <v>884.393084</v>
      </c>
      <c r="AD89" s="361">
        <f t="shared" si="11"/>
        <v>533.7545447</v>
      </c>
      <c r="AE89" s="361">
        <f t="shared" si="11"/>
        <v>1498.449086</v>
      </c>
      <c r="AF89" s="361">
        <f t="shared" si="11"/>
        <v>1096.964907</v>
      </c>
      <c r="AG89" s="361">
        <f t="shared" si="11"/>
        <v>5354.357893</v>
      </c>
      <c r="AH89" s="361">
        <f t="shared" si="11"/>
        <v>3142.410604</v>
      </c>
      <c r="AI89" s="361">
        <f t="shared" si="11"/>
        <v>5676.51253</v>
      </c>
      <c r="AJ89" s="361">
        <f t="shared" si="11"/>
        <v>1316.942928</v>
      </c>
      <c r="AK89" s="361">
        <f t="shared" si="11"/>
        <v>5043.133879</v>
      </c>
      <c r="AL89" s="361">
        <f t="shared" si="11"/>
        <v>8753.506592</v>
      </c>
      <c r="AM89" s="361">
        <f t="shared" si="11"/>
        <v>10403.94489</v>
      </c>
      <c r="AN89" s="361">
        <f t="shared" si="11"/>
        <v>5986.502973</v>
      </c>
      <c r="AO89" s="361">
        <f t="shared" si="11"/>
        <v>6332.496522</v>
      </c>
      <c r="AP89" s="361">
        <f t="shared" si="11"/>
        <v>4619.481876</v>
      </c>
      <c r="AQ89" s="361">
        <f t="shared" si="11"/>
        <v>1755.782206</v>
      </c>
      <c r="AR89" s="361">
        <f t="shared" si="11"/>
        <v>4787.654694</v>
      </c>
      <c r="AS89" s="361">
        <f t="shared" si="11"/>
        <v>3454.173932</v>
      </c>
      <c r="AT89" s="361">
        <f t="shared" si="11"/>
        <v>1752.589301</v>
      </c>
      <c r="AU89" s="361">
        <f t="shared" si="11"/>
        <v>5431.083763</v>
      </c>
      <c r="AV89" s="361">
        <f t="shared" si="11"/>
        <v>8349.936367</v>
      </c>
      <c r="AW89" s="1062"/>
    </row>
    <row r="90">
      <c r="A90" s="122"/>
      <c r="B90" s="123"/>
      <c r="C90" s="151"/>
      <c r="D90" s="123"/>
      <c r="E90" s="307" t="s">
        <v>1079</v>
      </c>
      <c r="F90" s="302" t="s">
        <v>72</v>
      </c>
      <c r="G90" s="302" t="s">
        <v>165</v>
      </c>
      <c r="H90" s="240" t="s">
        <v>162</v>
      </c>
      <c r="I90" s="260">
        <v>0.05653502520118551</v>
      </c>
      <c r="J90" s="260">
        <v>0.04199225180153755</v>
      </c>
      <c r="K90" s="260">
        <v>0.06324757806754436</v>
      </c>
      <c r="L90" s="260">
        <v>0.028440173792827903</v>
      </c>
      <c r="M90" s="260">
        <v>0.04002462598524307</v>
      </c>
      <c r="N90" s="260">
        <v>0.04391236881771723</v>
      </c>
      <c r="O90" s="260">
        <v>0.05121048601948959</v>
      </c>
      <c r="P90" s="260">
        <v>0.063607656836624</v>
      </c>
      <c r="Q90" s="260">
        <v>0.07777287879601474</v>
      </c>
      <c r="R90" s="260">
        <v>0.016319322314576785</v>
      </c>
      <c r="S90" s="260">
        <v>0.03812386801639358</v>
      </c>
      <c r="T90" s="260">
        <v>0.010557419640840395</v>
      </c>
      <c r="U90" s="260">
        <v>0.0108481354013676</v>
      </c>
      <c r="V90" s="260">
        <v>0.01752772028157328</v>
      </c>
      <c r="W90" s="260">
        <v>0.020989682121770305</v>
      </c>
      <c r="X90" s="260">
        <v>0.016615176476210875</v>
      </c>
      <c r="Y90" s="260">
        <v>0.013728718143192318</v>
      </c>
      <c r="Z90" s="260">
        <v>0.013480583924646797</v>
      </c>
      <c r="AA90" s="260">
        <v>0.022162001364924255</v>
      </c>
      <c r="AB90" s="260">
        <v>0.014492843216168134</v>
      </c>
      <c r="AC90" s="260">
        <v>0.011961318306571338</v>
      </c>
      <c r="AD90" s="260">
        <v>0.00873411772054509</v>
      </c>
      <c r="AE90" s="260">
        <v>0.012828102178745714</v>
      </c>
      <c r="AF90" s="260">
        <v>0.008399463817480418</v>
      </c>
      <c r="AG90" s="260">
        <v>0.028440173792827903</v>
      </c>
      <c r="AH90" s="260">
        <v>0.013770548539649334</v>
      </c>
      <c r="AI90" s="260">
        <v>0.007449134645991576</v>
      </c>
      <c r="AJ90" s="260">
        <v>0.006284997296355037</v>
      </c>
      <c r="AK90" s="260">
        <v>0.01673948359337878</v>
      </c>
      <c r="AL90" s="260">
        <v>0.024989656435021323</v>
      </c>
      <c r="AM90" s="260">
        <v>0.024989656435021323</v>
      </c>
      <c r="AN90" s="260">
        <v>0.024989656435021323</v>
      </c>
      <c r="AO90" s="260">
        <v>0.009378611038561586</v>
      </c>
      <c r="AP90" s="260">
        <v>0.010840303387012895</v>
      </c>
      <c r="AQ90" s="260">
        <v>0.005798532071677917</v>
      </c>
      <c r="AR90" s="260">
        <v>0.007256159984583323</v>
      </c>
      <c r="AS90" s="260">
        <v>0.013421440366670952</v>
      </c>
      <c r="AT90" s="260">
        <v>0.013570565309838698</v>
      </c>
      <c r="AU90" s="260">
        <v>0.041027485965477915</v>
      </c>
      <c r="AV90" s="260">
        <v>0.03741833746684011</v>
      </c>
      <c r="AW90" s="1062"/>
    </row>
    <row r="91">
      <c r="A91" s="122"/>
      <c r="B91" s="123"/>
      <c r="C91" s="151"/>
      <c r="D91" s="123"/>
      <c r="E91" s="307" t="s">
        <v>1055</v>
      </c>
      <c r="F91" s="302" t="s">
        <v>72</v>
      </c>
      <c r="G91" s="302" t="s">
        <v>165</v>
      </c>
      <c r="H91" s="240" t="s">
        <v>162</v>
      </c>
      <c r="I91" s="241">
        <v>0.5225560494198461</v>
      </c>
      <c r="J91" s="241">
        <v>0.527383937412116</v>
      </c>
      <c r="K91" s="241">
        <v>0.550842501174128</v>
      </c>
      <c r="L91" s="241">
        <v>0.5437120523635177</v>
      </c>
      <c r="M91" s="241">
        <v>0.5159530938957815</v>
      </c>
      <c r="N91" s="241">
        <v>0.5458220837620432</v>
      </c>
      <c r="O91" s="241">
        <v>0.5582439523992286</v>
      </c>
      <c r="P91" s="241">
        <v>0.5300120223870931</v>
      </c>
      <c r="Q91" s="241">
        <v>0.5446171515048055</v>
      </c>
      <c r="R91" s="241">
        <v>0.4905600145798483</v>
      </c>
      <c r="S91" s="241">
        <v>0.5145132201098803</v>
      </c>
      <c r="T91" s="241">
        <v>0.5458290980102981</v>
      </c>
      <c r="U91" s="241">
        <v>0.5514356641716698</v>
      </c>
      <c r="V91" s="241">
        <v>0.5509335823130422</v>
      </c>
      <c r="W91" s="241">
        <v>0.5188159330557637</v>
      </c>
      <c r="X91" s="241">
        <v>0.5415841491442992</v>
      </c>
      <c r="Y91" s="241">
        <v>0.5600280828728644</v>
      </c>
      <c r="Z91" s="241">
        <v>0.53621058080801</v>
      </c>
      <c r="AA91" s="241">
        <v>0.5507531884023077</v>
      </c>
      <c r="AB91" s="241">
        <v>0.5368050290322204</v>
      </c>
      <c r="AC91" s="241">
        <v>0.5371884011062733</v>
      </c>
      <c r="AD91" s="241">
        <v>0.5711738553713434</v>
      </c>
      <c r="AE91" s="241">
        <v>0.5365909676535999</v>
      </c>
      <c r="AF91" s="241">
        <v>0.5378547429036223</v>
      </c>
      <c r="AG91" s="241">
        <v>0.5437120523635177</v>
      </c>
      <c r="AH91" s="241">
        <v>0.61403226695356</v>
      </c>
      <c r="AI91" s="241">
        <v>0.5589257130780669</v>
      </c>
      <c r="AJ91" s="241">
        <v>0.5402127260429979</v>
      </c>
      <c r="AK91" s="241">
        <v>0.542071768332196</v>
      </c>
      <c r="AL91" s="241">
        <v>0.5302934880217617</v>
      </c>
      <c r="AM91" s="241">
        <v>0.5302934880217617</v>
      </c>
      <c r="AN91" s="241">
        <v>0.5302934880217617</v>
      </c>
      <c r="AO91" s="241">
        <v>0.5368260467143428</v>
      </c>
      <c r="AP91" s="241">
        <v>0.521581645644186</v>
      </c>
      <c r="AQ91" s="241">
        <v>0.5565284494938367</v>
      </c>
      <c r="AR91" s="241">
        <v>0.5643685211847617</v>
      </c>
      <c r="AS91" s="241">
        <v>0.531348280239096</v>
      </c>
      <c r="AT91" s="241">
        <v>0.5380968798983</v>
      </c>
      <c r="AU91" s="241">
        <v>0.5163326919143248</v>
      </c>
      <c r="AV91" s="241">
        <v>0.5721852444475783</v>
      </c>
      <c r="AW91" s="1062"/>
    </row>
    <row r="92">
      <c r="A92" s="122"/>
      <c r="B92" s="123"/>
      <c r="C92" s="151"/>
      <c r="D92" s="123"/>
      <c r="E92" s="921" t="s">
        <v>1056</v>
      </c>
      <c r="F92" s="922" t="s">
        <v>62</v>
      </c>
      <c r="G92" s="922" t="s">
        <v>161</v>
      </c>
      <c r="H92" s="1088" t="s">
        <v>162</v>
      </c>
      <c r="I92" s="338">
        <f t="shared" ref="I92:AV92" si="12">I89*I90*I91</f>
        <v>300.4551374</v>
      </c>
      <c r="J92" s="338">
        <f t="shared" si="12"/>
        <v>145.8597307</v>
      </c>
      <c r="K92" s="338">
        <f t="shared" si="12"/>
        <v>272.0415129</v>
      </c>
      <c r="L92" s="338">
        <f t="shared" si="12"/>
        <v>133.8737968</v>
      </c>
      <c r="M92" s="338">
        <f t="shared" si="12"/>
        <v>190.1497651</v>
      </c>
      <c r="N92" s="338">
        <f t="shared" si="12"/>
        <v>249.4154219</v>
      </c>
      <c r="O92" s="338">
        <f t="shared" si="12"/>
        <v>440.5667112</v>
      </c>
      <c r="P92" s="338">
        <f t="shared" si="12"/>
        <v>583.6672589</v>
      </c>
      <c r="Q92" s="338">
        <f t="shared" si="12"/>
        <v>478.1988121</v>
      </c>
      <c r="R92" s="338">
        <f t="shared" si="12"/>
        <v>15.79426135</v>
      </c>
      <c r="S92" s="338">
        <f t="shared" si="12"/>
        <v>56.84201363</v>
      </c>
      <c r="T92" s="338">
        <f t="shared" si="12"/>
        <v>14.52216714</v>
      </c>
      <c r="U92" s="338">
        <f t="shared" si="12"/>
        <v>18.4922658</v>
      </c>
      <c r="V92" s="338">
        <f t="shared" si="12"/>
        <v>34.55289062</v>
      </c>
      <c r="W92" s="338">
        <f t="shared" si="12"/>
        <v>39.11867548</v>
      </c>
      <c r="X92" s="338">
        <f t="shared" si="12"/>
        <v>80.11460936</v>
      </c>
      <c r="Y92" s="338">
        <f t="shared" si="12"/>
        <v>10.249906</v>
      </c>
      <c r="Z92" s="338">
        <f t="shared" si="12"/>
        <v>23.91751109</v>
      </c>
      <c r="AA92" s="338">
        <f t="shared" si="12"/>
        <v>2.220117414</v>
      </c>
      <c r="AB92" s="338">
        <f t="shared" si="12"/>
        <v>12.3423778</v>
      </c>
      <c r="AC92" s="338">
        <f t="shared" si="12"/>
        <v>5.682651361</v>
      </c>
      <c r="AD92" s="338">
        <f t="shared" si="12"/>
        <v>2.662741133</v>
      </c>
      <c r="AE92" s="338">
        <f t="shared" si="12"/>
        <v>10.31449001</v>
      </c>
      <c r="AF92" s="338">
        <f t="shared" si="12"/>
        <v>4.955748984</v>
      </c>
      <c r="AG92" s="338">
        <f t="shared" si="12"/>
        <v>82.79585641</v>
      </c>
      <c r="AH92" s="338">
        <f t="shared" si="12"/>
        <v>26.57084498</v>
      </c>
      <c r="AI92" s="338">
        <f t="shared" si="12"/>
        <v>23.63423311</v>
      </c>
      <c r="AJ92" s="338">
        <f t="shared" si="12"/>
        <v>4.471331411</v>
      </c>
      <c r="AK92" s="338">
        <f t="shared" si="12"/>
        <v>45.76140424</v>
      </c>
      <c r="AL92" s="338">
        <f t="shared" si="12"/>
        <v>116.0001745</v>
      </c>
      <c r="AM92" s="338">
        <f t="shared" si="12"/>
        <v>137.8715387</v>
      </c>
      <c r="AN92" s="338">
        <f t="shared" si="12"/>
        <v>79.33225184</v>
      </c>
      <c r="AO92" s="338">
        <f t="shared" si="12"/>
        <v>31.88211061</v>
      </c>
      <c r="AP92" s="338">
        <f t="shared" si="12"/>
        <v>26.11902763</v>
      </c>
      <c r="AQ92" s="338">
        <f t="shared" si="12"/>
        <v>5.665993568</v>
      </c>
      <c r="AR92" s="338">
        <f t="shared" si="12"/>
        <v>19.60615589</v>
      </c>
      <c r="AS92" s="338">
        <f t="shared" si="12"/>
        <v>24.63330067</v>
      </c>
      <c r="AT92" s="338">
        <f t="shared" si="12"/>
        <v>12.79789579</v>
      </c>
      <c r="AU92" s="338">
        <f t="shared" si="12"/>
        <v>115.0511675</v>
      </c>
      <c r="AV92" s="338">
        <f t="shared" si="12"/>
        <v>178.7739794</v>
      </c>
      <c r="AW92" s="1063"/>
    </row>
    <row r="93">
      <c r="A93" s="122"/>
      <c r="B93" s="123"/>
      <c r="C93" s="151"/>
      <c r="D93" s="123"/>
      <c r="E93" s="471"/>
      <c r="F93" s="149"/>
      <c r="G93" s="149"/>
      <c r="H93" s="1086"/>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057"/>
    </row>
    <row r="94">
      <c r="A94" s="122"/>
      <c r="B94" s="123"/>
      <c r="C94" s="151" t="s">
        <v>1057</v>
      </c>
      <c r="F94" s="149"/>
      <c r="G94" s="149"/>
      <c r="H94" s="1086"/>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057"/>
    </row>
    <row r="95">
      <c r="A95" s="122"/>
      <c r="B95" s="123"/>
      <c r="C95" s="151"/>
      <c r="D95" s="123"/>
      <c r="E95" s="782" t="s">
        <v>1084</v>
      </c>
      <c r="F95" s="296" t="s">
        <v>68</v>
      </c>
      <c r="G95" s="296" t="s">
        <v>161</v>
      </c>
      <c r="H95" s="1089" t="s">
        <v>162</v>
      </c>
      <c r="I95" s="371">
        <f t="shared" ref="I95:AV95" si="13">IFERROR(I83/I92,$H83/I92)</f>
        <v>3328.283912</v>
      </c>
      <c r="J95" s="371">
        <f t="shared" si="13"/>
        <v>6855.901865</v>
      </c>
      <c r="K95" s="371">
        <f t="shared" si="13"/>
        <v>3675.909567</v>
      </c>
      <c r="L95" s="371">
        <f t="shared" si="13"/>
        <v>7469.721665</v>
      </c>
      <c r="M95" s="371">
        <f t="shared" si="13"/>
        <v>5259.012544</v>
      </c>
      <c r="N95" s="371">
        <f t="shared" si="13"/>
        <v>4009.375172</v>
      </c>
      <c r="O95" s="371">
        <f t="shared" si="13"/>
        <v>2269.803811</v>
      </c>
      <c r="P95" s="371">
        <f t="shared" si="13"/>
        <v>1713.304944</v>
      </c>
      <c r="Q95" s="371">
        <f t="shared" si="13"/>
        <v>2091.180435</v>
      </c>
      <c r="R95" s="371">
        <f t="shared" si="13"/>
        <v>63314.13531</v>
      </c>
      <c r="S95" s="371">
        <f t="shared" si="13"/>
        <v>17592.62095</v>
      </c>
      <c r="T95" s="371">
        <f t="shared" si="13"/>
        <v>68860.24589</v>
      </c>
      <c r="U95" s="371">
        <f t="shared" si="13"/>
        <v>54076.66161</v>
      </c>
      <c r="V95" s="371">
        <f t="shared" si="13"/>
        <v>28941.13871</v>
      </c>
      <c r="W95" s="371">
        <f t="shared" si="13"/>
        <v>25563.2377</v>
      </c>
      <c r="X95" s="371">
        <f t="shared" si="13"/>
        <v>12482.11791</v>
      </c>
      <c r="Y95" s="371">
        <f t="shared" si="13"/>
        <v>97561.87031</v>
      </c>
      <c r="Z95" s="371">
        <f t="shared" si="13"/>
        <v>41810.37049</v>
      </c>
      <c r="AA95" s="371">
        <f t="shared" si="13"/>
        <v>450426.6278</v>
      </c>
      <c r="AB95" s="371">
        <f t="shared" si="13"/>
        <v>81021.66502</v>
      </c>
      <c r="AC95" s="371">
        <f t="shared" si="13"/>
        <v>175974.1952</v>
      </c>
      <c r="AD95" s="371">
        <f t="shared" si="13"/>
        <v>375552.842</v>
      </c>
      <c r="AE95" s="371">
        <f t="shared" si="13"/>
        <v>96950.98825</v>
      </c>
      <c r="AF95" s="371">
        <f t="shared" si="13"/>
        <v>201785.8458</v>
      </c>
      <c r="AG95" s="371">
        <f t="shared" si="13"/>
        <v>12077.8991</v>
      </c>
      <c r="AH95" s="371">
        <f t="shared" si="13"/>
        <v>37635.23519</v>
      </c>
      <c r="AI95" s="371">
        <f t="shared" si="13"/>
        <v>42311.50616</v>
      </c>
      <c r="AJ95" s="371">
        <f t="shared" si="13"/>
        <v>223647.0322</v>
      </c>
      <c r="AK95" s="371">
        <f t="shared" si="13"/>
        <v>21852.47626</v>
      </c>
      <c r="AL95" s="371">
        <f t="shared" si="13"/>
        <v>8620.676687</v>
      </c>
      <c r="AM95" s="371">
        <f t="shared" si="13"/>
        <v>7253.128596</v>
      </c>
      <c r="AN95" s="371">
        <f t="shared" si="13"/>
        <v>12605.21385</v>
      </c>
      <c r="AO95" s="371">
        <f t="shared" si="13"/>
        <v>31365.55206</v>
      </c>
      <c r="AP95" s="371">
        <f t="shared" si="13"/>
        <v>38286.26449</v>
      </c>
      <c r="AQ95" s="371">
        <f t="shared" si="13"/>
        <v>176491.5523</v>
      </c>
      <c r="AR95" s="371">
        <f t="shared" si="13"/>
        <v>51004.38892</v>
      </c>
      <c r="AS95" s="371">
        <f t="shared" si="13"/>
        <v>40595.45302</v>
      </c>
      <c r="AT95" s="371">
        <f t="shared" si="13"/>
        <v>78137.8452</v>
      </c>
      <c r="AU95" s="371">
        <f t="shared" si="13"/>
        <v>8691.784898</v>
      </c>
      <c r="AV95" s="371">
        <f t="shared" si="13"/>
        <v>5593.655204</v>
      </c>
      <c r="AW95" s="1061"/>
    </row>
    <row r="96">
      <c r="A96" s="122"/>
      <c r="B96" s="123"/>
      <c r="C96" s="151"/>
      <c r="D96" s="123"/>
      <c r="E96" s="307" t="s">
        <v>1059</v>
      </c>
      <c r="F96" s="302" t="s">
        <v>76</v>
      </c>
      <c r="G96" s="302" t="s">
        <v>165</v>
      </c>
      <c r="H96" s="610">
        <v>116.25262</v>
      </c>
      <c r="I96" s="326" t="s">
        <v>162</v>
      </c>
      <c r="J96" s="326" t="s">
        <v>162</v>
      </c>
      <c r="K96" s="326" t="s">
        <v>162</v>
      </c>
      <c r="L96" s="326" t="s">
        <v>162</v>
      </c>
      <c r="M96" s="326" t="s">
        <v>162</v>
      </c>
      <c r="N96" s="326" t="s">
        <v>162</v>
      </c>
      <c r="O96" s="326" t="s">
        <v>162</v>
      </c>
      <c r="P96" s="326" t="s">
        <v>162</v>
      </c>
      <c r="Q96" s="326" t="s">
        <v>162</v>
      </c>
      <c r="R96" s="326" t="s">
        <v>162</v>
      </c>
      <c r="S96" s="326" t="s">
        <v>162</v>
      </c>
      <c r="T96" s="326" t="s">
        <v>162</v>
      </c>
      <c r="U96" s="326" t="s">
        <v>162</v>
      </c>
      <c r="V96" s="326" t="s">
        <v>162</v>
      </c>
      <c r="W96" s="326" t="s">
        <v>162</v>
      </c>
      <c r="X96" s="326" t="s">
        <v>162</v>
      </c>
      <c r="Y96" s="326" t="s">
        <v>162</v>
      </c>
      <c r="Z96" s="326" t="s">
        <v>162</v>
      </c>
      <c r="AA96" s="326" t="s">
        <v>162</v>
      </c>
      <c r="AB96" s="326" t="s">
        <v>162</v>
      </c>
      <c r="AC96" s="326" t="s">
        <v>162</v>
      </c>
      <c r="AD96" s="326" t="s">
        <v>162</v>
      </c>
      <c r="AE96" s="326" t="s">
        <v>162</v>
      </c>
      <c r="AF96" s="326" t="s">
        <v>162</v>
      </c>
      <c r="AG96" s="326" t="s">
        <v>162</v>
      </c>
      <c r="AH96" s="326" t="s">
        <v>162</v>
      </c>
      <c r="AI96" s="326" t="s">
        <v>162</v>
      </c>
      <c r="AJ96" s="326" t="s">
        <v>162</v>
      </c>
      <c r="AK96" s="326" t="s">
        <v>162</v>
      </c>
      <c r="AL96" s="326" t="s">
        <v>162</v>
      </c>
      <c r="AM96" s="326" t="s">
        <v>162</v>
      </c>
      <c r="AN96" s="326" t="s">
        <v>162</v>
      </c>
      <c r="AO96" s="326" t="s">
        <v>162</v>
      </c>
      <c r="AP96" s="326" t="s">
        <v>162</v>
      </c>
      <c r="AQ96" s="326" t="s">
        <v>162</v>
      </c>
      <c r="AR96" s="326" t="s">
        <v>162</v>
      </c>
      <c r="AS96" s="326" t="s">
        <v>162</v>
      </c>
      <c r="AT96" s="326" t="s">
        <v>162</v>
      </c>
      <c r="AU96" s="326" t="s">
        <v>162</v>
      </c>
      <c r="AV96" s="326" t="s">
        <v>162</v>
      </c>
      <c r="AW96" s="1062"/>
    </row>
    <row r="97">
      <c r="A97" s="122"/>
      <c r="B97" s="123"/>
      <c r="C97" s="151"/>
      <c r="D97" s="123"/>
      <c r="E97" s="1064" t="s">
        <v>1060</v>
      </c>
      <c r="F97" s="417" t="s">
        <v>78</v>
      </c>
      <c r="G97" s="1090" t="s">
        <v>161</v>
      </c>
      <c r="H97" s="1091" t="s">
        <v>162</v>
      </c>
      <c r="I97" s="420">
        <f>IFERROR(((I92*$H96)/I83)/'Main CEA'!$H$177,((I92*$H96)/$H83)/'Main CEA'!$H$177)</f>
        <v>10.48909817</v>
      </c>
      <c r="J97" s="420">
        <f>IFERROR(((J92*$H96)/J83)/'Main CEA'!$H$177,((J92*$H96)/$H83)/'Main CEA'!$H$177)</f>
        <v>5.09206482</v>
      </c>
      <c r="K97" s="420">
        <f>IFERROR(((K92*$H96)/K83)/'Main CEA'!$H$177,((K92*$H96)/$H83)/'Main CEA'!$H$177)</f>
        <v>9.497158746</v>
      </c>
      <c r="L97" s="420">
        <f>IFERROR(((L92*$H96)/L83)/'Main CEA'!$H$177,((L92*$H96)/$H83)/'Main CEA'!$H$177)</f>
        <v>4.673627514</v>
      </c>
      <c r="M97" s="420">
        <f>IFERROR(((M92*$H96)/M83)/'Main CEA'!$H$177,((M92*$H96)/$H83)/'Main CEA'!$H$177)</f>
        <v>6.638260777</v>
      </c>
      <c r="N97" s="420">
        <f>IFERROR(((N92*$H96)/N83)/'Main CEA'!$H$177,((N92*$H96)/$H83)/'Main CEA'!$H$177)</f>
        <v>8.707266146</v>
      </c>
      <c r="O97" s="420">
        <f>IFERROR(((O92*$H96)/O83)/'Main CEA'!$H$177,((O92*$H96)/$H83)/'Main CEA'!$H$177)</f>
        <v>15.38049083</v>
      </c>
      <c r="P97" s="420">
        <f>IFERROR(((P92*$H96)/P83)/'Main CEA'!$H$177,((P92*$H96)/$H83)/'Main CEA'!$H$177)</f>
        <v>20.37623065</v>
      </c>
      <c r="Q97" s="420">
        <f>IFERROR(((Q92*$H96)/Q83)/'Main CEA'!$H$177,((Q92*$H96)/$H83)/'Main CEA'!$H$177)</f>
        <v>16.69425369</v>
      </c>
      <c r="R97" s="420">
        <f>IFERROR(((R92*$H96)/R83)/'Main CEA'!$H$177,((R92*$H96)/$H83)/'Main CEA'!$H$177)</f>
        <v>0.5513886674</v>
      </c>
      <c r="S97" s="420">
        <f>IFERROR(((S92*$H96)/S83)/'Main CEA'!$H$177,((S92*$H96)/$H83)/'Main CEA'!$H$177)</f>
        <v>1.984394297</v>
      </c>
      <c r="T97" s="420">
        <f>IFERROR(((T92*$H96)/T83)/'Main CEA'!$H$177,((T92*$H96)/$H83)/'Main CEA'!$H$177)</f>
        <v>0.5069789723</v>
      </c>
      <c r="U97" s="420">
        <f>IFERROR(((U92*$H96)/U83)/'Main CEA'!$H$177,((U92*$H96)/$H83)/'Main CEA'!$H$177)</f>
        <v>0.6455778825</v>
      </c>
      <c r="V97" s="420">
        <f>IFERROR(((V92*$H96)/V83)/'Main CEA'!$H$177,((V92*$H96)/$H83)/'Main CEA'!$H$177)</f>
        <v>1.206265484</v>
      </c>
      <c r="W97" s="420">
        <f>IFERROR(((W92*$H96)/W83)/'Main CEA'!$H$177,((W92*$H96)/$H83)/'Main CEA'!$H$177)</f>
        <v>1.365660215</v>
      </c>
      <c r="X97" s="420">
        <f>IFERROR(((X92*$H96)/X83)/'Main CEA'!$H$177,((X92*$H96)/$H83)/'Main CEA'!$H$177)</f>
        <v>2.796856828</v>
      </c>
      <c r="Y97" s="420">
        <f>IFERROR(((Y92*$H96)/Y83)/'Main CEA'!$H$177,((Y92*$H96)/$H83)/'Main CEA'!$H$177)</f>
        <v>0.3578313596</v>
      </c>
      <c r="Z97" s="420">
        <f>IFERROR(((Z92*$H96)/Z83)/'Main CEA'!$H$177,((Z92*$H96)/$H83)/'Main CEA'!$H$177)</f>
        <v>0.8349769755</v>
      </c>
      <c r="AA97" s="420">
        <f>IFERROR(((AA92*$H96)/AA83)/'Main CEA'!$H$177,((AA92*$H96)/$H83)/'Main CEA'!$H$177)</f>
        <v>0.07750584567</v>
      </c>
      <c r="AB97" s="420">
        <f>IFERROR(((AB92*$H96)/AB83)/'Main CEA'!$H$177,((AB92*$H96)/$H83)/'Main CEA'!$H$177)</f>
        <v>0.430881008</v>
      </c>
      <c r="AC97" s="420">
        <f>IFERROR(((AC92*$H96)/AC83)/'Main CEA'!$H$177,((AC92*$H96)/$H83)/'Main CEA'!$H$177)</f>
        <v>0.1983853181</v>
      </c>
      <c r="AD97" s="420">
        <f>IFERROR(((AD92*$H96)/AD83)/'Main CEA'!$H$177,((AD92*$H96)/$H83)/'Main CEA'!$H$177)</f>
        <v>0.09295814807</v>
      </c>
      <c r="AE97" s="420">
        <f>IFERROR(((AE92*$H96)/AE83)/'Main CEA'!$H$177,((AE92*$H96)/$H83)/'Main CEA'!$H$177)</f>
        <v>0.3600860324</v>
      </c>
      <c r="AF97" s="420">
        <f>IFERROR(((AF92*$H96)/AF83)/'Main CEA'!$H$177,((AF92*$H96)/$H83)/'Main CEA'!$H$177)</f>
        <v>0.1730086497</v>
      </c>
      <c r="AG97" s="420">
        <f>IFERROR(((AG92*$H96)/AG83)/'Main CEA'!$H$177,((AG92*$H96)/$H83)/'Main CEA'!$H$177)</f>
        <v>2.890461031</v>
      </c>
      <c r="AH97" s="420">
        <f>IFERROR(((AH92*$H96)/AH83)/'Main CEA'!$H$177,((AH92*$H96)/$H83)/'Main CEA'!$H$177)</f>
        <v>0.9276067101</v>
      </c>
      <c r="AI97" s="420">
        <f>IFERROR(((AI92*$H96)/AI83)/'Main CEA'!$H$177,((AI92*$H96)/$H83)/'Main CEA'!$H$177)</f>
        <v>0.8250875438</v>
      </c>
      <c r="AJ97" s="420">
        <f>IFERROR(((AJ92*$H96)/AJ83)/'Main CEA'!$H$177,((AJ92*$H96)/$H83)/'Main CEA'!$H$177)</f>
        <v>0.1560972947</v>
      </c>
      <c r="AK97" s="420">
        <f>IFERROR(((AK92*$H96)/AK83)/'Main CEA'!$H$177,((AK92*$H96)/$H83)/'Main CEA'!$H$177)</f>
        <v>1.597562504</v>
      </c>
      <c r="AL97" s="420">
        <f>IFERROR(((AL92*$H96)/AL83)/'Main CEA'!$H$177,((AL92*$H96)/$H83)/'Main CEA'!$H$177)</f>
        <v>4.049646909</v>
      </c>
      <c r="AM97" s="420">
        <f>IFERROR(((AM92*$H96)/AM83)/'Main CEA'!$H$177,((AM92*$H96)/$H83)/'Main CEA'!$H$177)</f>
        <v>4.813191471</v>
      </c>
      <c r="AN97" s="420">
        <f>IFERROR(((AN92*$H96)/AN83)/'Main CEA'!$H$177,((AN92*$H96)/$H83)/'Main CEA'!$H$177)</f>
        <v>2.769544182</v>
      </c>
      <c r="AO97" s="420">
        <f>IFERROR(((AO92*$H96)/AO83)/'Main CEA'!$H$177,((AO92*$H96)/$H83)/'Main CEA'!$H$177)</f>
        <v>1.113026693</v>
      </c>
      <c r="AP97" s="420">
        <f>IFERROR(((AP92*$H96)/AP83)/'Main CEA'!$H$177,((AP92*$H96)/$H83)/'Main CEA'!$H$177)</f>
        <v>0.9118334515</v>
      </c>
      <c r="AQ97" s="420">
        <f>IFERROR(((AQ92*$H96)/AQ83)/'Main CEA'!$H$177,((AQ92*$H96)/$H83)/'Main CEA'!$H$177)</f>
        <v>0.1978037829</v>
      </c>
      <c r="AR97" s="420">
        <f>IFERROR(((AR92*$H96)/AR83)/'Main CEA'!$H$177,((AR92*$H96)/$H83)/'Main CEA'!$H$177)</f>
        <v>0.6844645616</v>
      </c>
      <c r="AS97" s="420">
        <f>IFERROR(((AS92*$H96)/AS83)/'Main CEA'!$H$177,((AS92*$H96)/$H83)/'Main CEA'!$H$177)</f>
        <v>0.8599656882</v>
      </c>
      <c r="AT97" s="420">
        <f>IFERROR(((AT92*$H96)/AT83)/'Main CEA'!$H$177,((AT92*$H96)/$H83)/'Main CEA'!$H$177)</f>
        <v>0.4467834582</v>
      </c>
      <c r="AU97" s="420">
        <f>IFERROR(((AU92*$H96)/AU83)/'Main CEA'!$H$177,((AU92*$H96)/$H83)/'Main CEA'!$H$177)</f>
        <v>4.016516413</v>
      </c>
      <c r="AV97" s="420">
        <f>IFERROR(((AV92*$H96)/AV83)/'Main CEA'!$H$177,((AV92*$H96)/$H83)/'Main CEA'!$H$177)</f>
        <v>6.241124171</v>
      </c>
      <c r="AW97" s="1063"/>
    </row>
    <row r="98">
      <c r="A98" s="122"/>
      <c r="B98" s="123"/>
      <c r="C98" s="151"/>
      <c r="D98" s="123"/>
      <c r="E98" s="471"/>
      <c r="F98" s="149"/>
      <c r="G98" s="149"/>
      <c r="H98" s="127"/>
      <c r="I98" s="1056"/>
      <c r="J98" s="1056"/>
      <c r="K98" s="1056"/>
      <c r="L98" s="1056"/>
      <c r="M98" s="1056"/>
      <c r="N98" s="1056"/>
      <c r="O98" s="1056"/>
      <c r="P98" s="1056"/>
      <c r="Q98" s="1056"/>
      <c r="R98" s="1056"/>
      <c r="S98" s="1056"/>
      <c r="T98" s="1056"/>
      <c r="U98" s="1056"/>
      <c r="V98" s="1056"/>
      <c r="W98" s="1056"/>
      <c r="X98" s="1056"/>
      <c r="Y98" s="1056"/>
      <c r="Z98" s="1056"/>
      <c r="AA98" s="1056"/>
      <c r="AB98" s="1056"/>
      <c r="AC98" s="1056"/>
      <c r="AD98" s="1056"/>
      <c r="AE98" s="1056"/>
      <c r="AF98" s="1056"/>
      <c r="AG98" s="1056"/>
      <c r="AH98" s="1056"/>
      <c r="AI98" s="1056"/>
      <c r="AJ98" s="1056"/>
      <c r="AK98" s="1056"/>
      <c r="AL98" s="1056"/>
      <c r="AM98" s="1056"/>
      <c r="AN98" s="1056"/>
      <c r="AO98" s="1056"/>
      <c r="AP98" s="1056"/>
      <c r="AQ98" s="1056"/>
      <c r="AR98" s="1056"/>
      <c r="AS98" s="1056"/>
      <c r="AT98" s="1056"/>
      <c r="AU98" s="1056"/>
      <c r="AV98" s="1056"/>
      <c r="AW98" s="1057"/>
    </row>
    <row r="99">
      <c r="A99" s="122"/>
      <c r="B99" s="123"/>
      <c r="C99" s="151" t="s">
        <v>1061</v>
      </c>
      <c r="D99" s="123"/>
      <c r="E99" s="471"/>
      <c r="F99" s="149"/>
      <c r="G99" s="149"/>
      <c r="H99" s="127"/>
      <c r="I99" s="1056"/>
      <c r="J99" s="1056"/>
      <c r="K99" s="1056"/>
      <c r="L99" s="1056"/>
      <c r="M99" s="1056"/>
      <c r="N99" s="1056"/>
      <c r="O99" s="1056"/>
      <c r="P99" s="1056"/>
      <c r="Q99" s="1056"/>
      <c r="R99" s="1056"/>
      <c r="S99" s="1056"/>
      <c r="T99" s="1056"/>
      <c r="U99" s="1056"/>
      <c r="V99" s="1056"/>
      <c r="W99" s="1056"/>
      <c r="X99" s="1056"/>
      <c r="Y99" s="1056"/>
      <c r="Z99" s="1056"/>
      <c r="AA99" s="1056"/>
      <c r="AB99" s="1056"/>
      <c r="AC99" s="1056"/>
      <c r="AD99" s="1056"/>
      <c r="AE99" s="1056"/>
      <c r="AF99" s="1056"/>
      <c r="AG99" s="1056"/>
      <c r="AH99" s="1056"/>
      <c r="AI99" s="1056"/>
      <c r="AJ99" s="1056"/>
      <c r="AK99" s="1056"/>
      <c r="AL99" s="1056"/>
      <c r="AM99" s="1056"/>
      <c r="AN99" s="1056"/>
      <c r="AO99" s="1056"/>
      <c r="AP99" s="1056"/>
      <c r="AQ99" s="1056"/>
      <c r="AR99" s="1056"/>
      <c r="AS99" s="1056"/>
      <c r="AT99" s="1056"/>
      <c r="AU99" s="1056"/>
      <c r="AV99" s="1056"/>
      <c r="AW99" s="1057"/>
    </row>
    <row r="100">
      <c r="A100" s="122"/>
      <c r="B100" s="123"/>
      <c r="C100" s="151"/>
      <c r="D100" s="123"/>
      <c r="E100" s="915" t="s">
        <v>1080</v>
      </c>
      <c r="F100" s="296" t="s">
        <v>72</v>
      </c>
      <c r="G100" s="296" t="s">
        <v>165</v>
      </c>
      <c r="H100" s="236" t="s">
        <v>162</v>
      </c>
      <c r="I100" s="1067">
        <v>0.18280635458329025</v>
      </c>
      <c r="J100" s="1067">
        <v>0.16832257494785882</v>
      </c>
      <c r="K100" s="1067">
        <v>0.16661171750010656</v>
      </c>
      <c r="L100" s="1067">
        <v>0.16479314003188114</v>
      </c>
      <c r="M100" s="1067">
        <v>0.1608801044155518</v>
      </c>
      <c r="N100" s="1067">
        <v>0.19832907361986454</v>
      </c>
      <c r="O100" s="1067">
        <v>0.19243335755571497</v>
      </c>
      <c r="P100" s="1067">
        <v>0.1974807770783404</v>
      </c>
      <c r="Q100" s="1067">
        <v>0.16400519239979303</v>
      </c>
      <c r="R100" s="1067">
        <v>0.19218337754130732</v>
      </c>
      <c r="S100" s="1067">
        <v>0.1616556967088133</v>
      </c>
      <c r="T100" s="1067">
        <v>0.2668755449901072</v>
      </c>
      <c r="U100" s="1067">
        <v>0.2572373622036023</v>
      </c>
      <c r="V100" s="1067">
        <v>0.21681794316998856</v>
      </c>
      <c r="W100" s="1067">
        <v>0.2529308615407259</v>
      </c>
      <c r="X100" s="1067">
        <v>0.2824867826191063</v>
      </c>
      <c r="Y100" s="1067">
        <v>0.29274718275996486</v>
      </c>
      <c r="Z100" s="1067">
        <v>0.23541772070923767</v>
      </c>
      <c r="AA100" s="1067">
        <v>0.19400034199035027</v>
      </c>
      <c r="AB100" s="1067">
        <v>0.19104065606559312</v>
      </c>
      <c r="AC100" s="1067">
        <v>0.22472913159416522</v>
      </c>
      <c r="AD100" s="1067">
        <v>0.30368582970325697</v>
      </c>
      <c r="AE100" s="1067">
        <v>0.20829570031165964</v>
      </c>
      <c r="AF100" s="1067">
        <v>0.28724287097644585</v>
      </c>
      <c r="AG100" s="1067">
        <v>0.16479314003188117</v>
      </c>
      <c r="AH100" s="1067">
        <v>0.23745770326719537</v>
      </c>
      <c r="AI100" s="1067">
        <v>0.4107711909845124</v>
      </c>
      <c r="AJ100" s="1067">
        <v>0.3086216218556925</v>
      </c>
      <c r="AK100" s="1067">
        <v>0.2544295256391736</v>
      </c>
      <c r="AL100" s="1067">
        <v>0.23481044177650517</v>
      </c>
      <c r="AM100" s="1067">
        <v>0.2348104417765052</v>
      </c>
      <c r="AN100" s="1067">
        <v>0.23481044177650512</v>
      </c>
      <c r="AO100" s="1067">
        <v>0.34597399558705777</v>
      </c>
      <c r="AP100" s="1067">
        <v>0.3010409504156655</v>
      </c>
      <c r="AQ100" s="1067">
        <v>0.345760166165891</v>
      </c>
      <c r="AR100" s="1067">
        <v>0.3129094784559762</v>
      </c>
      <c r="AS100" s="1067">
        <v>0.31833612071795775</v>
      </c>
      <c r="AT100" s="1067">
        <v>0.20849880884846494</v>
      </c>
      <c r="AU100" s="1067">
        <v>0.16536801489152986</v>
      </c>
      <c r="AV100" s="1067">
        <v>0.2187348509352548</v>
      </c>
      <c r="AW100" s="1061"/>
    </row>
    <row r="101">
      <c r="A101" s="122"/>
      <c r="B101" s="123"/>
      <c r="C101" s="151"/>
      <c r="D101" s="123"/>
      <c r="E101" s="307" t="s">
        <v>1063</v>
      </c>
      <c r="F101" s="302" t="s">
        <v>72</v>
      </c>
      <c r="G101" s="302" t="s">
        <v>165</v>
      </c>
      <c r="H101" s="240" t="s">
        <v>162</v>
      </c>
      <c r="I101" s="1068">
        <v>0.2802178229351481</v>
      </c>
      <c r="J101" s="1068">
        <v>0.282747266100619</v>
      </c>
      <c r="K101" s="1068">
        <v>0.28284062387510606</v>
      </c>
      <c r="L101" s="1068">
        <v>0.2837290535112938</v>
      </c>
      <c r="M101" s="1068">
        <v>0.2849654572228236</v>
      </c>
      <c r="N101" s="1068">
        <v>0.2779754152349562</v>
      </c>
      <c r="O101" s="1068">
        <v>0.2789453800737519</v>
      </c>
      <c r="P101" s="1068">
        <v>0.27846029302991565</v>
      </c>
      <c r="Q101" s="1068">
        <v>0.2838368371106679</v>
      </c>
      <c r="R101" s="1068">
        <v>0.27576304440989313</v>
      </c>
      <c r="S101" s="1068">
        <v>0.2827747483286852</v>
      </c>
      <c r="T101" s="1068">
        <v>0.26283284143950963</v>
      </c>
      <c r="U101" s="1068">
        <v>0.2665793389441146</v>
      </c>
      <c r="V101" s="1068">
        <v>0.2715099632804196</v>
      </c>
      <c r="W101" s="1068">
        <v>0.2677307929148432</v>
      </c>
      <c r="X101" s="1068">
        <v>0.2648971954649383</v>
      </c>
      <c r="Y101" s="1068">
        <v>0.2581308281648908</v>
      </c>
      <c r="Z101" s="1068">
        <v>0.2704036639404799</v>
      </c>
      <c r="AA101" s="1068">
        <v>0.27632517196044354</v>
      </c>
      <c r="AB101" s="1068">
        <v>0.27420392945940253</v>
      </c>
      <c r="AC101" s="1068">
        <v>0.2688583817096235</v>
      </c>
      <c r="AD101" s="1068">
        <v>0.25685971195143076</v>
      </c>
      <c r="AE101" s="1068">
        <v>0.2755268942470408</v>
      </c>
      <c r="AF101" s="1068">
        <v>0.26000136933701745</v>
      </c>
      <c r="AG101" s="1068">
        <v>0.28372905351129374</v>
      </c>
      <c r="AH101" s="1068">
        <v>0.27155077845536196</v>
      </c>
      <c r="AI101" s="1068">
        <v>0.24436121112479595</v>
      </c>
      <c r="AJ101" s="1068">
        <v>0.2608163689357033</v>
      </c>
      <c r="AK101" s="1068">
        <v>0.26860330815986433</v>
      </c>
      <c r="AL101" s="1068">
        <v>0.2707726727148392</v>
      </c>
      <c r="AM101" s="1068">
        <v>0.27077267271483924</v>
      </c>
      <c r="AN101" s="1068">
        <v>0.2707726727148392</v>
      </c>
      <c r="AO101" s="1068">
        <v>0.25276173499284266</v>
      </c>
      <c r="AP101" s="1068">
        <v>0.25966119315095504</v>
      </c>
      <c r="AQ101" s="1068">
        <v>0.25076119769223765</v>
      </c>
      <c r="AR101" s="1068">
        <v>0.25677589605504497</v>
      </c>
      <c r="AS101" s="1068">
        <v>0.25896621153196026</v>
      </c>
      <c r="AT101" s="1068">
        <v>0.27265037182223695</v>
      </c>
      <c r="AU101" s="1068">
        <v>0.28243036979703723</v>
      </c>
      <c r="AV101" s="1068">
        <v>0.2739450561309918</v>
      </c>
      <c r="AW101" s="1062"/>
    </row>
    <row r="102">
      <c r="A102" s="122"/>
      <c r="B102" s="123"/>
      <c r="C102" s="151"/>
      <c r="D102" s="123"/>
      <c r="E102" s="921" t="s">
        <v>1064</v>
      </c>
      <c r="F102" s="922" t="s">
        <v>72</v>
      </c>
      <c r="G102" s="922" t="s">
        <v>165</v>
      </c>
      <c r="H102" s="228" t="s">
        <v>162</v>
      </c>
      <c r="I102" s="1069">
        <v>0.046754789429059855</v>
      </c>
      <c r="J102" s="1069">
        <v>0.09731145904165187</v>
      </c>
      <c r="K102" s="1069">
        <v>0.05224792386540028</v>
      </c>
      <c r="L102" s="1069">
        <v>0.1062638392935796</v>
      </c>
      <c r="M102" s="1069">
        <v>0.07499436693553174</v>
      </c>
      <c r="N102" s="1069">
        <v>0.05569053102440022</v>
      </c>
      <c r="O102" s="1069">
        <v>0.03165960299142656</v>
      </c>
      <c r="P102" s="1069">
        <v>0.023805764405756664</v>
      </c>
      <c r="Q102" s="1069">
        <v>0.02976665366804257</v>
      </c>
      <c r="R102" s="1069">
        <v>0.8855046743946133</v>
      </c>
      <c r="S102" s="1069">
        <v>0.2511342664240484</v>
      </c>
      <c r="T102" s="1069">
        <v>0.9155709540696901</v>
      </c>
      <c r="U102" s="1069">
        <v>0.7223762394284131</v>
      </c>
      <c r="V102" s="1069">
        <v>0.3978995974586053</v>
      </c>
      <c r="W102" s="1069">
        <v>0.3423457732116772</v>
      </c>
      <c r="X102" s="1069">
        <v>0.16367539996934896</v>
      </c>
      <c r="Y102" s="1069">
        <v>1.2759803054177743</v>
      </c>
      <c r="Z102" s="1069">
        <v>0.5666719420050207</v>
      </c>
      <c r="AA102" s="1069">
        <v>6.2872615707097586</v>
      </c>
      <c r="AB102" s="1069">
        <v>1.1356353304956208</v>
      </c>
      <c r="AC102" s="1069">
        <v>2.408790582561754</v>
      </c>
      <c r="AD102" s="1069">
        <v>4.8754483550259256</v>
      </c>
      <c r="AE102" s="1069">
        <v>1.3381125627865829</v>
      </c>
      <c r="AF102" s="1069">
        <v>2.6464423933741608</v>
      </c>
      <c r="AG102" s="1069">
        <v>0.171819511765763</v>
      </c>
      <c r="AH102" s="1069">
        <v>0.5087844395747665</v>
      </c>
      <c r="AI102" s="1069">
        <v>0.5126945438398748</v>
      </c>
      <c r="AJ102" s="1069">
        <v>2.8833706074483545</v>
      </c>
      <c r="AK102" s="1069">
        <v>0.29210016882125206</v>
      </c>
      <c r="AL102" s="1069">
        <v>0.11686284503323915</v>
      </c>
      <c r="AM102" s="1069">
        <v>0.09832421212000254</v>
      </c>
      <c r="AN102" s="1069">
        <v>0.17087767083500266</v>
      </c>
      <c r="AO102" s="1069">
        <v>0.39568632827422534</v>
      </c>
      <c r="AP102" s="1069">
        <v>0.4969372321993468</v>
      </c>
      <c r="AQ102" s="1069">
        <v>2.230412096418518</v>
      </c>
      <c r="AR102" s="1069">
        <v>0.6575339480947564</v>
      </c>
      <c r="AS102" s="1069">
        <v>0.5202839445556751</v>
      </c>
      <c r="AT102" s="1069">
        <v>1.0807104551185687</v>
      </c>
      <c r="AU102" s="1069">
        <v>0.12371300028217058</v>
      </c>
      <c r="AV102" s="1069">
        <v>0.07663709294387011</v>
      </c>
      <c r="AW102" s="1063"/>
    </row>
    <row r="103">
      <c r="A103" s="122"/>
      <c r="B103" s="123"/>
      <c r="C103" s="151"/>
      <c r="D103" s="123"/>
      <c r="E103" s="471"/>
      <c r="F103" s="149"/>
      <c r="G103" s="149"/>
      <c r="H103" s="127"/>
      <c r="I103" s="1056"/>
      <c r="J103" s="1056"/>
      <c r="K103" s="1056"/>
      <c r="L103" s="1056"/>
      <c r="M103" s="1056"/>
      <c r="N103" s="1056"/>
      <c r="O103" s="1056"/>
      <c r="P103" s="1056"/>
      <c r="Q103" s="1056"/>
      <c r="R103" s="1056"/>
      <c r="S103" s="1056"/>
      <c r="T103" s="1056"/>
      <c r="U103" s="1056"/>
      <c r="V103" s="1056"/>
      <c r="W103" s="1056"/>
      <c r="X103" s="1056"/>
      <c r="Y103" s="1056"/>
      <c r="Z103" s="1056"/>
      <c r="AA103" s="1056"/>
      <c r="AB103" s="1056"/>
      <c r="AC103" s="1056"/>
      <c r="AD103" s="1056"/>
      <c r="AE103" s="1056"/>
      <c r="AF103" s="1056"/>
      <c r="AG103" s="1056"/>
      <c r="AH103" s="1056"/>
      <c r="AI103" s="1056"/>
      <c r="AJ103" s="1056"/>
      <c r="AK103" s="1056"/>
      <c r="AL103" s="1056"/>
      <c r="AM103" s="1056"/>
      <c r="AN103" s="1056"/>
      <c r="AO103" s="1056"/>
      <c r="AP103" s="1056"/>
      <c r="AQ103" s="1056"/>
      <c r="AR103" s="1056"/>
      <c r="AS103" s="1056"/>
      <c r="AT103" s="1056"/>
      <c r="AU103" s="1056"/>
      <c r="AV103" s="1056"/>
      <c r="AW103" s="1057"/>
    </row>
    <row r="104">
      <c r="A104" s="122"/>
      <c r="B104" s="123"/>
      <c r="C104" s="151" t="s">
        <v>1065</v>
      </c>
      <c r="F104" s="149"/>
      <c r="G104" s="149"/>
      <c r="H104" s="127"/>
      <c r="AW104" s="1057"/>
    </row>
    <row r="105">
      <c r="A105" s="122"/>
      <c r="B105" s="123"/>
      <c r="C105" s="151"/>
      <c r="D105" s="123"/>
      <c r="E105" s="915" t="s">
        <v>1066</v>
      </c>
      <c r="F105" s="296" t="s">
        <v>72</v>
      </c>
      <c r="G105" s="296" t="s">
        <v>165</v>
      </c>
      <c r="H105" s="1089" t="s">
        <v>162</v>
      </c>
      <c r="I105" s="383">
        <f t="shared" ref="I105:AV105" si="14">1-SUM(I106:I108)</f>
        <v>0.6308956387</v>
      </c>
      <c r="J105" s="383">
        <f t="shared" si="14"/>
        <v>0.6080877007</v>
      </c>
      <c r="K105" s="383">
        <f t="shared" si="14"/>
        <v>0.6350133914</v>
      </c>
      <c r="L105" s="383">
        <f t="shared" si="14"/>
        <v>0.6045317413</v>
      </c>
      <c r="M105" s="383">
        <f t="shared" si="14"/>
        <v>0.6236127563</v>
      </c>
      <c r="N105" s="383">
        <f t="shared" si="14"/>
        <v>0.6185357107</v>
      </c>
      <c r="O105" s="383">
        <f t="shared" si="14"/>
        <v>0.635590593</v>
      </c>
      <c r="P105" s="383">
        <f t="shared" si="14"/>
        <v>0.6380087501</v>
      </c>
      <c r="Q105" s="383">
        <f t="shared" si="14"/>
        <v>0.6498250149</v>
      </c>
      <c r="R105" s="383">
        <f t="shared" si="14"/>
        <v>0.348705909</v>
      </c>
      <c r="S105" s="383">
        <f t="shared" si="14"/>
        <v>0.5363746603</v>
      </c>
      <c r="T105" s="383">
        <f t="shared" si="14"/>
        <v>0.3263036534</v>
      </c>
      <c r="U105" s="383">
        <f t="shared" si="14"/>
        <v>0.3646047282</v>
      </c>
      <c r="V105" s="383">
        <f t="shared" si="14"/>
        <v>0.4623582885</v>
      </c>
      <c r="W105" s="383">
        <f t="shared" si="14"/>
        <v>0.4690092999</v>
      </c>
      <c r="X105" s="383">
        <f t="shared" si="14"/>
        <v>0.5297366478</v>
      </c>
      <c r="Y105" s="383">
        <f t="shared" si="14"/>
        <v>0.2701419909</v>
      </c>
      <c r="Z105" s="383">
        <f t="shared" si="14"/>
        <v>0.4066926937</v>
      </c>
      <c r="AA105" s="383">
        <f t="shared" si="14"/>
        <v>0.09004712592</v>
      </c>
      <c r="AB105" s="383">
        <f t="shared" si="14"/>
        <v>0.3085370883</v>
      </c>
      <c r="AC105" s="383">
        <f t="shared" si="14"/>
        <v>0.1887758688</v>
      </c>
      <c r="AD105" s="383">
        <f t="shared" si="14"/>
        <v>0.1038721776</v>
      </c>
      <c r="AE105" s="383">
        <f t="shared" si="14"/>
        <v>0.2775055891</v>
      </c>
      <c r="AF105" s="383">
        <f t="shared" si="14"/>
        <v>0.169082683</v>
      </c>
      <c r="AG105" s="383">
        <f t="shared" si="14"/>
        <v>0.5707121263</v>
      </c>
      <c r="AH105" s="383">
        <f t="shared" si="14"/>
        <v>0.4212197557</v>
      </c>
      <c r="AI105" s="383">
        <f t="shared" si="14"/>
        <v>0.3765699946</v>
      </c>
      <c r="AJ105" s="383">
        <f t="shared" si="14"/>
        <v>0.1560720844</v>
      </c>
      <c r="AK105" s="383">
        <f t="shared" si="14"/>
        <v>0.486330727</v>
      </c>
      <c r="AL105" s="383">
        <f t="shared" si="14"/>
        <v>0.5706003009</v>
      </c>
      <c r="AM105" s="383">
        <f t="shared" si="14"/>
        <v>0.580231473</v>
      </c>
      <c r="AN105" s="383">
        <f t="shared" si="14"/>
        <v>0.544277418</v>
      </c>
      <c r="AO105" s="383">
        <f t="shared" si="14"/>
        <v>0.4249198571</v>
      </c>
      <c r="AP105" s="383">
        <f t="shared" si="14"/>
        <v>0.4076164415</v>
      </c>
      <c r="AQ105" s="383">
        <f t="shared" si="14"/>
        <v>0.1839077382</v>
      </c>
      <c r="AR105" s="383">
        <f t="shared" si="14"/>
        <v>0.365632626</v>
      </c>
      <c r="AS105" s="383">
        <f t="shared" si="14"/>
        <v>0.3963100312</v>
      </c>
      <c r="AT105" s="383">
        <f t="shared" si="14"/>
        <v>0.3124877631</v>
      </c>
      <c r="AU105" s="383">
        <f t="shared" si="14"/>
        <v>0.5954533</v>
      </c>
      <c r="AV105" s="383">
        <f t="shared" si="14"/>
        <v>0.5982335061</v>
      </c>
      <c r="AW105" s="1061"/>
    </row>
    <row r="106">
      <c r="A106" s="122"/>
      <c r="B106" s="123"/>
      <c r="C106" s="151"/>
      <c r="D106" s="123"/>
      <c r="E106" s="915" t="s">
        <v>1067</v>
      </c>
      <c r="F106" s="296" t="s">
        <v>72</v>
      </c>
      <c r="G106" s="296" t="s">
        <v>165</v>
      </c>
      <c r="H106" s="1089" t="s">
        <v>162</v>
      </c>
      <c r="I106" s="383">
        <f t="shared" ref="I106:AV106" si="15">I100/((1+I100)*(1+I101)*(1+I102))</f>
        <v>0.1153317318</v>
      </c>
      <c r="J106" s="383">
        <f t="shared" si="15"/>
        <v>0.1023548876</v>
      </c>
      <c r="K106" s="383">
        <f t="shared" si="15"/>
        <v>0.1058006718</v>
      </c>
      <c r="L106" s="383">
        <f t="shared" si="15"/>
        <v>0.0996226839</v>
      </c>
      <c r="M106" s="383">
        <f t="shared" si="15"/>
        <v>0.1003268853</v>
      </c>
      <c r="N106" s="383">
        <f t="shared" si="15"/>
        <v>0.1226736145</v>
      </c>
      <c r="O106" s="383">
        <f t="shared" si="15"/>
        <v>0.1223088318</v>
      </c>
      <c r="P106" s="383">
        <f t="shared" si="15"/>
        <v>0.1259944638</v>
      </c>
      <c r="Q106" s="383">
        <f t="shared" si="15"/>
        <v>0.1065746766</v>
      </c>
      <c r="R106" s="383">
        <f t="shared" si="15"/>
        <v>0.06701547936</v>
      </c>
      <c r="S106" s="383">
        <f t="shared" si="15"/>
        <v>0.0867080194</v>
      </c>
      <c r="T106" s="383">
        <f t="shared" si="15"/>
        <v>0.08708246532</v>
      </c>
      <c r="U106" s="383">
        <f t="shared" si="15"/>
        <v>0.09378995852</v>
      </c>
      <c r="V106" s="383">
        <f t="shared" si="15"/>
        <v>0.1002475731</v>
      </c>
      <c r="W106" s="383">
        <f t="shared" si="15"/>
        <v>0.1186269263</v>
      </c>
      <c r="X106" s="383">
        <f t="shared" si="15"/>
        <v>0.1496436013</v>
      </c>
      <c r="Y106" s="383">
        <f t="shared" si="15"/>
        <v>0.07908330679</v>
      </c>
      <c r="Z106" s="383">
        <f t="shared" si="15"/>
        <v>0.09574266697</v>
      </c>
      <c r="AA106" s="383">
        <f t="shared" si="15"/>
        <v>0.01746917322</v>
      </c>
      <c r="AB106" s="383">
        <f t="shared" si="15"/>
        <v>0.05894312777</v>
      </c>
      <c r="AC106" s="383">
        <f t="shared" si="15"/>
        <v>0.04242343705</v>
      </c>
      <c r="AD106" s="383">
        <f t="shared" si="15"/>
        <v>0.03154450844</v>
      </c>
      <c r="AE106" s="383">
        <f t="shared" si="15"/>
        <v>0.05780322103</v>
      </c>
      <c r="AF106" s="383">
        <f t="shared" si="15"/>
        <v>0.04856779531</v>
      </c>
      <c r="AG106" s="383">
        <f t="shared" si="15"/>
        <v>0.09404944334</v>
      </c>
      <c r="AH106" s="383">
        <f t="shared" si="15"/>
        <v>0.1000218758</v>
      </c>
      <c r="AI106" s="383">
        <f t="shared" si="15"/>
        <v>0.1546841052</v>
      </c>
      <c r="AJ106" s="383">
        <f t="shared" si="15"/>
        <v>0.04816721981</v>
      </c>
      <c r="AK106" s="383">
        <f t="shared" si="15"/>
        <v>0.1237368962</v>
      </c>
      <c r="AL106" s="383">
        <f t="shared" si="15"/>
        <v>0.1339829087</v>
      </c>
      <c r="AM106" s="383">
        <f t="shared" si="15"/>
        <v>0.1362444085</v>
      </c>
      <c r="AN106" s="383">
        <f t="shared" si="15"/>
        <v>0.127802021</v>
      </c>
      <c r="AO106" s="383">
        <f t="shared" si="15"/>
        <v>0.1470112208</v>
      </c>
      <c r="AP106" s="383">
        <f t="shared" si="15"/>
        <v>0.122709241</v>
      </c>
      <c r="AQ106" s="383">
        <f t="shared" si="15"/>
        <v>0.06358797012</v>
      </c>
      <c r="AR106" s="383">
        <f t="shared" si="15"/>
        <v>0.1144099143</v>
      </c>
      <c r="AS106" s="383">
        <f t="shared" si="15"/>
        <v>0.1261597979</v>
      </c>
      <c r="AT106" s="383">
        <f t="shared" si="15"/>
        <v>0.06515332638</v>
      </c>
      <c r="AU106" s="383">
        <f t="shared" si="15"/>
        <v>0.09846893018</v>
      </c>
      <c r="AV106" s="383">
        <f t="shared" si="15"/>
        <v>0.1308545168</v>
      </c>
      <c r="AW106" s="1061"/>
    </row>
    <row r="107">
      <c r="A107" s="122"/>
      <c r="B107" s="123"/>
      <c r="C107" s="151"/>
      <c r="D107" s="123"/>
      <c r="E107" s="307" t="s">
        <v>1068</v>
      </c>
      <c r="F107" s="302" t="s">
        <v>72</v>
      </c>
      <c r="G107" s="302" t="s">
        <v>165</v>
      </c>
      <c r="H107" s="1087" t="s">
        <v>162</v>
      </c>
      <c r="I107" s="241">
        <f t="shared" ref="I107:AV107" si="16">I101/((1+I101)*(1+I102))</f>
        <v>0.2091062092</v>
      </c>
      <c r="J107" s="241">
        <f t="shared" si="16"/>
        <v>0.2008756995</v>
      </c>
      <c r="K107" s="241">
        <f t="shared" si="16"/>
        <v>0.2095323118</v>
      </c>
      <c r="L107" s="241">
        <f t="shared" si="16"/>
        <v>0.1997890686</v>
      </c>
      <c r="M107" s="241">
        <f t="shared" si="16"/>
        <v>0.206297791</v>
      </c>
      <c r="N107" s="241">
        <f t="shared" si="16"/>
        <v>0.2060379699</v>
      </c>
      <c r="O107" s="241">
        <f t="shared" si="16"/>
        <v>0.2114125431</v>
      </c>
      <c r="P107" s="241">
        <f t="shared" si="16"/>
        <v>0.2127445588</v>
      </c>
      <c r="Q107" s="241">
        <f t="shared" si="16"/>
        <v>0.214694096</v>
      </c>
      <c r="R107" s="241">
        <f t="shared" si="16"/>
        <v>0.1146405957</v>
      </c>
      <c r="S107" s="241">
        <f t="shared" si="16"/>
        <v>0.1761920479</v>
      </c>
      <c r="T107" s="241">
        <f t="shared" si="16"/>
        <v>0.1086514482</v>
      </c>
      <c r="U107" s="241">
        <f t="shared" si="16"/>
        <v>0.1221985525</v>
      </c>
      <c r="V107" s="241">
        <f t="shared" si="16"/>
        <v>0.1527530968</v>
      </c>
      <c r="W107" s="241">
        <f t="shared" si="16"/>
        <v>0.1573283128</v>
      </c>
      <c r="X107" s="241">
        <f t="shared" si="16"/>
        <v>0.1799659226</v>
      </c>
      <c r="Y107" s="241">
        <f t="shared" si="16"/>
        <v>0.09014581531</v>
      </c>
      <c r="Z107" s="241">
        <f t="shared" si="16"/>
        <v>0.1358603624</v>
      </c>
      <c r="AA107" s="241">
        <f t="shared" si="16"/>
        <v>0.02970945985</v>
      </c>
      <c r="AB107" s="241">
        <f t="shared" si="16"/>
        <v>0.1007645192</v>
      </c>
      <c r="AC107" s="241">
        <f t="shared" si="16"/>
        <v>0.06215987122</v>
      </c>
      <c r="AD107" s="241">
        <f t="shared" si="16"/>
        <v>0.03478309097</v>
      </c>
      <c r="AE107" s="241">
        <f t="shared" si="16"/>
        <v>0.09238659507</v>
      </c>
      <c r="AF107" s="241">
        <f t="shared" si="16"/>
        <v>0.0565894224</v>
      </c>
      <c r="AG107" s="241">
        <f t="shared" si="16"/>
        <v>0.188612171</v>
      </c>
      <c r="AH107" s="241">
        <f t="shared" si="16"/>
        <v>0.1415435708</v>
      </c>
      <c r="AI107" s="241">
        <f t="shared" si="16"/>
        <v>0.1298178952</v>
      </c>
      <c r="AJ107" s="241">
        <f t="shared" si="16"/>
        <v>0.05326895372</v>
      </c>
      <c r="AK107" s="241">
        <f t="shared" si="16"/>
        <v>0.1638661818</v>
      </c>
      <c r="AL107" s="241">
        <f t="shared" si="16"/>
        <v>0.1907818788</v>
      </c>
      <c r="AM107" s="241">
        <f t="shared" si="16"/>
        <v>0.1940020894</v>
      </c>
      <c r="AN107" s="241">
        <f t="shared" si="16"/>
        <v>0.1819807459</v>
      </c>
      <c r="AO107" s="241">
        <f t="shared" si="16"/>
        <v>0.1445622915</v>
      </c>
      <c r="AP107" s="241">
        <f t="shared" si="16"/>
        <v>0.1377049995</v>
      </c>
      <c r="AQ107" s="241">
        <f t="shared" si="16"/>
        <v>0.06206232024</v>
      </c>
      <c r="AR107" s="241">
        <f t="shared" si="16"/>
        <v>0.1232633534</v>
      </c>
      <c r="AS107" s="241">
        <f t="shared" si="16"/>
        <v>0.1353020323</v>
      </c>
      <c r="AT107" s="241">
        <f t="shared" si="16"/>
        <v>0.1029639835</v>
      </c>
      <c r="AU107" s="241">
        <f t="shared" si="16"/>
        <v>0.1959847121</v>
      </c>
      <c r="AV107" s="241">
        <f t="shared" si="16"/>
        <v>0.1997300594</v>
      </c>
      <c r="AW107" s="1062"/>
    </row>
    <row r="108">
      <c r="A108" s="122"/>
      <c r="B108" s="123"/>
      <c r="C108" s="151"/>
      <c r="D108" s="123"/>
      <c r="E108" s="921" t="s">
        <v>1069</v>
      </c>
      <c r="F108" s="922" t="s">
        <v>72</v>
      </c>
      <c r="G108" s="922" t="s">
        <v>165</v>
      </c>
      <c r="H108" s="228" t="s">
        <v>162</v>
      </c>
      <c r="I108" s="385">
        <f t="shared" ref="I108:AV108" si="17">I102/(1+I102)</f>
        <v>0.04466642035</v>
      </c>
      <c r="J108" s="385">
        <f t="shared" si="17"/>
        <v>0.08868171223</v>
      </c>
      <c r="K108" s="385">
        <f t="shared" si="17"/>
        <v>0.04965362504</v>
      </c>
      <c r="L108" s="385">
        <f t="shared" si="17"/>
        <v>0.09605650616</v>
      </c>
      <c r="M108" s="385">
        <f t="shared" si="17"/>
        <v>0.06976256736</v>
      </c>
      <c r="N108" s="385">
        <f t="shared" si="17"/>
        <v>0.05275270488</v>
      </c>
      <c r="O108" s="385">
        <f t="shared" si="17"/>
        <v>0.03068803208</v>
      </c>
      <c r="P108" s="385">
        <f t="shared" si="17"/>
        <v>0.02325222736</v>
      </c>
      <c r="Q108" s="385">
        <f t="shared" si="17"/>
        <v>0.02890621245</v>
      </c>
      <c r="R108" s="385">
        <f t="shared" si="17"/>
        <v>0.469638016</v>
      </c>
      <c r="S108" s="385">
        <f t="shared" si="17"/>
        <v>0.2007252724</v>
      </c>
      <c r="T108" s="385">
        <f t="shared" si="17"/>
        <v>0.4779624331</v>
      </c>
      <c r="U108" s="385">
        <f t="shared" si="17"/>
        <v>0.4194067608</v>
      </c>
      <c r="V108" s="385">
        <f t="shared" si="17"/>
        <v>0.2846410416</v>
      </c>
      <c r="W108" s="385">
        <f t="shared" si="17"/>
        <v>0.2550354611</v>
      </c>
      <c r="X108" s="385">
        <f t="shared" si="17"/>
        <v>0.1406538284</v>
      </c>
      <c r="Y108" s="385">
        <f t="shared" si="17"/>
        <v>0.560628887</v>
      </c>
      <c r="Z108" s="385">
        <f t="shared" si="17"/>
        <v>0.361704277</v>
      </c>
      <c r="AA108" s="385">
        <f t="shared" si="17"/>
        <v>0.862774241</v>
      </c>
      <c r="AB108" s="385">
        <f t="shared" si="17"/>
        <v>0.5317552647</v>
      </c>
      <c r="AC108" s="385">
        <f t="shared" si="17"/>
        <v>0.706640823</v>
      </c>
      <c r="AD108" s="385">
        <f t="shared" si="17"/>
        <v>0.829800223</v>
      </c>
      <c r="AE108" s="385">
        <f t="shared" si="17"/>
        <v>0.5723045948</v>
      </c>
      <c r="AF108" s="385">
        <f t="shared" si="17"/>
        <v>0.7257600993</v>
      </c>
      <c r="AG108" s="385">
        <f t="shared" si="17"/>
        <v>0.1466262595</v>
      </c>
      <c r="AH108" s="385">
        <f t="shared" si="17"/>
        <v>0.3372147977</v>
      </c>
      <c r="AI108" s="385">
        <f t="shared" si="17"/>
        <v>0.3389280049</v>
      </c>
      <c r="AJ108" s="385">
        <f t="shared" si="17"/>
        <v>0.7424917421</v>
      </c>
      <c r="AK108" s="385">
        <f t="shared" si="17"/>
        <v>0.2260661951</v>
      </c>
      <c r="AL108" s="385">
        <f t="shared" si="17"/>
        <v>0.1046349116</v>
      </c>
      <c r="AM108" s="385">
        <f t="shared" si="17"/>
        <v>0.08952202914</v>
      </c>
      <c r="AN108" s="385">
        <f t="shared" si="17"/>
        <v>0.1459398151</v>
      </c>
      <c r="AO108" s="385">
        <f t="shared" si="17"/>
        <v>0.2835066306</v>
      </c>
      <c r="AP108" s="385">
        <f t="shared" si="17"/>
        <v>0.3319693181</v>
      </c>
      <c r="AQ108" s="385">
        <f t="shared" si="17"/>
        <v>0.6904419714</v>
      </c>
      <c r="AR108" s="385">
        <f t="shared" si="17"/>
        <v>0.3966941062</v>
      </c>
      <c r="AS108" s="385">
        <f t="shared" si="17"/>
        <v>0.3422281386</v>
      </c>
      <c r="AT108" s="385">
        <f t="shared" si="17"/>
        <v>0.5193949271</v>
      </c>
      <c r="AU108" s="385">
        <f t="shared" si="17"/>
        <v>0.1100930578</v>
      </c>
      <c r="AV108" s="385">
        <f t="shared" si="17"/>
        <v>0.0711819177</v>
      </c>
      <c r="AW108" s="1063"/>
    </row>
    <row r="109">
      <c r="A109" s="122"/>
      <c r="B109" s="123"/>
      <c r="C109" s="151"/>
      <c r="D109" s="123"/>
      <c r="E109" s="471"/>
      <c r="F109" s="149"/>
      <c r="G109" s="149"/>
      <c r="H109" s="127"/>
      <c r="I109" s="317"/>
      <c r="J109" s="317"/>
      <c r="K109" s="317"/>
      <c r="L109" s="317"/>
      <c r="M109" s="317"/>
      <c r="N109" s="317"/>
      <c r="O109" s="317"/>
      <c r="P109" s="317"/>
      <c r="Q109" s="317"/>
      <c r="R109" s="128"/>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1057"/>
    </row>
    <row r="110">
      <c r="A110" s="122"/>
      <c r="B110" s="123"/>
      <c r="C110" s="151" t="s">
        <v>1070</v>
      </c>
      <c r="F110" s="149"/>
      <c r="G110" s="149"/>
      <c r="H110" s="127"/>
      <c r="I110" s="1056"/>
      <c r="J110" s="1056"/>
      <c r="K110" s="1056"/>
      <c r="L110" s="1056"/>
      <c r="M110" s="1056"/>
      <c r="N110" s="1056"/>
      <c r="O110" s="1056"/>
      <c r="P110" s="1056"/>
      <c r="Q110" s="1056"/>
      <c r="R110" s="1056"/>
      <c r="S110" s="1056"/>
      <c r="T110" s="1056"/>
      <c r="U110" s="1056"/>
      <c r="V110" s="1056"/>
      <c r="W110" s="1056"/>
      <c r="X110" s="1056"/>
      <c r="Y110" s="1056"/>
      <c r="Z110" s="1056"/>
      <c r="AA110" s="1056"/>
      <c r="AB110" s="1056"/>
      <c r="AC110" s="1056"/>
      <c r="AD110" s="1056"/>
      <c r="AE110" s="1056"/>
      <c r="AF110" s="1056"/>
      <c r="AG110" s="1056"/>
      <c r="AH110" s="1056"/>
      <c r="AI110" s="1056"/>
      <c r="AJ110" s="1056"/>
      <c r="AK110" s="1056"/>
      <c r="AL110" s="1056"/>
      <c r="AM110" s="1056"/>
      <c r="AN110" s="1056"/>
      <c r="AO110" s="1056"/>
      <c r="AP110" s="1056"/>
      <c r="AQ110" s="1056"/>
      <c r="AR110" s="1056"/>
      <c r="AS110" s="1056"/>
      <c r="AT110" s="1056"/>
      <c r="AU110" s="1056"/>
      <c r="AV110" s="1056"/>
      <c r="AW110" s="1057"/>
    </row>
    <row r="111">
      <c r="A111" s="122"/>
      <c r="B111" s="123"/>
      <c r="C111" s="151"/>
      <c r="D111" s="123"/>
      <c r="E111" s="915" t="s">
        <v>1071</v>
      </c>
      <c r="F111" s="296" t="s">
        <v>72</v>
      </c>
      <c r="G111" s="296" t="s">
        <v>165</v>
      </c>
      <c r="H111" s="208" t="s">
        <v>162</v>
      </c>
      <c r="I111" s="383">
        <v>0.503</v>
      </c>
      <c r="J111" s="383">
        <v>0.503</v>
      </c>
      <c r="K111" s="383">
        <v>0.503</v>
      </c>
      <c r="L111" s="383">
        <v>0.503</v>
      </c>
      <c r="M111" s="383">
        <v>0.503</v>
      </c>
      <c r="N111" s="383">
        <v>0.503</v>
      </c>
      <c r="O111" s="383">
        <v>0.503</v>
      </c>
      <c r="P111" s="383">
        <v>0.503</v>
      </c>
      <c r="Q111" s="383">
        <v>0.503</v>
      </c>
      <c r="R111" s="383">
        <v>0.31633333333333336</v>
      </c>
      <c r="S111" s="383">
        <v>0.31633333333333336</v>
      </c>
      <c r="T111" s="383">
        <v>0.31633333333333336</v>
      </c>
      <c r="U111" s="383">
        <v>0.31633333333333336</v>
      </c>
      <c r="V111" s="383">
        <v>0.31633333333333336</v>
      </c>
      <c r="W111" s="383">
        <v>0.31633333333333336</v>
      </c>
      <c r="X111" s="383">
        <v>0.31633333333333336</v>
      </c>
      <c r="Y111" s="383">
        <v>0.31633333333333336</v>
      </c>
      <c r="Z111" s="383">
        <v>0.31633333333333336</v>
      </c>
      <c r="AA111" s="383">
        <v>0.31633333333333336</v>
      </c>
      <c r="AB111" s="383">
        <v>0.31633333333333336</v>
      </c>
      <c r="AC111" s="383">
        <v>0.31633333333333336</v>
      </c>
      <c r="AD111" s="383">
        <v>0.31633333333333336</v>
      </c>
      <c r="AE111" s="383">
        <v>0.31633333333333336</v>
      </c>
      <c r="AF111" s="383">
        <v>0.31633333333333336</v>
      </c>
      <c r="AG111" s="383">
        <v>0.31633333333333336</v>
      </c>
      <c r="AH111" s="383">
        <v>0.31633333333333336</v>
      </c>
      <c r="AI111" s="383">
        <v>0.31633333333333336</v>
      </c>
      <c r="AJ111" s="383">
        <v>0.31633333333333336</v>
      </c>
      <c r="AK111" s="383">
        <v>0.31633333333333336</v>
      </c>
      <c r="AL111" s="383">
        <v>0.353</v>
      </c>
      <c r="AM111" s="383">
        <v>0.393</v>
      </c>
      <c r="AN111" s="383">
        <v>0.353</v>
      </c>
      <c r="AO111" s="383">
        <v>0.31633333333333336</v>
      </c>
      <c r="AP111" s="383">
        <v>0.31633333333333336</v>
      </c>
      <c r="AQ111" s="383">
        <v>0.31633333333333336</v>
      </c>
      <c r="AR111" s="383">
        <v>0.31633333333333336</v>
      </c>
      <c r="AS111" s="383">
        <v>0.31633333333333336</v>
      </c>
      <c r="AT111" s="383">
        <v>0.31633333333333336</v>
      </c>
      <c r="AU111" s="383">
        <v>0.203</v>
      </c>
      <c r="AV111" s="383">
        <v>0.393</v>
      </c>
      <c r="AW111" s="1061"/>
    </row>
    <row r="112">
      <c r="A112" s="122"/>
      <c r="B112" s="123"/>
      <c r="C112" s="151"/>
      <c r="D112" s="123"/>
      <c r="E112" s="307" t="s">
        <v>1072</v>
      </c>
      <c r="F112" s="302" t="s">
        <v>72</v>
      </c>
      <c r="G112" s="302" t="s">
        <v>165</v>
      </c>
      <c r="H112" s="215">
        <v>-0.07</v>
      </c>
      <c r="I112" s="241" t="s">
        <v>162</v>
      </c>
      <c r="J112" s="241" t="s">
        <v>162</v>
      </c>
      <c r="K112" s="241" t="s">
        <v>162</v>
      </c>
      <c r="L112" s="241" t="s">
        <v>162</v>
      </c>
      <c r="M112" s="241" t="s">
        <v>162</v>
      </c>
      <c r="N112" s="241" t="s">
        <v>162</v>
      </c>
      <c r="O112" s="241" t="s">
        <v>162</v>
      </c>
      <c r="P112" s="241" t="s">
        <v>162</v>
      </c>
      <c r="Q112" s="241" t="s">
        <v>162</v>
      </c>
      <c r="R112" s="241" t="s">
        <v>162</v>
      </c>
      <c r="S112" s="241" t="s">
        <v>162</v>
      </c>
      <c r="T112" s="241" t="s">
        <v>162</v>
      </c>
      <c r="U112" s="241" t="s">
        <v>162</v>
      </c>
      <c r="V112" s="241" t="s">
        <v>162</v>
      </c>
      <c r="W112" s="241" t="s">
        <v>162</v>
      </c>
      <c r="X112" s="241" t="s">
        <v>162</v>
      </c>
      <c r="Y112" s="241" t="s">
        <v>162</v>
      </c>
      <c r="Z112" s="241" t="s">
        <v>162</v>
      </c>
      <c r="AA112" s="241" t="s">
        <v>162</v>
      </c>
      <c r="AB112" s="241" t="s">
        <v>162</v>
      </c>
      <c r="AC112" s="241" t="s">
        <v>162</v>
      </c>
      <c r="AD112" s="241" t="s">
        <v>162</v>
      </c>
      <c r="AE112" s="241" t="s">
        <v>162</v>
      </c>
      <c r="AF112" s="241" t="s">
        <v>162</v>
      </c>
      <c r="AG112" s="241" t="s">
        <v>162</v>
      </c>
      <c r="AH112" s="241" t="s">
        <v>162</v>
      </c>
      <c r="AI112" s="241" t="s">
        <v>162</v>
      </c>
      <c r="AJ112" s="241" t="s">
        <v>162</v>
      </c>
      <c r="AK112" s="241" t="s">
        <v>162</v>
      </c>
      <c r="AL112" s="241" t="s">
        <v>162</v>
      </c>
      <c r="AM112" s="241" t="s">
        <v>162</v>
      </c>
      <c r="AN112" s="241" t="s">
        <v>162</v>
      </c>
      <c r="AO112" s="241" t="s">
        <v>162</v>
      </c>
      <c r="AP112" s="241" t="s">
        <v>162</v>
      </c>
      <c r="AQ112" s="241" t="s">
        <v>162</v>
      </c>
      <c r="AR112" s="241" t="s">
        <v>162</v>
      </c>
      <c r="AS112" s="241" t="s">
        <v>162</v>
      </c>
      <c r="AT112" s="241" t="s">
        <v>162</v>
      </c>
      <c r="AU112" s="241" t="s">
        <v>162</v>
      </c>
      <c r="AV112" s="241" t="s">
        <v>162</v>
      </c>
      <c r="AW112" s="1062"/>
    </row>
    <row r="113">
      <c r="A113" s="122"/>
      <c r="B113" s="123"/>
      <c r="C113" s="151"/>
      <c r="D113" s="123"/>
      <c r="E113" s="307" t="s">
        <v>1073</v>
      </c>
      <c r="F113" s="302" t="s">
        <v>72</v>
      </c>
      <c r="G113" s="302" t="s">
        <v>165</v>
      </c>
      <c r="H113" s="215" t="s">
        <v>162</v>
      </c>
      <c r="I113" s="241">
        <v>-0.04421833054760869</v>
      </c>
      <c r="J113" s="241">
        <v>-0.05685457842962469</v>
      </c>
      <c r="K113" s="241">
        <v>-0.03774042870413241</v>
      </c>
      <c r="L113" s="241">
        <v>-0.08094931708929533</v>
      </c>
      <c r="M113" s="241">
        <v>-0.06252774600454601</v>
      </c>
      <c r="N113" s="241">
        <v>-0.05343454262871908</v>
      </c>
      <c r="O113" s="241">
        <v>-0.046035177589375184</v>
      </c>
      <c r="P113" s="241">
        <v>-0.03918562726858018</v>
      </c>
      <c r="Q113" s="241">
        <v>-0.031766708862051865</v>
      </c>
      <c r="R113" s="241">
        <v>-0.10298012835085384</v>
      </c>
      <c r="S113" s="241">
        <v>-0.06464919850731699</v>
      </c>
      <c r="T113" s="241">
        <v>-0.13387388165475506</v>
      </c>
      <c r="U113" s="241">
        <v>-0.1440989235055243</v>
      </c>
      <c r="V113" s="241">
        <v>-0.11319893891763654</v>
      </c>
      <c r="W113" s="241">
        <v>-0.10182412247248207</v>
      </c>
      <c r="X113" s="241">
        <v>-0.13918021514977058</v>
      </c>
      <c r="Y113" s="241">
        <v>-0.08306932663636545</v>
      </c>
      <c r="Z113" s="241">
        <v>-0.13301807986084246</v>
      </c>
      <c r="AA113" s="241">
        <v>-0.01744183792513385</v>
      </c>
      <c r="AB113" s="241">
        <v>-0.09376172633508266</v>
      </c>
      <c r="AC113" s="241">
        <v>-0.06945910630827641</v>
      </c>
      <c r="AD113" s="241">
        <v>-0.04922664789707143</v>
      </c>
      <c r="AE113" s="241">
        <v>-0.09531348607861409</v>
      </c>
      <c r="AF113" s="241">
        <v>-0.08848526431317695</v>
      </c>
      <c r="AG113" s="241">
        <v>-0.08725780470432877</v>
      </c>
      <c r="AH113" s="241">
        <v>-0.11777542662014859</v>
      </c>
      <c r="AI113" s="241">
        <v>-0.2138327328143507</v>
      </c>
      <c r="AJ113" s="241">
        <v>-0.10867851928463879</v>
      </c>
      <c r="AK113" s="241">
        <v>-0.12671302311543303</v>
      </c>
      <c r="AL113" s="241">
        <v>-0.09904028638330555</v>
      </c>
      <c r="AM113" s="241">
        <v>-0.09782004392168549</v>
      </c>
      <c r="AN113" s="241">
        <v>-0.09447136859658578</v>
      </c>
      <c r="AO113" s="241">
        <v>-0.19953694132465757</v>
      </c>
      <c r="AP113" s="241">
        <v>-0.17044189110397656</v>
      </c>
      <c r="AQ113" s="241">
        <v>-0.13473578518080365</v>
      </c>
      <c r="AR113" s="241">
        <v>-0.21108807438265645</v>
      </c>
      <c r="AS113" s="241">
        <v>-0.13138477686555544</v>
      </c>
      <c r="AT113" s="241">
        <v>-0.10117261842188009</v>
      </c>
      <c r="AU113" s="241">
        <v>-0.07271630743514818</v>
      </c>
      <c r="AV113" s="241">
        <v>-0.06242416513855302</v>
      </c>
      <c r="AW113" s="1062"/>
    </row>
    <row r="114">
      <c r="A114" s="122"/>
      <c r="B114" s="123"/>
      <c r="C114" s="151"/>
      <c r="D114" s="123"/>
      <c r="E114" s="921" t="s">
        <v>1074</v>
      </c>
      <c r="F114" s="922" t="s">
        <v>72</v>
      </c>
      <c r="G114" s="922" t="s">
        <v>165</v>
      </c>
      <c r="H114" s="488" t="s">
        <v>162</v>
      </c>
      <c r="I114" s="385">
        <v>-0.09346529230408851</v>
      </c>
      <c r="J114" s="385">
        <v>-0.08702584485465108</v>
      </c>
      <c r="K114" s="385">
        <v>-0.09273566309639292</v>
      </c>
      <c r="L114" s="385">
        <v>-0.0859469107863837</v>
      </c>
      <c r="M114" s="385">
        <v>-0.0897937201540886</v>
      </c>
      <c r="N114" s="385">
        <v>-0.09228226699543214</v>
      </c>
      <c r="O114" s="385">
        <v>-0.09551033376248806</v>
      </c>
      <c r="P114" s="385">
        <v>-0.09659819372409797</v>
      </c>
      <c r="Q114" s="385">
        <v>-0.09577101438860487</v>
      </c>
      <c r="R114" s="385">
        <v>-0.021548479822743622</v>
      </c>
      <c r="S114" s="385">
        <v>-0.06646948879496654</v>
      </c>
      <c r="T114" s="385">
        <v>-0.020157912706423836</v>
      </c>
      <c r="U114" s="385">
        <v>-0.029939449455066165</v>
      </c>
      <c r="V114" s="385">
        <v>-0.05245162942954969</v>
      </c>
      <c r="W114" s="385">
        <v>-0.05739714643845324</v>
      </c>
      <c r="X114" s="385">
        <v>-0.0765042303264913</v>
      </c>
      <c r="Y114" s="385">
        <v>-0.006348747454694202</v>
      </c>
      <c r="Z114" s="385">
        <v>-0.03957846380337538</v>
      </c>
      <c r="AA114" s="385">
        <v>0.04412366221345847</v>
      </c>
      <c r="AB114" s="385">
        <v>-0.011171993195059753</v>
      </c>
      <c r="AC114" s="385">
        <v>0.018042076865208</v>
      </c>
      <c r="AD114" s="385">
        <v>0.03861545854616688</v>
      </c>
      <c r="AE114" s="385">
        <v>-0.0043983580175291385</v>
      </c>
      <c r="AF114" s="385">
        <v>0.02123589048258292</v>
      </c>
      <c r="AG114" s="385">
        <v>-0.07550655491930709</v>
      </c>
      <c r="AH114" s="385">
        <v>-0.04366935255134228</v>
      </c>
      <c r="AI114" s="385">
        <v>-0.04338316679149223</v>
      </c>
      <c r="AJ114" s="385">
        <v>0.024030857604051596</v>
      </c>
      <c r="AK114" s="385">
        <v>-0.062236369158702703</v>
      </c>
      <c r="AL114" s="385">
        <v>-0.08299475815186275</v>
      </c>
      <c r="AM114" s="385">
        <v>-0.08586867779101354</v>
      </c>
      <c r="AN114" s="385">
        <v>-0.07628189469116729</v>
      </c>
      <c r="AO114" s="385">
        <v>-0.05264112914055241</v>
      </c>
      <c r="AP114" s="385">
        <v>-0.044545593051223076</v>
      </c>
      <c r="AQ114" s="385">
        <v>0.015336110815616333</v>
      </c>
      <c r="AR114" s="385">
        <v>-0.03373352535159268</v>
      </c>
      <c r="AS114" s="385">
        <v>-0.04283189007110736</v>
      </c>
      <c r="AT114" s="385">
        <v>-0.013236747844059206</v>
      </c>
      <c r="AU114" s="385">
        <v>-0.07987674156458421</v>
      </c>
      <c r="AV114" s="385">
        <v>-0.08876371967685322</v>
      </c>
      <c r="AW114" s="1063"/>
    </row>
    <row r="115">
      <c r="A115" s="122"/>
      <c r="B115" s="123"/>
      <c r="C115" s="151"/>
      <c r="D115" s="123"/>
      <c r="E115" s="471"/>
      <c r="F115" s="149"/>
      <c r="G115" s="149"/>
      <c r="H115" s="127"/>
      <c r="I115" s="1056"/>
      <c r="J115" s="1056"/>
      <c r="K115" s="1056"/>
      <c r="L115" s="1056"/>
      <c r="M115" s="1056"/>
      <c r="N115" s="1056"/>
      <c r="O115" s="1056"/>
      <c r="P115" s="1056"/>
      <c r="Q115" s="1056"/>
      <c r="R115" s="1056"/>
      <c r="S115" s="1056"/>
      <c r="T115" s="1056"/>
      <c r="U115" s="1056"/>
      <c r="V115" s="1056"/>
      <c r="W115" s="1056"/>
      <c r="X115" s="1056"/>
      <c r="Y115" s="1056"/>
      <c r="Z115" s="1056"/>
      <c r="AA115" s="1056"/>
      <c r="AB115" s="1056"/>
      <c r="AC115" s="1056"/>
      <c r="AD115" s="1056"/>
      <c r="AE115" s="1056"/>
      <c r="AF115" s="1056"/>
      <c r="AG115" s="1056"/>
      <c r="AH115" s="1056"/>
      <c r="AI115" s="1056"/>
      <c r="AJ115" s="1056"/>
      <c r="AK115" s="1056"/>
      <c r="AL115" s="1056"/>
      <c r="AM115" s="1056"/>
      <c r="AN115" s="1056"/>
      <c r="AO115" s="1056"/>
      <c r="AP115" s="1056"/>
      <c r="AQ115" s="1056"/>
      <c r="AR115" s="1056"/>
      <c r="AS115" s="1056"/>
      <c r="AT115" s="1056"/>
      <c r="AU115" s="1056"/>
      <c r="AV115" s="1056"/>
      <c r="AW115" s="1057"/>
    </row>
    <row r="116">
      <c r="A116" s="122"/>
      <c r="B116" s="123"/>
      <c r="C116" s="151" t="s">
        <v>1075</v>
      </c>
      <c r="F116" s="1092"/>
      <c r="G116" s="1092"/>
      <c r="H116" s="1070"/>
      <c r="I116" s="1071"/>
      <c r="J116" s="1071"/>
      <c r="K116" s="1071"/>
      <c r="L116" s="1071"/>
      <c r="M116" s="1071"/>
      <c r="N116" s="1071"/>
      <c r="O116" s="1071"/>
      <c r="P116" s="1071"/>
      <c r="Q116" s="1071"/>
      <c r="R116" s="1071"/>
      <c r="S116" s="1071"/>
      <c r="T116" s="1071"/>
      <c r="U116" s="1071"/>
      <c r="V116" s="1071"/>
      <c r="W116" s="1071"/>
      <c r="X116" s="1071"/>
      <c r="Y116" s="1071"/>
      <c r="Z116" s="1071"/>
      <c r="AA116" s="1071"/>
      <c r="AB116" s="1071"/>
      <c r="AC116" s="1071"/>
      <c r="AD116" s="1071"/>
      <c r="AE116" s="1071"/>
      <c r="AF116" s="1071"/>
      <c r="AG116" s="1071"/>
      <c r="AH116" s="1071"/>
      <c r="AI116" s="1071"/>
      <c r="AJ116" s="1071"/>
      <c r="AK116" s="1071"/>
      <c r="AL116" s="1071"/>
      <c r="AM116" s="1071"/>
      <c r="AN116" s="1071"/>
      <c r="AO116" s="1071"/>
      <c r="AP116" s="1071"/>
      <c r="AQ116" s="1071"/>
      <c r="AR116" s="1071"/>
      <c r="AS116" s="1071"/>
      <c r="AT116" s="1071"/>
      <c r="AU116" s="1071"/>
      <c r="AV116" s="1071"/>
      <c r="AW116" s="1057"/>
    </row>
    <row r="117">
      <c r="A117" s="122"/>
      <c r="B117" s="123"/>
      <c r="C117" s="151"/>
      <c r="D117" s="123"/>
      <c r="E117" s="1093" t="s">
        <v>1076</v>
      </c>
      <c r="F117" s="417" t="s">
        <v>78</v>
      </c>
      <c r="G117" s="1094" t="s">
        <v>161</v>
      </c>
      <c r="H117" s="1095" t="s">
        <v>162</v>
      </c>
      <c r="I117" s="1096">
        <f t="shared" ref="I117:AV117" si="18">I97/I105*IFERROR((1+$H111),(1+I111))*IFERROR((1+$H112),(1+I112))*(1+SUM(I113:I114))</f>
        <v>20.03960646</v>
      </c>
      <c r="J117" s="1096">
        <f t="shared" si="18"/>
        <v>10.02083846</v>
      </c>
      <c r="K117" s="1096">
        <f t="shared" si="18"/>
        <v>18.1775049</v>
      </c>
      <c r="L117" s="1096">
        <f t="shared" si="18"/>
        <v>9.002767152</v>
      </c>
      <c r="M117" s="1096">
        <f t="shared" si="18"/>
        <v>12.61282684</v>
      </c>
      <c r="N117" s="1096">
        <f t="shared" si="18"/>
        <v>16.80973361</v>
      </c>
      <c r="O117" s="1096">
        <f t="shared" si="18"/>
        <v>29.03701301</v>
      </c>
      <c r="P117" s="1096">
        <f t="shared" si="18"/>
        <v>38.57993882</v>
      </c>
      <c r="Q117" s="1096">
        <f t="shared" si="18"/>
        <v>31.32991169</v>
      </c>
      <c r="R117" s="1096">
        <f t="shared" si="18"/>
        <v>1.694686289</v>
      </c>
      <c r="S117" s="1096">
        <f t="shared" si="18"/>
        <v>3.935219868</v>
      </c>
      <c r="T117" s="1096">
        <f t="shared" si="18"/>
        <v>1.609054963</v>
      </c>
      <c r="U117" s="1096">
        <f t="shared" si="18"/>
        <v>1.790338065</v>
      </c>
      <c r="V117" s="1096">
        <f t="shared" si="18"/>
        <v>2.664778133</v>
      </c>
      <c r="W117" s="1096">
        <f t="shared" si="18"/>
        <v>2.997034537</v>
      </c>
      <c r="X117" s="1096">
        <f t="shared" si="18"/>
        <v>5.069321927</v>
      </c>
      <c r="Y117" s="1096">
        <f t="shared" si="18"/>
        <v>1.476570392</v>
      </c>
      <c r="Z117" s="1096">
        <f t="shared" si="18"/>
        <v>2.079573564</v>
      </c>
      <c r="AA117" s="1096">
        <f t="shared" si="18"/>
        <v>1.081805798</v>
      </c>
      <c r="AB117" s="1096">
        <f t="shared" si="18"/>
        <v>1.530220442</v>
      </c>
      <c r="AC117" s="1096">
        <f t="shared" si="18"/>
        <v>1.220357858</v>
      </c>
      <c r="AD117" s="1096">
        <f t="shared" si="18"/>
        <v>1.083937019</v>
      </c>
      <c r="AE117" s="1096">
        <f t="shared" si="18"/>
        <v>1.430095056</v>
      </c>
      <c r="AF117" s="1096">
        <f t="shared" si="18"/>
        <v>1.168377171</v>
      </c>
      <c r="AG117" s="1096">
        <f t="shared" si="18"/>
        <v>5.190946506</v>
      </c>
      <c r="AH117" s="1096">
        <f t="shared" si="18"/>
        <v>2.260662053</v>
      </c>
      <c r="AI117" s="1096">
        <f t="shared" si="18"/>
        <v>1.992350509</v>
      </c>
      <c r="AJ117" s="1096">
        <f t="shared" si="18"/>
        <v>1.120746184</v>
      </c>
      <c r="AK117" s="1096">
        <f t="shared" si="18"/>
        <v>3.261541663</v>
      </c>
      <c r="AL117" s="1096">
        <f t="shared" si="18"/>
        <v>7.304670065</v>
      </c>
      <c r="AM117" s="1096">
        <f t="shared" si="18"/>
        <v>8.772466493</v>
      </c>
      <c r="AN117" s="1096">
        <f t="shared" si="18"/>
        <v>5.309486223</v>
      </c>
      <c r="AO117" s="1096">
        <f t="shared" si="18"/>
        <v>2.397980114</v>
      </c>
      <c r="AP117" s="1096">
        <f t="shared" si="18"/>
        <v>2.149756328</v>
      </c>
      <c r="AQ117" s="1096">
        <f t="shared" si="18"/>
        <v>1.159477323</v>
      </c>
      <c r="AR117" s="1096">
        <f t="shared" si="18"/>
        <v>1.730630738</v>
      </c>
      <c r="AS117" s="1096">
        <f t="shared" si="18"/>
        <v>2.193617991</v>
      </c>
      <c r="AT117" s="1096">
        <f t="shared" si="18"/>
        <v>1.550050732</v>
      </c>
      <c r="AU117" s="1096">
        <f t="shared" si="18"/>
        <v>6.395027811</v>
      </c>
      <c r="AV117" s="1096">
        <f t="shared" si="18"/>
        <v>11.47196265</v>
      </c>
      <c r="AW117" s="1058"/>
    </row>
    <row r="118">
      <c r="A118" s="122"/>
      <c r="B118" s="123"/>
      <c r="C118" s="143"/>
      <c r="D118" s="123"/>
      <c r="E118" s="853"/>
      <c r="F118" s="423"/>
      <c r="G118" s="423"/>
      <c r="H118" s="1070"/>
      <c r="I118" s="1071"/>
      <c r="J118" s="1071"/>
      <c r="K118" s="1071"/>
      <c r="L118" s="1071"/>
      <c r="M118" s="1071"/>
      <c r="N118" s="1071"/>
      <c r="O118" s="1071"/>
      <c r="P118" s="1071"/>
      <c r="Q118" s="1071"/>
      <c r="R118" s="1071"/>
      <c r="S118" s="1071"/>
      <c r="T118" s="1071"/>
      <c r="U118" s="1071"/>
      <c r="V118" s="1071"/>
      <c r="W118" s="1071"/>
      <c r="X118" s="1071"/>
      <c r="Y118" s="1071"/>
      <c r="Z118" s="1071"/>
      <c r="AA118" s="1071"/>
      <c r="AB118" s="1071"/>
      <c r="AC118" s="1071"/>
      <c r="AD118" s="1071"/>
      <c r="AE118" s="1071"/>
      <c r="AF118" s="1071"/>
      <c r="AG118" s="1071"/>
      <c r="AH118" s="1071"/>
      <c r="AI118" s="1071"/>
      <c r="AJ118" s="1071"/>
      <c r="AK118" s="1071"/>
      <c r="AL118" s="1071"/>
      <c r="AM118" s="1071"/>
      <c r="AN118" s="1071"/>
      <c r="AO118" s="1071"/>
      <c r="AP118" s="1071"/>
      <c r="AQ118" s="1071"/>
      <c r="AR118" s="1071"/>
      <c r="AS118" s="1071"/>
      <c r="AT118" s="1071"/>
      <c r="AU118" s="1071"/>
      <c r="AV118" s="1071"/>
      <c r="AW118" s="1057"/>
    </row>
    <row r="119">
      <c r="A119" s="1080" t="s">
        <v>1085</v>
      </c>
      <c r="B119" s="7"/>
      <c r="C119" s="7"/>
      <c r="D119" s="7"/>
      <c r="E119" s="7"/>
      <c r="F119" s="7"/>
      <c r="G119" s="659"/>
      <c r="H119" s="118"/>
      <c r="I119" s="1081"/>
      <c r="J119" s="1081"/>
      <c r="K119" s="1081"/>
      <c r="L119" s="1081"/>
      <c r="M119" s="1081"/>
      <c r="N119" s="1081"/>
      <c r="O119" s="1081"/>
      <c r="P119" s="1081"/>
      <c r="Q119" s="1081"/>
      <c r="R119" s="1081"/>
      <c r="S119" s="1081"/>
      <c r="T119" s="1081"/>
      <c r="U119" s="1081"/>
      <c r="V119" s="1081"/>
      <c r="W119" s="1081"/>
      <c r="X119" s="1081"/>
      <c r="Y119" s="1081"/>
      <c r="Z119" s="1081"/>
      <c r="AA119" s="1081"/>
      <c r="AB119" s="1081"/>
      <c r="AC119" s="1081"/>
      <c r="AD119" s="1081"/>
      <c r="AE119" s="1081"/>
      <c r="AF119" s="1081"/>
      <c r="AG119" s="1081"/>
      <c r="AH119" s="1081"/>
      <c r="AI119" s="1081"/>
      <c r="AJ119" s="1081"/>
      <c r="AK119" s="1081"/>
      <c r="AL119" s="1081"/>
      <c r="AM119" s="1081"/>
      <c r="AN119" s="1081"/>
      <c r="AO119" s="1081"/>
      <c r="AP119" s="1081"/>
      <c r="AQ119" s="1081"/>
      <c r="AR119" s="1081"/>
      <c r="AS119" s="1081"/>
      <c r="AT119" s="1081"/>
      <c r="AU119" s="1081"/>
      <c r="AV119" s="1081"/>
      <c r="AW119" s="1055"/>
    </row>
    <row r="120">
      <c r="A120" s="122"/>
      <c r="B120" s="123"/>
      <c r="C120" s="143"/>
      <c r="D120" s="123"/>
      <c r="E120" s="853"/>
      <c r="F120" s="423"/>
      <c r="G120" s="423"/>
      <c r="H120" s="1070"/>
      <c r="I120" s="1071"/>
      <c r="J120" s="1071"/>
      <c r="K120" s="1071"/>
      <c r="L120" s="1071"/>
      <c r="M120" s="1071"/>
      <c r="N120" s="1071"/>
      <c r="O120" s="1071"/>
      <c r="P120" s="1071"/>
      <c r="Q120" s="1071"/>
      <c r="R120" s="1071"/>
      <c r="S120" s="1071"/>
      <c r="T120" s="1071"/>
      <c r="U120" s="1071"/>
      <c r="V120" s="1071"/>
      <c r="W120" s="1071"/>
      <c r="X120" s="1071"/>
      <c r="Y120" s="1071"/>
      <c r="Z120" s="1071"/>
      <c r="AA120" s="1071"/>
      <c r="AB120" s="1071"/>
      <c r="AC120" s="1071"/>
      <c r="AD120" s="1071"/>
      <c r="AE120" s="1071"/>
      <c r="AF120" s="1071"/>
      <c r="AG120" s="1071"/>
      <c r="AH120" s="1071"/>
      <c r="AI120" s="1071"/>
      <c r="AJ120" s="1071"/>
      <c r="AK120" s="1071"/>
      <c r="AL120" s="1071"/>
      <c r="AM120" s="1071"/>
      <c r="AN120" s="1071"/>
      <c r="AO120" s="1071"/>
      <c r="AP120" s="1071"/>
      <c r="AQ120" s="1071"/>
      <c r="AR120" s="1071"/>
      <c r="AS120" s="1071"/>
      <c r="AT120" s="1071"/>
      <c r="AU120" s="1071"/>
      <c r="AV120" s="1071"/>
      <c r="AW120" s="1057"/>
    </row>
    <row r="121">
      <c r="A121" s="122"/>
      <c r="B121" s="123"/>
      <c r="C121" s="143" t="s">
        <v>1049</v>
      </c>
      <c r="F121" s="423"/>
      <c r="G121" s="423"/>
      <c r="H121" s="1070"/>
      <c r="I121" s="1071"/>
      <c r="J121" s="1071"/>
      <c r="K121" s="1071"/>
      <c r="L121" s="1071"/>
      <c r="M121" s="1071"/>
      <c r="N121" s="1071"/>
      <c r="O121" s="1071"/>
      <c r="P121" s="1071"/>
      <c r="Q121" s="1071"/>
      <c r="R121" s="1071"/>
      <c r="S121" s="1071"/>
      <c r="T121" s="1071"/>
      <c r="U121" s="1071"/>
      <c r="V121" s="1071"/>
      <c r="W121" s="1071"/>
      <c r="X121" s="1071"/>
      <c r="Y121" s="1071"/>
      <c r="Z121" s="1071"/>
      <c r="AA121" s="1071"/>
      <c r="AB121" s="1071"/>
      <c r="AC121" s="1071"/>
      <c r="AD121" s="1071"/>
      <c r="AE121" s="1071"/>
      <c r="AF121" s="1071"/>
      <c r="AG121" s="1071"/>
      <c r="AH121" s="1071"/>
      <c r="AI121" s="1071"/>
      <c r="AJ121" s="1071"/>
      <c r="AK121" s="1071"/>
      <c r="AL121" s="1071"/>
      <c r="AM121" s="1071"/>
      <c r="AN121" s="1071"/>
      <c r="AO121" s="1071"/>
      <c r="AP121" s="1071"/>
      <c r="AQ121" s="1071"/>
      <c r="AR121" s="1071"/>
      <c r="AS121" s="1071"/>
      <c r="AT121" s="1071"/>
      <c r="AU121" s="1071"/>
      <c r="AV121" s="1071"/>
      <c r="AW121" s="1057"/>
    </row>
    <row r="122">
      <c r="A122" s="122"/>
      <c r="B122" s="123"/>
      <c r="C122" s="143"/>
      <c r="D122" s="123"/>
      <c r="E122" s="782" t="s">
        <v>1050</v>
      </c>
      <c r="F122" s="193" t="s">
        <v>68</v>
      </c>
      <c r="G122" s="193" t="s">
        <v>165</v>
      </c>
      <c r="H122" s="1089" t="s">
        <v>162</v>
      </c>
      <c r="I122" s="1097">
        <v>24.86285003985379</v>
      </c>
      <c r="J122" s="1097">
        <v>12.432709418583936</v>
      </c>
      <c r="K122" s="1097">
        <v>22.55256754998788</v>
      </c>
      <c r="L122" s="1097">
        <v>11.16960306138044</v>
      </c>
      <c r="M122" s="1097">
        <v>15.648551932853149</v>
      </c>
      <c r="N122" s="1097">
        <v>20.855593482652687</v>
      </c>
      <c r="O122" s="1097">
        <v>36.02580228709735</v>
      </c>
      <c r="P122" s="1097">
        <v>47.86557237859279</v>
      </c>
      <c r="Q122" s="1097">
        <v>38.87056852983654</v>
      </c>
      <c r="R122" s="1097" t="e">
        <v>#VALUE!</v>
      </c>
      <c r="S122" s="1097">
        <v>4.8823704027337955</v>
      </c>
      <c r="T122" s="1097" t="e">
        <v>#VALUE!</v>
      </c>
      <c r="U122" s="1097" t="e">
        <v>#VALUE!</v>
      </c>
      <c r="V122" s="1097" t="e">
        <v>#VALUE!</v>
      </c>
      <c r="W122" s="1097" t="e">
        <v>#VALUE!</v>
      </c>
      <c r="X122" s="1097" t="e">
        <v>#VALUE!</v>
      </c>
      <c r="Y122" s="1097" t="e">
        <v>#VALUE!</v>
      </c>
      <c r="Z122" s="1097" t="e">
        <v>#VALUE!</v>
      </c>
      <c r="AA122" s="1097" t="e">
        <v>#VALUE!</v>
      </c>
      <c r="AB122" s="1097" t="e">
        <v>#VALUE!</v>
      </c>
      <c r="AC122" s="1097" t="e">
        <v>#VALUE!</v>
      </c>
      <c r="AD122" s="1097" t="e">
        <v>#VALUE!</v>
      </c>
      <c r="AE122" s="1097" t="e">
        <v>#VALUE!</v>
      </c>
      <c r="AF122" s="1097" t="e">
        <v>#VALUE!</v>
      </c>
      <c r="AG122" s="1097">
        <v>6.440332289644747</v>
      </c>
      <c r="AH122" s="1097" t="e">
        <v>#VALUE!</v>
      </c>
      <c r="AI122" s="1097" t="e">
        <v>#VALUE!</v>
      </c>
      <c r="AJ122" s="1097" t="e">
        <v>#VALUE!</v>
      </c>
      <c r="AK122" s="1097" t="e">
        <v>#VALUE!</v>
      </c>
      <c r="AL122" s="1097">
        <v>9.062798552962205</v>
      </c>
      <c r="AM122" s="1097">
        <v>10.883872362725267</v>
      </c>
      <c r="AN122" s="1097">
        <v>6.58740280312394</v>
      </c>
      <c r="AO122" s="1097" t="e">
        <v>#VALUE!</v>
      </c>
      <c r="AP122" s="1097" t="e">
        <v>#VALUE!</v>
      </c>
      <c r="AQ122" s="1097" t="e">
        <v>#VALUE!</v>
      </c>
      <c r="AR122" s="1097" t="e">
        <v>#VALUE!</v>
      </c>
      <c r="AS122" s="1097" t="e">
        <v>#VALUE!</v>
      </c>
      <c r="AT122" s="1097" t="e">
        <v>#VALUE!</v>
      </c>
      <c r="AU122" s="1097">
        <v>7.934218557811895</v>
      </c>
      <c r="AV122" s="1097">
        <v>14.233098219733199</v>
      </c>
      <c r="AW122" s="1061"/>
    </row>
    <row r="123">
      <c r="A123" s="122"/>
      <c r="B123" s="123"/>
      <c r="C123" s="143"/>
      <c r="D123" s="123"/>
      <c r="E123" s="475" t="s">
        <v>1052</v>
      </c>
      <c r="F123" s="213" t="s">
        <v>72</v>
      </c>
      <c r="G123" s="213" t="s">
        <v>165</v>
      </c>
      <c r="H123" s="1087" t="s">
        <v>162</v>
      </c>
      <c r="I123" s="1098">
        <v>33.014354544308986</v>
      </c>
      <c r="J123" s="1098">
        <v>17.243272430622604</v>
      </c>
      <c r="K123" s="1098">
        <v>34.365872983376605</v>
      </c>
      <c r="L123" s="1098">
        <v>16.0959950656315</v>
      </c>
      <c r="M123" s="1098">
        <v>21.838626953936508</v>
      </c>
      <c r="N123" s="1098">
        <v>30.95458493615759</v>
      </c>
      <c r="O123" s="1098">
        <v>50.97967800509562</v>
      </c>
      <c r="P123" s="1098">
        <v>71.55254413522478</v>
      </c>
      <c r="Q123" s="1098">
        <v>55.12401445200972</v>
      </c>
      <c r="R123" s="1098" t="e">
        <v>#VALUE!</v>
      </c>
      <c r="S123" s="1098">
        <v>7.410953569124393</v>
      </c>
      <c r="T123" s="1098" t="e">
        <v>#VALUE!</v>
      </c>
      <c r="U123" s="1098" t="e">
        <v>#VALUE!</v>
      </c>
      <c r="V123" s="1098" t="e">
        <v>#VALUE!</v>
      </c>
      <c r="W123" s="1098" t="e">
        <v>#VALUE!</v>
      </c>
      <c r="X123" s="1098" t="e">
        <v>#VALUE!</v>
      </c>
      <c r="Y123" s="1098" t="e">
        <v>#VALUE!</v>
      </c>
      <c r="Z123" s="1098" t="e">
        <v>#VALUE!</v>
      </c>
      <c r="AA123" s="1098" t="e">
        <v>#VALUE!</v>
      </c>
      <c r="AB123" s="1098" t="e">
        <v>#VALUE!</v>
      </c>
      <c r="AC123" s="1098" t="e">
        <v>#VALUE!</v>
      </c>
      <c r="AD123" s="1098" t="e">
        <v>#VALUE!</v>
      </c>
      <c r="AE123" s="1098" t="e">
        <v>#VALUE!</v>
      </c>
      <c r="AF123" s="1098" t="e">
        <v>#VALUE!</v>
      </c>
      <c r="AG123" s="1098">
        <v>9.920508145900042</v>
      </c>
      <c r="AH123" s="1098" t="e">
        <v>#VALUE!</v>
      </c>
      <c r="AI123" s="1098" t="e">
        <v>#VALUE!</v>
      </c>
      <c r="AJ123" s="1098" t="e">
        <v>#VALUE!</v>
      </c>
      <c r="AK123" s="1098" t="e">
        <v>#VALUE!</v>
      </c>
      <c r="AL123" s="1098">
        <v>11.07298545531624</v>
      </c>
      <c r="AM123" s="1098">
        <v>12.43158022034866</v>
      </c>
      <c r="AN123" s="1098">
        <v>9.576402988010473</v>
      </c>
      <c r="AO123" s="1098" t="e">
        <v>#VALUE!</v>
      </c>
      <c r="AP123" s="1098" t="e">
        <v>#VALUE!</v>
      </c>
      <c r="AQ123" s="1098" t="e">
        <v>#VALUE!</v>
      </c>
      <c r="AR123" s="1098" t="e">
        <v>#VALUE!</v>
      </c>
      <c r="AS123" s="1098" t="e">
        <v>#VALUE!</v>
      </c>
      <c r="AT123" s="1098" t="e">
        <v>#VALUE!</v>
      </c>
      <c r="AU123" s="1098">
        <v>12.12969492376409</v>
      </c>
      <c r="AV123" s="1098">
        <v>20.909697866441324</v>
      </c>
      <c r="AW123" s="1062"/>
    </row>
    <row r="124">
      <c r="A124" s="122"/>
      <c r="B124" s="123"/>
      <c r="C124" s="143"/>
      <c r="D124" s="123"/>
      <c r="E124" s="475" t="s">
        <v>1079</v>
      </c>
      <c r="F124" s="213" t="s">
        <v>72</v>
      </c>
      <c r="G124" s="213" t="s">
        <v>165</v>
      </c>
      <c r="H124" s="1087" t="s">
        <v>162</v>
      </c>
      <c r="I124" s="1098">
        <v>12.928682020723972</v>
      </c>
      <c r="J124" s="1098">
        <v>6.465008897663648</v>
      </c>
      <c r="K124" s="1098">
        <v>11.727335125993704</v>
      </c>
      <c r="L124" s="1098">
        <v>5.8081935919178305</v>
      </c>
      <c r="M124" s="1098">
        <v>8.137247005083635</v>
      </c>
      <c r="N124" s="1098">
        <v>10.844908610979402</v>
      </c>
      <c r="O124" s="1098">
        <v>18.733417189290623</v>
      </c>
      <c r="P124" s="1098">
        <v>24.890097636868248</v>
      </c>
      <c r="Q124" s="1098">
        <v>20.212695635514997</v>
      </c>
      <c r="R124" s="1098" t="e">
        <v>#VALUE!</v>
      </c>
      <c r="S124" s="1098">
        <v>2.5388326094215734</v>
      </c>
      <c r="T124" s="1098" t="e">
        <v>#VALUE!</v>
      </c>
      <c r="U124" s="1098" t="e">
        <v>#VALUE!</v>
      </c>
      <c r="V124" s="1098" t="e">
        <v>#VALUE!</v>
      </c>
      <c r="W124" s="1098" t="e">
        <v>#VALUE!</v>
      </c>
      <c r="X124" s="1098" t="e">
        <v>#VALUE!</v>
      </c>
      <c r="Y124" s="1098" t="e">
        <v>#VALUE!</v>
      </c>
      <c r="Z124" s="1098" t="e">
        <v>#VALUE!</v>
      </c>
      <c r="AA124" s="1098" t="e">
        <v>#VALUE!</v>
      </c>
      <c r="AB124" s="1098" t="e">
        <v>#VALUE!</v>
      </c>
      <c r="AC124" s="1098" t="e">
        <v>#VALUE!</v>
      </c>
      <c r="AD124" s="1098" t="e">
        <v>#VALUE!</v>
      </c>
      <c r="AE124" s="1098" t="e">
        <v>#VALUE!</v>
      </c>
      <c r="AF124" s="1098" t="e">
        <v>#VALUE!</v>
      </c>
      <c r="AG124" s="1098">
        <v>3.3489727906152686</v>
      </c>
      <c r="AH124" s="1098" t="e">
        <v>#VALUE!</v>
      </c>
      <c r="AI124" s="1098" t="e">
        <v>#VALUE!</v>
      </c>
      <c r="AJ124" s="1098" t="e">
        <v>#VALUE!</v>
      </c>
      <c r="AK124" s="1098" t="e">
        <v>#VALUE!</v>
      </c>
      <c r="AL124" s="1098">
        <v>4.712655247540347</v>
      </c>
      <c r="AM124" s="1098">
        <v>5.659613628617139</v>
      </c>
      <c r="AN124" s="1098">
        <v>3.42544945762445</v>
      </c>
      <c r="AO124" s="1098" t="e">
        <v>#VALUE!</v>
      </c>
      <c r="AP124" s="1098" t="e">
        <v>#VALUE!</v>
      </c>
      <c r="AQ124" s="1098" t="e">
        <v>#VALUE!</v>
      </c>
      <c r="AR124" s="1098" t="e">
        <v>#VALUE!</v>
      </c>
      <c r="AS124" s="1098" t="e">
        <v>#VALUE!</v>
      </c>
      <c r="AT124" s="1098" t="e">
        <v>#VALUE!</v>
      </c>
      <c r="AU124" s="1098">
        <v>4.125793650062185</v>
      </c>
      <c r="AV124" s="1098">
        <v>7.401211074261264</v>
      </c>
      <c r="AW124" s="1062"/>
    </row>
    <row r="125">
      <c r="A125" s="122"/>
      <c r="B125" s="123"/>
      <c r="C125" s="143"/>
      <c r="D125" s="123"/>
      <c r="E125" s="792" t="s">
        <v>1055</v>
      </c>
      <c r="F125" s="200" t="s">
        <v>72</v>
      </c>
      <c r="G125" s="200" t="s">
        <v>165</v>
      </c>
      <c r="H125" s="1088" t="s">
        <v>162</v>
      </c>
      <c r="I125" s="1099">
        <v>15.912224025506427</v>
      </c>
      <c r="J125" s="1099">
        <v>7.956934027893719</v>
      </c>
      <c r="K125" s="1099">
        <v>14.433643231992246</v>
      </c>
      <c r="L125" s="1099">
        <v>7.148545959283485</v>
      </c>
      <c r="M125" s="1099">
        <v>10.015073237026014</v>
      </c>
      <c r="N125" s="1099">
        <v>13.347579828897725</v>
      </c>
      <c r="O125" s="1099">
        <v>23.05651346374231</v>
      </c>
      <c r="P125" s="1099">
        <v>30.633966322299386</v>
      </c>
      <c r="Q125" s="1099">
        <v>24.87716385909539</v>
      </c>
      <c r="R125" s="1099" t="e">
        <v>#VALUE!</v>
      </c>
      <c r="S125" s="1099">
        <v>3.1247170577496286</v>
      </c>
      <c r="T125" s="1099" t="e">
        <v>#VALUE!</v>
      </c>
      <c r="U125" s="1099" t="e">
        <v>#VALUE!</v>
      </c>
      <c r="V125" s="1099" t="e">
        <v>#VALUE!</v>
      </c>
      <c r="W125" s="1099" t="e">
        <v>#VALUE!</v>
      </c>
      <c r="X125" s="1099" t="e">
        <v>#VALUE!</v>
      </c>
      <c r="Y125" s="1099" t="e">
        <v>#VALUE!</v>
      </c>
      <c r="Z125" s="1099" t="e">
        <v>#VALUE!</v>
      </c>
      <c r="AA125" s="1099" t="e">
        <v>#VALUE!</v>
      </c>
      <c r="AB125" s="1099" t="e">
        <v>#VALUE!</v>
      </c>
      <c r="AC125" s="1099" t="e">
        <v>#VALUE!</v>
      </c>
      <c r="AD125" s="1099" t="e">
        <v>#VALUE!</v>
      </c>
      <c r="AE125" s="1099" t="e">
        <v>#VALUE!</v>
      </c>
      <c r="AF125" s="1099" t="e">
        <v>#VALUE!</v>
      </c>
      <c r="AG125" s="1099">
        <v>4.12181266537264</v>
      </c>
      <c r="AH125" s="1099" t="e">
        <v>#VALUE!</v>
      </c>
      <c r="AI125" s="1099" t="e">
        <v>#VALUE!</v>
      </c>
      <c r="AJ125" s="1099" t="e">
        <v>#VALUE!</v>
      </c>
      <c r="AK125" s="1099" t="e">
        <v>#VALUE!</v>
      </c>
      <c r="AL125" s="1099">
        <v>5.800191073895813</v>
      </c>
      <c r="AM125" s="1099">
        <v>6.965678312144172</v>
      </c>
      <c r="AN125" s="1099">
        <v>4.215937793999323</v>
      </c>
      <c r="AO125" s="1099" t="e">
        <v>#VALUE!</v>
      </c>
      <c r="AP125" s="1099" t="e">
        <v>#VALUE!</v>
      </c>
      <c r="AQ125" s="1099" t="e">
        <v>#VALUE!</v>
      </c>
      <c r="AR125" s="1099" t="e">
        <v>#VALUE!</v>
      </c>
      <c r="AS125" s="1099" t="e">
        <v>#VALUE!</v>
      </c>
      <c r="AT125" s="1099" t="e">
        <v>#VALUE!</v>
      </c>
      <c r="AU125" s="1099">
        <v>5.077899876999615</v>
      </c>
      <c r="AV125" s="1099">
        <v>9.10918286062925</v>
      </c>
      <c r="AW125" s="1063"/>
    </row>
    <row r="126">
      <c r="A126" s="122"/>
      <c r="B126" s="123"/>
      <c r="C126" s="143"/>
      <c r="D126" s="123"/>
      <c r="E126" s="853"/>
      <c r="F126" s="423"/>
      <c r="G126" s="423"/>
      <c r="H126" s="1070"/>
      <c r="I126" s="1071"/>
      <c r="J126" s="1071"/>
      <c r="K126" s="1071"/>
      <c r="L126" s="1071"/>
      <c r="M126" s="1071"/>
      <c r="N126" s="1071"/>
      <c r="O126" s="1071"/>
      <c r="P126" s="1071"/>
      <c r="Q126" s="1071"/>
      <c r="R126" s="1071"/>
      <c r="S126" s="1071"/>
      <c r="T126" s="1071"/>
      <c r="U126" s="1071"/>
      <c r="V126" s="1071"/>
      <c r="W126" s="1071"/>
      <c r="X126" s="1071"/>
      <c r="Y126" s="1071"/>
      <c r="Z126" s="1071"/>
      <c r="AA126" s="1071"/>
      <c r="AB126" s="1071"/>
      <c r="AC126" s="1071"/>
      <c r="AD126" s="1071"/>
      <c r="AE126" s="1071"/>
      <c r="AF126" s="1071"/>
      <c r="AG126" s="1071"/>
      <c r="AH126" s="1071"/>
      <c r="AI126" s="1071"/>
      <c r="AJ126" s="1071"/>
      <c r="AK126" s="1071"/>
      <c r="AL126" s="1071"/>
      <c r="AM126" s="1071"/>
      <c r="AN126" s="1071"/>
      <c r="AO126" s="1071"/>
      <c r="AP126" s="1071"/>
      <c r="AQ126" s="1071"/>
      <c r="AR126" s="1071"/>
      <c r="AS126" s="1071"/>
      <c r="AT126" s="1071"/>
      <c r="AU126" s="1071"/>
      <c r="AV126" s="1071"/>
      <c r="AW126" s="1057"/>
    </row>
    <row r="127">
      <c r="A127" s="122"/>
      <c r="B127" s="123"/>
      <c r="C127" s="143" t="s">
        <v>1061</v>
      </c>
      <c r="F127" s="423"/>
      <c r="G127" s="423"/>
      <c r="H127" s="1070"/>
      <c r="I127" s="1071"/>
      <c r="J127" s="1071"/>
      <c r="K127" s="1071"/>
      <c r="L127" s="1071"/>
      <c r="M127" s="1071"/>
      <c r="N127" s="1071"/>
      <c r="O127" s="1071"/>
      <c r="P127" s="1071"/>
      <c r="Q127" s="1071"/>
      <c r="R127" s="1071"/>
      <c r="S127" s="1071"/>
      <c r="T127" s="1071"/>
      <c r="U127" s="1071"/>
      <c r="V127" s="1071"/>
      <c r="W127" s="1071"/>
      <c r="X127" s="1071"/>
      <c r="Y127" s="1071"/>
      <c r="Z127" s="1071"/>
      <c r="AA127" s="1071"/>
      <c r="AB127" s="1071"/>
      <c r="AC127" s="1071"/>
      <c r="AD127" s="1071"/>
      <c r="AE127" s="1071"/>
      <c r="AF127" s="1071"/>
      <c r="AG127" s="1071"/>
      <c r="AH127" s="1071"/>
      <c r="AI127" s="1071"/>
      <c r="AJ127" s="1071"/>
      <c r="AK127" s="1071"/>
      <c r="AL127" s="1071"/>
      <c r="AM127" s="1071"/>
      <c r="AN127" s="1071"/>
      <c r="AO127" s="1071"/>
      <c r="AP127" s="1071"/>
      <c r="AQ127" s="1071"/>
      <c r="AR127" s="1071"/>
      <c r="AS127" s="1071"/>
      <c r="AT127" s="1071"/>
      <c r="AU127" s="1071"/>
      <c r="AV127" s="1071"/>
      <c r="AW127" s="1057"/>
    </row>
    <row r="128">
      <c r="A128" s="122"/>
      <c r="B128" s="123"/>
      <c r="C128" s="143"/>
      <c r="D128" s="123"/>
      <c r="E128" s="782" t="s">
        <v>1080</v>
      </c>
      <c r="F128" s="193" t="s">
        <v>72</v>
      </c>
      <c r="G128" s="193" t="s">
        <v>165</v>
      </c>
      <c r="H128" s="1089" t="s">
        <v>162</v>
      </c>
      <c r="I128" s="1100">
        <v>18.045817713847708</v>
      </c>
      <c r="J128" s="1100">
        <v>9.086388960235215</v>
      </c>
      <c r="K128" s="1100">
        <v>16.49602930918749</v>
      </c>
      <c r="L128" s="1100">
        <v>8.177158492270935</v>
      </c>
      <c r="M128" s="1100">
        <v>11.477890360643075</v>
      </c>
      <c r="N128" s="1100">
        <v>15.027659558480293</v>
      </c>
      <c r="O128" s="1100">
        <v>26.030019021759767</v>
      </c>
      <c r="P128" s="1100">
        <v>34.503491355277866</v>
      </c>
      <c r="Q128" s="1100">
        <v>28.467610851536595</v>
      </c>
      <c r="R128" s="1100" t="e">
        <v>#VALUE!</v>
      </c>
      <c r="S128" s="1100">
        <v>3.5797702283584907</v>
      </c>
      <c r="T128" s="1100" t="e">
        <v>#VALUE!</v>
      </c>
      <c r="U128" s="1100" t="e">
        <v>#VALUE!</v>
      </c>
      <c r="V128" s="1100" t="e">
        <v>#VALUE!</v>
      </c>
      <c r="W128" s="1100" t="e">
        <v>#VALUE!</v>
      </c>
      <c r="X128" s="1100" t="e">
        <v>#VALUE!</v>
      </c>
      <c r="Y128" s="1100" t="e">
        <v>#VALUE!</v>
      </c>
      <c r="Z128" s="1100" t="e">
        <v>#VALUE!</v>
      </c>
      <c r="AA128" s="1100" t="e">
        <v>#VALUE!</v>
      </c>
      <c r="AB128" s="1100" t="e">
        <v>#VALUE!</v>
      </c>
      <c r="AC128" s="1100" t="e">
        <v>#VALUE!</v>
      </c>
      <c r="AD128" s="1100" t="e">
        <v>#VALUE!</v>
      </c>
      <c r="AE128" s="1100" t="e">
        <v>#VALUE!</v>
      </c>
      <c r="AF128" s="1100" t="e">
        <v>#VALUE!</v>
      </c>
      <c r="AG128" s="1100">
        <v>4.714905049527033</v>
      </c>
      <c r="AH128" s="1100" t="e">
        <v>#VALUE!</v>
      </c>
      <c r="AI128" s="1100" t="e">
        <v>#VALUE!</v>
      </c>
      <c r="AJ128" s="1100" t="e">
        <v>#VALUE!</v>
      </c>
      <c r="AK128" s="1100" t="e">
        <v>#VALUE!</v>
      </c>
      <c r="AL128" s="1100">
        <v>6.423019508309345</v>
      </c>
      <c r="AM128" s="1100">
        <v>7.713657553260285</v>
      </c>
      <c r="AN128" s="1100">
        <v>4.668648041363256</v>
      </c>
      <c r="AO128" s="1100" t="e">
        <v>#VALUE!</v>
      </c>
      <c r="AP128" s="1100" t="e">
        <v>#VALUE!</v>
      </c>
      <c r="AQ128" s="1100" t="e">
        <v>#VALUE!</v>
      </c>
      <c r="AR128" s="1100" t="e">
        <v>#VALUE!</v>
      </c>
      <c r="AS128" s="1100" t="e">
        <v>#VALUE!</v>
      </c>
      <c r="AT128" s="1100" t="e">
        <v>#VALUE!</v>
      </c>
      <c r="AU128" s="1100">
        <v>5.806951856421151</v>
      </c>
      <c r="AV128" s="1100">
        <v>10.160312100589344</v>
      </c>
      <c r="AW128" s="1061"/>
    </row>
    <row r="129">
      <c r="A129" s="122"/>
      <c r="B129" s="123"/>
      <c r="C129" s="143"/>
      <c r="D129" s="123"/>
      <c r="E129" s="475" t="s">
        <v>1063</v>
      </c>
      <c r="F129" s="213" t="s">
        <v>72</v>
      </c>
      <c r="G129" s="213" t="s">
        <v>165</v>
      </c>
      <c r="H129" s="1087" t="s">
        <v>162</v>
      </c>
      <c r="I129" s="1101">
        <v>15.536637340574359</v>
      </c>
      <c r="J129" s="1101">
        <v>7.753801389966844</v>
      </c>
      <c r="K129" s="1101">
        <v>14.064143046460645</v>
      </c>
      <c r="L129" s="1101">
        <v>6.9607230783343335</v>
      </c>
      <c r="M129" s="1101">
        <v>9.742551035838192</v>
      </c>
      <c r="N129" s="1101">
        <v>13.05539573549207</v>
      </c>
      <c r="O129" s="1101">
        <v>22.53469325485652</v>
      </c>
      <c r="P129" s="1101">
        <v>29.952011894027752</v>
      </c>
      <c r="Q129" s="1101">
        <v>24.221500680610777</v>
      </c>
      <c r="R129" s="1101" t="e">
        <v>#VALUE!</v>
      </c>
      <c r="S129" s="1101">
        <v>3.044880893762518</v>
      </c>
      <c r="T129" s="1101" t="e">
        <v>#VALUE!</v>
      </c>
      <c r="U129" s="1101" t="e">
        <v>#VALUE!</v>
      </c>
      <c r="V129" s="1101" t="e">
        <v>#VALUE!</v>
      </c>
      <c r="W129" s="1101" t="e">
        <v>#VALUE!</v>
      </c>
      <c r="X129" s="1101" t="e">
        <v>#VALUE!</v>
      </c>
      <c r="Y129" s="1101" t="e">
        <v>#VALUE!</v>
      </c>
      <c r="Z129" s="1101" t="e">
        <v>#VALUE!</v>
      </c>
      <c r="AA129" s="1101" t="e">
        <v>#VALUE!</v>
      </c>
      <c r="AB129" s="1101" t="e">
        <v>#VALUE!</v>
      </c>
      <c r="AC129" s="1101" t="e">
        <v>#VALUE!</v>
      </c>
      <c r="AD129" s="1101" t="e">
        <v>#VALUE!</v>
      </c>
      <c r="AE129" s="1101" t="e">
        <v>#VALUE!</v>
      </c>
      <c r="AF129" s="1101" t="e">
        <v>#VALUE!</v>
      </c>
      <c r="AG129" s="1101">
        <v>4.013515015199794</v>
      </c>
      <c r="AH129" s="1101" t="e">
        <v>#VALUE!</v>
      </c>
      <c r="AI129" s="1101" t="e">
        <v>#VALUE!</v>
      </c>
      <c r="AJ129" s="1101" t="e">
        <v>#VALUE!</v>
      </c>
      <c r="AK129" s="1101" t="e">
        <v>#VALUE!</v>
      </c>
      <c r="AL129" s="1101">
        <v>5.7053783088367656</v>
      </c>
      <c r="AM129" s="1101">
        <v>6.851813921665974</v>
      </c>
      <c r="AN129" s="1101">
        <v>4.147022009247851</v>
      </c>
      <c r="AO129" s="1101" t="e">
        <v>#VALUE!</v>
      </c>
      <c r="AP129" s="1101" t="e">
        <v>#VALUE!</v>
      </c>
      <c r="AQ129" s="1101" t="e">
        <v>#VALUE!</v>
      </c>
      <c r="AR129" s="1101" t="e">
        <v>#VALUE!</v>
      </c>
      <c r="AS129" s="1101" t="e">
        <v>#VALUE!</v>
      </c>
      <c r="AT129" s="1101" t="e">
        <v>#VALUE!</v>
      </c>
      <c r="AU129" s="1101">
        <v>4.949488873422484</v>
      </c>
      <c r="AV129" s="1101">
        <v>8.937966767866447</v>
      </c>
      <c r="AW129" s="1062"/>
    </row>
    <row r="130">
      <c r="A130" s="122"/>
      <c r="B130" s="123"/>
      <c r="C130" s="143"/>
      <c r="D130" s="123"/>
      <c r="E130" s="792" t="s">
        <v>1064</v>
      </c>
      <c r="F130" s="200" t="s">
        <v>72</v>
      </c>
      <c r="G130" s="200" t="s">
        <v>165</v>
      </c>
      <c r="H130" s="1088" t="s">
        <v>162</v>
      </c>
      <c r="I130" s="1102">
        <v>19.44606622748145</v>
      </c>
      <c r="J130" s="1102">
        <v>9.505145951288712</v>
      </c>
      <c r="K130" s="1102">
        <v>17.594127346823733</v>
      </c>
      <c r="L130" s="1102">
        <v>8.506517230996696</v>
      </c>
      <c r="M130" s="1102">
        <v>12.08216828295834</v>
      </c>
      <c r="N130" s="1102">
        <v>16.2443991989135</v>
      </c>
      <c r="O130" s="1102">
        <v>28.37841743917159</v>
      </c>
      <c r="P130" s="1102">
        <v>37.84726543422162</v>
      </c>
      <c r="Q130" s="1102">
        <v>30.647014459030796</v>
      </c>
      <c r="R130" s="1102" t="e">
        <v>#VALUE!</v>
      </c>
      <c r="S130" s="1102">
        <v>3.5138902705885844</v>
      </c>
      <c r="T130" s="1102" t="e">
        <v>#VALUE!</v>
      </c>
      <c r="U130" s="1102" t="e">
        <v>#VALUE!</v>
      </c>
      <c r="V130" s="1102" t="e">
        <v>#VALUE!</v>
      </c>
      <c r="W130" s="1102" t="e">
        <v>#VALUE!</v>
      </c>
      <c r="X130" s="1102" t="e">
        <v>#VALUE!</v>
      </c>
      <c r="Y130" s="1102" t="e">
        <v>#VALUE!</v>
      </c>
      <c r="Z130" s="1102" t="e">
        <v>#VALUE!</v>
      </c>
      <c r="AA130" s="1102" t="e">
        <v>#VALUE!</v>
      </c>
      <c r="AB130" s="1102" t="e">
        <v>#VALUE!</v>
      </c>
      <c r="AC130" s="1102" t="e">
        <v>#VALUE!</v>
      </c>
      <c r="AD130" s="1102" t="e">
        <v>#VALUE!</v>
      </c>
      <c r="AE130" s="1102" t="e">
        <v>#VALUE!</v>
      </c>
      <c r="AF130" s="1102" t="e">
        <v>#VALUE!</v>
      </c>
      <c r="AG130" s="1102">
        <v>4.774537098406489</v>
      </c>
      <c r="AH130" s="1102" t="e">
        <v>#VALUE!</v>
      </c>
      <c r="AI130" s="1102" t="e">
        <v>#VALUE!</v>
      </c>
      <c r="AJ130" s="1102" t="e">
        <v>#VALUE!</v>
      </c>
      <c r="AK130" s="1102" t="e">
        <v>#VALUE!</v>
      </c>
      <c r="AL130" s="1102">
        <v>6.870924792279483</v>
      </c>
      <c r="AM130" s="1102">
        <v>8.317359354665637</v>
      </c>
      <c r="AN130" s="1102">
        <v>4.885376503558878</v>
      </c>
      <c r="AO130" s="1102" t="e">
        <v>#VALUE!</v>
      </c>
      <c r="AP130" s="1102" t="e">
        <v>#VALUE!</v>
      </c>
      <c r="AQ130" s="1102" t="e">
        <v>#VALUE!</v>
      </c>
      <c r="AR130" s="1102" t="e">
        <v>#VALUE!</v>
      </c>
      <c r="AS130" s="1102" t="e">
        <v>#VALUE!</v>
      </c>
      <c r="AT130" s="1102" t="e">
        <v>#VALUE!</v>
      </c>
      <c r="AU130" s="1102">
        <v>5.997973893360332</v>
      </c>
      <c r="AV130" s="1102">
        <v>10.981222885343136</v>
      </c>
      <c r="AW130" s="1063"/>
    </row>
    <row r="131">
      <c r="A131" s="122"/>
      <c r="B131" s="123"/>
      <c r="C131" s="143"/>
      <c r="D131" s="123"/>
      <c r="E131" s="853"/>
      <c r="F131" s="423"/>
      <c r="G131" s="423"/>
      <c r="H131" s="1070"/>
      <c r="I131" s="1071"/>
      <c r="J131" s="1071"/>
      <c r="K131" s="1071"/>
      <c r="L131" s="1071"/>
      <c r="M131" s="1071"/>
      <c r="N131" s="1071"/>
      <c r="O131" s="1071"/>
      <c r="P131" s="1071"/>
      <c r="Q131" s="1071"/>
      <c r="R131" s="1071"/>
      <c r="S131" s="1071"/>
      <c r="T131" s="1071"/>
      <c r="U131" s="1071"/>
      <c r="V131" s="1071"/>
      <c r="W131" s="1071"/>
      <c r="X131" s="1071"/>
      <c r="Y131" s="1071"/>
      <c r="Z131" s="1071"/>
      <c r="AA131" s="1071"/>
      <c r="AB131" s="1071"/>
      <c r="AC131" s="1071"/>
      <c r="AD131" s="1071"/>
      <c r="AE131" s="1071"/>
      <c r="AF131" s="1071"/>
      <c r="AG131" s="1071"/>
      <c r="AH131" s="1071"/>
      <c r="AI131" s="1071"/>
      <c r="AJ131" s="1071"/>
      <c r="AK131" s="1071"/>
      <c r="AL131" s="1071"/>
      <c r="AM131" s="1071"/>
      <c r="AN131" s="1071"/>
      <c r="AO131" s="1071"/>
      <c r="AP131" s="1071"/>
      <c r="AQ131" s="1071"/>
      <c r="AR131" s="1071"/>
      <c r="AS131" s="1071"/>
      <c r="AT131" s="1071"/>
      <c r="AU131" s="1071"/>
      <c r="AV131" s="1071"/>
      <c r="AW131" s="1057"/>
    </row>
    <row r="132">
      <c r="A132" s="122"/>
      <c r="B132" s="123"/>
      <c r="C132" s="143" t="s">
        <v>1070</v>
      </c>
      <c r="F132" s="423"/>
      <c r="G132" s="423"/>
      <c r="H132" s="1070"/>
      <c r="I132" s="1071"/>
      <c r="J132" s="1071"/>
      <c r="K132" s="1071"/>
      <c r="L132" s="1071"/>
      <c r="M132" s="1071"/>
      <c r="N132" s="1071"/>
      <c r="O132" s="1071"/>
      <c r="P132" s="1071"/>
      <c r="Q132" s="1071"/>
      <c r="R132" s="1071"/>
      <c r="S132" s="1071"/>
      <c r="T132" s="1071"/>
      <c r="U132" s="1071"/>
      <c r="V132" s="1071"/>
      <c r="W132" s="1071"/>
      <c r="X132" s="1071"/>
      <c r="Y132" s="1071"/>
      <c r="Z132" s="1071"/>
      <c r="AA132" s="1071"/>
      <c r="AB132" s="1071"/>
      <c r="AC132" s="1071"/>
      <c r="AD132" s="1071"/>
      <c r="AE132" s="1071"/>
      <c r="AF132" s="1071"/>
      <c r="AG132" s="1071"/>
      <c r="AH132" s="1071"/>
      <c r="AI132" s="1071"/>
      <c r="AJ132" s="1071"/>
      <c r="AK132" s="1071"/>
      <c r="AL132" s="1071"/>
      <c r="AM132" s="1071"/>
      <c r="AN132" s="1071"/>
      <c r="AO132" s="1071"/>
      <c r="AP132" s="1071"/>
      <c r="AQ132" s="1071"/>
      <c r="AR132" s="1071"/>
      <c r="AS132" s="1071"/>
      <c r="AT132" s="1071"/>
      <c r="AU132" s="1071"/>
      <c r="AV132" s="1071"/>
      <c r="AW132" s="1057"/>
    </row>
    <row r="133">
      <c r="A133" s="122"/>
      <c r="B133" s="123"/>
      <c r="C133" s="143"/>
      <c r="D133" s="123"/>
      <c r="E133" s="782" t="s">
        <v>1071</v>
      </c>
      <c r="F133" s="193" t="s">
        <v>72</v>
      </c>
      <c r="G133" s="193" t="s">
        <v>165</v>
      </c>
      <c r="H133" s="1089" t="s">
        <v>162</v>
      </c>
      <c r="I133" s="1097">
        <v>16.229171601530116</v>
      </c>
      <c r="J133" s="1097">
        <v>8.11542418921113</v>
      </c>
      <c r="K133" s="1097">
        <v>14.72113970189096</v>
      </c>
      <c r="L133" s="1097">
        <v>7.290934245814454</v>
      </c>
      <c r="M133" s="1097">
        <v>10.214558436649078</v>
      </c>
      <c r="N133" s="1097">
        <v>13.613443548876182</v>
      </c>
      <c r="O133" s="1097">
        <v>23.515764542798053</v>
      </c>
      <c r="P133" s="1097">
        <v>31.244148868389768</v>
      </c>
      <c r="Q133" s="1097">
        <v>25.372679556388587</v>
      </c>
      <c r="R133" s="1097" t="e">
        <v>#VALUE!</v>
      </c>
      <c r="S133" s="1097">
        <v>3.389643451747551</v>
      </c>
      <c r="T133" s="1097" t="e">
        <v>#VALUE!</v>
      </c>
      <c r="U133" s="1097" t="e">
        <v>#VALUE!</v>
      </c>
      <c r="V133" s="1097" t="e">
        <v>#VALUE!</v>
      </c>
      <c r="W133" s="1097" t="e">
        <v>#VALUE!</v>
      </c>
      <c r="X133" s="1097" t="e">
        <v>#VALUE!</v>
      </c>
      <c r="Y133" s="1097" t="e">
        <v>#VALUE!</v>
      </c>
      <c r="Z133" s="1097" t="e">
        <v>#VALUE!</v>
      </c>
      <c r="AA133" s="1097" t="e">
        <v>#VALUE!</v>
      </c>
      <c r="AB133" s="1097" t="e">
        <v>#VALUE!</v>
      </c>
      <c r="AC133" s="1097" t="e">
        <v>#VALUE!</v>
      </c>
      <c r="AD133" s="1097" t="e">
        <v>#VALUE!</v>
      </c>
      <c r="AE133" s="1097" t="e">
        <v>#VALUE!</v>
      </c>
      <c r="AF133" s="1097" t="e">
        <v>#VALUE!</v>
      </c>
      <c r="AG133" s="1097">
        <v>4.471276935573974</v>
      </c>
      <c r="AH133" s="1097" t="e">
        <v>#VALUE!</v>
      </c>
      <c r="AI133" s="1097" t="e">
        <v>#VALUE!</v>
      </c>
      <c r="AJ133" s="1097" t="e">
        <v>#VALUE!</v>
      </c>
      <c r="AK133" s="1097" t="e">
        <v>#VALUE!</v>
      </c>
      <c r="AL133" s="1097">
        <v>6.209859041005323</v>
      </c>
      <c r="AM133" s="1097">
        <v>7.356028824162659</v>
      </c>
      <c r="AN133" s="1097">
        <v>4.449442478727944</v>
      </c>
      <c r="AO133" s="1097" t="e">
        <v>#VALUE!</v>
      </c>
      <c r="AP133" s="1097" t="e">
        <v>#VALUE!</v>
      </c>
      <c r="AQ133" s="1097" t="e">
        <v>#VALUE!</v>
      </c>
      <c r="AR133" s="1097" t="e">
        <v>#VALUE!</v>
      </c>
      <c r="AS133" s="1097" t="e">
        <v>#VALUE!</v>
      </c>
      <c r="AT133" s="1097" t="e">
        <v>#VALUE!</v>
      </c>
      <c r="AU133" s="1097">
        <v>5.758277255573076</v>
      </c>
      <c r="AV133" s="1097">
        <v>9.619653490247245</v>
      </c>
      <c r="AW133" s="1061"/>
    </row>
    <row r="134">
      <c r="A134" s="122"/>
      <c r="B134" s="123"/>
      <c r="C134" s="143"/>
      <c r="D134" s="123"/>
      <c r="E134" s="475" t="s">
        <v>1072</v>
      </c>
      <c r="F134" s="213" t="s">
        <v>72</v>
      </c>
      <c r="G134" s="213" t="s">
        <v>165</v>
      </c>
      <c r="H134" s="1087" t="s">
        <v>162</v>
      </c>
      <c r="I134" s="1098">
        <v>18.842297535579522</v>
      </c>
      <c r="J134" s="1098">
        <v>9.422122148621462</v>
      </c>
      <c r="K134" s="1098">
        <v>17.091451192722005</v>
      </c>
      <c r="L134" s="1098">
        <v>8.464877674904233</v>
      </c>
      <c r="M134" s="1098">
        <v>11.859246669112794</v>
      </c>
      <c r="N134" s="1098">
        <v>15.805400308143676</v>
      </c>
      <c r="O134" s="1098">
        <v>27.302134894565825</v>
      </c>
      <c r="P134" s="1098">
        <v>36.274898292937856</v>
      </c>
      <c r="Q134" s="1098">
        <v>29.458039462181507</v>
      </c>
      <c r="R134" s="1098" t="e">
        <v>#VALUE!</v>
      </c>
      <c r="S134" s="1098">
        <v>3.700101784781482</v>
      </c>
      <c r="T134" s="1098" t="e">
        <v>#VALUE!</v>
      </c>
      <c r="U134" s="1098" t="e">
        <v>#VALUE!</v>
      </c>
      <c r="V134" s="1098" t="e">
        <v>#VALUE!</v>
      </c>
      <c r="W134" s="1098" t="e">
        <v>#VALUE!</v>
      </c>
      <c r="X134" s="1098" t="e">
        <v>#VALUE!</v>
      </c>
      <c r="Y134" s="1098" t="e">
        <v>#VALUE!</v>
      </c>
      <c r="Z134" s="1098" t="e">
        <v>#VALUE!</v>
      </c>
      <c r="AA134" s="1098" t="e">
        <v>#VALUE!</v>
      </c>
      <c r="AB134" s="1098" t="e">
        <v>#VALUE!</v>
      </c>
      <c r="AC134" s="1098" t="e">
        <v>#VALUE!</v>
      </c>
      <c r="AD134" s="1098" t="e">
        <v>#VALUE!</v>
      </c>
      <c r="AE134" s="1098" t="e">
        <v>#VALUE!</v>
      </c>
      <c r="AF134" s="1098" t="e">
        <v>#VALUE!</v>
      </c>
      <c r="AG134" s="1098">
        <v>4.88080236316303</v>
      </c>
      <c r="AH134" s="1098" t="e">
        <v>#VALUE!</v>
      </c>
      <c r="AI134" s="1098" t="e">
        <v>#VALUE!</v>
      </c>
      <c r="AJ134" s="1098" t="e">
        <v>#VALUE!</v>
      </c>
      <c r="AK134" s="1098" t="e">
        <v>#VALUE!</v>
      </c>
      <c r="AL134" s="1098">
        <v>6.868237010890069</v>
      </c>
      <c r="AM134" s="1098">
        <v>8.248336818547063</v>
      </c>
      <c r="AN134" s="1098">
        <v>4.992259672733069</v>
      </c>
      <c r="AO134" s="1098" t="e">
        <v>#VALUE!</v>
      </c>
      <c r="AP134" s="1098" t="e">
        <v>#VALUE!</v>
      </c>
      <c r="AQ134" s="1098" t="e">
        <v>#VALUE!</v>
      </c>
      <c r="AR134" s="1098" t="e">
        <v>#VALUE!</v>
      </c>
      <c r="AS134" s="1098" t="e">
        <v>#VALUE!</v>
      </c>
      <c r="AT134" s="1098" t="e">
        <v>#VALUE!</v>
      </c>
      <c r="AU134" s="1098">
        <v>6.012943268328844</v>
      </c>
      <c r="AV134" s="1098">
        <v>10.786545833621462</v>
      </c>
      <c r="AW134" s="1062"/>
    </row>
    <row r="135">
      <c r="A135" s="122"/>
      <c r="B135" s="123"/>
      <c r="C135" s="143"/>
      <c r="D135" s="123"/>
      <c r="E135" s="792" t="s">
        <v>1074</v>
      </c>
      <c r="F135" s="200" t="s">
        <v>72</v>
      </c>
      <c r="G135" s="200" t="s">
        <v>165</v>
      </c>
      <c r="H135" s="1088" t="s">
        <v>162</v>
      </c>
      <c r="I135" s="1099">
        <v>18.381163864639838</v>
      </c>
      <c r="J135" s="1099">
        <v>9.238437494075672</v>
      </c>
      <c r="K135" s="1099">
        <v>16.695110867445663</v>
      </c>
      <c r="L135" s="1099">
        <v>8.2903894741161</v>
      </c>
      <c r="M135" s="1099">
        <v>11.590565889051536</v>
      </c>
      <c r="N135" s="1099">
        <v>15.42285940849795</v>
      </c>
      <c r="O135" s="1099">
        <v>26.576063451020296</v>
      </c>
      <c r="P135" s="1099">
        <v>35.296346918645995</v>
      </c>
      <c r="Q135" s="1099">
        <v>28.707013616821044</v>
      </c>
      <c r="R135" s="1099">
        <v>1.7234596883660158</v>
      </c>
      <c r="S135" s="1099">
        <v>3.6967353589812766</v>
      </c>
      <c r="T135" s="1099">
        <v>1.6351201938643427</v>
      </c>
      <c r="U135" s="1099">
        <v>1.8414098248136206</v>
      </c>
      <c r="V135" s="1099">
        <v>2.8111951473244576</v>
      </c>
      <c r="W135" s="1099">
        <v>3.1777748732224578</v>
      </c>
      <c r="X135" s="1099">
        <v>5.522338108728554</v>
      </c>
      <c r="Y135" s="1099">
        <v>1.4757858431905482</v>
      </c>
      <c r="Z135" s="1099">
        <v>2.1628116843961194</v>
      </c>
      <c r="AA135" s="1099">
        <v>1.027598372323167</v>
      </c>
      <c r="AB135" s="1099">
        <v>1.5377754100442844</v>
      </c>
      <c r="AC135" s="1099">
        <v>1.1882259986143215</v>
      </c>
      <c r="AD135" s="1099">
        <v>1.0338695968474498</v>
      </c>
      <c r="AE135" s="1099">
        <v>1.4263732779150438</v>
      </c>
      <c r="AF135" s="1099">
        <v>1.133268758107501</v>
      </c>
      <c r="AG135" s="1099">
        <v>4.827003889970812</v>
      </c>
      <c r="AH135" s="1099">
        <v>2.3606675847489518</v>
      </c>
      <c r="AI135" s="1099">
        <v>2.093002816397057</v>
      </c>
      <c r="AJ135" s="1099">
        <v>1.0831910316726767</v>
      </c>
      <c r="AK135" s="1099">
        <v>3.485649137633148</v>
      </c>
      <c r="AL135" s="1099">
        <v>6.735287351267511</v>
      </c>
      <c r="AM135" s="1099">
        <v>8.065961473007635</v>
      </c>
      <c r="AN135" s="1099">
        <v>4.930578419949123</v>
      </c>
      <c r="AO135" s="1099">
        <v>2.5476536379444954</v>
      </c>
      <c r="AP135" s="1099">
        <v>2.25481635824906</v>
      </c>
      <c r="AQ135" s="1099">
        <v>1.1307949730129077</v>
      </c>
      <c r="AR135" s="1099">
        <v>1.7944653771396057</v>
      </c>
      <c r="AS135" s="1099">
        <v>2.2902032761334095</v>
      </c>
      <c r="AT135" s="1099">
        <v>1.5614960894108287</v>
      </c>
      <c r="AU135" s="1099">
        <v>5.928561507833701</v>
      </c>
      <c r="AV135" s="1099">
        <v>10.552967458274448</v>
      </c>
      <c r="AW135" s="1063"/>
    </row>
    <row r="136">
      <c r="A136" s="122"/>
      <c r="B136" s="123"/>
      <c r="C136" s="143"/>
      <c r="D136" s="123"/>
      <c r="E136" s="853"/>
      <c r="F136" s="423"/>
      <c r="G136" s="423"/>
      <c r="H136" s="1070"/>
      <c r="I136" s="1071"/>
      <c r="J136" s="1071"/>
      <c r="K136" s="1071"/>
      <c r="L136" s="1071"/>
      <c r="M136" s="1071"/>
      <c r="N136" s="1071"/>
      <c r="O136" s="1071"/>
      <c r="P136" s="1071"/>
      <c r="Q136" s="1071"/>
      <c r="R136" s="1071"/>
      <c r="S136" s="1071"/>
      <c r="T136" s="1071"/>
      <c r="U136" s="1071"/>
      <c r="V136" s="1071"/>
      <c r="W136" s="1071"/>
      <c r="X136" s="1071"/>
      <c r="Y136" s="1071"/>
      <c r="Z136" s="1071"/>
      <c r="AA136" s="1071"/>
      <c r="AB136" s="1071"/>
      <c r="AC136" s="1071"/>
      <c r="AD136" s="1071"/>
      <c r="AE136" s="1071"/>
      <c r="AF136" s="1071"/>
      <c r="AG136" s="1071"/>
      <c r="AH136" s="1071"/>
      <c r="AI136" s="1071"/>
      <c r="AJ136" s="1071"/>
      <c r="AK136" s="1071"/>
      <c r="AL136" s="1071"/>
      <c r="AM136" s="1071"/>
      <c r="AN136" s="1071"/>
      <c r="AO136" s="1071"/>
      <c r="AP136" s="1071"/>
      <c r="AQ136" s="1071"/>
      <c r="AR136" s="1071"/>
      <c r="AS136" s="1071"/>
      <c r="AT136" s="1071"/>
      <c r="AU136" s="1071"/>
      <c r="AV136" s="1071"/>
      <c r="AW136" s="1057"/>
    </row>
    <row r="137">
      <c r="A137" s="1080" t="s">
        <v>1086</v>
      </c>
      <c r="B137" s="7"/>
      <c r="C137" s="7"/>
      <c r="D137" s="7"/>
      <c r="E137" s="7"/>
      <c r="F137" s="7"/>
      <c r="G137" s="659"/>
      <c r="H137" s="118"/>
      <c r="I137" s="1081"/>
      <c r="J137" s="1081"/>
      <c r="K137" s="1081"/>
      <c r="L137" s="1081"/>
      <c r="M137" s="1081"/>
      <c r="N137" s="1081"/>
      <c r="O137" s="1081"/>
      <c r="P137" s="1081"/>
      <c r="Q137" s="1081"/>
      <c r="R137" s="1081"/>
      <c r="S137" s="1081"/>
      <c r="T137" s="1081"/>
      <c r="U137" s="1081"/>
      <c r="V137" s="1081"/>
      <c r="W137" s="1081"/>
      <c r="X137" s="1081"/>
      <c r="Y137" s="1081"/>
      <c r="Z137" s="1081"/>
      <c r="AA137" s="1081"/>
      <c r="AB137" s="1081"/>
      <c r="AC137" s="1081"/>
      <c r="AD137" s="1081"/>
      <c r="AE137" s="1081"/>
      <c r="AF137" s="1081"/>
      <c r="AG137" s="1081"/>
      <c r="AH137" s="1081"/>
      <c r="AI137" s="1081"/>
      <c r="AJ137" s="1081"/>
      <c r="AK137" s="1081"/>
      <c r="AL137" s="1081"/>
      <c r="AM137" s="1081"/>
      <c r="AN137" s="1081"/>
      <c r="AO137" s="1081"/>
      <c r="AP137" s="1081"/>
      <c r="AQ137" s="1081"/>
      <c r="AR137" s="1081"/>
      <c r="AS137" s="1081"/>
      <c r="AT137" s="1081"/>
      <c r="AU137" s="1081"/>
      <c r="AV137" s="1081"/>
      <c r="AW137" s="1055"/>
    </row>
    <row r="138">
      <c r="A138" s="122"/>
      <c r="B138" s="123"/>
      <c r="C138" s="143"/>
      <c r="D138" s="123"/>
      <c r="E138" s="1103"/>
      <c r="F138" s="141"/>
      <c r="G138" s="141"/>
      <c r="H138" s="127"/>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1057"/>
    </row>
    <row r="139">
      <c r="A139" s="122"/>
      <c r="B139" s="123"/>
      <c r="C139" s="143" t="s">
        <v>1049</v>
      </c>
      <c r="F139" s="423"/>
      <c r="G139" s="423"/>
      <c r="H139" s="1070"/>
      <c r="I139" s="1071"/>
      <c r="J139" s="1071"/>
      <c r="K139" s="1071"/>
      <c r="L139" s="1071"/>
      <c r="M139" s="1071"/>
      <c r="N139" s="1071"/>
      <c r="O139" s="1071"/>
      <c r="P139" s="1071"/>
      <c r="Q139" s="1071"/>
      <c r="R139" s="1071"/>
      <c r="S139" s="1071"/>
      <c r="T139" s="1071"/>
      <c r="U139" s="1071"/>
      <c r="V139" s="1071"/>
      <c r="W139" s="1071"/>
      <c r="X139" s="1071"/>
      <c r="Y139" s="1071"/>
      <c r="Z139" s="1071"/>
      <c r="AA139" s="1071"/>
      <c r="AB139" s="1071"/>
      <c r="AC139" s="1071"/>
      <c r="AD139" s="1071"/>
      <c r="AE139" s="1071"/>
      <c r="AF139" s="1071"/>
      <c r="AG139" s="1071"/>
      <c r="AH139" s="1071"/>
      <c r="AI139" s="1071"/>
      <c r="AJ139" s="1071"/>
      <c r="AK139" s="1071"/>
      <c r="AL139" s="1071"/>
      <c r="AM139" s="1071"/>
      <c r="AN139" s="1071"/>
      <c r="AO139" s="1071"/>
      <c r="AP139" s="1071"/>
      <c r="AQ139" s="1071"/>
      <c r="AR139" s="1071"/>
      <c r="AS139" s="1071"/>
      <c r="AT139" s="1071"/>
      <c r="AU139" s="1071"/>
      <c r="AV139" s="1071"/>
      <c r="AW139" s="1057"/>
    </row>
    <row r="140">
      <c r="A140" s="122"/>
      <c r="B140" s="123"/>
      <c r="C140" s="143"/>
      <c r="D140" s="123"/>
      <c r="E140" s="782" t="s">
        <v>1050</v>
      </c>
      <c r="F140" s="193" t="s">
        <v>68</v>
      </c>
      <c r="G140" s="193" t="s">
        <v>165</v>
      </c>
      <c r="H140" s="1089" t="s">
        <v>162</v>
      </c>
      <c r="I140" s="1097">
        <v>16.57523335990253</v>
      </c>
      <c r="J140" s="1097">
        <v>8.288472945722624</v>
      </c>
      <c r="K140" s="1097">
        <v>15.035045033325261</v>
      </c>
      <c r="L140" s="1097">
        <v>7.446402040920295</v>
      </c>
      <c r="M140" s="1097">
        <v>10.432367955235437</v>
      </c>
      <c r="N140" s="1097">
        <v>13.903728988435128</v>
      </c>
      <c r="O140" s="1097">
        <v>24.017201524731572</v>
      </c>
      <c r="P140" s="1097">
        <v>31.910381585728537</v>
      </c>
      <c r="Q140" s="1097">
        <v>25.913712353224366</v>
      </c>
      <c r="R140" s="1097" t="e">
        <v>#VALUE!</v>
      </c>
      <c r="S140" s="1097">
        <v>3.2549136018225298</v>
      </c>
      <c r="T140" s="1097" t="e">
        <v>#VALUE!</v>
      </c>
      <c r="U140" s="1097" t="e">
        <v>#VALUE!</v>
      </c>
      <c r="V140" s="1097" t="e">
        <v>#VALUE!</v>
      </c>
      <c r="W140" s="1097" t="e">
        <v>#VALUE!</v>
      </c>
      <c r="X140" s="1097" t="e">
        <v>#VALUE!</v>
      </c>
      <c r="Y140" s="1097" t="e">
        <v>#VALUE!</v>
      </c>
      <c r="Z140" s="1097" t="e">
        <v>#VALUE!</v>
      </c>
      <c r="AA140" s="1097" t="e">
        <v>#VALUE!</v>
      </c>
      <c r="AB140" s="1097" t="e">
        <v>#VALUE!</v>
      </c>
      <c r="AC140" s="1097" t="e">
        <v>#VALUE!</v>
      </c>
      <c r="AD140" s="1097" t="e">
        <v>#VALUE!</v>
      </c>
      <c r="AE140" s="1097" t="e">
        <v>#VALUE!</v>
      </c>
      <c r="AF140" s="1097" t="e">
        <v>#VALUE!</v>
      </c>
      <c r="AG140" s="1097">
        <v>4.293554859763165</v>
      </c>
      <c r="AH140" s="1097" t="e">
        <v>#VALUE!</v>
      </c>
      <c r="AI140" s="1097" t="e">
        <v>#VALUE!</v>
      </c>
      <c r="AJ140" s="1097" t="e">
        <v>#VALUE!</v>
      </c>
      <c r="AK140" s="1097" t="e">
        <v>#VALUE!</v>
      </c>
      <c r="AL140" s="1097">
        <v>6.041865701974804</v>
      </c>
      <c r="AM140" s="1097">
        <v>7.25591490848351</v>
      </c>
      <c r="AN140" s="1097">
        <v>4.391601868749295</v>
      </c>
      <c r="AO140" s="1097" t="e">
        <v>#VALUE!</v>
      </c>
      <c r="AP140" s="1097" t="e">
        <v>#VALUE!</v>
      </c>
      <c r="AQ140" s="1097" t="e">
        <v>#VALUE!</v>
      </c>
      <c r="AR140" s="1097" t="e">
        <v>#VALUE!</v>
      </c>
      <c r="AS140" s="1097" t="e">
        <v>#VALUE!</v>
      </c>
      <c r="AT140" s="1097" t="e">
        <v>#VALUE!</v>
      </c>
      <c r="AU140" s="1097">
        <v>5.289479038541264</v>
      </c>
      <c r="AV140" s="1097">
        <v>9.4887321464888</v>
      </c>
      <c r="AW140" s="1061"/>
    </row>
    <row r="141">
      <c r="A141" s="122"/>
      <c r="B141" s="123"/>
      <c r="C141" s="143"/>
      <c r="D141" s="123"/>
      <c r="E141" s="475" t="s">
        <v>1052</v>
      </c>
      <c r="F141" s="213" t="s">
        <v>72</v>
      </c>
      <c r="G141" s="213" t="s">
        <v>165</v>
      </c>
      <c r="H141" s="1087" t="s">
        <v>162</v>
      </c>
      <c r="I141" s="1098">
        <v>6.766205519457086</v>
      </c>
      <c r="J141" s="1098">
        <v>2.6490626391116936</v>
      </c>
      <c r="K141" s="1098">
        <v>1.7182350966040383</v>
      </c>
      <c r="L141" s="1098">
        <v>1.7753698325772147</v>
      </c>
      <c r="M141" s="1098">
        <v>3.1990561386285323</v>
      </c>
      <c r="N141" s="1098">
        <v>2.414364636086713</v>
      </c>
      <c r="O141" s="1098">
        <v>6.6616056542601525</v>
      </c>
      <c r="P141" s="1098">
        <v>5.032371670523708</v>
      </c>
      <c r="Q141" s="1098">
        <v>7.068895195728759</v>
      </c>
      <c r="R141" s="1098" t="e">
        <v>#VALUE!</v>
      </c>
      <c r="S141" s="1098">
        <v>0.4008390752496781</v>
      </c>
      <c r="T141" s="1098" t="e">
        <v>#VALUE!</v>
      </c>
      <c r="U141" s="1098" t="e">
        <v>#VALUE!</v>
      </c>
      <c r="V141" s="1098" t="e">
        <v>#VALUE!</v>
      </c>
      <c r="W141" s="1098" t="e">
        <v>#VALUE!</v>
      </c>
      <c r="X141" s="1098" t="e">
        <v>#VALUE!</v>
      </c>
      <c r="Y141" s="1098" t="e">
        <v>#VALUE!</v>
      </c>
      <c r="Z141" s="1098" t="e">
        <v>#VALUE!</v>
      </c>
      <c r="AA141" s="1098" t="e">
        <v>#VALUE!</v>
      </c>
      <c r="AB141" s="1098" t="e">
        <v>#VALUE!</v>
      </c>
      <c r="AC141" s="1098" t="e">
        <v>#VALUE!</v>
      </c>
      <c r="AD141" s="1098" t="e">
        <v>#VALUE!</v>
      </c>
      <c r="AE141" s="1098" t="e">
        <v>#VALUE!</v>
      </c>
      <c r="AF141" s="1098" t="e">
        <v>#VALUE!</v>
      </c>
      <c r="AG141" s="1098">
        <v>0.38402351753154645</v>
      </c>
      <c r="AH141" s="1098" t="e">
        <v>#VALUE!</v>
      </c>
      <c r="AI141" s="1098" t="e">
        <v>#VALUE!</v>
      </c>
      <c r="AJ141" s="1098" t="e">
        <v>#VALUE!</v>
      </c>
      <c r="AK141" s="1098" t="e">
        <v>#VALUE!</v>
      </c>
      <c r="AL141" s="1098">
        <v>3.427492229423283</v>
      </c>
      <c r="AM141" s="1098">
        <v>4.982615560011765</v>
      </c>
      <c r="AN141" s="1098">
        <v>0.9634414969878299</v>
      </c>
      <c r="AO141" s="1098" t="e">
        <v>#VALUE!</v>
      </c>
      <c r="AP141" s="1098" t="e">
        <v>#VALUE!</v>
      </c>
      <c r="AQ141" s="1098" t="e">
        <v>#VALUE!</v>
      </c>
      <c r="AR141" s="1098" t="e">
        <v>#VALUE!</v>
      </c>
      <c r="AS141" s="1098" t="e">
        <v>#VALUE!</v>
      </c>
      <c r="AT141" s="1098" t="e">
        <v>#VALUE!</v>
      </c>
      <c r="AU141" s="1098">
        <v>0.5650547687349359</v>
      </c>
      <c r="AV141" s="1098">
        <v>1.863259285131802</v>
      </c>
      <c r="AW141" s="1062"/>
    </row>
    <row r="142">
      <c r="A142" s="122"/>
      <c r="B142" s="123"/>
      <c r="C142" s="143"/>
      <c r="D142" s="123"/>
      <c r="E142" s="475" t="s">
        <v>1079</v>
      </c>
      <c r="F142" s="213" t="s">
        <v>72</v>
      </c>
      <c r="G142" s="213" t="s">
        <v>165</v>
      </c>
      <c r="H142" s="1087" t="s">
        <v>162</v>
      </c>
      <c r="I142" s="1098">
        <v>26.851878043042102</v>
      </c>
      <c r="J142" s="1098">
        <v>13.427326172070655</v>
      </c>
      <c r="K142" s="1098">
        <v>24.35677295398692</v>
      </c>
      <c r="L142" s="1098">
        <v>12.06317130629088</v>
      </c>
      <c r="M142" s="1098">
        <v>16.9004360874814</v>
      </c>
      <c r="N142" s="1098">
        <v>22.524040961264916</v>
      </c>
      <c r="O142" s="1098">
        <v>38.907866470065144</v>
      </c>
      <c r="P142" s="1098">
        <v>51.69481816888022</v>
      </c>
      <c r="Q142" s="1098">
        <v>41.98021401222347</v>
      </c>
      <c r="R142" s="1098" t="e">
        <v>#VALUE!</v>
      </c>
      <c r="S142" s="1098">
        <v>5.272960034952499</v>
      </c>
      <c r="T142" s="1098" t="e">
        <v>#VALUE!</v>
      </c>
      <c r="U142" s="1098" t="e">
        <v>#VALUE!</v>
      </c>
      <c r="V142" s="1098" t="e">
        <v>#VALUE!</v>
      </c>
      <c r="W142" s="1098" t="e">
        <v>#VALUE!</v>
      </c>
      <c r="X142" s="1098" t="e">
        <v>#VALUE!</v>
      </c>
      <c r="Y142" s="1098" t="e">
        <v>#VALUE!</v>
      </c>
      <c r="Z142" s="1098" t="e">
        <v>#VALUE!</v>
      </c>
      <c r="AA142" s="1098" t="e">
        <v>#VALUE!</v>
      </c>
      <c r="AB142" s="1098" t="e">
        <v>#VALUE!</v>
      </c>
      <c r="AC142" s="1098" t="e">
        <v>#VALUE!</v>
      </c>
      <c r="AD142" s="1098" t="e">
        <v>#VALUE!</v>
      </c>
      <c r="AE142" s="1098" t="e">
        <v>#VALUE!</v>
      </c>
      <c r="AF142" s="1098" t="e">
        <v>#VALUE!</v>
      </c>
      <c r="AG142" s="1098">
        <v>6.955558872816327</v>
      </c>
      <c r="AH142" s="1098" t="e">
        <v>#VALUE!</v>
      </c>
      <c r="AI142" s="1098" t="e">
        <v>#VALUE!</v>
      </c>
      <c r="AJ142" s="1098" t="e">
        <v>#VALUE!</v>
      </c>
      <c r="AK142" s="1098" t="e">
        <v>#VALUE!</v>
      </c>
      <c r="AL142" s="1098">
        <v>9.787822437199184</v>
      </c>
      <c r="AM142" s="1098">
        <v>11.75458215174329</v>
      </c>
      <c r="AN142" s="1098">
        <v>7.114395027373856</v>
      </c>
      <c r="AO142" s="1098" t="e">
        <v>#VALUE!</v>
      </c>
      <c r="AP142" s="1098" t="e">
        <v>#VALUE!</v>
      </c>
      <c r="AQ142" s="1098" t="e">
        <v>#VALUE!</v>
      </c>
      <c r="AR142" s="1098" t="e">
        <v>#VALUE!</v>
      </c>
      <c r="AS142" s="1098" t="e">
        <v>#VALUE!</v>
      </c>
      <c r="AT142" s="1098" t="e">
        <v>#VALUE!</v>
      </c>
      <c r="AU142" s="1098">
        <v>8.568956042436847</v>
      </c>
      <c r="AV142" s="1098">
        <v>15.37174607731186</v>
      </c>
      <c r="AW142" s="1062"/>
    </row>
    <row r="143">
      <c r="A143" s="122"/>
      <c r="B143" s="123"/>
      <c r="C143" s="143"/>
      <c r="D143" s="123"/>
      <c r="E143" s="792" t="s">
        <v>1055</v>
      </c>
      <c r="F143" s="200" t="s">
        <v>72</v>
      </c>
      <c r="G143" s="200" t="s">
        <v>165</v>
      </c>
      <c r="H143" s="1088" t="s">
        <v>162</v>
      </c>
      <c r="I143" s="1099">
        <v>23.868336038259645</v>
      </c>
      <c r="J143" s="1099">
        <v>11.93540104184058</v>
      </c>
      <c r="K143" s="1099">
        <v>21.650464847988374</v>
      </c>
      <c r="L143" s="1099">
        <v>10.722818938925222</v>
      </c>
      <c r="M143" s="1099">
        <v>15.022609855539018</v>
      </c>
      <c r="N143" s="1099">
        <v>20.021369743346582</v>
      </c>
      <c r="O143" s="1099">
        <v>34.58477019561346</v>
      </c>
      <c r="P143" s="1099">
        <v>45.95094948344907</v>
      </c>
      <c r="Q143" s="1099">
        <v>37.315745788643085</v>
      </c>
      <c r="R143" s="1099" t="e">
        <v>#VALUE!</v>
      </c>
      <c r="S143" s="1099">
        <v>4.6870755866244425</v>
      </c>
      <c r="T143" s="1099" t="e">
        <v>#VALUE!</v>
      </c>
      <c r="U143" s="1099" t="e">
        <v>#VALUE!</v>
      </c>
      <c r="V143" s="1099" t="e">
        <v>#VALUE!</v>
      </c>
      <c r="W143" s="1099" t="e">
        <v>#VALUE!</v>
      </c>
      <c r="X143" s="1099" t="e">
        <v>#VALUE!</v>
      </c>
      <c r="Y143" s="1099" t="e">
        <v>#VALUE!</v>
      </c>
      <c r="Z143" s="1099" t="e">
        <v>#VALUE!</v>
      </c>
      <c r="AA143" s="1099" t="e">
        <v>#VALUE!</v>
      </c>
      <c r="AB143" s="1099" t="e">
        <v>#VALUE!</v>
      </c>
      <c r="AC143" s="1099" t="e">
        <v>#VALUE!</v>
      </c>
      <c r="AD143" s="1099" t="e">
        <v>#VALUE!</v>
      </c>
      <c r="AE143" s="1099" t="e">
        <v>#VALUE!</v>
      </c>
      <c r="AF143" s="1099" t="e">
        <v>#VALUE!</v>
      </c>
      <c r="AG143" s="1099">
        <v>6.182718998058956</v>
      </c>
      <c r="AH143" s="1099" t="e">
        <v>#VALUE!</v>
      </c>
      <c r="AI143" s="1099" t="e">
        <v>#VALUE!</v>
      </c>
      <c r="AJ143" s="1099" t="e">
        <v>#VALUE!</v>
      </c>
      <c r="AK143" s="1099" t="e">
        <v>#VALUE!</v>
      </c>
      <c r="AL143" s="1099">
        <v>8.700286610843717</v>
      </c>
      <c r="AM143" s="1099">
        <v>10.448517468216258</v>
      </c>
      <c r="AN143" s="1099">
        <v>6.3239066909989825</v>
      </c>
      <c r="AO143" s="1099" t="e">
        <v>#VALUE!</v>
      </c>
      <c r="AP143" s="1099" t="e">
        <v>#VALUE!</v>
      </c>
      <c r="AQ143" s="1099" t="e">
        <v>#VALUE!</v>
      </c>
      <c r="AR143" s="1099" t="e">
        <v>#VALUE!</v>
      </c>
      <c r="AS143" s="1099" t="e">
        <v>#VALUE!</v>
      </c>
      <c r="AT143" s="1099" t="e">
        <v>#VALUE!</v>
      </c>
      <c r="AU143" s="1099">
        <v>7.61684981549942</v>
      </c>
      <c r="AV143" s="1099">
        <v>13.663774290943875</v>
      </c>
      <c r="AW143" s="1063"/>
    </row>
    <row r="144">
      <c r="A144" s="122"/>
      <c r="B144" s="123"/>
      <c r="C144" s="143"/>
      <c r="D144" s="123"/>
      <c r="E144" s="853"/>
      <c r="F144" s="423"/>
      <c r="G144" s="423"/>
      <c r="H144" s="1070"/>
      <c r="I144" s="1071"/>
      <c r="J144" s="1071"/>
      <c r="K144" s="1071"/>
      <c r="L144" s="1071"/>
      <c r="M144" s="1071"/>
      <c r="N144" s="1071"/>
      <c r="O144" s="1071"/>
      <c r="P144" s="1071"/>
      <c r="Q144" s="1071"/>
      <c r="R144" s="1071"/>
      <c r="S144" s="1071"/>
      <c r="T144" s="1071"/>
      <c r="U144" s="1071"/>
      <c r="V144" s="1071"/>
      <c r="W144" s="1071"/>
      <c r="X144" s="1071"/>
      <c r="Y144" s="1071"/>
      <c r="Z144" s="1071"/>
      <c r="AA144" s="1071"/>
      <c r="AB144" s="1071"/>
      <c r="AC144" s="1071"/>
      <c r="AD144" s="1071"/>
      <c r="AE144" s="1071"/>
      <c r="AF144" s="1071"/>
      <c r="AG144" s="1071"/>
      <c r="AH144" s="1071"/>
      <c r="AI144" s="1071"/>
      <c r="AJ144" s="1071"/>
      <c r="AK144" s="1071"/>
      <c r="AL144" s="1071"/>
      <c r="AM144" s="1071"/>
      <c r="AN144" s="1071"/>
      <c r="AO144" s="1071"/>
      <c r="AP144" s="1071"/>
      <c r="AQ144" s="1071"/>
      <c r="AR144" s="1071"/>
      <c r="AS144" s="1071"/>
      <c r="AT144" s="1071"/>
      <c r="AU144" s="1071"/>
      <c r="AV144" s="1071"/>
      <c r="AW144" s="1057"/>
    </row>
    <row r="145">
      <c r="A145" s="122"/>
      <c r="B145" s="123"/>
      <c r="C145" s="143" t="s">
        <v>1061</v>
      </c>
      <c r="F145" s="423"/>
      <c r="G145" s="423"/>
      <c r="H145" s="1070"/>
      <c r="I145" s="1071"/>
      <c r="J145" s="1071"/>
      <c r="K145" s="1071"/>
      <c r="L145" s="1071"/>
      <c r="M145" s="1071"/>
      <c r="N145" s="1071"/>
      <c r="O145" s="1071"/>
      <c r="P145" s="1071"/>
      <c r="Q145" s="1071"/>
      <c r="R145" s="1071"/>
      <c r="S145" s="1071"/>
      <c r="T145" s="1071"/>
      <c r="U145" s="1071"/>
      <c r="V145" s="1071"/>
      <c r="W145" s="1071"/>
      <c r="X145" s="1071"/>
      <c r="Y145" s="1071"/>
      <c r="Z145" s="1071"/>
      <c r="AA145" s="1071"/>
      <c r="AB145" s="1071"/>
      <c r="AC145" s="1071"/>
      <c r="AD145" s="1071"/>
      <c r="AE145" s="1071"/>
      <c r="AF145" s="1071"/>
      <c r="AG145" s="1071"/>
      <c r="AH145" s="1071"/>
      <c r="AI145" s="1071"/>
      <c r="AJ145" s="1071"/>
      <c r="AK145" s="1071"/>
      <c r="AL145" s="1071"/>
      <c r="AM145" s="1071"/>
      <c r="AN145" s="1071"/>
      <c r="AO145" s="1071"/>
      <c r="AP145" s="1071"/>
      <c r="AQ145" s="1071"/>
      <c r="AR145" s="1071"/>
      <c r="AS145" s="1071"/>
      <c r="AT145" s="1071"/>
      <c r="AU145" s="1071"/>
      <c r="AV145" s="1071"/>
      <c r="AW145" s="1057"/>
    </row>
    <row r="146">
      <c r="A146" s="122"/>
      <c r="B146" s="123"/>
      <c r="C146" s="143"/>
      <c r="D146" s="123"/>
      <c r="E146" s="782" t="s">
        <v>1080</v>
      </c>
      <c r="F146" s="193" t="s">
        <v>72</v>
      </c>
      <c r="G146" s="193" t="s">
        <v>165</v>
      </c>
      <c r="H146" s="1089" t="s">
        <v>162</v>
      </c>
      <c r="I146" s="1100">
        <v>21.734742349918356</v>
      </c>
      <c r="J146" s="1100">
        <v>10.805946109499086</v>
      </c>
      <c r="K146" s="1100">
        <v>19.588078770793125</v>
      </c>
      <c r="L146" s="1100">
        <v>9.694206405937773</v>
      </c>
      <c r="M146" s="1100">
        <v>13.559792731921958</v>
      </c>
      <c r="N146" s="1100">
        <v>18.341290013764016</v>
      </c>
      <c r="O146" s="1100">
        <v>31.611264637596005</v>
      </c>
      <c r="P146" s="1100">
        <v>42.08142445047063</v>
      </c>
      <c r="Q146" s="1100">
        <v>33.725298796201876</v>
      </c>
      <c r="R146" s="1100" t="e">
        <v>#VALUE!</v>
      </c>
      <c r="S146" s="1100">
        <v>4.232022416015579</v>
      </c>
      <c r="T146" s="1100" t="e">
        <v>#VALUE!</v>
      </c>
      <c r="U146" s="1100" t="e">
        <v>#VALUE!</v>
      </c>
      <c r="V146" s="1100" t="e">
        <v>#VALUE!</v>
      </c>
      <c r="W146" s="1100" t="e">
        <v>#VALUE!</v>
      </c>
      <c r="X146" s="1100" t="e">
        <v>#VALUE!</v>
      </c>
      <c r="Y146" s="1100" t="e">
        <v>#VALUE!</v>
      </c>
      <c r="Z146" s="1100" t="e">
        <v>#VALUE!</v>
      </c>
      <c r="AA146" s="1100" t="e">
        <v>#VALUE!</v>
      </c>
      <c r="AB146" s="1100" t="e">
        <v>#VALUE!</v>
      </c>
      <c r="AC146" s="1100" t="e">
        <v>#VALUE!</v>
      </c>
      <c r="AD146" s="1100" t="e">
        <v>#VALUE!</v>
      </c>
      <c r="AE146" s="1100" t="e">
        <v>#VALUE!</v>
      </c>
      <c r="AF146" s="1100" t="e">
        <v>#VALUE!</v>
      </c>
      <c r="AG146" s="1100">
        <v>5.589626613904564</v>
      </c>
      <c r="AH146" s="1100" t="e">
        <v>#VALUE!</v>
      </c>
      <c r="AI146" s="1100" t="e">
        <v>#VALUE!</v>
      </c>
      <c r="AJ146" s="1100" t="e">
        <v>#VALUE!</v>
      </c>
      <c r="AK146" s="1100" t="e">
        <v>#VALUE!</v>
      </c>
      <c r="AL146" s="1100">
        <v>8.077458176430186</v>
      </c>
      <c r="AM146" s="1100">
        <v>9.700538227100141</v>
      </c>
      <c r="AN146" s="1100">
        <v>5.8711964436350526</v>
      </c>
      <c r="AO146" s="1100" t="e">
        <v>#VALUE!</v>
      </c>
      <c r="AP146" s="1100" t="e">
        <v>#VALUE!</v>
      </c>
      <c r="AQ146" s="1100" t="e">
        <v>#VALUE!</v>
      </c>
      <c r="AR146" s="1100" t="e">
        <v>#VALUE!</v>
      </c>
      <c r="AS146" s="1100" t="e">
        <v>#VALUE!</v>
      </c>
      <c r="AT146" s="1100" t="e">
        <v>#VALUE!</v>
      </c>
      <c r="AU146" s="1100">
        <v>6.887797836077882</v>
      </c>
      <c r="AV146" s="1100">
        <v>12.61264505098378</v>
      </c>
      <c r="AW146" s="1061"/>
    </row>
    <row r="147">
      <c r="A147" s="122"/>
      <c r="B147" s="123"/>
      <c r="C147" s="143"/>
      <c r="D147" s="123"/>
      <c r="E147" s="475" t="s">
        <v>1063</v>
      </c>
      <c r="F147" s="213" t="s">
        <v>72</v>
      </c>
      <c r="G147" s="213" t="s">
        <v>165</v>
      </c>
      <c r="H147" s="1087" t="s">
        <v>162</v>
      </c>
      <c r="I147" s="1101">
        <v>24.243922723191705</v>
      </c>
      <c r="J147" s="1101">
        <v>12.138533679767455</v>
      </c>
      <c r="K147" s="1101">
        <v>22.01996503351997</v>
      </c>
      <c r="L147" s="1101">
        <v>10.910641819874375</v>
      </c>
      <c r="M147" s="1101">
        <v>15.295132056726843</v>
      </c>
      <c r="N147" s="1101">
        <v>20.313553836752238</v>
      </c>
      <c r="O147" s="1101">
        <v>35.10659040449925</v>
      </c>
      <c r="P147" s="1101">
        <v>46.632903911720724</v>
      </c>
      <c r="Q147" s="1101">
        <v>37.971408967127694</v>
      </c>
      <c r="R147" s="1101" t="e">
        <v>#VALUE!</v>
      </c>
      <c r="S147" s="1101">
        <v>4.766911750611553</v>
      </c>
      <c r="T147" s="1101" t="e">
        <v>#VALUE!</v>
      </c>
      <c r="U147" s="1101" t="e">
        <v>#VALUE!</v>
      </c>
      <c r="V147" s="1101" t="e">
        <v>#VALUE!</v>
      </c>
      <c r="W147" s="1101" t="e">
        <v>#VALUE!</v>
      </c>
      <c r="X147" s="1101" t="e">
        <v>#VALUE!</v>
      </c>
      <c r="Y147" s="1101" t="e">
        <v>#VALUE!</v>
      </c>
      <c r="Z147" s="1101" t="e">
        <v>#VALUE!</v>
      </c>
      <c r="AA147" s="1101" t="e">
        <v>#VALUE!</v>
      </c>
      <c r="AB147" s="1101" t="e">
        <v>#VALUE!</v>
      </c>
      <c r="AC147" s="1101" t="e">
        <v>#VALUE!</v>
      </c>
      <c r="AD147" s="1101" t="e">
        <v>#VALUE!</v>
      </c>
      <c r="AE147" s="1101" t="e">
        <v>#VALUE!</v>
      </c>
      <c r="AF147" s="1101" t="e">
        <v>#VALUE!</v>
      </c>
      <c r="AG147" s="1101">
        <v>6.2910166482318</v>
      </c>
      <c r="AH147" s="1101" t="e">
        <v>#VALUE!</v>
      </c>
      <c r="AI147" s="1101" t="e">
        <v>#VALUE!</v>
      </c>
      <c r="AJ147" s="1101" t="e">
        <v>#VALUE!</v>
      </c>
      <c r="AK147" s="1101" t="e">
        <v>#VALUE!</v>
      </c>
      <c r="AL147" s="1101">
        <v>8.795099375902767</v>
      </c>
      <c r="AM147" s="1101">
        <v>10.562381858694454</v>
      </c>
      <c r="AN147" s="1101">
        <v>6.392822475750457</v>
      </c>
      <c r="AO147" s="1101" t="e">
        <v>#VALUE!</v>
      </c>
      <c r="AP147" s="1101" t="e">
        <v>#VALUE!</v>
      </c>
      <c r="AQ147" s="1101" t="e">
        <v>#VALUE!</v>
      </c>
      <c r="AR147" s="1101" t="e">
        <v>#VALUE!</v>
      </c>
      <c r="AS147" s="1101" t="e">
        <v>#VALUE!</v>
      </c>
      <c r="AT147" s="1101" t="e">
        <v>#VALUE!</v>
      </c>
      <c r="AU147" s="1101">
        <v>7.7452608190765515</v>
      </c>
      <c r="AV147" s="1101">
        <v>13.834990383706671</v>
      </c>
      <c r="AW147" s="1062"/>
    </row>
    <row r="148">
      <c r="A148" s="122"/>
      <c r="B148" s="123"/>
      <c r="C148" s="143"/>
      <c r="D148" s="123"/>
      <c r="E148" s="792" t="s">
        <v>1064</v>
      </c>
      <c r="F148" s="200" t="s">
        <v>72</v>
      </c>
      <c r="G148" s="200" t="s">
        <v>165</v>
      </c>
      <c r="H148" s="1088" t="s">
        <v>162</v>
      </c>
      <c r="I148" s="1102">
        <v>20.33449383628461</v>
      </c>
      <c r="J148" s="1102">
        <v>10.387189118445589</v>
      </c>
      <c r="K148" s="1102">
        <v>18.489980733156887</v>
      </c>
      <c r="L148" s="1102">
        <v>9.364847667212011</v>
      </c>
      <c r="M148" s="1102">
        <v>12.95551480960669</v>
      </c>
      <c r="N148" s="1102">
        <v>17.12455037333081</v>
      </c>
      <c r="O148" s="1102">
        <v>29.262866220184176</v>
      </c>
      <c r="P148" s="1102">
        <v>38.737650371526875</v>
      </c>
      <c r="Q148" s="1102">
        <v>31.545895188707675</v>
      </c>
      <c r="R148" s="1102" t="e">
        <v>#VALUE!</v>
      </c>
      <c r="S148" s="1102">
        <v>4.297902373785485</v>
      </c>
      <c r="T148" s="1102" t="e">
        <v>#VALUE!</v>
      </c>
      <c r="U148" s="1102" t="e">
        <v>#VALUE!</v>
      </c>
      <c r="V148" s="1102" t="e">
        <v>#VALUE!</v>
      </c>
      <c r="W148" s="1102" t="e">
        <v>#VALUE!</v>
      </c>
      <c r="X148" s="1102" t="e">
        <v>#VALUE!</v>
      </c>
      <c r="Y148" s="1102" t="e">
        <v>#VALUE!</v>
      </c>
      <c r="Z148" s="1102" t="e">
        <v>#VALUE!</v>
      </c>
      <c r="AA148" s="1102" t="e">
        <v>#VALUE!</v>
      </c>
      <c r="AB148" s="1102" t="e">
        <v>#VALUE!</v>
      </c>
      <c r="AC148" s="1102" t="e">
        <v>#VALUE!</v>
      </c>
      <c r="AD148" s="1102" t="e">
        <v>#VALUE!</v>
      </c>
      <c r="AE148" s="1102" t="e">
        <v>#VALUE!</v>
      </c>
      <c r="AF148" s="1102" t="e">
        <v>#VALUE!</v>
      </c>
      <c r="AG148" s="1102">
        <v>5.529994565025108</v>
      </c>
      <c r="AH148" s="1102" t="e">
        <v>#VALUE!</v>
      </c>
      <c r="AI148" s="1102" t="e">
        <v>#VALUE!</v>
      </c>
      <c r="AJ148" s="1102" t="e">
        <v>#VALUE!</v>
      </c>
      <c r="AK148" s="1102" t="e">
        <v>#VALUE!</v>
      </c>
      <c r="AL148" s="1102">
        <v>7.629552892460048</v>
      </c>
      <c r="AM148" s="1102">
        <v>9.096836425694793</v>
      </c>
      <c r="AN148" s="1102">
        <v>5.654467981439429</v>
      </c>
      <c r="AO148" s="1102" t="e">
        <v>#VALUE!</v>
      </c>
      <c r="AP148" s="1102" t="e">
        <v>#VALUE!</v>
      </c>
      <c r="AQ148" s="1102" t="e">
        <v>#VALUE!</v>
      </c>
      <c r="AR148" s="1102" t="e">
        <v>#VALUE!</v>
      </c>
      <c r="AS148" s="1102" t="e">
        <v>#VALUE!</v>
      </c>
      <c r="AT148" s="1102" t="e">
        <v>#VALUE!</v>
      </c>
      <c r="AU148" s="1102">
        <v>6.6967757991387025</v>
      </c>
      <c r="AV148" s="1102">
        <v>11.791734266229989</v>
      </c>
      <c r="AW148" s="1063"/>
    </row>
    <row r="149">
      <c r="A149" s="122"/>
      <c r="B149" s="123"/>
      <c r="C149" s="143"/>
      <c r="D149" s="123"/>
      <c r="E149" s="853"/>
      <c r="F149" s="423"/>
      <c r="G149" s="423"/>
      <c r="H149" s="1070"/>
      <c r="I149" s="1071"/>
      <c r="J149" s="1071"/>
      <c r="K149" s="1071"/>
      <c r="L149" s="1071"/>
      <c r="M149" s="1071"/>
      <c r="N149" s="1071"/>
      <c r="O149" s="1071"/>
      <c r="P149" s="1071"/>
      <c r="Q149" s="1071"/>
      <c r="R149" s="1071"/>
      <c r="S149" s="1071"/>
      <c r="T149" s="1071"/>
      <c r="U149" s="1071"/>
      <c r="V149" s="1071"/>
      <c r="W149" s="1071"/>
      <c r="X149" s="1071"/>
      <c r="Y149" s="1071"/>
      <c r="Z149" s="1071"/>
      <c r="AA149" s="1071"/>
      <c r="AB149" s="1071"/>
      <c r="AC149" s="1071"/>
      <c r="AD149" s="1071"/>
      <c r="AE149" s="1071"/>
      <c r="AF149" s="1071"/>
      <c r="AG149" s="1071"/>
      <c r="AH149" s="1071"/>
      <c r="AI149" s="1071"/>
      <c r="AJ149" s="1071"/>
      <c r="AK149" s="1071"/>
      <c r="AL149" s="1071"/>
      <c r="AM149" s="1071"/>
      <c r="AN149" s="1071"/>
      <c r="AO149" s="1071"/>
      <c r="AP149" s="1071"/>
      <c r="AQ149" s="1071"/>
      <c r="AR149" s="1071"/>
      <c r="AS149" s="1071"/>
      <c r="AT149" s="1071"/>
      <c r="AU149" s="1071"/>
      <c r="AV149" s="1071"/>
      <c r="AW149" s="1057"/>
    </row>
    <row r="150">
      <c r="A150" s="122"/>
      <c r="B150" s="123"/>
      <c r="C150" s="143" t="s">
        <v>1070</v>
      </c>
      <c r="F150" s="423"/>
      <c r="G150" s="423"/>
      <c r="H150" s="1070"/>
      <c r="I150" s="1071"/>
      <c r="J150" s="1071"/>
      <c r="K150" s="1071"/>
      <c r="L150" s="1071"/>
      <c r="M150" s="1071"/>
      <c r="N150" s="1071"/>
      <c r="O150" s="1071"/>
      <c r="P150" s="1071"/>
      <c r="Q150" s="1071"/>
      <c r="R150" s="1071"/>
      <c r="S150" s="1071"/>
      <c r="T150" s="1071"/>
      <c r="U150" s="1071"/>
      <c r="V150" s="1071"/>
      <c r="W150" s="1071"/>
      <c r="X150" s="1071"/>
      <c r="Y150" s="1071"/>
      <c r="Z150" s="1071"/>
      <c r="AA150" s="1071"/>
      <c r="AB150" s="1071"/>
      <c r="AC150" s="1071"/>
      <c r="AD150" s="1071"/>
      <c r="AE150" s="1071"/>
      <c r="AF150" s="1071"/>
      <c r="AG150" s="1071"/>
      <c r="AH150" s="1071"/>
      <c r="AI150" s="1071"/>
      <c r="AJ150" s="1071"/>
      <c r="AK150" s="1071"/>
      <c r="AL150" s="1071"/>
      <c r="AM150" s="1071"/>
      <c r="AN150" s="1071"/>
      <c r="AO150" s="1071"/>
      <c r="AP150" s="1071"/>
      <c r="AQ150" s="1071"/>
      <c r="AR150" s="1071"/>
      <c r="AS150" s="1071"/>
      <c r="AT150" s="1071"/>
      <c r="AU150" s="1071"/>
      <c r="AV150" s="1071"/>
      <c r="AW150" s="1057"/>
    </row>
    <row r="151">
      <c r="A151" s="122"/>
      <c r="B151" s="123"/>
      <c r="C151" s="143"/>
      <c r="D151" s="123"/>
      <c r="E151" s="782" t="s">
        <v>1071</v>
      </c>
      <c r="F151" s="193" t="s">
        <v>72</v>
      </c>
      <c r="G151" s="193" t="s">
        <v>165</v>
      </c>
      <c r="H151" s="1089" t="s">
        <v>162</v>
      </c>
      <c r="I151" s="1097">
        <v>23.551388462235956</v>
      </c>
      <c r="J151" s="1097">
        <v>11.77691088052317</v>
      </c>
      <c r="K151" s="1097">
        <v>21.362968378089654</v>
      </c>
      <c r="L151" s="1097">
        <v>10.580430652394254</v>
      </c>
      <c r="M151" s="1097">
        <v>14.823124655915954</v>
      </c>
      <c r="N151" s="1097">
        <v>19.755506023368124</v>
      </c>
      <c r="O151" s="1097">
        <v>34.12551911655772</v>
      </c>
      <c r="P151" s="1097">
        <v>45.340766937358715</v>
      </c>
      <c r="Q151" s="1097">
        <v>36.8202300913499</v>
      </c>
      <c r="R151" s="1097" t="e">
        <v>#VALUE!</v>
      </c>
      <c r="S151" s="1097">
        <v>4.42214919262652</v>
      </c>
      <c r="T151" s="1097" t="e">
        <v>#VALUE!</v>
      </c>
      <c r="U151" s="1097" t="e">
        <v>#VALUE!</v>
      </c>
      <c r="V151" s="1097" t="e">
        <v>#VALUE!</v>
      </c>
      <c r="W151" s="1097" t="e">
        <v>#VALUE!</v>
      </c>
      <c r="X151" s="1097" t="e">
        <v>#VALUE!</v>
      </c>
      <c r="Y151" s="1097" t="e">
        <v>#VALUE!</v>
      </c>
      <c r="Z151" s="1097" t="e">
        <v>#VALUE!</v>
      </c>
      <c r="AA151" s="1097" t="e">
        <v>#VALUE!</v>
      </c>
      <c r="AB151" s="1097" t="e">
        <v>#VALUE!</v>
      </c>
      <c r="AC151" s="1097" t="e">
        <v>#VALUE!</v>
      </c>
      <c r="AD151" s="1097" t="e">
        <v>#VALUE!</v>
      </c>
      <c r="AE151" s="1097" t="e">
        <v>#VALUE!</v>
      </c>
      <c r="AF151" s="1097" t="e">
        <v>#VALUE!</v>
      </c>
      <c r="AG151" s="1097">
        <v>5.8332547278576214</v>
      </c>
      <c r="AH151" s="1097" t="e">
        <v>#VALUE!</v>
      </c>
      <c r="AI151" s="1097" t="e">
        <v>#VALUE!</v>
      </c>
      <c r="AJ151" s="1097" t="e">
        <v>#VALUE!</v>
      </c>
      <c r="AK151" s="1097" t="e">
        <v>#VALUE!</v>
      </c>
      <c r="AL151" s="1097">
        <v>8.290618643734208</v>
      </c>
      <c r="AM151" s="1097">
        <v>10.058166956197768</v>
      </c>
      <c r="AN151" s="1097">
        <v>5.8047693644004905</v>
      </c>
      <c r="AO151" s="1097" t="e">
        <v>#VALUE!</v>
      </c>
      <c r="AP151" s="1097" t="e">
        <v>#VALUE!</v>
      </c>
      <c r="AQ151" s="1097" t="e">
        <v>#VALUE!</v>
      </c>
      <c r="AR151" s="1097" t="e">
        <v>#VALUE!</v>
      </c>
      <c r="AS151" s="1097" t="e">
        <v>#VALUE!</v>
      </c>
      <c r="AT151" s="1097" t="e">
        <v>#VALUE!</v>
      </c>
      <c r="AU151" s="1097">
        <v>6.936472436925959</v>
      </c>
      <c r="AV151" s="1097">
        <v>13.153303661325873</v>
      </c>
      <c r="AW151" s="1061"/>
    </row>
    <row r="152">
      <c r="A152" s="122"/>
      <c r="B152" s="123"/>
      <c r="C152" s="143"/>
      <c r="D152" s="123"/>
      <c r="E152" s="475" t="s">
        <v>1072</v>
      </c>
      <c r="F152" s="213" t="s">
        <v>72</v>
      </c>
      <c r="G152" s="213" t="s">
        <v>165</v>
      </c>
      <c r="H152" s="1087" t="s">
        <v>162</v>
      </c>
      <c r="I152" s="1098">
        <v>20.93826252818655</v>
      </c>
      <c r="J152" s="1098">
        <v>10.47021292111284</v>
      </c>
      <c r="K152" s="1098">
        <v>18.992656887258615</v>
      </c>
      <c r="L152" s="1098">
        <v>9.406487223304476</v>
      </c>
      <c r="M152" s="1098">
        <v>13.178436423452242</v>
      </c>
      <c r="N152" s="1098">
        <v>17.563549264100633</v>
      </c>
      <c r="O152" s="1098">
        <v>30.339148764789947</v>
      </c>
      <c r="P152" s="1098">
        <v>40.310017512810624</v>
      </c>
      <c r="Q152" s="1098">
        <v>32.73487018555697</v>
      </c>
      <c r="R152" s="1098" t="e">
        <v>#VALUE!</v>
      </c>
      <c r="S152" s="1098">
        <v>4.111690859592589</v>
      </c>
      <c r="T152" s="1098" t="e">
        <v>#VALUE!</v>
      </c>
      <c r="U152" s="1098" t="e">
        <v>#VALUE!</v>
      </c>
      <c r="V152" s="1098" t="e">
        <v>#VALUE!</v>
      </c>
      <c r="W152" s="1098" t="e">
        <v>#VALUE!</v>
      </c>
      <c r="X152" s="1098" t="e">
        <v>#VALUE!</v>
      </c>
      <c r="Y152" s="1098" t="e">
        <v>#VALUE!</v>
      </c>
      <c r="Z152" s="1098" t="e">
        <v>#VALUE!</v>
      </c>
      <c r="AA152" s="1098" t="e">
        <v>#VALUE!</v>
      </c>
      <c r="AB152" s="1098" t="e">
        <v>#VALUE!</v>
      </c>
      <c r="AC152" s="1098" t="e">
        <v>#VALUE!</v>
      </c>
      <c r="AD152" s="1098" t="e">
        <v>#VALUE!</v>
      </c>
      <c r="AE152" s="1098" t="e">
        <v>#VALUE!</v>
      </c>
      <c r="AF152" s="1098" t="e">
        <v>#VALUE!</v>
      </c>
      <c r="AG152" s="1098">
        <v>5.423729300268565</v>
      </c>
      <c r="AH152" s="1098" t="e">
        <v>#VALUE!</v>
      </c>
      <c r="AI152" s="1098" t="e">
        <v>#VALUE!</v>
      </c>
      <c r="AJ152" s="1098" t="e">
        <v>#VALUE!</v>
      </c>
      <c r="AK152" s="1098" t="e">
        <v>#VALUE!</v>
      </c>
      <c r="AL152" s="1098">
        <v>7.632240673849462</v>
      </c>
      <c r="AM152" s="1098">
        <v>9.165858961813365</v>
      </c>
      <c r="AN152" s="1098">
        <v>5.547584812265238</v>
      </c>
      <c r="AO152" s="1098" t="e">
        <v>#VALUE!</v>
      </c>
      <c r="AP152" s="1098" t="e">
        <v>#VALUE!</v>
      </c>
      <c r="AQ152" s="1098" t="e">
        <v>#VALUE!</v>
      </c>
      <c r="AR152" s="1098" t="e">
        <v>#VALUE!</v>
      </c>
      <c r="AS152" s="1098" t="e">
        <v>#VALUE!</v>
      </c>
      <c r="AT152" s="1098" t="e">
        <v>#VALUE!</v>
      </c>
      <c r="AU152" s="1098">
        <v>6.68180642417019</v>
      </c>
      <c r="AV152" s="1098">
        <v>11.986411317951658</v>
      </c>
      <c r="AW152" s="1062"/>
    </row>
    <row r="153">
      <c r="A153" s="122"/>
      <c r="B153" s="123"/>
      <c r="C153" s="143"/>
      <c r="D153" s="123"/>
      <c r="E153" s="792" t="s">
        <v>1074</v>
      </c>
      <c r="F153" s="200" t="s">
        <v>72</v>
      </c>
      <c r="G153" s="200" t="s">
        <v>165</v>
      </c>
      <c r="H153" s="1088" t="s">
        <v>162</v>
      </c>
      <c r="I153" s="1099">
        <v>21.399396199126233</v>
      </c>
      <c r="J153" s="1099">
        <v>10.653897575658625</v>
      </c>
      <c r="K153" s="1099">
        <v>19.388997212534953</v>
      </c>
      <c r="L153" s="1099">
        <v>9.580975424092607</v>
      </c>
      <c r="M153" s="1099">
        <v>13.4471172035135</v>
      </c>
      <c r="N153" s="1099">
        <v>17.94609016374636</v>
      </c>
      <c r="O153" s="1099">
        <v>31.065220208335468</v>
      </c>
      <c r="P153" s="1099">
        <v>41.28856888710248</v>
      </c>
      <c r="Q153" s="1099">
        <v>33.48589603091744</v>
      </c>
      <c r="R153" s="1099">
        <v>1.7234596883660158</v>
      </c>
      <c r="S153" s="1099">
        <v>4.115057285392795</v>
      </c>
      <c r="T153" s="1099">
        <v>1.6351201938643427</v>
      </c>
      <c r="U153" s="1099">
        <v>1.8414098248136206</v>
      </c>
      <c r="V153" s="1099">
        <v>2.8111951473244576</v>
      </c>
      <c r="W153" s="1099">
        <v>3.1777748732224578</v>
      </c>
      <c r="X153" s="1099">
        <v>5.522338108728554</v>
      </c>
      <c r="Y153" s="1099">
        <v>1.4757858431905482</v>
      </c>
      <c r="Z153" s="1099">
        <v>2.1628116843961194</v>
      </c>
      <c r="AA153" s="1099">
        <v>1.027598372323167</v>
      </c>
      <c r="AB153" s="1099">
        <v>1.5377754100442844</v>
      </c>
      <c r="AC153" s="1099">
        <v>1.1882259986143215</v>
      </c>
      <c r="AD153" s="1099">
        <v>1.0338695968474498</v>
      </c>
      <c r="AE153" s="1099">
        <v>1.4263732779150438</v>
      </c>
      <c r="AF153" s="1099">
        <v>1.133268758107501</v>
      </c>
      <c r="AG153" s="1099">
        <v>5.477527773460784</v>
      </c>
      <c r="AH153" s="1099">
        <v>2.3606675847489518</v>
      </c>
      <c r="AI153" s="1099">
        <v>2.093002816397057</v>
      </c>
      <c r="AJ153" s="1099">
        <v>1.0831910316726767</v>
      </c>
      <c r="AK153" s="1099">
        <v>3.485649137633148</v>
      </c>
      <c r="AL153" s="1099">
        <v>7.765190333472019</v>
      </c>
      <c r="AM153" s="1099">
        <v>9.348234307352794</v>
      </c>
      <c r="AN153" s="1099">
        <v>5.609266065049184</v>
      </c>
      <c r="AO153" s="1099">
        <v>2.5476536379444954</v>
      </c>
      <c r="AP153" s="1099">
        <v>2.25481635824906</v>
      </c>
      <c r="AQ153" s="1099">
        <v>1.1307949730129077</v>
      </c>
      <c r="AR153" s="1099">
        <v>1.7944653771396057</v>
      </c>
      <c r="AS153" s="1099">
        <v>2.2902032761334095</v>
      </c>
      <c r="AT153" s="1099">
        <v>1.5614960894108287</v>
      </c>
      <c r="AU153" s="1099">
        <v>6.766188184665334</v>
      </c>
      <c r="AV153" s="1099">
        <v>12.21998969329867</v>
      </c>
      <c r="AW153" s="1063"/>
    </row>
    <row r="154">
      <c r="A154" s="432"/>
      <c r="B154" s="433"/>
      <c r="C154" s="1077"/>
      <c r="D154" s="433"/>
      <c r="E154" s="1078"/>
      <c r="F154" s="134"/>
      <c r="G154" s="134"/>
      <c r="H154" s="406"/>
      <c r="I154" s="1079"/>
      <c r="J154" s="1079"/>
      <c r="K154" s="1079"/>
      <c r="L154" s="1079"/>
      <c r="M154" s="1079"/>
      <c r="N154" s="1079"/>
      <c r="O154" s="1079"/>
      <c r="P154" s="1079"/>
      <c r="Q154" s="1079"/>
      <c r="R154" s="1079"/>
      <c r="S154" s="1079"/>
      <c r="T154" s="1079"/>
      <c r="U154" s="1079"/>
      <c r="V154" s="1079"/>
      <c r="W154" s="1079"/>
      <c r="X154" s="1079"/>
      <c r="Y154" s="1079"/>
      <c r="Z154" s="1079"/>
      <c r="AA154" s="1079"/>
      <c r="AB154" s="1079"/>
      <c r="AC154" s="1079"/>
      <c r="AD154" s="1079"/>
      <c r="AE154" s="1079"/>
      <c r="AF154" s="1079"/>
      <c r="AG154" s="1079"/>
      <c r="AH154" s="1079"/>
      <c r="AI154" s="1079"/>
      <c r="AJ154" s="1079"/>
      <c r="AK154" s="1079"/>
      <c r="AL154" s="1079"/>
      <c r="AM154" s="1079"/>
      <c r="AN154" s="1079"/>
      <c r="AO154" s="1079"/>
      <c r="AP154" s="1079"/>
      <c r="AQ154" s="1079"/>
      <c r="AR154" s="1079"/>
      <c r="AS154" s="1079"/>
      <c r="AT154" s="1079"/>
      <c r="AU154" s="1079"/>
      <c r="AV154" s="1079"/>
      <c r="AW154" s="1058"/>
    </row>
  </sheetData>
  <mergeCells count="35">
    <mergeCell ref="I1:Q1"/>
    <mergeCell ref="R1:AE1"/>
    <mergeCell ref="AF1:AV1"/>
    <mergeCell ref="A3:E3"/>
    <mergeCell ref="A4:G4"/>
    <mergeCell ref="C6:E6"/>
    <mergeCell ref="C9:E9"/>
    <mergeCell ref="C18:E18"/>
    <mergeCell ref="C23:E23"/>
    <mergeCell ref="C28:E28"/>
    <mergeCell ref="C34:E34"/>
    <mergeCell ref="C40:E40"/>
    <mergeCell ref="A44:G44"/>
    <mergeCell ref="C46:E46"/>
    <mergeCell ref="C52:E52"/>
    <mergeCell ref="C57:E57"/>
    <mergeCell ref="A62:G62"/>
    <mergeCell ref="C64:E64"/>
    <mergeCell ref="C70:E70"/>
    <mergeCell ref="C75:E75"/>
    <mergeCell ref="A80:G80"/>
    <mergeCell ref="C121:E121"/>
    <mergeCell ref="C127:E127"/>
    <mergeCell ref="C132:E132"/>
    <mergeCell ref="A137:G137"/>
    <mergeCell ref="C139:E139"/>
    <mergeCell ref="C145:E145"/>
    <mergeCell ref="C150:E150"/>
    <mergeCell ref="C82:E82"/>
    <mergeCell ref="C85:E85"/>
    <mergeCell ref="C94:E94"/>
    <mergeCell ref="C104:E104"/>
    <mergeCell ref="C110:E110"/>
    <mergeCell ref="C116:E116"/>
    <mergeCell ref="A119:G1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45" width="7.63"/>
    <col customWidth="1" min="46" max="46" width="8.38"/>
    <col customWidth="1" min="47" max="53" width="7.63"/>
    <col customWidth="1" min="54" max="54" width="3.63"/>
  </cols>
  <sheetData>
    <row r="1">
      <c r="A1" s="1104"/>
      <c r="B1" s="1105"/>
      <c r="C1" s="1105"/>
      <c r="D1" s="1105"/>
      <c r="E1" s="1105"/>
      <c r="F1" s="1106" t="s">
        <v>107</v>
      </c>
      <c r="G1" s="2"/>
      <c r="H1" s="2"/>
      <c r="I1" s="2"/>
      <c r="J1" s="2"/>
      <c r="K1" s="2"/>
      <c r="L1" s="2"/>
      <c r="M1" s="2"/>
      <c r="N1" s="2"/>
      <c r="O1" s="2"/>
      <c r="P1" s="2"/>
      <c r="Q1" s="2"/>
      <c r="R1" s="2"/>
      <c r="S1" s="2"/>
      <c r="T1" s="2"/>
      <c r="U1" s="2"/>
      <c r="V1" s="2"/>
      <c r="W1" s="2"/>
      <c r="X1" s="2"/>
      <c r="Y1" s="2"/>
      <c r="Z1" s="2"/>
      <c r="AA1" s="2"/>
      <c r="AB1" s="2"/>
      <c r="AC1" s="2"/>
      <c r="AD1" s="2"/>
      <c r="AE1" s="2"/>
      <c r="AF1" s="2"/>
      <c r="AG1" s="1107" t="s">
        <v>108</v>
      </c>
      <c r="AH1" s="7"/>
      <c r="AI1" s="7"/>
      <c r="AJ1" s="7"/>
      <c r="AK1" s="7"/>
      <c r="AL1" s="7"/>
      <c r="AM1" s="7"/>
      <c r="AN1" s="7"/>
      <c r="AO1" s="7"/>
      <c r="AP1" s="7"/>
      <c r="AQ1" s="7"/>
      <c r="AR1" s="7"/>
      <c r="AS1" s="7"/>
      <c r="AT1" s="7"/>
      <c r="AU1" s="7"/>
      <c r="AV1" s="7"/>
      <c r="AW1" s="7"/>
      <c r="AX1" s="7"/>
      <c r="AY1" s="7"/>
      <c r="AZ1" s="7"/>
      <c r="BA1" s="659"/>
      <c r="BB1" s="1108"/>
    </row>
    <row r="2">
      <c r="A2" s="1109"/>
      <c r="B2" s="1110"/>
      <c r="C2" s="1110"/>
      <c r="D2" s="1110"/>
      <c r="E2" s="1110"/>
      <c r="F2" s="1106" t="s">
        <v>109</v>
      </c>
      <c r="G2" s="2"/>
      <c r="H2" s="1111"/>
      <c r="I2" s="1106" t="s">
        <v>109</v>
      </c>
      <c r="J2" s="2"/>
      <c r="K2" s="1111"/>
      <c r="L2" s="1106" t="s">
        <v>109</v>
      </c>
      <c r="M2" s="2"/>
      <c r="N2" s="1111"/>
      <c r="O2" s="1106" t="s">
        <v>109</v>
      </c>
      <c r="P2" s="2"/>
      <c r="Q2" s="1111"/>
      <c r="R2" s="1106" t="s">
        <v>109</v>
      </c>
      <c r="S2" s="2"/>
      <c r="T2" s="1111"/>
      <c r="U2" s="1106" t="s">
        <v>109</v>
      </c>
      <c r="V2" s="2"/>
      <c r="W2" s="1111"/>
      <c r="X2" s="1106" t="s">
        <v>109</v>
      </c>
      <c r="Y2" s="2"/>
      <c r="Z2" s="1111"/>
      <c r="AA2" s="1106" t="s">
        <v>109</v>
      </c>
      <c r="AB2" s="2"/>
      <c r="AC2" s="1111"/>
      <c r="AD2" s="1106" t="s">
        <v>109</v>
      </c>
      <c r="AE2" s="2"/>
      <c r="AF2" s="1111"/>
      <c r="AG2" s="1106" t="s">
        <v>109</v>
      </c>
      <c r="AH2" s="2"/>
      <c r="AI2" s="1111"/>
      <c r="AJ2" s="1106" t="s">
        <v>109</v>
      </c>
      <c r="AK2" s="2"/>
      <c r="AL2" s="1111"/>
      <c r="AM2" s="1106" t="s">
        <v>109</v>
      </c>
      <c r="AN2" s="2"/>
      <c r="AO2" s="1111"/>
      <c r="AP2" s="1112" t="s">
        <v>109</v>
      </c>
      <c r="AS2" s="1112" t="s">
        <v>109</v>
      </c>
      <c r="AV2" s="1106" t="s">
        <v>109</v>
      </c>
      <c r="AW2" s="2"/>
      <c r="AX2" s="1111"/>
      <c r="AY2" s="1106" t="s">
        <v>109</v>
      </c>
      <c r="AZ2" s="2"/>
      <c r="BA2" s="1111"/>
      <c r="BB2" s="1113"/>
    </row>
    <row r="3">
      <c r="A3" s="1114" t="s">
        <v>20</v>
      </c>
      <c r="F3" s="1115" t="s">
        <v>114</v>
      </c>
      <c r="H3" s="1116"/>
      <c r="I3" s="1115" t="s">
        <v>115</v>
      </c>
      <c r="K3" s="1116"/>
      <c r="L3" s="1115" t="s">
        <v>116</v>
      </c>
      <c r="N3" s="1116"/>
      <c r="O3" s="1117" t="s">
        <v>117</v>
      </c>
      <c r="Q3" s="1116"/>
      <c r="R3" s="1118" t="s">
        <v>118</v>
      </c>
      <c r="T3" s="1116"/>
      <c r="U3" s="1115" t="s">
        <v>119</v>
      </c>
      <c r="W3" s="1116"/>
      <c r="X3" s="1115" t="s">
        <v>120</v>
      </c>
      <c r="Z3" s="1116"/>
      <c r="AA3" s="1115" t="s">
        <v>121</v>
      </c>
      <c r="AC3" s="1116"/>
      <c r="AD3" s="1115" t="s">
        <v>122</v>
      </c>
      <c r="AF3" s="1116"/>
      <c r="AG3" s="1115" t="s">
        <v>124</v>
      </c>
      <c r="AI3" s="1116"/>
      <c r="AJ3" s="1115" t="s">
        <v>138</v>
      </c>
      <c r="AL3" s="1116"/>
      <c r="AM3" s="1115" t="s">
        <v>143</v>
      </c>
      <c r="AO3" s="1116"/>
      <c r="AP3" s="1117" t="s">
        <v>144</v>
      </c>
      <c r="AR3" s="1116"/>
      <c r="AS3" s="1117" t="s">
        <v>145</v>
      </c>
      <c r="AU3" s="1116"/>
      <c r="AV3" s="1118" t="s">
        <v>152</v>
      </c>
      <c r="AX3" s="1116"/>
      <c r="AY3" s="1115" t="s">
        <v>153</v>
      </c>
      <c r="BA3" s="1116"/>
      <c r="BB3" s="1113"/>
    </row>
    <row r="4">
      <c r="A4" s="1109"/>
      <c r="B4" s="1119"/>
      <c r="C4" s="1119"/>
      <c r="D4" s="1119"/>
      <c r="E4" s="1119"/>
      <c r="F4" s="1120" t="s">
        <v>1087</v>
      </c>
      <c r="G4" s="1121" t="s">
        <v>1088</v>
      </c>
      <c r="H4" s="1122" t="s">
        <v>1089</v>
      </c>
      <c r="I4" s="1120" t="s">
        <v>1087</v>
      </c>
      <c r="J4" s="1121" t="s">
        <v>1088</v>
      </c>
      <c r="K4" s="1122" t="s">
        <v>1089</v>
      </c>
      <c r="L4" s="1120" t="s">
        <v>1087</v>
      </c>
      <c r="M4" s="1121" t="s">
        <v>1088</v>
      </c>
      <c r="N4" s="1122" t="s">
        <v>1089</v>
      </c>
      <c r="O4" s="1120" t="s">
        <v>1087</v>
      </c>
      <c r="P4" s="1121" t="s">
        <v>1088</v>
      </c>
      <c r="Q4" s="1122" t="s">
        <v>1089</v>
      </c>
      <c r="R4" s="1120" t="s">
        <v>1087</v>
      </c>
      <c r="S4" s="1121" t="s">
        <v>1088</v>
      </c>
      <c r="T4" s="1122" t="s">
        <v>1089</v>
      </c>
      <c r="U4" s="1120" t="s">
        <v>1087</v>
      </c>
      <c r="V4" s="1121" t="s">
        <v>1088</v>
      </c>
      <c r="W4" s="1122" t="s">
        <v>1089</v>
      </c>
      <c r="X4" s="1120" t="s">
        <v>1087</v>
      </c>
      <c r="Y4" s="1121" t="s">
        <v>1088</v>
      </c>
      <c r="Z4" s="1122" t="s">
        <v>1089</v>
      </c>
      <c r="AA4" s="1120" t="s">
        <v>1087</v>
      </c>
      <c r="AB4" s="1121" t="s">
        <v>1088</v>
      </c>
      <c r="AC4" s="1122" t="s">
        <v>1089</v>
      </c>
      <c r="AD4" s="1120" t="s">
        <v>1087</v>
      </c>
      <c r="AE4" s="1121" t="s">
        <v>1088</v>
      </c>
      <c r="AF4" s="1122" t="s">
        <v>1089</v>
      </c>
      <c r="AG4" s="1120" t="s">
        <v>1087</v>
      </c>
      <c r="AH4" s="1121" t="s">
        <v>1088</v>
      </c>
      <c r="AI4" s="1122" t="s">
        <v>1089</v>
      </c>
      <c r="AJ4" s="1120" t="s">
        <v>1087</v>
      </c>
      <c r="AK4" s="1121" t="s">
        <v>1088</v>
      </c>
      <c r="AL4" s="1122" t="s">
        <v>1089</v>
      </c>
      <c r="AM4" s="1120" t="s">
        <v>1087</v>
      </c>
      <c r="AN4" s="1121" t="s">
        <v>1088</v>
      </c>
      <c r="AO4" s="1122" t="s">
        <v>1089</v>
      </c>
      <c r="AP4" s="1120" t="s">
        <v>1087</v>
      </c>
      <c r="AQ4" s="1121" t="s">
        <v>1088</v>
      </c>
      <c r="AR4" s="1122" t="s">
        <v>1089</v>
      </c>
      <c r="AS4" s="1120" t="s">
        <v>1087</v>
      </c>
      <c r="AT4" s="1121" t="s">
        <v>1088</v>
      </c>
      <c r="AU4" s="1122" t="s">
        <v>1089</v>
      </c>
      <c r="AV4" s="1120" t="s">
        <v>1087</v>
      </c>
      <c r="AW4" s="1121" t="s">
        <v>1088</v>
      </c>
      <c r="AX4" s="1122" t="s">
        <v>1089</v>
      </c>
      <c r="AY4" s="1120" t="s">
        <v>1087</v>
      </c>
      <c r="AZ4" s="1121" t="s">
        <v>1088</v>
      </c>
      <c r="BA4" s="1122" t="s">
        <v>1089</v>
      </c>
      <c r="BB4" s="1123"/>
    </row>
    <row r="5">
      <c r="A5" s="1080" t="s">
        <v>1090</v>
      </c>
      <c r="B5" s="7"/>
      <c r="C5" s="7"/>
      <c r="D5" s="7"/>
      <c r="E5" s="659"/>
      <c r="F5" s="1124"/>
      <c r="G5" s="1125">
        <f>'Main CEA'!I242</f>
        <v>20.03960646</v>
      </c>
      <c r="H5" s="1126"/>
      <c r="I5" s="1124"/>
      <c r="J5" s="1125">
        <f>'Main CEA'!J242</f>
        <v>10.02083846</v>
      </c>
      <c r="K5" s="1126"/>
      <c r="L5" s="1124"/>
      <c r="M5" s="1125">
        <f>'Main CEA'!K242</f>
        <v>18.1775049</v>
      </c>
      <c r="N5" s="1126"/>
      <c r="O5" s="1124"/>
      <c r="P5" s="1125">
        <f>'Main CEA'!L242</f>
        <v>9.002767152</v>
      </c>
      <c r="Q5" s="1126"/>
      <c r="R5" s="1124"/>
      <c r="S5" s="1125">
        <f>'Main CEA'!M242</f>
        <v>12.61282684</v>
      </c>
      <c r="T5" s="1126"/>
      <c r="U5" s="1124"/>
      <c r="V5" s="1125">
        <f>'Main CEA'!N242</f>
        <v>16.80973361</v>
      </c>
      <c r="W5" s="1126"/>
      <c r="X5" s="1124"/>
      <c r="Y5" s="1125">
        <f>'Main CEA'!O242</f>
        <v>29.03701301</v>
      </c>
      <c r="Z5" s="1126"/>
      <c r="AA5" s="1124"/>
      <c r="AB5" s="1125">
        <f>'Main CEA'!P242</f>
        <v>38.57993882</v>
      </c>
      <c r="AC5" s="1126"/>
      <c r="AD5" s="1124"/>
      <c r="AE5" s="1125">
        <f>'Main CEA'!Q242</f>
        <v>31.32991169</v>
      </c>
      <c r="AF5" s="1126"/>
      <c r="AG5" s="1124"/>
      <c r="AH5" s="1125">
        <f>'Main CEA'!S242</f>
        <v>3.935219868</v>
      </c>
      <c r="AI5" s="1126"/>
      <c r="AJ5" s="1124"/>
      <c r="AK5" s="1125">
        <f>'Main CEA'!AG242</f>
        <v>5.190946506</v>
      </c>
      <c r="AL5" s="1126"/>
      <c r="AM5" s="1124"/>
      <c r="AN5" s="1125">
        <f>'Main CEA'!AL242</f>
        <v>7.304670065</v>
      </c>
      <c r="AO5" s="1126"/>
      <c r="AP5" s="1124"/>
      <c r="AQ5" s="1125">
        <f>'Main CEA'!AM242</f>
        <v>8.772466493</v>
      </c>
      <c r="AR5" s="1126"/>
      <c r="AS5" s="1124"/>
      <c r="AT5" s="1125">
        <f>'Main CEA'!AN242</f>
        <v>5.309486223</v>
      </c>
      <c r="AU5" s="1126"/>
      <c r="AV5" s="1124"/>
      <c r="AW5" s="1125">
        <f>'Main CEA'!AU242</f>
        <v>6.395027811</v>
      </c>
      <c r="AX5" s="1126"/>
      <c r="AY5" s="1124"/>
      <c r="AZ5" s="1125">
        <f>'Main CEA'!AV242</f>
        <v>11.47196265</v>
      </c>
      <c r="BA5" s="1126"/>
      <c r="BB5" s="1126"/>
    </row>
    <row r="6">
      <c r="A6" s="1080" t="s">
        <v>1091</v>
      </c>
      <c r="B6" s="7"/>
      <c r="C6" s="7"/>
      <c r="D6" s="7"/>
      <c r="E6" s="659"/>
      <c r="F6" s="1124"/>
      <c r="G6" s="1124"/>
      <c r="H6" s="1126"/>
      <c r="I6" s="1124"/>
      <c r="J6" s="1124"/>
      <c r="K6" s="1126"/>
      <c r="L6" s="1124"/>
      <c r="M6" s="1124"/>
      <c r="N6" s="1126"/>
      <c r="O6" s="1124"/>
      <c r="P6" s="1124"/>
      <c r="Q6" s="1126"/>
      <c r="R6" s="1124"/>
      <c r="S6" s="1124"/>
      <c r="T6" s="1126"/>
      <c r="U6" s="1124"/>
      <c r="V6" s="1124"/>
      <c r="W6" s="1126"/>
      <c r="X6" s="1124"/>
      <c r="Y6" s="1124"/>
      <c r="Z6" s="1126"/>
      <c r="AA6" s="1124"/>
      <c r="AB6" s="1124"/>
      <c r="AC6" s="1126"/>
      <c r="AD6" s="1124"/>
      <c r="AE6" s="1124"/>
      <c r="AF6" s="1126"/>
      <c r="AG6" s="1124"/>
      <c r="AH6" s="1124"/>
      <c r="AI6" s="1126"/>
      <c r="AJ6" s="1124"/>
      <c r="AK6" s="1124"/>
      <c r="AL6" s="1126"/>
      <c r="AM6" s="1124"/>
      <c r="AN6" s="1124"/>
      <c r="AO6" s="1126"/>
      <c r="AP6" s="1124"/>
      <c r="AQ6" s="1124"/>
      <c r="AR6" s="1126"/>
      <c r="AS6" s="1124"/>
      <c r="AT6" s="1124"/>
      <c r="AU6" s="1126"/>
      <c r="AV6" s="1124"/>
      <c r="AW6" s="1124"/>
      <c r="AX6" s="1126"/>
      <c r="AY6" s="1124"/>
      <c r="AZ6" s="1124"/>
      <c r="BA6" s="1126"/>
      <c r="BB6" s="1126"/>
    </row>
    <row r="7">
      <c r="A7" s="293"/>
      <c r="B7" s="294"/>
      <c r="C7" s="294"/>
      <c r="D7" s="294"/>
      <c r="E7" s="349"/>
      <c r="F7" s="294"/>
      <c r="G7" s="294"/>
      <c r="H7" s="349"/>
      <c r="I7" s="294"/>
      <c r="J7" s="294"/>
      <c r="K7" s="349"/>
      <c r="L7" s="294"/>
      <c r="M7" s="294"/>
      <c r="N7" s="349"/>
      <c r="O7" s="294"/>
      <c r="P7" s="294"/>
      <c r="Q7" s="349"/>
      <c r="R7" s="294"/>
      <c r="S7" s="294"/>
      <c r="T7" s="349"/>
      <c r="U7" s="294"/>
      <c r="V7" s="294"/>
      <c r="W7" s="349"/>
      <c r="X7" s="294"/>
      <c r="Y7" s="294"/>
      <c r="Z7" s="349"/>
      <c r="AA7" s="294"/>
      <c r="AB7" s="294"/>
      <c r="AC7" s="349"/>
      <c r="AD7" s="294"/>
      <c r="AE7" s="294"/>
      <c r="AF7" s="349"/>
      <c r="AG7" s="294"/>
      <c r="AH7" s="294"/>
      <c r="AI7" s="349"/>
      <c r="AJ7" s="294"/>
      <c r="AK7" s="294"/>
      <c r="AL7" s="349"/>
      <c r="AM7" s="294"/>
      <c r="AN7" s="294"/>
      <c r="AO7" s="349"/>
      <c r="AP7" s="294"/>
      <c r="AQ7" s="294"/>
      <c r="AR7" s="349"/>
      <c r="AS7" s="294"/>
      <c r="AT7" s="294"/>
      <c r="AU7" s="349"/>
      <c r="AV7" s="294"/>
      <c r="AW7" s="294"/>
      <c r="AX7" s="349"/>
      <c r="AY7" s="294"/>
      <c r="AZ7" s="294"/>
      <c r="BA7" s="349"/>
      <c r="BB7" s="349"/>
    </row>
    <row r="8">
      <c r="A8" s="293"/>
      <c r="B8" s="294"/>
      <c r="C8" s="1127" t="s">
        <v>1049</v>
      </c>
      <c r="E8" s="1116"/>
      <c r="F8" s="1128"/>
      <c r="G8" s="1128"/>
      <c r="H8" s="1129"/>
      <c r="I8" s="1128"/>
      <c r="J8" s="1128"/>
      <c r="K8" s="1129"/>
      <c r="L8" s="1128"/>
      <c r="M8" s="1128"/>
      <c r="N8" s="1129"/>
      <c r="O8" s="1128"/>
      <c r="P8" s="1128"/>
      <c r="Q8" s="1129"/>
      <c r="R8" s="1128"/>
      <c r="S8" s="1128"/>
      <c r="T8" s="1129"/>
      <c r="U8" s="1128"/>
      <c r="V8" s="1128"/>
      <c r="W8" s="1129"/>
      <c r="X8" s="1128"/>
      <c r="Y8" s="1128"/>
      <c r="Z8" s="1129"/>
      <c r="AA8" s="1128"/>
      <c r="AB8" s="1128"/>
      <c r="AC8" s="1129"/>
      <c r="AD8" s="1128"/>
      <c r="AE8" s="1128"/>
      <c r="AF8" s="1129"/>
      <c r="AG8" s="1128"/>
      <c r="AH8" s="1128"/>
      <c r="AI8" s="1129"/>
      <c r="AJ8" s="1128"/>
      <c r="AK8" s="1128"/>
      <c r="AL8" s="1129"/>
      <c r="AM8" s="1128"/>
      <c r="AN8" s="1128"/>
      <c r="AO8" s="1129"/>
      <c r="AP8" s="1128"/>
      <c r="AQ8" s="1128"/>
      <c r="AR8" s="1129"/>
      <c r="AS8" s="1128"/>
      <c r="AT8" s="1128"/>
      <c r="AU8" s="1129"/>
      <c r="AV8" s="1128"/>
      <c r="AW8" s="1128"/>
      <c r="AX8" s="1129"/>
      <c r="AY8" s="1128"/>
      <c r="AZ8" s="1128"/>
      <c r="BA8" s="1129"/>
      <c r="BB8" s="349"/>
    </row>
    <row r="9">
      <c r="A9" s="293"/>
      <c r="B9" s="294"/>
      <c r="C9" s="24"/>
      <c r="D9" s="294"/>
      <c r="E9" s="1130" t="s">
        <v>1050</v>
      </c>
      <c r="F9" s="1131">
        <v>-0.2</v>
      </c>
      <c r="G9" s="1132" t="s">
        <v>162</v>
      </c>
      <c r="H9" s="1133">
        <v>0.2</v>
      </c>
      <c r="I9" s="1131">
        <v>-0.2</v>
      </c>
      <c r="J9" s="1132" t="s">
        <v>162</v>
      </c>
      <c r="K9" s="1133">
        <v>0.2</v>
      </c>
      <c r="L9" s="1131">
        <v>-0.2</v>
      </c>
      <c r="M9" s="1132" t="s">
        <v>162</v>
      </c>
      <c r="N9" s="1133">
        <v>0.2</v>
      </c>
      <c r="O9" s="1131">
        <v>-0.2</v>
      </c>
      <c r="P9" s="1132" t="s">
        <v>162</v>
      </c>
      <c r="Q9" s="1133">
        <v>0.2</v>
      </c>
      <c r="R9" s="1131">
        <v>-0.2</v>
      </c>
      <c r="S9" s="1132" t="s">
        <v>162</v>
      </c>
      <c r="T9" s="1133">
        <v>0.2</v>
      </c>
      <c r="U9" s="1131">
        <v>-0.2</v>
      </c>
      <c r="V9" s="1132" t="s">
        <v>162</v>
      </c>
      <c r="W9" s="1133">
        <v>0.2</v>
      </c>
      <c r="X9" s="1131">
        <v>-0.2</v>
      </c>
      <c r="Y9" s="1132" t="s">
        <v>162</v>
      </c>
      <c r="Z9" s="1133">
        <v>0.2</v>
      </c>
      <c r="AA9" s="1131">
        <v>-0.2</v>
      </c>
      <c r="AB9" s="1132" t="s">
        <v>162</v>
      </c>
      <c r="AC9" s="1133">
        <v>0.2</v>
      </c>
      <c r="AD9" s="1131">
        <v>-0.2</v>
      </c>
      <c r="AE9" s="1132" t="s">
        <v>162</v>
      </c>
      <c r="AF9" s="1133">
        <v>0.2</v>
      </c>
      <c r="AG9" s="1131">
        <v>-0.2</v>
      </c>
      <c r="AH9" s="1132" t="s">
        <v>162</v>
      </c>
      <c r="AI9" s="1133">
        <v>0.2</v>
      </c>
      <c r="AJ9" s="1131">
        <v>-0.2</v>
      </c>
      <c r="AK9" s="1132" t="s">
        <v>162</v>
      </c>
      <c r="AL9" s="1133">
        <v>0.2</v>
      </c>
      <c r="AM9" s="1131">
        <v>-0.2</v>
      </c>
      <c r="AN9" s="1132" t="s">
        <v>162</v>
      </c>
      <c r="AO9" s="1133">
        <v>0.2</v>
      </c>
      <c r="AP9" s="1131">
        <v>-0.2</v>
      </c>
      <c r="AQ9" s="1132" t="s">
        <v>162</v>
      </c>
      <c r="AR9" s="1133">
        <v>0.2</v>
      </c>
      <c r="AS9" s="1131">
        <v>-0.2</v>
      </c>
      <c r="AT9" s="1132" t="s">
        <v>162</v>
      </c>
      <c r="AU9" s="1133">
        <v>0.2</v>
      </c>
      <c r="AV9" s="1131">
        <v>-0.2</v>
      </c>
      <c r="AW9" s="1132" t="s">
        <v>162</v>
      </c>
      <c r="AX9" s="1133">
        <v>0.2</v>
      </c>
      <c r="AY9" s="1131">
        <v>-0.2</v>
      </c>
      <c r="AZ9" s="1132" t="s">
        <v>162</v>
      </c>
      <c r="BA9" s="1133">
        <v>0.2</v>
      </c>
      <c r="BB9" s="29"/>
    </row>
    <row r="10">
      <c r="A10" s="293"/>
      <c r="B10" s="294"/>
      <c r="C10" s="24"/>
      <c r="D10" s="294"/>
      <c r="E10" s="1134" t="s">
        <v>1052</v>
      </c>
      <c r="F10" s="1135">
        <v>-0.15</v>
      </c>
      <c r="G10" s="1136" t="s">
        <v>162</v>
      </c>
      <c r="H10" s="1137">
        <v>0.15</v>
      </c>
      <c r="I10" s="1138">
        <v>-0.1</v>
      </c>
      <c r="J10" s="1136" t="s">
        <v>162</v>
      </c>
      <c r="K10" s="1139">
        <v>0.1</v>
      </c>
      <c r="L10" s="1135">
        <v>-0.15</v>
      </c>
      <c r="M10" s="1136" t="s">
        <v>162</v>
      </c>
      <c r="N10" s="1137">
        <v>0.15</v>
      </c>
      <c r="O10" s="1135">
        <v>-0.15</v>
      </c>
      <c r="P10" s="1136" t="s">
        <v>162</v>
      </c>
      <c r="Q10" s="1137">
        <v>0.15</v>
      </c>
      <c r="R10" s="1135">
        <v>-0.15</v>
      </c>
      <c r="S10" s="1136" t="s">
        <v>162</v>
      </c>
      <c r="T10" s="1137">
        <v>0.15</v>
      </c>
      <c r="U10" s="1140">
        <v>-0.2</v>
      </c>
      <c r="V10" s="1136" t="s">
        <v>162</v>
      </c>
      <c r="W10" s="1141">
        <v>0.2</v>
      </c>
      <c r="X10" s="1142">
        <v>-0.3</v>
      </c>
      <c r="Y10" s="1136" t="s">
        <v>162</v>
      </c>
      <c r="Z10" s="1143">
        <v>0.3</v>
      </c>
      <c r="AA10" s="1144">
        <v>-0.4</v>
      </c>
      <c r="AB10" s="1136" t="s">
        <v>162</v>
      </c>
      <c r="AC10" s="1145">
        <v>0.4</v>
      </c>
      <c r="AD10" s="1140">
        <v>-0.2</v>
      </c>
      <c r="AE10" s="1136" t="s">
        <v>162</v>
      </c>
      <c r="AF10" s="1141">
        <v>0.2</v>
      </c>
      <c r="AG10" s="1146">
        <v>-0.05</v>
      </c>
      <c r="AH10" s="1136" t="s">
        <v>162</v>
      </c>
      <c r="AI10" s="1147">
        <v>0.05</v>
      </c>
      <c r="AJ10" s="1138">
        <v>-0.1</v>
      </c>
      <c r="AK10" s="1136" t="s">
        <v>162</v>
      </c>
      <c r="AL10" s="1139">
        <v>0.1</v>
      </c>
      <c r="AM10" s="1138">
        <v>-0.1</v>
      </c>
      <c r="AN10" s="1136" t="s">
        <v>162</v>
      </c>
      <c r="AO10" s="1139">
        <v>0.1</v>
      </c>
      <c r="AP10" s="1138">
        <v>-0.1</v>
      </c>
      <c r="AQ10" s="1136" t="s">
        <v>162</v>
      </c>
      <c r="AR10" s="1139">
        <v>0.1</v>
      </c>
      <c r="AS10" s="1138">
        <v>-0.1</v>
      </c>
      <c r="AT10" s="1136" t="s">
        <v>162</v>
      </c>
      <c r="AU10" s="1139">
        <v>0.1</v>
      </c>
      <c r="AV10" s="1138">
        <v>-0.1</v>
      </c>
      <c r="AW10" s="1136" t="s">
        <v>162</v>
      </c>
      <c r="AX10" s="1139">
        <v>0.1</v>
      </c>
      <c r="AY10" s="1135">
        <v>-0.15</v>
      </c>
      <c r="AZ10" s="1136" t="s">
        <v>162</v>
      </c>
      <c r="BA10" s="1137">
        <v>0.15</v>
      </c>
      <c r="BB10" s="306"/>
    </row>
    <row r="11">
      <c r="A11" s="293"/>
      <c r="B11" s="294"/>
      <c r="C11" s="24"/>
      <c r="D11" s="294"/>
      <c r="E11" s="1134" t="s">
        <v>1079</v>
      </c>
      <c r="F11" s="1148">
        <v>-0.35</v>
      </c>
      <c r="G11" s="1136" t="s">
        <v>162</v>
      </c>
      <c r="H11" s="1149">
        <v>0.35</v>
      </c>
      <c r="I11" s="1148">
        <v>-0.35</v>
      </c>
      <c r="J11" s="1136" t="s">
        <v>162</v>
      </c>
      <c r="K11" s="1149">
        <v>0.35</v>
      </c>
      <c r="L11" s="1148">
        <v>-0.35</v>
      </c>
      <c r="M11" s="1136" t="s">
        <v>162</v>
      </c>
      <c r="N11" s="1149">
        <v>0.35</v>
      </c>
      <c r="O11" s="1148">
        <v>-0.35</v>
      </c>
      <c r="P11" s="1136" t="s">
        <v>162</v>
      </c>
      <c r="Q11" s="1149">
        <v>0.35</v>
      </c>
      <c r="R11" s="1148">
        <v>-0.35</v>
      </c>
      <c r="S11" s="1136" t="s">
        <v>162</v>
      </c>
      <c r="T11" s="1149">
        <v>0.35</v>
      </c>
      <c r="U11" s="1148">
        <v>-0.35</v>
      </c>
      <c r="V11" s="1136" t="s">
        <v>162</v>
      </c>
      <c r="W11" s="1149">
        <v>0.35</v>
      </c>
      <c r="X11" s="1148">
        <v>-0.35</v>
      </c>
      <c r="Y11" s="1136" t="s">
        <v>162</v>
      </c>
      <c r="Z11" s="1149">
        <v>0.35</v>
      </c>
      <c r="AA11" s="1148">
        <v>-0.35</v>
      </c>
      <c r="AB11" s="1136" t="s">
        <v>162</v>
      </c>
      <c r="AC11" s="1149">
        <v>0.35</v>
      </c>
      <c r="AD11" s="1148">
        <v>-0.35</v>
      </c>
      <c r="AE11" s="1136" t="s">
        <v>162</v>
      </c>
      <c r="AF11" s="1149">
        <v>0.35</v>
      </c>
      <c r="AG11" s="1148">
        <v>-0.35</v>
      </c>
      <c r="AH11" s="1136" t="s">
        <v>162</v>
      </c>
      <c r="AI11" s="1149">
        <v>0.35</v>
      </c>
      <c r="AJ11" s="1148">
        <v>-0.35</v>
      </c>
      <c r="AK11" s="1136" t="s">
        <v>162</v>
      </c>
      <c r="AL11" s="1149">
        <v>0.35</v>
      </c>
      <c r="AM11" s="1148">
        <v>-0.35</v>
      </c>
      <c r="AN11" s="1136" t="s">
        <v>162</v>
      </c>
      <c r="AO11" s="1149">
        <v>0.35</v>
      </c>
      <c r="AP11" s="1148">
        <v>-0.35</v>
      </c>
      <c r="AQ11" s="1136" t="s">
        <v>162</v>
      </c>
      <c r="AR11" s="1149">
        <v>0.35</v>
      </c>
      <c r="AS11" s="1148">
        <v>-0.35</v>
      </c>
      <c r="AT11" s="1136" t="s">
        <v>162</v>
      </c>
      <c r="AU11" s="1149">
        <v>0.35</v>
      </c>
      <c r="AV11" s="1148">
        <v>-0.35</v>
      </c>
      <c r="AW11" s="1136" t="s">
        <v>162</v>
      </c>
      <c r="AX11" s="1149">
        <v>0.35</v>
      </c>
      <c r="AY11" s="1148">
        <v>-0.35</v>
      </c>
      <c r="AZ11" s="1136" t="s">
        <v>162</v>
      </c>
      <c r="BA11" s="1149">
        <v>0.35</v>
      </c>
      <c r="BB11" s="306"/>
    </row>
    <row r="12">
      <c r="A12" s="293"/>
      <c r="B12" s="294"/>
      <c r="C12" s="24"/>
      <c r="D12" s="294"/>
      <c r="E12" s="1150" t="s">
        <v>1055</v>
      </c>
      <c r="F12" s="1151">
        <v>-0.2</v>
      </c>
      <c r="G12" s="1152" t="s">
        <v>162</v>
      </c>
      <c r="H12" s="1153">
        <v>0.2</v>
      </c>
      <c r="I12" s="1151">
        <v>-0.2</v>
      </c>
      <c r="J12" s="1152" t="s">
        <v>162</v>
      </c>
      <c r="K12" s="1153">
        <v>0.2</v>
      </c>
      <c r="L12" s="1151">
        <v>-0.2</v>
      </c>
      <c r="M12" s="1152" t="s">
        <v>162</v>
      </c>
      <c r="N12" s="1153">
        <v>0.2</v>
      </c>
      <c r="O12" s="1151">
        <v>-0.2</v>
      </c>
      <c r="P12" s="1152" t="s">
        <v>162</v>
      </c>
      <c r="Q12" s="1153">
        <v>0.2</v>
      </c>
      <c r="R12" s="1151">
        <v>-0.2</v>
      </c>
      <c r="S12" s="1152" t="s">
        <v>162</v>
      </c>
      <c r="T12" s="1153">
        <v>0.2</v>
      </c>
      <c r="U12" s="1151">
        <v>-0.2</v>
      </c>
      <c r="V12" s="1152" t="s">
        <v>162</v>
      </c>
      <c r="W12" s="1153">
        <v>0.2</v>
      </c>
      <c r="X12" s="1151">
        <v>-0.2</v>
      </c>
      <c r="Y12" s="1152" t="s">
        <v>162</v>
      </c>
      <c r="Z12" s="1153">
        <v>0.2</v>
      </c>
      <c r="AA12" s="1151">
        <v>-0.2</v>
      </c>
      <c r="AB12" s="1152" t="s">
        <v>162</v>
      </c>
      <c r="AC12" s="1153">
        <v>0.2</v>
      </c>
      <c r="AD12" s="1151">
        <v>-0.2</v>
      </c>
      <c r="AE12" s="1152" t="s">
        <v>162</v>
      </c>
      <c r="AF12" s="1153">
        <v>0.2</v>
      </c>
      <c r="AG12" s="1151">
        <v>-0.2</v>
      </c>
      <c r="AH12" s="1152" t="s">
        <v>162</v>
      </c>
      <c r="AI12" s="1153">
        <v>0.2</v>
      </c>
      <c r="AJ12" s="1151">
        <v>-0.2</v>
      </c>
      <c r="AK12" s="1152" t="s">
        <v>162</v>
      </c>
      <c r="AL12" s="1153">
        <v>0.2</v>
      </c>
      <c r="AM12" s="1151">
        <v>-0.2</v>
      </c>
      <c r="AN12" s="1152" t="s">
        <v>162</v>
      </c>
      <c r="AO12" s="1153">
        <v>0.2</v>
      </c>
      <c r="AP12" s="1151">
        <v>-0.2</v>
      </c>
      <c r="AQ12" s="1152" t="s">
        <v>162</v>
      </c>
      <c r="AR12" s="1153">
        <v>0.2</v>
      </c>
      <c r="AS12" s="1151">
        <v>-0.2</v>
      </c>
      <c r="AT12" s="1152" t="s">
        <v>162</v>
      </c>
      <c r="AU12" s="1153">
        <v>0.2</v>
      </c>
      <c r="AV12" s="1151">
        <v>-0.2</v>
      </c>
      <c r="AW12" s="1152" t="s">
        <v>162</v>
      </c>
      <c r="AX12" s="1153">
        <v>0.2</v>
      </c>
      <c r="AY12" s="1151">
        <v>-0.2</v>
      </c>
      <c r="AZ12" s="1152" t="s">
        <v>162</v>
      </c>
      <c r="BA12" s="1153">
        <v>0.2</v>
      </c>
      <c r="BB12" s="34"/>
    </row>
    <row r="13">
      <c r="A13" s="293"/>
      <c r="B13" s="294"/>
      <c r="C13" s="24"/>
      <c r="D13" s="294"/>
      <c r="E13" s="1154"/>
      <c r="F13" s="294"/>
      <c r="G13" s="1155"/>
      <c r="H13" s="349"/>
      <c r="I13" s="294"/>
      <c r="J13" s="1155"/>
      <c r="K13" s="349"/>
      <c r="L13" s="294"/>
      <c r="M13" s="1155"/>
      <c r="N13" s="349"/>
      <c r="O13" s="294"/>
      <c r="P13" s="1155"/>
      <c r="Q13" s="349"/>
      <c r="R13" s="294"/>
      <c r="S13" s="1155"/>
      <c r="T13" s="349"/>
      <c r="U13" s="294"/>
      <c r="V13" s="1155"/>
      <c r="W13" s="349"/>
      <c r="X13" s="294"/>
      <c r="Y13" s="1155"/>
      <c r="Z13" s="349"/>
      <c r="AA13" s="294"/>
      <c r="AB13" s="1155"/>
      <c r="AC13" s="349"/>
      <c r="AD13" s="294"/>
      <c r="AE13" s="1155"/>
      <c r="AF13" s="349"/>
      <c r="AG13" s="294"/>
      <c r="AH13" s="1155"/>
      <c r="AI13" s="349"/>
      <c r="AJ13" s="294"/>
      <c r="AK13" s="1155"/>
      <c r="AL13" s="349"/>
      <c r="AM13" s="294"/>
      <c r="AN13" s="1155"/>
      <c r="AO13" s="349"/>
      <c r="AP13" s="294"/>
      <c r="AQ13" s="294"/>
      <c r="AR13" s="349"/>
      <c r="AS13" s="294"/>
      <c r="AT13" s="294"/>
      <c r="AU13" s="349"/>
      <c r="AV13" s="294"/>
      <c r="AW13" s="1155"/>
      <c r="AX13" s="349"/>
      <c r="AY13" s="294"/>
      <c r="AZ13" s="1155"/>
      <c r="BA13" s="349"/>
      <c r="BB13" s="349"/>
    </row>
    <row r="14">
      <c r="A14" s="293"/>
      <c r="B14" s="294"/>
      <c r="C14" s="1127" t="s">
        <v>1061</v>
      </c>
      <c r="E14" s="1116"/>
      <c r="F14" s="294"/>
      <c r="G14" s="1155"/>
      <c r="H14" s="349"/>
      <c r="I14" s="294"/>
      <c r="J14" s="1155"/>
      <c r="K14" s="349"/>
      <c r="L14" s="294"/>
      <c r="M14" s="1155"/>
      <c r="N14" s="349"/>
      <c r="O14" s="294"/>
      <c r="P14" s="1155"/>
      <c r="Q14" s="349"/>
      <c r="R14" s="294"/>
      <c r="S14" s="1155"/>
      <c r="T14" s="349"/>
      <c r="U14" s="294"/>
      <c r="V14" s="1155"/>
      <c r="W14" s="349"/>
      <c r="X14" s="294"/>
      <c r="Y14" s="1155"/>
      <c r="Z14" s="349"/>
      <c r="AA14" s="294"/>
      <c r="AB14" s="1155"/>
      <c r="AC14" s="349"/>
      <c r="AD14" s="294"/>
      <c r="AE14" s="1155"/>
      <c r="AF14" s="349"/>
      <c r="AG14" s="294"/>
      <c r="AH14" s="1155"/>
      <c r="AI14" s="349"/>
      <c r="AJ14" s="294"/>
      <c r="AK14" s="1155"/>
      <c r="AL14" s="349"/>
      <c r="AM14" s="294"/>
      <c r="AN14" s="1155"/>
      <c r="AO14" s="349"/>
      <c r="AP14" s="294"/>
      <c r="AQ14" s="294"/>
      <c r="AR14" s="349"/>
      <c r="AS14" s="294"/>
      <c r="AT14" s="294"/>
      <c r="AU14" s="349"/>
      <c r="AV14" s="294"/>
      <c r="AW14" s="1155"/>
      <c r="AX14" s="349"/>
      <c r="AY14" s="294"/>
      <c r="AZ14" s="1155"/>
      <c r="BA14" s="349"/>
      <c r="BB14" s="349"/>
    </row>
    <row r="15">
      <c r="A15" s="293"/>
      <c r="B15" s="294"/>
      <c r="C15" s="24"/>
      <c r="D15" s="294"/>
      <c r="E15" s="1130" t="s">
        <v>1080</v>
      </c>
      <c r="F15" s="1156">
        <v>-0.6</v>
      </c>
      <c r="G15" s="1132" t="s">
        <v>162</v>
      </c>
      <c r="H15" s="1157">
        <v>0.6</v>
      </c>
      <c r="I15" s="1156">
        <v>-0.6</v>
      </c>
      <c r="J15" s="1132" t="s">
        <v>162</v>
      </c>
      <c r="K15" s="1157">
        <v>0.6</v>
      </c>
      <c r="L15" s="1156">
        <v>-0.6</v>
      </c>
      <c r="M15" s="1132" t="s">
        <v>162</v>
      </c>
      <c r="N15" s="1157">
        <v>0.6</v>
      </c>
      <c r="O15" s="1156">
        <v>-0.6</v>
      </c>
      <c r="P15" s="1132" t="s">
        <v>162</v>
      </c>
      <c r="Q15" s="1157">
        <v>0.6</v>
      </c>
      <c r="R15" s="1156">
        <v>-0.6</v>
      </c>
      <c r="S15" s="1132" t="s">
        <v>162</v>
      </c>
      <c r="T15" s="1157">
        <v>0.6</v>
      </c>
      <c r="U15" s="1156">
        <v>-0.6</v>
      </c>
      <c r="V15" s="1132" t="s">
        <v>162</v>
      </c>
      <c r="W15" s="1157">
        <v>0.6</v>
      </c>
      <c r="X15" s="1156">
        <v>-0.6</v>
      </c>
      <c r="Y15" s="1132" t="s">
        <v>162</v>
      </c>
      <c r="Z15" s="1157">
        <v>0.6</v>
      </c>
      <c r="AA15" s="1156">
        <v>-0.6</v>
      </c>
      <c r="AB15" s="1132" t="s">
        <v>162</v>
      </c>
      <c r="AC15" s="1157">
        <v>0.6</v>
      </c>
      <c r="AD15" s="1156">
        <v>-0.6</v>
      </c>
      <c r="AE15" s="1132" t="s">
        <v>162</v>
      </c>
      <c r="AF15" s="1157">
        <v>0.6</v>
      </c>
      <c r="AG15" s="1156">
        <v>-0.6</v>
      </c>
      <c r="AH15" s="1132" t="s">
        <v>162</v>
      </c>
      <c r="AI15" s="1157">
        <v>0.6</v>
      </c>
      <c r="AJ15" s="1156">
        <v>-0.6</v>
      </c>
      <c r="AK15" s="1132" t="s">
        <v>162</v>
      </c>
      <c r="AL15" s="1157">
        <v>0.6</v>
      </c>
      <c r="AM15" s="1156">
        <v>-0.6</v>
      </c>
      <c r="AN15" s="1132" t="s">
        <v>162</v>
      </c>
      <c r="AO15" s="1157">
        <v>0.6</v>
      </c>
      <c r="AP15" s="1156">
        <v>-0.6</v>
      </c>
      <c r="AQ15" s="1132" t="s">
        <v>162</v>
      </c>
      <c r="AR15" s="1157">
        <v>0.6</v>
      </c>
      <c r="AS15" s="1156">
        <v>-0.6</v>
      </c>
      <c r="AT15" s="1132" t="s">
        <v>162</v>
      </c>
      <c r="AU15" s="1157">
        <v>0.6</v>
      </c>
      <c r="AV15" s="1156">
        <v>-0.6</v>
      </c>
      <c r="AW15" s="1132" t="s">
        <v>162</v>
      </c>
      <c r="AX15" s="1157">
        <v>0.6</v>
      </c>
      <c r="AY15" s="1156">
        <v>-0.6</v>
      </c>
      <c r="AZ15" s="1132" t="s">
        <v>162</v>
      </c>
      <c r="BA15" s="1157">
        <v>0.6</v>
      </c>
      <c r="BB15" s="29"/>
    </row>
    <row r="16">
      <c r="A16" s="293"/>
      <c r="B16" s="294"/>
      <c r="C16" s="24"/>
      <c r="D16" s="294"/>
      <c r="E16" s="1134" t="s">
        <v>1063</v>
      </c>
      <c r="F16" s="1158">
        <v>-1.0</v>
      </c>
      <c r="G16" s="1136" t="s">
        <v>162</v>
      </c>
      <c r="H16" s="1159">
        <v>1.0</v>
      </c>
      <c r="I16" s="1158">
        <v>-1.0</v>
      </c>
      <c r="J16" s="1136" t="s">
        <v>162</v>
      </c>
      <c r="K16" s="1159">
        <v>1.0</v>
      </c>
      <c r="L16" s="1158">
        <v>-1.0</v>
      </c>
      <c r="M16" s="1136" t="s">
        <v>162</v>
      </c>
      <c r="N16" s="1159">
        <v>1.0</v>
      </c>
      <c r="O16" s="1158">
        <v>-1.0</v>
      </c>
      <c r="P16" s="1136" t="s">
        <v>162</v>
      </c>
      <c r="Q16" s="1159">
        <v>1.0</v>
      </c>
      <c r="R16" s="1158">
        <v>-1.0</v>
      </c>
      <c r="S16" s="1136" t="s">
        <v>162</v>
      </c>
      <c r="T16" s="1159">
        <v>1.0</v>
      </c>
      <c r="U16" s="1158">
        <v>-1.0</v>
      </c>
      <c r="V16" s="1136" t="s">
        <v>162</v>
      </c>
      <c r="W16" s="1159">
        <v>1.0</v>
      </c>
      <c r="X16" s="1158">
        <v>-1.0</v>
      </c>
      <c r="Y16" s="1136" t="s">
        <v>162</v>
      </c>
      <c r="Z16" s="1159">
        <v>1.0</v>
      </c>
      <c r="AA16" s="1158">
        <v>-1.0</v>
      </c>
      <c r="AB16" s="1136" t="s">
        <v>162</v>
      </c>
      <c r="AC16" s="1159">
        <v>1.0</v>
      </c>
      <c r="AD16" s="1158">
        <v>-1.0</v>
      </c>
      <c r="AE16" s="1136" t="s">
        <v>162</v>
      </c>
      <c r="AF16" s="1159">
        <v>1.0</v>
      </c>
      <c r="AG16" s="1158">
        <v>-1.0</v>
      </c>
      <c r="AH16" s="1136" t="s">
        <v>162</v>
      </c>
      <c r="AI16" s="1159">
        <v>1.0</v>
      </c>
      <c r="AJ16" s="1158">
        <v>-1.0</v>
      </c>
      <c r="AK16" s="1136" t="s">
        <v>162</v>
      </c>
      <c r="AL16" s="1159">
        <v>1.0</v>
      </c>
      <c r="AM16" s="1158">
        <v>-1.0</v>
      </c>
      <c r="AN16" s="1136" t="s">
        <v>162</v>
      </c>
      <c r="AO16" s="1159">
        <v>1.0</v>
      </c>
      <c r="AP16" s="1158">
        <v>-1.0</v>
      </c>
      <c r="AQ16" s="1136" t="s">
        <v>162</v>
      </c>
      <c r="AR16" s="1159">
        <v>1.0</v>
      </c>
      <c r="AS16" s="1158">
        <v>-1.0</v>
      </c>
      <c r="AT16" s="1136" t="s">
        <v>162</v>
      </c>
      <c r="AU16" s="1159">
        <v>1.0</v>
      </c>
      <c r="AV16" s="1158">
        <v>-1.0</v>
      </c>
      <c r="AW16" s="1136" t="s">
        <v>162</v>
      </c>
      <c r="AX16" s="1159">
        <v>1.0</v>
      </c>
      <c r="AY16" s="1158">
        <v>-1.0</v>
      </c>
      <c r="AZ16" s="1136" t="s">
        <v>162</v>
      </c>
      <c r="BA16" s="1159">
        <v>1.0</v>
      </c>
      <c r="BB16" s="306"/>
    </row>
    <row r="17">
      <c r="A17" s="293"/>
      <c r="B17" s="294"/>
      <c r="C17" s="24"/>
      <c r="D17" s="294"/>
      <c r="E17" s="1150" t="s">
        <v>1064</v>
      </c>
      <c r="F17" s="1160">
        <v>-0.5</v>
      </c>
      <c r="G17" s="1152" t="s">
        <v>162</v>
      </c>
      <c r="H17" s="1161">
        <v>0.5</v>
      </c>
      <c r="I17" s="1160">
        <v>-0.5</v>
      </c>
      <c r="J17" s="1152" t="s">
        <v>162</v>
      </c>
      <c r="K17" s="1161">
        <v>0.5</v>
      </c>
      <c r="L17" s="1160">
        <v>-0.5</v>
      </c>
      <c r="M17" s="1152" t="s">
        <v>162</v>
      </c>
      <c r="N17" s="1161">
        <v>0.5</v>
      </c>
      <c r="O17" s="1160">
        <v>-0.5</v>
      </c>
      <c r="P17" s="1152" t="s">
        <v>162</v>
      </c>
      <c r="Q17" s="1161">
        <v>0.5</v>
      </c>
      <c r="R17" s="1160">
        <v>-0.5</v>
      </c>
      <c r="S17" s="1152" t="s">
        <v>162</v>
      </c>
      <c r="T17" s="1161">
        <v>0.5</v>
      </c>
      <c r="U17" s="1160">
        <v>-0.5</v>
      </c>
      <c r="V17" s="1152" t="s">
        <v>162</v>
      </c>
      <c r="W17" s="1161">
        <v>0.5</v>
      </c>
      <c r="X17" s="1160">
        <v>-0.5</v>
      </c>
      <c r="Y17" s="1152" t="s">
        <v>162</v>
      </c>
      <c r="Z17" s="1161">
        <v>0.5</v>
      </c>
      <c r="AA17" s="1160">
        <v>-0.5</v>
      </c>
      <c r="AB17" s="1152" t="s">
        <v>162</v>
      </c>
      <c r="AC17" s="1161">
        <v>0.5</v>
      </c>
      <c r="AD17" s="1160">
        <v>-0.5</v>
      </c>
      <c r="AE17" s="1152" t="s">
        <v>162</v>
      </c>
      <c r="AF17" s="1161">
        <v>0.5</v>
      </c>
      <c r="AG17" s="1160">
        <v>-0.5</v>
      </c>
      <c r="AH17" s="1152" t="s">
        <v>162</v>
      </c>
      <c r="AI17" s="1161">
        <v>0.5</v>
      </c>
      <c r="AJ17" s="1160">
        <v>-0.5</v>
      </c>
      <c r="AK17" s="1152" t="s">
        <v>162</v>
      </c>
      <c r="AL17" s="1161">
        <v>0.5</v>
      </c>
      <c r="AM17" s="1160">
        <v>-0.5</v>
      </c>
      <c r="AN17" s="1152" t="s">
        <v>162</v>
      </c>
      <c r="AO17" s="1161">
        <v>0.5</v>
      </c>
      <c r="AP17" s="1160">
        <v>-0.5</v>
      </c>
      <c r="AQ17" s="1152" t="s">
        <v>162</v>
      </c>
      <c r="AR17" s="1161">
        <v>0.5</v>
      </c>
      <c r="AS17" s="1160">
        <v>-0.5</v>
      </c>
      <c r="AT17" s="1152" t="s">
        <v>162</v>
      </c>
      <c r="AU17" s="1161">
        <v>0.5</v>
      </c>
      <c r="AV17" s="1160">
        <v>-0.5</v>
      </c>
      <c r="AW17" s="1152" t="s">
        <v>162</v>
      </c>
      <c r="AX17" s="1161">
        <v>0.5</v>
      </c>
      <c r="AY17" s="1160">
        <v>-0.5</v>
      </c>
      <c r="AZ17" s="1152" t="s">
        <v>162</v>
      </c>
      <c r="BA17" s="1161">
        <v>0.5</v>
      </c>
      <c r="BB17" s="34"/>
    </row>
    <row r="18">
      <c r="A18" s="293"/>
      <c r="B18" s="294"/>
      <c r="C18" s="24"/>
      <c r="D18" s="294"/>
      <c r="E18" s="1154"/>
      <c r="F18" s="294"/>
      <c r="G18" s="1155"/>
      <c r="H18" s="349"/>
      <c r="I18" s="294"/>
      <c r="J18" s="1155"/>
      <c r="K18" s="349"/>
      <c r="L18" s="294"/>
      <c r="M18" s="1155"/>
      <c r="N18" s="349"/>
      <c r="O18" s="294"/>
      <c r="P18" s="1155"/>
      <c r="Q18" s="349"/>
      <c r="R18" s="294"/>
      <c r="S18" s="1155"/>
      <c r="T18" s="349"/>
      <c r="U18" s="294"/>
      <c r="V18" s="1155"/>
      <c r="W18" s="349"/>
      <c r="X18" s="294"/>
      <c r="Y18" s="1155"/>
      <c r="Z18" s="349"/>
      <c r="AA18" s="294"/>
      <c r="AB18" s="1155"/>
      <c r="AC18" s="349"/>
      <c r="AD18" s="294"/>
      <c r="AE18" s="1155"/>
      <c r="AF18" s="349"/>
      <c r="AG18" s="294"/>
      <c r="AH18" s="1155"/>
      <c r="AI18" s="349"/>
      <c r="AJ18" s="294"/>
      <c r="AK18" s="1155"/>
      <c r="AL18" s="349"/>
      <c r="AM18" s="294"/>
      <c r="AN18" s="1155"/>
      <c r="AO18" s="349"/>
      <c r="AP18" s="294"/>
      <c r="AQ18" s="294"/>
      <c r="AR18" s="349"/>
      <c r="AS18" s="294"/>
      <c r="AT18" s="294"/>
      <c r="AU18" s="349"/>
      <c r="AV18" s="294"/>
      <c r="AW18" s="1155"/>
      <c r="AX18" s="349"/>
      <c r="AY18" s="294"/>
      <c r="AZ18" s="1155"/>
      <c r="BA18" s="349"/>
      <c r="BB18" s="349"/>
    </row>
    <row r="19">
      <c r="A19" s="293"/>
      <c r="B19" s="294"/>
      <c r="C19" s="1127" t="s">
        <v>1070</v>
      </c>
      <c r="E19" s="1116"/>
      <c r="F19" s="294"/>
      <c r="G19" s="1155"/>
      <c r="H19" s="349"/>
      <c r="I19" s="294"/>
      <c r="J19" s="1155"/>
      <c r="K19" s="349"/>
      <c r="L19" s="294"/>
      <c r="M19" s="1155"/>
      <c r="N19" s="349"/>
      <c r="O19" s="294"/>
      <c r="P19" s="1155"/>
      <c r="Q19" s="349"/>
      <c r="R19" s="294"/>
      <c r="S19" s="1155"/>
      <c r="T19" s="349"/>
      <c r="U19" s="294"/>
      <c r="V19" s="1155"/>
      <c r="W19" s="349"/>
      <c r="X19" s="294"/>
      <c r="Y19" s="1155"/>
      <c r="Z19" s="349"/>
      <c r="AA19" s="294"/>
      <c r="AB19" s="1155"/>
      <c r="AC19" s="349"/>
      <c r="AD19" s="294"/>
      <c r="AE19" s="1155"/>
      <c r="AF19" s="349"/>
      <c r="AG19" s="294"/>
      <c r="AH19" s="1155"/>
      <c r="AI19" s="349"/>
      <c r="AJ19" s="294"/>
      <c r="AK19" s="1155"/>
      <c r="AL19" s="349"/>
      <c r="AM19" s="294"/>
      <c r="AN19" s="1155"/>
      <c r="AO19" s="349"/>
      <c r="AP19" s="294"/>
      <c r="AQ19" s="294"/>
      <c r="AR19" s="349"/>
      <c r="AS19" s="294"/>
      <c r="AT19" s="294"/>
      <c r="AU19" s="349"/>
      <c r="AV19" s="294"/>
      <c r="AW19" s="1155"/>
      <c r="AX19" s="349"/>
      <c r="AY19" s="294"/>
      <c r="AZ19" s="1155"/>
      <c r="BA19" s="349"/>
      <c r="BB19" s="349"/>
    </row>
    <row r="20">
      <c r="A20" s="293"/>
      <c r="B20" s="294"/>
      <c r="C20" s="24"/>
      <c r="D20" s="294"/>
      <c r="E20" s="1130" t="s">
        <v>1071</v>
      </c>
      <c r="F20" s="1162">
        <v>-0.55</v>
      </c>
      <c r="G20" s="1163" t="s">
        <v>162</v>
      </c>
      <c r="H20" s="1164">
        <v>0.55</v>
      </c>
      <c r="I20" s="1162">
        <v>-0.55</v>
      </c>
      <c r="J20" s="1163" t="s">
        <v>162</v>
      </c>
      <c r="K20" s="1164">
        <v>0.55</v>
      </c>
      <c r="L20" s="1162">
        <v>-0.55</v>
      </c>
      <c r="M20" s="1163" t="s">
        <v>162</v>
      </c>
      <c r="N20" s="1164">
        <v>0.55</v>
      </c>
      <c r="O20" s="1162">
        <v>-0.55</v>
      </c>
      <c r="P20" s="1163" t="s">
        <v>162</v>
      </c>
      <c r="Q20" s="1164">
        <v>0.55</v>
      </c>
      <c r="R20" s="1162">
        <v>-0.55</v>
      </c>
      <c r="S20" s="1163" t="s">
        <v>162</v>
      </c>
      <c r="T20" s="1164">
        <v>0.55</v>
      </c>
      <c r="U20" s="1162">
        <v>-0.55</v>
      </c>
      <c r="V20" s="1163" t="s">
        <v>162</v>
      </c>
      <c r="W20" s="1164">
        <v>0.55</v>
      </c>
      <c r="X20" s="1162">
        <v>-0.55</v>
      </c>
      <c r="Y20" s="1163" t="s">
        <v>162</v>
      </c>
      <c r="Z20" s="1164">
        <v>0.55</v>
      </c>
      <c r="AA20" s="1162">
        <v>-0.55</v>
      </c>
      <c r="AB20" s="1163" t="s">
        <v>162</v>
      </c>
      <c r="AC20" s="1164">
        <v>0.55</v>
      </c>
      <c r="AD20" s="1162">
        <v>-0.55</v>
      </c>
      <c r="AE20" s="1163" t="s">
        <v>162</v>
      </c>
      <c r="AF20" s="1164">
        <v>0.55</v>
      </c>
      <c r="AG20" s="1162">
        <v>-0.55</v>
      </c>
      <c r="AH20" s="1163" t="s">
        <v>162</v>
      </c>
      <c r="AI20" s="1164">
        <v>0.55</v>
      </c>
      <c r="AJ20" s="1162">
        <v>-0.55</v>
      </c>
      <c r="AK20" s="1163" t="s">
        <v>162</v>
      </c>
      <c r="AL20" s="1164">
        <v>0.55</v>
      </c>
      <c r="AM20" s="1162">
        <v>-0.55</v>
      </c>
      <c r="AN20" s="1163" t="s">
        <v>162</v>
      </c>
      <c r="AO20" s="1164">
        <v>0.55</v>
      </c>
      <c r="AP20" s="1162">
        <v>-0.55</v>
      </c>
      <c r="AQ20" s="1163" t="s">
        <v>162</v>
      </c>
      <c r="AR20" s="1164">
        <v>0.55</v>
      </c>
      <c r="AS20" s="1162">
        <v>-0.55</v>
      </c>
      <c r="AT20" s="1163" t="s">
        <v>162</v>
      </c>
      <c r="AU20" s="1164">
        <v>0.55</v>
      </c>
      <c r="AV20" s="1162">
        <v>-0.55</v>
      </c>
      <c r="AW20" s="1163" t="s">
        <v>162</v>
      </c>
      <c r="AX20" s="1164">
        <v>0.55</v>
      </c>
      <c r="AY20" s="1162">
        <v>-0.55</v>
      </c>
      <c r="AZ20" s="1163" t="s">
        <v>162</v>
      </c>
      <c r="BA20" s="1164">
        <v>0.55</v>
      </c>
      <c r="BB20" s="29"/>
    </row>
    <row r="21">
      <c r="A21" s="293"/>
      <c r="B21" s="294"/>
      <c r="C21" s="24"/>
      <c r="D21" s="294"/>
      <c r="E21" s="1134" t="s">
        <v>1072</v>
      </c>
      <c r="F21" s="1165">
        <v>0.7</v>
      </c>
      <c r="G21" s="1166" t="s">
        <v>162</v>
      </c>
      <c r="H21" s="1167">
        <v>-0.7</v>
      </c>
      <c r="I21" s="1165">
        <v>0.7</v>
      </c>
      <c r="J21" s="1166" t="s">
        <v>162</v>
      </c>
      <c r="K21" s="1167">
        <v>-0.7</v>
      </c>
      <c r="L21" s="1165">
        <v>0.7</v>
      </c>
      <c r="M21" s="1166" t="s">
        <v>162</v>
      </c>
      <c r="N21" s="1167">
        <v>-0.7</v>
      </c>
      <c r="O21" s="1165">
        <v>0.7</v>
      </c>
      <c r="P21" s="1166" t="s">
        <v>162</v>
      </c>
      <c r="Q21" s="1167">
        <v>-0.7</v>
      </c>
      <c r="R21" s="1165">
        <v>0.7</v>
      </c>
      <c r="S21" s="1166" t="s">
        <v>162</v>
      </c>
      <c r="T21" s="1167">
        <v>-0.7</v>
      </c>
      <c r="U21" s="1165">
        <v>0.7</v>
      </c>
      <c r="V21" s="1166" t="s">
        <v>162</v>
      </c>
      <c r="W21" s="1167">
        <v>-0.7</v>
      </c>
      <c r="X21" s="1165">
        <v>0.7</v>
      </c>
      <c r="Y21" s="1166" t="s">
        <v>162</v>
      </c>
      <c r="Z21" s="1167">
        <v>-0.7</v>
      </c>
      <c r="AA21" s="1165">
        <v>0.7</v>
      </c>
      <c r="AB21" s="1166" t="s">
        <v>162</v>
      </c>
      <c r="AC21" s="1167">
        <v>-0.7</v>
      </c>
      <c r="AD21" s="1165">
        <v>0.7</v>
      </c>
      <c r="AE21" s="1166" t="s">
        <v>162</v>
      </c>
      <c r="AF21" s="1167">
        <v>-0.7</v>
      </c>
      <c r="AG21" s="1165">
        <v>0.7</v>
      </c>
      <c r="AH21" s="1166" t="s">
        <v>162</v>
      </c>
      <c r="AI21" s="1167">
        <v>-0.7</v>
      </c>
      <c r="AJ21" s="1165">
        <v>0.7</v>
      </c>
      <c r="AK21" s="1166" t="s">
        <v>162</v>
      </c>
      <c r="AL21" s="1167">
        <v>-0.7</v>
      </c>
      <c r="AM21" s="1165">
        <v>0.7</v>
      </c>
      <c r="AN21" s="1166" t="s">
        <v>162</v>
      </c>
      <c r="AO21" s="1167">
        <v>-0.7</v>
      </c>
      <c r="AP21" s="1165">
        <v>0.7</v>
      </c>
      <c r="AQ21" s="1166" t="s">
        <v>162</v>
      </c>
      <c r="AR21" s="1167">
        <v>-0.7</v>
      </c>
      <c r="AS21" s="1165">
        <v>0.7</v>
      </c>
      <c r="AT21" s="1166" t="s">
        <v>162</v>
      </c>
      <c r="AU21" s="1167">
        <v>-0.7</v>
      </c>
      <c r="AV21" s="1165">
        <v>0.7</v>
      </c>
      <c r="AW21" s="1166" t="s">
        <v>162</v>
      </c>
      <c r="AX21" s="1167">
        <v>-0.7</v>
      </c>
      <c r="AY21" s="1165">
        <v>0.7</v>
      </c>
      <c r="AZ21" s="1166" t="s">
        <v>162</v>
      </c>
      <c r="BA21" s="1167">
        <v>-0.7</v>
      </c>
      <c r="BB21" s="306"/>
    </row>
    <row r="22">
      <c r="A22" s="293"/>
      <c r="B22" s="294"/>
      <c r="C22" s="24"/>
      <c r="D22" s="294"/>
      <c r="E22" s="1150" t="s">
        <v>1074</v>
      </c>
      <c r="F22" s="1168">
        <v>0.7</v>
      </c>
      <c r="G22" s="1169" t="s">
        <v>162</v>
      </c>
      <c r="H22" s="1170">
        <v>-0.7</v>
      </c>
      <c r="I22" s="1168">
        <v>0.7</v>
      </c>
      <c r="J22" s="1169" t="s">
        <v>162</v>
      </c>
      <c r="K22" s="1170">
        <v>-0.7</v>
      </c>
      <c r="L22" s="1168">
        <v>0.7</v>
      </c>
      <c r="M22" s="1169" t="s">
        <v>162</v>
      </c>
      <c r="N22" s="1170">
        <v>-0.7</v>
      </c>
      <c r="O22" s="1168">
        <v>0.7</v>
      </c>
      <c r="P22" s="1169" t="s">
        <v>162</v>
      </c>
      <c r="Q22" s="1170">
        <v>-0.7</v>
      </c>
      <c r="R22" s="1168">
        <v>0.7</v>
      </c>
      <c r="S22" s="1169" t="s">
        <v>162</v>
      </c>
      <c r="T22" s="1170">
        <v>-0.7</v>
      </c>
      <c r="U22" s="1168">
        <v>0.7</v>
      </c>
      <c r="V22" s="1169" t="s">
        <v>162</v>
      </c>
      <c r="W22" s="1170">
        <v>-0.7</v>
      </c>
      <c r="X22" s="1168">
        <v>0.7</v>
      </c>
      <c r="Y22" s="1169" t="s">
        <v>162</v>
      </c>
      <c r="Z22" s="1170">
        <v>-0.7</v>
      </c>
      <c r="AA22" s="1168">
        <v>0.7</v>
      </c>
      <c r="AB22" s="1169" t="s">
        <v>162</v>
      </c>
      <c r="AC22" s="1170">
        <v>-0.7</v>
      </c>
      <c r="AD22" s="1168">
        <v>0.7</v>
      </c>
      <c r="AE22" s="1169" t="s">
        <v>162</v>
      </c>
      <c r="AF22" s="1170">
        <v>-0.7</v>
      </c>
      <c r="AG22" s="1168">
        <v>0.7</v>
      </c>
      <c r="AH22" s="1169" t="s">
        <v>162</v>
      </c>
      <c r="AI22" s="1170">
        <v>-0.7</v>
      </c>
      <c r="AJ22" s="1168">
        <v>0.7</v>
      </c>
      <c r="AK22" s="1169" t="s">
        <v>162</v>
      </c>
      <c r="AL22" s="1170">
        <v>-0.7</v>
      </c>
      <c r="AM22" s="1168">
        <v>0.7</v>
      </c>
      <c r="AN22" s="1169" t="s">
        <v>162</v>
      </c>
      <c r="AO22" s="1170">
        <v>-0.7</v>
      </c>
      <c r="AP22" s="1168">
        <v>0.7</v>
      </c>
      <c r="AQ22" s="1169" t="s">
        <v>162</v>
      </c>
      <c r="AR22" s="1170">
        <v>-0.7</v>
      </c>
      <c r="AS22" s="1168">
        <v>0.7</v>
      </c>
      <c r="AT22" s="1169" t="s">
        <v>162</v>
      </c>
      <c r="AU22" s="1170">
        <v>-0.7</v>
      </c>
      <c r="AV22" s="1168">
        <v>0.7</v>
      </c>
      <c r="AW22" s="1169" t="s">
        <v>162</v>
      </c>
      <c r="AX22" s="1170">
        <v>-0.7</v>
      </c>
      <c r="AY22" s="1168">
        <v>0.7</v>
      </c>
      <c r="AZ22" s="1169" t="s">
        <v>162</v>
      </c>
      <c r="BA22" s="1170">
        <v>-0.7</v>
      </c>
      <c r="BB22" s="34"/>
    </row>
    <row r="23">
      <c r="A23" s="1171"/>
      <c r="B23" s="1172"/>
      <c r="C23" s="1172"/>
      <c r="D23" s="1172"/>
      <c r="E23" s="1173"/>
      <c r="F23" s="1172"/>
      <c r="G23" s="1172"/>
      <c r="H23" s="1173"/>
      <c r="I23" s="1172"/>
      <c r="J23" s="1172"/>
      <c r="K23" s="1173"/>
      <c r="L23" s="1172"/>
      <c r="M23" s="1172"/>
      <c r="N23" s="1173"/>
      <c r="O23" s="1172"/>
      <c r="P23" s="1172"/>
      <c r="Q23" s="1173"/>
      <c r="R23" s="1172"/>
      <c r="S23" s="1172"/>
      <c r="T23" s="1173"/>
      <c r="U23" s="1172"/>
      <c r="V23" s="1172"/>
      <c r="W23" s="1173"/>
      <c r="X23" s="1172"/>
      <c r="Y23" s="1172"/>
      <c r="Z23" s="1173"/>
      <c r="AA23" s="1172"/>
      <c r="AB23" s="1172"/>
      <c r="AC23" s="1173"/>
      <c r="AD23" s="1172"/>
      <c r="AE23" s="1172"/>
      <c r="AF23" s="1173"/>
      <c r="AG23" s="1172"/>
      <c r="AH23" s="1172"/>
      <c r="AI23" s="1173"/>
      <c r="AJ23" s="1172"/>
      <c r="AK23" s="1172"/>
      <c r="AL23" s="1173"/>
      <c r="AM23" s="1172"/>
      <c r="AN23" s="1172"/>
      <c r="AO23" s="1173"/>
      <c r="AP23" s="1172"/>
      <c r="AQ23" s="1172"/>
      <c r="AR23" s="1173"/>
      <c r="AS23" s="1172"/>
      <c r="AT23" s="1172"/>
      <c r="AU23" s="1173"/>
      <c r="AV23" s="1172"/>
      <c r="AW23" s="1172"/>
      <c r="AX23" s="1173"/>
      <c r="AY23" s="1172"/>
      <c r="AZ23" s="1172"/>
      <c r="BA23" s="1173"/>
      <c r="BB23" s="1173"/>
    </row>
    <row r="24">
      <c r="A24" s="1174" t="s">
        <v>1092</v>
      </c>
      <c r="B24" s="45"/>
      <c r="C24" s="45"/>
      <c r="D24" s="45"/>
      <c r="E24" s="1175"/>
      <c r="F24" s="1176"/>
      <c r="G24" s="1176"/>
      <c r="H24" s="1177"/>
      <c r="I24" s="1176"/>
      <c r="J24" s="1176"/>
      <c r="K24" s="1177"/>
      <c r="L24" s="1176"/>
      <c r="M24" s="1176"/>
      <c r="N24" s="1177"/>
      <c r="O24" s="1176"/>
      <c r="P24" s="1176"/>
      <c r="Q24" s="1177"/>
      <c r="R24" s="1176"/>
      <c r="S24" s="1176"/>
      <c r="T24" s="1177"/>
      <c r="U24" s="1176"/>
      <c r="V24" s="1176"/>
      <c r="W24" s="1177"/>
      <c r="X24" s="1176"/>
      <c r="Y24" s="1176"/>
      <c r="Z24" s="1177"/>
      <c r="AA24" s="1176"/>
      <c r="AB24" s="1176"/>
      <c r="AC24" s="1177"/>
      <c r="AD24" s="1176"/>
      <c r="AE24" s="1176"/>
      <c r="AF24" s="1177"/>
      <c r="AG24" s="1176"/>
      <c r="AH24" s="1176"/>
      <c r="AI24" s="1177"/>
      <c r="AJ24" s="1176"/>
      <c r="AK24" s="1176"/>
      <c r="AL24" s="1177"/>
      <c r="AM24" s="1176"/>
      <c r="AN24" s="1176"/>
      <c r="AO24" s="1177"/>
      <c r="AP24" s="1176"/>
      <c r="AQ24" s="1176"/>
      <c r="AR24" s="1177"/>
      <c r="AS24" s="1176"/>
      <c r="AT24" s="1176"/>
      <c r="AU24" s="1177"/>
      <c r="AV24" s="1176"/>
      <c r="AW24" s="1176"/>
      <c r="AX24" s="1177"/>
      <c r="AY24" s="1176"/>
      <c r="AZ24" s="1176"/>
      <c r="BA24" s="1177"/>
      <c r="BB24" s="1177"/>
    </row>
    <row r="25">
      <c r="A25" s="293"/>
      <c r="B25" s="294"/>
      <c r="C25" s="294"/>
      <c r="D25" s="294"/>
      <c r="E25" s="349"/>
      <c r="F25" s="294"/>
      <c r="G25" s="294"/>
      <c r="H25" s="349"/>
      <c r="I25" s="294"/>
      <c r="J25" s="294"/>
      <c r="K25" s="349"/>
      <c r="L25" s="294"/>
      <c r="M25" s="294"/>
      <c r="N25" s="349"/>
      <c r="O25" s="294"/>
      <c r="P25" s="294"/>
      <c r="Q25" s="349"/>
      <c r="R25" s="294"/>
      <c r="S25" s="294"/>
      <c r="T25" s="349"/>
      <c r="U25" s="294"/>
      <c r="V25" s="294"/>
      <c r="W25" s="349"/>
      <c r="X25" s="294"/>
      <c r="Y25" s="294"/>
      <c r="Z25" s="349"/>
      <c r="AA25" s="294"/>
      <c r="AB25" s="294"/>
      <c r="AC25" s="349"/>
      <c r="AD25" s="294"/>
      <c r="AE25" s="294"/>
      <c r="AF25" s="349"/>
      <c r="AG25" s="294"/>
      <c r="AH25" s="294"/>
      <c r="AI25" s="349"/>
      <c r="AJ25" s="294"/>
      <c r="AK25" s="294"/>
      <c r="AL25" s="349"/>
      <c r="AM25" s="294"/>
      <c r="AN25" s="294"/>
      <c r="AO25" s="349"/>
      <c r="AP25" s="294"/>
      <c r="AQ25" s="294"/>
      <c r="AR25" s="349"/>
      <c r="AS25" s="294"/>
      <c r="AT25" s="294"/>
      <c r="AU25" s="349"/>
      <c r="AV25" s="294"/>
      <c r="AW25" s="294"/>
      <c r="AX25" s="349"/>
      <c r="AY25" s="294"/>
      <c r="AZ25" s="294"/>
      <c r="BA25" s="349"/>
      <c r="BB25" s="349"/>
    </row>
    <row r="26">
      <c r="A26" s="293"/>
      <c r="B26" s="294"/>
      <c r="C26" s="1127" t="s">
        <v>1049</v>
      </c>
      <c r="E26" s="1116"/>
      <c r="F26" s="1128"/>
      <c r="G26" s="1128"/>
      <c r="H26" s="1129"/>
      <c r="I26" s="1128"/>
      <c r="J26" s="1128"/>
      <c r="K26" s="1129"/>
      <c r="L26" s="1128"/>
      <c r="M26" s="1128"/>
      <c r="N26" s="1129"/>
      <c r="O26" s="1128"/>
      <c r="P26" s="1128"/>
      <c r="Q26" s="1129"/>
      <c r="R26" s="1128"/>
      <c r="S26" s="1128"/>
      <c r="T26" s="1129"/>
      <c r="U26" s="1128"/>
      <c r="V26" s="1128"/>
      <c r="W26" s="1129"/>
      <c r="X26" s="1128"/>
      <c r="Y26" s="1128"/>
      <c r="Z26" s="1129"/>
      <c r="AA26" s="1128"/>
      <c r="AB26" s="1128"/>
      <c r="AC26" s="1129"/>
      <c r="AD26" s="1128"/>
      <c r="AE26" s="1128"/>
      <c r="AF26" s="1129"/>
      <c r="AG26" s="1128"/>
      <c r="AH26" s="1128"/>
      <c r="AI26" s="1129"/>
      <c r="AJ26" s="1128"/>
      <c r="AK26" s="1128"/>
      <c r="AL26" s="1129"/>
      <c r="AM26" s="1128"/>
      <c r="AN26" s="1128"/>
      <c r="AO26" s="1129"/>
      <c r="AP26" s="1128"/>
      <c r="AQ26" s="1128"/>
      <c r="AR26" s="1129"/>
      <c r="AS26" s="1128"/>
      <c r="AT26" s="1128"/>
      <c r="AU26" s="1129"/>
      <c r="AV26" s="1128"/>
      <c r="AW26" s="1128"/>
      <c r="AX26" s="1129"/>
      <c r="AY26" s="1128"/>
      <c r="AZ26" s="1128"/>
      <c r="BA26" s="1129"/>
      <c r="BB26" s="349"/>
    </row>
    <row r="27">
      <c r="A27" s="293"/>
      <c r="B27" s="294"/>
      <c r="C27" s="24"/>
      <c r="D27" s="294"/>
      <c r="E27" s="1130" t="s">
        <v>1050</v>
      </c>
      <c r="F27" s="1178">
        <f t="shared" ref="F27:F30" si="1">G27*(1+F9)</f>
        <v>14.57007199</v>
      </c>
      <c r="G27" s="1179">
        <f>'Simple CEA'!$H$10</f>
        <v>18.21258998</v>
      </c>
      <c r="H27" s="1180">
        <f t="shared" ref="H27:H30" si="2">G27*(1+H9)</f>
        <v>21.85510798</v>
      </c>
      <c r="I27" s="1178">
        <f t="shared" ref="I27:I30" si="3">J27*(1+I9)</f>
        <v>14.57007199</v>
      </c>
      <c r="J27" s="1179">
        <f>'Simple CEA'!$H$10</f>
        <v>18.21258998</v>
      </c>
      <c r="K27" s="1180">
        <f t="shared" ref="K27:K30" si="4">J27*(1+K9)</f>
        <v>21.85510798</v>
      </c>
      <c r="L27" s="1178">
        <f t="shared" ref="L27:L30" si="5">M27*(1+L9)</f>
        <v>14.57007199</v>
      </c>
      <c r="M27" s="1179">
        <f>'Simple CEA'!$H$10</f>
        <v>18.21258998</v>
      </c>
      <c r="N27" s="1180">
        <f t="shared" ref="N27:N30" si="6">M27*(1+N9)</f>
        <v>21.85510798</v>
      </c>
      <c r="O27" s="1178">
        <f t="shared" ref="O27:O30" si="7">P27*(1+O9)</f>
        <v>14.57007199</v>
      </c>
      <c r="P27" s="1178">
        <f>'Simple CEA'!H10</f>
        <v>18.21258998</v>
      </c>
      <c r="Q27" s="1180">
        <f t="shared" ref="Q27:Q30" si="8">P27*(1+Q9)</f>
        <v>21.85510798</v>
      </c>
      <c r="R27" s="1178">
        <f t="shared" ref="R27:R30" si="9">S27*(1+R9)</f>
        <v>14.57007199</v>
      </c>
      <c r="S27" s="1179">
        <f>'Simple CEA'!$H$10</f>
        <v>18.21258998</v>
      </c>
      <c r="T27" s="1180">
        <f t="shared" ref="T27:T30" si="10">S27*(1+T9)</f>
        <v>21.85510798</v>
      </c>
      <c r="U27" s="1178">
        <f t="shared" ref="U27:U30" si="11">V27*(1+U9)</f>
        <v>14.57007199</v>
      </c>
      <c r="V27" s="1179">
        <f>'Simple CEA'!$H$10</f>
        <v>18.21258998</v>
      </c>
      <c r="W27" s="1180">
        <f t="shared" ref="W27:W30" si="12">V27*(1+W9)</f>
        <v>21.85510798</v>
      </c>
      <c r="X27" s="1178">
        <f t="shared" ref="X27:X30" si="13">Y27*(1+X9)</f>
        <v>14.57007199</v>
      </c>
      <c r="Y27" s="1179">
        <f>'Simple CEA'!$H$10</f>
        <v>18.21258998</v>
      </c>
      <c r="Z27" s="1180">
        <f t="shared" ref="Z27:Z30" si="14">Y27*(1+Z9)</f>
        <v>21.85510798</v>
      </c>
      <c r="AA27" s="1178">
        <f t="shared" ref="AA27:AA30" si="15">AB27*(1+AA9)</f>
        <v>14.57007199</v>
      </c>
      <c r="AB27" s="1179">
        <f>'Simple CEA'!$H$10</f>
        <v>18.21258998</v>
      </c>
      <c r="AC27" s="1180">
        <f t="shared" ref="AC27:AC30" si="16">AB27*(1+AC9)</f>
        <v>21.85510798</v>
      </c>
      <c r="AD27" s="1178">
        <f t="shared" ref="AD27:AD30" si="17">AE27*(1+AD9)</f>
        <v>14.57007199</v>
      </c>
      <c r="AE27" s="1179">
        <f>'Simple CEA'!$H$10</f>
        <v>18.21258998</v>
      </c>
      <c r="AF27" s="1180">
        <f t="shared" ref="AF27:AF30" si="18">AE27*(1+AF9)</f>
        <v>21.85510798</v>
      </c>
      <c r="AG27" s="1178">
        <f t="shared" ref="AG27:AG30" si="19">AH27*(1+AG9)</f>
        <v>14.57007199</v>
      </c>
      <c r="AH27" s="1179">
        <f>'Simple CEA'!$H$10</f>
        <v>18.21258998</v>
      </c>
      <c r="AI27" s="1180">
        <f t="shared" ref="AI27:AI30" si="20">AH27*(1+AI9)</f>
        <v>21.85510798</v>
      </c>
      <c r="AJ27" s="1178">
        <f t="shared" ref="AJ27:AJ30" si="21">AK27*(1+AJ9)</f>
        <v>14.57007199</v>
      </c>
      <c r="AK27" s="1179">
        <f>'Simple CEA'!$H$10</f>
        <v>18.21258998</v>
      </c>
      <c r="AL27" s="1180">
        <f t="shared" ref="AL27:AL30" si="22">AK27*(1+AL9)</f>
        <v>21.85510798</v>
      </c>
      <c r="AM27" s="1178">
        <f t="shared" ref="AM27:AM30" si="23">AN27*(1+AM9)</f>
        <v>14.57007199</v>
      </c>
      <c r="AN27" s="1179">
        <f>'Simple CEA'!$H$10</f>
        <v>18.21258998</v>
      </c>
      <c r="AO27" s="1180">
        <f t="shared" ref="AO27:AO30" si="24">AN27*(1+AO9)</f>
        <v>21.85510798</v>
      </c>
      <c r="AP27" s="1178">
        <f t="shared" ref="AP27:AP30" si="25">AQ27*(1+AP9)</f>
        <v>14.57007199</v>
      </c>
      <c r="AQ27" s="1179">
        <f>'Simple CEA'!$H$10</f>
        <v>18.21258998</v>
      </c>
      <c r="AR27" s="1180">
        <f t="shared" ref="AR27:AR30" si="26">AQ27*(1+AR9)</f>
        <v>21.85510798</v>
      </c>
      <c r="AS27" s="1178">
        <f t="shared" ref="AS27:AS30" si="27">AT27*(1+AS9)</f>
        <v>14.57007199</v>
      </c>
      <c r="AT27" s="1179">
        <f>'Simple CEA'!$H$10</f>
        <v>18.21258998</v>
      </c>
      <c r="AU27" s="1180">
        <f t="shared" ref="AU27:AU30" si="28">AT27*(1+AU9)</f>
        <v>21.85510798</v>
      </c>
      <c r="AV27" s="1178">
        <f t="shared" ref="AV27:AV30" si="29">AW27*(1+AV9)</f>
        <v>14.57007199</v>
      </c>
      <c r="AW27" s="1179">
        <f>'Simple CEA'!$H$10</f>
        <v>18.21258998</v>
      </c>
      <c r="AX27" s="1180">
        <f t="shared" ref="AX27:AX30" si="30">AW27*(1+AX9)</f>
        <v>21.85510798</v>
      </c>
      <c r="AY27" s="1178">
        <f t="shared" ref="AY27:AY30" si="31">AZ27*(1+AY9)</f>
        <v>14.57007199</v>
      </c>
      <c r="AZ27" s="1179">
        <f>'Simple CEA'!$H$10</f>
        <v>18.21258998</v>
      </c>
      <c r="BA27" s="1180">
        <f t="shared" ref="BA27:BA30" si="32">AZ27*(1+BA9)</f>
        <v>21.85510798</v>
      </c>
      <c r="BB27" s="29"/>
    </row>
    <row r="28">
      <c r="A28" s="293"/>
      <c r="B28" s="294"/>
      <c r="C28" s="24"/>
      <c r="D28" s="294"/>
      <c r="E28" s="1134" t="s">
        <v>1052</v>
      </c>
      <c r="F28" s="1181">
        <f t="shared" si="1"/>
        <v>0.692558289</v>
      </c>
      <c r="G28" s="1182">
        <f t="array" ref="G28">IF(F$3="",INDEX('Simple CEA'!$H$7:$AW$39,MATCH($E28,'Simple CEA'!$E$7:$E$39,0),MATCH(F$2,'Simple CEA'!$H$2:$AW$2,0)),INDEX('Simple CEA'!$H$7:$AW$39,MATCH($E28,'Simple CEA'!$E$7:$E$39,0),MATCH(F$3,'Simple CEA'!$H$3:$AW$3,0)))</f>
        <v>0.8147744577</v>
      </c>
      <c r="H28" s="1183">
        <f t="shared" si="2"/>
        <v>0.9369906263</v>
      </c>
      <c r="I28" s="1181">
        <f t="shared" si="3"/>
        <v>0.7920423145</v>
      </c>
      <c r="J28" s="1182">
        <f t="array" ref="J28">IF(I$3="",INDEX('Simple CEA'!$H$7:$AW$39,MATCH($E28,'Simple CEA'!$E$7:$E$39,0),MATCH(I$2,'Simple CEA'!$H$2:$AW$2,0)),INDEX('Simple CEA'!$H$7:$AW$39,MATCH($E28,'Simple CEA'!$E$7:$E$39,0),MATCH(I$3,'Simple CEA'!$H$3:$AW$3,0)))</f>
        <v>0.8800470161</v>
      </c>
      <c r="K28" s="1183">
        <f t="shared" si="4"/>
        <v>0.9680517177</v>
      </c>
      <c r="L28" s="1181">
        <f t="shared" si="5"/>
        <v>0.729119993</v>
      </c>
      <c r="M28" s="1182">
        <f t="array" ref="M28">IF(L$3="",INDEX('Simple CEA'!$H$7:$AW$39,MATCH($E28,'Simple CEA'!$E$7:$E$39,0),MATCH(L$2,'Simple CEA'!$H$2:$AW$2,0)),INDEX('Simple CEA'!$H$7:$AW$39,MATCH($E28,'Simple CEA'!$E$7:$E$39,0),MATCH(L$3,'Simple CEA'!$H$3:$AW$3,0)))</f>
        <v>0.8577882271</v>
      </c>
      <c r="N28" s="1183">
        <f t="shared" si="6"/>
        <v>0.9864564612</v>
      </c>
      <c r="O28" s="1181">
        <f t="shared" si="7"/>
        <v>0.7159752485</v>
      </c>
      <c r="P28" s="1182">
        <f t="array" ref="P28">IF(O$3="",INDEX('Simple CEA'!$H$7:$AW$39,MATCH($E28,'Simple CEA'!$E$7:$E$39,0),MATCH(O$2,'Simple CEA'!$H$2:$AW$2,0)),INDEX('Simple CEA'!$H$7:$AW$39,MATCH($E28,'Simple CEA'!$E$7:$E$39,0),MATCH(O$3,'Simple CEA'!$H$3:$AW$3,0)))</f>
        <v>0.8423238217</v>
      </c>
      <c r="Q28" s="1183">
        <f t="shared" si="8"/>
        <v>0.968672395</v>
      </c>
      <c r="R28" s="1181">
        <f t="shared" si="9"/>
        <v>0.707456005</v>
      </c>
      <c r="S28" s="1182">
        <f t="array" ref="S28">IF(R$3="",INDEX('Simple CEA'!$H$7:$AW$39,MATCH($E28,'Simple CEA'!$E$7:$E$39,0),MATCH(R$2,'Simple CEA'!$H$2:$AW$2,0)),INDEX('Simple CEA'!$H$7:$AW$39,MATCH($E28,'Simple CEA'!$E$7:$E$39,0),MATCH(R$3,'Simple CEA'!$H$3:$AW$3,0)))</f>
        <v>0.8323011824</v>
      </c>
      <c r="T28" s="1183">
        <f t="shared" si="10"/>
        <v>0.9571463598</v>
      </c>
      <c r="U28" s="1181">
        <f t="shared" si="11"/>
        <v>0.6483833026</v>
      </c>
      <c r="V28" s="1182">
        <f t="array" ref="V28">IF(U$3="",INDEX('Simple CEA'!$H$7:$AW$39,MATCH($E28,'Simple CEA'!$E$7:$E$39,0),MATCH(U$2,'Simple CEA'!$H$2:$AW$2,0)),INDEX('Simple CEA'!$H$7:$AW$39,MATCH($E28,'Simple CEA'!$E$7:$E$39,0),MATCH(U$3,'Simple CEA'!$H$3:$AW$3,0)))</f>
        <v>0.8104791282</v>
      </c>
      <c r="W28" s="1183">
        <f t="shared" si="12"/>
        <v>0.9725749539</v>
      </c>
      <c r="X28" s="1181">
        <f t="shared" si="13"/>
        <v>0.5035289776</v>
      </c>
      <c r="Y28" s="1182">
        <f t="array" ref="Y28">IF(X$3="",INDEX('Simple CEA'!$H$7:$AW$39,MATCH($E28,'Simple CEA'!$E$7:$E$39,0),MATCH(X$2,'Simple CEA'!$H$2:$AW$2,0)),INDEX('Simple CEA'!$H$7:$AW$39,MATCH($E28,'Simple CEA'!$E$7:$E$39,0),MATCH(X$3,'Simple CEA'!$H$3:$AW$3,0)))</f>
        <v>0.7193271108</v>
      </c>
      <c r="Z28" s="1183">
        <f t="shared" si="14"/>
        <v>0.935125244</v>
      </c>
      <c r="AA28" s="1181">
        <f t="shared" si="15"/>
        <v>0.4108121793</v>
      </c>
      <c r="AB28" s="1182">
        <f t="array" ref="AB28">IF(AA$3="",INDEX('Simple CEA'!$H$7:$AW$39,MATCH($E28,'Simple CEA'!$E$7:$E$39,0),MATCH(AA$2,'Simple CEA'!$H$2:$AW$2,0)),INDEX('Simple CEA'!$H$7:$AW$39,MATCH($E28,'Simple CEA'!$E$7:$E$39,0),MATCH(AA$3,'Simple CEA'!$H$3:$AW$3,0)))</f>
        <v>0.6846869654</v>
      </c>
      <c r="AC28" s="1183">
        <f t="shared" si="16"/>
        <v>0.9585617516</v>
      </c>
      <c r="AD28" s="1181">
        <f t="shared" si="17"/>
        <v>0.6355057576</v>
      </c>
      <c r="AE28" s="1182">
        <f t="array" ref="AE28">IF(AD$3="",INDEX('Simple CEA'!$H$7:$AW$39,MATCH($E28,'Simple CEA'!$E$7:$E$39,0),MATCH(AD$2,'Simple CEA'!$H$2:$AW$2,0)),INDEX('Simple CEA'!$H$7:$AW$39,MATCH($E28,'Simple CEA'!$E$7:$E$39,0),MATCH(AD$3,'Simple CEA'!$H$3:$AW$3,0)))</f>
        <v>0.7943821971</v>
      </c>
      <c r="AF28" s="1183">
        <f t="shared" si="18"/>
        <v>0.9532586365</v>
      </c>
      <c r="AG28" s="1181">
        <f t="shared" si="19"/>
        <v>0.8998615072</v>
      </c>
      <c r="AH28" s="1182">
        <f t="array" ref="AH28">IF(AG$3="",INDEX('Simple CEA'!$H$7:$AW$39,MATCH($E28,'Simple CEA'!$E$7:$E$39,0),MATCH(AG$2,'Simple CEA'!$H$2:$AW$2,0)),INDEX('Simple CEA'!$H$7:$AW$39,MATCH($E28,'Simple CEA'!$E$7:$E$39,0),MATCH(AG$3,'Simple CEA'!$H$3:$AW$3,0)))</f>
        <v>0.9472226391</v>
      </c>
      <c r="AI28" s="1183">
        <f t="shared" si="20"/>
        <v>0.9945837711</v>
      </c>
      <c r="AJ28" s="1181">
        <f t="shared" si="21"/>
        <v>0.8122349476</v>
      </c>
      <c r="AK28" s="1182">
        <f t="array" ref="AK28">IF(AJ$3="",INDEX('Simple CEA'!$H$7:$AW$39,MATCH($E28,'Simple CEA'!$E$7:$E$39,0),MATCH(AJ$2,'Simple CEA'!$H$2:$AW$2,0)),INDEX('Simple CEA'!$H$7:$AW$39,MATCH($E28,'Simple CEA'!$E$7:$E$39,0),MATCH(AJ$3,'Simple CEA'!$H$3:$AW$3,0)))</f>
        <v>0.9024832751</v>
      </c>
      <c r="AL28" s="1183">
        <f t="shared" si="22"/>
        <v>0.9927316026</v>
      </c>
      <c r="AM28" s="1181">
        <f t="shared" si="23"/>
        <v>0.7565183762</v>
      </c>
      <c r="AN28" s="1182">
        <f t="array" ref="AN28">IF(AM$3="",INDEX('Simple CEA'!$H$7:$AW$39,MATCH($E28,'Simple CEA'!$E$7:$E$39,0),MATCH(AM$2,'Simple CEA'!$H$2:$AW$2,0)),INDEX('Simple CEA'!$H$7:$AW$39,MATCH($E28,'Simple CEA'!$E$7:$E$39,0),MATCH(AM$3,'Simple CEA'!$H$3:$AW$3,0)))</f>
        <v>0.8405759735</v>
      </c>
      <c r="AO28" s="1183">
        <f t="shared" si="24"/>
        <v>0.9246335709</v>
      </c>
      <c r="AP28" s="1181">
        <f t="shared" si="25"/>
        <v>0.7294654957</v>
      </c>
      <c r="AQ28" s="1182">
        <f t="array" ref="AQ28">IF(AP$3="",INDEX('Simple CEA'!$H$7:$AW$39,MATCH($E28,'Simple CEA'!$E$7:$E$39,0),MATCH(AP$2,'Simple CEA'!$H$2:$AW$2,0)),INDEX('Simple CEA'!$H$7:$AW$39,MATCH($E28,'Simple CEA'!$E$7:$E$39,0),MATCH(AP$3,'Simple CEA'!$H$3:$AW$3,0)))</f>
        <v>0.8105172175</v>
      </c>
      <c r="AR28" s="1183">
        <f t="shared" si="26"/>
        <v>0.8915689392</v>
      </c>
      <c r="AS28" s="1181">
        <f t="shared" si="27"/>
        <v>0.8018732483</v>
      </c>
      <c r="AT28" s="1182">
        <f t="array" ref="AT28">IF(AS$3="",INDEX('Simple CEA'!$H$7:$AW$39,MATCH($E28,'Simple CEA'!$E$7:$E$39,0),MATCH(AS$2,'Simple CEA'!$H$2:$AW$2,0)),INDEX('Simple CEA'!$H$7:$AW$39,MATCH($E28,'Simple CEA'!$E$7:$E$39,0),MATCH(AS$3,'Simple CEA'!$H$3:$AW$3,0)))</f>
        <v>0.8909702759</v>
      </c>
      <c r="AU28" s="1183">
        <f t="shared" si="28"/>
        <v>0.9800673035</v>
      </c>
      <c r="AV28" s="1181">
        <f t="shared" si="29"/>
        <v>0.8109773084</v>
      </c>
      <c r="AW28" s="1182">
        <f t="array" ref="AW28">IF(AV$3="",INDEX('Simple CEA'!$H$7:$AW$39,MATCH($E28,'Simple CEA'!$E$7:$E$39,0),MATCH(AV$2,'Simple CEA'!$H$2:$AW$2,0)),INDEX('Simple CEA'!$H$7:$AW$39,MATCH($E28,'Simple CEA'!$E$7:$E$39,0),MATCH(AV$3,'Simple CEA'!$H$3:$AW$3,0)))</f>
        <v>0.9010858983</v>
      </c>
      <c r="AX28" s="1183">
        <f t="shared" si="30"/>
        <v>0.9911944881</v>
      </c>
      <c r="AY28" s="1181">
        <f t="shared" si="31"/>
        <v>0.7207371277</v>
      </c>
      <c r="AZ28" s="1182">
        <f t="array" ref="AZ28">IF(AY$3="",INDEX('Simple CEA'!$H$7:$AW$39,MATCH($E28,'Simple CEA'!$E$7:$E$39,0),MATCH(AY$2,'Simple CEA'!$H$2:$AW$2,0)),INDEX('Simple CEA'!$H$7:$AW$39,MATCH($E28,'Simple CEA'!$E$7:$E$39,0),MATCH(AY$3,'Simple CEA'!$H$3:$AW$3,0)))</f>
        <v>0.8479260325</v>
      </c>
      <c r="BA28" s="1183">
        <f t="shared" si="32"/>
        <v>0.9751149374</v>
      </c>
      <c r="BB28" s="306"/>
    </row>
    <row r="29">
      <c r="A29" s="293"/>
      <c r="B29" s="294"/>
      <c r="C29" s="24"/>
      <c r="D29" s="294"/>
      <c r="E29" s="1134" t="s">
        <v>1054</v>
      </c>
      <c r="F29" s="1184">
        <f t="shared" si="1"/>
        <v>0.03674776638</v>
      </c>
      <c r="G29" s="1185">
        <f t="array" ref="G29">IF(F$3="",INDEX('Simple CEA'!$H$7:$AW$39,MATCH($E29,'Simple CEA'!$E$7:$E$39,0),MATCH(F$2,'Simple CEA'!$H$2:$AW$2,0)),INDEX('Simple CEA'!$H$7:$AW$39,MATCH($E29,'Simple CEA'!$E$7:$E$39,0),MATCH(F$3,'Simple CEA'!$H$3:$AW$3,0)))</f>
        <v>0.0565350252</v>
      </c>
      <c r="H29" s="1186">
        <f t="shared" si="2"/>
        <v>0.07632228402</v>
      </c>
      <c r="I29" s="1184">
        <f t="shared" si="3"/>
        <v>0.02729496367</v>
      </c>
      <c r="J29" s="1185">
        <f t="array" ref="J29">IF(I$3="",INDEX('Simple CEA'!$H$7:$AW$39,MATCH($E29,'Simple CEA'!$E$7:$E$39,0),MATCH(I$2,'Simple CEA'!$H$2:$AW$2,0)),INDEX('Simple CEA'!$H$7:$AW$39,MATCH($E29,'Simple CEA'!$E$7:$E$39,0),MATCH(I$3,'Simple CEA'!$H$3:$AW$3,0)))</f>
        <v>0.0419922518</v>
      </c>
      <c r="K29" s="1186">
        <f t="shared" si="4"/>
        <v>0.05668953993</v>
      </c>
      <c r="L29" s="1184">
        <f t="shared" si="5"/>
        <v>0.04111092574</v>
      </c>
      <c r="M29" s="1185">
        <f t="array" ref="M29">IF(L$3="",INDEX('Simple CEA'!$H$7:$AW$39,MATCH($E29,'Simple CEA'!$E$7:$E$39,0),MATCH(L$2,'Simple CEA'!$H$2:$AW$2,0)),INDEX('Simple CEA'!$H$7:$AW$39,MATCH($E29,'Simple CEA'!$E$7:$E$39,0),MATCH(L$3,'Simple CEA'!$H$3:$AW$3,0)))</f>
        <v>0.06324757807</v>
      </c>
      <c r="N29" s="1186">
        <f t="shared" si="6"/>
        <v>0.08538423039</v>
      </c>
      <c r="O29" s="1184">
        <f t="shared" si="7"/>
        <v>0.01848611297</v>
      </c>
      <c r="P29" s="1185">
        <f t="array" ref="P29">IF(O$3="",INDEX('Simple CEA'!$H$7:$AW$39,MATCH($E29,'Simple CEA'!$E$7:$E$39,0),MATCH(O$2,'Simple CEA'!$H$2:$AW$2,0)),INDEX('Simple CEA'!$H$7:$AW$39,MATCH($E29,'Simple CEA'!$E$7:$E$39,0),MATCH(O$3,'Simple CEA'!$H$3:$AW$3,0)))</f>
        <v>0.02844017379</v>
      </c>
      <c r="Q29" s="1186">
        <f t="shared" si="8"/>
        <v>0.03839423462</v>
      </c>
      <c r="R29" s="1184">
        <f t="shared" si="9"/>
        <v>0.02601600689</v>
      </c>
      <c r="S29" s="1185">
        <f t="array" ref="S29">IF(R$3="",INDEX('Simple CEA'!$H$7:$AW$39,MATCH($E29,'Simple CEA'!$E$7:$E$39,0),MATCH(R$2,'Simple CEA'!$H$2:$AW$2,0)),INDEX('Simple CEA'!$H$7:$AW$39,MATCH($E29,'Simple CEA'!$E$7:$E$39,0),MATCH(R$3,'Simple CEA'!$H$3:$AW$3,0)))</f>
        <v>0.04002462599</v>
      </c>
      <c r="T29" s="1186">
        <f t="shared" si="10"/>
        <v>0.05403324508</v>
      </c>
      <c r="U29" s="1184">
        <f t="shared" si="11"/>
        <v>0.02854303973</v>
      </c>
      <c r="V29" s="1185">
        <f t="array" ref="V29">IF(U$3="",INDEX('Simple CEA'!$H$7:$AW$39,MATCH($E29,'Simple CEA'!$E$7:$E$39,0),MATCH(U$2,'Simple CEA'!$H$2:$AW$2,0)),INDEX('Simple CEA'!$H$7:$AW$39,MATCH($E29,'Simple CEA'!$E$7:$E$39,0),MATCH(U$3,'Simple CEA'!$H$3:$AW$3,0)))</f>
        <v>0.04391236882</v>
      </c>
      <c r="W29" s="1186">
        <f t="shared" si="12"/>
        <v>0.0592816979</v>
      </c>
      <c r="X29" s="1184">
        <f t="shared" si="13"/>
        <v>0.03328681591</v>
      </c>
      <c r="Y29" s="1185">
        <f t="array" ref="Y29">IF(X$3="",INDEX('Simple CEA'!$H$7:$AW$39,MATCH($E29,'Simple CEA'!$E$7:$E$39,0),MATCH(X$2,'Simple CEA'!$H$2:$AW$2,0)),INDEX('Simple CEA'!$H$7:$AW$39,MATCH($E29,'Simple CEA'!$E$7:$E$39,0),MATCH(X$3,'Simple CEA'!$H$3:$AW$3,0)))</f>
        <v>0.05121048602</v>
      </c>
      <c r="Z29" s="1186">
        <f t="shared" si="14"/>
        <v>0.06913415613</v>
      </c>
      <c r="AA29" s="1184">
        <f t="shared" si="15"/>
        <v>0.04134497694</v>
      </c>
      <c r="AB29" s="1185">
        <f t="array" ref="AB29">IF(AA$3="",INDEX('Simple CEA'!$H$7:$AW$39,MATCH($E29,'Simple CEA'!$E$7:$E$39,0),MATCH(AA$2,'Simple CEA'!$H$2:$AW$2,0)),INDEX('Simple CEA'!$H$7:$AW$39,MATCH($E29,'Simple CEA'!$E$7:$E$39,0),MATCH(AA$3,'Simple CEA'!$H$3:$AW$3,0)))</f>
        <v>0.06360765684</v>
      </c>
      <c r="AC29" s="1186">
        <f t="shared" si="16"/>
        <v>0.08587033673</v>
      </c>
      <c r="AD29" s="1184">
        <f t="shared" si="17"/>
        <v>0.05055237122</v>
      </c>
      <c r="AE29" s="1185">
        <f t="array" ref="AE29">IF(AD$3="",INDEX('Simple CEA'!$H$7:$AW$39,MATCH($E29,'Simple CEA'!$E$7:$E$39,0),MATCH(AD$2,'Simple CEA'!$H$2:$AW$2,0)),INDEX('Simple CEA'!$H$7:$AW$39,MATCH($E29,'Simple CEA'!$E$7:$E$39,0),MATCH(AD$3,'Simple CEA'!$H$3:$AW$3,0)))</f>
        <v>0.0777728788</v>
      </c>
      <c r="AF29" s="1186">
        <f t="shared" si="18"/>
        <v>0.1049933864</v>
      </c>
      <c r="AG29" s="1184">
        <f t="shared" si="19"/>
        <v>0.02478051421</v>
      </c>
      <c r="AH29" s="1185">
        <f t="array" ref="AH29">IF(AG$3="",INDEX('Simple CEA'!$H$7:$AW$39,MATCH($E29,'Simple CEA'!$E$7:$E$39,0),MATCH(AG$2,'Simple CEA'!$H$2:$AW$2,0)),INDEX('Simple CEA'!$H$7:$AW$39,MATCH($E29,'Simple CEA'!$E$7:$E$39,0),MATCH(AG$3,'Simple CEA'!$H$3:$AW$3,0)))</f>
        <v>0.03812386802</v>
      </c>
      <c r="AI29" s="1186">
        <f t="shared" si="20"/>
        <v>0.05146722182</v>
      </c>
      <c r="AJ29" s="1184">
        <f t="shared" si="21"/>
        <v>0.01848611297</v>
      </c>
      <c r="AK29" s="1185">
        <f t="array" ref="AK29">IF(AJ$3="",INDEX('Simple CEA'!$H$7:$AW$39,MATCH($E29,'Simple CEA'!$E$7:$E$39,0),MATCH(AJ$2,'Simple CEA'!$H$2:$AW$2,0)),INDEX('Simple CEA'!$H$7:$AW$39,MATCH($E29,'Simple CEA'!$E$7:$E$39,0),MATCH(AJ$3,'Simple CEA'!$H$3:$AW$3,0)))</f>
        <v>0.02844017379</v>
      </c>
      <c r="AL29" s="1186">
        <f t="shared" si="22"/>
        <v>0.03839423462</v>
      </c>
      <c r="AM29" s="1184">
        <f t="shared" si="23"/>
        <v>0.01624327668</v>
      </c>
      <c r="AN29" s="1185">
        <f t="array" ref="AN29">IF(AM$3="",INDEX('Simple CEA'!$H$7:$AW$39,MATCH($E29,'Simple CEA'!$E$7:$E$39,0),MATCH(AM$2,'Simple CEA'!$H$2:$AW$2,0)),INDEX('Simple CEA'!$H$7:$AW$39,MATCH($E29,'Simple CEA'!$E$7:$E$39,0),MATCH(AM$3,'Simple CEA'!$H$3:$AW$3,0)))</f>
        <v>0.02498965644</v>
      </c>
      <c r="AO29" s="1186">
        <f t="shared" si="24"/>
        <v>0.03373603619</v>
      </c>
      <c r="AP29" s="1184">
        <f t="shared" si="25"/>
        <v>0.01624327668</v>
      </c>
      <c r="AQ29" s="1185">
        <f t="array" ref="AQ29">IF(AP$3="",INDEX('Simple CEA'!$H$7:$AW$39,MATCH($E29,'Simple CEA'!$E$7:$E$39,0),MATCH(AP$2,'Simple CEA'!$H$2:$AW$2,0)),INDEX('Simple CEA'!$H$7:$AW$39,MATCH($E29,'Simple CEA'!$E$7:$E$39,0),MATCH(AP$3,'Simple CEA'!$H$3:$AW$3,0)))</f>
        <v>0.02498965644</v>
      </c>
      <c r="AR29" s="1186">
        <f t="shared" si="26"/>
        <v>0.03373603619</v>
      </c>
      <c r="AS29" s="1184">
        <f t="shared" si="27"/>
        <v>0.01624327668</v>
      </c>
      <c r="AT29" s="1185">
        <f t="array" ref="AT29">IF(AS$3="",INDEX('Simple CEA'!$H$7:$AW$39,MATCH($E29,'Simple CEA'!$E$7:$E$39,0),MATCH(AS$2,'Simple CEA'!$H$2:$AW$2,0)),INDEX('Simple CEA'!$H$7:$AW$39,MATCH($E29,'Simple CEA'!$E$7:$E$39,0),MATCH(AS$3,'Simple CEA'!$H$3:$AW$3,0)))</f>
        <v>0.02498965644</v>
      </c>
      <c r="AU29" s="1186">
        <f t="shared" si="28"/>
        <v>0.03373603619</v>
      </c>
      <c r="AV29" s="1184">
        <f t="shared" si="29"/>
        <v>0.02666786588</v>
      </c>
      <c r="AW29" s="1185">
        <f t="array" ref="AW29">IF(AV$3="",INDEX('Simple CEA'!$H$7:$AW$39,MATCH($E29,'Simple CEA'!$E$7:$E$39,0),MATCH(AV$2,'Simple CEA'!$H$2:$AW$2,0)),INDEX('Simple CEA'!$H$7:$AW$39,MATCH($E29,'Simple CEA'!$E$7:$E$39,0),MATCH(AV$3,'Simple CEA'!$H$3:$AW$3,0)))</f>
        <v>0.04102748597</v>
      </c>
      <c r="AX29" s="1186">
        <f t="shared" si="30"/>
        <v>0.05538710605</v>
      </c>
      <c r="AY29" s="1184">
        <f t="shared" si="31"/>
        <v>0.02432191935</v>
      </c>
      <c r="AZ29" s="1185">
        <f t="array" ref="AZ29">IF(AY$3="",INDEX('Simple CEA'!$H$7:$AW$39,MATCH($E29,'Simple CEA'!$E$7:$E$39,0),MATCH(AY$2,'Simple CEA'!$H$2:$AW$2,0)),INDEX('Simple CEA'!$H$7:$AW$39,MATCH($E29,'Simple CEA'!$E$7:$E$39,0),MATCH(AY$3,'Simple CEA'!$H$3:$AW$3,0)))</f>
        <v>0.03741833747</v>
      </c>
      <c r="BA29" s="1186">
        <f t="shared" si="32"/>
        <v>0.05051475558</v>
      </c>
      <c r="BB29" s="306"/>
    </row>
    <row r="30">
      <c r="A30" s="293"/>
      <c r="B30" s="294"/>
      <c r="C30" s="24"/>
      <c r="D30" s="294"/>
      <c r="E30" s="1150" t="s">
        <v>1055</v>
      </c>
      <c r="F30" s="1187">
        <f t="shared" si="1"/>
        <v>0.4180448395</v>
      </c>
      <c r="G30" s="1188">
        <f t="array" ref="G30">IF(F$3="",INDEX('Simple CEA'!$H$7:$AW$39,MATCH($E30,'Simple CEA'!$E$7:$E$39,0),MATCH(F$2,'Simple CEA'!$H$2:$AW$2,0)),INDEX('Simple CEA'!$H$7:$AW$39,MATCH($E30,'Simple CEA'!$E$7:$E$39,0),MATCH(F$3,'Simple CEA'!$H$3:$AW$3,0)))</f>
        <v>0.5225560494</v>
      </c>
      <c r="H30" s="1189">
        <f t="shared" si="2"/>
        <v>0.6270672593</v>
      </c>
      <c r="I30" s="1187">
        <f t="shared" si="3"/>
        <v>0.4219071499</v>
      </c>
      <c r="J30" s="1188">
        <f t="array" ref="J30">IF(I$3="",INDEX('Simple CEA'!$H$7:$AW$39,MATCH($E30,'Simple CEA'!$E$7:$E$39,0),MATCH(I$2,'Simple CEA'!$H$2:$AW$2,0)),INDEX('Simple CEA'!$H$7:$AW$39,MATCH($E30,'Simple CEA'!$E$7:$E$39,0),MATCH(I$3,'Simple CEA'!$H$3:$AW$3,0)))</f>
        <v>0.5273839374</v>
      </c>
      <c r="K30" s="1189">
        <f t="shared" si="4"/>
        <v>0.6328607249</v>
      </c>
      <c r="L30" s="1187">
        <f t="shared" si="5"/>
        <v>0.4406740009</v>
      </c>
      <c r="M30" s="1188">
        <f t="array" ref="M30">IF(L$3="",INDEX('Simple CEA'!$H$7:$AW$39,MATCH($E30,'Simple CEA'!$E$7:$E$39,0),MATCH(L$2,'Simple CEA'!$H$2:$AW$2,0)),INDEX('Simple CEA'!$H$7:$AW$39,MATCH($E30,'Simple CEA'!$E$7:$E$39,0),MATCH(L$3,'Simple CEA'!$H$3:$AW$3,0)))</f>
        <v>0.5508425012</v>
      </c>
      <c r="N30" s="1189">
        <f t="shared" si="6"/>
        <v>0.6610110014</v>
      </c>
      <c r="O30" s="1187">
        <f t="shared" si="7"/>
        <v>0.4349696419</v>
      </c>
      <c r="P30" s="1188">
        <f t="array" ref="P30">IF(O$3="",INDEX('Simple CEA'!$H$7:$AW$39,MATCH($E30,'Simple CEA'!$E$7:$E$39,0),MATCH(O$2,'Simple CEA'!$H$2:$AW$2,0)),INDEX('Simple CEA'!$H$7:$AW$39,MATCH($E30,'Simple CEA'!$E$7:$E$39,0),MATCH(O$3,'Simple CEA'!$H$3:$AW$3,0)))</f>
        <v>0.5437120524</v>
      </c>
      <c r="Q30" s="1189">
        <f t="shared" si="8"/>
        <v>0.6524544628</v>
      </c>
      <c r="R30" s="1187">
        <f t="shared" si="9"/>
        <v>0.4127624751</v>
      </c>
      <c r="S30" s="1188">
        <f t="array" ref="S30">IF(R$3="",INDEX('Simple CEA'!$H$7:$AW$39,MATCH($E30,'Simple CEA'!$E$7:$E$39,0),MATCH(R$2,'Simple CEA'!$H$2:$AW$2,0)),INDEX('Simple CEA'!$H$7:$AW$39,MATCH($E30,'Simple CEA'!$E$7:$E$39,0),MATCH(R$3,'Simple CEA'!$H$3:$AW$3,0)))</f>
        <v>0.5159530939</v>
      </c>
      <c r="T30" s="1189">
        <f t="shared" si="10"/>
        <v>0.6191437127</v>
      </c>
      <c r="U30" s="1187">
        <f t="shared" si="11"/>
        <v>0.436657667</v>
      </c>
      <c r="V30" s="1188">
        <f t="array" ref="V30">IF(U$3="",INDEX('Simple CEA'!$H$7:$AW$39,MATCH($E30,'Simple CEA'!$E$7:$E$39,0),MATCH(U$2,'Simple CEA'!$H$2:$AW$2,0)),INDEX('Simple CEA'!$H$7:$AW$39,MATCH($E30,'Simple CEA'!$E$7:$E$39,0),MATCH(U$3,'Simple CEA'!$H$3:$AW$3,0)))</f>
        <v>0.5458220838</v>
      </c>
      <c r="W30" s="1189">
        <f t="shared" si="12"/>
        <v>0.6549865005</v>
      </c>
      <c r="X30" s="1187">
        <f t="shared" si="13"/>
        <v>0.4465951619</v>
      </c>
      <c r="Y30" s="1188">
        <f t="array" ref="Y30">IF(X$3="",INDEX('Simple CEA'!$H$7:$AW$39,MATCH($E30,'Simple CEA'!$E$7:$E$39,0),MATCH(X$2,'Simple CEA'!$H$2:$AW$2,0)),INDEX('Simple CEA'!$H$7:$AW$39,MATCH($E30,'Simple CEA'!$E$7:$E$39,0),MATCH(X$3,'Simple CEA'!$H$3:$AW$3,0)))</f>
        <v>0.5582439524</v>
      </c>
      <c r="Z30" s="1189">
        <f t="shared" si="14"/>
        <v>0.6698927429</v>
      </c>
      <c r="AA30" s="1187">
        <f t="shared" si="15"/>
        <v>0.4240096179</v>
      </c>
      <c r="AB30" s="1188">
        <f t="array" ref="AB30">IF(AA$3="",INDEX('Simple CEA'!$H$7:$AW$39,MATCH($E30,'Simple CEA'!$E$7:$E$39,0),MATCH(AA$2,'Simple CEA'!$H$2:$AW$2,0)),INDEX('Simple CEA'!$H$7:$AW$39,MATCH($E30,'Simple CEA'!$E$7:$E$39,0),MATCH(AA$3,'Simple CEA'!$H$3:$AW$3,0)))</f>
        <v>0.5300120224</v>
      </c>
      <c r="AC30" s="1189">
        <f t="shared" si="16"/>
        <v>0.6360144269</v>
      </c>
      <c r="AD30" s="1187">
        <f t="shared" si="17"/>
        <v>0.4356937212</v>
      </c>
      <c r="AE30" s="1188">
        <f t="array" ref="AE30">IF(AD$3="",INDEX('Simple CEA'!$H$7:$AW$39,MATCH($E30,'Simple CEA'!$E$7:$E$39,0),MATCH(AD$2,'Simple CEA'!$H$2:$AW$2,0)),INDEX('Simple CEA'!$H$7:$AW$39,MATCH($E30,'Simple CEA'!$E$7:$E$39,0),MATCH(AD$3,'Simple CEA'!$H$3:$AW$3,0)))</f>
        <v>0.5446171515</v>
      </c>
      <c r="AF30" s="1189">
        <f t="shared" si="18"/>
        <v>0.6535405818</v>
      </c>
      <c r="AG30" s="1187">
        <f t="shared" si="19"/>
        <v>0.4116105761</v>
      </c>
      <c r="AH30" s="1188">
        <f t="array" ref="AH30">IF(AG$3="",INDEX('Simple CEA'!$H$7:$AW$39,MATCH($E30,'Simple CEA'!$E$7:$E$39,0),MATCH(AG$2,'Simple CEA'!$H$2:$AW$2,0)),INDEX('Simple CEA'!$H$7:$AW$39,MATCH($E30,'Simple CEA'!$E$7:$E$39,0),MATCH(AG$3,'Simple CEA'!$H$3:$AW$3,0)))</f>
        <v>0.5145132201</v>
      </c>
      <c r="AI30" s="1189">
        <f t="shared" si="20"/>
        <v>0.6174158641</v>
      </c>
      <c r="AJ30" s="1187">
        <f t="shared" si="21"/>
        <v>0.4349696419</v>
      </c>
      <c r="AK30" s="1188">
        <f t="array" ref="AK30">IF(AJ$3="",INDEX('Simple CEA'!$H$7:$AW$39,MATCH($E30,'Simple CEA'!$E$7:$E$39,0),MATCH(AJ$2,'Simple CEA'!$H$2:$AW$2,0)),INDEX('Simple CEA'!$H$7:$AW$39,MATCH($E30,'Simple CEA'!$E$7:$E$39,0),MATCH(AJ$3,'Simple CEA'!$H$3:$AW$3,0)))</f>
        <v>0.5437120524</v>
      </c>
      <c r="AL30" s="1189">
        <f t="shared" si="22"/>
        <v>0.6524544628</v>
      </c>
      <c r="AM30" s="1187">
        <f t="shared" si="23"/>
        <v>0.4242347904</v>
      </c>
      <c r="AN30" s="1188">
        <f t="array" ref="AN30">IF(AM$3="",INDEX('Simple CEA'!$H$7:$AW$39,MATCH($E30,'Simple CEA'!$E$7:$E$39,0),MATCH(AM$2,'Simple CEA'!$H$2:$AW$2,0)),INDEX('Simple CEA'!$H$7:$AW$39,MATCH($E30,'Simple CEA'!$E$7:$E$39,0),MATCH(AM$3,'Simple CEA'!$H$3:$AW$3,0)))</f>
        <v>0.530293488</v>
      </c>
      <c r="AO30" s="1189">
        <f t="shared" si="24"/>
        <v>0.6363521856</v>
      </c>
      <c r="AP30" s="1187">
        <f t="shared" si="25"/>
        <v>0.4242347904</v>
      </c>
      <c r="AQ30" s="1188">
        <f t="array" ref="AQ30">IF(AP$3="",INDEX('Simple CEA'!$H$7:$AW$39,MATCH($E30,'Simple CEA'!$E$7:$E$39,0),MATCH(AP$2,'Simple CEA'!$H$2:$AW$2,0)),INDEX('Simple CEA'!$H$7:$AW$39,MATCH($E30,'Simple CEA'!$E$7:$E$39,0),MATCH(AP$3,'Simple CEA'!$H$3:$AW$3,0)))</f>
        <v>0.530293488</v>
      </c>
      <c r="AR30" s="1189">
        <f t="shared" si="26"/>
        <v>0.6363521856</v>
      </c>
      <c r="AS30" s="1187">
        <f t="shared" si="27"/>
        <v>0.4242347904</v>
      </c>
      <c r="AT30" s="1188">
        <f t="array" ref="AT30">IF(AS$3="",INDEX('Simple CEA'!$H$7:$AW$39,MATCH($E30,'Simple CEA'!$E$7:$E$39,0),MATCH(AS$2,'Simple CEA'!$H$2:$AW$2,0)),INDEX('Simple CEA'!$H$7:$AW$39,MATCH($E30,'Simple CEA'!$E$7:$E$39,0),MATCH(AS$3,'Simple CEA'!$H$3:$AW$3,0)))</f>
        <v>0.530293488</v>
      </c>
      <c r="AU30" s="1189">
        <f t="shared" si="28"/>
        <v>0.6363521856</v>
      </c>
      <c r="AV30" s="1187">
        <f t="shared" si="29"/>
        <v>0.4130661535</v>
      </c>
      <c r="AW30" s="1188">
        <f t="array" ref="AW30">IF(AV$3="",INDEX('Simple CEA'!$H$7:$AW$39,MATCH($E30,'Simple CEA'!$E$7:$E$39,0),MATCH(AV$2,'Simple CEA'!$H$2:$AW$2,0)),INDEX('Simple CEA'!$H$7:$AW$39,MATCH($E30,'Simple CEA'!$E$7:$E$39,0),MATCH(AV$3,'Simple CEA'!$H$3:$AW$3,0)))</f>
        <v>0.5163326919</v>
      </c>
      <c r="AX30" s="1189">
        <f t="shared" si="30"/>
        <v>0.6195992303</v>
      </c>
      <c r="AY30" s="1187">
        <f t="shared" si="31"/>
        <v>0.4577481956</v>
      </c>
      <c r="AZ30" s="1188">
        <f t="array" ref="AZ30">IF(AY$3="",INDEX('Simple CEA'!$H$7:$AW$39,MATCH($E30,'Simple CEA'!$E$7:$E$39,0),MATCH(AY$2,'Simple CEA'!$H$2:$AW$2,0)),INDEX('Simple CEA'!$H$7:$AW$39,MATCH($E30,'Simple CEA'!$E$7:$E$39,0),MATCH(AY$3,'Simple CEA'!$H$3:$AW$3,0)))</f>
        <v>0.5721852444</v>
      </c>
      <c r="BA30" s="1189">
        <f t="shared" si="32"/>
        <v>0.6866222933</v>
      </c>
      <c r="BB30" s="34"/>
    </row>
    <row r="31">
      <c r="A31" s="293"/>
      <c r="B31" s="294"/>
      <c r="C31" s="24"/>
      <c r="D31" s="294"/>
      <c r="E31" s="1154"/>
      <c r="F31" s="294"/>
      <c r="G31" s="294"/>
      <c r="H31" s="349"/>
      <c r="I31" s="294"/>
      <c r="J31" s="294"/>
      <c r="K31" s="349"/>
      <c r="L31" s="294"/>
      <c r="M31" s="294"/>
      <c r="N31" s="349"/>
      <c r="O31" s="294"/>
      <c r="P31" s="294"/>
      <c r="Q31" s="349"/>
      <c r="R31" s="294"/>
      <c r="S31" s="294"/>
      <c r="T31" s="349"/>
      <c r="U31" s="294"/>
      <c r="V31" s="294"/>
      <c r="W31" s="349"/>
      <c r="X31" s="294"/>
      <c r="Y31" s="294"/>
      <c r="Z31" s="349"/>
      <c r="AA31" s="294"/>
      <c r="AB31" s="294"/>
      <c r="AC31" s="349"/>
      <c r="AD31" s="294"/>
      <c r="AE31" s="294"/>
      <c r="AF31" s="349"/>
      <c r="AG31" s="294"/>
      <c r="AH31" s="294"/>
      <c r="AI31" s="349"/>
      <c r="AJ31" s="294"/>
      <c r="AK31" s="294"/>
      <c r="AL31" s="349"/>
      <c r="AM31" s="294"/>
      <c r="AN31" s="294"/>
      <c r="AO31" s="349"/>
      <c r="AP31" s="294"/>
      <c r="AQ31" s="294"/>
      <c r="AR31" s="349"/>
      <c r="AS31" s="294"/>
      <c r="AT31" s="294"/>
      <c r="AU31" s="349"/>
      <c r="AV31" s="294"/>
      <c r="AW31" s="294"/>
      <c r="AX31" s="349"/>
      <c r="AY31" s="294"/>
      <c r="AZ31" s="294"/>
      <c r="BA31" s="349"/>
      <c r="BB31" s="349"/>
    </row>
    <row r="32">
      <c r="A32" s="293"/>
      <c r="B32" s="294"/>
      <c r="C32" s="1127" t="s">
        <v>1061</v>
      </c>
      <c r="E32" s="1116"/>
      <c r="F32" s="294"/>
      <c r="G32" s="294"/>
      <c r="H32" s="349"/>
      <c r="I32" s="294"/>
      <c r="J32" s="294"/>
      <c r="K32" s="349"/>
      <c r="L32" s="294"/>
      <c r="M32" s="294"/>
      <c r="N32" s="349"/>
      <c r="O32" s="294"/>
      <c r="P32" s="294"/>
      <c r="Q32" s="349"/>
      <c r="R32" s="294"/>
      <c r="S32" s="294"/>
      <c r="T32" s="349"/>
      <c r="U32" s="294"/>
      <c r="V32" s="294"/>
      <c r="W32" s="349"/>
      <c r="X32" s="294"/>
      <c r="Y32" s="294"/>
      <c r="Z32" s="349"/>
      <c r="AA32" s="294"/>
      <c r="AB32" s="294"/>
      <c r="AC32" s="349"/>
      <c r="AD32" s="294"/>
      <c r="AE32" s="294"/>
      <c r="AF32" s="349"/>
      <c r="AG32" s="294"/>
      <c r="AH32" s="294"/>
      <c r="AI32" s="349"/>
      <c r="AJ32" s="294"/>
      <c r="AK32" s="294"/>
      <c r="AL32" s="349"/>
      <c r="AM32" s="294"/>
      <c r="AN32" s="294"/>
      <c r="AO32" s="349"/>
      <c r="AP32" s="294"/>
      <c r="AQ32" s="294"/>
      <c r="AR32" s="349"/>
      <c r="AS32" s="294"/>
      <c r="AT32" s="294"/>
      <c r="AU32" s="349"/>
      <c r="AV32" s="294"/>
      <c r="AW32" s="294"/>
      <c r="AX32" s="349"/>
      <c r="AY32" s="294"/>
      <c r="AZ32" s="294"/>
      <c r="BA32" s="349"/>
      <c r="BB32" s="349"/>
    </row>
    <row r="33">
      <c r="A33" s="293"/>
      <c r="B33" s="294"/>
      <c r="C33" s="24"/>
      <c r="D33" s="294"/>
      <c r="E33" s="1130" t="s">
        <v>1062</v>
      </c>
      <c r="F33" s="1190">
        <f t="shared" ref="F33:F35" si="33">G33*(1+F15)</f>
        <v>0.07312254183</v>
      </c>
      <c r="G33" s="1191">
        <f t="array" ref="G33">IF(F$3="",INDEX('Simple CEA'!$H$7:$AW$39,MATCH($E33,'Simple CEA'!$E$7:$E$39,0),MATCH(F$2,'Simple CEA'!$H$2:$AW$2,0)),INDEX('Simple CEA'!$H$7:$AW$39,MATCH($E33,'Simple CEA'!$E$7:$E$39,0),MATCH(F$3,'Simple CEA'!$H$3:$AW$3,0)))</f>
        <v>0.1828063546</v>
      </c>
      <c r="H33" s="1192">
        <f t="shared" ref="H33:H35" si="34">G33*(1+H15)</f>
        <v>0.2924901673</v>
      </c>
      <c r="I33" s="1190">
        <f t="shared" ref="I33:I35" si="35">J33*(1+I15)</f>
        <v>0.06732902998</v>
      </c>
      <c r="J33" s="1191">
        <f t="array" ref="J33">IF(I$3="",INDEX('Simple CEA'!$H$7:$AW$39,MATCH($E33,'Simple CEA'!$E$7:$E$39,0),MATCH(I$2,'Simple CEA'!$H$2:$AW$2,0)),INDEX('Simple CEA'!$H$7:$AW$39,MATCH($E33,'Simple CEA'!$E$7:$E$39,0),MATCH(I$3,'Simple CEA'!$H$3:$AW$3,0)))</f>
        <v>0.1683225749</v>
      </c>
      <c r="K33" s="1192">
        <f t="shared" ref="K33:K35" si="36">J33*(1+K15)</f>
        <v>0.2693161199</v>
      </c>
      <c r="L33" s="1190">
        <f t="shared" ref="L33:L35" si="37">M33*(1+L15)</f>
        <v>0.066644687</v>
      </c>
      <c r="M33" s="1191">
        <f t="array" ref="M33">IF(L$3="",INDEX('Simple CEA'!$H$7:$AW$39,MATCH($E33,'Simple CEA'!$E$7:$E$39,0),MATCH(L$2,'Simple CEA'!$H$2:$AW$2,0)),INDEX('Simple CEA'!$H$7:$AW$39,MATCH($E33,'Simple CEA'!$E$7:$E$39,0),MATCH(L$3,'Simple CEA'!$H$3:$AW$3,0)))</f>
        <v>0.1666117175</v>
      </c>
      <c r="N33" s="1192">
        <f t="shared" ref="N33:N35" si="38">M33*(1+N15)</f>
        <v>0.266578748</v>
      </c>
      <c r="O33" s="1190">
        <f t="shared" ref="O33:O35" si="39">P33*(1+O15)</f>
        <v>0.06591725601</v>
      </c>
      <c r="P33" s="1191">
        <f t="array" ref="P33">IF(O$3="",INDEX('Simple CEA'!$H$7:$AW$39,MATCH($E33,'Simple CEA'!$E$7:$E$39,0),MATCH(O$2,'Simple CEA'!$H$2:$AW$2,0)),INDEX('Simple CEA'!$H$7:$AW$39,MATCH($E33,'Simple CEA'!$E$7:$E$39,0),MATCH(O$3,'Simple CEA'!$H$3:$AW$3,0)))</f>
        <v>0.16479314</v>
      </c>
      <c r="Q33" s="1192">
        <f t="shared" ref="Q33:Q35" si="40">P33*(1+Q15)</f>
        <v>0.2636690241</v>
      </c>
      <c r="R33" s="1190">
        <f t="shared" ref="R33:R35" si="41">S33*(1+R15)</f>
        <v>0.06435204177</v>
      </c>
      <c r="S33" s="1191">
        <f t="array" ref="S33">IF(R$3="",INDEX('Simple CEA'!$H$7:$AW$39,MATCH($E33,'Simple CEA'!$E$7:$E$39,0),MATCH(R$2,'Simple CEA'!$H$2:$AW$2,0)),INDEX('Simple CEA'!$H$7:$AW$39,MATCH($E33,'Simple CEA'!$E$7:$E$39,0),MATCH(R$3,'Simple CEA'!$H$3:$AW$3,0)))</f>
        <v>0.1608801044</v>
      </c>
      <c r="T33" s="1192">
        <f t="shared" ref="T33:T35" si="42">S33*(1+T15)</f>
        <v>0.2574081671</v>
      </c>
      <c r="U33" s="1190">
        <f t="shared" ref="U33:U35" si="43">V33*(1+U15)</f>
        <v>0.07933162945</v>
      </c>
      <c r="V33" s="1191">
        <f t="array" ref="V33">IF(U$3="",INDEX('Simple CEA'!$H$7:$AW$39,MATCH($E33,'Simple CEA'!$E$7:$E$39,0),MATCH(U$2,'Simple CEA'!$H$2:$AW$2,0)),INDEX('Simple CEA'!$H$7:$AW$39,MATCH($E33,'Simple CEA'!$E$7:$E$39,0),MATCH(U$3,'Simple CEA'!$H$3:$AW$3,0)))</f>
        <v>0.1983290736</v>
      </c>
      <c r="W33" s="1192">
        <f t="shared" ref="W33:W35" si="44">V33*(1+W15)</f>
        <v>0.3173265178</v>
      </c>
      <c r="X33" s="1190">
        <f t="shared" ref="X33:X35" si="45">Y33*(1+X15)</f>
        <v>0.07697334302</v>
      </c>
      <c r="Y33" s="1191">
        <f t="array" ref="Y33">IF(X$3="",INDEX('Simple CEA'!$H$7:$AW$39,MATCH($E33,'Simple CEA'!$E$7:$E$39,0),MATCH(X$2,'Simple CEA'!$H$2:$AW$2,0)),INDEX('Simple CEA'!$H$7:$AW$39,MATCH($E33,'Simple CEA'!$E$7:$E$39,0),MATCH(X$3,'Simple CEA'!$H$3:$AW$3,0)))</f>
        <v>0.1924333576</v>
      </c>
      <c r="Z33" s="1192">
        <f t="shared" ref="Z33:Z35" si="46">Y33*(1+Z15)</f>
        <v>0.3078933721</v>
      </c>
      <c r="AA33" s="1190">
        <f t="shared" ref="AA33:AA35" si="47">AB33*(1+AA15)</f>
        <v>0.07899231083</v>
      </c>
      <c r="AB33" s="1191">
        <f t="array" ref="AB33">IF(AA$3="",INDEX('Simple CEA'!$H$7:$AW$39,MATCH($E33,'Simple CEA'!$E$7:$E$39,0),MATCH(AA$2,'Simple CEA'!$H$2:$AW$2,0)),INDEX('Simple CEA'!$H$7:$AW$39,MATCH($E33,'Simple CEA'!$E$7:$E$39,0),MATCH(AA$3,'Simple CEA'!$H$3:$AW$3,0)))</f>
        <v>0.1974807771</v>
      </c>
      <c r="AC33" s="1192">
        <f t="shared" ref="AC33:AC35" si="48">AB33*(1+AC15)</f>
        <v>0.3159692433</v>
      </c>
      <c r="AD33" s="1190">
        <f t="shared" ref="AD33:AD35" si="49">AE33*(1+AD15)</f>
        <v>0.06560207696</v>
      </c>
      <c r="AE33" s="1191">
        <f t="array" ref="AE33">IF(AD$3="",INDEX('Simple CEA'!$H$7:$AW$39,MATCH($E33,'Simple CEA'!$E$7:$E$39,0),MATCH(AD$2,'Simple CEA'!$H$2:$AW$2,0)),INDEX('Simple CEA'!$H$7:$AW$39,MATCH($E33,'Simple CEA'!$E$7:$E$39,0),MATCH(AD$3,'Simple CEA'!$H$3:$AW$3,0)))</f>
        <v>0.1640051924</v>
      </c>
      <c r="AF33" s="1192">
        <f t="shared" ref="AF33:AF35" si="50">AE33*(1+AF15)</f>
        <v>0.2624083078</v>
      </c>
      <c r="AG33" s="1190">
        <f t="shared" ref="AG33:AG35" si="51">AH33*(1+AG15)</f>
        <v>0.06466227868</v>
      </c>
      <c r="AH33" s="1191">
        <f t="array" ref="AH33">IF(AG$3="",INDEX('Simple CEA'!$H$7:$AW$39,MATCH($E33,'Simple CEA'!$E$7:$E$39,0),MATCH(AG$2,'Simple CEA'!$H$2:$AW$2,0)),INDEX('Simple CEA'!$H$7:$AW$39,MATCH($E33,'Simple CEA'!$E$7:$E$39,0),MATCH(AG$3,'Simple CEA'!$H$3:$AW$3,0)))</f>
        <v>0.1616556967</v>
      </c>
      <c r="AI33" s="1192">
        <f t="shared" ref="AI33:AI35" si="52">AH33*(1+AI15)</f>
        <v>0.2586491147</v>
      </c>
      <c r="AJ33" s="1190">
        <f t="shared" ref="AJ33:AJ35" si="53">AK33*(1+AJ15)</f>
        <v>0.06591725601</v>
      </c>
      <c r="AK33" s="1191">
        <f t="array" ref="AK33">IF(AJ$3="",INDEX('Simple CEA'!$H$7:$AW$39,MATCH($E33,'Simple CEA'!$E$7:$E$39,0),MATCH(AJ$2,'Simple CEA'!$H$2:$AW$2,0)),INDEX('Simple CEA'!$H$7:$AW$39,MATCH($E33,'Simple CEA'!$E$7:$E$39,0),MATCH(AJ$3,'Simple CEA'!$H$3:$AW$3,0)))</f>
        <v>0.16479314</v>
      </c>
      <c r="AL33" s="1192">
        <f t="shared" ref="AL33:AL35" si="54">AK33*(1+AL15)</f>
        <v>0.2636690241</v>
      </c>
      <c r="AM33" s="1190">
        <f t="shared" ref="AM33:AM35" si="55">AN33*(1+AM15)</f>
        <v>0.09392417671</v>
      </c>
      <c r="AN33" s="1191">
        <f t="array" ref="AN33">IF(AM$3="",INDEX('Simple CEA'!$H$7:$AW$39,MATCH($E33,'Simple CEA'!$E$7:$E$39,0),MATCH(AM$2,'Simple CEA'!$H$2:$AW$2,0)),INDEX('Simple CEA'!$H$7:$AW$39,MATCH($E33,'Simple CEA'!$E$7:$E$39,0),MATCH(AM$3,'Simple CEA'!$H$3:$AW$3,0)))</f>
        <v>0.2348104418</v>
      </c>
      <c r="AO33" s="1192">
        <f t="shared" ref="AO33:AO35" si="56">AN33*(1+AO15)</f>
        <v>0.3756967068</v>
      </c>
      <c r="AP33" s="1190">
        <f t="shared" ref="AP33:AP35" si="57">AQ33*(1+AP15)</f>
        <v>0.09392417671</v>
      </c>
      <c r="AQ33" s="1191">
        <f t="array" ref="AQ33">IF(AP$3="",INDEX('Simple CEA'!$H$7:$AW$39,MATCH($E33,'Simple CEA'!$E$7:$E$39,0),MATCH(AP$2,'Simple CEA'!$H$2:$AW$2,0)),INDEX('Simple CEA'!$H$7:$AW$39,MATCH($E33,'Simple CEA'!$E$7:$E$39,0),MATCH(AP$3,'Simple CEA'!$H$3:$AW$3,0)))</f>
        <v>0.2348104418</v>
      </c>
      <c r="AR33" s="1192">
        <f t="shared" ref="AR33:AR35" si="58">AQ33*(1+AR15)</f>
        <v>0.3756967068</v>
      </c>
      <c r="AS33" s="1190">
        <f t="shared" ref="AS33:AS35" si="59">AT33*(1+AS15)</f>
        <v>0.09392417671</v>
      </c>
      <c r="AT33" s="1191">
        <f t="array" ref="AT33">IF(AS$3="",INDEX('Simple CEA'!$H$7:$AW$39,MATCH($E33,'Simple CEA'!$E$7:$E$39,0),MATCH(AS$2,'Simple CEA'!$H$2:$AW$2,0)),INDEX('Simple CEA'!$H$7:$AW$39,MATCH($E33,'Simple CEA'!$E$7:$E$39,0),MATCH(AS$3,'Simple CEA'!$H$3:$AW$3,0)))</f>
        <v>0.2348104418</v>
      </c>
      <c r="AU33" s="1192">
        <f t="shared" ref="AU33:AU35" si="60">AT33*(1+AU15)</f>
        <v>0.3756967068</v>
      </c>
      <c r="AV33" s="1190">
        <f t="shared" ref="AV33:AV35" si="61">AW33*(1+AV15)</f>
        <v>0.06614720596</v>
      </c>
      <c r="AW33" s="1191">
        <f t="array" ref="AW33">IF(AV$3="",INDEX('Simple CEA'!$H$7:$AW$39,MATCH($E33,'Simple CEA'!$E$7:$E$39,0),MATCH(AV$2,'Simple CEA'!$H$2:$AW$2,0)),INDEX('Simple CEA'!$H$7:$AW$39,MATCH($E33,'Simple CEA'!$E$7:$E$39,0),MATCH(AV$3,'Simple CEA'!$H$3:$AW$3,0)))</f>
        <v>0.1653680149</v>
      </c>
      <c r="AX33" s="1192">
        <f t="shared" ref="AX33:AX35" si="62">AW33*(1+AX15)</f>
        <v>0.2645888238</v>
      </c>
      <c r="AY33" s="1190">
        <f t="shared" ref="AY33:AY35" si="63">AZ33*(1+AY15)</f>
        <v>0.08749394037</v>
      </c>
      <c r="AZ33" s="1191">
        <f t="array" ref="AZ33">IF(AY$3="",INDEX('Simple CEA'!$H$7:$AW$39,MATCH($E33,'Simple CEA'!$E$7:$E$39,0),MATCH(AY$2,'Simple CEA'!$H$2:$AW$2,0)),INDEX('Simple CEA'!$H$7:$AW$39,MATCH($E33,'Simple CEA'!$E$7:$E$39,0),MATCH(AY$3,'Simple CEA'!$H$3:$AW$3,0)))</f>
        <v>0.2187348509</v>
      </c>
      <c r="BA33" s="1192">
        <f t="shared" ref="BA33:BA35" si="64">AZ33*(1+BA15)</f>
        <v>0.3499757615</v>
      </c>
      <c r="BB33" s="29"/>
    </row>
    <row r="34">
      <c r="A34" s="293"/>
      <c r="B34" s="294"/>
      <c r="C34" s="24"/>
      <c r="D34" s="294"/>
      <c r="E34" s="1134" t="s">
        <v>1063</v>
      </c>
      <c r="F34" s="1181">
        <f t="shared" si="33"/>
        <v>0</v>
      </c>
      <c r="G34" s="1182">
        <f t="array" ref="G34">IF(F$3="",INDEX('Simple CEA'!$H$7:$AW$39,MATCH($E34,'Simple CEA'!$E$7:$E$39,0),MATCH(F$2,'Simple CEA'!$H$2:$AW$2,0)),INDEX('Simple CEA'!$H$7:$AW$39,MATCH($E34,'Simple CEA'!$E$7:$E$39,0),MATCH(F$3,'Simple CEA'!$H$3:$AW$3,0)))</f>
        <v>0.2802178229</v>
      </c>
      <c r="H34" s="1183">
        <f t="shared" si="34"/>
        <v>0.5604356459</v>
      </c>
      <c r="I34" s="1181">
        <f t="shared" si="35"/>
        <v>0</v>
      </c>
      <c r="J34" s="1182">
        <f t="array" ref="J34">IF(I$3="",INDEX('Simple CEA'!$H$7:$AW$39,MATCH($E34,'Simple CEA'!$E$7:$E$39,0),MATCH(I$2,'Simple CEA'!$H$2:$AW$2,0)),INDEX('Simple CEA'!$H$7:$AW$39,MATCH($E34,'Simple CEA'!$E$7:$E$39,0),MATCH(I$3,'Simple CEA'!$H$3:$AW$3,0)))</f>
        <v>0.2827472661</v>
      </c>
      <c r="K34" s="1183">
        <f t="shared" si="36"/>
        <v>0.5654945322</v>
      </c>
      <c r="L34" s="1181">
        <f t="shared" si="37"/>
        <v>0</v>
      </c>
      <c r="M34" s="1182">
        <f t="array" ref="M34">IF(L$3="",INDEX('Simple CEA'!$H$7:$AW$39,MATCH($E34,'Simple CEA'!$E$7:$E$39,0),MATCH(L$2,'Simple CEA'!$H$2:$AW$2,0)),INDEX('Simple CEA'!$H$7:$AW$39,MATCH($E34,'Simple CEA'!$E$7:$E$39,0),MATCH(L$3,'Simple CEA'!$H$3:$AW$3,0)))</f>
        <v>0.2828406239</v>
      </c>
      <c r="N34" s="1183">
        <f t="shared" si="38"/>
        <v>0.5656812478</v>
      </c>
      <c r="O34" s="1181">
        <f t="shared" si="39"/>
        <v>0</v>
      </c>
      <c r="P34" s="1182">
        <f t="array" ref="P34">IF(O$3="",INDEX('Simple CEA'!$H$7:$AW$39,MATCH($E34,'Simple CEA'!$E$7:$E$39,0),MATCH(O$2,'Simple CEA'!$H$2:$AW$2,0)),INDEX('Simple CEA'!$H$7:$AW$39,MATCH($E34,'Simple CEA'!$E$7:$E$39,0),MATCH(O$3,'Simple CEA'!$H$3:$AW$3,0)))</f>
        <v>0.2837290535</v>
      </c>
      <c r="Q34" s="1183">
        <f t="shared" si="40"/>
        <v>0.567458107</v>
      </c>
      <c r="R34" s="1181">
        <f t="shared" si="41"/>
        <v>0</v>
      </c>
      <c r="S34" s="1182">
        <f t="array" ref="S34">IF(R$3="",INDEX('Simple CEA'!$H$7:$AW$39,MATCH($E34,'Simple CEA'!$E$7:$E$39,0),MATCH(R$2,'Simple CEA'!$H$2:$AW$2,0)),INDEX('Simple CEA'!$H$7:$AW$39,MATCH($E34,'Simple CEA'!$E$7:$E$39,0),MATCH(R$3,'Simple CEA'!$H$3:$AW$3,0)))</f>
        <v>0.2849654572</v>
      </c>
      <c r="T34" s="1183">
        <f t="shared" si="42"/>
        <v>0.5699309144</v>
      </c>
      <c r="U34" s="1181">
        <f t="shared" si="43"/>
        <v>0</v>
      </c>
      <c r="V34" s="1182">
        <f t="array" ref="V34">IF(U$3="",INDEX('Simple CEA'!$H$7:$AW$39,MATCH($E34,'Simple CEA'!$E$7:$E$39,0),MATCH(U$2,'Simple CEA'!$H$2:$AW$2,0)),INDEX('Simple CEA'!$H$7:$AW$39,MATCH($E34,'Simple CEA'!$E$7:$E$39,0),MATCH(U$3,'Simple CEA'!$H$3:$AW$3,0)))</f>
        <v>0.2779754152</v>
      </c>
      <c r="W34" s="1183">
        <f t="shared" si="44"/>
        <v>0.5559508305</v>
      </c>
      <c r="X34" s="1181">
        <f t="shared" si="45"/>
        <v>0</v>
      </c>
      <c r="Y34" s="1182">
        <f t="array" ref="Y34">IF(X$3="",INDEX('Simple CEA'!$H$7:$AW$39,MATCH($E34,'Simple CEA'!$E$7:$E$39,0),MATCH(X$2,'Simple CEA'!$H$2:$AW$2,0)),INDEX('Simple CEA'!$H$7:$AW$39,MATCH($E34,'Simple CEA'!$E$7:$E$39,0),MATCH(X$3,'Simple CEA'!$H$3:$AW$3,0)))</f>
        <v>0.2789453801</v>
      </c>
      <c r="Z34" s="1183">
        <f t="shared" si="46"/>
        <v>0.5578907601</v>
      </c>
      <c r="AA34" s="1181">
        <f t="shared" si="47"/>
        <v>0</v>
      </c>
      <c r="AB34" s="1182">
        <f t="array" ref="AB34">IF(AA$3="",INDEX('Simple CEA'!$H$7:$AW$39,MATCH($E34,'Simple CEA'!$E$7:$E$39,0),MATCH(AA$2,'Simple CEA'!$H$2:$AW$2,0)),INDEX('Simple CEA'!$H$7:$AW$39,MATCH($E34,'Simple CEA'!$E$7:$E$39,0),MATCH(AA$3,'Simple CEA'!$H$3:$AW$3,0)))</f>
        <v>0.278460293</v>
      </c>
      <c r="AC34" s="1183">
        <f t="shared" si="48"/>
        <v>0.5569205861</v>
      </c>
      <c r="AD34" s="1181">
        <f t="shared" si="49"/>
        <v>0</v>
      </c>
      <c r="AE34" s="1182">
        <f t="array" ref="AE34">IF(AD$3="",INDEX('Simple CEA'!$H$7:$AW$39,MATCH($E34,'Simple CEA'!$E$7:$E$39,0),MATCH(AD$2,'Simple CEA'!$H$2:$AW$2,0)),INDEX('Simple CEA'!$H$7:$AW$39,MATCH($E34,'Simple CEA'!$E$7:$E$39,0),MATCH(AD$3,'Simple CEA'!$H$3:$AW$3,0)))</f>
        <v>0.2838368371</v>
      </c>
      <c r="AF34" s="1183">
        <f t="shared" si="50"/>
        <v>0.5676736742</v>
      </c>
      <c r="AG34" s="1181">
        <f t="shared" si="51"/>
        <v>0</v>
      </c>
      <c r="AH34" s="1182">
        <f t="array" ref="AH34">IF(AG$3="",INDEX('Simple CEA'!$H$7:$AW$39,MATCH($E34,'Simple CEA'!$E$7:$E$39,0),MATCH(AG$2,'Simple CEA'!$H$2:$AW$2,0)),INDEX('Simple CEA'!$H$7:$AW$39,MATCH($E34,'Simple CEA'!$E$7:$E$39,0),MATCH(AG$3,'Simple CEA'!$H$3:$AW$3,0)))</f>
        <v>0.2827747483</v>
      </c>
      <c r="AI34" s="1183">
        <f t="shared" si="52"/>
        <v>0.5655494967</v>
      </c>
      <c r="AJ34" s="1181">
        <f t="shared" si="53"/>
        <v>0</v>
      </c>
      <c r="AK34" s="1182">
        <f t="array" ref="AK34">IF(AJ$3="",INDEX('Simple CEA'!$H$7:$AW$39,MATCH($E34,'Simple CEA'!$E$7:$E$39,0),MATCH(AJ$2,'Simple CEA'!$H$2:$AW$2,0)),INDEX('Simple CEA'!$H$7:$AW$39,MATCH($E34,'Simple CEA'!$E$7:$E$39,0),MATCH(AJ$3,'Simple CEA'!$H$3:$AW$3,0)))</f>
        <v>0.2837290535</v>
      </c>
      <c r="AL34" s="1183">
        <f t="shared" si="54"/>
        <v>0.567458107</v>
      </c>
      <c r="AM34" s="1181">
        <f t="shared" si="55"/>
        <v>0</v>
      </c>
      <c r="AN34" s="1182">
        <f t="array" ref="AN34">IF(AM$3="",INDEX('Simple CEA'!$H$7:$AW$39,MATCH($E34,'Simple CEA'!$E$7:$E$39,0),MATCH(AM$2,'Simple CEA'!$H$2:$AW$2,0)),INDEX('Simple CEA'!$H$7:$AW$39,MATCH($E34,'Simple CEA'!$E$7:$E$39,0),MATCH(AM$3,'Simple CEA'!$H$3:$AW$3,0)))</f>
        <v>0.2707726727</v>
      </c>
      <c r="AO34" s="1183">
        <f t="shared" si="56"/>
        <v>0.5415453454</v>
      </c>
      <c r="AP34" s="1181">
        <f t="shared" si="57"/>
        <v>0</v>
      </c>
      <c r="AQ34" s="1182">
        <f t="array" ref="AQ34">IF(AP$3="",INDEX('Simple CEA'!$H$7:$AW$39,MATCH($E34,'Simple CEA'!$E$7:$E$39,0),MATCH(AP$2,'Simple CEA'!$H$2:$AW$2,0)),INDEX('Simple CEA'!$H$7:$AW$39,MATCH($E34,'Simple CEA'!$E$7:$E$39,0),MATCH(AP$3,'Simple CEA'!$H$3:$AW$3,0)))</f>
        <v>0.2707726727</v>
      </c>
      <c r="AR34" s="1183">
        <f t="shared" si="58"/>
        <v>0.5415453454</v>
      </c>
      <c r="AS34" s="1181">
        <f t="shared" si="59"/>
        <v>0</v>
      </c>
      <c r="AT34" s="1182">
        <f t="array" ref="AT34">IF(AS$3="",INDEX('Simple CEA'!$H$7:$AW$39,MATCH($E34,'Simple CEA'!$E$7:$E$39,0),MATCH(AS$2,'Simple CEA'!$H$2:$AW$2,0)),INDEX('Simple CEA'!$H$7:$AW$39,MATCH($E34,'Simple CEA'!$E$7:$E$39,0),MATCH(AS$3,'Simple CEA'!$H$3:$AW$3,0)))</f>
        <v>0.2707726727</v>
      </c>
      <c r="AU34" s="1183">
        <f t="shared" si="60"/>
        <v>0.5415453454</v>
      </c>
      <c r="AV34" s="1181">
        <f t="shared" si="61"/>
        <v>0</v>
      </c>
      <c r="AW34" s="1182">
        <f t="array" ref="AW34">IF(AV$3="",INDEX('Simple CEA'!$H$7:$AW$39,MATCH($E34,'Simple CEA'!$E$7:$E$39,0),MATCH(AV$2,'Simple CEA'!$H$2:$AW$2,0)),INDEX('Simple CEA'!$H$7:$AW$39,MATCH($E34,'Simple CEA'!$E$7:$E$39,0),MATCH(AV$3,'Simple CEA'!$H$3:$AW$3,0)))</f>
        <v>0.2824303698</v>
      </c>
      <c r="AX34" s="1183">
        <f t="shared" si="62"/>
        <v>0.5648607396</v>
      </c>
      <c r="AY34" s="1181">
        <f t="shared" si="63"/>
        <v>0</v>
      </c>
      <c r="AZ34" s="1182">
        <f t="array" ref="AZ34">IF(AY$3="",INDEX('Simple CEA'!$H$7:$AW$39,MATCH($E34,'Simple CEA'!$E$7:$E$39,0),MATCH(AY$2,'Simple CEA'!$H$2:$AW$2,0)),INDEX('Simple CEA'!$H$7:$AW$39,MATCH($E34,'Simple CEA'!$E$7:$E$39,0),MATCH(AY$3,'Simple CEA'!$H$3:$AW$3,0)))</f>
        <v>0.2739450561</v>
      </c>
      <c r="BA34" s="1183">
        <f t="shared" si="64"/>
        <v>0.5478901123</v>
      </c>
      <c r="BB34" s="306"/>
    </row>
    <row r="35">
      <c r="A35" s="293"/>
      <c r="B35" s="294"/>
      <c r="C35" s="24"/>
      <c r="D35" s="294"/>
      <c r="E35" s="1150" t="s">
        <v>1064</v>
      </c>
      <c r="F35" s="1187">
        <f t="shared" si="33"/>
        <v>0.02337739471</v>
      </c>
      <c r="G35" s="1188">
        <f t="array" ref="G35">IF(F$3="",INDEX('Simple CEA'!$H$7:$AW$39,MATCH($E35,'Simple CEA'!$E$7:$E$39,0),MATCH(F$2,'Simple CEA'!$H$2:$AW$2,0)),INDEX('Simple CEA'!$H$7:$AW$39,MATCH($E35,'Simple CEA'!$E$7:$E$39,0),MATCH(F$3,'Simple CEA'!$H$3:$AW$3,0)))</f>
        <v>0.04675478943</v>
      </c>
      <c r="H35" s="1189">
        <f t="shared" si="34"/>
        <v>0.07013218414</v>
      </c>
      <c r="I35" s="1187">
        <f t="shared" si="35"/>
        <v>0.04865572952</v>
      </c>
      <c r="J35" s="1188">
        <f t="array" ref="J35">IF(I$3="",INDEX('Simple CEA'!$H$7:$AW$39,MATCH($E35,'Simple CEA'!$E$7:$E$39,0),MATCH(I$2,'Simple CEA'!$H$2:$AW$2,0)),INDEX('Simple CEA'!$H$7:$AW$39,MATCH($E35,'Simple CEA'!$E$7:$E$39,0),MATCH(I$3,'Simple CEA'!$H$3:$AW$3,0)))</f>
        <v>0.09731145904</v>
      </c>
      <c r="K35" s="1189">
        <f t="shared" si="36"/>
        <v>0.1459671886</v>
      </c>
      <c r="L35" s="1187">
        <f t="shared" si="37"/>
        <v>0.02612396193</v>
      </c>
      <c r="M35" s="1188">
        <f t="array" ref="M35">IF(L$3="",INDEX('Simple CEA'!$H$7:$AW$39,MATCH($E35,'Simple CEA'!$E$7:$E$39,0),MATCH(L$2,'Simple CEA'!$H$2:$AW$2,0)),INDEX('Simple CEA'!$H$7:$AW$39,MATCH($E35,'Simple CEA'!$E$7:$E$39,0),MATCH(L$3,'Simple CEA'!$H$3:$AW$3,0)))</f>
        <v>0.05224792387</v>
      </c>
      <c r="N35" s="1189">
        <f t="shared" si="38"/>
        <v>0.0783718858</v>
      </c>
      <c r="O35" s="1187">
        <f t="shared" si="39"/>
        <v>0.05313191965</v>
      </c>
      <c r="P35" s="1188">
        <f t="array" ref="P35">IF(O$3="",INDEX('Simple CEA'!$H$7:$AW$39,MATCH($E35,'Simple CEA'!$E$7:$E$39,0),MATCH(O$2,'Simple CEA'!$H$2:$AW$2,0)),INDEX('Simple CEA'!$H$7:$AW$39,MATCH($E35,'Simple CEA'!$E$7:$E$39,0),MATCH(O$3,'Simple CEA'!$H$3:$AW$3,0)))</f>
        <v>0.1062638393</v>
      </c>
      <c r="Q35" s="1189">
        <f t="shared" si="40"/>
        <v>0.1593957589</v>
      </c>
      <c r="R35" s="1187">
        <f t="shared" si="41"/>
        <v>0.03749718347</v>
      </c>
      <c r="S35" s="1188">
        <f t="array" ref="S35">IF(R$3="",INDEX('Simple CEA'!$H$7:$AW$39,MATCH($E35,'Simple CEA'!$E$7:$E$39,0),MATCH(R$2,'Simple CEA'!$H$2:$AW$2,0)),INDEX('Simple CEA'!$H$7:$AW$39,MATCH($E35,'Simple CEA'!$E$7:$E$39,0),MATCH(R$3,'Simple CEA'!$H$3:$AW$3,0)))</f>
        <v>0.07499436694</v>
      </c>
      <c r="T35" s="1189">
        <f t="shared" si="42"/>
        <v>0.1124915504</v>
      </c>
      <c r="U35" s="1187">
        <f t="shared" si="43"/>
        <v>0.02784526551</v>
      </c>
      <c r="V35" s="1188">
        <f t="array" ref="V35">IF(U$3="",INDEX('Simple CEA'!$H$7:$AW$39,MATCH($E35,'Simple CEA'!$E$7:$E$39,0),MATCH(U$2,'Simple CEA'!$H$2:$AW$2,0)),INDEX('Simple CEA'!$H$7:$AW$39,MATCH($E35,'Simple CEA'!$E$7:$E$39,0),MATCH(U$3,'Simple CEA'!$H$3:$AW$3,0)))</f>
        <v>0.05569053102</v>
      </c>
      <c r="W35" s="1189">
        <f t="shared" si="44"/>
        <v>0.08353579654</v>
      </c>
      <c r="X35" s="1187">
        <f t="shared" si="45"/>
        <v>0.0158298015</v>
      </c>
      <c r="Y35" s="1188">
        <f t="array" ref="Y35">IF(X$3="",INDEX('Simple CEA'!$H$7:$AW$39,MATCH($E35,'Simple CEA'!$E$7:$E$39,0),MATCH(X$2,'Simple CEA'!$H$2:$AW$2,0)),INDEX('Simple CEA'!$H$7:$AW$39,MATCH($E35,'Simple CEA'!$E$7:$E$39,0),MATCH(X$3,'Simple CEA'!$H$3:$AW$3,0)))</f>
        <v>0.03165960299</v>
      </c>
      <c r="Z35" s="1189">
        <f t="shared" si="46"/>
        <v>0.04748940449</v>
      </c>
      <c r="AA35" s="1187">
        <f t="shared" si="47"/>
        <v>0.0119028822</v>
      </c>
      <c r="AB35" s="1188">
        <f t="array" ref="AB35">IF(AA$3="",INDEX('Simple CEA'!$H$7:$AW$39,MATCH($E35,'Simple CEA'!$E$7:$E$39,0),MATCH(AA$2,'Simple CEA'!$H$2:$AW$2,0)),INDEX('Simple CEA'!$H$7:$AW$39,MATCH($E35,'Simple CEA'!$E$7:$E$39,0),MATCH(AA$3,'Simple CEA'!$H$3:$AW$3,0)))</f>
        <v>0.02380576441</v>
      </c>
      <c r="AC35" s="1189">
        <f t="shared" si="48"/>
        <v>0.03570864661</v>
      </c>
      <c r="AD35" s="1187">
        <f t="shared" si="49"/>
        <v>0.01488332683</v>
      </c>
      <c r="AE35" s="1188">
        <f t="array" ref="AE35">IF(AD$3="",INDEX('Simple CEA'!$H$7:$AW$39,MATCH($E35,'Simple CEA'!$E$7:$E$39,0),MATCH(AD$2,'Simple CEA'!$H$2:$AW$2,0)),INDEX('Simple CEA'!$H$7:$AW$39,MATCH($E35,'Simple CEA'!$E$7:$E$39,0),MATCH(AD$3,'Simple CEA'!$H$3:$AW$3,0)))</f>
        <v>0.02976665367</v>
      </c>
      <c r="AF35" s="1189">
        <f t="shared" si="50"/>
        <v>0.0446499805</v>
      </c>
      <c r="AG35" s="1187">
        <f t="shared" si="51"/>
        <v>0.1255671332</v>
      </c>
      <c r="AH35" s="1188">
        <f t="array" ref="AH35">IF(AG$3="",INDEX('Simple CEA'!$H$7:$AW$39,MATCH($E35,'Simple CEA'!$E$7:$E$39,0),MATCH(AG$2,'Simple CEA'!$H$2:$AW$2,0)),INDEX('Simple CEA'!$H$7:$AW$39,MATCH($E35,'Simple CEA'!$E$7:$E$39,0),MATCH(AG$3,'Simple CEA'!$H$3:$AW$3,0)))</f>
        <v>0.2511342664</v>
      </c>
      <c r="AI35" s="1189">
        <f t="shared" si="52"/>
        <v>0.3767013996</v>
      </c>
      <c r="AJ35" s="1187">
        <f t="shared" si="53"/>
        <v>0.08590975588</v>
      </c>
      <c r="AK35" s="1188">
        <f t="array" ref="AK35">IF(AJ$3="",INDEX('Simple CEA'!$H$7:$AW$39,MATCH($E35,'Simple CEA'!$E$7:$E$39,0),MATCH(AJ$2,'Simple CEA'!$H$2:$AW$2,0)),INDEX('Simple CEA'!$H$7:$AW$39,MATCH($E35,'Simple CEA'!$E$7:$E$39,0),MATCH(AJ$3,'Simple CEA'!$H$3:$AW$3,0)))</f>
        <v>0.1718195118</v>
      </c>
      <c r="AL35" s="1189">
        <f t="shared" si="54"/>
        <v>0.2577292676</v>
      </c>
      <c r="AM35" s="1187">
        <f t="shared" si="55"/>
        <v>0.05843142252</v>
      </c>
      <c r="AN35" s="1188">
        <f t="array" ref="AN35">IF(AM$3="",INDEX('Simple CEA'!$H$7:$AW$39,MATCH($E35,'Simple CEA'!$E$7:$E$39,0),MATCH(AM$2,'Simple CEA'!$H$2:$AW$2,0)),INDEX('Simple CEA'!$H$7:$AW$39,MATCH($E35,'Simple CEA'!$E$7:$E$39,0),MATCH(AM$3,'Simple CEA'!$H$3:$AW$3,0)))</f>
        <v>0.116862845</v>
      </c>
      <c r="AO35" s="1189">
        <f t="shared" si="56"/>
        <v>0.1752942675</v>
      </c>
      <c r="AP35" s="1187">
        <f t="shared" si="57"/>
        <v>0.04916210606</v>
      </c>
      <c r="AQ35" s="1188">
        <f t="array" ref="AQ35">IF(AP$3="",INDEX('Simple CEA'!$H$7:$AW$39,MATCH($E35,'Simple CEA'!$E$7:$E$39,0),MATCH(AP$2,'Simple CEA'!$H$2:$AW$2,0)),INDEX('Simple CEA'!$H$7:$AW$39,MATCH($E35,'Simple CEA'!$E$7:$E$39,0),MATCH(AP$3,'Simple CEA'!$H$3:$AW$3,0)))</f>
        <v>0.09832421212</v>
      </c>
      <c r="AR35" s="1189">
        <f t="shared" si="58"/>
        <v>0.1474863182</v>
      </c>
      <c r="AS35" s="1187">
        <f t="shared" si="59"/>
        <v>0.08543883542</v>
      </c>
      <c r="AT35" s="1188">
        <f t="array" ref="AT35">IF(AS$3="",INDEX('Simple CEA'!$H$7:$AW$39,MATCH($E35,'Simple CEA'!$E$7:$E$39,0),MATCH(AS$2,'Simple CEA'!$H$2:$AW$2,0)),INDEX('Simple CEA'!$H$7:$AW$39,MATCH($E35,'Simple CEA'!$E$7:$E$39,0),MATCH(AS$3,'Simple CEA'!$H$3:$AW$3,0)))</f>
        <v>0.1708776708</v>
      </c>
      <c r="AU35" s="1189">
        <f t="shared" si="60"/>
        <v>0.2563165063</v>
      </c>
      <c r="AV35" s="1187">
        <f t="shared" si="61"/>
        <v>0.06185650014</v>
      </c>
      <c r="AW35" s="1188">
        <f t="array" ref="AW35">IF(AV$3="",INDEX('Simple CEA'!$H$7:$AW$39,MATCH($E35,'Simple CEA'!$E$7:$E$39,0),MATCH(AV$2,'Simple CEA'!$H$2:$AW$2,0)),INDEX('Simple CEA'!$H$7:$AW$39,MATCH($E35,'Simple CEA'!$E$7:$E$39,0),MATCH(AV$3,'Simple CEA'!$H$3:$AW$3,0)))</f>
        <v>0.1237130003</v>
      </c>
      <c r="AX35" s="1189">
        <f t="shared" si="62"/>
        <v>0.1855695004</v>
      </c>
      <c r="AY35" s="1187">
        <f t="shared" si="63"/>
        <v>0.03831854647</v>
      </c>
      <c r="AZ35" s="1188">
        <f t="array" ref="AZ35">IF(AY$3="",INDEX('Simple CEA'!$H$7:$AW$39,MATCH($E35,'Simple CEA'!$E$7:$E$39,0),MATCH(AY$2,'Simple CEA'!$H$2:$AW$2,0)),INDEX('Simple CEA'!$H$7:$AW$39,MATCH($E35,'Simple CEA'!$E$7:$E$39,0),MATCH(AY$3,'Simple CEA'!$H$3:$AW$3,0)))</f>
        <v>0.07663709294</v>
      </c>
      <c r="BA35" s="1189">
        <f t="shared" si="64"/>
        <v>0.1149556394</v>
      </c>
      <c r="BB35" s="34"/>
    </row>
    <row r="36">
      <c r="A36" s="293"/>
      <c r="B36" s="294"/>
      <c r="C36" s="24"/>
      <c r="D36" s="294"/>
      <c r="E36" s="1154"/>
      <c r="F36" s="294"/>
      <c r="G36" s="294"/>
      <c r="H36" s="349"/>
      <c r="I36" s="294"/>
      <c r="J36" s="294"/>
      <c r="K36" s="349"/>
      <c r="L36" s="294"/>
      <c r="M36" s="294"/>
      <c r="N36" s="349"/>
      <c r="O36" s="294"/>
      <c r="P36" s="294"/>
      <c r="Q36" s="349"/>
      <c r="R36" s="294"/>
      <c r="S36" s="294"/>
      <c r="T36" s="349"/>
      <c r="U36" s="294"/>
      <c r="V36" s="294"/>
      <c r="W36" s="349"/>
      <c r="X36" s="294"/>
      <c r="Y36" s="294"/>
      <c r="Z36" s="349"/>
      <c r="AA36" s="294"/>
      <c r="AB36" s="294"/>
      <c r="AC36" s="349"/>
      <c r="AD36" s="294"/>
      <c r="AE36" s="294"/>
      <c r="AF36" s="349"/>
      <c r="AG36" s="294"/>
      <c r="AH36" s="294"/>
      <c r="AI36" s="349"/>
      <c r="AJ36" s="294"/>
      <c r="AK36" s="294"/>
      <c r="AL36" s="349"/>
      <c r="AM36" s="294"/>
      <c r="AN36" s="294"/>
      <c r="AO36" s="349"/>
      <c r="AP36" s="294"/>
      <c r="AQ36" s="294"/>
      <c r="AR36" s="349"/>
      <c r="AS36" s="294"/>
      <c r="AT36" s="294"/>
      <c r="AU36" s="349"/>
      <c r="AV36" s="294"/>
      <c r="AW36" s="294"/>
      <c r="AX36" s="349"/>
      <c r="AY36" s="294"/>
      <c r="AZ36" s="294"/>
      <c r="BA36" s="349"/>
      <c r="BB36" s="349"/>
    </row>
    <row r="37">
      <c r="A37" s="293"/>
      <c r="B37" s="294"/>
      <c r="C37" s="1127" t="s">
        <v>1070</v>
      </c>
      <c r="E37" s="1116"/>
      <c r="F37" s="294"/>
      <c r="G37" s="294"/>
      <c r="H37" s="349"/>
      <c r="I37" s="294"/>
      <c r="J37" s="294"/>
      <c r="K37" s="349"/>
      <c r="L37" s="294"/>
      <c r="M37" s="294"/>
      <c r="N37" s="349"/>
      <c r="O37" s="294"/>
      <c r="P37" s="294"/>
      <c r="Q37" s="349"/>
      <c r="R37" s="294"/>
      <c r="S37" s="294"/>
      <c r="T37" s="349"/>
      <c r="U37" s="294"/>
      <c r="V37" s="294"/>
      <c r="W37" s="349"/>
      <c r="X37" s="294"/>
      <c r="Y37" s="294"/>
      <c r="Z37" s="349"/>
      <c r="AA37" s="294"/>
      <c r="AB37" s="294"/>
      <c r="AC37" s="349"/>
      <c r="AD37" s="294"/>
      <c r="AE37" s="294"/>
      <c r="AF37" s="349"/>
      <c r="AG37" s="294"/>
      <c r="AH37" s="294"/>
      <c r="AI37" s="349"/>
      <c r="AJ37" s="294"/>
      <c r="AK37" s="294"/>
      <c r="AL37" s="349"/>
      <c r="AM37" s="294"/>
      <c r="AN37" s="294"/>
      <c r="AO37" s="349"/>
      <c r="AP37" s="294"/>
      <c r="AQ37" s="294"/>
      <c r="AR37" s="349"/>
      <c r="AS37" s="294"/>
      <c r="AT37" s="294"/>
      <c r="AU37" s="349"/>
      <c r="AV37" s="294"/>
      <c r="AW37" s="294"/>
      <c r="AX37" s="349"/>
      <c r="AY37" s="294"/>
      <c r="AZ37" s="294"/>
      <c r="BA37" s="349"/>
      <c r="BB37" s="349"/>
    </row>
    <row r="38">
      <c r="A38" s="293"/>
      <c r="B38" s="294"/>
      <c r="C38" s="24"/>
      <c r="D38" s="294"/>
      <c r="E38" s="1130" t="s">
        <v>1071</v>
      </c>
      <c r="F38" s="1190">
        <f t="shared" ref="F38:F40" si="65">G38*(1+F20)</f>
        <v>0.22635</v>
      </c>
      <c r="G38" s="1191">
        <f>'Simple CEA'!I35</f>
        <v>0.503</v>
      </c>
      <c r="H38" s="1192">
        <f t="shared" ref="H38:H40" si="66">G38*(1+H20)</f>
        <v>0.77965</v>
      </c>
      <c r="I38" s="1190">
        <f t="shared" ref="I38:I40" si="67">J38*(1+I20)</f>
        <v>0.22635</v>
      </c>
      <c r="J38" s="1191">
        <f>'Simple CEA'!J$35</f>
        <v>0.503</v>
      </c>
      <c r="K38" s="1192">
        <f t="shared" ref="K38:K40" si="68">J38*(1+K20)</f>
        <v>0.77965</v>
      </c>
      <c r="L38" s="1190">
        <f t="shared" ref="L38:L40" si="69">M38*(1+L20)</f>
        <v>0.22635</v>
      </c>
      <c r="M38" s="1191">
        <f>'Simple CEA'!K$35</f>
        <v>0.503</v>
      </c>
      <c r="N38" s="1192">
        <f t="shared" ref="N38:N40" si="70">M38*(1+N20)</f>
        <v>0.77965</v>
      </c>
      <c r="O38" s="1190">
        <f t="shared" ref="O38:O40" si="71">P38*(1+O20)</f>
        <v>0.22635</v>
      </c>
      <c r="P38" s="1191">
        <f>'Simple CEA'!L$35</f>
        <v>0.503</v>
      </c>
      <c r="Q38" s="1192">
        <f t="shared" ref="Q38:Q40" si="72">P38*(1+Q20)</f>
        <v>0.77965</v>
      </c>
      <c r="R38" s="1190">
        <f t="shared" ref="R38:R40" si="73">S38*(1+R20)</f>
        <v>0.22635</v>
      </c>
      <c r="S38" s="1191">
        <f>'Simple CEA'!M$35</f>
        <v>0.503</v>
      </c>
      <c r="T38" s="1192">
        <f t="shared" ref="T38:T40" si="74">S38*(1+T20)</f>
        <v>0.77965</v>
      </c>
      <c r="U38" s="1190">
        <f t="shared" ref="U38:U40" si="75">V38*(1+U20)</f>
        <v>0.22635</v>
      </c>
      <c r="V38" s="1191">
        <f>'Simple CEA'!N$35</f>
        <v>0.503</v>
      </c>
      <c r="W38" s="1192">
        <f t="shared" ref="W38:W40" si="76">V38*(1+W20)</f>
        <v>0.77965</v>
      </c>
      <c r="X38" s="1190">
        <f t="shared" ref="X38:X40" si="77">Y38*(1+X20)</f>
        <v>0.22635</v>
      </c>
      <c r="Y38" s="1191">
        <f>'Simple CEA'!O$35</f>
        <v>0.503</v>
      </c>
      <c r="Z38" s="1192">
        <f t="shared" ref="Z38:Z40" si="78">Y38*(1+Z20)</f>
        <v>0.77965</v>
      </c>
      <c r="AA38" s="1190">
        <f t="shared" ref="AA38:AA40" si="79">AB38*(1+AA20)</f>
        <v>0.22635</v>
      </c>
      <c r="AB38" s="1191">
        <f>'Simple CEA'!P$35</f>
        <v>0.503</v>
      </c>
      <c r="AC38" s="1192">
        <f t="shared" ref="AC38:AC40" si="80">AB38*(1+AC20)</f>
        <v>0.77965</v>
      </c>
      <c r="AD38" s="1190">
        <f t="shared" ref="AD38:AD40" si="81">AE38*(1+AD20)</f>
        <v>0.22635</v>
      </c>
      <c r="AE38" s="1191">
        <f>'Simple CEA'!Q$35</f>
        <v>0.503</v>
      </c>
      <c r="AF38" s="1192">
        <f t="shared" ref="AF38:AF40" si="82">AE38*(1+AF20)</f>
        <v>0.77965</v>
      </c>
      <c r="AG38" s="1190">
        <f t="shared" ref="AG38:AG40" si="83">AH38*(1+AG20)</f>
        <v>0.14235</v>
      </c>
      <c r="AH38" s="1191">
        <f>'Simple CEA'!R$35</f>
        <v>0.3163333333</v>
      </c>
      <c r="AI38" s="1192">
        <f t="shared" ref="AI38:AI40" si="84">AH38*(1+AI20)</f>
        <v>0.4903166667</v>
      </c>
      <c r="AJ38" s="1190">
        <f t="shared" ref="AJ38:AJ40" si="85">AK38*(1+AJ20)</f>
        <v>0.14235</v>
      </c>
      <c r="AK38" s="1191">
        <f>'Simple CEA'!AG$35</f>
        <v>0.3163333333</v>
      </c>
      <c r="AL38" s="1192">
        <f t="shared" ref="AL38:AL40" si="86">AK38*(1+AL20)</f>
        <v>0.4903166667</v>
      </c>
      <c r="AM38" s="1190">
        <f t="shared" ref="AM38:AM40" si="87">AN38*(1+AM20)</f>
        <v>0.15885</v>
      </c>
      <c r="AN38" s="1191">
        <f>'Simple CEA'!AL$35</f>
        <v>0.353</v>
      </c>
      <c r="AO38" s="1192">
        <f t="shared" ref="AO38:AO40" si="88">AN38*(1+AO20)</f>
        <v>0.54715</v>
      </c>
      <c r="AP38" s="1190">
        <f t="shared" ref="AP38:AP40" si="89">AQ38*(1+AP20)</f>
        <v>0.17685</v>
      </c>
      <c r="AQ38" s="1191">
        <f>'Simple CEA'!AM$35</f>
        <v>0.393</v>
      </c>
      <c r="AR38" s="1192">
        <f t="shared" ref="AR38:AR40" si="90">AQ38*(1+AR20)</f>
        <v>0.60915</v>
      </c>
      <c r="AS38" s="1190">
        <f t="shared" ref="AS38:AS40" si="91">AT38*(1+AS20)</f>
        <v>0.14235</v>
      </c>
      <c r="AT38" s="1191">
        <f>'Simple CEA'!AP$35</f>
        <v>0.3163333333</v>
      </c>
      <c r="AU38" s="1192">
        <f t="shared" ref="AU38:AU40" si="92">AT38*(1+AU20)</f>
        <v>0.4903166667</v>
      </c>
      <c r="AV38" s="1190">
        <f t="shared" ref="AV38:AV40" si="93">AW38*(1+AV20)</f>
        <v>0.09135</v>
      </c>
      <c r="AW38" s="1191">
        <f>'Simple CEA'!AU$35</f>
        <v>0.203</v>
      </c>
      <c r="AX38" s="1192">
        <f t="shared" ref="AX38:AX40" si="94">AW38*(1+AX20)</f>
        <v>0.31465</v>
      </c>
      <c r="AY38" s="1190">
        <f t="shared" ref="AY38:AY40" si="95">AZ38*(1+AY20)</f>
        <v>0.17685</v>
      </c>
      <c r="AZ38" s="1191">
        <f>'Simple CEA'!AV$35</f>
        <v>0.393</v>
      </c>
      <c r="BA38" s="1192">
        <f t="shared" ref="BA38:BA40" si="96">AZ38*(1+BA20)</f>
        <v>0.60915</v>
      </c>
      <c r="BB38" s="29"/>
    </row>
    <row r="39">
      <c r="A39" s="293"/>
      <c r="B39" s="294"/>
      <c r="C39" s="24"/>
      <c r="D39" s="294"/>
      <c r="E39" s="1134" t="s">
        <v>1072</v>
      </c>
      <c r="F39" s="1181">
        <f t="shared" si="65"/>
        <v>-0.119</v>
      </c>
      <c r="G39" s="1182">
        <f>'Simple CEA'!$H$36</f>
        <v>-0.07</v>
      </c>
      <c r="H39" s="1183">
        <f t="shared" si="66"/>
        <v>-0.021</v>
      </c>
      <c r="I39" s="1181">
        <f t="shared" si="67"/>
        <v>-0.119</v>
      </c>
      <c r="J39" s="1182">
        <f>'Simple CEA'!$H$36</f>
        <v>-0.07</v>
      </c>
      <c r="K39" s="1183">
        <f t="shared" si="68"/>
        <v>-0.021</v>
      </c>
      <c r="L39" s="1181">
        <f t="shared" si="69"/>
        <v>-0.119</v>
      </c>
      <c r="M39" s="1182">
        <f>'Simple CEA'!$H$36</f>
        <v>-0.07</v>
      </c>
      <c r="N39" s="1183">
        <f t="shared" si="70"/>
        <v>-0.021</v>
      </c>
      <c r="O39" s="1181">
        <f t="shared" si="71"/>
        <v>-0.119</v>
      </c>
      <c r="P39" s="1182">
        <f>'Simple CEA'!$H$36</f>
        <v>-0.07</v>
      </c>
      <c r="Q39" s="1183">
        <f t="shared" si="72"/>
        <v>-0.021</v>
      </c>
      <c r="R39" s="1181">
        <f t="shared" si="73"/>
        <v>-0.119</v>
      </c>
      <c r="S39" s="1182">
        <f>'Simple CEA'!$H$36</f>
        <v>-0.07</v>
      </c>
      <c r="T39" s="1183">
        <f t="shared" si="74"/>
        <v>-0.021</v>
      </c>
      <c r="U39" s="1181">
        <f t="shared" si="75"/>
        <v>-0.119</v>
      </c>
      <c r="V39" s="1182">
        <f>'Simple CEA'!$H$36</f>
        <v>-0.07</v>
      </c>
      <c r="W39" s="1183">
        <f t="shared" si="76"/>
        <v>-0.021</v>
      </c>
      <c r="X39" s="1181">
        <f t="shared" si="77"/>
        <v>-0.119</v>
      </c>
      <c r="Y39" s="1182">
        <f>'Simple CEA'!$H$36</f>
        <v>-0.07</v>
      </c>
      <c r="Z39" s="1183">
        <f t="shared" si="78"/>
        <v>-0.021</v>
      </c>
      <c r="AA39" s="1181">
        <f t="shared" si="79"/>
        <v>-0.119</v>
      </c>
      <c r="AB39" s="1182">
        <f>'Simple CEA'!$H$36</f>
        <v>-0.07</v>
      </c>
      <c r="AC39" s="1183">
        <f t="shared" si="80"/>
        <v>-0.021</v>
      </c>
      <c r="AD39" s="1181">
        <f t="shared" si="81"/>
        <v>-0.119</v>
      </c>
      <c r="AE39" s="1182">
        <f>'Simple CEA'!$H$36</f>
        <v>-0.07</v>
      </c>
      <c r="AF39" s="1183">
        <f t="shared" si="82"/>
        <v>-0.021</v>
      </c>
      <c r="AG39" s="1181">
        <f t="shared" si="83"/>
        <v>-0.119</v>
      </c>
      <c r="AH39" s="1182">
        <f>'Simple CEA'!$H$36</f>
        <v>-0.07</v>
      </c>
      <c r="AI39" s="1183">
        <f t="shared" si="84"/>
        <v>-0.021</v>
      </c>
      <c r="AJ39" s="1181">
        <f t="shared" si="85"/>
        <v>-0.119</v>
      </c>
      <c r="AK39" s="1182">
        <f>'Simple CEA'!$H$36</f>
        <v>-0.07</v>
      </c>
      <c r="AL39" s="1183">
        <f t="shared" si="86"/>
        <v>-0.021</v>
      </c>
      <c r="AM39" s="1181">
        <f t="shared" si="87"/>
        <v>-0.119</v>
      </c>
      <c r="AN39" s="1182">
        <f>'Simple CEA'!$H$36</f>
        <v>-0.07</v>
      </c>
      <c r="AO39" s="1183">
        <f t="shared" si="88"/>
        <v>-0.021</v>
      </c>
      <c r="AP39" s="1181">
        <f t="shared" si="89"/>
        <v>-0.119</v>
      </c>
      <c r="AQ39" s="1182">
        <f>'Simple CEA'!$H$36</f>
        <v>-0.07</v>
      </c>
      <c r="AR39" s="1183">
        <f t="shared" si="90"/>
        <v>-0.021</v>
      </c>
      <c r="AS39" s="1181">
        <f t="shared" si="91"/>
        <v>-0.119</v>
      </c>
      <c r="AT39" s="1182">
        <f>'Simple CEA'!$H$36</f>
        <v>-0.07</v>
      </c>
      <c r="AU39" s="1183">
        <f t="shared" si="92"/>
        <v>-0.021</v>
      </c>
      <c r="AV39" s="1181">
        <f t="shared" si="93"/>
        <v>-0.119</v>
      </c>
      <c r="AW39" s="1182">
        <f>'Simple CEA'!$H$36</f>
        <v>-0.07</v>
      </c>
      <c r="AX39" s="1183">
        <f t="shared" si="94"/>
        <v>-0.021</v>
      </c>
      <c r="AY39" s="1181">
        <f t="shared" si="95"/>
        <v>-0.119</v>
      </c>
      <c r="AZ39" s="1182">
        <f>'Simple CEA'!$H$36</f>
        <v>-0.07</v>
      </c>
      <c r="BA39" s="1183">
        <f t="shared" si="96"/>
        <v>-0.021</v>
      </c>
      <c r="BB39" s="306"/>
    </row>
    <row r="40">
      <c r="A40" s="293"/>
      <c r="B40" s="294"/>
      <c r="C40" s="24"/>
      <c r="D40" s="294"/>
      <c r="E40" s="1150" t="s">
        <v>1074</v>
      </c>
      <c r="F40" s="1187">
        <f t="shared" si="65"/>
        <v>-0.1588909969</v>
      </c>
      <c r="G40" s="1188">
        <f t="array" ref="G40">IF(F$3="",INDEX('Simple CEA'!$H$7:$AW$39,MATCH($E40,'Simple CEA'!$E$7:$E$39,0),MATCH(F$2,'Simple CEA'!$H$2:$AW$2,0)),INDEX('Simple CEA'!$H$7:$AW$39,MATCH($E40,'Simple CEA'!$E$7:$E$39,0),MATCH(F$3,'Simple CEA'!$H$3:$AW$3,0)))</f>
        <v>-0.0934652923</v>
      </c>
      <c r="H40" s="1189">
        <f t="shared" si="66"/>
        <v>-0.02803958769</v>
      </c>
      <c r="I40" s="1187">
        <f t="shared" si="67"/>
        <v>-0.1479439363</v>
      </c>
      <c r="J40" s="1188">
        <f t="array" ref="J40">IF(I$3="",INDEX('Simple CEA'!$H$7:$AW$39,MATCH($E40,'Simple CEA'!$E$7:$E$39,0),MATCH(I$2,'Simple CEA'!$H$2:$AW$2,0)),INDEX('Simple CEA'!$H$7:$AW$39,MATCH($E40,'Simple CEA'!$E$7:$E$39,0),MATCH(I$3,'Simple CEA'!$H$3:$AW$3,0)))</f>
        <v>-0.08702584485</v>
      </c>
      <c r="K40" s="1189">
        <f t="shared" si="68"/>
        <v>-0.02610775346</v>
      </c>
      <c r="L40" s="1187">
        <f t="shared" si="69"/>
        <v>-0.1576506273</v>
      </c>
      <c r="M40" s="1188">
        <f t="array" ref="M40">IF(L$3="",INDEX('Simple CEA'!$H$7:$AW$39,MATCH($E40,'Simple CEA'!$E$7:$E$39,0),MATCH(L$2,'Simple CEA'!$H$2:$AW$2,0)),INDEX('Simple CEA'!$H$7:$AW$39,MATCH($E40,'Simple CEA'!$E$7:$E$39,0),MATCH(L$3,'Simple CEA'!$H$3:$AW$3,0)))</f>
        <v>-0.0927356631</v>
      </c>
      <c r="N40" s="1189">
        <f t="shared" si="70"/>
        <v>-0.02782069893</v>
      </c>
      <c r="O40" s="1187">
        <f t="shared" si="71"/>
        <v>-0.1461097483</v>
      </c>
      <c r="P40" s="1188">
        <f t="array" ref="P40">IF(O$3="",INDEX('Simple CEA'!$H$7:$AW$39,MATCH($E40,'Simple CEA'!$E$7:$E$39,0),MATCH(O$2,'Simple CEA'!$H$2:$AW$2,0)),INDEX('Simple CEA'!$H$7:$AW$39,MATCH($E40,'Simple CEA'!$E$7:$E$39,0),MATCH(O$3,'Simple CEA'!$H$3:$AW$3,0)))</f>
        <v>-0.08594691079</v>
      </c>
      <c r="Q40" s="1189">
        <f t="shared" si="72"/>
        <v>-0.02578407324</v>
      </c>
      <c r="R40" s="1187">
        <f t="shared" si="73"/>
        <v>-0.1526493243</v>
      </c>
      <c r="S40" s="1188">
        <f t="array" ref="S40">IF(R$3="",INDEX('Simple CEA'!$H$7:$AW$39,MATCH($E40,'Simple CEA'!$E$7:$E$39,0),MATCH(R$2,'Simple CEA'!$H$2:$AW$2,0)),INDEX('Simple CEA'!$H$7:$AW$39,MATCH($E40,'Simple CEA'!$E$7:$E$39,0),MATCH(R$3,'Simple CEA'!$H$3:$AW$3,0)))</f>
        <v>-0.08979372015</v>
      </c>
      <c r="T40" s="1189">
        <f t="shared" si="74"/>
        <v>-0.02693811605</v>
      </c>
      <c r="U40" s="1187">
        <f t="shared" si="75"/>
        <v>-0.1568798539</v>
      </c>
      <c r="V40" s="1188">
        <f t="array" ref="V40">IF(U$3="",INDEX('Simple CEA'!$H$7:$AW$39,MATCH($E40,'Simple CEA'!$E$7:$E$39,0),MATCH(U$2,'Simple CEA'!$H$2:$AW$2,0)),INDEX('Simple CEA'!$H$7:$AW$39,MATCH($E40,'Simple CEA'!$E$7:$E$39,0),MATCH(U$3,'Simple CEA'!$H$3:$AW$3,0)))</f>
        <v>-0.092282267</v>
      </c>
      <c r="W40" s="1189">
        <f t="shared" si="76"/>
        <v>-0.0276846801</v>
      </c>
      <c r="X40" s="1187">
        <f t="shared" si="77"/>
        <v>-0.1623675674</v>
      </c>
      <c r="Y40" s="1188">
        <f t="array" ref="Y40">IF(X$3="",INDEX('Simple CEA'!$H$7:$AW$39,MATCH($E40,'Simple CEA'!$E$7:$E$39,0),MATCH(X$2,'Simple CEA'!$H$2:$AW$2,0)),INDEX('Simple CEA'!$H$7:$AW$39,MATCH($E40,'Simple CEA'!$E$7:$E$39,0),MATCH(X$3,'Simple CEA'!$H$3:$AW$3,0)))</f>
        <v>-0.09551033376</v>
      </c>
      <c r="Z40" s="1189">
        <f t="shared" si="78"/>
        <v>-0.02865310013</v>
      </c>
      <c r="AA40" s="1187">
        <f t="shared" si="79"/>
        <v>-0.1642169293</v>
      </c>
      <c r="AB40" s="1188">
        <f t="array" ref="AB40">IF(AA$3="",INDEX('Simple CEA'!$H$7:$AW$39,MATCH($E40,'Simple CEA'!$E$7:$E$39,0),MATCH(AA$2,'Simple CEA'!$H$2:$AW$2,0)),INDEX('Simple CEA'!$H$7:$AW$39,MATCH($E40,'Simple CEA'!$E$7:$E$39,0),MATCH(AA$3,'Simple CEA'!$H$3:$AW$3,0)))</f>
        <v>-0.09659819372</v>
      </c>
      <c r="AC40" s="1189">
        <f t="shared" si="80"/>
        <v>-0.02897945812</v>
      </c>
      <c r="AD40" s="1187">
        <f t="shared" si="81"/>
        <v>-0.1628107245</v>
      </c>
      <c r="AE40" s="1188">
        <f t="array" ref="AE40">IF(AD$3="",INDEX('Simple CEA'!$H$7:$AW$39,MATCH($E40,'Simple CEA'!$E$7:$E$39,0),MATCH(AD$2,'Simple CEA'!$H$2:$AW$2,0)),INDEX('Simple CEA'!$H$7:$AW$39,MATCH($E40,'Simple CEA'!$E$7:$E$39,0),MATCH(AD$3,'Simple CEA'!$H$3:$AW$3,0)))</f>
        <v>-0.09577101439</v>
      </c>
      <c r="AF40" s="1189">
        <f t="shared" si="82"/>
        <v>-0.02873130432</v>
      </c>
      <c r="AG40" s="1187">
        <f t="shared" si="83"/>
        <v>-0.112998131</v>
      </c>
      <c r="AH40" s="1188">
        <f t="array" ref="AH40">IF(AG$3="",INDEX('Simple CEA'!$H$7:$AW$39,MATCH($E40,'Simple CEA'!$E$7:$E$39,0),MATCH(AG$2,'Simple CEA'!$H$2:$AW$2,0)),INDEX('Simple CEA'!$H$7:$AW$39,MATCH($E40,'Simple CEA'!$E$7:$E$39,0),MATCH(AG$3,'Simple CEA'!$H$3:$AW$3,0)))</f>
        <v>-0.06646948879</v>
      </c>
      <c r="AI40" s="1189">
        <f t="shared" si="84"/>
        <v>-0.01994084664</v>
      </c>
      <c r="AJ40" s="1187">
        <f t="shared" si="85"/>
        <v>-0.1283611434</v>
      </c>
      <c r="AK40" s="1188">
        <f t="array" ref="AK40">IF(AJ$3="",INDEX('Simple CEA'!$H$7:$AW$39,MATCH($E40,'Simple CEA'!$E$7:$E$39,0),MATCH(AJ$2,'Simple CEA'!$H$2:$AW$2,0)),INDEX('Simple CEA'!$H$7:$AW$39,MATCH($E40,'Simple CEA'!$E$7:$E$39,0),MATCH(AJ$3,'Simple CEA'!$H$3:$AW$3,0)))</f>
        <v>-0.07550655492</v>
      </c>
      <c r="AL40" s="1189">
        <f t="shared" si="86"/>
        <v>-0.02265196648</v>
      </c>
      <c r="AM40" s="1187">
        <f t="shared" si="87"/>
        <v>-0.1410910889</v>
      </c>
      <c r="AN40" s="1188">
        <f t="array" ref="AN40">IF(AM$3="",INDEX('Simple CEA'!$H$7:$AW$39,MATCH($E40,'Simple CEA'!$E$7:$E$39,0),MATCH(AM$2,'Simple CEA'!$H$2:$AW$2,0)),INDEX('Simple CEA'!$H$7:$AW$39,MATCH($E40,'Simple CEA'!$E$7:$E$39,0),MATCH(AM$3,'Simple CEA'!$H$3:$AW$3,0)))</f>
        <v>-0.08299475815</v>
      </c>
      <c r="AO40" s="1189">
        <f t="shared" si="88"/>
        <v>-0.02489842745</v>
      </c>
      <c r="AP40" s="1187">
        <f t="shared" si="89"/>
        <v>-0.1459767522</v>
      </c>
      <c r="AQ40" s="1188">
        <f t="array" ref="AQ40">IF(AP$3="",INDEX('Simple CEA'!$H$7:$AW$39,MATCH($E40,'Simple CEA'!$E$7:$E$39,0),MATCH(AP$2,'Simple CEA'!$H$2:$AW$2,0)),INDEX('Simple CEA'!$H$7:$AW$39,MATCH($E40,'Simple CEA'!$E$7:$E$39,0),MATCH(AP$3,'Simple CEA'!$H$3:$AW$3,0)))</f>
        <v>-0.08586867779</v>
      </c>
      <c r="AR40" s="1189">
        <f t="shared" si="90"/>
        <v>-0.02576060334</v>
      </c>
      <c r="AS40" s="1187">
        <f t="shared" si="91"/>
        <v>-0.129679221</v>
      </c>
      <c r="AT40" s="1188">
        <f t="array" ref="AT40">IF(AS$3="",INDEX('Simple CEA'!$H$7:$AW$39,MATCH($E40,'Simple CEA'!$E$7:$E$39,0),MATCH(AS$2,'Simple CEA'!$H$2:$AW$2,0)),INDEX('Simple CEA'!$H$7:$AW$39,MATCH($E40,'Simple CEA'!$E$7:$E$39,0),MATCH(AS$3,'Simple CEA'!$H$3:$AW$3,0)))</f>
        <v>-0.07628189469</v>
      </c>
      <c r="AU40" s="1189">
        <f t="shared" si="92"/>
        <v>-0.02288456841</v>
      </c>
      <c r="AV40" s="1187">
        <f t="shared" si="93"/>
        <v>-0.1357904607</v>
      </c>
      <c r="AW40" s="1188">
        <f t="array" ref="AW40">IF(AV$3="",INDEX('Simple CEA'!$H$7:$AW$39,MATCH($E40,'Simple CEA'!$E$7:$E$39,0),MATCH(AV$2,'Simple CEA'!$H$2:$AW$2,0)),INDEX('Simple CEA'!$H$7:$AW$39,MATCH($E40,'Simple CEA'!$E$7:$E$39,0),MATCH(AV$3,'Simple CEA'!$H$3:$AW$3,0)))</f>
        <v>-0.07987674156</v>
      </c>
      <c r="AX40" s="1189">
        <f t="shared" si="94"/>
        <v>-0.02396302247</v>
      </c>
      <c r="AY40" s="1187">
        <f t="shared" si="95"/>
        <v>-0.1508983235</v>
      </c>
      <c r="AZ40" s="1188">
        <f t="array" ref="AZ40">IF(AY$3="",INDEX('Simple CEA'!$H$7:$AW$39,MATCH($E40,'Simple CEA'!$E$7:$E$39,0),MATCH(AY$2,'Simple CEA'!$H$2:$AW$2,0)),INDEX('Simple CEA'!$H$7:$AW$39,MATCH($E40,'Simple CEA'!$E$7:$E$39,0),MATCH(AY$3,'Simple CEA'!$H$3:$AW$3,0)))</f>
        <v>-0.08876371968</v>
      </c>
      <c r="BA40" s="1189">
        <f t="shared" si="96"/>
        <v>-0.0266291159</v>
      </c>
      <c r="BB40" s="34"/>
    </row>
    <row r="41">
      <c r="A41" s="1193"/>
      <c r="B41" s="1194"/>
      <c r="C41" s="1194"/>
      <c r="D41" s="1194"/>
      <c r="E41" s="1195"/>
      <c r="F41" s="1196"/>
      <c r="G41" s="1196"/>
      <c r="H41" s="1197"/>
      <c r="I41" s="1196"/>
      <c r="J41" s="1196"/>
      <c r="K41" s="1197"/>
      <c r="L41" s="1196"/>
      <c r="M41" s="1196"/>
      <c r="N41" s="1197"/>
      <c r="O41" s="1196"/>
      <c r="P41" s="1196"/>
      <c r="Q41" s="1197"/>
      <c r="R41" s="1196"/>
      <c r="S41" s="1196"/>
      <c r="T41" s="1197"/>
      <c r="U41" s="1196"/>
      <c r="V41" s="1196"/>
      <c r="W41" s="1197"/>
      <c r="X41" s="1196"/>
      <c r="Y41" s="1196"/>
      <c r="Z41" s="1197"/>
      <c r="AA41" s="1196"/>
      <c r="AB41" s="1196"/>
      <c r="AC41" s="1197"/>
      <c r="AD41" s="1196"/>
      <c r="AE41" s="1196"/>
      <c r="AF41" s="1197"/>
      <c r="AG41" s="1196"/>
      <c r="AH41" s="1196"/>
      <c r="AI41" s="1197"/>
      <c r="AJ41" s="1196"/>
      <c r="AK41" s="1196"/>
      <c r="AL41" s="1197"/>
      <c r="AM41" s="1196"/>
      <c r="AN41" s="1196"/>
      <c r="AO41" s="1197"/>
      <c r="AP41" s="1196"/>
      <c r="AQ41" s="1196"/>
      <c r="AR41" s="1197"/>
      <c r="AS41" s="1196"/>
      <c r="AT41" s="1196"/>
      <c r="AU41" s="1197"/>
      <c r="AV41" s="1196"/>
      <c r="AW41" s="1196"/>
      <c r="AX41" s="1197"/>
      <c r="AY41" s="1196"/>
      <c r="AZ41" s="1196"/>
      <c r="BA41" s="1197"/>
      <c r="BB41" s="1197"/>
    </row>
  </sheetData>
  <mergeCells count="44">
    <mergeCell ref="AS3:AU3"/>
    <mergeCell ref="AV3:AX3"/>
    <mergeCell ref="X3:Z3"/>
    <mergeCell ref="AA3:AC3"/>
    <mergeCell ref="AD3:AF3"/>
    <mergeCell ref="AG3:AI3"/>
    <mergeCell ref="AJ3:AL3"/>
    <mergeCell ref="AM3:AO3"/>
    <mergeCell ref="AP3:AR3"/>
    <mergeCell ref="C32:E32"/>
    <mergeCell ref="C37:E37"/>
    <mergeCell ref="A5:E5"/>
    <mergeCell ref="A6:E6"/>
    <mergeCell ref="C8:E8"/>
    <mergeCell ref="C14:E14"/>
    <mergeCell ref="C19:E19"/>
    <mergeCell ref="A24:E24"/>
    <mergeCell ref="C26:E26"/>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conditionalFormatting sqref="F9:BA22">
    <cfRule type="colorScale" priority="1">
      <colorScale>
        <cfvo type="formula" val="-1"/>
        <cfvo type="formula" val="0"/>
        <cfvo type="formula" val="1"/>
        <color rgb="FFFFD966"/>
        <color rgb="FFFFFFFF"/>
        <color rgb="FFFFD966"/>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3" width="7.63"/>
    <col customWidth="1" min="54" max="54" width="3.75"/>
  </cols>
  <sheetData>
    <row r="1">
      <c r="A1" s="83"/>
      <c r="B1" s="84"/>
      <c r="C1" s="84"/>
      <c r="D1" s="84"/>
      <c r="E1" s="1198"/>
      <c r="F1" s="1199" t="s">
        <v>107</v>
      </c>
      <c r="G1" s="2"/>
      <c r="H1" s="2"/>
      <c r="I1" s="2"/>
      <c r="J1" s="2"/>
      <c r="K1" s="2"/>
      <c r="L1" s="2"/>
      <c r="M1" s="2"/>
      <c r="N1" s="2"/>
      <c r="O1" s="2"/>
      <c r="P1" s="2"/>
      <c r="Q1" s="2"/>
      <c r="R1" s="2"/>
      <c r="S1" s="2"/>
      <c r="T1" s="2"/>
      <c r="U1" s="2"/>
      <c r="V1" s="2"/>
      <c r="W1" s="2"/>
      <c r="X1" s="2"/>
      <c r="Y1" s="2"/>
      <c r="Z1" s="2"/>
      <c r="AA1" s="2"/>
      <c r="AB1" s="2"/>
      <c r="AC1" s="2"/>
      <c r="AD1" s="2"/>
      <c r="AE1" s="2"/>
      <c r="AF1" s="2"/>
      <c r="AG1" s="504" t="s">
        <v>108</v>
      </c>
      <c r="AH1" s="7"/>
      <c r="AI1" s="7"/>
      <c r="AJ1" s="7"/>
      <c r="AK1" s="7"/>
      <c r="AL1" s="7"/>
      <c r="AM1" s="7"/>
      <c r="AN1" s="7"/>
      <c r="AO1" s="7"/>
      <c r="AP1" s="7"/>
      <c r="AQ1" s="7"/>
      <c r="AR1" s="7"/>
      <c r="AS1" s="7"/>
      <c r="AT1" s="7"/>
      <c r="AU1" s="7"/>
      <c r="AV1" s="7"/>
      <c r="AW1" s="7"/>
      <c r="AX1" s="7"/>
      <c r="AY1" s="7"/>
      <c r="AZ1" s="7"/>
      <c r="BA1" s="659"/>
      <c r="BB1" s="1200"/>
    </row>
    <row r="2">
      <c r="A2" s="92"/>
      <c r="B2" s="93"/>
      <c r="C2" s="93"/>
      <c r="D2" s="93"/>
      <c r="E2" s="438"/>
      <c r="F2" s="1199" t="s">
        <v>109</v>
      </c>
      <c r="G2" s="2"/>
      <c r="H2" s="1111"/>
      <c r="I2" s="1199" t="s">
        <v>109</v>
      </c>
      <c r="J2" s="2"/>
      <c r="K2" s="1111"/>
      <c r="L2" s="1199" t="s">
        <v>109</v>
      </c>
      <c r="M2" s="2"/>
      <c r="N2" s="1111"/>
      <c r="O2" s="1199" t="s">
        <v>109</v>
      </c>
      <c r="P2" s="2"/>
      <c r="Q2" s="1111"/>
      <c r="R2" s="1199" t="s">
        <v>109</v>
      </c>
      <c r="S2" s="2"/>
      <c r="T2" s="1111"/>
      <c r="U2" s="1199" t="s">
        <v>109</v>
      </c>
      <c r="V2" s="2"/>
      <c r="W2" s="1111"/>
      <c r="X2" s="1199" t="s">
        <v>109</v>
      </c>
      <c r="Y2" s="2"/>
      <c r="Z2" s="1111"/>
      <c r="AA2" s="1199" t="s">
        <v>109</v>
      </c>
      <c r="AB2" s="2"/>
      <c r="AC2" s="1111"/>
      <c r="AD2" s="1199" t="s">
        <v>109</v>
      </c>
      <c r="AE2" s="2"/>
      <c r="AF2" s="1111"/>
      <c r="AG2" s="1199" t="s">
        <v>109</v>
      </c>
      <c r="AH2" s="2"/>
      <c r="AI2" s="1111"/>
      <c r="AJ2" s="1199" t="s">
        <v>109</v>
      </c>
      <c r="AK2" s="2"/>
      <c r="AL2" s="1111"/>
      <c r="AM2" s="1199" t="s">
        <v>109</v>
      </c>
      <c r="AN2" s="2"/>
      <c r="AO2" s="1111"/>
      <c r="AP2" s="98" t="s">
        <v>109</v>
      </c>
      <c r="AS2" s="1199" t="s">
        <v>109</v>
      </c>
      <c r="AT2" s="2"/>
      <c r="AU2" s="1111"/>
      <c r="AV2" s="1199" t="s">
        <v>109</v>
      </c>
      <c r="AW2" s="2"/>
      <c r="AX2" s="1111"/>
      <c r="AY2" s="1199" t="s">
        <v>109</v>
      </c>
      <c r="AZ2" s="2"/>
      <c r="BA2" s="1111"/>
      <c r="BB2" s="1201"/>
    </row>
    <row r="3">
      <c r="A3" s="92" t="s">
        <v>20</v>
      </c>
      <c r="F3" s="505" t="s">
        <v>114</v>
      </c>
      <c r="H3" s="1116"/>
      <c r="I3" s="505" t="s">
        <v>115</v>
      </c>
      <c r="K3" s="1116"/>
      <c r="L3" s="505" t="s">
        <v>116</v>
      </c>
      <c r="N3" s="1116"/>
      <c r="O3" s="1202" t="s">
        <v>117</v>
      </c>
      <c r="Q3" s="1116"/>
      <c r="R3" s="440" t="s">
        <v>118</v>
      </c>
      <c r="T3" s="1116"/>
      <c r="U3" s="505" t="s">
        <v>119</v>
      </c>
      <c r="W3" s="1116"/>
      <c r="X3" s="505" t="s">
        <v>120</v>
      </c>
      <c r="Z3" s="1116"/>
      <c r="AA3" s="505" t="s">
        <v>121</v>
      </c>
      <c r="AC3" s="1116"/>
      <c r="AD3" s="505" t="s">
        <v>122</v>
      </c>
      <c r="AF3" s="1116"/>
      <c r="AG3" s="505" t="s">
        <v>124</v>
      </c>
      <c r="AI3" s="1116"/>
      <c r="AJ3" s="505" t="s">
        <v>138</v>
      </c>
      <c r="AL3" s="1116"/>
      <c r="AM3" s="505" t="s">
        <v>143</v>
      </c>
      <c r="AO3" s="1116"/>
      <c r="AP3" s="1202" t="s">
        <v>144</v>
      </c>
      <c r="AR3" s="1116"/>
      <c r="AS3" s="440" t="s">
        <v>145</v>
      </c>
      <c r="AU3" s="1116"/>
      <c r="AV3" s="440" t="s">
        <v>152</v>
      </c>
      <c r="AX3" s="1116"/>
      <c r="AY3" s="505" t="s">
        <v>153</v>
      </c>
      <c r="BA3" s="1116"/>
      <c r="BB3" s="1201"/>
    </row>
    <row r="4">
      <c r="A4" s="1203"/>
      <c r="B4" s="1204"/>
      <c r="C4" s="1204"/>
      <c r="D4" s="1204"/>
      <c r="E4" s="1204"/>
      <c r="F4" s="1205" t="s">
        <v>1087</v>
      </c>
      <c r="G4" s="105" t="s">
        <v>1088</v>
      </c>
      <c r="H4" s="106" t="s">
        <v>1089</v>
      </c>
      <c r="I4" s="1205" t="s">
        <v>1087</v>
      </c>
      <c r="J4" s="105" t="s">
        <v>1088</v>
      </c>
      <c r="K4" s="106" t="s">
        <v>1089</v>
      </c>
      <c r="L4" s="1205" t="s">
        <v>1087</v>
      </c>
      <c r="M4" s="105" t="s">
        <v>1088</v>
      </c>
      <c r="N4" s="106" t="s">
        <v>1089</v>
      </c>
      <c r="O4" s="1205" t="s">
        <v>1087</v>
      </c>
      <c r="P4" s="105" t="s">
        <v>1088</v>
      </c>
      <c r="Q4" s="106" t="s">
        <v>1089</v>
      </c>
      <c r="R4" s="1205" t="s">
        <v>1087</v>
      </c>
      <c r="S4" s="105" t="s">
        <v>1088</v>
      </c>
      <c r="T4" s="106" t="s">
        <v>1089</v>
      </c>
      <c r="U4" s="1205" t="s">
        <v>1087</v>
      </c>
      <c r="V4" s="105" t="s">
        <v>1088</v>
      </c>
      <c r="W4" s="106" t="s">
        <v>1089</v>
      </c>
      <c r="X4" s="1205" t="s">
        <v>1087</v>
      </c>
      <c r="Y4" s="105" t="s">
        <v>1088</v>
      </c>
      <c r="Z4" s="106" t="s">
        <v>1089</v>
      </c>
      <c r="AA4" s="1205" t="s">
        <v>1087</v>
      </c>
      <c r="AB4" s="105" t="s">
        <v>1088</v>
      </c>
      <c r="AC4" s="106" t="s">
        <v>1089</v>
      </c>
      <c r="AD4" s="1205" t="s">
        <v>1087</v>
      </c>
      <c r="AE4" s="105" t="s">
        <v>1088</v>
      </c>
      <c r="AF4" s="106" t="s">
        <v>1089</v>
      </c>
      <c r="AG4" s="1205" t="s">
        <v>1087</v>
      </c>
      <c r="AH4" s="105" t="s">
        <v>1088</v>
      </c>
      <c r="AI4" s="106" t="s">
        <v>1089</v>
      </c>
      <c r="AJ4" s="1205" t="s">
        <v>1087</v>
      </c>
      <c r="AK4" s="105" t="s">
        <v>1088</v>
      </c>
      <c r="AL4" s="106" t="s">
        <v>1089</v>
      </c>
      <c r="AM4" s="1205" t="s">
        <v>1087</v>
      </c>
      <c r="AN4" s="105" t="s">
        <v>1088</v>
      </c>
      <c r="AO4" s="106" t="s">
        <v>1089</v>
      </c>
      <c r="AP4" s="1205" t="s">
        <v>1087</v>
      </c>
      <c r="AQ4" s="105" t="s">
        <v>1088</v>
      </c>
      <c r="AR4" s="106" t="s">
        <v>1089</v>
      </c>
      <c r="AS4" s="1205" t="s">
        <v>1087</v>
      </c>
      <c r="AT4" s="105" t="s">
        <v>1088</v>
      </c>
      <c r="AU4" s="106" t="s">
        <v>1089</v>
      </c>
      <c r="AV4" s="1205" t="s">
        <v>1087</v>
      </c>
      <c r="AW4" s="105" t="s">
        <v>1088</v>
      </c>
      <c r="AX4" s="106" t="s">
        <v>1089</v>
      </c>
      <c r="AY4" s="1205" t="s">
        <v>1087</v>
      </c>
      <c r="AZ4" s="105" t="s">
        <v>1088</v>
      </c>
      <c r="BA4" s="106" t="s">
        <v>1089</v>
      </c>
      <c r="BB4" s="1206"/>
    </row>
    <row r="5">
      <c r="A5" s="1080" t="s">
        <v>1090</v>
      </c>
      <c r="B5" s="7"/>
      <c r="C5" s="7"/>
      <c r="D5" s="7"/>
      <c r="E5" s="659"/>
      <c r="F5" s="1125">
        <f>'Main CEA'!I242</f>
        <v>20.03960646</v>
      </c>
      <c r="G5" s="7"/>
      <c r="H5" s="659"/>
      <c r="I5" s="1125">
        <f>'Main CEA'!J242</f>
        <v>10.02083846</v>
      </c>
      <c r="J5" s="7"/>
      <c r="K5" s="659"/>
      <c r="L5" s="1125">
        <f>'Main CEA'!K242</f>
        <v>18.1775049</v>
      </c>
      <c r="M5" s="7"/>
      <c r="N5" s="659"/>
      <c r="O5" s="1125">
        <f>'Main CEA'!L242</f>
        <v>9.002767152</v>
      </c>
      <c r="P5" s="7"/>
      <c r="Q5" s="659"/>
      <c r="R5" s="1125">
        <f>'Main CEA'!M242</f>
        <v>12.61282684</v>
      </c>
      <c r="S5" s="7"/>
      <c r="T5" s="659"/>
      <c r="U5" s="1125">
        <f>'Main CEA'!N242</f>
        <v>16.80973361</v>
      </c>
      <c r="V5" s="7"/>
      <c r="W5" s="659"/>
      <c r="X5" s="1125">
        <f>'Main CEA'!O242</f>
        <v>29.03701301</v>
      </c>
      <c r="Y5" s="7"/>
      <c r="Z5" s="659"/>
      <c r="AA5" s="1125">
        <f>'Main CEA'!P242</f>
        <v>38.57993882</v>
      </c>
      <c r="AB5" s="7"/>
      <c r="AC5" s="659"/>
      <c r="AD5" s="1125">
        <f>'Main CEA'!Q242</f>
        <v>31.32991169</v>
      </c>
      <c r="AE5" s="7"/>
      <c r="AF5" s="659"/>
      <c r="AG5" s="1125">
        <f>'Main CEA'!S242</f>
        <v>3.935219868</v>
      </c>
      <c r="AH5" s="7"/>
      <c r="AI5" s="659"/>
      <c r="AJ5" s="1125">
        <f>'Main CEA'!AG242</f>
        <v>5.190946506</v>
      </c>
      <c r="AK5" s="7"/>
      <c r="AL5" s="659"/>
      <c r="AM5" s="1125">
        <f>'Main CEA'!AL242</f>
        <v>7.304670065</v>
      </c>
      <c r="AN5" s="7"/>
      <c r="AO5" s="659"/>
      <c r="AP5" s="1125">
        <f>'Main CEA'!AM242</f>
        <v>8.772466493</v>
      </c>
      <c r="AQ5" s="7"/>
      <c r="AR5" s="659"/>
      <c r="AS5" s="1125">
        <f>'Main CEA'!AN242</f>
        <v>5.309486223</v>
      </c>
      <c r="AT5" s="7"/>
      <c r="AU5" s="659"/>
      <c r="AV5" s="1125">
        <f>'Main CEA'!AU242</f>
        <v>6.395027811</v>
      </c>
      <c r="AW5" s="7"/>
      <c r="AX5" s="659"/>
      <c r="AY5" s="1125">
        <f>'Main CEA'!AV242</f>
        <v>11.47196265</v>
      </c>
      <c r="AZ5" s="7"/>
      <c r="BA5" s="659"/>
      <c r="BB5" s="1126"/>
    </row>
    <row r="6">
      <c r="A6" s="1207" t="s">
        <v>1093</v>
      </c>
      <c r="B6" s="7"/>
      <c r="C6" s="7"/>
      <c r="D6" s="7"/>
      <c r="E6" s="7"/>
      <c r="F6" s="1208"/>
      <c r="G6" s="1209"/>
      <c r="H6" s="1210"/>
      <c r="I6" s="1208"/>
      <c r="J6" s="1209"/>
      <c r="K6" s="1210"/>
      <c r="L6" s="1208"/>
      <c r="M6" s="1209"/>
      <c r="N6" s="1210"/>
      <c r="O6" s="1211"/>
      <c r="P6" s="1212"/>
      <c r="Q6" s="1213"/>
      <c r="R6" s="1211"/>
      <c r="S6" s="1212"/>
      <c r="T6" s="1213"/>
      <c r="U6" s="1211"/>
      <c r="V6" s="1212"/>
      <c r="W6" s="1213"/>
      <c r="X6" s="1211"/>
      <c r="Y6" s="1212"/>
      <c r="Z6" s="1213"/>
      <c r="AA6" s="1208"/>
      <c r="AB6" s="1209"/>
      <c r="AC6" s="1210"/>
      <c r="AD6" s="1208"/>
      <c r="AE6" s="1209"/>
      <c r="AF6" s="1210"/>
      <c r="AG6" s="1208"/>
      <c r="AH6" s="1209"/>
      <c r="AI6" s="1210"/>
      <c r="AJ6" s="1208"/>
      <c r="AK6" s="1209"/>
      <c r="AL6" s="1210"/>
      <c r="AM6" s="1208"/>
      <c r="AN6" s="1209"/>
      <c r="AO6" s="1210"/>
      <c r="AP6" s="1208"/>
      <c r="AQ6" s="1209"/>
      <c r="AR6" s="1210"/>
      <c r="AS6" s="1208"/>
      <c r="AT6" s="1209"/>
      <c r="AU6" s="1210"/>
      <c r="AV6" s="1208"/>
      <c r="AW6" s="1209"/>
      <c r="AX6" s="1210"/>
      <c r="AY6" s="1208"/>
      <c r="AZ6" s="1209"/>
      <c r="BA6" s="1210"/>
      <c r="BB6" s="1208"/>
    </row>
    <row r="7">
      <c r="A7" s="1207" t="s">
        <v>1094</v>
      </c>
      <c r="B7" s="7"/>
      <c r="C7" s="7"/>
      <c r="D7" s="7"/>
      <c r="E7" s="7"/>
      <c r="F7" s="1214"/>
      <c r="G7" s="1124"/>
      <c r="H7" s="1126"/>
      <c r="I7" s="1214"/>
      <c r="J7" s="1124"/>
      <c r="K7" s="1126"/>
      <c r="L7" s="1214"/>
      <c r="M7" s="1124"/>
      <c r="N7" s="1126"/>
      <c r="O7" s="1214"/>
      <c r="P7" s="1212"/>
      <c r="Q7" s="1126"/>
      <c r="R7" s="1214"/>
      <c r="S7" s="1212"/>
      <c r="T7" s="1126"/>
      <c r="U7" s="1214"/>
      <c r="V7" s="1212"/>
      <c r="W7" s="1126"/>
      <c r="X7" s="1214"/>
      <c r="Y7" s="1212"/>
      <c r="Z7" s="1126"/>
      <c r="AA7" s="1214"/>
      <c r="AB7" s="1124"/>
      <c r="AC7" s="1126"/>
      <c r="AD7" s="1214"/>
      <c r="AE7" s="1124"/>
      <c r="AF7" s="1126"/>
      <c r="AG7" s="1214"/>
      <c r="AH7" s="1124"/>
      <c r="AI7" s="1126"/>
      <c r="AJ7" s="1214"/>
      <c r="AK7" s="1124"/>
      <c r="AL7" s="1126"/>
      <c r="AM7" s="1214"/>
      <c r="AN7" s="1124"/>
      <c r="AO7" s="1126"/>
      <c r="AP7" s="1214"/>
      <c r="AQ7" s="1124"/>
      <c r="AR7" s="1126"/>
      <c r="AS7" s="1214"/>
      <c r="AT7" s="1124"/>
      <c r="AU7" s="1126"/>
      <c r="AV7" s="1214"/>
      <c r="AW7" s="1124"/>
      <c r="AX7" s="1126"/>
      <c r="AY7" s="1214"/>
      <c r="AZ7" s="1124"/>
      <c r="BA7" s="1126"/>
      <c r="BB7" s="1214"/>
    </row>
    <row r="8" hidden="1">
      <c r="A8" s="294"/>
      <c r="B8" s="294"/>
      <c r="C8" s="24"/>
      <c r="D8" s="24"/>
      <c r="E8" s="471" t="s">
        <v>1095</v>
      </c>
      <c r="F8" s="1215" t="s">
        <v>1096</v>
      </c>
      <c r="G8" s="1155"/>
      <c r="H8" s="1216"/>
      <c r="I8" s="1217"/>
      <c r="J8" s="1155"/>
      <c r="K8" s="1216"/>
      <c r="L8" s="1217"/>
      <c r="M8" s="1155"/>
      <c r="N8" s="1216"/>
      <c r="O8" s="1216"/>
      <c r="P8" s="1155"/>
      <c r="Q8" s="1216"/>
      <c r="R8" s="1216"/>
      <c r="S8" s="1155"/>
      <c r="T8" s="1216"/>
      <c r="U8" s="1216"/>
      <c r="V8" s="1155"/>
      <c r="W8" s="1216"/>
      <c r="X8" s="1216"/>
      <c r="Y8" s="1155"/>
      <c r="Z8" s="1216"/>
      <c r="AA8" s="1217"/>
      <c r="AB8" s="1155"/>
      <c r="AC8" s="1216"/>
      <c r="AD8" s="1217"/>
      <c r="AE8" s="1155"/>
      <c r="AF8" s="1216"/>
      <c r="AG8" s="1217"/>
      <c r="AH8" s="1155"/>
      <c r="AI8" s="1216"/>
      <c r="AJ8" s="1217"/>
      <c r="AK8" s="1155"/>
      <c r="AL8" s="1216"/>
      <c r="AM8" s="1217"/>
      <c r="AN8" s="1155"/>
      <c r="AO8" s="1216"/>
      <c r="AP8" s="1217"/>
      <c r="AQ8" s="1155"/>
      <c r="AR8" s="1216"/>
      <c r="AS8" s="1217"/>
      <c r="AT8" s="1155"/>
      <c r="AU8" s="1216"/>
      <c r="AV8" s="1217"/>
      <c r="AW8" s="1155"/>
      <c r="AX8" s="1216"/>
      <c r="AY8" s="1217"/>
      <c r="AZ8" s="1155"/>
      <c r="BA8" s="1216"/>
      <c r="BB8" s="1217"/>
    </row>
    <row r="9">
      <c r="A9" s="293"/>
      <c r="B9" s="294"/>
      <c r="C9" s="24"/>
      <c r="D9" s="294"/>
      <c r="E9" s="1218" t="str">
        <f t="shared" ref="E9:E21" si="1">E28</f>
        <v>Grant size</v>
      </c>
      <c r="F9" s="1219" t="str">
        <f>IFERROR(__xludf.DUMMYFUNCTION("Iferror(IF(
  IFNA(
    FILTER(
      IMPORTRANGE($F$8,""'Sensitivity [""&amp;IF(F$3="""",F$2,F$2&amp;"", ""&amp;F$3)&amp;""]'!D1:D20""),
      IMPORTRANGE($F$8,""'Sensitivity [""&amp;IF(F$3="""",F$2,F$2&amp;"", ""&amp;F$3)&amp;""]'!A1:A20"")=$E9
    ),
    """"
  ) = """",
  ""-"",
  F"&amp;"$5 * ( 1 +
    IFNA(
      FILTER(
        IMPORTRANGE($F$8,""'Sensitivity [""&amp;IF(F$3="""",F$2,F$2&amp;"", ""&amp;F$3)&amp;""]'!D1:D20""),
        IMPORTRANGE($F$8,""'Sensitivity [""&amp;IF(F$3="""",F$2,F$2&amp;"", ""&amp;F$3)&amp;""]'!A1:A20"")=$E9
      ),
      """"
    )
  )
), "&amp;"""-"")
"),"-")</f>
        <v>-</v>
      </c>
      <c r="G9" s="1220" t="s">
        <v>162</v>
      </c>
      <c r="H9" s="1221"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219"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220" t="s">
        <v>162</v>
      </c>
      <c r="K9" s="1221"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219"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220" t="s">
        <v>162</v>
      </c>
      <c r="N9" s="1221"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222" t="str">
        <f>IFERROR(__xludf.DUMMYFUNCTION("IFERROR(FILTER(IMPORTRANGE($F$8,""'Sensitivity [""&amp;if(O$3="""",O$2,O$2&amp;"", ""&amp;O$3)&amp;""]'!B1:B20""), IMPORTRANGE($F$8,""'Sensitivity [""&amp;if(O$3="""",O$2,O$2&amp;"", ""&amp;O$3)&amp;""]'!A1:A20"")=$E9), ""-"")"),"-")</f>
        <v>-</v>
      </c>
      <c r="P9" s="1220" t="s">
        <v>162</v>
      </c>
      <c r="Q9" s="1223" t="str">
        <f>IFERROR(__xludf.DUMMYFUNCTION("IFERROR(FILTER(IMPORTRANGE($F$8,""'Sensitivity [""&amp;if(O$3="""",O$2,O$2&amp;"", ""&amp;O$3)&amp;""]'!C1:C20""), IMPORTRANGE($F$8,""'Sensitivity [""&amp;if(O$3="""",O$2,O$2&amp;"", ""&amp;O$3)&amp;""]'!A1:A20"")=$E9), ""-"")"),"-")</f>
        <v>-</v>
      </c>
      <c r="R9" s="1222" t="str">
        <f>IFERROR(__xludf.DUMMYFUNCTION("IFERROR(FILTER(IMPORTRANGE($F$8,""'Sensitivity [""&amp;if(R$3="""",R$2,R$2&amp;"", ""&amp;R$3)&amp;""]'!B1:B20""), IMPORTRANGE($F$8,""'Sensitivity [""&amp;if(R$3="""",R$2,R$2&amp;"", ""&amp;R$3)&amp;""]'!A1:A20"")=$E9), ""-"")"),"-")</f>
        <v>-</v>
      </c>
      <c r="S9" s="1220" t="s">
        <v>162</v>
      </c>
      <c r="T9" s="1223" t="str">
        <f>IFERROR(__xludf.DUMMYFUNCTION("IFERROR(FILTER(IMPORTRANGE($F$8,""'Sensitivity [""&amp;if(R$3="""",R$2,R$2&amp;"", ""&amp;R$3)&amp;""]'!C1:C20""), IMPORTRANGE($F$8,""'Sensitivity [""&amp;if(R$3="""",R$2,R$2&amp;"", ""&amp;R$3)&amp;""]'!A1:A20"")=$E9), ""-"")"),"-")</f>
        <v>-</v>
      </c>
      <c r="U9" s="1222" t="str">
        <f>IFERROR(__xludf.DUMMYFUNCTION("IFERROR(FILTER(IMPORTRANGE($F$8,""'Sensitivity [""&amp;if(U$3="""",U$2,U$2&amp;"", ""&amp;U$3)&amp;""]'!B1:B20""), IMPORTRANGE($F$8,""'Sensitivity [""&amp;if(U$3="""",U$2,U$2&amp;"", ""&amp;U$3)&amp;""]'!A1:A20"")=$E9), ""-"")"),"-")</f>
        <v>-</v>
      </c>
      <c r="V9" s="1220" t="s">
        <v>162</v>
      </c>
      <c r="W9" s="1223" t="str">
        <f>IFERROR(__xludf.DUMMYFUNCTION("IFERROR(FILTER(IMPORTRANGE($F$8,""'Sensitivity [""&amp;if(U$3="""",U$2,U$2&amp;"", ""&amp;U$3)&amp;""]'!C1:C20""), IMPORTRANGE($F$8,""'Sensitivity [""&amp;if(U$3="""",U$2,U$2&amp;"", ""&amp;U$3)&amp;""]'!A1:A20"")=$E9), ""-"")"),"-")</f>
        <v>-</v>
      </c>
      <c r="X9" s="1222" t="str">
        <f>IFERROR(__xludf.DUMMYFUNCTION("IFERROR(FILTER(IMPORTRANGE($F$8,""'Sensitivity [""&amp;if(X$3="""",X$2,X$2&amp;"", ""&amp;X$3)&amp;""]'!B1:B20""), IMPORTRANGE($F$8,""'Sensitivity [""&amp;if(X$3="""",X$2,X$2&amp;"", ""&amp;X$3)&amp;""]'!A1:A20"")=$E9), ""-"")"),"-")</f>
        <v>-</v>
      </c>
      <c r="Y9" s="1220" t="s">
        <v>162</v>
      </c>
      <c r="Z9" s="1223" t="str">
        <f>IFERROR(__xludf.DUMMYFUNCTION("IFERROR(FILTER(IMPORTRANGE($F$8,""'Sensitivity [""&amp;if(X$3="""",X$2,X$2&amp;"", ""&amp;X$3)&amp;""]'!C1:C20""), IMPORTRANGE($F$8,""'Sensitivity [""&amp;if(X$3="""",X$2,X$2&amp;"", ""&amp;X$3)&amp;""]'!A1:A20"")=$E9), ""-"")"),"-")</f>
        <v>-</v>
      </c>
      <c r="AA9" s="1219"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220" t="s">
        <v>162</v>
      </c>
      <c r="AC9" s="1221"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219"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1220" t="s">
        <v>162</v>
      </c>
      <c r="AF9" s="1221"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1219"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1220" t="s">
        <v>162</v>
      </c>
      <c r="AI9" s="1221"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1219"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1220" t="s">
        <v>162</v>
      </c>
      <c r="AL9" s="1221"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1219"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1220" t="s">
        <v>162</v>
      </c>
      <c r="AO9" s="1221"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1219"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1220" t="s">
        <v>162</v>
      </c>
      <c r="AR9" s="1221"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1219"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1220" t="s">
        <v>162</v>
      </c>
      <c r="AU9" s="1221"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1219"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1220" t="s">
        <v>162</v>
      </c>
      <c r="AX9" s="1221"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1219"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1220" t="s">
        <v>162</v>
      </c>
      <c r="BA9" s="1221"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1219"/>
    </row>
    <row r="10">
      <c r="A10" s="293"/>
      <c r="B10" s="294"/>
      <c r="C10" s="24"/>
      <c r="D10" s="294"/>
      <c r="E10" s="307" t="str">
        <f t="shared" si="1"/>
        <v>Cost per child reached</v>
      </c>
      <c r="F10" s="1224">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"),23.677582980987996)</f>
        <v>23.67758298</v>
      </c>
      <c r="G10" s="1225" t="s">
        <v>162</v>
      </c>
      <c r="H10" s="1226">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"),15.785055320658621)</f>
        <v>15.78505532</v>
      </c>
      <c r="I10" s="1219">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"),11.922466660379778)</f>
        <v>11.92246666</v>
      </c>
      <c r="J10" s="1227" t="s">
        <v>162</v>
      </c>
      <c r="K10" s="1221">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"),7.948311106919859)</f>
        <v>7.948311107</v>
      </c>
      <c r="L10" s="1219">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"),21.626813803978028)</f>
        <v>21.6268138</v>
      </c>
      <c r="M10" s="1227" t="s">
        <v>162</v>
      </c>
      <c r="N10" s="1221">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"),14.417875869318696)</f>
        <v>14.41787587</v>
      </c>
      <c r="O10" s="1219">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"),10.720366307025934)</f>
        <v>10.72036631</v>
      </c>
      <c r="P10" s="1227" t="s">
        <v>162</v>
      </c>
      <c r="Q10" s="1221">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"),7.14691087135061)</f>
        <v>7.146910871</v>
      </c>
      <c r="R10" s="1219">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"),15.028392924742016)</f>
        <v>15.02839292</v>
      </c>
      <c r="S10" s="1227" t="s">
        <v>162</v>
      </c>
      <c r="T10" s="1221">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"),10.018928616494648)</f>
        <v>10.01892862</v>
      </c>
      <c r="U10" s="1219">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"),19.86618025777128)</f>
        <v>19.86618026</v>
      </c>
      <c r="V10" s="1227" t="s">
        <v>162</v>
      </c>
      <c r="W10" s="1221">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"),13.244120171847547)</f>
        <v>13.24412017</v>
      </c>
      <c r="X10" s="1219">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"),34.57936265421221)</f>
        <v>34.57936265</v>
      </c>
      <c r="Y10" s="1227" t="s">
        <v>162</v>
      </c>
      <c r="Z10" s="1221">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"),23.0529084361415)</f>
        <v>23.05290844</v>
      </c>
      <c r="AA10" s="1219">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"),45.6035874094533)</f>
        <v>45.60358741</v>
      </c>
      <c r="AB10" s="1227" t="s">
        <v>162</v>
      </c>
      <c r="AC10" s="1221">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"),30.402391606302267)</f>
        <v>30.40239161</v>
      </c>
      <c r="AD10" s="1219">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"),37.08597187072092)</f>
        <v>37.08597187</v>
      </c>
      <c r="AE10" s="1227" t="s">
        <v>162</v>
      </c>
      <c r="AF10" s="1221">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"),24.723981247147254)</f>
        <v>24.72398125</v>
      </c>
      <c r="AG10" s="1219">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"),4.683437795298658)</f>
        <v>4.683437795</v>
      </c>
      <c r="AH10" s="1227" t="s">
        <v>162</v>
      </c>
      <c r="AI10" s="1221">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"),3.122291863532441)</f>
        <v>3.122291864</v>
      </c>
      <c r="AJ10" s="1219">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"),6.12835533675736)</f>
        <v>6.128355337</v>
      </c>
      <c r="AK10" s="1227" t="s">
        <v>162</v>
      </c>
      <c r="AL10" s="1221">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"),4.085570224504894)</f>
        <v>4.085570225</v>
      </c>
      <c r="AM10" s="1219">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"),8.659931032561433)</f>
        <v>8.659931033</v>
      </c>
      <c r="AN10" s="1227" t="s">
        <v>162</v>
      </c>
      <c r="AO10" s="1221">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"),5.77328735504096)</f>
        <v>5.773287355</v>
      </c>
      <c r="AP10" s="1219">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"),10.3265622231328)</f>
        <v>10.32656222</v>
      </c>
      <c r="AQ10" s="1227" t="s">
        <v>162</v>
      </c>
      <c r="AR10" s="1221">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"),6.884374815421892)</f>
        <v>6.884374815</v>
      </c>
      <c r="AS10" s="1219">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"),6.2205675843807775)</f>
        <v>6.220567584</v>
      </c>
      <c r="AT10" s="1227" t="s">
        <v>162</v>
      </c>
      <c r="AU10" s="1221">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"),4.1470450562538685)</f>
        <v>4.147045056</v>
      </c>
      <c r="AV10" s="1219">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"),7.597058364250688)</f>
        <v>7.597058364</v>
      </c>
      <c r="AW10" s="1227" t="s">
        <v>162</v>
      </c>
      <c r="AX10" s="1221">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"),5.064705576167112)</f>
        <v>5.064705576</v>
      </c>
      <c r="AY10" s="1219">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"),13.534961691779142)</f>
        <v>13.53496169</v>
      </c>
      <c r="AZ10" s="1227" t="s">
        <v>162</v>
      </c>
      <c r="BA10" s="1221">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"),9.02330779451942)</f>
        <v>9.023307795</v>
      </c>
      <c r="BB10" s="1219"/>
    </row>
    <row r="11">
      <c r="A11" s="293"/>
      <c r="B11" s="294"/>
      <c r="C11" s="24"/>
      <c r="D11" s="294"/>
      <c r="E11" s="307" t="str">
        <f t="shared" si="1"/>
        <v>Proportion of reached children who would be vaccinated in the absence of the program</v>
      </c>
      <c r="F11" s="1224">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"),33.19398045613873)</f>
        <v>33.19398046</v>
      </c>
      <c r="G11" s="1225" t="s">
        <v>162</v>
      </c>
      <c r="H11" s="1226">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"),6.803019379756222)</f>
        <v>6.80301938</v>
      </c>
      <c r="I11" s="1219">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"),17.44878166045862)</f>
        <v>17.44878166</v>
      </c>
      <c r="J11" s="1227" t="s">
        <v>162</v>
      </c>
      <c r="K11" s="1221">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"),2.6806347681806604)</f>
        <v>2.680634768</v>
      </c>
      <c r="L11" s="1219">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"),34.80177373946483)</f>
        <v>34.80177374</v>
      </c>
      <c r="M11" s="1227" t="s">
        <v>162</v>
      </c>
      <c r="N11" s="1221">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"),1.7400293917208698)</f>
        <v>1.740029392</v>
      </c>
      <c r="O11" s="1219">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"),16.351571171879897)</f>
        <v>16.35157117</v>
      </c>
      <c r="P11" s="1227" t="s">
        <v>162</v>
      </c>
      <c r="Q11" s="1221">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"),1.8035595845689925)</f>
        <v>1.803559585</v>
      </c>
      <c r="R11" s="1219">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"),21.969163953539663)</f>
        <v>21.96916395</v>
      </c>
      <c r="S11" s="1227" t="s">
        <v>162</v>
      </c>
      <c r="T11" s="1221">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"),3.21817799966766)</f>
        <v>3.218178</v>
      </c>
      <c r="U11" s="1219">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"),31.070085310549267)</f>
        <v>31.07008531</v>
      </c>
      <c r="V11" s="1227" t="s">
        <v>162</v>
      </c>
      <c r="W11" s="1221">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"),2.4233733183210675)</f>
        <v>2.423373318</v>
      </c>
      <c r="X11" s="1219">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"),51.858876213996375)</f>
        <v>51.85887621</v>
      </c>
      <c r="Y11" s="1227" t="s">
        <v>162</v>
      </c>
      <c r="Z11" s="1221">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"),6.77649205583852)</f>
        <v>6.776492056</v>
      </c>
      <c r="AA11" s="1219">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"),73.53206805298518)</f>
        <v>73.53206805</v>
      </c>
      <c r="AB11" s="1227" t="s">
        <v>162</v>
      </c>
      <c r="AC11" s="1221">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"),5.171593835231588)</f>
        <v>5.171593835</v>
      </c>
      <c r="AD11" s="1219">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"),54.71004165204637)</f>
        <v>54.71004165</v>
      </c>
      <c r="AE11" s="1227" t="s">
        <v>162</v>
      </c>
      <c r="AF11" s="1221">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"),7.015808889045271)</f>
        <v>7.015808889</v>
      </c>
      <c r="AG11" s="1219">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"),7.489008293558138)</f>
        <v>7.489008294</v>
      </c>
      <c r="AH11" s="1227" t="s">
        <v>162</v>
      </c>
      <c r="AI11" s="1221">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"),0.40506085093199384)</f>
        <v>0.4050608509</v>
      </c>
      <c r="AJ11" s="1219">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"),10.14843165235817)</f>
        <v>10.14843165</v>
      </c>
      <c r="AK11" s="1227" t="s">
        <v>162</v>
      </c>
      <c r="AL11" s="1221">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"),0.3928464513360346)</f>
        <v>0.3928464513</v>
      </c>
      <c r="AM11" s="1219">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"),11.013803841437662)</f>
        <v>11.01380384</v>
      </c>
      <c r="AN11" s="1227" t="s">
        <v>162</v>
      </c>
      <c r="AO11" s="1221">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"),3.409173364785369)</f>
        <v>3.409173365</v>
      </c>
      <c r="AP11" s="1219">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"),12.545078008724762)</f>
        <v>12.54507801</v>
      </c>
      <c r="AQ11" s="1227" t="s">
        <v>162</v>
      </c>
      <c r="AR11" s="1221">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"),5.028105822421377)</f>
        <v>5.028105822</v>
      </c>
      <c r="AS11" s="1219">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"),9.575670138732598)</f>
        <v>9.575670139</v>
      </c>
      <c r="AT11" s="1227" t="s">
        <v>162</v>
      </c>
      <c r="AU11" s="1221">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"),0.9633677681142392)</f>
        <v>0.9633677681</v>
      </c>
      <c r="AV11" s="1219">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"),12.191192046955635)</f>
        <v>12.19119205</v>
      </c>
      <c r="AW11" s="1227" t="s">
        <v>162</v>
      </c>
      <c r="AX11" s="1221">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"),0.5679195763777714)</f>
        <v>0.5679195764</v>
      </c>
      <c r="AY11" s="1219">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"),21.48901222674672)</f>
        <v>21.48901223</v>
      </c>
      <c r="AZ11" s="1227" t="s">
        <v>162</v>
      </c>
      <c r="BA11" s="1221">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"),1.9148818799556933)</f>
        <v>1.91488188</v>
      </c>
      <c r="BB11" s="1219"/>
    </row>
    <row r="12">
      <c r="A12" s="293"/>
      <c r="B12" s="294"/>
      <c r="C12" s="24"/>
      <c r="D12" s="24"/>
      <c r="E12" s="307" t="str">
        <f t="shared" si="1"/>
        <v>Probability that an unvaccinated child will die of vaccine-preventable causes before age five</v>
      </c>
      <c r="F12" s="1224">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"),13.091373614144826)</f>
        <v>13.09137361</v>
      </c>
      <c r="G12" s="1225" t="s">
        <v>162</v>
      </c>
      <c r="H12" s="1226">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"),27.18977596783917)</f>
        <v>27.18977597</v>
      </c>
      <c r="I12" s="1219">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"),6.393805158793446)</f>
        <v>6.393805159</v>
      </c>
      <c r="J12" s="1227" t="s">
        <v>162</v>
      </c>
      <c r="K12" s="1221">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"),13.279441483647958)</f>
        <v>13.27944148</v>
      </c>
      <c r="L12" s="1219">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"),11.799353119594917)</f>
        <v>11.79935312</v>
      </c>
      <c r="M12" s="1227" t="s">
        <v>162</v>
      </c>
      <c r="N12" s="1221">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"),24.5063487868509)</f>
        <v>24.50634879</v>
      </c>
      <c r="O12" s="1219">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"),5.841580797818289)</f>
        <v>5.841580798</v>
      </c>
      <c r="P12" s="1227" t="s">
        <v>162</v>
      </c>
      <c r="Q12" s="1221">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"),12.132513964699527)</f>
        <v>12.13251396</v>
      </c>
      <c r="R12" s="1219">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"),8.08977224235954)</f>
        <v>8.089772242</v>
      </c>
      <c r="S12" s="1227" t="s">
        <v>162</v>
      </c>
      <c r="T12" s="1221">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"),16.8018346572083)</f>
        <v>16.80183466</v>
      </c>
      <c r="U12" s="1219">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"),10.944663806373399)</f>
        <v>10.94466381</v>
      </c>
      <c r="V12" s="1227" t="s">
        <v>162</v>
      </c>
      <c r="W12" s="1221">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"),22.731224828621706)</f>
        <v>22.73122483</v>
      </c>
      <c r="X12" s="1219">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"),18.63451304978486)</f>
        <v>18.63451305</v>
      </c>
      <c r="Y12" s="1227" t="s">
        <v>162</v>
      </c>
      <c r="Z12" s="1221">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"),38.70245018032248)</f>
        <v>38.70245018</v>
      </c>
      <c r="AA12" s="1219">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"),25.124550749641195)</f>
        <v>25.12455075</v>
      </c>
      <c r="AB12" s="1227" t="s">
        <v>162</v>
      </c>
      <c r="AC12" s="1221">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"),52.18175924925484)</f>
        <v>52.18175925</v>
      </c>
      <c r="AD12" s="1219">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"),20.116599757624122)</f>
        <v>20.11659976</v>
      </c>
      <c r="AE12" s="1227" t="s">
        <v>162</v>
      </c>
      <c r="AF12" s="1221">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"),41.780630265834596)</f>
        <v>41.78063027</v>
      </c>
      <c r="AG12" s="1219">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"),2.5260348905301737)</f>
        <v>2.526034891</v>
      </c>
      <c r="AH12" s="1227" t="s">
        <v>162</v>
      </c>
      <c r="AI12" s="1221">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"),5.246380157254983)</f>
        <v>5.246380157</v>
      </c>
      <c r="AJ12" s="1219">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"),3.393594825438763)</f>
        <v>3.393594825</v>
      </c>
      <c r="AK12" s="1227" t="s">
        <v>162</v>
      </c>
      <c r="AL12" s="1221">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"),7.048235406680521)</f>
        <v>7.048235407</v>
      </c>
      <c r="AM12" s="1219">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"),4.749867909292313)</f>
        <v>4.749867909</v>
      </c>
      <c r="AN12" s="1227" t="s">
        <v>162</v>
      </c>
      <c r="AO12" s="1221">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"),9.865110273145543)</f>
        <v>9.865110273</v>
      </c>
      <c r="AP12" s="1219">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"),5.6513368709996605)</f>
        <v>5.651336871</v>
      </c>
      <c r="AQ12" s="1227" t="s">
        <v>162</v>
      </c>
      <c r="AR12" s="1221">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"),11.73739196284544)</f>
        <v>11.73739196</v>
      </c>
      <c r="AS12" s="1219">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"),3.4344314316726257)</f>
        <v>3.434431432</v>
      </c>
      <c r="AT12" s="1227" t="s">
        <v>162</v>
      </c>
      <c r="AU12" s="1221">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"),7.133049896550868)</f>
        <v>7.133049897</v>
      </c>
      <c r="AV12" s="1219">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"),4.125211297022625)</f>
        <v>4.125211297</v>
      </c>
      <c r="AW12" s="1227" t="s">
        <v>162</v>
      </c>
      <c r="AX12" s="1221">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"),8.56774653997008)</f>
        <v>8.56774654</v>
      </c>
      <c r="AY12" s="1219">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"),7.453711595005282)</f>
        <v>7.453711595</v>
      </c>
      <c r="AZ12" s="1227" t="s">
        <v>162</v>
      </c>
      <c r="BA12" s="1221">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"),15.480785620395542)</f>
        <v>15.48078562</v>
      </c>
      <c r="BB12" s="1219"/>
    </row>
    <row r="13">
      <c r="A13" s="293"/>
      <c r="B13" s="294"/>
      <c r="C13" s="24"/>
      <c r="D13" s="294"/>
      <c r="E13" s="921" t="str">
        <f t="shared" si="1"/>
        <v>Effect of vaccination on under-five deaths attributable to vaccine-preventable disease</v>
      </c>
      <c r="F13" s="1224">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"),16.06273360643118)</f>
        <v>16.06273361</v>
      </c>
      <c r="G13" s="1225" t="s">
        <v>162</v>
      </c>
      <c r="H13" s="1226">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"),24.094100409646813)</f>
        <v>24.09410041</v>
      </c>
      <c r="I13" s="1219">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"),7.975055187588796)</f>
        <v>7.975055188</v>
      </c>
      <c r="J13" s="1227" t="s">
        <v>162</v>
      </c>
      <c r="K13" s="1221">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"),11.962582781383261)</f>
        <v>11.96258278</v>
      </c>
      <c r="L13" s="1219">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"),14.486383081941252)</f>
        <v>14.48638308</v>
      </c>
      <c r="M13" s="1227" t="s">
        <v>162</v>
      </c>
      <c r="N13" s="1221">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"),21.72957462291178)</f>
        <v>21.72957462</v>
      </c>
      <c r="O13" s="1219">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"),7.26352805328849)</f>
        <v>7.263528053</v>
      </c>
      <c r="P13" s="1227" t="s">
        <v>162</v>
      </c>
      <c r="Q13" s="1221">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"),10.895292079932752)</f>
        <v>10.89529208</v>
      </c>
      <c r="R13" s="1219">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"),10.1073486201293)</f>
        <v>10.10734862</v>
      </c>
      <c r="S13" s="1227" t="s">
        <v>162</v>
      </c>
      <c r="T13" s="1221">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"),15.161022930193939)</f>
        <v>15.16102293</v>
      </c>
      <c r="U13" s="1219">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"),13.428841821778237)</f>
        <v>13.42884182</v>
      </c>
      <c r="V13" s="1227" t="s">
        <v>162</v>
      </c>
      <c r="W13" s="1221">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"),20.1432627326673)</f>
        <v>20.14326273</v>
      </c>
      <c r="X13" s="1219">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"),23.32259986716289)</f>
        <v>23.32259987</v>
      </c>
      <c r="Y13" s="1227" t="s">
        <v>162</v>
      </c>
      <c r="Z13" s="1221">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"),34.983899800744446)</f>
        <v>34.9838998</v>
      </c>
      <c r="AA13" s="1219">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"),30.770882774597275)</f>
        <v>30.77088277</v>
      </c>
      <c r="AB13" s="1227" t="s">
        <v>162</v>
      </c>
      <c r="AC13" s="1221">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"),46.156324161895775)</f>
        <v>46.15632416</v>
      </c>
      <c r="AD13" s="1219">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"),25.244686470950374)</f>
        <v>25.24468647</v>
      </c>
      <c r="AE13" s="1227" t="s">
        <v>162</v>
      </c>
      <c r="AF13" s="1221">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"),37.867029706425434)</f>
        <v>37.86702971</v>
      </c>
      <c r="AG13" s="1219">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"),3.1173670750790987)</f>
        <v>3.117367075</v>
      </c>
      <c r="AH13" s="1227" t="s">
        <v>162</v>
      </c>
      <c r="AI13" s="1221">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"),4.6760506126186465)</f>
        <v>4.676050613</v>
      </c>
      <c r="AJ13" s="1219">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"),4.1475951739416415)</f>
        <v>4.147595174</v>
      </c>
      <c r="AK13" s="1227" t="s">
        <v>162</v>
      </c>
      <c r="AL13" s="1221">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"),6.221392760912461)</f>
        <v>6.221392761</v>
      </c>
      <c r="AM13" s="1219">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"),5.858646618834465)</f>
        <v>5.858646619</v>
      </c>
      <c r="AN13" s="1227" t="s">
        <v>162</v>
      </c>
      <c r="AO13" s="1221">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"),8.78796992825167)</f>
        <v>8.787969928</v>
      </c>
      <c r="AP13" s="1219">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"),7.003353640528653)</f>
        <v>7.003353641</v>
      </c>
      <c r="AQ13" s="1227" t="s">
        <v>162</v>
      </c>
      <c r="AR13" s="1221">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"),10.505030460792954)</f>
        <v>10.50503046</v>
      </c>
      <c r="AS13" s="1219">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"),4.226752907749182)</f>
        <v>4.226752908</v>
      </c>
      <c r="AT13" s="1227" t="s">
        <v>162</v>
      </c>
      <c r="AU13" s="1221">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"),6.34012936162375)</f>
        <v>6.340129362</v>
      </c>
      <c r="AV13" s="1219">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"),5.149389490834719)</f>
        <v>5.149389491</v>
      </c>
      <c r="AW13" s="1227" t="s">
        <v>162</v>
      </c>
      <c r="AX13" s="1221">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"),7.724084236252065)</f>
        <v>7.724084236</v>
      </c>
      <c r="AY13" s="1219">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"),9.208211420846261)</f>
        <v>9.208211421</v>
      </c>
      <c r="AZ13" s="1227" t="s">
        <v>162</v>
      </c>
      <c r="BA13" s="1221">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"),13.812317131269353)</f>
        <v>13.81231713</v>
      </c>
      <c r="BB13" s="1219"/>
    </row>
    <row r="14">
      <c r="A14" s="293"/>
      <c r="B14" s="294"/>
      <c r="C14" s="24"/>
      <c r="D14" s="294"/>
      <c r="E14" s="1218" t="str">
        <f t="shared" si="1"/>
        <v>Adjustment to account for mortalities averted after age five</v>
      </c>
      <c r="F14" s="1224">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"),18.20419947509827)</f>
        <v>18.20419948</v>
      </c>
      <c r="G14" s="1225" t="s">
        <v>162</v>
      </c>
      <c r="H14" s="1226">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"),21.925500498332077)</f>
        <v>21.9255005</v>
      </c>
      <c r="I14" s="1219">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"),9.133316243598516)</f>
        <v>9.133316244</v>
      </c>
      <c r="J14" s="1227" t="s">
        <v>162</v>
      </c>
      <c r="K14" s="1221">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"),10.861754164526031)</f>
        <v>10.86175416</v>
      </c>
      <c r="L14" s="1219">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"),16.6444637306085)</f>
        <v>16.64446373</v>
      </c>
      <c r="M14" s="1227" t="s">
        <v>162</v>
      </c>
      <c r="N14" s="1221">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"),19.76433604365523)</f>
        <v>19.76433604</v>
      </c>
      <c r="O14" s="1219">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"),8.241277780555214)</f>
        <v>8.241277781</v>
      </c>
      <c r="P14" s="1227" t="s">
        <v>162</v>
      </c>
      <c r="Q14" s="1221">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"),9.770221272938018)</f>
        <v>9.770221273</v>
      </c>
      <c r="R14" s="1219">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"),11.560918960699135)</f>
        <v>11.56091896</v>
      </c>
      <c r="S14" s="1227" t="s">
        <v>162</v>
      </c>
      <c r="T14" s="1221">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"),13.657881367743228)</f>
        <v>13.65788137</v>
      </c>
      <c r="U14" s="1219">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"),15.153631005007957)</f>
        <v>15.15363101</v>
      </c>
      <c r="V14" s="1227" t="s">
        <v>162</v>
      </c>
      <c r="W14" s="1221">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"),18.495038428493967)</f>
        <v>18.49503843</v>
      </c>
      <c r="X14" s="1219">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"),26.216224768728445)</f>
        <v>26.21622477</v>
      </c>
      <c r="Y14" s="1227" t="s">
        <v>162</v>
      </c>
      <c r="Z14" s="1221">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"),31.83739582634189)</f>
        <v>31.83739583</v>
      </c>
      <c r="AA14" s="1219">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"),34.71204677369459)</f>
        <v>34.71204677</v>
      </c>
      <c r="AB14" s="1227" t="s">
        <v>162</v>
      </c>
      <c r="AC14" s="1221">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"),42.33578448011127)</f>
        <v>42.33578448</v>
      </c>
      <c r="AD14" s="1219">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"),28.68439049676143)</f>
        <v>28.6843905</v>
      </c>
      <c r="AE14" s="1227" t="s">
        <v>162</v>
      </c>
      <c r="AF14" s="1221">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"),33.98211551138988)</f>
        <v>33.98211551</v>
      </c>
      <c r="AG14" s="1219">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"),3.610883071599107)</f>
        <v>3.610883072</v>
      </c>
      <c r="AH14" s="1227" t="s">
        <v>162</v>
      </c>
      <c r="AI14" s="1221">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"),4.268804176190374)</f>
        <v>4.268804176</v>
      </c>
      <c r="AJ14" s="1219">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"),4.752055108821893)</f>
        <v>4.752055109</v>
      </c>
      <c r="AK14" s="1227" t="s">
        <v>162</v>
      </c>
      <c r="AL14" s="1221">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"),5.633668849742043)</f>
        <v>5.63366885</v>
      </c>
      <c r="AM14" s="1219">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"),6.450027977906443)</f>
        <v>6.450027978</v>
      </c>
      <c r="AN14" s="1227" t="s">
        <v>162</v>
      </c>
      <c r="AO14" s="1221">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"),8.11142347628609)</f>
        <v>8.111423476</v>
      </c>
      <c r="AP14" s="1219">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"),7.7543794596843085)</f>
        <v>7.75437946</v>
      </c>
      <c r="AQ14" s="1227" t="s">
        <v>162</v>
      </c>
      <c r="AR14" s="1221">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"),9.751749265082982)</f>
        <v>9.751749265</v>
      </c>
      <c r="AS14" s="1219">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"),4.694661987832506)</f>
        <v>4.694661988</v>
      </c>
      <c r="AT14" s="1227" t="s">
        <v>162</v>
      </c>
      <c r="AU14" s="1221">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"),5.903911051513367)</f>
        <v>5.903911052</v>
      </c>
      <c r="AV14" s="1219">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"),5.849499002244669)</f>
        <v>5.849499002</v>
      </c>
      <c r="AW14" s="1227" t="s">
        <v>162</v>
      </c>
      <c r="AX14" s="1221">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"),6.938264267723982)</f>
        <v>6.938264268</v>
      </c>
      <c r="AY14" s="1219">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"),10.22217048611049)</f>
        <v>10.22217049</v>
      </c>
      <c r="AZ14" s="1227" t="s">
        <v>162</v>
      </c>
      <c r="BA14" s="1221">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"),12.689433820096482)</f>
        <v>12.68943382</v>
      </c>
      <c r="BB14" s="1219"/>
    </row>
    <row r="15">
      <c r="A15" s="293"/>
      <c r="B15" s="294"/>
      <c r="C15" s="24"/>
      <c r="D15" s="294"/>
      <c r="E15" s="307" t="str">
        <f t="shared" si="1"/>
        <v>Adjustment to account for developmental benefits (long-term income increases)</v>
      </c>
      <c r="F15" s="1224">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"),15.697357922459162)</f>
        <v>15.69735792</v>
      </c>
      <c r="G15" s="1225" t="s">
        <v>162</v>
      </c>
      <c r="H15" s="1226">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"),24.49471684818982)</f>
        <v>24.49471685</v>
      </c>
      <c r="I15" s="1219">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"),7.798057433320535)</f>
        <v>7.798057433</v>
      </c>
      <c r="J15" s="1227" t="s">
        <v>162</v>
      </c>
      <c r="K15" s="1221">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"),12.20781627365454)</f>
        <v>12.20781627</v>
      </c>
      <c r="L15" s="1219">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"),14.143120184304621)</f>
        <v>14.14312018</v>
      </c>
      <c r="M15" s="1227" t="s">
        <v>162</v>
      </c>
      <c r="N15" s="1221">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"),22.14361805724326)</f>
        <v>22.14361806</v>
      </c>
      <c r="O15" s="1219">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"),7.017809514214736)</f>
        <v>7.017809514</v>
      </c>
      <c r="P15" s="1227" t="s">
        <v>162</v>
      </c>
      <c r="Q15" s="1221">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"),11.000122416596108)</f>
        <v>11.00012242</v>
      </c>
      <c r="R15" s="1219">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"),9.799264084061203)</f>
        <v>9.799264084</v>
      </c>
      <c r="S15" s="1227" t="s">
        <v>162</v>
      </c>
      <c r="T15" s="1221">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"),15.384167624384643)</f>
        <v>15.38416762</v>
      </c>
      <c r="U15" s="1219">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"),13.147510760701069)</f>
        <v>13.14751076</v>
      </c>
      <c r="V15" s="1227" t="s">
        <v>162</v>
      </c>
      <c r="W15" s="1221">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"),20.45688028672498)</f>
        <v>20.45688029</v>
      </c>
      <c r="X15" s="1219">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"),22.77244472652079)</f>
        <v>22.77244473</v>
      </c>
      <c r="Y15" s="1227" t="s">
        <v>162</v>
      </c>
      <c r="Z15" s="1221">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"),35.47698122541657)</f>
        <v>35.47698123</v>
      </c>
      <c r="AA15" s="1219">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"),30.13833646892483)</f>
        <v>30.13833647</v>
      </c>
      <c r="AB15" s="1227" t="s">
        <v>162</v>
      </c>
      <c r="AC15" s="1221">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"),46.92299647806684)</f>
        <v>46.92299648</v>
      </c>
      <c r="AD15" s="1219">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"),24.33023774693463)</f>
        <v>24.33023775</v>
      </c>
      <c r="AE15" s="1227" t="s">
        <v>162</v>
      </c>
      <c r="AF15" s="1221">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"),38.1418732034157)</f>
        <v>38.1418732</v>
      </c>
      <c r="AG15" s="1219">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"),3.0606522033185852)</f>
        <v>3.060652203</v>
      </c>
      <c r="AH15" s="1227" t="s">
        <v>162</v>
      </c>
      <c r="AI15" s="1221">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"),4.791602516348689)</f>
        <v>4.791602516</v>
      </c>
      <c r="AJ15" s="1219">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"),4.047677625385805)</f>
        <v>4.047677625</v>
      </c>
      <c r="AK15" s="1227" t="s">
        <v>162</v>
      </c>
      <c r="AL15" s="1221">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"),6.3445651085249555)</f>
        <v>6.344565109</v>
      </c>
      <c r="AM15" s="1219">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"),5.737339748096828)</f>
        <v>5.737339748</v>
      </c>
      <c r="AN15" s="1227" t="s">
        <v>162</v>
      </c>
      <c r="AO15" s="1221">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"),8.84436938382736)</f>
        <v>8.844369384</v>
      </c>
      <c r="AP15" s="1219">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"),6.893364872840067)</f>
        <v>6.893364873</v>
      </c>
      <c r="AQ15" s="1227" t="s">
        <v>162</v>
      </c>
      <c r="AR15" s="1221">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"),10.626434534075067)</f>
        <v>10.62643453</v>
      </c>
      <c r="AS15" s="1219">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"),4.176975819327539)</f>
        <v>4.176975819</v>
      </c>
      <c r="AT15" s="1227" t="s">
        <v>162</v>
      </c>
      <c r="AU15" s="1221">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"),6.43899763225671)</f>
        <v>6.438997632</v>
      </c>
      <c r="AV15" s="1219">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"),4.997399771940426)</f>
        <v>4.997399772</v>
      </c>
      <c r="AW15" s="1227" t="s">
        <v>162</v>
      </c>
      <c r="AX15" s="1221">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"),7.82023470316599)</f>
        <v>7.820234703</v>
      </c>
      <c r="AY15" s="1219">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"),8.981921130215992)</f>
        <v>8.98192113</v>
      </c>
      <c r="AZ15" s="1227" t="s">
        <v>162</v>
      </c>
      <c r="BA15" s="1221">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"),13.903026906578436)</f>
        <v>13.90302691</v>
      </c>
      <c r="BB15" s="1219"/>
    </row>
    <row r="16">
      <c r="A16" s="23"/>
      <c r="B16" s="24"/>
      <c r="C16" s="24"/>
      <c r="D16" s="24"/>
      <c r="E16" s="307" t="str">
        <f t="shared" si="1"/>
        <v>Adjustment to account for consumption benefits</v>
      </c>
      <c r="F16" s="1224">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"),19.59442171159572)</f>
        <v>19.59442171</v>
      </c>
      <c r="G16" s="1225" t="s">
        <v>162</v>
      </c>
      <c r="H16" s="1226">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"),20.489627200637624)</f>
        <v>20.4896272</v>
      </c>
      <c r="I16" s="1219">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"),9.571155365176148)</f>
        <v>9.571155365</v>
      </c>
      <c r="J16" s="1227" t="s">
        <v>162</v>
      </c>
      <c r="K16" s="1221">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"),10.459323967206494)</f>
        <v>10.45932397</v>
      </c>
      <c r="L16" s="1219">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"),17.723423969025667)</f>
        <v>17.72342397</v>
      </c>
      <c r="M16" s="1227" t="s">
        <v>162</v>
      </c>
      <c r="N16" s="1221">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"),18.62586084850726)</f>
        <v>18.62586085</v>
      </c>
      <c r="O16" s="1219">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"),8.570595451819706)</f>
        <v>8.570595452</v>
      </c>
      <c r="P16" s="1227" t="s">
        <v>162</v>
      </c>
      <c r="Q16" s="1221">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"),9.435391552623392)</f>
        <v>9.435391553</v>
      </c>
      <c r="R16" s="1219">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"),12.175045361028928)</f>
        <v>12.17504536</v>
      </c>
      <c r="S16" s="1227" t="s">
        <v>162</v>
      </c>
      <c r="T16" s="1221">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"),13.055105407273981)</f>
        <v>13.05510541</v>
      </c>
      <c r="U16" s="1219">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"),16.352926076475843)</f>
        <v>16.35292608</v>
      </c>
      <c r="V16" s="1227" t="s">
        <v>162</v>
      </c>
      <c r="W16" s="1221">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"),17.238957435045982)</f>
        <v>17.23895744</v>
      </c>
      <c r="X16" s="1219">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"),28.600931612210868)</f>
        <v>28.60093161</v>
      </c>
      <c r="Y16" s="1227" t="s">
        <v>162</v>
      </c>
      <c r="Z16" s="1221">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"),29.492315325008388)</f>
        <v>29.49231533</v>
      </c>
      <c r="AA16" s="1219">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"),38.12534537050479)</f>
        <v>38.12534537</v>
      </c>
      <c r="AB16" s="1227" t="s">
        <v>162</v>
      </c>
      <c r="AC16" s="1221">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"),39.0222723441709)</f>
        <v>39.02227234</v>
      </c>
      <c r="AD16" s="1219">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"),30.87265590102684)</f>
        <v>30.8726559</v>
      </c>
      <c r="AE16" s="1227" t="s">
        <v>162</v>
      </c>
      <c r="AF16" s="1221">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"),31.778154722142855)</f>
        <v>31.77815472</v>
      </c>
      <c r="AG16" s="1219">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"),3.549652027688552)</f>
        <v>3.549652028</v>
      </c>
      <c r="AH16" s="1227" t="s">
        <v>162</v>
      </c>
      <c r="AI16" s="1221">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"),4.341643221932395)</f>
        <v>4.341643222</v>
      </c>
      <c r="AJ16" s="1219">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"),4.806571656896115)</f>
        <v>4.806571657</v>
      </c>
      <c r="AK16" s="1227" t="s">
        <v>162</v>
      </c>
      <c r="AL16" s="1221">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"),5.56709783403095)</f>
        <v>5.567097834</v>
      </c>
      <c r="AM16" s="1219">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"),6.928365678238224)</f>
        <v>6.928365678</v>
      </c>
      <c r="AN16" s="1227" t="s">
        <v>162</v>
      </c>
      <c r="AO16" s="1221">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"),7.693335904334194)</f>
        <v>7.693335904</v>
      </c>
      <c r="AP16" s="1219">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"),8.388082439174104)</f>
        <v>8.388082439</v>
      </c>
      <c r="AQ16" s="1227" t="s">
        <v>162</v>
      </c>
      <c r="AR16" s="1221">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"),9.174187457898695)</f>
        <v>9.174187458</v>
      </c>
      <c r="AS16" s="1219">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"),4.92302334495523)</f>
        <v>4.923023345</v>
      </c>
      <c r="AT16" s="1227" t="s">
        <v>162</v>
      </c>
      <c r="AU16" s="1221">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"),5.69804146223932)</f>
        <v>5.698041462</v>
      </c>
      <c r="AV16" s="1219">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"),6.051655038467091)</f>
        <v>6.051655038</v>
      </c>
      <c r="AW16" s="1227" t="s">
        <v>162</v>
      </c>
      <c r="AX16" s="1221">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"),6.756711137273326)</f>
        <v>6.756711137</v>
      </c>
      <c r="AY16" s="1219">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"),11.066380061159066)</f>
        <v>11.06638006</v>
      </c>
      <c r="AZ16" s="1227" t="s">
        <v>162</v>
      </c>
      <c r="BA16" s="1221">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"),11.8831767948599)</f>
        <v>11.88317679</v>
      </c>
      <c r="BB16" s="1219"/>
    </row>
    <row r="17">
      <c r="A17" s="23"/>
      <c r="B17" s="24"/>
      <c r="C17" s="24"/>
      <c r="D17" s="24"/>
      <c r="E17" s="307" t="str">
        <f t="shared" si="1"/>
        <v>Adjustment for additional program benefits and downsides</v>
      </c>
      <c r="F17" s="1224">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"),16.505472199722124)</f>
        <v>16.5054722</v>
      </c>
      <c r="G17" s="1225" t="s">
        <v>162</v>
      </c>
      <c r="H17" s="1226">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"),23.952349329502557)</f>
        <v>23.95234933</v>
      </c>
      <c r="I17" s="1219">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"),8.24720125852778)</f>
        <v>8.247201259</v>
      </c>
      <c r="J17" s="1227" t="s">
        <v>162</v>
      </c>
      <c r="K17" s="1221">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"),11.968142634434704)</f>
        <v>11.96814263</v>
      </c>
      <c r="L17" s="1219">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"),14.800451109270048)</f>
        <v>14.80045111</v>
      </c>
      <c r="M17" s="1227" t="s">
        <v>162</v>
      </c>
      <c r="N17" s="1221">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"),21.478063209208177)</f>
        <v>21.47806321</v>
      </c>
      <c r="O17" s="1219">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"),7.318570385730653)</f>
        <v>7.318570386</v>
      </c>
      <c r="P17" s="1227" t="s">
        <v>162</v>
      </c>
      <c r="Q17" s="1221">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"),10.620535562413316)</f>
        <v>10.62053556</v>
      </c>
      <c r="R17" s="1219">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"),10.262653069314004)</f>
        <v>10.26265307</v>
      </c>
      <c r="S17" s="1227" t="s">
        <v>162</v>
      </c>
      <c r="T17" s="1221">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"),14.892918444819706)</f>
        <v>14.89291844</v>
      </c>
      <c r="U17" s="1219">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"),13.675179876902531)</f>
        <v>13.67517988</v>
      </c>
      <c r="V17" s="1227" t="s">
        <v>162</v>
      </c>
      <c r="W17" s="1221">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"),19.845096316654846)</f>
        <v>19.84509632</v>
      </c>
      <c r="X17" s="1219">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"),23.627225667949386)</f>
        <v>23.62722567</v>
      </c>
      <c r="Y17" s="1227" t="s">
        <v>162</v>
      </c>
      <c r="Z17" s="1221">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"),34.28726885470393)</f>
        <v>34.28726885</v>
      </c>
      <c r="AA17" s="1219">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"),31.38888404689793)</f>
        <v>31.38888405</v>
      </c>
      <c r="AB17" s="1227" t="s">
        <v>162</v>
      </c>
      <c r="AC17" s="1221">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"),45.55080319163527)</f>
        <v>45.55080319</v>
      </c>
      <c r="AD17" s="1219">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"),25.6354861614664)</f>
        <v>25.63548616</v>
      </c>
      <c r="AE17" s="1227" t="s">
        <v>162</v>
      </c>
      <c r="AF17" s="1221">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"),37.20160879622746)</f>
        <v>37.2016088</v>
      </c>
      <c r="AG17" s="1219">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"),3.404660097187497)</f>
        <v>3.404660097</v>
      </c>
      <c r="AH17" s="1227" t="s">
        <v>162</v>
      </c>
      <c r="AI17" s="1221">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"),4.4417399984011)</f>
        <v>4.441739998</v>
      </c>
      <c r="AJ17" s="1219">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"),4.509470898477265)</f>
        <v>4.509470898</v>
      </c>
      <c r="AK17" s="1227" t="s">
        <v>162</v>
      </c>
      <c r="AL17" s="1221">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"),5.88308280111085)</f>
        <v>5.883082801</v>
      </c>
      <c r="AM17" s="1219">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"),6.257608232147325)</f>
        <v>6.257608232</v>
      </c>
      <c r="AN17" s="1227" t="s">
        <v>162</v>
      </c>
      <c r="AO17" s="1221">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"),8.354367326545047)</f>
        <v>8.354367327</v>
      </c>
      <c r="AP17" s="1219">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"),7.402476400105052)</f>
        <v>7.4024764</v>
      </c>
      <c r="AQ17" s="1227" t="s">
        <v>162</v>
      </c>
      <c r="AR17" s="1221">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"),10.121676423697997)</f>
        <v>10.12167642</v>
      </c>
      <c r="AS17" s="1219">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"),4.616577549744094)</f>
        <v>4.61657755</v>
      </c>
      <c r="AT17" s="1227" t="s">
        <v>162</v>
      </c>
      <c r="AU17" s="1221">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"),6.022814781234126)</f>
        <v>6.022814781</v>
      </c>
      <c r="AV17" s="1219">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"),5.790756788793577)</f>
        <v>5.790756789</v>
      </c>
      <c r="AW17" s="1227" t="s">
        <v>162</v>
      </c>
      <c r="AX17" s="1221">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"),6.9755975740023715)</f>
        <v>6.975597574</v>
      </c>
      <c r="AY17" s="1219">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"),9.700838149168563)</f>
        <v>9.700838149</v>
      </c>
      <c r="AZ17" s="1227" t="s">
        <v>162</v>
      </c>
      <c r="BA17" s="1221">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"),13.264310411466782)</f>
        <v>13.26431041</v>
      </c>
      <c r="BB17" s="1219"/>
    </row>
    <row r="18">
      <c r="A18" s="23"/>
      <c r="B18" s="24"/>
      <c r="C18" s="24"/>
      <c r="D18" s="24"/>
      <c r="E18" s="921" t="str">
        <f t="shared" si="1"/>
        <v>Adjustment for grantee-level factors</v>
      </c>
      <c r="F18" s="1224">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"),18.995437649823934)</f>
        <v>18.99543765</v>
      </c>
      <c r="G18" s="1225" t="s">
        <v>162</v>
      </c>
      <c r="H18" s="1226">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"),21.108437524605684)</f>
        <v>21.10843752</v>
      </c>
      <c r="I18" s="1219">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"),9.495182840889836)</f>
        <v>9.495182841</v>
      </c>
      <c r="J18" s="1227" t="s">
        <v>162</v>
      </c>
      <c r="K18" s="1221">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"),10.551400682441768)</f>
        <v>10.55140068</v>
      </c>
      <c r="L18" s="1219">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"),17.235619080212782)</f>
        <v>17.23561908</v>
      </c>
      <c r="M18" s="1227" t="s">
        <v>162</v>
      </c>
      <c r="N18" s="1221">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"),19.15286161126933)</f>
        <v>19.15286161</v>
      </c>
      <c r="O18" s="1219">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"),8.522306996196065)</f>
        <v>8.522306996</v>
      </c>
      <c r="P18" s="1227" t="s">
        <v>162</v>
      </c>
      <c r="Q18" s="1221">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"),9.470304823241701)</f>
        <v>9.470304823</v>
      </c>
      <c r="R18" s="1219">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"),11.96098493837095)</f>
        <v>11.96098494</v>
      </c>
      <c r="S18" s="1227" t="s">
        <v>162</v>
      </c>
      <c r="T18" s="1221">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"),13.291491776010433)</f>
        <v>13.29149178</v>
      </c>
      <c r="U18" s="1219">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"),15.931658278590946)</f>
        <v>15.93165828</v>
      </c>
      <c r="V18" s="1227" t="s">
        <v>162</v>
      </c>
      <c r="W18" s="1221">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"),17.70385182149887)</f>
        <v>17.70385182</v>
      </c>
      <c r="X18" s="1219">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"),27.53291869124918)</f>
        <v>27.53291869</v>
      </c>
      <c r="Y18" s="1227" t="s">
        <v>162</v>
      </c>
      <c r="Z18" s="1221">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"),30.59560431184218)</f>
        <v>30.59560431</v>
      </c>
      <c r="AA18" s="1219">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"),36.55801463683191)</f>
        <v>36.55801464</v>
      </c>
      <c r="AB18" s="1227" t="s">
        <v>162</v>
      </c>
      <c r="AC18" s="1221">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"),40.62462693468608)</f>
        <v>40.62462693</v>
      </c>
      <c r="AD18" s="1219">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"),29.684521487672843)</f>
        <v>29.68452149</v>
      </c>
      <c r="AE18" s="1227" t="s">
        <v>162</v>
      </c>
      <c r="AF18" s="1221">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"),32.986545444303914)</f>
        <v>32.98654544</v>
      </c>
      <c r="AG18" s="1219">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"),3.7320504941756965)</f>
        <v>3.732050494</v>
      </c>
      <c r="AH18" s="1227" t="s">
        <v>162</v>
      </c>
      <c r="AI18" s="1221">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"),4.147193454935307)</f>
        <v>4.147193455</v>
      </c>
      <c r="AJ18" s="1219">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"),4.919868874367138)</f>
        <v>4.919868874</v>
      </c>
      <c r="AK18" s="1227" t="s">
        <v>162</v>
      </c>
      <c r="AL18" s="1221">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"),5.467141461981184)</f>
        <v>5.467141462</v>
      </c>
      <c r="AM18" s="1219">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"),6.913516161446624)</f>
        <v>6.913516161</v>
      </c>
      <c r="AN18" s="1227" t="s">
        <v>162</v>
      </c>
      <c r="AO18" s="1221">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"),7.682556551709693)</f>
        <v>7.682556552</v>
      </c>
      <c r="AP18" s="1219">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"),8.297274254863828)</f>
        <v>8.297274255</v>
      </c>
      <c r="AQ18" s="1227" t="s">
        <v>162</v>
      </c>
      <c r="AR18" s="1221">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"),9.220240063009923)</f>
        <v>9.220240063</v>
      </c>
      <c r="AS18" s="1219">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"),5.021415347315075)</f>
        <v>5.021415347</v>
      </c>
      <c r="AT18" s="1227" t="s">
        <v>162</v>
      </c>
      <c r="AU18" s="1221">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"),5.579983683338781)</f>
        <v>5.579983683</v>
      </c>
      <c r="AV18" s="1219">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"),6.046840182021406)</f>
        <v>6.046840182</v>
      </c>
      <c r="AW18" s="1227" t="s">
        <v>162</v>
      </c>
      <c r="AX18" s="1221">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"),6.719473936661686)</f>
        <v>6.719473937</v>
      </c>
      <c r="AY18" s="1219">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"),10.875476300445483)</f>
        <v>10.8754763</v>
      </c>
      <c r="AZ18" s="1227" t="s">
        <v>162</v>
      </c>
      <c r="BA18" s="1221">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"),12.085234163605149)</f>
        <v>12.08523416</v>
      </c>
      <c r="BB18" s="1219"/>
    </row>
    <row r="19">
      <c r="A19" s="23"/>
      <c r="B19" s="24"/>
      <c r="C19" s="24"/>
      <c r="D19" s="24"/>
      <c r="E19" s="921" t="str">
        <f t="shared" si="1"/>
        <v>Adjustment for leverage</v>
      </c>
      <c r="F19" s="1224" t="str">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f>
        <v>-</v>
      </c>
      <c r="G19" s="1225" t="s">
        <v>162</v>
      </c>
      <c r="H19" s="1226"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1219"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1227" t="s">
        <v>162</v>
      </c>
      <c r="K19" s="1221"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1219"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1227" t="s">
        <v>162</v>
      </c>
      <c r="N19" s="1221"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1219"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1227" t="s">
        <v>162</v>
      </c>
      <c r="Q19" s="1221"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1219"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1227" t="s">
        <v>162</v>
      </c>
      <c r="T19" s="1221"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1219"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1227" t="s">
        <v>162</v>
      </c>
      <c r="W19" s="1221"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1219"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1227" t="s">
        <v>162</v>
      </c>
      <c r="Z19" s="1221"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1219"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1227" t="s">
        <v>162</v>
      </c>
      <c r="AC19" s="1221"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1219"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1227" t="s">
        <v>162</v>
      </c>
      <c r="AF19" s="1221"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1219"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1227" t="s">
        <v>162</v>
      </c>
      <c r="AI19" s="1221"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1219"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1227" t="s">
        <v>162</v>
      </c>
      <c r="AL19" s="1221"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1219"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1227" t="s">
        <v>162</v>
      </c>
      <c r="AO19" s="1221"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1219"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1227" t="s">
        <v>162</v>
      </c>
      <c r="AR19" s="1221"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1219"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1227" t="s">
        <v>162</v>
      </c>
      <c r="AU19" s="1221"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1219"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1227" t="s">
        <v>162</v>
      </c>
      <c r="AX19" s="1221"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1219"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1227" t="s">
        <v>162</v>
      </c>
      <c r="BA19" s="1221"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1219"/>
    </row>
    <row r="20">
      <c r="A20" s="23"/>
      <c r="B20" s="24"/>
      <c r="C20" s="24"/>
      <c r="D20" s="24"/>
      <c r="E20" s="921" t="str">
        <f t="shared" si="1"/>
        <v>Adjustment for funging</v>
      </c>
      <c r="F20" s="1224">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"),18.519160590350257)</f>
        <v>18.51916059</v>
      </c>
      <c r="G20" s="1225" t="s">
        <v>162</v>
      </c>
      <c r="H20" s="1226">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"),21.56005232674725)</f>
        <v>21.56005233</v>
      </c>
      <c r="I20" s="1219">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"),9.307795132920091)</f>
        <v>9.307795133</v>
      </c>
      <c r="J20" s="1227" t="s">
        <v>162</v>
      </c>
      <c r="K20" s="1221">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"),10.733881791692138)</f>
        <v>10.73388179</v>
      </c>
      <c r="L20" s="1219">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"),16.820449537621734)</f>
        <v>16.82044954</v>
      </c>
      <c r="M20" s="1227" t="s">
        <v>162</v>
      </c>
      <c r="N20" s="1221">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"),19.53456025467112)</f>
        <v>19.53456025</v>
      </c>
      <c r="O20" s="1219">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"),8.352629635333201)</f>
        <v>8.352629635</v>
      </c>
      <c r="P20" s="1227" t="s">
        <v>162</v>
      </c>
      <c r="Q20" s="1221">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"),9.6529046690182)</f>
        <v>9.652904669</v>
      </c>
      <c r="R20" s="1219">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"),11.677582149479878)</f>
        <v>11.67758215</v>
      </c>
      <c r="S20" s="1227" t="s">
        <v>162</v>
      </c>
      <c r="T20" s="1221">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"),13.548071536873193)</f>
        <v>13.54807154</v>
      </c>
      <c r="U20" s="1219">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"),15.538646641294438)</f>
        <v>15.53864664</v>
      </c>
      <c r="V20" s="1227" t="s">
        <v>162</v>
      </c>
      <c r="W20" s="1221">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"),18.08082057038108)</f>
        <v>18.08082057</v>
      </c>
      <c r="X20" s="1219">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"),26.7755834468988)</f>
        <v>26.77558345</v>
      </c>
      <c r="Y20" s="1227" t="s">
        <v>162</v>
      </c>
      <c r="Z20" s="1221">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"),31.298442582271985)</f>
        <v>31.29844258</v>
      </c>
      <c r="AA20" s="1219">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"),35.56133450812532)</f>
        <v>35.56133451</v>
      </c>
      <c r="AB20" s="1227" t="s">
        <v>162</v>
      </c>
      <c r="AC20" s="1221">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"),41.59854312799654)</f>
        <v>41.59854313</v>
      </c>
      <c r="AD20" s="1219">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"),28.92253173706748)</f>
        <v>28.92253174</v>
      </c>
      <c r="AE20" s="1227" t="s">
        <v>162</v>
      </c>
      <c r="AF20" s="1221">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"),33.73729164676527)</f>
        <v>33.73729165</v>
      </c>
      <c r="AG20" s="1219">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"),3.7244886274420868)</f>
        <v>3.724488627</v>
      </c>
      <c r="AH20" s="1227" t="s">
        <v>162</v>
      </c>
      <c r="AI20" s="1221">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"),4.145951108856695)</f>
        <v>4.145951109</v>
      </c>
      <c r="AJ20" s="1219">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"),4.863242657913542)</f>
        <v>4.863242658</v>
      </c>
      <c r="AK20" s="1227" t="s">
        <v>162</v>
      </c>
      <c r="AL20" s="1221">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"),5.5186503543426015)</f>
        <v>5.518650354</v>
      </c>
      <c r="AM20" s="1219">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"),6.785852571622371)</f>
        <v>6.785852572</v>
      </c>
      <c r="AN20" s="1227" t="s">
        <v>162</v>
      </c>
      <c r="AO20" s="1221">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"),7.823487558197811)</f>
        <v>7.823487558</v>
      </c>
      <c r="AP20" s="1219">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"),8.126516739321515)</f>
        <v>8.126516739</v>
      </c>
      <c r="AQ20" s="1227" t="s">
        <v>162</v>
      </c>
      <c r="AR20" s="1221">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"),9.418416246597163)</f>
        <v>9.418416247</v>
      </c>
      <c r="AS20" s="1219">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"),4.967594774453268)</f>
        <v>4.967594774</v>
      </c>
      <c r="AT20" s="1227" t="s">
        <v>162</v>
      </c>
      <c r="AU20" s="1221">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"),5.651377672144174)</f>
        <v>5.651377672</v>
      </c>
      <c r="AV20" s="1219">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"),5.973070227862488)</f>
        <v>5.973070228</v>
      </c>
      <c r="AW20" s="1227" t="s">
        <v>162</v>
      </c>
      <c r="AX20" s="1221">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"),6.816985393258919)</f>
        <v>6.816985393</v>
      </c>
      <c r="AY20" s="1219">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"),10.632193940693929)</f>
        <v>10.63219394</v>
      </c>
      <c r="AZ20" s="1227" t="s">
        <v>162</v>
      </c>
      <c r="BA20" s="1221">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"),12.311731357662792)</f>
        <v>12.31173136</v>
      </c>
      <c r="BB20" s="1219"/>
    </row>
    <row r="21">
      <c r="A21" s="23"/>
      <c r="B21" s="24"/>
      <c r="C21" s="24"/>
      <c r="D21" s="24"/>
      <c r="E21" s="921" t="str">
        <f t="shared" si="1"/>
        <v>Moral value of averting the death of a person under age five</v>
      </c>
      <c r="F21" s="1224"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225" t="s">
        <v>162</v>
      </c>
      <c r="H21" s="1226"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219"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227" t="s">
        <v>162</v>
      </c>
      <c r="K21" s="1221"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219"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227" t="s">
        <v>162</v>
      </c>
      <c r="N21" s="1221"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219"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1227" t="s">
        <v>162</v>
      </c>
      <c r="Q21" s="1221"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1219"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1227" t="s">
        <v>162</v>
      </c>
      <c r="T21" s="1221"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1219"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1227" t="s">
        <v>162</v>
      </c>
      <c r="W21" s="1221"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1219"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1227" t="s">
        <v>162</v>
      </c>
      <c r="Z21" s="1221"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1219"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227" t="s">
        <v>162</v>
      </c>
      <c r="AC21" s="1221"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219"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1227" t="s">
        <v>162</v>
      </c>
      <c r="AF21" s="1221"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1219"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1227" t="s">
        <v>162</v>
      </c>
      <c r="AI21" s="1221"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1219"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1227" t="s">
        <v>162</v>
      </c>
      <c r="AL21" s="1221"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1219"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1227" t="s">
        <v>162</v>
      </c>
      <c r="AO21" s="1221"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1219"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1227" t="s">
        <v>162</v>
      </c>
      <c r="AR21" s="1221"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1219"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1227" t="s">
        <v>162</v>
      </c>
      <c r="AU21" s="1221"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1219"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1227" t="s">
        <v>162</v>
      </c>
      <c r="AX21" s="1221"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1219"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1227" t="s">
        <v>162</v>
      </c>
      <c r="BA21" s="1221"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1219"/>
    </row>
    <row r="22">
      <c r="A22" s="23"/>
      <c r="B22" s="24"/>
      <c r="C22" s="24"/>
      <c r="D22" s="24"/>
      <c r="E22" s="475" t="s">
        <v>285</v>
      </c>
      <c r="F22" s="1224" t="str">
        <f>IFERROR(__xludf.DUMMYFUNCTION("Iferror(IF(
  IFNA(
    FILTER(
      IMPORTRANGE($F$8,""'Sensitivity [""&amp;IF(F$3="""",F$2,F$2&amp;"", ""&amp;F$3)&amp;""]'!D1:D20""),
      IMPORTRANGE($F$8,""'Sensitivity [""&amp;IF(F$3="""",F$2,F$2&amp;"", ""&amp;F$3)&amp;""]'!A1:A20"")=$E22
    ),
    """"
  ) = """",
  ""-"",
  "&amp;"F$5 * ( 1 +
    IFNA(
      FILTER(
        IMPORTRANGE($F$8,""'Sensitivity [""&amp;IF(F$3="""",F$2,F$2&amp;"", ""&amp;F$3)&amp;""]'!D1:D20""),
        IMPORTRANGE($F$8,""'Sensitivity [""&amp;IF(F$3="""",F$2,F$2&amp;"", ""&amp;F$3)&amp;""]'!A1:A20"")=$E22
      ),
      """"
    )
  )
)"&amp;", ""-"")
"),"-")</f>
        <v>-</v>
      </c>
      <c r="G22" s="1225" t="s">
        <v>162</v>
      </c>
      <c r="H22" s="1226"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1219"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1227" t="s">
        <v>162</v>
      </c>
      <c r="K22" s="1221"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1219"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1227" t="s">
        <v>162</v>
      </c>
      <c r="N22" s="1221"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1219"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1227" t="s">
        <v>162</v>
      </c>
      <c r="Q22" s="1221"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1219"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1227" t="s">
        <v>162</v>
      </c>
      <c r="T22" s="1221"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1219"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1227" t="s">
        <v>162</v>
      </c>
      <c r="W22" s="1221"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1219"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1227" t="s">
        <v>162</v>
      </c>
      <c r="Z22" s="1221"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1219"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1227" t="s">
        <v>162</v>
      </c>
      <c r="AC22" s="1221"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1219"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1227" t="s">
        <v>162</v>
      </c>
      <c r="AF22" s="1221"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1219"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1227" t="s">
        <v>162</v>
      </c>
      <c r="AI22" s="1221"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1219"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1227" t="s">
        <v>162</v>
      </c>
      <c r="AL22" s="1221"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1219"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1227" t="s">
        <v>162</v>
      </c>
      <c r="AO22" s="1221"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1219"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1227" t="s">
        <v>162</v>
      </c>
      <c r="AR22" s="1221"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1219"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1227" t="s">
        <v>162</v>
      </c>
      <c r="AU22" s="1221"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1219"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1227" t="s">
        <v>162</v>
      </c>
      <c r="AX22" s="1221"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1219"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1227" t="s">
        <v>162</v>
      </c>
      <c r="BA22" s="1221"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1219"/>
    </row>
    <row r="23">
      <c r="A23" s="24"/>
      <c r="B23" s="24"/>
      <c r="C23" s="24"/>
      <c r="D23" s="24"/>
      <c r="E23" s="24"/>
      <c r="F23" s="1128"/>
      <c r="G23" s="1128"/>
      <c r="H23" s="1128"/>
      <c r="I23" s="1155"/>
      <c r="J23" s="1155"/>
      <c r="K23" s="1155"/>
      <c r="L23" s="1155"/>
      <c r="M23" s="1155"/>
      <c r="N23" s="1155"/>
      <c r="O23" s="1155"/>
      <c r="P23" s="1155"/>
      <c r="Q23" s="1155"/>
      <c r="R23" s="1155"/>
      <c r="S23" s="1155"/>
      <c r="T23" s="1155"/>
      <c r="U23" s="1155"/>
      <c r="V23" s="1155"/>
      <c r="W23" s="1155"/>
      <c r="X23" s="1155"/>
      <c r="Y23" s="1155"/>
      <c r="Z23" s="1155"/>
      <c r="AA23" s="1155"/>
      <c r="AB23" s="1155"/>
      <c r="AC23" s="1155"/>
      <c r="AD23" s="1155"/>
      <c r="AE23" s="1155"/>
      <c r="AF23" s="1155"/>
      <c r="AG23" s="1155"/>
      <c r="AH23" s="1155"/>
      <c r="AI23" s="1155"/>
      <c r="AJ23" s="1155"/>
      <c r="AK23" s="1155"/>
      <c r="AL23" s="1155"/>
      <c r="AM23" s="1155"/>
      <c r="AN23" s="1155"/>
      <c r="AO23" s="1155"/>
      <c r="AP23" s="1155"/>
      <c r="AQ23" s="1155"/>
      <c r="AR23" s="1155"/>
      <c r="AS23" s="1155"/>
      <c r="AT23" s="1155"/>
      <c r="AU23" s="1155"/>
      <c r="AV23" s="1155"/>
      <c r="AW23" s="1155"/>
      <c r="AX23" s="1155"/>
      <c r="AY23" s="1155"/>
      <c r="AZ23" s="1155"/>
      <c r="BA23" s="1155"/>
      <c r="BB23" s="1155"/>
    </row>
    <row r="24">
      <c r="A24" s="1083" t="s">
        <v>1097</v>
      </c>
      <c r="B24" s="7"/>
      <c r="C24" s="7"/>
      <c r="D24" s="7"/>
      <c r="E24" s="7"/>
      <c r="F24" s="1228"/>
      <c r="G24" s="1229"/>
      <c r="H24" s="1230"/>
      <c r="I24" s="1231"/>
      <c r="J24" s="1212"/>
      <c r="K24" s="1232"/>
      <c r="L24" s="1231"/>
      <c r="M24" s="1212"/>
      <c r="N24" s="1232"/>
      <c r="O24" s="1231"/>
      <c r="P24" s="1212"/>
      <c r="Q24" s="1232"/>
      <c r="R24" s="1231"/>
      <c r="S24" s="1212"/>
      <c r="T24" s="1232"/>
      <c r="U24" s="1231"/>
      <c r="V24" s="1212"/>
      <c r="W24" s="1232"/>
      <c r="X24" s="1231"/>
      <c r="Y24" s="1212"/>
      <c r="Z24" s="1232"/>
      <c r="AA24" s="1231"/>
      <c r="AB24" s="1212"/>
      <c r="AC24" s="1232"/>
      <c r="AD24" s="1231"/>
      <c r="AE24" s="1212"/>
      <c r="AF24" s="1232"/>
      <c r="AG24" s="1231"/>
      <c r="AH24" s="1212"/>
      <c r="AI24" s="1232"/>
      <c r="AJ24" s="1231"/>
      <c r="AK24" s="1212"/>
      <c r="AL24" s="1232"/>
      <c r="AM24" s="1231"/>
      <c r="AN24" s="1212"/>
      <c r="AO24" s="1232"/>
      <c r="AP24" s="1231"/>
      <c r="AQ24" s="1212"/>
      <c r="AR24" s="1232"/>
      <c r="AS24" s="1231"/>
      <c r="AT24" s="1212"/>
      <c r="AU24" s="1232"/>
      <c r="AV24" s="1231"/>
      <c r="AW24" s="1212"/>
      <c r="AX24" s="1232"/>
      <c r="AY24" s="1231"/>
      <c r="AZ24" s="1212"/>
      <c r="BA24" s="1232"/>
      <c r="BB24" s="1231"/>
    </row>
    <row r="25">
      <c r="A25" s="23"/>
      <c r="B25" s="24"/>
      <c r="C25" s="24"/>
      <c r="D25" s="24"/>
      <c r="E25" s="475" t="s">
        <v>1075</v>
      </c>
      <c r="F25" s="1224">
        <f>IFERROR(__xludf.DUMMYFUNCTION("IFERROR(FILTER(IMPORTRANGE($F$8,""'Results [""&amp;if(F$3="""",F$2,F$2&amp;"", ""&amp;F$3)&amp;""]'!B1:B10""), IMPORTRANGE($F$8,""'Results [""&amp;if(F$3="""",F$2,F$2&amp;"", ""&amp;F$3)&amp;""]'!A1:A10"")=""25th Pctl""), ""-"")"),7.302246179517155)</f>
        <v>7.30224618</v>
      </c>
      <c r="G25" s="1225" t="s">
        <v>162</v>
      </c>
      <c r="H25" s="1226">
        <f>IFERROR(__xludf.DUMMYFUNCTION("IFERROR(FILTER(IMPORTRANGE($F$8,""'Results [""&amp;if(F$3="""",F$2,F$2&amp;"", ""&amp;F$3)&amp;""]'!B1:B10""), IMPORTRANGE($F$8,""'Results [""&amp;if(F$3="""",F$2,F$2&amp;"", ""&amp;F$3)&amp;""]'!A1:A10"")=""75th Pctl""), ""-"")"),29.330512462107276)</f>
        <v>29.33051246</v>
      </c>
      <c r="I25" s="1219">
        <f>IFERROR(__xludf.DUMMYFUNCTION("IFERROR(FILTER(IMPORTRANGE($F$8,""'Results [""&amp;if(I$3="""",I$2,I$2&amp;"", ""&amp;I$3)&amp;""]'!B1:B10""), IMPORTRANGE($F$8,""'Results [""&amp;if(I$3="""",I$2,I$2&amp;"", ""&amp;I$3)&amp;""]'!A1:A10"")=""25th Pctl""), ""-"")"),3.515418705279436)</f>
        <v>3.515418705</v>
      </c>
      <c r="J25" s="1227" t="s">
        <v>162</v>
      </c>
      <c r="K25" s="1221">
        <f>IFERROR(__xludf.DUMMYFUNCTION("IFERROR(FILTER(IMPORTRANGE($F$8,""'Results [""&amp;if(I$3="""",I$2,I$2&amp;"", ""&amp;I$3)&amp;""]'!B1:B10""), IMPORTRANGE($F$8,""'Results [""&amp;if(I$3="""",I$2,I$2&amp;"", ""&amp;I$3)&amp;""]'!A1:A10"")=""75th Pctl""), ""-"")"),15.196002623690806)</f>
        <v>15.19600262</v>
      </c>
      <c r="L25" s="1219">
        <f>IFERROR(__xludf.DUMMYFUNCTION("IFERROR(FILTER(IMPORTRANGE($F$8,""'Results [""&amp;if(L$3="""",L$2,L$2&amp;"", ""&amp;L$3)&amp;""]'!B1:B10""), IMPORTRANGE($F$8,""'Results [""&amp;if(L$3="""",L$2,L$2&amp;"", ""&amp;L$3)&amp;""]'!A1:A10"")=""25th Pctl""), ""-"")"),5.92869390075842)</f>
        <v>5.928693901</v>
      </c>
      <c r="M25" s="1227" t="s">
        <v>162</v>
      </c>
      <c r="N25" s="1221">
        <f>IFERROR(__xludf.DUMMYFUNCTION("IFERROR(FILTER(IMPORTRANGE($F$8,""'Results [""&amp;if(L$3="""",L$2,L$2&amp;"", ""&amp;L$3)&amp;""]'!B1:B10""), IMPORTRANGE($F$8,""'Results [""&amp;if(L$3="""",L$2,L$2&amp;"", ""&amp;L$3)&amp;""]'!A1:A10"")=""75th Pctl""), ""-"")"),26.170382979340722)</f>
        <v>26.17038298</v>
      </c>
      <c r="O25" s="1219">
        <f>IFERROR(__xludf.DUMMYFUNCTION("IFERROR(FILTER(IMPORTRANGE($F$8,""'Results [""&amp;if(O$3="""",O$2,O$2&amp;"", ""&amp;O$3)&amp;""]'!B1:B10""), IMPORTRANGE($F$8,""'Results [""&amp;if(O$3="""",O$2,O$2&amp;"", ""&amp;O$3)&amp;""]'!A1:A10"")=""25th Pctl""), ""-"")"),3.0563251113256715)</f>
        <v>3.056325111</v>
      </c>
      <c r="P25" s="1227" t="s">
        <v>162</v>
      </c>
      <c r="Q25" s="1221">
        <f>IFERROR(__xludf.DUMMYFUNCTION("IFERROR(FILTER(IMPORTRANGE($F$8,""'Results [""&amp;if(O$3="""",O$2,O$2&amp;"", ""&amp;O$3)&amp;""]'!B1:B10""), IMPORTRANGE($F$8,""'Results [""&amp;if(O$3="""",O$2,O$2&amp;"", ""&amp;O$3)&amp;""]'!A1:A10"")=""75th Pctl""), ""-"")"),12.73057952953893)</f>
        <v>12.73057953</v>
      </c>
      <c r="R25" s="1219">
        <f>IFERROR(__xludf.DUMMYFUNCTION("IFERROR(FILTER(IMPORTRANGE($F$8,""'Results [""&amp;if(R$3="""",R$2,R$2&amp;"", ""&amp;R$3)&amp;""]'!B1:B10""), IMPORTRANGE($F$8,""'Results [""&amp;if(R$3="""",R$2,R$2&amp;"", ""&amp;R$3)&amp;""]'!A1:A10"")=""25th Pctl""), ""-"")"),4.309398907264885)</f>
        <v>4.309398907</v>
      </c>
      <c r="S25" s="1227" t="s">
        <v>162</v>
      </c>
      <c r="T25" s="1221">
        <f>IFERROR(__xludf.DUMMYFUNCTION("IFERROR(FILTER(IMPORTRANGE($F$8,""'Results [""&amp;if(R$3="""",R$2,R$2&amp;"", ""&amp;R$3)&amp;""]'!B1:B10""), IMPORTRANGE($F$8,""'Results [""&amp;if(R$3="""",R$2,R$2&amp;"", ""&amp;R$3)&amp;""]'!A1:A10"")=""75th Pctl""), ""-"")"),18.14887113746128)</f>
        <v>18.14887114</v>
      </c>
      <c r="U25" s="1219">
        <f>IFERROR(__xludf.DUMMYFUNCTION("IFERROR(FILTER(IMPORTRANGE($F$8,""'Results [""&amp;if(U$3="""",U$2,U$2&amp;"", ""&amp;U$3)&amp;""]'!B1:B10""), IMPORTRANGE($F$8,""'Results [""&amp;if(U$3="""",U$2,U$2&amp;"", ""&amp;U$3)&amp;""]'!A1:A10"")=""25th Pctl""), ""-"")"),5.947709707981057)</f>
        <v>5.947709708</v>
      </c>
      <c r="V25" s="1227" t="s">
        <v>162</v>
      </c>
      <c r="W25" s="1221">
        <f>IFERROR(__xludf.DUMMYFUNCTION("IFERROR(FILTER(IMPORTRANGE($F$8,""'Results [""&amp;if(U$3="""",U$2,U$2&amp;"", ""&amp;U$3)&amp;""]'!B1:B10""), IMPORTRANGE($F$8,""'Results [""&amp;if(U$3="""",U$2,U$2&amp;"", ""&amp;U$3)&amp;""]'!A1:A10"")=""75th Pctl""), ""-"")"),24.507828884553916)</f>
        <v>24.50782888</v>
      </c>
      <c r="X25" s="1219">
        <f>IFERROR(__xludf.DUMMYFUNCTION("IFERROR(FILTER(IMPORTRANGE($F$8,""'Results [""&amp;if(X$3="""",X$2,X$2&amp;"", ""&amp;X$3)&amp;""]'!B1:B10""), IMPORTRANGE($F$8,""'Results [""&amp;if(X$3="""",X$2,X$2&amp;"", ""&amp;X$3)&amp;""]'!A1:A10"")=""25th Pctl""), ""-"")"),9.761412400933969)</f>
        <v>9.761412401</v>
      </c>
      <c r="Y25" s="1227" t="s">
        <v>162</v>
      </c>
      <c r="Z25" s="1221">
        <f>IFERROR(__xludf.DUMMYFUNCTION("IFERROR(FILTER(IMPORTRANGE($F$8,""'Results [""&amp;if(X$3="""",X$2,X$2&amp;"", ""&amp;X$3)&amp;""]'!B1:B10""), IMPORTRANGE($F$8,""'Results [""&amp;if(X$3="""",X$2,X$2&amp;"", ""&amp;X$3)&amp;""]'!A1:A10"")=""75th Pctl""), ""-"")"),42.02721365528528)</f>
        <v>42.02721366</v>
      </c>
      <c r="AA25" s="1219">
        <f>IFERROR(__xludf.DUMMYFUNCTION("IFERROR(FILTER(IMPORTRANGE($F$8,""'Results [""&amp;if(AA$3="""",AA$2,AA$2&amp;"", ""&amp;AA$3)&amp;""]'!B1:B10""), IMPORTRANGE($F$8,""'Results [""&amp;if(AA$3="""",AA$2,AA$2&amp;"", ""&amp;AA$3)&amp;""]'!A1:A10"")=""25th Pctl""), ""-"")"),12.47846704472821)</f>
        <v>12.47846704</v>
      </c>
      <c r="AB25" s="1227" t="s">
        <v>162</v>
      </c>
      <c r="AC25" s="1221">
        <f>IFERROR(__xludf.DUMMYFUNCTION("IFERROR(FILTER(IMPORTRANGE($F$8,""'Results [""&amp;if(AA$3="""",AA$2,AA$2&amp;"", ""&amp;AA$3)&amp;""]'!B1:B10""), IMPORTRANGE($F$8,""'Results [""&amp;if(AA$3="""",AA$2,AA$2&amp;"", ""&amp;AA$3)&amp;""]'!A1:A10"")=""75th Pctl""), ""-"")"),55.43195065718596)</f>
        <v>55.43195066</v>
      </c>
      <c r="AD25" s="1219">
        <f>IFERROR(__xludf.DUMMYFUNCTION("IFERROR(FILTER(IMPORTRANGE($F$8,""'Results [""&amp;if(AD$3="""",AD$2,AD$2&amp;"", ""&amp;AD$3)&amp;""]'!B1:B10""), IMPORTRANGE($F$8,""'Results [""&amp;if(AD$3="""",AD$2,AD$2&amp;"", ""&amp;AD$3)&amp;""]'!A1:A10"")=""25th Pctl""), ""-"")"),11.234582560033026)</f>
        <v>11.23458256</v>
      </c>
      <c r="AE25" s="1227" t="s">
        <v>162</v>
      </c>
      <c r="AF25" s="1221">
        <f>IFERROR(__xludf.DUMMYFUNCTION("IFERROR(FILTER(IMPORTRANGE($F$8,""'Results [""&amp;if(AD$3="""",AD$2,AD$2&amp;"", ""&amp;AD$3)&amp;""]'!B1:B10""), IMPORTRANGE($F$8,""'Results [""&amp;if(AD$3="""",AD$2,AD$2&amp;"", ""&amp;AD$3)&amp;""]'!A1:A10"")=""75th Pctl""), ""-"")"),45.91403306717487)</f>
        <v>45.91403307</v>
      </c>
      <c r="AG25" s="1219">
        <f>IFERROR(__xludf.DUMMYFUNCTION("IFERROR(FILTER(IMPORTRANGE($F$8,""'Results [""&amp;if(AG$3="""",AG$2,AG$2&amp;"", ""&amp;AG$3)&amp;""]'!B1:B10""), IMPORTRANGE($F$8,""'Results [""&amp;if(AG$3="""",AG$2,AG$2&amp;"", ""&amp;AG$3)&amp;""]'!A1:A10"")=""25th Pctl""), ""-"")"),1.3053958339728315)</f>
        <v>1.305395834</v>
      </c>
      <c r="AH25" s="1227" t="s">
        <v>162</v>
      </c>
      <c r="AI25" s="1221">
        <f>IFERROR(__xludf.DUMMYFUNCTION("IFERROR(FILTER(IMPORTRANGE($F$8,""'Results [""&amp;if(AG$3="""",AG$2,AG$2&amp;"", ""&amp;AG$3)&amp;""]'!B1:B10""), IMPORTRANGE($F$8,""'Results [""&amp;if(AG$3="""",AG$2,AG$2&amp;"", ""&amp;AG$3)&amp;""]'!A1:A10"")=""75th Pctl""), ""-"")"),5.616876502796962)</f>
        <v>5.616876503</v>
      </c>
      <c r="AJ25" s="1219">
        <f>IFERROR(__xludf.DUMMYFUNCTION("IFERROR(FILTER(IMPORTRANGE($F$8,""'Results [""&amp;if(AJ$3="""",AJ$2,AJ$2&amp;"", ""&amp;AJ$3)&amp;""]'!B1:B10""), IMPORTRANGE($F$8,""'Results [""&amp;if(AJ$3="""",AJ$2,AJ$2&amp;"", ""&amp;AJ$3)&amp;""]'!A1:A10"")=""25th Pctl""), ""-"")"),1.6932679270376936)</f>
        <v>1.693267927</v>
      </c>
      <c r="AK25" s="1227" t="s">
        <v>162</v>
      </c>
      <c r="AL25" s="1221">
        <f>IFERROR(__xludf.DUMMYFUNCTION("IFERROR(FILTER(IMPORTRANGE($F$8,""'Results [""&amp;if(AJ$3="""",AJ$2,AJ$2&amp;"", ""&amp;AJ$3)&amp;""]'!B1:B10""), IMPORTRANGE($F$8,""'Results [""&amp;if(AJ$3="""",AJ$2,AJ$2&amp;"", ""&amp;AJ$3)&amp;""]'!A1:A10"")=""75th Pctl""), ""-"")"),7.360791889474538)</f>
        <v>7.360791889</v>
      </c>
      <c r="AM25" s="1219">
        <f>IFERROR(__xludf.DUMMYFUNCTION("IFERROR(FILTER(IMPORTRANGE($F$8,""'Results [""&amp;if(AM$3="""",AM$2,AM$2&amp;"", ""&amp;AM$3)&amp;""]'!B1:B10""), IMPORTRANGE($F$8,""'Results [""&amp;if(AM$3="""",AM$2,AM$2&amp;"", ""&amp;AM$3)&amp;""]'!A1:A10"")=""25th Pctl""), ""-"")"),2.6926063263773314)</f>
        <v>2.692606326</v>
      </c>
      <c r="AN25" s="1227" t="s">
        <v>162</v>
      </c>
      <c r="AO25" s="1221">
        <f>IFERROR(__xludf.DUMMYFUNCTION("IFERROR(FILTER(IMPORTRANGE($F$8,""'Results [""&amp;if(AM$3="""",AM$2,AM$2&amp;"", ""&amp;AM$3)&amp;""]'!B1:B10""), IMPORTRANGE($F$8,""'Results [""&amp;if(AM$3="""",AM$2,AM$2&amp;"", ""&amp;AM$3)&amp;""]'!A1:A10"")=""75th Pctl""), ""-"")"),10.690782333123929)</f>
        <v>10.69078233</v>
      </c>
      <c r="AP25" s="1219">
        <f>IFERROR(__xludf.DUMMYFUNCTION("IFERROR(FILTER(IMPORTRANGE($F$8,""'Results [""&amp;if(AP$3="""",AP$2,AP$2&amp;"", ""&amp;AP$3)&amp;""]'!B1:B10""), IMPORTRANGE($F$8,""'Results [""&amp;if(AP$3="""",AP$2,AP$2&amp;"", ""&amp;AP$3)&amp;""]'!A1:A10"")=""25th Pctl""), ""-"")"),3.3774496208084193)</f>
        <v>3.377449621</v>
      </c>
      <c r="AQ25" s="1227" t="s">
        <v>162</v>
      </c>
      <c r="AR25" s="1221">
        <f>IFERROR(__xludf.DUMMYFUNCTION("IFERROR(FILTER(IMPORTRANGE($F$8,""'Results [""&amp;if(AP$3="""",AP$2,AP$2&amp;"", ""&amp;AP$3)&amp;""]'!B1:B10""), IMPORTRANGE($F$8,""'Results [""&amp;if(AP$3="""",AP$2,AP$2&amp;"", ""&amp;AP$3)&amp;""]'!A1:A10"")=""75th Pctl""), ""-"")"),12.723669284112082)</f>
        <v>12.72366928</v>
      </c>
      <c r="AS25" s="1219">
        <f>IFERROR(__xludf.DUMMYFUNCTION("IFERROR(FILTER(IMPORTRANGE($F$8,""'Results [""&amp;if(AS$3="""",AS$2,AS$2&amp;"", ""&amp;AS$3)&amp;""]'!B1:B10""), IMPORTRANGE($F$8,""'Results [""&amp;if(AS$3="""",AS$2,AS$2&amp;"", ""&amp;AS$3)&amp;""]'!A1:A10"")=""25th Pctl""), ""-"")"),1.8064405706555562)</f>
        <v>1.806440571</v>
      </c>
      <c r="AT25" s="1227" t="s">
        <v>162</v>
      </c>
      <c r="AU25" s="1221">
        <f>IFERROR(__xludf.DUMMYFUNCTION("IFERROR(FILTER(IMPORTRANGE($F$8,""'Results [""&amp;if(AS$3="""",AS$2,AS$2&amp;"", ""&amp;AS$3)&amp;""]'!B1:B10""), IMPORTRANGE($F$8,""'Results [""&amp;if(AS$3="""",AS$2,AS$2&amp;"", ""&amp;AS$3)&amp;""]'!A1:A10"")=""75th Pctl""), ""-"")"),7.509520134070718)</f>
        <v>7.509520134</v>
      </c>
      <c r="AV25" s="1219">
        <f>IFERROR(__xludf.DUMMYFUNCTION("IFERROR(FILTER(IMPORTRANGE($F$8,""'Results [""&amp;if(AV$3="""",AV$2,AV$2&amp;"", ""&amp;AV$3)&amp;""]'!B1:B10""), IMPORTRANGE($F$8,""'Results [""&amp;if(AV$3="""",AV$2,AV$2&amp;"", ""&amp;AV$3)&amp;""]'!A1:A10"")=""25th Pctl""), ""-"")"),2.166736904667132)</f>
        <v>2.166736905</v>
      </c>
      <c r="AW25" s="1227" t="s">
        <v>162</v>
      </c>
      <c r="AX25" s="1221">
        <f>IFERROR(__xludf.DUMMYFUNCTION("IFERROR(FILTER(IMPORTRANGE($F$8,""'Results [""&amp;if(AV$3="""",AV$2,AV$2&amp;"", ""&amp;AV$3)&amp;""]'!B1:B10""), IMPORTRANGE($F$8,""'Results [""&amp;if(AV$3="""",AV$2,AV$2&amp;"", ""&amp;AV$3)&amp;""]'!A1:A10"")=""75th Pctl""), ""-"")"),9.368537022335605)</f>
        <v>9.368537022</v>
      </c>
      <c r="AY25" s="1219">
        <f>IFERROR(__xludf.DUMMYFUNCTION("IFERROR(FILTER(IMPORTRANGE($F$8,""'Results [""&amp;if(AY$3="""",AY$2,AY$2&amp;"", ""&amp;AY$3)&amp;""]'!B1:B10""), IMPORTRANGE($F$8,""'Results [""&amp;if(AY$3="""",AY$2,AY$2&amp;"", ""&amp;AY$3)&amp;""]'!A1:A10"")=""25th Pctl""), ""-"")"),3.692408258527276)</f>
        <v>3.692408259</v>
      </c>
      <c r="AZ25" s="1227" t="s">
        <v>162</v>
      </c>
      <c r="BA25" s="1221">
        <f>IFERROR(__xludf.DUMMYFUNCTION("IFERROR(FILTER(IMPORTRANGE($F$8,""'Results [""&amp;if(AY$3="""",AY$2,AY$2&amp;"", ""&amp;AY$3)&amp;""]'!B1:B10""), IMPORTRANGE($F$8,""'Results [""&amp;if(AY$3="""",AY$2,AY$2&amp;"", ""&amp;AY$3)&amp;""]'!A1:A10"")=""75th Pctl""), ""-"")"),16.69963354990544)</f>
        <v>16.69963355</v>
      </c>
      <c r="BB25" s="1219"/>
    </row>
    <row r="26">
      <c r="A26" s="24"/>
      <c r="B26" s="24"/>
      <c r="C26" s="24"/>
      <c r="D26" s="24"/>
      <c r="E26" s="24"/>
      <c r="F26" s="1216"/>
      <c r="G26" s="1155"/>
      <c r="H26" s="1216"/>
      <c r="I26" s="1216"/>
      <c r="J26" s="1155"/>
      <c r="K26" s="1216"/>
      <c r="L26" s="1216"/>
      <c r="M26" s="1155"/>
      <c r="N26" s="1216"/>
      <c r="O26" s="1216"/>
      <c r="P26" s="1155"/>
      <c r="Q26" s="1216"/>
      <c r="R26" s="1216"/>
      <c r="S26" s="1155"/>
      <c r="T26" s="1216"/>
      <c r="U26" s="1216"/>
      <c r="V26" s="1155"/>
      <c r="W26" s="1216"/>
      <c r="X26" s="1216"/>
      <c r="Y26" s="1155"/>
      <c r="Z26" s="1216"/>
      <c r="AA26" s="1216"/>
      <c r="AB26" s="1155"/>
      <c r="AC26" s="1216"/>
      <c r="AD26" s="1216"/>
      <c r="AE26" s="1155"/>
      <c r="AF26" s="1216"/>
      <c r="AG26" s="1216"/>
      <c r="AH26" s="1155"/>
      <c r="AI26" s="1216"/>
      <c r="AJ26" s="1216"/>
      <c r="AK26" s="1155"/>
      <c r="AL26" s="1216"/>
      <c r="AM26" s="1216"/>
      <c r="AN26" s="1155"/>
      <c r="AO26" s="1216"/>
      <c r="AP26" s="1216"/>
      <c r="AQ26" s="1155"/>
      <c r="AR26" s="1216"/>
      <c r="AS26" s="1216"/>
      <c r="AT26" s="1155"/>
      <c r="AU26" s="1216"/>
      <c r="AV26" s="1216"/>
      <c r="AW26" s="1155"/>
      <c r="AX26" s="1216"/>
      <c r="AY26" s="1216"/>
      <c r="AZ26" s="1155"/>
      <c r="BA26" s="1216"/>
      <c r="BB26" s="1216"/>
    </row>
    <row r="27">
      <c r="A27" s="1080" t="s">
        <v>1092</v>
      </c>
      <c r="B27" s="7"/>
      <c r="C27" s="7"/>
      <c r="D27" s="7"/>
      <c r="E27" s="7"/>
      <c r="F27" s="1214"/>
      <c r="G27" s="1124"/>
      <c r="H27" s="1126"/>
      <c r="I27" s="1214"/>
      <c r="J27" s="1124"/>
      <c r="K27" s="1126"/>
      <c r="L27" s="1124"/>
      <c r="M27" s="1124"/>
      <c r="N27" s="1124"/>
      <c r="O27" s="1214"/>
      <c r="P27" s="1124"/>
      <c r="Q27" s="1126"/>
      <c r="R27" s="1214"/>
      <c r="S27" s="1124"/>
      <c r="T27" s="1126"/>
      <c r="U27" s="1214"/>
      <c r="V27" s="1124"/>
      <c r="W27" s="1126"/>
      <c r="X27" s="1214"/>
      <c r="Y27" s="1124"/>
      <c r="Z27" s="1126"/>
      <c r="AA27" s="1214"/>
      <c r="AB27" s="1124"/>
      <c r="AC27" s="1126"/>
      <c r="AD27" s="1214"/>
      <c r="AE27" s="1124"/>
      <c r="AF27" s="1126"/>
      <c r="AG27" s="1214"/>
      <c r="AH27" s="1124"/>
      <c r="AI27" s="1126"/>
      <c r="AJ27" s="1214"/>
      <c r="AK27" s="1124"/>
      <c r="AL27" s="1126"/>
      <c r="AM27" s="1214"/>
      <c r="AN27" s="1124"/>
      <c r="AO27" s="1126"/>
      <c r="AP27" s="1214"/>
      <c r="AQ27" s="1124"/>
      <c r="AR27" s="1126"/>
      <c r="AS27" s="1214"/>
      <c r="AT27" s="1124"/>
      <c r="AU27" s="1126"/>
      <c r="AV27" s="1214"/>
      <c r="AW27" s="1124"/>
      <c r="AX27" s="1126"/>
      <c r="AY27" s="1214"/>
      <c r="AZ27" s="1124"/>
      <c r="BA27" s="1126"/>
      <c r="BB27" s="1214"/>
    </row>
    <row r="28">
      <c r="A28" s="1233"/>
      <c r="B28" s="1234"/>
      <c r="C28" s="1234"/>
      <c r="D28" s="1234"/>
      <c r="E28" s="1235" t="s">
        <v>158</v>
      </c>
      <c r="F28" s="1236" t="s">
        <v>162</v>
      </c>
      <c r="G28" s="1237">
        <f>Inputs!$H$8</f>
        <v>1000000</v>
      </c>
      <c r="H28" s="1238" t="s">
        <v>162</v>
      </c>
      <c r="I28" s="1236" t="s">
        <v>162</v>
      </c>
      <c r="J28" s="1237">
        <f>Inputs!$H$8</f>
        <v>1000000</v>
      </c>
      <c r="K28" s="1238" t="s">
        <v>162</v>
      </c>
      <c r="L28" s="1236" t="s">
        <v>162</v>
      </c>
      <c r="M28" s="1237">
        <f>Inputs!$H$8</f>
        <v>1000000</v>
      </c>
      <c r="N28" s="1238" t="s">
        <v>162</v>
      </c>
      <c r="O28" s="1236" t="s">
        <v>162</v>
      </c>
      <c r="P28" s="1237">
        <f>Inputs!$H$8</f>
        <v>1000000</v>
      </c>
      <c r="Q28" s="1238" t="s">
        <v>162</v>
      </c>
      <c r="R28" s="1236" t="s">
        <v>162</v>
      </c>
      <c r="S28" s="1237">
        <f>Inputs!$H$8</f>
        <v>1000000</v>
      </c>
      <c r="T28" s="1238" t="s">
        <v>162</v>
      </c>
      <c r="U28" s="1236" t="s">
        <v>162</v>
      </c>
      <c r="V28" s="1237">
        <f>Inputs!$H$8</f>
        <v>1000000</v>
      </c>
      <c r="W28" s="1238" t="s">
        <v>162</v>
      </c>
      <c r="X28" s="1236" t="s">
        <v>162</v>
      </c>
      <c r="Y28" s="1237">
        <f>Inputs!$H$8</f>
        <v>1000000</v>
      </c>
      <c r="Z28" s="1238" t="s">
        <v>162</v>
      </c>
      <c r="AA28" s="1236" t="s">
        <v>162</v>
      </c>
      <c r="AB28" s="1237">
        <f>Inputs!$H$8</f>
        <v>1000000</v>
      </c>
      <c r="AC28" s="1238" t="s">
        <v>162</v>
      </c>
      <c r="AD28" s="1236" t="s">
        <v>162</v>
      </c>
      <c r="AE28" s="1237">
        <f>Inputs!$H$8</f>
        <v>1000000</v>
      </c>
      <c r="AF28" s="1238" t="s">
        <v>162</v>
      </c>
      <c r="AG28" s="1236" t="s">
        <v>162</v>
      </c>
      <c r="AH28" s="1237">
        <f>Inputs!$H$8</f>
        <v>1000000</v>
      </c>
      <c r="AI28" s="1238" t="s">
        <v>162</v>
      </c>
      <c r="AJ28" s="1236" t="s">
        <v>162</v>
      </c>
      <c r="AK28" s="1237">
        <f>Inputs!$H$8</f>
        <v>1000000</v>
      </c>
      <c r="AL28" s="1238" t="s">
        <v>162</v>
      </c>
      <c r="AM28" s="1236" t="s">
        <v>162</v>
      </c>
      <c r="AN28" s="1237">
        <f>Inputs!$H$8</f>
        <v>1000000</v>
      </c>
      <c r="AO28" s="1238" t="s">
        <v>162</v>
      </c>
      <c r="AP28" s="1236" t="s">
        <v>162</v>
      </c>
      <c r="AQ28" s="1237">
        <f>Inputs!$H$8</f>
        <v>1000000</v>
      </c>
      <c r="AR28" s="1238" t="s">
        <v>162</v>
      </c>
      <c r="AS28" s="1236" t="s">
        <v>162</v>
      </c>
      <c r="AT28" s="1237">
        <f>Inputs!$H$8</f>
        <v>1000000</v>
      </c>
      <c r="AU28" s="1238" t="s">
        <v>162</v>
      </c>
      <c r="AV28" s="1236" t="s">
        <v>162</v>
      </c>
      <c r="AW28" s="1237">
        <f>Inputs!$H$8</f>
        <v>1000000</v>
      </c>
      <c r="AX28" s="1238" t="s">
        <v>162</v>
      </c>
      <c r="AY28" s="1236" t="s">
        <v>162</v>
      </c>
      <c r="AZ28" s="1237">
        <f>Inputs!$H$8</f>
        <v>1000000</v>
      </c>
      <c r="BA28" s="1238" t="s">
        <v>162</v>
      </c>
      <c r="BB28" s="1236"/>
    </row>
    <row r="29">
      <c r="A29" s="293"/>
      <c r="B29" s="294"/>
      <c r="C29" s="24"/>
      <c r="D29" s="24"/>
      <c r="E29" s="915" t="str">
        <f>'Confidence intervals'!E27</f>
        <v>Cost per child reached</v>
      </c>
      <c r="F29" s="1239">
        <f>'Confidence intervals'!F27</f>
        <v>14.57007199</v>
      </c>
      <c r="G29" s="1179">
        <f>'Confidence intervals'!G27</f>
        <v>18.21258998</v>
      </c>
      <c r="H29" s="1180">
        <f>'Confidence intervals'!H27</f>
        <v>21.85510798</v>
      </c>
      <c r="I29" s="1239">
        <f>'Confidence intervals'!I27</f>
        <v>14.57007199</v>
      </c>
      <c r="J29" s="1179">
        <f>'Confidence intervals'!J27</f>
        <v>18.21258998</v>
      </c>
      <c r="K29" s="1180">
        <f>'Confidence intervals'!K27</f>
        <v>21.85510798</v>
      </c>
      <c r="L29" s="1239">
        <f>'Confidence intervals'!L27</f>
        <v>14.57007199</v>
      </c>
      <c r="M29" s="1179">
        <f>'Confidence intervals'!M27</f>
        <v>18.21258998</v>
      </c>
      <c r="N29" s="1180">
        <f>'Confidence intervals'!N27</f>
        <v>21.85510798</v>
      </c>
      <c r="O29" s="1239">
        <f>'Confidence intervals'!O27</f>
        <v>14.57007199</v>
      </c>
      <c r="P29" s="1179">
        <f>'Confidence intervals'!P27</f>
        <v>18.21258998</v>
      </c>
      <c r="Q29" s="1180">
        <f>'Confidence intervals'!Q27</f>
        <v>21.85510798</v>
      </c>
      <c r="R29" s="1239">
        <f>'Confidence intervals'!R27</f>
        <v>14.57007199</v>
      </c>
      <c r="S29" s="1179">
        <f>'Confidence intervals'!S27</f>
        <v>18.21258998</v>
      </c>
      <c r="T29" s="1180">
        <f>'Confidence intervals'!T27</f>
        <v>21.85510798</v>
      </c>
      <c r="U29" s="1239">
        <f>'Confidence intervals'!U27</f>
        <v>14.57007199</v>
      </c>
      <c r="V29" s="1179">
        <f>'Confidence intervals'!V27</f>
        <v>18.21258998</v>
      </c>
      <c r="W29" s="1180">
        <f>'Confidence intervals'!W27</f>
        <v>21.85510798</v>
      </c>
      <c r="X29" s="1239">
        <f>'Confidence intervals'!X27</f>
        <v>14.57007199</v>
      </c>
      <c r="Y29" s="1179">
        <f>'Confidence intervals'!Y27</f>
        <v>18.21258998</v>
      </c>
      <c r="Z29" s="1180">
        <f>'Confidence intervals'!Z27</f>
        <v>21.85510798</v>
      </c>
      <c r="AA29" s="1239">
        <f>'Confidence intervals'!AA27</f>
        <v>14.57007199</v>
      </c>
      <c r="AB29" s="1179">
        <f>'Confidence intervals'!AB27</f>
        <v>18.21258998</v>
      </c>
      <c r="AC29" s="1180">
        <f>'Confidence intervals'!AC27</f>
        <v>21.85510798</v>
      </c>
      <c r="AD29" s="1239">
        <f>'Confidence intervals'!AD27</f>
        <v>14.57007199</v>
      </c>
      <c r="AE29" s="1179">
        <f>'Confidence intervals'!AE27</f>
        <v>18.21258998</v>
      </c>
      <c r="AF29" s="1180">
        <f>'Confidence intervals'!AF27</f>
        <v>21.85510798</v>
      </c>
      <c r="AG29" s="1239">
        <f>'Confidence intervals'!AG27</f>
        <v>14.57007199</v>
      </c>
      <c r="AH29" s="1179">
        <f>'Confidence intervals'!AH27</f>
        <v>18.21258998</v>
      </c>
      <c r="AI29" s="1180">
        <f>'Confidence intervals'!AI27</f>
        <v>21.85510798</v>
      </c>
      <c r="AJ29" s="1239">
        <f>'Confidence intervals'!AJ27</f>
        <v>14.57007199</v>
      </c>
      <c r="AK29" s="1179">
        <f>'Confidence intervals'!AK27</f>
        <v>18.21258998</v>
      </c>
      <c r="AL29" s="1180">
        <f>'Confidence intervals'!AL27</f>
        <v>21.85510798</v>
      </c>
      <c r="AM29" s="1239">
        <f>'Confidence intervals'!AM27</f>
        <v>14.57007199</v>
      </c>
      <c r="AN29" s="1179">
        <f>'Confidence intervals'!AN27</f>
        <v>18.21258998</v>
      </c>
      <c r="AO29" s="1180">
        <f>'Confidence intervals'!AO27</f>
        <v>21.85510798</v>
      </c>
      <c r="AP29" s="1239">
        <f>'Confidence intervals'!AP27</f>
        <v>14.57007199</v>
      </c>
      <c r="AQ29" s="1179">
        <f>'Confidence intervals'!AQ27</f>
        <v>18.21258998</v>
      </c>
      <c r="AR29" s="1180">
        <f>'Confidence intervals'!AR27</f>
        <v>21.85510798</v>
      </c>
      <c r="AS29" s="1239">
        <f>'Confidence intervals'!AS27</f>
        <v>14.57007199</v>
      </c>
      <c r="AT29" s="1179">
        <f>'Confidence intervals'!AT27</f>
        <v>18.21258998</v>
      </c>
      <c r="AU29" s="1180">
        <f>'Confidence intervals'!AU27</f>
        <v>21.85510798</v>
      </c>
      <c r="AV29" s="1239">
        <f>'Confidence intervals'!AV27</f>
        <v>14.57007199</v>
      </c>
      <c r="AW29" s="1179">
        <f>'Confidence intervals'!AW27</f>
        <v>18.21258998</v>
      </c>
      <c r="AX29" s="1180">
        <f>'Confidence intervals'!AX27</f>
        <v>21.85510798</v>
      </c>
      <c r="AY29" s="1239">
        <f>'Confidence intervals'!AY27</f>
        <v>14.57007199</v>
      </c>
      <c r="AZ29" s="1179">
        <f>'Confidence intervals'!AZ27</f>
        <v>18.21258998</v>
      </c>
      <c r="BA29" s="1180">
        <f>'Confidence intervals'!BA27</f>
        <v>21.85510798</v>
      </c>
      <c r="BB29" s="1239"/>
    </row>
    <row r="30">
      <c r="A30" s="293"/>
      <c r="B30" s="294"/>
      <c r="C30" s="24"/>
      <c r="D30" s="294"/>
      <c r="E30" s="915" t="str">
        <f>'Confidence intervals'!E28</f>
        <v>Proportion of reached children who would be vaccinated in the absence of the program</v>
      </c>
      <c r="F30" s="1240">
        <f>'Confidence intervals'!F28</f>
        <v>0.692558289</v>
      </c>
      <c r="G30" s="1191">
        <f>'Confidence intervals'!G28</f>
        <v>0.8147744577</v>
      </c>
      <c r="H30" s="1192">
        <f>'Confidence intervals'!H28</f>
        <v>0.9369906263</v>
      </c>
      <c r="I30" s="1240">
        <f>'Confidence intervals'!I28</f>
        <v>0.7920423145</v>
      </c>
      <c r="J30" s="1191">
        <f>'Confidence intervals'!J28</f>
        <v>0.8800470161</v>
      </c>
      <c r="K30" s="1192">
        <f>'Confidence intervals'!K28</f>
        <v>0.9680517177</v>
      </c>
      <c r="L30" s="1240">
        <f>'Confidence intervals'!L28</f>
        <v>0.729119993</v>
      </c>
      <c r="M30" s="1191">
        <f>'Confidence intervals'!M28</f>
        <v>0.8577882271</v>
      </c>
      <c r="N30" s="1192">
        <f>'Confidence intervals'!N28</f>
        <v>0.9864564612</v>
      </c>
      <c r="O30" s="1240">
        <f>'Confidence intervals'!O28</f>
        <v>0.7159752485</v>
      </c>
      <c r="P30" s="1191">
        <f>'Confidence intervals'!P28</f>
        <v>0.8423238217</v>
      </c>
      <c r="Q30" s="1192">
        <f>'Confidence intervals'!Q28</f>
        <v>0.968672395</v>
      </c>
      <c r="R30" s="1240">
        <f>'Confidence intervals'!R28</f>
        <v>0.707456005</v>
      </c>
      <c r="S30" s="1191">
        <f>'Confidence intervals'!S28</f>
        <v>0.8323011824</v>
      </c>
      <c r="T30" s="1192">
        <f>'Confidence intervals'!T28</f>
        <v>0.9571463598</v>
      </c>
      <c r="U30" s="1240">
        <f>'Confidence intervals'!U28</f>
        <v>0.6483833026</v>
      </c>
      <c r="V30" s="1191">
        <f>'Confidence intervals'!V28</f>
        <v>0.8104791282</v>
      </c>
      <c r="W30" s="1192">
        <f>'Confidence intervals'!W28</f>
        <v>0.9725749539</v>
      </c>
      <c r="X30" s="1240">
        <f>'Confidence intervals'!X28</f>
        <v>0.5035289776</v>
      </c>
      <c r="Y30" s="1191">
        <f>'Confidence intervals'!Y28</f>
        <v>0.7193271108</v>
      </c>
      <c r="Z30" s="1192">
        <f>'Confidence intervals'!Z28</f>
        <v>0.935125244</v>
      </c>
      <c r="AA30" s="1240">
        <f>'Confidence intervals'!AA28</f>
        <v>0.4108121793</v>
      </c>
      <c r="AB30" s="1191">
        <f>'Confidence intervals'!AB28</f>
        <v>0.6846869654</v>
      </c>
      <c r="AC30" s="1192">
        <f>'Confidence intervals'!AC28</f>
        <v>0.9585617516</v>
      </c>
      <c r="AD30" s="1240">
        <f>'Confidence intervals'!AD28</f>
        <v>0.6355057576</v>
      </c>
      <c r="AE30" s="1191">
        <f>'Confidence intervals'!AE28</f>
        <v>0.7943821971</v>
      </c>
      <c r="AF30" s="1192">
        <f>'Confidence intervals'!AF28</f>
        <v>0.9532586365</v>
      </c>
      <c r="AG30" s="1240">
        <f>'Confidence intervals'!AG28</f>
        <v>0.8998615072</v>
      </c>
      <c r="AH30" s="1191">
        <f>'Confidence intervals'!AH28</f>
        <v>0.9472226391</v>
      </c>
      <c r="AI30" s="1192">
        <f>'Confidence intervals'!AI28</f>
        <v>0.9945837711</v>
      </c>
      <c r="AJ30" s="1240">
        <f>'Confidence intervals'!AJ28</f>
        <v>0.8122349476</v>
      </c>
      <c r="AK30" s="1191">
        <f>'Confidence intervals'!AK28</f>
        <v>0.9024832751</v>
      </c>
      <c r="AL30" s="1192">
        <f>'Confidence intervals'!AL28</f>
        <v>0.9927316026</v>
      </c>
      <c r="AM30" s="1240">
        <f>'Confidence intervals'!AM28</f>
        <v>0.7565183762</v>
      </c>
      <c r="AN30" s="1191">
        <f>'Confidence intervals'!AN28</f>
        <v>0.8405759735</v>
      </c>
      <c r="AO30" s="1192">
        <f>'Confidence intervals'!AO28</f>
        <v>0.9246335709</v>
      </c>
      <c r="AP30" s="1240">
        <f>'Confidence intervals'!AP28</f>
        <v>0.7294654957</v>
      </c>
      <c r="AQ30" s="1191">
        <f>'Confidence intervals'!AQ28</f>
        <v>0.8105172175</v>
      </c>
      <c r="AR30" s="1192">
        <f>'Confidence intervals'!AR28</f>
        <v>0.8915689392</v>
      </c>
      <c r="AS30" s="1240">
        <f>'Confidence intervals'!AS28</f>
        <v>0.8018732483</v>
      </c>
      <c r="AT30" s="1191">
        <f>'Confidence intervals'!AT28</f>
        <v>0.8909702759</v>
      </c>
      <c r="AU30" s="1192">
        <f>'Confidence intervals'!AU28</f>
        <v>0.9800673035</v>
      </c>
      <c r="AV30" s="1240">
        <f>'Confidence intervals'!AV28</f>
        <v>0.8109773084</v>
      </c>
      <c r="AW30" s="1191">
        <f>'Confidence intervals'!AW28</f>
        <v>0.9010858983</v>
      </c>
      <c r="AX30" s="1192">
        <f>'Confidence intervals'!AX28</f>
        <v>0.9911944881</v>
      </c>
      <c r="AY30" s="1240">
        <f>'Confidence intervals'!AY28</f>
        <v>0.7207371277</v>
      </c>
      <c r="AZ30" s="1191">
        <f>'Confidence intervals'!AZ28</f>
        <v>0.8479260325</v>
      </c>
      <c r="BA30" s="1192">
        <f>'Confidence intervals'!BA28</f>
        <v>0.9751149374</v>
      </c>
      <c r="BB30" s="1236"/>
    </row>
    <row r="31">
      <c r="A31" s="293"/>
      <c r="B31" s="294"/>
      <c r="C31" s="24"/>
      <c r="D31" s="294"/>
      <c r="E31" s="915" t="str">
        <f>'Confidence intervals'!E29</f>
        <v>Probability that an unvaccinated child will die of vaccine-preventable causes before age five</v>
      </c>
      <c r="F31" s="1240">
        <f>'Confidence intervals'!F29</f>
        <v>0.03674776638</v>
      </c>
      <c r="G31" s="1191">
        <f>'Confidence intervals'!G29</f>
        <v>0.0565350252</v>
      </c>
      <c r="H31" s="1192">
        <f>'Confidence intervals'!H29</f>
        <v>0.07632228402</v>
      </c>
      <c r="I31" s="1240">
        <f>'Confidence intervals'!I29</f>
        <v>0.02729496367</v>
      </c>
      <c r="J31" s="1191">
        <f>'Confidence intervals'!J29</f>
        <v>0.0419922518</v>
      </c>
      <c r="K31" s="1192">
        <f>'Confidence intervals'!K29</f>
        <v>0.05668953993</v>
      </c>
      <c r="L31" s="1240">
        <f>'Confidence intervals'!L29</f>
        <v>0.04111092574</v>
      </c>
      <c r="M31" s="1191">
        <f>'Confidence intervals'!M29</f>
        <v>0.06324757807</v>
      </c>
      <c r="N31" s="1192">
        <f>'Confidence intervals'!N29</f>
        <v>0.08538423039</v>
      </c>
      <c r="O31" s="1240">
        <f>'Confidence intervals'!O29</f>
        <v>0.01848611297</v>
      </c>
      <c r="P31" s="1191">
        <f>'Confidence intervals'!P29</f>
        <v>0.02844017379</v>
      </c>
      <c r="Q31" s="1192">
        <f>'Confidence intervals'!Q29</f>
        <v>0.03839423462</v>
      </c>
      <c r="R31" s="1240">
        <f>'Confidence intervals'!R29</f>
        <v>0.02601600689</v>
      </c>
      <c r="S31" s="1191">
        <f>'Confidence intervals'!S29</f>
        <v>0.04002462599</v>
      </c>
      <c r="T31" s="1192">
        <f>'Confidence intervals'!T29</f>
        <v>0.05403324508</v>
      </c>
      <c r="U31" s="1240">
        <f>'Confidence intervals'!U29</f>
        <v>0.02854303973</v>
      </c>
      <c r="V31" s="1191">
        <f>'Confidence intervals'!V29</f>
        <v>0.04391236882</v>
      </c>
      <c r="W31" s="1192">
        <f>'Confidence intervals'!W29</f>
        <v>0.0592816979</v>
      </c>
      <c r="X31" s="1240">
        <f>'Confidence intervals'!X29</f>
        <v>0.03328681591</v>
      </c>
      <c r="Y31" s="1191">
        <f>'Confidence intervals'!Y29</f>
        <v>0.05121048602</v>
      </c>
      <c r="Z31" s="1192">
        <f>'Confidence intervals'!Z29</f>
        <v>0.06913415613</v>
      </c>
      <c r="AA31" s="1240">
        <f>'Confidence intervals'!AA29</f>
        <v>0.04134497694</v>
      </c>
      <c r="AB31" s="1191">
        <f>'Confidence intervals'!AB29</f>
        <v>0.06360765684</v>
      </c>
      <c r="AC31" s="1192">
        <f>'Confidence intervals'!AC29</f>
        <v>0.08587033673</v>
      </c>
      <c r="AD31" s="1240">
        <f>'Confidence intervals'!AD29</f>
        <v>0.05055237122</v>
      </c>
      <c r="AE31" s="1191">
        <f>'Confidence intervals'!AE29</f>
        <v>0.0777728788</v>
      </c>
      <c r="AF31" s="1192">
        <f>'Confidence intervals'!AF29</f>
        <v>0.1049933864</v>
      </c>
      <c r="AG31" s="1240">
        <f>'Confidence intervals'!AG29</f>
        <v>0.02478051421</v>
      </c>
      <c r="AH31" s="1191">
        <f>'Confidence intervals'!AH29</f>
        <v>0.03812386802</v>
      </c>
      <c r="AI31" s="1192">
        <f>'Confidence intervals'!AI29</f>
        <v>0.05146722182</v>
      </c>
      <c r="AJ31" s="1240">
        <f>'Confidence intervals'!AJ29</f>
        <v>0.01848611297</v>
      </c>
      <c r="AK31" s="1191">
        <f>'Confidence intervals'!AK29</f>
        <v>0.02844017379</v>
      </c>
      <c r="AL31" s="1192">
        <f>'Confidence intervals'!AL29</f>
        <v>0.03839423462</v>
      </c>
      <c r="AM31" s="1240">
        <f>'Confidence intervals'!AM29</f>
        <v>0.01624327668</v>
      </c>
      <c r="AN31" s="1191">
        <f>'Confidence intervals'!AN29</f>
        <v>0.02498965644</v>
      </c>
      <c r="AO31" s="1192">
        <f>'Confidence intervals'!AO29</f>
        <v>0.03373603619</v>
      </c>
      <c r="AP31" s="1240">
        <f>'Confidence intervals'!AP29</f>
        <v>0.01624327668</v>
      </c>
      <c r="AQ31" s="1191">
        <f>'Confidence intervals'!AQ29</f>
        <v>0.02498965644</v>
      </c>
      <c r="AR31" s="1192">
        <f>'Confidence intervals'!AR29</f>
        <v>0.03373603619</v>
      </c>
      <c r="AS31" s="1240">
        <f>'Confidence intervals'!AS29</f>
        <v>0.01624327668</v>
      </c>
      <c r="AT31" s="1191">
        <f>'Confidence intervals'!AT29</f>
        <v>0.02498965644</v>
      </c>
      <c r="AU31" s="1192">
        <f>'Confidence intervals'!AU29</f>
        <v>0.03373603619</v>
      </c>
      <c r="AV31" s="1240">
        <f>'Confidence intervals'!AV29</f>
        <v>0.02666786588</v>
      </c>
      <c r="AW31" s="1191">
        <f>'Confidence intervals'!AW29</f>
        <v>0.04102748597</v>
      </c>
      <c r="AX31" s="1192">
        <f>'Confidence intervals'!AX29</f>
        <v>0.05538710605</v>
      </c>
      <c r="AY31" s="1240">
        <f>'Confidence intervals'!AY29</f>
        <v>0.02432191935</v>
      </c>
      <c r="AZ31" s="1191">
        <f>'Confidence intervals'!AZ29</f>
        <v>0.03741833747</v>
      </c>
      <c r="BA31" s="1192">
        <f>'Confidence intervals'!BA29</f>
        <v>0.05051475558</v>
      </c>
      <c r="BB31" s="1241"/>
    </row>
    <row r="32">
      <c r="A32" s="293"/>
      <c r="B32" s="294"/>
      <c r="C32" s="24"/>
      <c r="D32" s="294"/>
      <c r="E32" s="915" t="str">
        <f>'Confidence intervals'!E30</f>
        <v>Effect of vaccination on under-five deaths attributable to vaccine-preventable disease</v>
      </c>
      <c r="F32" s="1240">
        <f>'Confidence intervals'!F30</f>
        <v>0.4180448395</v>
      </c>
      <c r="G32" s="1191">
        <f>'Confidence intervals'!G30</f>
        <v>0.5225560494</v>
      </c>
      <c r="H32" s="1192">
        <f>'Confidence intervals'!H30</f>
        <v>0.6270672593</v>
      </c>
      <c r="I32" s="1240">
        <f>'Confidence intervals'!I30</f>
        <v>0.4219071499</v>
      </c>
      <c r="J32" s="1191">
        <f>'Confidence intervals'!J30</f>
        <v>0.5273839374</v>
      </c>
      <c r="K32" s="1192">
        <f>'Confidence intervals'!K30</f>
        <v>0.6328607249</v>
      </c>
      <c r="L32" s="1240">
        <f>'Confidence intervals'!L30</f>
        <v>0.4406740009</v>
      </c>
      <c r="M32" s="1191">
        <f>'Confidence intervals'!M30</f>
        <v>0.5508425012</v>
      </c>
      <c r="N32" s="1192">
        <f>'Confidence intervals'!N30</f>
        <v>0.6610110014</v>
      </c>
      <c r="O32" s="1240">
        <f>'Confidence intervals'!O30</f>
        <v>0.4349696419</v>
      </c>
      <c r="P32" s="1191">
        <f>'Confidence intervals'!P30</f>
        <v>0.5437120524</v>
      </c>
      <c r="Q32" s="1192">
        <f>'Confidence intervals'!Q30</f>
        <v>0.6524544628</v>
      </c>
      <c r="R32" s="1240">
        <f>'Confidence intervals'!R30</f>
        <v>0.4127624751</v>
      </c>
      <c r="S32" s="1191">
        <f>'Confidence intervals'!S30</f>
        <v>0.5159530939</v>
      </c>
      <c r="T32" s="1192">
        <f>'Confidence intervals'!T30</f>
        <v>0.6191437127</v>
      </c>
      <c r="U32" s="1240">
        <f>'Confidence intervals'!U30</f>
        <v>0.436657667</v>
      </c>
      <c r="V32" s="1191">
        <f>'Confidence intervals'!V30</f>
        <v>0.5458220838</v>
      </c>
      <c r="W32" s="1192">
        <f>'Confidence intervals'!W30</f>
        <v>0.6549865005</v>
      </c>
      <c r="X32" s="1240">
        <f>'Confidence intervals'!X30</f>
        <v>0.4465951619</v>
      </c>
      <c r="Y32" s="1191">
        <f>'Confidence intervals'!Y30</f>
        <v>0.5582439524</v>
      </c>
      <c r="Z32" s="1192">
        <f>'Confidence intervals'!Z30</f>
        <v>0.6698927429</v>
      </c>
      <c r="AA32" s="1240">
        <f>'Confidence intervals'!AA30</f>
        <v>0.4240096179</v>
      </c>
      <c r="AB32" s="1191">
        <f>'Confidence intervals'!AB30</f>
        <v>0.5300120224</v>
      </c>
      <c r="AC32" s="1192">
        <f>'Confidence intervals'!AC30</f>
        <v>0.6360144269</v>
      </c>
      <c r="AD32" s="1240">
        <f>'Confidence intervals'!AD30</f>
        <v>0.4356937212</v>
      </c>
      <c r="AE32" s="1191">
        <f>'Confidence intervals'!AE30</f>
        <v>0.5446171515</v>
      </c>
      <c r="AF32" s="1192">
        <f>'Confidence intervals'!AF30</f>
        <v>0.6535405818</v>
      </c>
      <c r="AG32" s="1240">
        <f>'Confidence intervals'!AG30</f>
        <v>0.4116105761</v>
      </c>
      <c r="AH32" s="1191">
        <f>'Confidence intervals'!AH30</f>
        <v>0.5145132201</v>
      </c>
      <c r="AI32" s="1192">
        <f>'Confidence intervals'!AI30</f>
        <v>0.6174158641</v>
      </c>
      <c r="AJ32" s="1240">
        <f>'Confidence intervals'!AJ30</f>
        <v>0.4349696419</v>
      </c>
      <c r="AK32" s="1191">
        <f>'Confidence intervals'!AK30</f>
        <v>0.5437120524</v>
      </c>
      <c r="AL32" s="1192">
        <f>'Confidence intervals'!AL30</f>
        <v>0.6524544628</v>
      </c>
      <c r="AM32" s="1240">
        <f>'Confidence intervals'!AM30</f>
        <v>0.4242347904</v>
      </c>
      <c r="AN32" s="1191">
        <f>'Confidence intervals'!AN30</f>
        <v>0.530293488</v>
      </c>
      <c r="AO32" s="1192">
        <f>'Confidence intervals'!AO30</f>
        <v>0.6363521856</v>
      </c>
      <c r="AP32" s="1240">
        <f>'Confidence intervals'!AP30</f>
        <v>0.4242347904</v>
      </c>
      <c r="AQ32" s="1191">
        <f>'Confidence intervals'!AQ30</f>
        <v>0.530293488</v>
      </c>
      <c r="AR32" s="1192">
        <f>'Confidence intervals'!AR30</f>
        <v>0.6363521856</v>
      </c>
      <c r="AS32" s="1240">
        <f>'Confidence intervals'!AS30</f>
        <v>0.4242347904</v>
      </c>
      <c r="AT32" s="1191">
        <f>'Confidence intervals'!AT30</f>
        <v>0.530293488</v>
      </c>
      <c r="AU32" s="1192">
        <f>'Confidence intervals'!AU30</f>
        <v>0.6363521856</v>
      </c>
      <c r="AV32" s="1240">
        <f>'Confidence intervals'!AV30</f>
        <v>0.4130661535</v>
      </c>
      <c r="AW32" s="1191">
        <f>'Confidence intervals'!AW30</f>
        <v>0.5163326919</v>
      </c>
      <c r="AX32" s="1192">
        <f>'Confidence intervals'!AX30</f>
        <v>0.6195992303</v>
      </c>
      <c r="AY32" s="1240">
        <f>'Confidence intervals'!AY30</f>
        <v>0.4577481956</v>
      </c>
      <c r="AZ32" s="1191">
        <f>'Confidence intervals'!AZ30</f>
        <v>0.5721852444</v>
      </c>
      <c r="BA32" s="1192">
        <f>'Confidence intervals'!BA30</f>
        <v>0.6866222933</v>
      </c>
      <c r="BB32" s="1240"/>
    </row>
    <row r="33">
      <c r="A33" s="293"/>
      <c r="B33" s="294"/>
      <c r="C33" s="24"/>
      <c r="D33" s="294"/>
      <c r="E33" s="915" t="str">
        <f>'Confidence intervals'!E33</f>
        <v>Adjustment to account for mortalities averted after age five</v>
      </c>
      <c r="F33" s="1240">
        <f>'Confidence intervals'!F33</f>
        <v>0.07312254183</v>
      </c>
      <c r="G33" s="1191">
        <f>'Confidence intervals'!G33</f>
        <v>0.1828063546</v>
      </c>
      <c r="H33" s="1192">
        <f>'Confidence intervals'!H33</f>
        <v>0.2924901673</v>
      </c>
      <c r="I33" s="1240">
        <f>'Confidence intervals'!I33</f>
        <v>0.06732902998</v>
      </c>
      <c r="J33" s="1191">
        <f>'Confidence intervals'!J33</f>
        <v>0.1683225749</v>
      </c>
      <c r="K33" s="1192">
        <f>'Confidence intervals'!K33</f>
        <v>0.2693161199</v>
      </c>
      <c r="L33" s="1240">
        <f>'Confidence intervals'!L33</f>
        <v>0.066644687</v>
      </c>
      <c r="M33" s="1191">
        <f>'Confidence intervals'!M33</f>
        <v>0.1666117175</v>
      </c>
      <c r="N33" s="1192">
        <f>'Confidence intervals'!N33</f>
        <v>0.266578748</v>
      </c>
      <c r="O33" s="1240">
        <f>'Confidence intervals'!O33</f>
        <v>0.06591725601</v>
      </c>
      <c r="P33" s="1191">
        <f>'Confidence intervals'!P33</f>
        <v>0.16479314</v>
      </c>
      <c r="Q33" s="1192">
        <f>'Confidence intervals'!Q33</f>
        <v>0.2636690241</v>
      </c>
      <c r="R33" s="1240">
        <f>'Confidence intervals'!R33</f>
        <v>0.06435204177</v>
      </c>
      <c r="S33" s="1191">
        <f>'Confidence intervals'!S33</f>
        <v>0.1608801044</v>
      </c>
      <c r="T33" s="1192">
        <f>'Confidence intervals'!T33</f>
        <v>0.2574081671</v>
      </c>
      <c r="U33" s="1240">
        <f>'Confidence intervals'!U33</f>
        <v>0.07933162945</v>
      </c>
      <c r="V33" s="1191">
        <f>'Confidence intervals'!V33</f>
        <v>0.1983290736</v>
      </c>
      <c r="W33" s="1192">
        <f>'Confidence intervals'!W33</f>
        <v>0.3173265178</v>
      </c>
      <c r="X33" s="1240">
        <f>'Confidence intervals'!X33</f>
        <v>0.07697334302</v>
      </c>
      <c r="Y33" s="1191">
        <f>'Confidence intervals'!Y33</f>
        <v>0.1924333576</v>
      </c>
      <c r="Z33" s="1192">
        <f>'Confidence intervals'!Z33</f>
        <v>0.3078933721</v>
      </c>
      <c r="AA33" s="1240">
        <f>'Confidence intervals'!AA33</f>
        <v>0.07899231083</v>
      </c>
      <c r="AB33" s="1191">
        <f>'Confidence intervals'!AB33</f>
        <v>0.1974807771</v>
      </c>
      <c r="AC33" s="1192">
        <f>'Confidence intervals'!AC33</f>
        <v>0.3159692433</v>
      </c>
      <c r="AD33" s="1240">
        <f>'Confidence intervals'!AD33</f>
        <v>0.06560207696</v>
      </c>
      <c r="AE33" s="1191">
        <f>'Confidence intervals'!AE33</f>
        <v>0.1640051924</v>
      </c>
      <c r="AF33" s="1192">
        <f>'Confidence intervals'!AF33</f>
        <v>0.2624083078</v>
      </c>
      <c r="AG33" s="1240">
        <f>'Confidence intervals'!AG33</f>
        <v>0.06466227868</v>
      </c>
      <c r="AH33" s="1191">
        <f>'Confidence intervals'!AH33</f>
        <v>0.1616556967</v>
      </c>
      <c r="AI33" s="1192">
        <f>'Confidence intervals'!AI33</f>
        <v>0.2586491147</v>
      </c>
      <c r="AJ33" s="1240">
        <f>'Confidence intervals'!AJ33</f>
        <v>0.06591725601</v>
      </c>
      <c r="AK33" s="1191">
        <f>'Confidence intervals'!AK33</f>
        <v>0.16479314</v>
      </c>
      <c r="AL33" s="1192">
        <f>'Confidence intervals'!AL33</f>
        <v>0.2636690241</v>
      </c>
      <c r="AM33" s="1240">
        <f>'Confidence intervals'!AM33</f>
        <v>0.09392417671</v>
      </c>
      <c r="AN33" s="1191">
        <f>'Confidence intervals'!AN33</f>
        <v>0.2348104418</v>
      </c>
      <c r="AO33" s="1192">
        <f>'Confidence intervals'!AO33</f>
        <v>0.3756967068</v>
      </c>
      <c r="AP33" s="1240">
        <f>'Confidence intervals'!AP33</f>
        <v>0.09392417671</v>
      </c>
      <c r="AQ33" s="1191">
        <f>'Confidence intervals'!AQ33</f>
        <v>0.2348104418</v>
      </c>
      <c r="AR33" s="1192">
        <f>'Confidence intervals'!AR33</f>
        <v>0.3756967068</v>
      </c>
      <c r="AS33" s="1240">
        <f>'Confidence intervals'!AS33</f>
        <v>0.09392417671</v>
      </c>
      <c r="AT33" s="1191">
        <f>'Confidence intervals'!AT33</f>
        <v>0.2348104418</v>
      </c>
      <c r="AU33" s="1192">
        <f>'Confidence intervals'!AU33</f>
        <v>0.3756967068</v>
      </c>
      <c r="AV33" s="1240">
        <f>'Confidence intervals'!AV33</f>
        <v>0.06614720596</v>
      </c>
      <c r="AW33" s="1191">
        <f>'Confidence intervals'!AW33</f>
        <v>0.1653680149</v>
      </c>
      <c r="AX33" s="1192">
        <f>'Confidence intervals'!AX33</f>
        <v>0.2645888238</v>
      </c>
      <c r="AY33" s="1240">
        <f>'Confidence intervals'!AY33</f>
        <v>0.08749394037</v>
      </c>
      <c r="AZ33" s="1191">
        <f>'Confidence intervals'!AZ33</f>
        <v>0.2187348509</v>
      </c>
      <c r="BA33" s="1192">
        <f>'Confidence intervals'!BA33</f>
        <v>0.3499757615</v>
      </c>
      <c r="BB33" s="1240"/>
    </row>
    <row r="34">
      <c r="A34" s="293"/>
      <c r="B34" s="294"/>
      <c r="C34" s="24"/>
      <c r="D34" s="294"/>
      <c r="E34" s="915" t="str">
        <f>'Confidence intervals'!E34</f>
        <v>Adjustment to account for developmental benefits (long-term income increases)</v>
      </c>
      <c r="F34" s="1240">
        <f>'Confidence intervals'!F34</f>
        <v>0</v>
      </c>
      <c r="G34" s="1191">
        <f>'Confidence intervals'!G34</f>
        <v>0.2802178229</v>
      </c>
      <c r="H34" s="1192">
        <f>'Confidence intervals'!H34</f>
        <v>0.5604356459</v>
      </c>
      <c r="I34" s="1240">
        <f>'Confidence intervals'!I34</f>
        <v>0</v>
      </c>
      <c r="J34" s="1191">
        <f>'Confidence intervals'!J34</f>
        <v>0.2827472661</v>
      </c>
      <c r="K34" s="1192">
        <f>'Confidence intervals'!K34</f>
        <v>0.5654945322</v>
      </c>
      <c r="L34" s="1240">
        <f>'Confidence intervals'!L34</f>
        <v>0</v>
      </c>
      <c r="M34" s="1191">
        <f>'Confidence intervals'!M34</f>
        <v>0.2828406239</v>
      </c>
      <c r="N34" s="1192">
        <f>'Confidence intervals'!N34</f>
        <v>0.5656812478</v>
      </c>
      <c r="O34" s="1240">
        <f>'Confidence intervals'!O34</f>
        <v>0</v>
      </c>
      <c r="P34" s="1191">
        <f>'Confidence intervals'!P34</f>
        <v>0.2837290535</v>
      </c>
      <c r="Q34" s="1192">
        <f>'Confidence intervals'!Q34</f>
        <v>0.567458107</v>
      </c>
      <c r="R34" s="1240">
        <f>'Confidence intervals'!R34</f>
        <v>0</v>
      </c>
      <c r="S34" s="1191">
        <f>'Confidence intervals'!S34</f>
        <v>0.2849654572</v>
      </c>
      <c r="T34" s="1192">
        <f>'Confidence intervals'!T34</f>
        <v>0.5699309144</v>
      </c>
      <c r="U34" s="1240">
        <f>'Confidence intervals'!U34</f>
        <v>0</v>
      </c>
      <c r="V34" s="1191">
        <f>'Confidence intervals'!V34</f>
        <v>0.2779754152</v>
      </c>
      <c r="W34" s="1192">
        <f>'Confidence intervals'!W34</f>
        <v>0.5559508305</v>
      </c>
      <c r="X34" s="1240">
        <f>'Confidence intervals'!X34</f>
        <v>0</v>
      </c>
      <c r="Y34" s="1191">
        <f>'Confidence intervals'!Y34</f>
        <v>0.2789453801</v>
      </c>
      <c r="Z34" s="1192">
        <f>'Confidence intervals'!Z34</f>
        <v>0.5578907601</v>
      </c>
      <c r="AA34" s="1240">
        <f>'Confidence intervals'!AA34</f>
        <v>0</v>
      </c>
      <c r="AB34" s="1191">
        <f>'Confidence intervals'!AB34</f>
        <v>0.278460293</v>
      </c>
      <c r="AC34" s="1192">
        <f>'Confidence intervals'!AC34</f>
        <v>0.5569205861</v>
      </c>
      <c r="AD34" s="1240">
        <f>'Confidence intervals'!AD34</f>
        <v>0</v>
      </c>
      <c r="AE34" s="1191">
        <f>'Confidence intervals'!AE34</f>
        <v>0.2838368371</v>
      </c>
      <c r="AF34" s="1192">
        <f>'Confidence intervals'!AF34</f>
        <v>0.5676736742</v>
      </c>
      <c r="AG34" s="1240">
        <f>'Confidence intervals'!AG34</f>
        <v>0</v>
      </c>
      <c r="AH34" s="1191">
        <f>'Confidence intervals'!AH34</f>
        <v>0.2827747483</v>
      </c>
      <c r="AI34" s="1192">
        <f>'Confidence intervals'!AI34</f>
        <v>0.5655494967</v>
      </c>
      <c r="AJ34" s="1240">
        <f>'Confidence intervals'!AJ34</f>
        <v>0</v>
      </c>
      <c r="AK34" s="1191">
        <f>'Confidence intervals'!AK34</f>
        <v>0.2837290535</v>
      </c>
      <c r="AL34" s="1192">
        <f>'Confidence intervals'!AL34</f>
        <v>0.567458107</v>
      </c>
      <c r="AM34" s="1240">
        <f>'Confidence intervals'!AM34</f>
        <v>0</v>
      </c>
      <c r="AN34" s="1191">
        <f>'Confidence intervals'!AN34</f>
        <v>0.2707726727</v>
      </c>
      <c r="AO34" s="1192">
        <f>'Confidence intervals'!AO34</f>
        <v>0.5415453454</v>
      </c>
      <c r="AP34" s="1240">
        <f>'Confidence intervals'!AP34</f>
        <v>0</v>
      </c>
      <c r="AQ34" s="1191">
        <f>'Confidence intervals'!AQ34</f>
        <v>0.2707726727</v>
      </c>
      <c r="AR34" s="1192">
        <f>'Confidence intervals'!AR34</f>
        <v>0.5415453454</v>
      </c>
      <c r="AS34" s="1240">
        <f>'Confidence intervals'!AS34</f>
        <v>0</v>
      </c>
      <c r="AT34" s="1191">
        <f>'Confidence intervals'!AT34</f>
        <v>0.2707726727</v>
      </c>
      <c r="AU34" s="1192">
        <f>'Confidence intervals'!AU34</f>
        <v>0.5415453454</v>
      </c>
      <c r="AV34" s="1240">
        <f>'Confidence intervals'!AV34</f>
        <v>0</v>
      </c>
      <c r="AW34" s="1191">
        <f>'Confidence intervals'!AW34</f>
        <v>0.2824303698</v>
      </c>
      <c r="AX34" s="1192">
        <f>'Confidence intervals'!AX34</f>
        <v>0.5648607396</v>
      </c>
      <c r="AY34" s="1240">
        <f>'Confidence intervals'!AY34</f>
        <v>0</v>
      </c>
      <c r="AZ34" s="1191">
        <f>'Confidence intervals'!AZ34</f>
        <v>0.2739450561</v>
      </c>
      <c r="BA34" s="1192">
        <f>'Confidence intervals'!BA34</f>
        <v>0.5478901123</v>
      </c>
      <c r="BB34" s="1240"/>
    </row>
    <row r="35">
      <c r="A35" s="293"/>
      <c r="B35" s="294"/>
      <c r="C35" s="24"/>
      <c r="D35" s="24"/>
      <c r="E35" s="915" t="str">
        <f>'Confidence intervals'!E35</f>
        <v>Adjustment to account for consumption benefits</v>
      </c>
      <c r="F35" s="1240">
        <f>'Confidence intervals'!F35</f>
        <v>0.02337739471</v>
      </c>
      <c r="G35" s="1191">
        <f>'Confidence intervals'!G35</f>
        <v>0.04675478943</v>
      </c>
      <c r="H35" s="1192">
        <f>'Confidence intervals'!H35</f>
        <v>0.07013218414</v>
      </c>
      <c r="I35" s="1240">
        <f>'Confidence intervals'!I35</f>
        <v>0.04865572952</v>
      </c>
      <c r="J35" s="1191">
        <f>'Confidence intervals'!J35</f>
        <v>0.09731145904</v>
      </c>
      <c r="K35" s="1192">
        <f>'Confidence intervals'!K35</f>
        <v>0.1459671886</v>
      </c>
      <c r="L35" s="1240">
        <f>'Confidence intervals'!L35</f>
        <v>0.02612396193</v>
      </c>
      <c r="M35" s="1191">
        <f>'Confidence intervals'!M35</f>
        <v>0.05224792387</v>
      </c>
      <c r="N35" s="1192">
        <f>'Confidence intervals'!N35</f>
        <v>0.0783718858</v>
      </c>
      <c r="O35" s="1240">
        <f>'Confidence intervals'!O35</f>
        <v>0.05313191965</v>
      </c>
      <c r="P35" s="1191">
        <f>'Confidence intervals'!P35</f>
        <v>0.1062638393</v>
      </c>
      <c r="Q35" s="1192">
        <f>'Confidence intervals'!Q35</f>
        <v>0.1593957589</v>
      </c>
      <c r="R35" s="1240">
        <f>'Confidence intervals'!R35</f>
        <v>0.03749718347</v>
      </c>
      <c r="S35" s="1191">
        <f>'Confidence intervals'!S35</f>
        <v>0.07499436694</v>
      </c>
      <c r="T35" s="1192">
        <f>'Confidence intervals'!T35</f>
        <v>0.1124915504</v>
      </c>
      <c r="U35" s="1240">
        <f>'Confidence intervals'!U35</f>
        <v>0.02784526551</v>
      </c>
      <c r="V35" s="1191">
        <f>'Confidence intervals'!V35</f>
        <v>0.05569053102</v>
      </c>
      <c r="W35" s="1192">
        <f>'Confidence intervals'!W35</f>
        <v>0.08353579654</v>
      </c>
      <c r="X35" s="1240">
        <f>'Confidence intervals'!X35</f>
        <v>0.0158298015</v>
      </c>
      <c r="Y35" s="1191">
        <f>'Confidence intervals'!Y35</f>
        <v>0.03165960299</v>
      </c>
      <c r="Z35" s="1192">
        <f>'Confidence intervals'!Z35</f>
        <v>0.04748940449</v>
      </c>
      <c r="AA35" s="1240">
        <f>'Confidence intervals'!AA35</f>
        <v>0.0119028822</v>
      </c>
      <c r="AB35" s="1191">
        <f>'Confidence intervals'!AB35</f>
        <v>0.02380576441</v>
      </c>
      <c r="AC35" s="1192">
        <f>'Confidence intervals'!AC35</f>
        <v>0.03570864661</v>
      </c>
      <c r="AD35" s="1240">
        <f>'Confidence intervals'!AD35</f>
        <v>0.01488332683</v>
      </c>
      <c r="AE35" s="1191">
        <f>'Confidence intervals'!AE35</f>
        <v>0.02976665367</v>
      </c>
      <c r="AF35" s="1192">
        <f>'Confidence intervals'!AF35</f>
        <v>0.0446499805</v>
      </c>
      <c r="AG35" s="1240">
        <f>'Confidence intervals'!AG35</f>
        <v>0.1255671332</v>
      </c>
      <c r="AH35" s="1191">
        <f>'Confidence intervals'!AH35</f>
        <v>0.2511342664</v>
      </c>
      <c r="AI35" s="1192">
        <f>'Confidence intervals'!AI35</f>
        <v>0.3767013996</v>
      </c>
      <c r="AJ35" s="1240">
        <f>'Confidence intervals'!AJ35</f>
        <v>0.08590975588</v>
      </c>
      <c r="AK35" s="1191">
        <f>'Confidence intervals'!AK35</f>
        <v>0.1718195118</v>
      </c>
      <c r="AL35" s="1192">
        <f>'Confidence intervals'!AL35</f>
        <v>0.2577292676</v>
      </c>
      <c r="AM35" s="1240">
        <f>'Confidence intervals'!AM35</f>
        <v>0.05843142252</v>
      </c>
      <c r="AN35" s="1191">
        <f>'Confidence intervals'!AN35</f>
        <v>0.116862845</v>
      </c>
      <c r="AO35" s="1192">
        <f>'Confidence intervals'!AO35</f>
        <v>0.1752942675</v>
      </c>
      <c r="AP35" s="1240">
        <f>'Confidence intervals'!AP35</f>
        <v>0.04916210606</v>
      </c>
      <c r="AQ35" s="1191">
        <f>'Confidence intervals'!AQ35</f>
        <v>0.09832421212</v>
      </c>
      <c r="AR35" s="1192">
        <f>'Confidence intervals'!AR35</f>
        <v>0.1474863182</v>
      </c>
      <c r="AS35" s="1240">
        <f>'Confidence intervals'!AS35</f>
        <v>0.08543883542</v>
      </c>
      <c r="AT35" s="1191">
        <f>'Confidence intervals'!AT35</f>
        <v>0.1708776708</v>
      </c>
      <c r="AU35" s="1192">
        <f>'Confidence intervals'!AU35</f>
        <v>0.2563165063</v>
      </c>
      <c r="AV35" s="1240">
        <f>'Confidence intervals'!AV35</f>
        <v>0.06185650014</v>
      </c>
      <c r="AW35" s="1191">
        <f>'Confidence intervals'!AW35</f>
        <v>0.1237130003</v>
      </c>
      <c r="AX35" s="1192">
        <f>'Confidence intervals'!AX35</f>
        <v>0.1855695004</v>
      </c>
      <c r="AY35" s="1240">
        <f>'Confidence intervals'!AY35</f>
        <v>0.03831854647</v>
      </c>
      <c r="AZ35" s="1191">
        <f>'Confidence intervals'!AZ35</f>
        <v>0.07663709294</v>
      </c>
      <c r="BA35" s="1192">
        <f>'Confidence intervals'!BA35</f>
        <v>0.1149556394</v>
      </c>
      <c r="BB35" s="1240"/>
    </row>
    <row r="36">
      <c r="A36" s="293"/>
      <c r="B36" s="294"/>
      <c r="C36" s="24"/>
      <c r="D36" s="294"/>
      <c r="E36" s="915" t="str">
        <f>'Confidence intervals'!E38</f>
        <v>Adjustment for additional program benefits and downsides</v>
      </c>
      <c r="F36" s="1240">
        <f>'Confidence intervals'!F38</f>
        <v>0.22635</v>
      </c>
      <c r="G36" s="1191">
        <f>'Confidence intervals'!G38</f>
        <v>0.503</v>
      </c>
      <c r="H36" s="1192">
        <f>'Confidence intervals'!H38</f>
        <v>0.77965</v>
      </c>
      <c r="I36" s="1240">
        <f>'Confidence intervals'!I38</f>
        <v>0.22635</v>
      </c>
      <c r="J36" s="1191">
        <f>'Confidence intervals'!J38</f>
        <v>0.503</v>
      </c>
      <c r="K36" s="1192">
        <f>'Confidence intervals'!K38</f>
        <v>0.77965</v>
      </c>
      <c r="L36" s="1240">
        <f>'Confidence intervals'!L38</f>
        <v>0.22635</v>
      </c>
      <c r="M36" s="1191">
        <f>'Confidence intervals'!M38</f>
        <v>0.503</v>
      </c>
      <c r="N36" s="1192">
        <f>'Confidence intervals'!N38</f>
        <v>0.77965</v>
      </c>
      <c r="O36" s="1240">
        <f>'Confidence intervals'!O38</f>
        <v>0.22635</v>
      </c>
      <c r="P36" s="1191">
        <f>'Confidence intervals'!P38</f>
        <v>0.503</v>
      </c>
      <c r="Q36" s="1192">
        <f>'Confidence intervals'!Q38</f>
        <v>0.77965</v>
      </c>
      <c r="R36" s="1240">
        <f>'Confidence intervals'!R38</f>
        <v>0.22635</v>
      </c>
      <c r="S36" s="1191">
        <f>'Confidence intervals'!S38</f>
        <v>0.503</v>
      </c>
      <c r="T36" s="1192">
        <f>'Confidence intervals'!T38</f>
        <v>0.77965</v>
      </c>
      <c r="U36" s="1240">
        <f>'Confidence intervals'!U38</f>
        <v>0.22635</v>
      </c>
      <c r="V36" s="1191">
        <f>'Confidence intervals'!V38</f>
        <v>0.503</v>
      </c>
      <c r="W36" s="1192">
        <f>'Confidence intervals'!W38</f>
        <v>0.77965</v>
      </c>
      <c r="X36" s="1240">
        <f>'Confidence intervals'!X38</f>
        <v>0.22635</v>
      </c>
      <c r="Y36" s="1191">
        <f>'Confidence intervals'!Y38</f>
        <v>0.503</v>
      </c>
      <c r="Z36" s="1192">
        <f>'Confidence intervals'!Z38</f>
        <v>0.77965</v>
      </c>
      <c r="AA36" s="1240">
        <f>'Confidence intervals'!AA38</f>
        <v>0.22635</v>
      </c>
      <c r="AB36" s="1191">
        <f>'Confidence intervals'!AB38</f>
        <v>0.503</v>
      </c>
      <c r="AC36" s="1192">
        <f>'Confidence intervals'!AC38</f>
        <v>0.77965</v>
      </c>
      <c r="AD36" s="1240">
        <f>'Confidence intervals'!AD38</f>
        <v>0.22635</v>
      </c>
      <c r="AE36" s="1191">
        <f>'Confidence intervals'!AE38</f>
        <v>0.503</v>
      </c>
      <c r="AF36" s="1192">
        <f>'Confidence intervals'!AF38</f>
        <v>0.77965</v>
      </c>
      <c r="AG36" s="1240">
        <f>'Confidence intervals'!AG38</f>
        <v>0.14235</v>
      </c>
      <c r="AH36" s="1191">
        <f>'Confidence intervals'!AH38</f>
        <v>0.3163333333</v>
      </c>
      <c r="AI36" s="1192">
        <f>'Confidence intervals'!AI38</f>
        <v>0.4903166667</v>
      </c>
      <c r="AJ36" s="1240">
        <f>'Confidence intervals'!AJ38</f>
        <v>0.14235</v>
      </c>
      <c r="AK36" s="1191">
        <f>'Confidence intervals'!AK38</f>
        <v>0.3163333333</v>
      </c>
      <c r="AL36" s="1192">
        <f>'Confidence intervals'!AL38</f>
        <v>0.4903166667</v>
      </c>
      <c r="AM36" s="1240">
        <f>'Confidence intervals'!AM38</f>
        <v>0.15885</v>
      </c>
      <c r="AN36" s="1191">
        <f>'Confidence intervals'!AN38</f>
        <v>0.353</v>
      </c>
      <c r="AO36" s="1192">
        <f>'Confidence intervals'!AO38</f>
        <v>0.54715</v>
      </c>
      <c r="AP36" s="1240">
        <f>'Confidence intervals'!AP38</f>
        <v>0.17685</v>
      </c>
      <c r="AQ36" s="1191">
        <f>'Confidence intervals'!AQ38</f>
        <v>0.393</v>
      </c>
      <c r="AR36" s="1192">
        <f>'Confidence intervals'!AR38</f>
        <v>0.60915</v>
      </c>
      <c r="AS36" s="1240">
        <f>'Confidence intervals'!AS38</f>
        <v>0.14235</v>
      </c>
      <c r="AT36" s="1191">
        <f>'Confidence intervals'!AT38</f>
        <v>0.3163333333</v>
      </c>
      <c r="AU36" s="1192">
        <f>'Confidence intervals'!AU38</f>
        <v>0.4903166667</v>
      </c>
      <c r="AV36" s="1240">
        <f>'Confidence intervals'!AV38</f>
        <v>0.09135</v>
      </c>
      <c r="AW36" s="1191">
        <f>'Confidence intervals'!AW38</f>
        <v>0.203</v>
      </c>
      <c r="AX36" s="1192">
        <f>'Confidence intervals'!AX38</f>
        <v>0.31465</v>
      </c>
      <c r="AY36" s="1240">
        <f>'Confidence intervals'!AY38</f>
        <v>0.17685</v>
      </c>
      <c r="AZ36" s="1191">
        <f>'Confidence intervals'!AZ38</f>
        <v>0.393</v>
      </c>
      <c r="BA36" s="1192">
        <f>'Confidence intervals'!BA38</f>
        <v>0.60915</v>
      </c>
      <c r="BB36" s="1240"/>
    </row>
    <row r="37">
      <c r="A37" s="293"/>
      <c r="B37" s="294"/>
      <c r="C37" s="24"/>
      <c r="D37" s="294"/>
      <c r="E37" s="915" t="str">
        <f>'Confidence intervals'!E39</f>
        <v>Adjustment for grantee-level factors</v>
      </c>
      <c r="F37" s="1240">
        <f>'Confidence intervals'!F39</f>
        <v>-0.119</v>
      </c>
      <c r="G37" s="1191">
        <f>'Confidence intervals'!G39</f>
        <v>-0.07</v>
      </c>
      <c r="H37" s="1192">
        <f>'Confidence intervals'!H39</f>
        <v>-0.021</v>
      </c>
      <c r="I37" s="1240">
        <f>'Confidence intervals'!I39</f>
        <v>-0.119</v>
      </c>
      <c r="J37" s="1191">
        <f>'Confidence intervals'!J39</f>
        <v>-0.07</v>
      </c>
      <c r="K37" s="1192">
        <f>'Confidence intervals'!K39</f>
        <v>-0.021</v>
      </c>
      <c r="L37" s="1240">
        <f>'Confidence intervals'!L39</f>
        <v>-0.119</v>
      </c>
      <c r="M37" s="1191">
        <f>'Confidence intervals'!M39</f>
        <v>-0.07</v>
      </c>
      <c r="N37" s="1192">
        <f>'Confidence intervals'!N39</f>
        <v>-0.021</v>
      </c>
      <c r="O37" s="1240">
        <f>'Confidence intervals'!O39</f>
        <v>-0.119</v>
      </c>
      <c r="P37" s="1191">
        <f>'Confidence intervals'!P39</f>
        <v>-0.07</v>
      </c>
      <c r="Q37" s="1192">
        <f>'Confidence intervals'!Q39</f>
        <v>-0.021</v>
      </c>
      <c r="R37" s="1240">
        <f>'Confidence intervals'!R39</f>
        <v>-0.119</v>
      </c>
      <c r="S37" s="1191">
        <f>'Confidence intervals'!S39</f>
        <v>-0.07</v>
      </c>
      <c r="T37" s="1192">
        <f>'Confidence intervals'!T39</f>
        <v>-0.021</v>
      </c>
      <c r="U37" s="1240">
        <f>'Confidence intervals'!U39</f>
        <v>-0.119</v>
      </c>
      <c r="V37" s="1191">
        <f>'Confidence intervals'!V39</f>
        <v>-0.07</v>
      </c>
      <c r="W37" s="1192">
        <f>'Confidence intervals'!W39</f>
        <v>-0.021</v>
      </c>
      <c r="X37" s="1240">
        <f>'Confidence intervals'!X39</f>
        <v>-0.119</v>
      </c>
      <c r="Y37" s="1191">
        <f>'Confidence intervals'!Y39</f>
        <v>-0.07</v>
      </c>
      <c r="Z37" s="1192">
        <f>'Confidence intervals'!Z39</f>
        <v>-0.021</v>
      </c>
      <c r="AA37" s="1240">
        <f>'Confidence intervals'!AA39</f>
        <v>-0.119</v>
      </c>
      <c r="AB37" s="1191">
        <f>'Confidence intervals'!AB39</f>
        <v>-0.07</v>
      </c>
      <c r="AC37" s="1192">
        <f>'Confidence intervals'!AC39</f>
        <v>-0.021</v>
      </c>
      <c r="AD37" s="1240">
        <f>'Confidence intervals'!AD39</f>
        <v>-0.119</v>
      </c>
      <c r="AE37" s="1191">
        <f>'Confidence intervals'!AE39</f>
        <v>-0.07</v>
      </c>
      <c r="AF37" s="1192">
        <f>'Confidence intervals'!AF39</f>
        <v>-0.021</v>
      </c>
      <c r="AG37" s="1240">
        <f>'Confidence intervals'!AG39</f>
        <v>-0.119</v>
      </c>
      <c r="AH37" s="1191">
        <f>'Confidence intervals'!AH39</f>
        <v>-0.07</v>
      </c>
      <c r="AI37" s="1192">
        <f>'Confidence intervals'!AI39</f>
        <v>-0.021</v>
      </c>
      <c r="AJ37" s="1240">
        <f>'Confidence intervals'!AJ39</f>
        <v>-0.119</v>
      </c>
      <c r="AK37" s="1191">
        <f>'Confidence intervals'!AK39</f>
        <v>-0.07</v>
      </c>
      <c r="AL37" s="1192">
        <f>'Confidence intervals'!AL39</f>
        <v>-0.021</v>
      </c>
      <c r="AM37" s="1240">
        <f>'Confidence intervals'!AM39</f>
        <v>-0.119</v>
      </c>
      <c r="AN37" s="1191">
        <f>'Confidence intervals'!AN39</f>
        <v>-0.07</v>
      </c>
      <c r="AO37" s="1192">
        <f>'Confidence intervals'!AO39</f>
        <v>-0.021</v>
      </c>
      <c r="AP37" s="1240">
        <f>'Confidence intervals'!AP39</f>
        <v>-0.119</v>
      </c>
      <c r="AQ37" s="1191">
        <f>'Confidence intervals'!AQ39</f>
        <v>-0.07</v>
      </c>
      <c r="AR37" s="1192">
        <f>'Confidence intervals'!AR39</f>
        <v>-0.021</v>
      </c>
      <c r="AS37" s="1240">
        <f>'Confidence intervals'!AS39</f>
        <v>-0.119</v>
      </c>
      <c r="AT37" s="1191">
        <f>'Confidence intervals'!AT39</f>
        <v>-0.07</v>
      </c>
      <c r="AU37" s="1192">
        <f>'Confidence intervals'!AU39</f>
        <v>-0.021</v>
      </c>
      <c r="AV37" s="1240">
        <f>'Confidence intervals'!AV39</f>
        <v>-0.119</v>
      </c>
      <c r="AW37" s="1191">
        <f>'Confidence intervals'!AW39</f>
        <v>-0.07</v>
      </c>
      <c r="AX37" s="1192">
        <f>'Confidence intervals'!AX39</f>
        <v>-0.021</v>
      </c>
      <c r="AY37" s="1240">
        <f>'Confidence intervals'!AY39</f>
        <v>-0.119</v>
      </c>
      <c r="AZ37" s="1191">
        <f>'Confidence intervals'!AZ39</f>
        <v>-0.07</v>
      </c>
      <c r="BA37" s="1192">
        <f>'Confidence intervals'!BA39</f>
        <v>-0.021</v>
      </c>
      <c r="BB37" s="1240"/>
    </row>
    <row r="38">
      <c r="A38" s="293"/>
      <c r="B38" s="294"/>
      <c r="C38" s="24"/>
      <c r="D38" s="294"/>
      <c r="E38" s="782" t="s">
        <v>1073</v>
      </c>
      <c r="F38" s="1242" t="s">
        <v>162</v>
      </c>
      <c r="G38" s="1191">
        <f t="array" ref="G38">INDEX('Simple CEA'!$A:$Z, MATCH("Adjustment for leverage", 'Simple CEA'!$E:$E, 0), MATCH(1, ('Simple CEA'!$2:$2 = F$2) * ('Simple CEA'!$3:$3 = F$3), 0))</f>
        <v>-0.04421833055</v>
      </c>
      <c r="H38" s="1243" t="s">
        <v>162</v>
      </c>
      <c r="I38" s="1242" t="s">
        <v>162</v>
      </c>
      <c r="J38" s="1191">
        <f t="array" ref="J38">INDEX('Simple CEA'!$A:$Z, MATCH("Adjustment for leverage", 'Simple CEA'!$E:$E, 0), MATCH(1, ('Simple CEA'!$2:$2 = I$2) * ('Simple CEA'!$3:$3 = I$3), 0))</f>
        <v>-0.05685457843</v>
      </c>
      <c r="K38" s="1243" t="s">
        <v>162</v>
      </c>
      <c r="L38" s="1242" t="s">
        <v>162</v>
      </c>
      <c r="M38" s="1191">
        <f t="array" ref="M38">INDEX('Simple CEA'!$A:$Z, MATCH("Adjustment for leverage", 'Simple CEA'!$E:$E, 0), MATCH(1, ('Simple CEA'!$2:$2 = L$2) * ('Simple CEA'!$3:$3 = L$3), 0))</f>
        <v>-0.0377404287</v>
      </c>
      <c r="N38" s="1243" t="s">
        <v>162</v>
      </c>
      <c r="O38" s="1242" t="s">
        <v>162</v>
      </c>
      <c r="P38" s="1191">
        <f t="array" ref="P38">INDEX('Simple CEA'!$A:$Z, MATCH("Adjustment for leverage", 'Simple CEA'!$E:$E, 0), MATCH(1, ('Simple CEA'!$2:$2 = O$2) * ('Simple CEA'!$3:$3 = O$3), 0))</f>
        <v>-0.08094931709</v>
      </c>
      <c r="Q38" s="1243" t="s">
        <v>162</v>
      </c>
      <c r="R38" s="1242" t="s">
        <v>162</v>
      </c>
      <c r="S38" s="1191">
        <f t="array" ref="S38">INDEX('Simple CEA'!$A:$Z, MATCH("Adjustment for leverage", 'Simple CEA'!$E:$E, 0), MATCH(1, ('Simple CEA'!$2:$2 = R$2) * ('Simple CEA'!$3:$3 = R$3), 0))</f>
        <v>-0.062527746</v>
      </c>
      <c r="T38" s="1243" t="s">
        <v>162</v>
      </c>
      <c r="U38" s="1242" t="s">
        <v>162</v>
      </c>
      <c r="V38" s="1191">
        <f t="array" ref="V38">INDEX('Simple CEA'!$A:$Z, MATCH("Adjustment for leverage", 'Simple CEA'!$E:$E, 0), MATCH(1, ('Simple CEA'!$2:$2 = U$2) * ('Simple CEA'!$3:$3 = U$3), 0))</f>
        <v>-0.05343454263</v>
      </c>
      <c r="W38" s="1243" t="s">
        <v>162</v>
      </c>
      <c r="X38" s="1242" t="s">
        <v>162</v>
      </c>
      <c r="Y38" s="1191">
        <f t="array" ref="Y38">INDEX('Simple CEA'!$A:$Z, MATCH("Adjustment for leverage", 'Simple CEA'!$E:$E, 0), MATCH(1, ('Simple CEA'!$2:$2 = X$2) * ('Simple CEA'!$3:$3 = X$3), 0))</f>
        <v>-0.04603517759</v>
      </c>
      <c r="Z38" s="1243" t="s">
        <v>162</v>
      </c>
      <c r="AA38" s="1242" t="s">
        <v>162</v>
      </c>
      <c r="AB38" s="1191">
        <f t="array" ref="AB38">INDEX('Simple CEA'!$A:$Z, MATCH("Adjustment for leverage", 'Simple CEA'!$E:$E, 0), MATCH(1, ('Simple CEA'!$2:$2 = AA$2) * ('Simple CEA'!$3:$3 = AA$3), 0))</f>
        <v>-0.03918562727</v>
      </c>
      <c r="AC38" s="1243" t="s">
        <v>162</v>
      </c>
      <c r="AD38" s="1242" t="s">
        <v>162</v>
      </c>
      <c r="AE38" s="1191">
        <f t="array" ref="AE38">INDEX('Simple CEA'!$A:$Z, MATCH("Adjustment for leverage", 'Simple CEA'!$E:$E, 0), MATCH(1, ('Simple CEA'!$2:$2 = AD$2) * ('Simple CEA'!$3:$3 = AD$3), 0))</f>
        <v>-0.03176670886</v>
      </c>
      <c r="AF38" s="1243" t="s">
        <v>162</v>
      </c>
      <c r="AG38" s="1242" t="s">
        <v>162</v>
      </c>
      <c r="AH38" s="1191">
        <f t="array" ref="AH38">INDEX('Simple CEA'!$A:$Z, MATCH("Adjustment for leverage", 'Simple CEA'!$E:$E, 0), MATCH(1, ('Simple CEA'!$2:$2 = AG$2) * ('Simple CEA'!$3:$3 = AG$3), 0))</f>
        <v>-0.06464919851</v>
      </c>
      <c r="AI38" s="1243" t="s">
        <v>162</v>
      </c>
      <c r="AJ38" s="1242" t="s">
        <v>162</v>
      </c>
      <c r="AK38" s="1191">
        <f t="array" ref="AK38">INDEX('Simple CEA'!$A:$BB, MATCH("Adjustment for leverage", 'Simple CEA'!$E:$E, 0), MATCH(1, ('Simple CEA'!$2:$2 = AJ$2) * ('Simple CEA'!$3:$3 = AJ$3), 0))</f>
        <v>-0.0872578047</v>
      </c>
      <c r="AL38" s="1243" t="s">
        <v>162</v>
      </c>
      <c r="AM38" s="1242" t="s">
        <v>162</v>
      </c>
      <c r="AN38" s="1191">
        <f t="array" ref="AN38">INDEX('Simple CEA'!$A:$BB, MATCH("Adjustment for leverage", 'Simple CEA'!$E:$E, 0), MATCH(1, ('Simple CEA'!$2:$2 = AM$2) * ('Simple CEA'!$3:$3 = AM$3), 0))</f>
        <v>-0.09904028638</v>
      </c>
      <c r="AO38" s="1243" t="s">
        <v>162</v>
      </c>
      <c r="AP38" s="1242" t="s">
        <v>162</v>
      </c>
      <c r="AQ38" s="1191">
        <f t="array" ref="AQ38">INDEX('Simple CEA'!$A:$BB, MATCH("Adjustment for leverage", 'Simple CEA'!$E:$E, 0), MATCH(1, ('Simple CEA'!$2:$2 = AP$2) * ('Simple CEA'!$3:$3 = AP$3), 0))</f>
        <v>-0.09782004392</v>
      </c>
      <c r="AR38" s="1243" t="s">
        <v>162</v>
      </c>
      <c r="AS38" s="1242" t="s">
        <v>162</v>
      </c>
      <c r="AT38" s="1191">
        <f t="array" ref="AT38">INDEX('Simple CEA'!$A:$BB, MATCH("Adjustment for leverage", 'Simple CEA'!$E:$E, 0), MATCH(1, ('Simple CEA'!$2:$2 = AS$2) * ('Simple CEA'!$3:$3 = AS$3), 0))</f>
        <v>-0.0944713686</v>
      </c>
      <c r="AU38" s="1243" t="s">
        <v>162</v>
      </c>
      <c r="AV38" s="1242" t="s">
        <v>162</v>
      </c>
      <c r="AW38" s="1191">
        <f t="array" ref="AW38">INDEX('Simple CEA'!$A:$BB, MATCH("Adjustment for leverage", 'Simple CEA'!$E:$E, 0), MATCH(1, ('Simple CEA'!$2:$2 = AV$2) * ('Simple CEA'!$3:$3 = AV$3), 0))</f>
        <v>-0.07271630744</v>
      </c>
      <c r="AX38" s="1243" t="s">
        <v>162</v>
      </c>
      <c r="AY38" s="1242" t="s">
        <v>162</v>
      </c>
      <c r="AZ38" s="1191">
        <f t="array" ref="AZ38">INDEX('Simple CEA'!$A:$BB, MATCH("Adjustment for leverage", 'Simple CEA'!$E:$E, 0), MATCH(1, ('Simple CEA'!$2:$2 = AY$2) * ('Simple CEA'!$3:$3 = AY$3), 0))</f>
        <v>-0.06242416514</v>
      </c>
      <c r="BA38" s="1243" t="s">
        <v>162</v>
      </c>
      <c r="BB38" s="1240"/>
    </row>
    <row r="39">
      <c r="A39" s="293"/>
      <c r="B39" s="294"/>
      <c r="C39" s="24"/>
      <c r="D39" s="294"/>
      <c r="E39" s="915" t="str">
        <f>'Confidence intervals'!E40</f>
        <v>Adjustment for funging</v>
      </c>
      <c r="F39" s="1240">
        <f>'Confidence intervals'!F40</f>
        <v>-0.1588909969</v>
      </c>
      <c r="G39" s="1191">
        <f>'Confidence intervals'!G40</f>
        <v>-0.0934652923</v>
      </c>
      <c r="H39" s="1192">
        <f>'Confidence intervals'!H40</f>
        <v>-0.02803958769</v>
      </c>
      <c r="I39" s="1240">
        <f>'Confidence intervals'!I40</f>
        <v>-0.1479439363</v>
      </c>
      <c r="J39" s="1191">
        <f>'Confidence intervals'!J40</f>
        <v>-0.08702584485</v>
      </c>
      <c r="K39" s="1192">
        <f>'Confidence intervals'!K40</f>
        <v>-0.02610775346</v>
      </c>
      <c r="L39" s="1240">
        <f>'Confidence intervals'!L40</f>
        <v>-0.1576506273</v>
      </c>
      <c r="M39" s="1191">
        <f>'Confidence intervals'!M40</f>
        <v>-0.0927356631</v>
      </c>
      <c r="N39" s="1192">
        <f>'Confidence intervals'!N40</f>
        <v>-0.02782069893</v>
      </c>
      <c r="O39" s="1240">
        <f>'Confidence intervals'!O40</f>
        <v>-0.1461097483</v>
      </c>
      <c r="P39" s="1191">
        <f>'Confidence intervals'!P40</f>
        <v>-0.08594691079</v>
      </c>
      <c r="Q39" s="1192">
        <f>'Confidence intervals'!Q40</f>
        <v>-0.02578407324</v>
      </c>
      <c r="R39" s="1240">
        <f>'Confidence intervals'!R40</f>
        <v>-0.1526493243</v>
      </c>
      <c r="S39" s="1191">
        <f>'Confidence intervals'!S40</f>
        <v>-0.08979372015</v>
      </c>
      <c r="T39" s="1192">
        <f>'Confidence intervals'!T40</f>
        <v>-0.02693811605</v>
      </c>
      <c r="U39" s="1240">
        <f>'Confidence intervals'!U40</f>
        <v>-0.1568798539</v>
      </c>
      <c r="V39" s="1191">
        <f>'Confidence intervals'!V40</f>
        <v>-0.092282267</v>
      </c>
      <c r="W39" s="1192">
        <f>'Confidence intervals'!W40</f>
        <v>-0.0276846801</v>
      </c>
      <c r="X39" s="1240">
        <f>'Confidence intervals'!X40</f>
        <v>-0.1623675674</v>
      </c>
      <c r="Y39" s="1191">
        <f>'Confidence intervals'!Y40</f>
        <v>-0.09551033376</v>
      </c>
      <c r="Z39" s="1192">
        <f>'Confidence intervals'!Z40</f>
        <v>-0.02865310013</v>
      </c>
      <c r="AA39" s="1240">
        <f>'Confidence intervals'!AA40</f>
        <v>-0.1642169293</v>
      </c>
      <c r="AB39" s="1191">
        <f>'Confidence intervals'!AB40</f>
        <v>-0.09659819372</v>
      </c>
      <c r="AC39" s="1192">
        <f>'Confidence intervals'!AC40</f>
        <v>-0.02897945812</v>
      </c>
      <c r="AD39" s="1240">
        <f>'Confidence intervals'!AD40</f>
        <v>-0.1628107245</v>
      </c>
      <c r="AE39" s="1191">
        <f>'Confidence intervals'!AE40</f>
        <v>-0.09577101439</v>
      </c>
      <c r="AF39" s="1192">
        <f>'Confidence intervals'!AF40</f>
        <v>-0.02873130432</v>
      </c>
      <c r="AG39" s="1240">
        <f>'Confidence intervals'!AG40</f>
        <v>-0.112998131</v>
      </c>
      <c r="AH39" s="1191">
        <f>'Confidence intervals'!AH40</f>
        <v>-0.06646948879</v>
      </c>
      <c r="AI39" s="1192">
        <f>'Confidence intervals'!AI40</f>
        <v>-0.01994084664</v>
      </c>
      <c r="AJ39" s="1240">
        <f>'Confidence intervals'!AJ40</f>
        <v>-0.1283611434</v>
      </c>
      <c r="AK39" s="1191">
        <f>'Confidence intervals'!AK40</f>
        <v>-0.07550655492</v>
      </c>
      <c r="AL39" s="1192">
        <f>'Confidence intervals'!AL40</f>
        <v>-0.02265196648</v>
      </c>
      <c r="AM39" s="1240">
        <f>'Confidence intervals'!AM40</f>
        <v>-0.1410910889</v>
      </c>
      <c r="AN39" s="1191">
        <f>'Confidence intervals'!AN40</f>
        <v>-0.08299475815</v>
      </c>
      <c r="AO39" s="1192">
        <f>'Confidence intervals'!AO40</f>
        <v>-0.02489842745</v>
      </c>
      <c r="AP39" s="1240">
        <f>'Confidence intervals'!AP40</f>
        <v>-0.1459767522</v>
      </c>
      <c r="AQ39" s="1191">
        <f>'Confidence intervals'!AQ40</f>
        <v>-0.08586867779</v>
      </c>
      <c r="AR39" s="1192">
        <f>'Confidence intervals'!AR40</f>
        <v>-0.02576060334</v>
      </c>
      <c r="AS39" s="1240">
        <f>'Confidence intervals'!AS40</f>
        <v>-0.129679221</v>
      </c>
      <c r="AT39" s="1191">
        <f>'Confidence intervals'!AT40</f>
        <v>-0.07628189469</v>
      </c>
      <c r="AU39" s="1192">
        <f>'Confidence intervals'!AU40</f>
        <v>-0.02288456841</v>
      </c>
      <c r="AV39" s="1240">
        <f>'Confidence intervals'!AV40</f>
        <v>-0.1357904607</v>
      </c>
      <c r="AW39" s="1191">
        <f>'Confidence intervals'!AW40</f>
        <v>-0.07987674156</v>
      </c>
      <c r="AX39" s="1192">
        <f>'Confidence intervals'!AX40</f>
        <v>-0.02396302247</v>
      </c>
      <c r="AY39" s="1240">
        <f>'Confidence intervals'!AY40</f>
        <v>-0.1508983235</v>
      </c>
      <c r="AZ39" s="1191">
        <f>'Confidence intervals'!AZ40</f>
        <v>-0.08876371968</v>
      </c>
      <c r="BA39" s="1192">
        <f>'Confidence intervals'!BA40</f>
        <v>-0.0266291159</v>
      </c>
      <c r="BB39" s="1240"/>
    </row>
    <row r="40">
      <c r="A40" s="293"/>
      <c r="B40" s="294"/>
      <c r="C40" s="24"/>
      <c r="D40" s="24"/>
      <c r="E40" s="782" t="str">
        <f>'Simple CEA'!E20</f>
        <v>Moral value of averting the death of a person under age five</v>
      </c>
      <c r="F40" s="1242" t="s">
        <v>162</v>
      </c>
      <c r="G40" s="1244">
        <f>'Simple CEA'!$H$20</f>
        <v>116.25262</v>
      </c>
      <c r="H40" s="1243" t="s">
        <v>162</v>
      </c>
      <c r="I40" s="1242" t="s">
        <v>162</v>
      </c>
      <c r="J40" s="1244">
        <f>'Simple CEA'!$H$20</f>
        <v>116.25262</v>
      </c>
      <c r="K40" s="1243" t="s">
        <v>162</v>
      </c>
      <c r="L40" s="1242" t="s">
        <v>162</v>
      </c>
      <c r="M40" s="1244">
        <f>'Simple CEA'!$H$20</f>
        <v>116.25262</v>
      </c>
      <c r="N40" s="1243" t="s">
        <v>162</v>
      </c>
      <c r="O40" s="1242" t="s">
        <v>162</v>
      </c>
      <c r="P40" s="1244">
        <f>'Simple CEA'!$H$20</f>
        <v>116.25262</v>
      </c>
      <c r="Q40" s="1243" t="s">
        <v>162</v>
      </c>
      <c r="R40" s="1242" t="s">
        <v>162</v>
      </c>
      <c r="S40" s="1244">
        <f>'Simple CEA'!$H$20</f>
        <v>116.25262</v>
      </c>
      <c r="T40" s="1243" t="s">
        <v>162</v>
      </c>
      <c r="U40" s="1242" t="s">
        <v>162</v>
      </c>
      <c r="V40" s="1244">
        <f>'Simple CEA'!$H$20</f>
        <v>116.25262</v>
      </c>
      <c r="W40" s="1243" t="s">
        <v>162</v>
      </c>
      <c r="X40" s="1242" t="s">
        <v>162</v>
      </c>
      <c r="Y40" s="1244">
        <f>'Simple CEA'!$H$20</f>
        <v>116.25262</v>
      </c>
      <c r="Z40" s="1243" t="s">
        <v>162</v>
      </c>
      <c r="AA40" s="1242" t="s">
        <v>162</v>
      </c>
      <c r="AB40" s="1244">
        <f>'Simple CEA'!$H$20</f>
        <v>116.25262</v>
      </c>
      <c r="AC40" s="1243" t="s">
        <v>162</v>
      </c>
      <c r="AD40" s="1242" t="s">
        <v>162</v>
      </c>
      <c r="AE40" s="1244">
        <f>'Simple CEA'!$H$20</f>
        <v>116.25262</v>
      </c>
      <c r="AF40" s="1243" t="s">
        <v>162</v>
      </c>
      <c r="AG40" s="1242" t="s">
        <v>162</v>
      </c>
      <c r="AH40" s="1244">
        <f>'Simple CEA'!$H$20</f>
        <v>116.25262</v>
      </c>
      <c r="AI40" s="1243" t="s">
        <v>162</v>
      </c>
      <c r="AJ40" s="1242" t="s">
        <v>162</v>
      </c>
      <c r="AK40" s="1244">
        <f>'Simple CEA'!$H$20</f>
        <v>116.25262</v>
      </c>
      <c r="AL40" s="1243" t="s">
        <v>162</v>
      </c>
      <c r="AM40" s="1242" t="s">
        <v>162</v>
      </c>
      <c r="AN40" s="1244">
        <f>'Simple CEA'!$H$20</f>
        <v>116.25262</v>
      </c>
      <c r="AO40" s="1243" t="s">
        <v>162</v>
      </c>
      <c r="AP40" s="1242" t="s">
        <v>162</v>
      </c>
      <c r="AQ40" s="1244">
        <f>'Simple CEA'!$H$20</f>
        <v>116.25262</v>
      </c>
      <c r="AR40" s="1243" t="s">
        <v>162</v>
      </c>
      <c r="AS40" s="1242" t="s">
        <v>162</v>
      </c>
      <c r="AT40" s="1244">
        <f>'Simple CEA'!$H$20</f>
        <v>116.25262</v>
      </c>
      <c r="AU40" s="1243" t="s">
        <v>162</v>
      </c>
      <c r="AV40" s="1242" t="s">
        <v>162</v>
      </c>
      <c r="AW40" s="1244">
        <f>'Simple CEA'!$H$20</f>
        <v>116.25262</v>
      </c>
      <c r="AX40" s="1243" t="s">
        <v>162</v>
      </c>
      <c r="AY40" s="1242" t="s">
        <v>162</v>
      </c>
      <c r="AZ40" s="1244">
        <f>'Simple CEA'!$H$20</f>
        <v>116.25262</v>
      </c>
      <c r="BA40" s="1243" t="s">
        <v>162</v>
      </c>
      <c r="BB40" s="1240"/>
    </row>
    <row r="41">
      <c r="A41" s="293"/>
      <c r="B41" s="294"/>
      <c r="C41" s="24"/>
      <c r="D41" s="294"/>
      <c r="E41" s="792" t="s">
        <v>285</v>
      </c>
      <c r="F41" s="1236" t="s">
        <v>162</v>
      </c>
      <c r="G41" s="1245">
        <f>'Main CEA'!$H$177</f>
        <v>0.00333</v>
      </c>
      <c r="H41" s="1238" t="s">
        <v>162</v>
      </c>
      <c r="I41" s="1236" t="s">
        <v>162</v>
      </c>
      <c r="J41" s="1245">
        <f>'Main CEA'!$H$177</f>
        <v>0.00333</v>
      </c>
      <c r="K41" s="1238" t="s">
        <v>162</v>
      </c>
      <c r="L41" s="1236" t="s">
        <v>162</v>
      </c>
      <c r="M41" s="1245">
        <f>'Main CEA'!$H$177</f>
        <v>0.00333</v>
      </c>
      <c r="N41" s="1238" t="s">
        <v>162</v>
      </c>
      <c r="O41" s="1236" t="s">
        <v>162</v>
      </c>
      <c r="P41" s="1245">
        <f>'Main CEA'!$H$177</f>
        <v>0.00333</v>
      </c>
      <c r="Q41" s="1238" t="s">
        <v>162</v>
      </c>
      <c r="R41" s="1236" t="s">
        <v>162</v>
      </c>
      <c r="S41" s="1245">
        <f>'Main CEA'!$H$177</f>
        <v>0.00333</v>
      </c>
      <c r="T41" s="1238" t="s">
        <v>162</v>
      </c>
      <c r="U41" s="1236" t="s">
        <v>162</v>
      </c>
      <c r="V41" s="1245">
        <f>'Main CEA'!$H$177</f>
        <v>0.00333</v>
      </c>
      <c r="W41" s="1238" t="s">
        <v>162</v>
      </c>
      <c r="X41" s="1236" t="s">
        <v>162</v>
      </c>
      <c r="Y41" s="1245">
        <f>'Main CEA'!$H$177</f>
        <v>0.00333</v>
      </c>
      <c r="Z41" s="1238" t="s">
        <v>162</v>
      </c>
      <c r="AA41" s="1236" t="s">
        <v>162</v>
      </c>
      <c r="AB41" s="1245">
        <f>'Main CEA'!$H$177</f>
        <v>0.00333</v>
      </c>
      <c r="AC41" s="1238" t="s">
        <v>162</v>
      </c>
      <c r="AD41" s="1236" t="s">
        <v>162</v>
      </c>
      <c r="AE41" s="1245">
        <f>'Main CEA'!$H$177</f>
        <v>0.00333</v>
      </c>
      <c r="AF41" s="1238" t="s">
        <v>162</v>
      </c>
      <c r="AG41" s="1236" t="s">
        <v>162</v>
      </c>
      <c r="AH41" s="1245">
        <f>'Main CEA'!$H$177</f>
        <v>0.00333</v>
      </c>
      <c r="AI41" s="1238" t="s">
        <v>162</v>
      </c>
      <c r="AJ41" s="1236" t="s">
        <v>162</v>
      </c>
      <c r="AK41" s="1245">
        <f>'Main CEA'!$H$177</f>
        <v>0.00333</v>
      </c>
      <c r="AL41" s="1238" t="s">
        <v>162</v>
      </c>
      <c r="AM41" s="1236" t="s">
        <v>162</v>
      </c>
      <c r="AN41" s="1245">
        <f>'Main CEA'!$H$177</f>
        <v>0.00333</v>
      </c>
      <c r="AO41" s="1238" t="s">
        <v>162</v>
      </c>
      <c r="AP41" s="1236" t="s">
        <v>162</v>
      </c>
      <c r="AQ41" s="1245">
        <f>'Main CEA'!$H$177</f>
        <v>0.00333</v>
      </c>
      <c r="AR41" s="1238" t="s">
        <v>162</v>
      </c>
      <c r="AS41" s="1236" t="s">
        <v>162</v>
      </c>
      <c r="AT41" s="1245">
        <f>'Main CEA'!$H$177</f>
        <v>0.00333</v>
      </c>
      <c r="AU41" s="1238" t="s">
        <v>162</v>
      </c>
      <c r="AV41" s="1236" t="s">
        <v>162</v>
      </c>
      <c r="AW41" s="1245">
        <f>'Main CEA'!$H$177</f>
        <v>0.00333</v>
      </c>
      <c r="AX41" s="1238" t="s">
        <v>162</v>
      </c>
      <c r="AY41" s="1236" t="s">
        <v>162</v>
      </c>
      <c r="AZ41" s="1245">
        <f>'Main CEA'!$H$177</f>
        <v>0.00333</v>
      </c>
      <c r="BA41" s="1238" t="s">
        <v>162</v>
      </c>
      <c r="BB41" s="1236"/>
    </row>
    <row r="42">
      <c r="A42" s="293"/>
      <c r="B42" s="294"/>
      <c r="C42" s="24"/>
      <c r="D42" s="294"/>
      <c r="E42" s="24"/>
      <c r="F42" s="1246"/>
      <c r="G42" s="1155"/>
      <c r="H42" s="1247"/>
      <c r="I42" s="1246"/>
      <c r="J42" s="1155"/>
      <c r="K42" s="1247"/>
      <c r="L42" s="1246"/>
      <c r="M42" s="1155"/>
      <c r="N42" s="1247"/>
      <c r="O42" s="1246"/>
      <c r="P42" s="1216"/>
      <c r="Q42" s="1247"/>
      <c r="R42" s="1246"/>
      <c r="S42" s="1216"/>
      <c r="T42" s="1247"/>
      <c r="U42" s="1246"/>
      <c r="V42" s="1216"/>
      <c r="W42" s="1247"/>
      <c r="X42" s="1246"/>
      <c r="Y42" s="1216"/>
      <c r="Z42" s="1247"/>
      <c r="AA42" s="1246"/>
      <c r="AB42" s="1155"/>
      <c r="AC42" s="1247"/>
      <c r="AD42" s="1246"/>
      <c r="AE42" s="1155"/>
      <c r="AF42" s="1247"/>
      <c r="AG42" s="1246"/>
      <c r="AH42" s="1155"/>
      <c r="AI42" s="1247"/>
      <c r="AJ42" s="1246"/>
      <c r="AK42" s="1155"/>
      <c r="AL42" s="1247"/>
      <c r="AM42" s="1246"/>
      <c r="AN42" s="1155"/>
      <c r="AO42" s="1247"/>
      <c r="AP42" s="1246"/>
      <c r="AQ42" s="1155"/>
      <c r="AR42" s="1247"/>
      <c r="AS42" s="1246"/>
      <c r="AT42" s="1155"/>
      <c r="AU42" s="1247"/>
      <c r="AV42" s="1246"/>
      <c r="AW42" s="1155"/>
      <c r="AX42" s="1247"/>
      <c r="AY42" s="1246"/>
      <c r="AZ42" s="1155"/>
      <c r="BA42" s="1247"/>
      <c r="BB42" s="1246"/>
    </row>
  </sheetData>
  <mergeCells count="56">
    <mergeCell ref="AS3:AU3"/>
    <mergeCell ref="AV3:AX3"/>
    <mergeCell ref="X3:Z3"/>
    <mergeCell ref="AA3:AC3"/>
    <mergeCell ref="AD3:AF3"/>
    <mergeCell ref="AG3:AI3"/>
    <mergeCell ref="AJ3:AL3"/>
    <mergeCell ref="AM3:AO3"/>
    <mergeCell ref="AP3:AR3"/>
    <mergeCell ref="AS5:AU5"/>
    <mergeCell ref="AV5:AX5"/>
    <mergeCell ref="AY5:BA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drawing r:id="rId2"/>
  <legacyDrawing r:id="rId3"/>
</worksheet>
</file>